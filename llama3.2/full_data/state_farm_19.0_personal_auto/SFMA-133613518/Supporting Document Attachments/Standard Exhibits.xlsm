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Opr.statefarm.org\dfs\PCACT\00\WORKGROUP\P-C ACTUARIAL\AUTO\STATE FILES\California\REVISIONS\2023\10-2-2023 Rate Filing\Filing\Objections\6-29 Objection\"/>
    </mc:Choice>
  </mc:AlternateContent>
  <xr:revisionPtr revIDLastSave="0" documentId="13_ncr:1_{1DEC007F-4503-4088-90B6-6819209B998C}" xr6:coauthVersionLast="47" xr6:coauthVersionMax="47" xr10:uidLastSave="{00000000-0000-0000-0000-000000000000}"/>
  <bookViews>
    <workbookView xWindow="28680" yWindow="-120" windowWidth="38640" windowHeight="212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ffDate_Proposed">'1.General'!$B$10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References!$I$41:$J$43</definedName>
    <definedName name="List_GeneralLine">References!$F$6:$F$30</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PolicyTermAvgAnn">'1.General'!$C$61</definedName>
    <definedName name="_xlnm.Print_Area" localSheetId="3">'1.General'!$A$1:$H$66</definedName>
    <definedName name="_xlnm.Print_Area" localSheetId="4">'2.Exhibit 5'!$B$1:$DG$51</definedName>
    <definedName name="_xlnm.Print_Area" localSheetId="5">'3.Exhibit 7 - Annual'!$CG$1:$CR$240,'3.Exhibit 7 - Annual'!$CG$314:$CR$453</definedName>
    <definedName name="_xlnm.Print_Area" localSheetId="6">'4.Exhibit 8'!$B$1:$DW$55</definedName>
    <definedName name="_xlnm.Print_Area" localSheetId="2">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 l="1"/>
  <c r="I57" i="10"/>
  <c r="F246" i="2" s="1"/>
  <c r="R246" i="2" s="1"/>
  <c r="DJ246" i="2" l="1"/>
  <c r="BZ246" i="2"/>
  <c r="BN246" i="2"/>
  <c r="BB246" i="2"/>
  <c r="AP246" i="2"/>
  <c r="CX246" i="2"/>
  <c r="CL246" i="2"/>
  <c r="AD246" i="2"/>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I25" i="2"/>
  <c r="CG25" i="2"/>
  <c r="BW26" i="2"/>
  <c r="BU26" i="2"/>
  <c r="BW25" i="2"/>
  <c r="BU25" i="2"/>
  <c r="BK26" i="2"/>
  <c r="BI26" i="2"/>
  <c r="BK25" i="2"/>
  <c r="BI25" i="2"/>
  <c r="AY26" i="2"/>
  <c r="AW26" i="2"/>
  <c r="AY25" i="2"/>
  <c r="AW25" i="2"/>
  <c r="AM26" i="2"/>
  <c r="AK26" i="2"/>
  <c r="AM25" i="2"/>
  <c r="AK25" i="2"/>
  <c r="AA26" i="2"/>
  <c r="Y26" i="2"/>
  <c r="AA25" i="2"/>
  <c r="Y25" i="2"/>
  <c r="O26" i="2"/>
  <c r="M26" i="2"/>
  <c r="O25" i="2"/>
  <c r="M25" i="2"/>
  <c r="C25" i="2"/>
  <c r="A26" i="2"/>
  <c r="C26" i="2"/>
  <c r="A25" i="2"/>
  <c r="DD311" i="2" l="1"/>
  <c r="DC311" i="2"/>
  <c r="DB311" i="2"/>
  <c r="DA311" i="2"/>
  <c r="CZ311" i="2"/>
  <c r="CY311" i="2"/>
  <c r="CX311" i="2"/>
  <c r="CW311" i="2"/>
  <c r="CV311" i="2"/>
  <c r="CU311" i="2"/>
  <c r="DD168" i="2"/>
  <c r="DC168" i="2"/>
  <c r="DB168" i="2"/>
  <c r="DA168" i="2"/>
  <c r="CZ168" i="2"/>
  <c r="CY168" i="2"/>
  <c r="CX168" i="2"/>
  <c r="CW168" i="2"/>
  <c r="CV168" i="2"/>
  <c r="CU168" i="2"/>
  <c r="DD20" i="2"/>
  <c r="DC20" i="2"/>
  <c r="DB20" i="2"/>
  <c r="DA20" i="2"/>
  <c r="CZ20" i="2"/>
  <c r="CY20" i="2"/>
  <c r="CX20" i="2"/>
  <c r="CW20" i="2"/>
  <c r="CV20" i="2"/>
  <c r="CU20"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F20" i="2"/>
  <c r="CE20" i="2"/>
  <c r="CD20" i="2"/>
  <c r="CC20" i="2"/>
  <c r="CB20" i="2"/>
  <c r="CA20" i="2"/>
  <c r="BZ20" i="2"/>
  <c r="BY20" i="2"/>
  <c r="BX20" i="2"/>
  <c r="BW20" i="2"/>
  <c r="CF19" i="2"/>
  <c r="CE19" i="2"/>
  <c r="CD19" i="2"/>
  <c r="CC19" i="2"/>
  <c r="CB19" i="2"/>
  <c r="CA19" i="2"/>
  <c r="BZ19" i="2"/>
  <c r="BY19" i="2"/>
  <c r="BX19" i="2"/>
  <c r="BW19" i="2"/>
  <c r="BT20" i="2"/>
  <c r="BS20" i="2"/>
  <c r="BR20" i="2"/>
  <c r="BQ20" i="2"/>
  <c r="BP20" i="2"/>
  <c r="BO20" i="2"/>
  <c r="BN20" i="2"/>
  <c r="BM20" i="2"/>
  <c r="BL20" i="2"/>
  <c r="BK20" i="2"/>
  <c r="BT19" i="2"/>
  <c r="BS19" i="2"/>
  <c r="BR19" i="2"/>
  <c r="BQ19" i="2"/>
  <c r="BP19" i="2"/>
  <c r="BO19" i="2"/>
  <c r="BN19" i="2"/>
  <c r="BM19" i="2"/>
  <c r="BL19" i="2"/>
  <c r="BK19" i="2"/>
  <c r="BH20" i="2"/>
  <c r="BG20" i="2"/>
  <c r="BF20" i="2"/>
  <c r="BE20" i="2"/>
  <c r="BD20" i="2"/>
  <c r="BC20" i="2"/>
  <c r="BB20" i="2"/>
  <c r="BA20" i="2"/>
  <c r="AZ20" i="2"/>
  <c r="AY20" i="2"/>
  <c r="BH19" i="2"/>
  <c r="BG19" i="2"/>
  <c r="BF19" i="2"/>
  <c r="BE19" i="2"/>
  <c r="BD19" i="2"/>
  <c r="BC19" i="2"/>
  <c r="BB19" i="2"/>
  <c r="BA19" i="2"/>
  <c r="AZ19" i="2"/>
  <c r="AY19" i="2"/>
  <c r="AV20" i="2"/>
  <c r="AU20" i="2"/>
  <c r="AT20" i="2"/>
  <c r="AS20" i="2"/>
  <c r="AR20" i="2"/>
  <c r="AQ20" i="2"/>
  <c r="AP20" i="2"/>
  <c r="AO20" i="2"/>
  <c r="AN20" i="2"/>
  <c r="AM20" i="2"/>
  <c r="AV19" i="2"/>
  <c r="AU19" i="2"/>
  <c r="AT19" i="2"/>
  <c r="AS19" i="2"/>
  <c r="AR19" i="2"/>
  <c r="AQ19" i="2"/>
  <c r="AP19" i="2"/>
  <c r="AO19" i="2"/>
  <c r="AN19" i="2"/>
  <c r="AM19" i="2"/>
  <c r="AJ20" i="2"/>
  <c r="AI20" i="2"/>
  <c r="AH20" i="2"/>
  <c r="AG20" i="2"/>
  <c r="AF20" i="2"/>
  <c r="AE20" i="2"/>
  <c r="AD20" i="2"/>
  <c r="AC20" i="2"/>
  <c r="AB20" i="2"/>
  <c r="AA20" i="2"/>
  <c r="AJ19" i="2"/>
  <c r="AI19" i="2"/>
  <c r="AH19" i="2"/>
  <c r="AG19" i="2"/>
  <c r="AF19" i="2"/>
  <c r="AE19" i="2"/>
  <c r="AD19" i="2"/>
  <c r="AC19" i="2"/>
  <c r="AB19" i="2"/>
  <c r="AA19" i="2"/>
  <c r="X20" i="2"/>
  <c r="W20" i="2"/>
  <c r="V20" i="2"/>
  <c r="U20" i="2"/>
  <c r="T20" i="2"/>
  <c r="S20" i="2"/>
  <c r="R20" i="2"/>
  <c r="Q20" i="2"/>
  <c r="P20" i="2"/>
  <c r="O20" i="2"/>
  <c r="X19" i="2"/>
  <c r="W19" i="2"/>
  <c r="V19" i="2"/>
  <c r="U19" i="2"/>
  <c r="T19" i="2"/>
  <c r="S19" i="2"/>
  <c r="R19" i="2"/>
  <c r="Q19" i="2"/>
  <c r="P19" i="2"/>
  <c r="O19"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AP9" i="2" l="1"/>
  <c r="CL9" i="2"/>
  <c r="AD9" i="2"/>
  <c r="BZ9" i="2"/>
  <c r="R9" i="2"/>
  <c r="BN9" i="2"/>
  <c r="DJ9" i="2"/>
  <c r="BB9" i="2"/>
  <c r="CX9" i="2"/>
  <c r="F9" i="2"/>
  <c r="DJ8" i="2"/>
  <c r="CX8" i="2"/>
  <c r="CL8" i="2"/>
  <c r="BZ8" i="2"/>
  <c r="BN8" i="2"/>
  <c r="BB8" i="2"/>
  <c r="AP8" i="2"/>
  <c r="AD8" i="2"/>
  <c r="R8" i="2"/>
  <c r="F8" i="2"/>
  <c r="DE5" i="2" l="1"/>
  <c r="CS5" i="2"/>
  <c r="CG5" i="2"/>
  <c r="BU5" i="2"/>
  <c r="BI5" i="2"/>
  <c r="AW5" i="2"/>
  <c r="AK5" i="2"/>
  <c r="Y5" i="2"/>
  <c r="Y102" i="2" s="1"/>
  <c r="M5" i="2"/>
  <c r="DP451" i="2"/>
  <c r="DP452" i="2" s="1"/>
  <c r="DP453" i="2" s="1"/>
  <c r="DO450" i="2"/>
  <c r="DO451" i="2" s="1"/>
  <c r="DO452" i="2" s="1"/>
  <c r="DO453" i="2" s="1"/>
  <c r="DN450" i="2"/>
  <c r="DN451" i="2" s="1"/>
  <c r="DN452" i="2" s="1"/>
  <c r="DN453" i="2" s="1"/>
  <c r="DM450" i="2"/>
  <c r="DM451"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N272" i="2"/>
  <c r="DN273" i="2" s="1"/>
  <c r="DM272" i="2"/>
  <c r="DM273" i="2" s="1"/>
  <c r="DL272" i="2"/>
  <c r="DL273" i="2" s="1"/>
  <c r="DK272" i="2"/>
  <c r="DK273" i="2" s="1"/>
  <c r="DJ272" i="2"/>
  <c r="DJ273" i="2" s="1"/>
  <c r="DI272" i="2"/>
  <c r="DI273" i="2" s="1"/>
  <c r="DH272" i="2"/>
  <c r="DH273" i="2" s="1"/>
  <c r="DG272" i="2"/>
  <c r="DG273" i="2" s="1"/>
  <c r="DP238" i="2"/>
  <c r="DP239" i="2" s="1"/>
  <c r="DP240" i="2" s="1"/>
  <c r="DO237" i="2"/>
  <c r="DO238" i="2" s="1"/>
  <c r="DN237" i="2"/>
  <c r="DN238" i="2" s="1"/>
  <c r="DM237" i="2"/>
  <c r="DM238" i="2" s="1"/>
  <c r="DL237" i="2"/>
  <c r="DL238" i="2" s="1"/>
  <c r="DK237" i="2"/>
  <c r="DK238" i="2" s="1"/>
  <c r="DJ237" i="2"/>
  <c r="DJ238" i="2" s="1"/>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46" i="2"/>
  <c r="DI146" i="2"/>
  <c r="DH146" i="2"/>
  <c r="DG146" i="2"/>
  <c r="DL145" i="2"/>
  <c r="DK145" i="2"/>
  <c r="DJ145" i="2"/>
  <c r="DI145" i="2"/>
  <c r="DH158" i="2" s="1"/>
  <c r="DH145" i="2"/>
  <c r="DG145" i="2"/>
  <c r="DM144" i="2"/>
  <c r="DL144" i="2"/>
  <c r="DK144" i="2"/>
  <c r="DJ144" i="2"/>
  <c r="DI144" i="2"/>
  <c r="DH144" i="2"/>
  <c r="DG157" i="2" s="1"/>
  <c r="DG144" i="2"/>
  <c r="DN143" i="2"/>
  <c r="DM143" i="2"/>
  <c r="DL143" i="2"/>
  <c r="DK143" i="2"/>
  <c r="DJ143" i="2"/>
  <c r="DI143" i="2"/>
  <c r="DH143" i="2"/>
  <c r="DG156" i="2" s="1"/>
  <c r="DG143" i="2"/>
  <c r="DO142" i="2"/>
  <c r="DN142" i="2"/>
  <c r="DM142" i="2"/>
  <c r="DL142" i="2"/>
  <c r="DK142" i="2"/>
  <c r="DJ142" i="2"/>
  <c r="DI142" i="2"/>
  <c r="DH155" i="2" s="1"/>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291" i="2"/>
  <c r="CX290" i="2"/>
  <c r="CW290" i="2"/>
  <c r="CV290" i="2"/>
  <c r="CU290" i="2"/>
  <c r="CY289" i="2"/>
  <c r="CX289" i="2"/>
  <c r="CW289" i="2"/>
  <c r="CV289" i="2"/>
  <c r="CU289" i="2"/>
  <c r="CZ288" i="2"/>
  <c r="CY288" i="2"/>
  <c r="CX288" i="2"/>
  <c r="CW288" i="2"/>
  <c r="CV288" i="2"/>
  <c r="CU288" i="2"/>
  <c r="DA287" i="2"/>
  <c r="CZ287" i="2"/>
  <c r="CY287" i="2"/>
  <c r="CX287" i="2"/>
  <c r="CW287" i="2"/>
  <c r="CV287" i="2"/>
  <c r="CU287" i="2"/>
  <c r="DB286" i="2"/>
  <c r="DA286" i="2"/>
  <c r="CZ286" i="2"/>
  <c r="CY286" i="2"/>
  <c r="CX286" i="2"/>
  <c r="CW286" i="2"/>
  <c r="CV286" i="2"/>
  <c r="CU286" i="2"/>
  <c r="DC285" i="2"/>
  <c r="DB285" i="2"/>
  <c r="DA285" i="2"/>
  <c r="CZ285" i="2"/>
  <c r="CY285" i="2"/>
  <c r="CX285" i="2"/>
  <c r="CW285" i="2"/>
  <c r="CV285" i="2"/>
  <c r="CU285" i="2"/>
  <c r="DD284" i="2"/>
  <c r="DC284" i="2"/>
  <c r="DB284" i="2"/>
  <c r="DA284" i="2"/>
  <c r="CZ284" i="2"/>
  <c r="CY284" i="2"/>
  <c r="CX284" i="2"/>
  <c r="CW284" i="2"/>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47" i="2"/>
  <c r="CU147" i="2"/>
  <c r="CY146" i="2"/>
  <c r="CX146" i="2"/>
  <c r="CW146" i="2"/>
  <c r="CV146" i="2"/>
  <c r="CU146" i="2"/>
  <c r="CZ145" i="2"/>
  <c r="CY145" i="2"/>
  <c r="CX145" i="2"/>
  <c r="CW145" i="2"/>
  <c r="CV145" i="2"/>
  <c r="CU145" i="2"/>
  <c r="DA144" i="2"/>
  <c r="CZ144" i="2"/>
  <c r="CY144" i="2"/>
  <c r="CX144" i="2"/>
  <c r="CW144" i="2"/>
  <c r="CV144" i="2"/>
  <c r="CU144" i="2"/>
  <c r="DB143" i="2"/>
  <c r="DA143" i="2"/>
  <c r="CZ143" i="2"/>
  <c r="CY143" i="2"/>
  <c r="CX143" i="2"/>
  <c r="CW143" i="2"/>
  <c r="CV143" i="2"/>
  <c r="CU143" i="2"/>
  <c r="DC142" i="2"/>
  <c r="DB142" i="2"/>
  <c r="DA142" i="2"/>
  <c r="CZ142" i="2"/>
  <c r="CY142" i="2"/>
  <c r="CX142" i="2"/>
  <c r="CW142" i="2"/>
  <c r="CV142" i="2"/>
  <c r="CU142" i="2"/>
  <c r="DD141" i="2"/>
  <c r="DC141" i="2"/>
  <c r="DB141" i="2"/>
  <c r="DA141" i="2"/>
  <c r="CZ141" i="2"/>
  <c r="CY141" i="2"/>
  <c r="CX141" i="2"/>
  <c r="CW141" i="2"/>
  <c r="CV141" i="2"/>
  <c r="CU141" i="2"/>
  <c r="DD130" i="2"/>
  <c r="DD131" i="2" s="1"/>
  <c r="DD132" i="2" s="1"/>
  <c r="DC129" i="2"/>
  <c r="DC130"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303" i="2" s="1"/>
  <c r="CJ290" i="2"/>
  <c r="CI290" i="2"/>
  <c r="CM289" i="2"/>
  <c r="CL289" i="2"/>
  <c r="CK289" i="2"/>
  <c r="CJ289" i="2"/>
  <c r="CI289" i="2"/>
  <c r="CN288" i="2"/>
  <c r="CM301" i="2" s="1"/>
  <c r="CM288" i="2"/>
  <c r="CL288" i="2"/>
  <c r="CK288" i="2"/>
  <c r="CJ288" i="2"/>
  <c r="CI288" i="2"/>
  <c r="CO287" i="2"/>
  <c r="CN287" i="2"/>
  <c r="CM287" i="2"/>
  <c r="CL300" i="2" s="1"/>
  <c r="CL287" i="2"/>
  <c r="CK287" i="2"/>
  <c r="CJ287" i="2"/>
  <c r="CI287" i="2"/>
  <c r="CP286" i="2"/>
  <c r="CO286" i="2"/>
  <c r="CN286" i="2"/>
  <c r="CM286" i="2"/>
  <c r="CL299" i="2" s="1"/>
  <c r="CL286" i="2"/>
  <c r="CK286" i="2"/>
  <c r="CJ286" i="2"/>
  <c r="CI286" i="2"/>
  <c r="CQ285" i="2"/>
  <c r="CP285" i="2"/>
  <c r="CO285" i="2"/>
  <c r="CN285" i="2"/>
  <c r="CM298" i="2" s="1"/>
  <c r="CM285" i="2"/>
  <c r="CL285" i="2"/>
  <c r="CK285" i="2"/>
  <c r="CJ285" i="2"/>
  <c r="CI285" i="2"/>
  <c r="CR284" i="2"/>
  <c r="CQ284" i="2"/>
  <c r="CP284" i="2"/>
  <c r="CO297" i="2" s="1"/>
  <c r="CO284" i="2"/>
  <c r="CN284" i="2"/>
  <c r="CM284" i="2"/>
  <c r="CL284" i="2"/>
  <c r="CK284" i="2"/>
  <c r="CJ284" i="2"/>
  <c r="CI284" i="2"/>
  <c r="CR273" i="2"/>
  <c r="CR274" i="2" s="1"/>
  <c r="CR275" i="2" s="1"/>
  <c r="CQ272" i="2"/>
  <c r="CQ273" i="2" s="1"/>
  <c r="CP272" i="2"/>
  <c r="CP273" i="2" s="1"/>
  <c r="CO272" i="2"/>
  <c r="CO273" i="2" s="1"/>
  <c r="CN272" i="2"/>
  <c r="CN273" i="2" s="1"/>
  <c r="CM272" i="2"/>
  <c r="CM273" i="2" s="1"/>
  <c r="CL272" i="2"/>
  <c r="CL273" i="2" s="1"/>
  <c r="CK272" i="2"/>
  <c r="CK273" i="2" s="1"/>
  <c r="CJ272" i="2"/>
  <c r="CJ273" i="2" s="1"/>
  <c r="CI272" i="2"/>
  <c r="CI273" i="2" s="1"/>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I14"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I17"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I15" i="2"/>
  <c r="CI16" i="2" s="1"/>
  <c r="CI13"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84" i="2"/>
  <c r="BX284" i="2"/>
  <c r="BW284" i="2"/>
  <c r="CF273" i="2"/>
  <c r="CF274" i="2" s="1"/>
  <c r="CF275" i="2" s="1"/>
  <c r="CE272" i="2"/>
  <c r="CE273" i="2" s="1"/>
  <c r="CD272" i="2"/>
  <c r="CD273" i="2" s="1"/>
  <c r="CC272" i="2"/>
  <c r="CC273" i="2" s="1"/>
  <c r="CB272" i="2"/>
  <c r="CB273" i="2" s="1"/>
  <c r="CA272" i="2"/>
  <c r="CA273" i="2" s="1"/>
  <c r="BZ272" i="2"/>
  <c r="BZ273" i="2" s="1"/>
  <c r="BY272" i="2"/>
  <c r="BY273" i="2" s="1"/>
  <c r="BX272" i="2"/>
  <c r="BX273" i="2" s="1"/>
  <c r="BW272" i="2"/>
  <c r="BW273" i="2" s="1"/>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BW17" i="2" s="1"/>
  <c r="BW21"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BW14" i="2"/>
  <c r="BW13"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289" i="2"/>
  <c r="BM289" i="2"/>
  <c r="BL289" i="2"/>
  <c r="BK289" i="2"/>
  <c r="BP288" i="2"/>
  <c r="BO288" i="2"/>
  <c r="BN301" i="2" s="1"/>
  <c r="BN288" i="2"/>
  <c r="BM288" i="2"/>
  <c r="BL288" i="2"/>
  <c r="BK288" i="2"/>
  <c r="BQ287" i="2"/>
  <c r="BP287" i="2"/>
  <c r="BO287" i="2"/>
  <c r="BN287" i="2"/>
  <c r="BM300" i="2" s="1"/>
  <c r="BM287" i="2"/>
  <c r="BL287" i="2"/>
  <c r="BK287" i="2"/>
  <c r="BR286" i="2"/>
  <c r="BQ286" i="2"/>
  <c r="BP286" i="2"/>
  <c r="BO286" i="2"/>
  <c r="BN286" i="2"/>
  <c r="BM299" i="2" s="1"/>
  <c r="BM286" i="2"/>
  <c r="BL286" i="2"/>
  <c r="BK286" i="2"/>
  <c r="BS285" i="2"/>
  <c r="BR285" i="2"/>
  <c r="BQ285" i="2"/>
  <c r="BP285" i="2"/>
  <c r="BO285" i="2"/>
  <c r="BN298" i="2" s="1"/>
  <c r="BN285" i="2"/>
  <c r="BM285" i="2"/>
  <c r="BL285" i="2"/>
  <c r="BK285" i="2"/>
  <c r="BT284" i="2"/>
  <c r="BS284" i="2"/>
  <c r="BR284" i="2"/>
  <c r="BQ284" i="2"/>
  <c r="BP297" i="2" s="1"/>
  <c r="BP284" i="2"/>
  <c r="BO284" i="2"/>
  <c r="BN284" i="2"/>
  <c r="BM284" i="2"/>
  <c r="BL284" i="2"/>
  <c r="BK284" i="2"/>
  <c r="BT273" i="2"/>
  <c r="BT274" i="2" s="1"/>
  <c r="BT275" i="2" s="1"/>
  <c r="BS272" i="2"/>
  <c r="BS273"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48" i="2"/>
  <c r="BN147" i="2"/>
  <c r="BM147" i="2"/>
  <c r="BL147" i="2"/>
  <c r="BK147" i="2"/>
  <c r="BO146" i="2"/>
  <c r="BN146" i="2"/>
  <c r="BM146" i="2"/>
  <c r="BL146" i="2"/>
  <c r="BK146" i="2"/>
  <c r="BP145" i="2"/>
  <c r="BO145" i="2"/>
  <c r="BN145" i="2"/>
  <c r="BM145" i="2"/>
  <c r="BL145" i="2"/>
  <c r="BK145" i="2"/>
  <c r="BQ144" i="2"/>
  <c r="BP144" i="2"/>
  <c r="BO144" i="2"/>
  <c r="BN144" i="2"/>
  <c r="BM144" i="2"/>
  <c r="BL144" i="2"/>
  <c r="BK144" i="2"/>
  <c r="BR143" i="2"/>
  <c r="BQ143" i="2"/>
  <c r="BP143" i="2"/>
  <c r="BO143" i="2"/>
  <c r="BN143" i="2"/>
  <c r="BM143" i="2"/>
  <c r="BL143" i="2"/>
  <c r="BK143" i="2"/>
  <c r="BS142" i="2"/>
  <c r="BR142" i="2"/>
  <c r="BQ142" i="2"/>
  <c r="BP142" i="2"/>
  <c r="BO142" i="2"/>
  <c r="BN142" i="2"/>
  <c r="BM142" i="2"/>
  <c r="BL142" i="2"/>
  <c r="BK142" i="2"/>
  <c r="BT141" i="2"/>
  <c r="BS141" i="2"/>
  <c r="BR141" i="2"/>
  <c r="BQ141" i="2"/>
  <c r="BP141" i="2"/>
  <c r="BO141" i="2"/>
  <c r="BN141" i="2"/>
  <c r="BM141" i="2"/>
  <c r="BL141" i="2"/>
  <c r="BK141" i="2"/>
  <c r="BT130" i="2"/>
  <c r="BT131" i="2" s="1"/>
  <c r="BT132" i="2" s="1"/>
  <c r="BK17" i="2" s="1"/>
  <c r="BK21" i="2" s="1"/>
  <c r="BS129" i="2"/>
  <c r="BS130" i="2" s="1"/>
  <c r="BR129" i="2"/>
  <c r="BR130" i="2" s="1"/>
  <c r="BQ129" i="2"/>
  <c r="BQ130" i="2" s="1"/>
  <c r="BP129" i="2"/>
  <c r="BP130" i="2" s="1"/>
  <c r="BO129" i="2"/>
  <c r="BO130" i="2" s="1"/>
  <c r="BN129" i="2"/>
  <c r="BN130" i="2" s="1"/>
  <c r="BM129" i="2"/>
  <c r="BM130" i="2" s="1"/>
  <c r="BL129" i="2"/>
  <c r="BL130" i="2" s="1"/>
  <c r="BK129" i="2"/>
  <c r="BK130" i="2" s="1"/>
  <c r="BT95" i="2"/>
  <c r="BT96" i="2" s="1"/>
  <c r="BT97" i="2" s="1"/>
  <c r="BS94" i="2"/>
  <c r="BS95" i="2" s="1"/>
  <c r="BR94" i="2"/>
  <c r="BR95" i="2" s="1"/>
  <c r="BQ94" i="2"/>
  <c r="BQ95" i="2" s="1"/>
  <c r="BP94" i="2"/>
  <c r="BP95" i="2" s="1"/>
  <c r="BO94" i="2"/>
  <c r="BO95" i="2" s="1"/>
  <c r="BN94" i="2"/>
  <c r="BN95" i="2" s="1"/>
  <c r="BM94" i="2"/>
  <c r="BM95" i="2" s="1"/>
  <c r="BL94" i="2"/>
  <c r="BL95" i="2" s="1"/>
  <c r="BK94" i="2"/>
  <c r="BK95" i="2" s="1"/>
  <c r="BI67" i="2"/>
  <c r="BT60" i="2"/>
  <c r="BT61" i="2" s="1"/>
  <c r="BT62" i="2" s="1"/>
  <c r="BO60" i="2"/>
  <c r="BS59" i="2"/>
  <c r="BS60" i="2" s="1"/>
  <c r="BR59" i="2"/>
  <c r="BR60" i="2" s="1"/>
  <c r="BQ59" i="2"/>
  <c r="BQ60" i="2" s="1"/>
  <c r="BP59" i="2"/>
  <c r="BP60" i="2" s="1"/>
  <c r="BO59" i="2"/>
  <c r="BN59" i="2"/>
  <c r="BN60" i="2" s="1"/>
  <c r="BM59" i="2"/>
  <c r="BM60" i="2" s="1"/>
  <c r="BL59" i="2"/>
  <c r="BL60" i="2" s="1"/>
  <c r="BK59" i="2"/>
  <c r="BK60" i="2" s="1"/>
  <c r="BI45" i="2"/>
  <c r="BI44" i="2" s="1"/>
  <c r="BI43" i="2" s="1"/>
  <c r="BI42" i="2" s="1"/>
  <c r="BI41" i="2" s="1"/>
  <c r="BI40" i="2" s="1"/>
  <c r="BI39" i="2" s="1"/>
  <c r="BI38" i="2" s="1"/>
  <c r="BI37" i="2" s="1"/>
  <c r="BI36" i="2" s="1"/>
  <c r="BK35" i="2"/>
  <c r="BJ35" i="2" s="1"/>
  <c r="BI32" i="2"/>
  <c r="BK15" i="2"/>
  <c r="BK16" i="2" s="1"/>
  <c r="BK14" i="2"/>
  <c r="BK13"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289" i="2"/>
  <c r="BD288" i="2"/>
  <c r="BC288" i="2"/>
  <c r="BB288" i="2"/>
  <c r="BA288" i="2"/>
  <c r="AZ288" i="2"/>
  <c r="AY288" i="2"/>
  <c r="BE287" i="2"/>
  <c r="BD287" i="2"/>
  <c r="BC287" i="2"/>
  <c r="BB287" i="2"/>
  <c r="BA287" i="2"/>
  <c r="AZ287" i="2"/>
  <c r="AY287" i="2"/>
  <c r="BF286" i="2"/>
  <c r="BE286" i="2"/>
  <c r="BD286" i="2"/>
  <c r="BC286" i="2"/>
  <c r="BB286" i="2"/>
  <c r="BA286" i="2"/>
  <c r="AZ286" i="2"/>
  <c r="AY286" i="2"/>
  <c r="BG285" i="2"/>
  <c r="BF285" i="2"/>
  <c r="BE285" i="2"/>
  <c r="BD285" i="2"/>
  <c r="BC285" i="2"/>
  <c r="BB285" i="2"/>
  <c r="BA285" i="2"/>
  <c r="AZ285" i="2"/>
  <c r="AY285" i="2"/>
  <c r="BH284" i="2"/>
  <c r="BG284" i="2"/>
  <c r="BF284" i="2"/>
  <c r="BE284" i="2"/>
  <c r="BD284" i="2"/>
  <c r="BC284" i="2"/>
  <c r="BB284" i="2"/>
  <c r="BA284" i="2"/>
  <c r="AZ284" i="2"/>
  <c r="AY284" i="2"/>
  <c r="AW280" i="2"/>
  <c r="BH273" i="2"/>
  <c r="BH274" i="2" s="1"/>
  <c r="BH275" i="2" s="1"/>
  <c r="BG272" i="2"/>
  <c r="BG273"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F202" i="2"/>
  <c r="BF203"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AY17" i="2" s="1"/>
  <c r="AY21" i="2" s="1"/>
  <c r="BG129" i="2"/>
  <c r="BG130" i="2" s="1"/>
  <c r="BF129" i="2"/>
  <c r="BF130" i="2" s="1"/>
  <c r="BE129" i="2"/>
  <c r="BE130" i="2" s="1"/>
  <c r="BD129" i="2"/>
  <c r="BD130" i="2" s="1"/>
  <c r="BC129" i="2"/>
  <c r="BC130" i="2" s="1"/>
  <c r="BB129" i="2"/>
  <c r="BB130" i="2" s="1"/>
  <c r="BA129" i="2"/>
  <c r="BA130" i="2" s="1"/>
  <c r="AZ129" i="2"/>
  <c r="AZ130" i="2" s="1"/>
  <c r="AY129" i="2"/>
  <c r="AY130" i="2" s="1"/>
  <c r="BH95" i="2"/>
  <c r="BH96" i="2" s="1"/>
  <c r="BH97" i="2" s="1"/>
  <c r="BG94" i="2"/>
  <c r="BG95" i="2" s="1"/>
  <c r="BF94" i="2"/>
  <c r="BF95" i="2" s="1"/>
  <c r="BE94" i="2"/>
  <c r="BE95" i="2" s="1"/>
  <c r="BD94" i="2"/>
  <c r="BD95" i="2" s="1"/>
  <c r="BC94" i="2"/>
  <c r="BC95" i="2" s="1"/>
  <c r="BB94" i="2"/>
  <c r="BB95" i="2" s="1"/>
  <c r="BA94" i="2"/>
  <c r="BA95" i="2" s="1"/>
  <c r="AZ94" i="2"/>
  <c r="AZ95" i="2" s="1"/>
  <c r="AY94" i="2"/>
  <c r="AY95" i="2" s="1"/>
  <c r="AW67" i="2"/>
  <c r="BH60" i="2"/>
  <c r="BH61" i="2" s="1"/>
  <c r="BH62" i="2" s="1"/>
  <c r="BG59" i="2"/>
  <c r="BG60"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AY15" i="2"/>
  <c r="AY16" i="2" s="1"/>
  <c r="AY14" i="2"/>
  <c r="AY13"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290" i="2"/>
  <c r="AM290" i="2"/>
  <c r="AQ289" i="2"/>
  <c r="AP289" i="2"/>
  <c r="AO289" i="2"/>
  <c r="AN289" i="2"/>
  <c r="AM289" i="2"/>
  <c r="AR288" i="2"/>
  <c r="AQ288" i="2"/>
  <c r="AP288" i="2"/>
  <c r="AO288" i="2"/>
  <c r="AN288" i="2"/>
  <c r="AM288" i="2"/>
  <c r="AS287" i="2"/>
  <c r="AR287" i="2"/>
  <c r="AQ287" i="2"/>
  <c r="AP287" i="2"/>
  <c r="AO287" i="2"/>
  <c r="AN287" i="2"/>
  <c r="AM287" i="2"/>
  <c r="AT286" i="2"/>
  <c r="AS286" i="2"/>
  <c r="AR286" i="2"/>
  <c r="AQ286" i="2"/>
  <c r="AP286" i="2"/>
  <c r="AO286" i="2"/>
  <c r="AN286" i="2"/>
  <c r="AM286" i="2"/>
  <c r="AU285" i="2"/>
  <c r="AT285" i="2"/>
  <c r="AS285" i="2"/>
  <c r="AR285" i="2"/>
  <c r="AQ285" i="2"/>
  <c r="AP285" i="2"/>
  <c r="AO285" i="2"/>
  <c r="AN285" i="2"/>
  <c r="AM285" i="2"/>
  <c r="AV284" i="2"/>
  <c r="AU297" i="2" s="1"/>
  <c r="AU284" i="2"/>
  <c r="AT284" i="2"/>
  <c r="AS284" i="2"/>
  <c r="AR284" i="2"/>
  <c r="AQ284" i="2"/>
  <c r="AP284" i="2"/>
  <c r="AO284" i="2"/>
  <c r="AN284" i="2"/>
  <c r="AM297" i="2" s="1"/>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48" i="2"/>
  <c r="AP147" i="2"/>
  <c r="AO147" i="2"/>
  <c r="AN147" i="2"/>
  <c r="AM147" i="2"/>
  <c r="AQ146" i="2"/>
  <c r="AP146" i="2"/>
  <c r="AO146" i="2"/>
  <c r="AN146" i="2"/>
  <c r="AM146" i="2"/>
  <c r="AR145" i="2"/>
  <c r="AQ145" i="2"/>
  <c r="AP145" i="2"/>
  <c r="AO145" i="2"/>
  <c r="AN145" i="2"/>
  <c r="AM145" i="2"/>
  <c r="AS144" i="2"/>
  <c r="AR144" i="2"/>
  <c r="AQ144" i="2"/>
  <c r="AP144" i="2"/>
  <c r="AO144" i="2"/>
  <c r="AN144" i="2"/>
  <c r="AM144" i="2"/>
  <c r="AT143" i="2"/>
  <c r="AS143" i="2"/>
  <c r="AR143" i="2"/>
  <c r="AQ143" i="2"/>
  <c r="AP143" i="2"/>
  <c r="AO143" i="2"/>
  <c r="AN143" i="2"/>
  <c r="AM143" i="2"/>
  <c r="AU142" i="2"/>
  <c r="AT142" i="2"/>
  <c r="AS142" i="2"/>
  <c r="AR142" i="2"/>
  <c r="AQ142" i="2"/>
  <c r="AP142" i="2"/>
  <c r="AO142" i="2"/>
  <c r="AN142" i="2"/>
  <c r="AM142" i="2"/>
  <c r="AV141" i="2"/>
  <c r="AU141" i="2"/>
  <c r="AT141" i="2"/>
  <c r="AS141" i="2"/>
  <c r="AR141" i="2"/>
  <c r="AQ141" i="2"/>
  <c r="AP141" i="2"/>
  <c r="AO141" i="2"/>
  <c r="AN141" i="2"/>
  <c r="AM141" i="2"/>
  <c r="AV130" i="2"/>
  <c r="AV131" i="2" s="1"/>
  <c r="AV132" i="2" s="1"/>
  <c r="AM17" i="2" s="1"/>
  <c r="AM21"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M13"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M15" i="2"/>
  <c r="AM16" i="2" s="1"/>
  <c r="AM14"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E273" i="2"/>
  <c r="AI272" i="2"/>
  <c r="AI273" i="2" s="1"/>
  <c r="AH272" i="2"/>
  <c r="AH273" i="2" s="1"/>
  <c r="AG272" i="2"/>
  <c r="AG273" i="2" s="1"/>
  <c r="AF272" i="2"/>
  <c r="AF273" i="2" s="1"/>
  <c r="AE272" i="2"/>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A14"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43" i="2"/>
  <c r="AE143" i="2"/>
  <c r="AD143" i="2"/>
  <c r="AC143" i="2"/>
  <c r="AB143" i="2"/>
  <c r="AA143" i="2"/>
  <c r="AI142" i="2"/>
  <c r="AH142" i="2"/>
  <c r="AG142" i="2"/>
  <c r="AF142" i="2"/>
  <c r="AE142" i="2"/>
  <c r="AD142" i="2"/>
  <c r="AC142" i="2"/>
  <c r="AB142" i="2"/>
  <c r="AA142" i="2"/>
  <c r="AJ141" i="2"/>
  <c r="AI141" i="2"/>
  <c r="AH141" i="2"/>
  <c r="AG141" i="2"/>
  <c r="AF141" i="2"/>
  <c r="AE141" i="2"/>
  <c r="AD141" i="2"/>
  <c r="AC141" i="2"/>
  <c r="AB141" i="2"/>
  <c r="AA141" i="2"/>
  <c r="AJ130" i="2"/>
  <c r="AJ131" i="2" s="1"/>
  <c r="AJ132" i="2" s="1"/>
  <c r="AA17" i="2" s="1"/>
  <c r="AA21"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A15" i="2"/>
  <c r="AA16" i="2" s="1"/>
  <c r="AA13"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304" i="2" s="1"/>
  <c r="P291" i="2"/>
  <c r="O291" i="2"/>
  <c r="R290" i="2"/>
  <c r="Q290" i="2"/>
  <c r="P290" i="2"/>
  <c r="O290" i="2"/>
  <c r="S289" i="2"/>
  <c r="R289" i="2"/>
  <c r="Q302" i="2" s="1"/>
  <c r="Q289" i="2"/>
  <c r="P289" i="2"/>
  <c r="O289" i="2"/>
  <c r="T288" i="2"/>
  <c r="S288" i="2"/>
  <c r="R288" i="2"/>
  <c r="Q288" i="2"/>
  <c r="P288" i="2"/>
  <c r="O301" i="2" s="1"/>
  <c r="O288" i="2"/>
  <c r="U287" i="2"/>
  <c r="T287" i="2"/>
  <c r="S287" i="2"/>
  <c r="R287" i="2"/>
  <c r="Q287" i="2"/>
  <c r="P287" i="2"/>
  <c r="O287" i="2"/>
  <c r="V286" i="2"/>
  <c r="U286" i="2"/>
  <c r="T286" i="2"/>
  <c r="S286" i="2"/>
  <c r="R286" i="2"/>
  <c r="Q286" i="2"/>
  <c r="P286" i="2"/>
  <c r="O286" i="2"/>
  <c r="W285" i="2"/>
  <c r="V285" i="2"/>
  <c r="U285" i="2"/>
  <c r="T285" i="2"/>
  <c r="S285" i="2"/>
  <c r="R285" i="2"/>
  <c r="Q285" i="2"/>
  <c r="P285" i="2"/>
  <c r="O298" i="2" s="1"/>
  <c r="O285" i="2"/>
  <c r="X284" i="2"/>
  <c r="W284" i="2"/>
  <c r="V284" i="2"/>
  <c r="U284" i="2"/>
  <c r="T284" i="2"/>
  <c r="S284" i="2"/>
  <c r="R284" i="2"/>
  <c r="Q297" i="2" s="1"/>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O15" i="2" s="1"/>
  <c r="O16"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4" i="2"/>
  <c r="O13" i="2"/>
  <c r="O12" i="2"/>
  <c r="X11" i="2"/>
  <c r="W11" i="2" s="1"/>
  <c r="V11" i="2" s="1"/>
  <c r="U11" i="2" s="1"/>
  <c r="T11" i="2" s="1"/>
  <c r="S11" i="2" s="1"/>
  <c r="M8" i="2"/>
  <c r="M7" i="2"/>
  <c r="M280" i="2"/>
  <c r="AQ297" i="2" l="1"/>
  <c r="CI154" i="2"/>
  <c r="CQ154" i="2"/>
  <c r="CO155" i="2"/>
  <c r="CN156" i="2"/>
  <c r="CN157" i="2"/>
  <c r="CI159" i="2"/>
  <c r="CR311" i="2"/>
  <c r="CR168" i="2"/>
  <c r="CF168" i="2"/>
  <c r="CF311" i="2"/>
  <c r="BW15" i="2"/>
  <c r="BW16" i="2" s="1"/>
  <c r="BT311" i="2"/>
  <c r="BT168" i="2"/>
  <c r="BN154" i="2"/>
  <c r="BL155" i="2"/>
  <c r="BK156" i="2"/>
  <c r="BK157" i="2"/>
  <c r="BL158" i="2"/>
  <c r="BN159" i="2"/>
  <c r="BH311" i="2"/>
  <c r="BH168" i="2"/>
  <c r="AV311" i="2"/>
  <c r="AV168" i="2"/>
  <c r="AS297" i="2"/>
  <c r="AQ298" i="2"/>
  <c r="AP299" i="2"/>
  <c r="AP300" i="2"/>
  <c r="AQ301" i="2"/>
  <c r="AN303" i="2"/>
  <c r="AJ168" i="2"/>
  <c r="AJ311" i="2"/>
  <c r="AA159" i="2"/>
  <c r="AF157" i="2"/>
  <c r="AF156" i="2"/>
  <c r="AA154" i="2"/>
  <c r="AI154" i="2"/>
  <c r="AG155" i="2"/>
  <c r="X311" i="2"/>
  <c r="X168" i="2"/>
  <c r="CW303" i="2"/>
  <c r="T154" i="2"/>
  <c r="R155" i="2"/>
  <c r="Q156" i="2"/>
  <c r="Q157" i="2"/>
  <c r="R158" i="2"/>
  <c r="O160" i="2"/>
  <c r="CQ61" i="2"/>
  <c r="CQ62" i="2" s="1"/>
  <c r="CJ12" i="2" s="1"/>
  <c r="AS298" i="2"/>
  <c r="AR299" i="2"/>
  <c r="AR300" i="2"/>
  <c r="AM302" i="2"/>
  <c r="AU382" i="2"/>
  <c r="AU383" i="2" s="1"/>
  <c r="DJ159" i="2"/>
  <c r="BY297" i="2"/>
  <c r="AO298" i="2"/>
  <c r="AN299" i="2"/>
  <c r="AN300" i="2"/>
  <c r="AO301" i="2"/>
  <c r="AM305" i="2"/>
  <c r="AG154" i="2"/>
  <c r="AE155" i="2"/>
  <c r="AD156" i="2"/>
  <c r="AD157" i="2"/>
  <c r="AE158" i="2"/>
  <c r="AB160" i="2"/>
  <c r="AG297" i="2"/>
  <c r="AE298" i="2"/>
  <c r="AD299" i="2"/>
  <c r="AD300" i="2"/>
  <c r="AE301" i="2"/>
  <c r="AB303" i="2"/>
  <c r="CV297" i="2"/>
  <c r="DB298" i="2"/>
  <c r="CV302" i="2"/>
  <c r="CU304" i="2"/>
  <c r="DI154" i="2"/>
  <c r="DG155" i="2"/>
  <c r="DG158" i="2"/>
  <c r="DI159" i="2"/>
  <c r="AH61" i="2"/>
  <c r="AH62" i="2" s="1"/>
  <c r="AC12" i="2" s="1"/>
  <c r="BS274" i="2"/>
  <c r="BS275" i="2" s="1"/>
  <c r="CM154" i="2"/>
  <c r="CK155" i="2"/>
  <c r="CJ156" i="2"/>
  <c r="CJ157" i="2"/>
  <c r="CK158" i="2"/>
  <c r="CI162" i="2"/>
  <c r="DM452" i="2"/>
  <c r="DM453" i="2" s="1"/>
  <c r="CR310" i="2"/>
  <c r="BG204" i="2"/>
  <c r="BG205" i="2" s="1"/>
  <c r="AZ14" i="2" s="1"/>
  <c r="CO154" i="2"/>
  <c r="CM155" i="2"/>
  <c r="CL156" i="2"/>
  <c r="CL157" i="2"/>
  <c r="CM158" i="2"/>
  <c r="CJ160" i="2"/>
  <c r="AI274" i="2"/>
  <c r="AI275" i="2" s="1"/>
  <c r="BG61" i="2"/>
  <c r="BG62" i="2" s="1"/>
  <c r="AZ12" i="2" s="1"/>
  <c r="BT167" i="2"/>
  <c r="AE154" i="2"/>
  <c r="AC155" i="2"/>
  <c r="AB156" i="2"/>
  <c r="AB157" i="2"/>
  <c r="AC158" i="2"/>
  <c r="AA162" i="2"/>
  <c r="CQ382" i="2"/>
  <c r="CQ383" i="2" s="1"/>
  <c r="AU61" i="2"/>
  <c r="AU62" i="2" s="1"/>
  <c r="AN12" i="2" s="1"/>
  <c r="W297" i="2"/>
  <c r="O297" i="2"/>
  <c r="BA154" i="2"/>
  <c r="AY155" i="2"/>
  <c r="AY158" i="2"/>
  <c r="BA159" i="2"/>
  <c r="AZ161" i="2"/>
  <c r="BW297" i="2"/>
  <c r="CE297" i="2"/>
  <c r="CC298" i="2"/>
  <c r="CB299" i="2"/>
  <c r="CB300" i="2"/>
  <c r="BW302" i="2"/>
  <c r="CX297" i="2"/>
  <c r="CV298" i="2"/>
  <c r="CU299" i="2"/>
  <c r="CU300" i="2"/>
  <c r="CV301" i="2"/>
  <c r="DJ154" i="2"/>
  <c r="DJ297" i="2"/>
  <c r="DH298" i="2"/>
  <c r="DG299" i="2"/>
  <c r="DG300" i="2"/>
  <c r="DH301" i="2"/>
  <c r="DJ302" i="2"/>
  <c r="O302" i="2"/>
  <c r="AN154" i="2"/>
  <c r="AT155" i="2"/>
  <c r="AS156" i="2"/>
  <c r="AN159" i="2"/>
  <c r="AM161" i="2"/>
  <c r="BE131" i="2"/>
  <c r="AY297" i="2"/>
  <c r="BG297" i="2"/>
  <c r="BE298" i="2"/>
  <c r="BD299" i="2"/>
  <c r="BD300" i="2"/>
  <c r="AY302" i="2"/>
  <c r="BP154" i="2"/>
  <c r="BN155" i="2"/>
  <c r="BM156" i="2"/>
  <c r="BM157" i="2"/>
  <c r="BN158" i="2"/>
  <c r="BK160" i="2"/>
  <c r="BP298" i="2"/>
  <c r="BO299" i="2"/>
  <c r="BO300" i="2"/>
  <c r="BM303" i="2"/>
  <c r="BW154" i="2"/>
  <c r="CE154" i="2"/>
  <c r="CC155" i="2"/>
  <c r="CB156" i="2"/>
  <c r="CB157" i="2"/>
  <c r="BW159" i="2"/>
  <c r="CE382" i="2"/>
  <c r="CE383" i="2" s="1"/>
  <c r="CJ297" i="2"/>
  <c r="CP298" i="2"/>
  <c r="CO299" i="2"/>
  <c r="CJ302" i="2"/>
  <c r="CI304" i="2"/>
  <c r="CN417" i="2"/>
  <c r="CN418" i="2" s="1"/>
  <c r="DC96" i="2"/>
  <c r="DC97" i="2" s="1"/>
  <c r="CW154" i="2"/>
  <c r="CU155" i="2"/>
  <c r="CU158" i="2"/>
  <c r="CW159" i="2"/>
  <c r="CV161" i="2"/>
  <c r="DO274" i="2"/>
  <c r="DO275" i="2" s="1"/>
  <c r="U298" i="2"/>
  <c r="U307" i="2" s="1"/>
  <c r="U308" i="2" s="1"/>
  <c r="AR131" i="2"/>
  <c r="T300" i="2"/>
  <c r="BA297" i="2"/>
  <c r="AY298" i="2"/>
  <c r="AY301" i="2"/>
  <c r="BA302" i="2"/>
  <c r="AZ304" i="2"/>
  <c r="BY154" i="2"/>
  <c r="BW155" i="2"/>
  <c r="BW158" i="2"/>
  <c r="BY159" i="2"/>
  <c r="BX161" i="2"/>
  <c r="CL297" i="2"/>
  <c r="CJ298" i="2"/>
  <c r="CI299" i="2"/>
  <c r="CI300" i="2"/>
  <c r="CJ301" i="2"/>
  <c r="CL302" i="2"/>
  <c r="DC131" i="2"/>
  <c r="DC132" i="2" s="1"/>
  <c r="CY154" i="2"/>
  <c r="CW155" i="2"/>
  <c r="CV156" i="2"/>
  <c r="CV157" i="2"/>
  <c r="CW158" i="2"/>
  <c r="CU162" i="2"/>
  <c r="CX299" i="2"/>
  <c r="CX300" i="2"/>
  <c r="CY301" i="2"/>
  <c r="CV303" i="2"/>
  <c r="DM154" i="2"/>
  <c r="DK155" i="2"/>
  <c r="DJ156" i="2"/>
  <c r="DJ157" i="2"/>
  <c r="DK158" i="2"/>
  <c r="DH160" i="2"/>
  <c r="T299" i="2"/>
  <c r="U297" i="2"/>
  <c r="S298" i="2"/>
  <c r="R299" i="2"/>
  <c r="R300" i="2"/>
  <c r="S301" i="2"/>
  <c r="P303" i="2"/>
  <c r="BF204" i="2"/>
  <c r="BF205" i="2" s="1"/>
  <c r="BA14" i="2" s="1"/>
  <c r="BG274" i="2"/>
  <c r="BG275" i="2" s="1"/>
  <c r="BC297" i="2"/>
  <c r="BA298" i="2"/>
  <c r="AZ299" i="2"/>
  <c r="AZ300" i="2"/>
  <c r="BA301" i="2"/>
  <c r="AY305" i="2"/>
  <c r="BS96" i="2"/>
  <c r="BS97" i="2" s="1"/>
  <c r="BL13" i="2" s="1"/>
  <c r="BL154" i="2"/>
  <c r="BR155" i="2"/>
  <c r="BQ156" i="2"/>
  <c r="BL159" i="2"/>
  <c r="BK161" i="2"/>
  <c r="BN297" i="2"/>
  <c r="BL298" i="2"/>
  <c r="BK299" i="2"/>
  <c r="BK300" i="2"/>
  <c r="BL301" i="2"/>
  <c r="BN302" i="2"/>
  <c r="BQ452" i="2"/>
  <c r="BQ453" i="2" s="1"/>
  <c r="CN297" i="2"/>
  <c r="CL298" i="2"/>
  <c r="CK299" i="2"/>
  <c r="CK300" i="2"/>
  <c r="CL301" i="2"/>
  <c r="CI303" i="2"/>
  <c r="DA154" i="2"/>
  <c r="CY155" i="2"/>
  <c r="CX156" i="2"/>
  <c r="CX157" i="2"/>
  <c r="CY158" i="2"/>
  <c r="CV160" i="2"/>
  <c r="R11" i="2"/>
  <c r="Q11" i="2" s="1"/>
  <c r="P11" i="2" s="1"/>
  <c r="O11" i="2" s="1"/>
  <c r="DA299" i="2"/>
  <c r="T155" i="2"/>
  <c r="S156" i="2"/>
  <c r="S157" i="2"/>
  <c r="Q160" i="2"/>
  <c r="AA297" i="2"/>
  <c r="AI297" i="2"/>
  <c r="AI307" i="2" s="1"/>
  <c r="AI308" i="2" s="1"/>
  <c r="AI309" i="2" s="1"/>
  <c r="AI310" i="2" s="1"/>
  <c r="AG298" i="2"/>
  <c r="AF299" i="2"/>
  <c r="AF300" i="2"/>
  <c r="AA302" i="2"/>
  <c r="AI452" i="2"/>
  <c r="AI453" i="2" s="1"/>
  <c r="AU96" i="2"/>
  <c r="AU97" i="2" s="1"/>
  <c r="AN13" i="2" s="1"/>
  <c r="AP154" i="2"/>
  <c r="AN155" i="2"/>
  <c r="AM156" i="2"/>
  <c r="AM157" i="2"/>
  <c r="AN158" i="2"/>
  <c r="AP159" i="2"/>
  <c r="AU452" i="2"/>
  <c r="AU453" i="2" s="1"/>
  <c r="BE61" i="2"/>
  <c r="BE62" i="2" s="1"/>
  <c r="BB12" i="2" s="1"/>
  <c r="BC154" i="2"/>
  <c r="BA155" i="2"/>
  <c r="AZ156" i="2"/>
  <c r="AZ157" i="2"/>
  <c r="BA158" i="2"/>
  <c r="AY162" i="2"/>
  <c r="CA154" i="2"/>
  <c r="BY155" i="2"/>
  <c r="BX156" i="2"/>
  <c r="BX157" i="2"/>
  <c r="BY158" i="2"/>
  <c r="BW162" i="2"/>
  <c r="CA297" i="2"/>
  <c r="BY298" i="2"/>
  <c r="BX299" i="2"/>
  <c r="BX300" i="2"/>
  <c r="BY301" i="2"/>
  <c r="BW305" i="2"/>
  <c r="CQ131" i="2"/>
  <c r="CQ132" i="2" s="1"/>
  <c r="CJ17"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AJ169" i="2" s="1"/>
  <c r="P154" i="2"/>
  <c r="V155" i="2"/>
  <c r="V164" i="2" s="1"/>
  <c r="V165" i="2" s="1"/>
  <c r="U156" i="2"/>
  <c r="P159" i="2"/>
  <c r="O161" i="2"/>
  <c r="AC297" i="2"/>
  <c r="AA298" i="2"/>
  <c r="AA301" i="2"/>
  <c r="AC302" i="2"/>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BY14" i="2" s="1"/>
  <c r="CC297" i="2"/>
  <c r="CA298" i="2"/>
  <c r="BZ299" i="2"/>
  <c r="BZ300" i="2"/>
  <c r="CA301" i="2"/>
  <c r="BX303" i="2"/>
  <c r="CE452" i="2"/>
  <c r="CE453" i="2" s="1"/>
  <c r="CQ204" i="2"/>
  <c r="CQ205" i="2" s="1"/>
  <c r="CJ14" i="2" s="1"/>
  <c r="CQ274" i="2"/>
  <c r="CQ275" i="2" s="1"/>
  <c r="DB297" i="2"/>
  <c r="CZ298" i="2"/>
  <c r="CY299" i="2"/>
  <c r="CY307" i="2" s="1"/>
  <c r="CY308" i="2" s="1"/>
  <c r="CY300" i="2"/>
  <c r="DA382" i="2"/>
  <c r="DA383" i="2" s="1"/>
  <c r="AH239" i="2"/>
  <c r="BF452" i="2"/>
  <c r="BF453" i="2" s="1"/>
  <c r="BM61" i="2"/>
  <c r="BM62" i="2" s="1"/>
  <c r="BR12" i="2" s="1"/>
  <c r="BS131" i="2"/>
  <c r="DH161" i="2"/>
  <c r="DL298" i="2"/>
  <c r="DL307" i="2" s="1"/>
  <c r="DL308" i="2" s="1"/>
  <c r="DK299" i="2"/>
  <c r="DK300" i="2"/>
  <c r="DI303" i="2"/>
  <c r="R154" i="2"/>
  <c r="O156" i="2"/>
  <c r="P158" i="2"/>
  <c r="R159" i="2"/>
  <c r="AE297" i="2"/>
  <c r="AC298" i="2"/>
  <c r="AB299" i="2"/>
  <c r="AB300" i="2"/>
  <c r="AC301" i="2"/>
  <c r="AA305" i="2"/>
  <c r="AT154" i="2"/>
  <c r="AR155" i="2"/>
  <c r="AQ156" i="2"/>
  <c r="AQ157" i="2"/>
  <c r="AO160" i="2"/>
  <c r="AO164" i="2" s="1"/>
  <c r="AO165" i="2" s="1"/>
  <c r="AY154" i="2"/>
  <c r="BG154" i="2"/>
  <c r="BG164" i="2" s="1"/>
  <c r="BG165" i="2" s="1"/>
  <c r="BG166" i="2" s="1"/>
  <c r="BE155" i="2"/>
  <c r="BD156" i="2"/>
  <c r="BD157" i="2"/>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O307" i="2" s="1"/>
  <c r="AO308" i="2" s="1"/>
  <c r="AN304" i="2"/>
  <c r="BE297" i="2"/>
  <c r="BC298" i="2"/>
  <c r="BB299" i="2"/>
  <c r="BB300" i="2"/>
  <c r="BC301" i="2"/>
  <c r="AZ303" i="2"/>
  <c r="BP155" i="2"/>
  <c r="BO156" i="2"/>
  <c r="BO157" i="2"/>
  <c r="BM160" i="2"/>
  <c r="BL297" i="2"/>
  <c r="BR298" i="2"/>
  <c r="BQ299" i="2"/>
  <c r="BL302" i="2"/>
  <c r="BK304" i="2"/>
  <c r="BS382" i="2"/>
  <c r="BS383" i="2" s="1"/>
  <c r="CP96" i="2"/>
  <c r="CP97" i="2" s="1"/>
  <c r="CK13" i="2" s="1"/>
  <c r="CK154" i="2"/>
  <c r="CI155" i="2"/>
  <c r="CI158" i="2"/>
  <c r="CK159" i="2"/>
  <c r="CJ161" i="2"/>
  <c r="CN298" i="2"/>
  <c r="CM299" i="2"/>
  <c r="CM307" i="2" s="1"/>
  <c r="CM308" i="2" s="1"/>
  <c r="CM300" i="2"/>
  <c r="CK303" i="2"/>
  <c r="CU154" i="2"/>
  <c r="DC154" i="2"/>
  <c r="DA155" i="2"/>
  <c r="CZ156" i="2"/>
  <c r="CZ157" i="2"/>
  <c r="CU159" i="2"/>
  <c r="CU301" i="2"/>
  <c r="CW302" i="2"/>
  <c r="CV304" i="2"/>
  <c r="CV307" i="2" s="1"/>
  <c r="CV308" i="2" s="1"/>
  <c r="DI452" i="2"/>
  <c r="DI453" i="2" s="1"/>
  <c r="U204" i="2"/>
  <c r="U205" i="2" s="1"/>
  <c r="R14" i="2" s="1"/>
  <c r="V452" i="2"/>
  <c r="V453" i="2" s="1"/>
  <c r="AS452" i="2"/>
  <c r="AS453" i="2" s="1"/>
  <c r="BR239" i="2"/>
  <c r="BW298" i="2"/>
  <c r="BW301" i="2"/>
  <c r="BY302" i="2"/>
  <c r="BX304" i="2"/>
  <c r="CX302" i="2"/>
  <c r="P347" i="2"/>
  <c r="P348" i="2" s="1"/>
  <c r="BA61" i="2"/>
  <c r="BA62" i="2" s="1"/>
  <c r="BF12" i="2" s="1"/>
  <c r="BE154" i="2"/>
  <c r="BH310" i="2"/>
  <c r="BH312" i="2" s="1"/>
  <c r="BH313" i="2" s="1"/>
  <c r="BR154" i="2"/>
  <c r="BO204" i="2"/>
  <c r="BO205" i="2" s="1"/>
  <c r="BP14" i="2" s="1"/>
  <c r="BS204" i="2"/>
  <c r="BS205" i="2" s="1"/>
  <c r="BL14" i="2" s="1"/>
  <c r="BR297" i="2"/>
  <c r="R61" i="2"/>
  <c r="R62" i="2" s="1"/>
  <c r="U12" i="2" s="1"/>
  <c r="W96" i="2"/>
  <c r="W97" i="2" s="1"/>
  <c r="P13" i="2" s="1"/>
  <c r="V131" i="2"/>
  <c r="Q154" i="2"/>
  <c r="U154" i="2"/>
  <c r="O155" i="2"/>
  <c r="S155" i="2"/>
  <c r="R156" i="2"/>
  <c r="R157" i="2"/>
  <c r="O158" i="2"/>
  <c r="S158" i="2"/>
  <c r="Q159" i="2"/>
  <c r="P160" i="2"/>
  <c r="P161" i="2"/>
  <c r="X167" i="2"/>
  <c r="X169" i="2" s="1"/>
  <c r="P297" i="2"/>
  <c r="T297" i="2"/>
  <c r="R298" i="2"/>
  <c r="V298" i="2"/>
  <c r="Q299" i="2"/>
  <c r="U299" i="2"/>
  <c r="Q300" i="2"/>
  <c r="R301" i="2"/>
  <c r="P302" i="2"/>
  <c r="O303" i="2"/>
  <c r="O304" i="2"/>
  <c r="O307" i="2" s="1"/>
  <c r="O308" i="2" s="1"/>
  <c r="AB154" i="2"/>
  <c r="AF154" i="2"/>
  <c r="AD155" i="2"/>
  <c r="AH155" i="2"/>
  <c r="AC156" i="2"/>
  <c r="AG156" i="2"/>
  <c r="AC157" i="2"/>
  <c r="AD158" i="2"/>
  <c r="AB159" i="2"/>
  <c r="AA160" i="2"/>
  <c r="AA161" i="2"/>
  <c r="AB297" i="2"/>
  <c r="AF297" i="2"/>
  <c r="AD298" i="2"/>
  <c r="AH298" i="2"/>
  <c r="AC299" i="2"/>
  <c r="AG299" i="2"/>
  <c r="AG307" i="2" s="1"/>
  <c r="AG308" i="2" s="1"/>
  <c r="AC300" i="2"/>
  <c r="AD301" i="2"/>
  <c r="AB302" i="2"/>
  <c r="AA303" i="2"/>
  <c r="AA304" i="2"/>
  <c r="AB417" i="2"/>
  <c r="AB418" i="2" s="1"/>
  <c r="AF417" i="2"/>
  <c r="AF418" i="2" s="1"/>
  <c r="AO154" i="2"/>
  <c r="AS154" i="2"/>
  <c r="AM155" i="2"/>
  <c r="AQ155" i="2"/>
  <c r="AP156" i="2"/>
  <c r="AP157" i="2"/>
  <c r="AM158" i="2"/>
  <c r="AQ158" i="2"/>
  <c r="AO159" i="2"/>
  <c r="AN160" i="2"/>
  <c r="AN161" i="2"/>
  <c r="AV167" i="2"/>
  <c r="AT204" i="2"/>
  <c r="AT205" i="2" s="1"/>
  <c r="AO14" i="2" s="1"/>
  <c r="AP297" i="2"/>
  <c r="AU307" i="2"/>
  <c r="AU308" i="2" s="1"/>
  <c r="AU309" i="2" s="1"/>
  <c r="AU310" i="2" s="1"/>
  <c r="AT297" i="2"/>
  <c r="AN298" i="2"/>
  <c r="AR298" i="2"/>
  <c r="AM299" i="2"/>
  <c r="AQ299" i="2"/>
  <c r="AQ307" i="2" s="1"/>
  <c r="AQ308" i="2" s="1"/>
  <c r="AM300" i="2"/>
  <c r="AQ300" i="2"/>
  <c r="AN301" i="2"/>
  <c r="AP302" i="2"/>
  <c r="AO303" i="2"/>
  <c r="BF61" i="2"/>
  <c r="BF62" i="2" s="1"/>
  <c r="BA12" i="2" s="1"/>
  <c r="BF131" i="2"/>
  <c r="BB154" i="2"/>
  <c r="BF154" i="2"/>
  <c r="AZ155" i="2"/>
  <c r="BD155" i="2"/>
  <c r="AY156" i="2"/>
  <c r="BC156" i="2"/>
  <c r="AY157" i="2"/>
  <c r="BC157" i="2"/>
  <c r="AZ158" i="2"/>
  <c r="BB159" i="2"/>
  <c r="BA160" i="2"/>
  <c r="BE204" i="2"/>
  <c r="BE205" i="2" s="1"/>
  <c r="BB14" i="2" s="1"/>
  <c r="BB297" i="2"/>
  <c r="BG307" i="2"/>
  <c r="BG308" i="2" s="1"/>
  <c r="BF297" i="2"/>
  <c r="AZ298" i="2"/>
  <c r="BD298" i="2"/>
  <c r="AY299" i="2"/>
  <c r="BC299" i="2"/>
  <c r="AY300" i="2"/>
  <c r="BC300" i="2"/>
  <c r="AZ301" i="2"/>
  <c r="BB302" i="2"/>
  <c r="BA303" i="2"/>
  <c r="BA307" i="2" s="1"/>
  <c r="BA308" i="2" s="1"/>
  <c r="BG452" i="2"/>
  <c r="BG453" i="2" s="1"/>
  <c r="AC204" i="2"/>
  <c r="AC205" i="2" s="1"/>
  <c r="AH14" i="2" s="1"/>
  <c r="AO61" i="2"/>
  <c r="AO62" i="2" s="1"/>
  <c r="AT12" i="2" s="1"/>
  <c r="AU131" i="2"/>
  <c r="AQ204" i="2"/>
  <c r="AQ205" i="2" s="1"/>
  <c r="AR14" i="2" s="1"/>
  <c r="BG131" i="2"/>
  <c r="AZ347" i="2"/>
  <c r="AZ348" i="2" s="1"/>
  <c r="BD417" i="2"/>
  <c r="BD418" i="2" s="1"/>
  <c r="W164" i="2"/>
  <c r="W165" i="2" s="1"/>
  <c r="W166" i="2" s="1"/>
  <c r="W167" i="2" s="1"/>
  <c r="V154" i="2"/>
  <c r="T417" i="2"/>
  <c r="T418" i="2" s="1"/>
  <c r="O154" i="2"/>
  <c r="S154" i="2"/>
  <c r="W154" i="2"/>
  <c r="Q155" i="2"/>
  <c r="U155" i="2"/>
  <c r="P156" i="2"/>
  <c r="T156" i="2"/>
  <c r="P157" i="2"/>
  <c r="T157" i="2"/>
  <c r="Q158" i="2"/>
  <c r="Q164" i="2" s="1"/>
  <c r="Q165" i="2" s="1"/>
  <c r="O159" i="2"/>
  <c r="O162" i="2"/>
  <c r="R297" i="2"/>
  <c r="W307" i="2"/>
  <c r="W308" i="2" s="1"/>
  <c r="W309" i="2" s="1"/>
  <c r="W310" i="2" s="1"/>
  <c r="V297" i="2"/>
  <c r="P298" i="2"/>
  <c r="T298" i="2"/>
  <c r="O299" i="2"/>
  <c r="S299" i="2"/>
  <c r="O300" i="2"/>
  <c r="S300" i="2"/>
  <c r="P301" i="2"/>
  <c r="R302" i="2"/>
  <c r="Q303" i="2"/>
  <c r="AD154" i="2"/>
  <c r="AH154" i="2"/>
  <c r="AB155" i="2"/>
  <c r="AF155" i="2"/>
  <c r="AF164" i="2" s="1"/>
  <c r="AF165" i="2" s="1"/>
  <c r="AA156" i="2"/>
  <c r="AE156" i="2"/>
  <c r="AA157" i="2"/>
  <c r="AE157" i="2"/>
  <c r="AB158" i="2"/>
  <c r="AD159" i="2"/>
  <c r="AC160" i="2"/>
  <c r="AH204" i="2"/>
  <c r="AH205" i="2" s="1"/>
  <c r="AC14" i="2" s="1"/>
  <c r="AD297" i="2"/>
  <c r="AH297" i="2"/>
  <c r="AH307" i="2" s="1"/>
  <c r="AH308" i="2" s="1"/>
  <c r="AB298" i="2"/>
  <c r="AF298" i="2"/>
  <c r="AF307" i="2" s="1"/>
  <c r="AF308" i="2" s="1"/>
  <c r="AA299" i="2"/>
  <c r="AE299" i="2"/>
  <c r="AE307" i="2" s="1"/>
  <c r="AE308" i="2" s="1"/>
  <c r="AA300" i="2"/>
  <c r="AE300" i="2"/>
  <c r="AB301" i="2"/>
  <c r="AD302" i="2"/>
  <c r="AC303" i="2"/>
  <c r="AI347" i="2"/>
  <c r="AI348" i="2" s="1"/>
  <c r="AI382" i="2"/>
  <c r="AI383" i="2" s="1"/>
  <c r="AM154" i="2"/>
  <c r="AQ154" i="2"/>
  <c r="AU154" i="2"/>
  <c r="AO155" i="2"/>
  <c r="AS155" i="2"/>
  <c r="AS164" i="2" s="1"/>
  <c r="AS165" i="2" s="1"/>
  <c r="AN156" i="2"/>
  <c r="AR156" i="2"/>
  <c r="AN157" i="2"/>
  <c r="AR157" i="2"/>
  <c r="AO158" i="2"/>
  <c r="AM159" i="2"/>
  <c r="AM162" i="2"/>
  <c r="AT239" i="2"/>
  <c r="AN297" i="2"/>
  <c r="AR297" i="2"/>
  <c r="AP298" i="2"/>
  <c r="AT298" i="2"/>
  <c r="AO299" i="2"/>
  <c r="AS299" i="2"/>
  <c r="AO300" i="2"/>
  <c r="AP301" i="2"/>
  <c r="AN302" i="2"/>
  <c r="AN307" i="2" s="1"/>
  <c r="AN308" i="2" s="1"/>
  <c r="AM303" i="2"/>
  <c r="AM304" i="2"/>
  <c r="AM307" i="2" s="1"/>
  <c r="AM308" i="2" s="1"/>
  <c r="AZ154" i="2"/>
  <c r="BD154" i="2"/>
  <c r="BB155" i="2"/>
  <c r="BF155" i="2"/>
  <c r="BA156" i="2"/>
  <c r="BE156" i="2"/>
  <c r="BA157" i="2"/>
  <c r="BB158" i="2"/>
  <c r="AZ159" i="2"/>
  <c r="AY160" i="2"/>
  <c r="AY161" i="2"/>
  <c r="AZ297" i="2"/>
  <c r="BD297" i="2"/>
  <c r="BB298" i="2"/>
  <c r="BF298" i="2"/>
  <c r="BF307" i="2" s="1"/>
  <c r="BF308" i="2" s="1"/>
  <c r="BF309" i="2" s="1"/>
  <c r="BF310" i="2" s="1"/>
  <c r="BA299" i="2"/>
  <c r="BE299" i="2"/>
  <c r="BE307" i="2" s="1"/>
  <c r="BE308" i="2" s="1"/>
  <c r="BA300" i="2"/>
  <c r="BB301" i="2"/>
  <c r="AZ302" i="2"/>
  <c r="AY303" i="2"/>
  <c r="AY304" i="2"/>
  <c r="BN96" i="2"/>
  <c r="BN97" i="2" s="1"/>
  <c r="BQ13" i="2" s="1"/>
  <c r="BM154" i="2"/>
  <c r="BQ154" i="2"/>
  <c r="BK155" i="2"/>
  <c r="BO155" i="2"/>
  <c r="BN156" i="2"/>
  <c r="BN157" i="2"/>
  <c r="BK158" i="2"/>
  <c r="BO158" i="2"/>
  <c r="BM159" i="2"/>
  <c r="BL160" i="2"/>
  <c r="BL161" i="2"/>
  <c r="BK297" i="2"/>
  <c r="BO297" i="2"/>
  <c r="BS297" i="2"/>
  <c r="BS307" i="2" s="1"/>
  <c r="BS308" i="2" s="1"/>
  <c r="BS309" i="2" s="1"/>
  <c r="BS310" i="2" s="1"/>
  <c r="BM298" i="2"/>
  <c r="BQ298" i="2"/>
  <c r="BL299" i="2"/>
  <c r="BP299" i="2"/>
  <c r="BL300" i="2"/>
  <c r="BP300" i="2"/>
  <c r="BM301" i="2"/>
  <c r="BK302" i="2"/>
  <c r="BK305" i="2"/>
  <c r="BR382" i="2"/>
  <c r="BR383" i="2" s="1"/>
  <c r="BX154" i="2"/>
  <c r="CB154" i="2"/>
  <c r="BZ155" i="2"/>
  <c r="CD155" i="2"/>
  <c r="BY156" i="2"/>
  <c r="CC156" i="2"/>
  <c r="BY157" i="2"/>
  <c r="BZ158" i="2"/>
  <c r="BX159" i="2"/>
  <c r="BW160" i="2"/>
  <c r="BW161" i="2"/>
  <c r="CC204" i="2"/>
  <c r="CC205" i="2" s="1"/>
  <c r="BZ14" i="2" s="1"/>
  <c r="BX297" i="2"/>
  <c r="CB297" i="2"/>
  <c r="BZ298" i="2"/>
  <c r="CD298" i="2"/>
  <c r="BY299" i="2"/>
  <c r="CC299" i="2"/>
  <c r="CC307" i="2" s="1"/>
  <c r="CC308" i="2" s="1"/>
  <c r="BY300" i="2"/>
  <c r="BZ301" i="2"/>
  <c r="BX302" i="2"/>
  <c r="BX307" i="2" s="1"/>
  <c r="BX308" i="2" s="1"/>
  <c r="BW303" i="2"/>
  <c r="BW304" i="2"/>
  <c r="CE417" i="2"/>
  <c r="CE418" i="2" s="1"/>
  <c r="CL154" i="2"/>
  <c r="CP154" i="2"/>
  <c r="CJ155" i="2"/>
  <c r="CN155" i="2"/>
  <c r="CI156" i="2"/>
  <c r="CM156" i="2"/>
  <c r="CI157" i="2"/>
  <c r="CM157" i="2"/>
  <c r="CJ158" i="2"/>
  <c r="CL159" i="2"/>
  <c r="CK160" i="2"/>
  <c r="CK164" i="2" s="1"/>
  <c r="CK165" i="2" s="1"/>
  <c r="CY96" i="2"/>
  <c r="CY97" i="2" s="1"/>
  <c r="CV154" i="2"/>
  <c r="CZ154" i="2"/>
  <c r="CX155" i="2"/>
  <c r="DB155" i="2"/>
  <c r="CW156" i="2"/>
  <c r="DA156" i="2"/>
  <c r="CW157" i="2"/>
  <c r="CX158" i="2"/>
  <c r="CV159" i="2"/>
  <c r="CU160" i="2"/>
  <c r="CU164" i="2" s="1"/>
  <c r="CU165" i="2" s="1"/>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N274" i="2"/>
  <c r="CN275" i="2" s="1"/>
  <c r="CP297" i="2"/>
  <c r="DN154" i="2"/>
  <c r="BE452" i="2"/>
  <c r="BE453" i="2" s="1"/>
  <c r="BM131" i="2"/>
  <c r="BQ131" i="2"/>
  <c r="BK154" i="2"/>
  <c r="BO154" i="2"/>
  <c r="BS154" i="2"/>
  <c r="BS164" i="2" s="1"/>
  <c r="BS165" i="2" s="1"/>
  <c r="BS166" i="2" s="1"/>
  <c r="BS167" i="2" s="1"/>
  <c r="BM155" i="2"/>
  <c r="BQ155" i="2"/>
  <c r="BL156" i="2"/>
  <c r="BP156" i="2"/>
  <c r="BL157" i="2"/>
  <c r="BP157" i="2"/>
  <c r="BM158" i="2"/>
  <c r="BK159" i="2"/>
  <c r="BK162" i="2"/>
  <c r="BM297" i="2"/>
  <c r="BQ297" i="2"/>
  <c r="BK298" i="2"/>
  <c r="BO298" i="2"/>
  <c r="BN299" i="2"/>
  <c r="BN300" i="2"/>
  <c r="BN307" i="2" s="1"/>
  <c r="BN308" i="2" s="1"/>
  <c r="BK301" i="2"/>
  <c r="BO301" i="2"/>
  <c r="BM302" i="2"/>
  <c r="BL303" i="2"/>
  <c r="BL304" i="2"/>
  <c r="BL307" i="2" s="1"/>
  <c r="BL308" i="2" s="1"/>
  <c r="BZ154" i="2"/>
  <c r="CD154" i="2"/>
  <c r="CD164" i="2" s="1"/>
  <c r="CD165" i="2" s="1"/>
  <c r="BX155" i="2"/>
  <c r="CB155" i="2"/>
  <c r="BW156" i="2"/>
  <c r="CA156" i="2"/>
  <c r="BW157" i="2"/>
  <c r="CA157" i="2"/>
  <c r="CA164" i="2" s="1"/>
  <c r="CA165" i="2" s="1"/>
  <c r="BX158" i="2"/>
  <c r="BZ159" i="2"/>
  <c r="BY160" i="2"/>
  <c r="CE204" i="2"/>
  <c r="CE205" i="2" s="1"/>
  <c r="BX14" i="2" s="1"/>
  <c r="BZ297" i="2"/>
  <c r="CD297" i="2"/>
  <c r="BX298" i="2"/>
  <c r="CB298" i="2"/>
  <c r="CB307" i="2" s="1"/>
  <c r="CB308" i="2" s="1"/>
  <c r="BW299" i="2"/>
  <c r="CA299" i="2"/>
  <c r="BW300" i="2"/>
  <c r="CA300" i="2"/>
  <c r="CA307" i="2" s="1"/>
  <c r="CA308" i="2" s="1"/>
  <c r="BX301" i="2"/>
  <c r="BZ302" i="2"/>
  <c r="BY303" i="2"/>
  <c r="CD347" i="2"/>
  <c r="CD348" i="2" s="1"/>
  <c r="CB417" i="2"/>
  <c r="CB418" i="2" s="1"/>
  <c r="CN96" i="2"/>
  <c r="CN97" i="2" s="1"/>
  <c r="CM13" i="2" s="1"/>
  <c r="CJ154" i="2"/>
  <c r="CN154" i="2"/>
  <c r="CL155" i="2"/>
  <c r="CP155" i="2"/>
  <c r="CK156" i="2"/>
  <c r="CO156" i="2"/>
  <c r="CK157" i="2"/>
  <c r="CL158" i="2"/>
  <c r="CJ159" i="2"/>
  <c r="CI160" i="2"/>
  <c r="CI161" i="2"/>
  <c r="CI297" i="2"/>
  <c r="CM297" i="2"/>
  <c r="CQ297" i="2"/>
  <c r="CQ307" i="2" s="1"/>
  <c r="CQ308" i="2" s="1"/>
  <c r="CQ309" i="2" s="1"/>
  <c r="CQ310" i="2" s="1"/>
  <c r="CK298" i="2"/>
  <c r="CO298" i="2"/>
  <c r="CJ299" i="2"/>
  <c r="CN299" i="2"/>
  <c r="CJ300" i="2"/>
  <c r="CN300" i="2"/>
  <c r="CK301" i="2"/>
  <c r="CI302" i="2"/>
  <c r="CI305" i="2"/>
  <c r="CJ347" i="2"/>
  <c r="CJ348" i="2" s="1"/>
  <c r="DC61" i="2"/>
  <c r="DC62" i="2" s="1"/>
  <c r="DB131" i="2"/>
  <c r="DB132" i="2" s="1"/>
  <c r="CX154" i="2"/>
  <c r="DB154" i="2"/>
  <c r="CV155" i="2"/>
  <c r="CZ155" i="2"/>
  <c r="CZ164" i="2" s="1"/>
  <c r="CZ165" i="2" s="1"/>
  <c r="CU156" i="2"/>
  <c r="CY156" i="2"/>
  <c r="CU157" i="2"/>
  <c r="CY157" i="2"/>
  <c r="CV158" i="2"/>
  <c r="CX159" i="2"/>
  <c r="CW160" i="2"/>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H157" i="2"/>
  <c r="DL157" i="2"/>
  <c r="DI158" i="2"/>
  <c r="DG159" i="2"/>
  <c r="DG162" i="2"/>
  <c r="DG164" i="2" s="1"/>
  <c r="DG165" i="2" s="1"/>
  <c r="DH297" i="2"/>
  <c r="DL297" i="2"/>
  <c r="DJ298" i="2"/>
  <c r="DN298" i="2"/>
  <c r="DN307" i="2" s="1"/>
  <c r="DN308" i="2" s="1"/>
  <c r="DI299" i="2"/>
  <c r="DM299" i="2"/>
  <c r="DI300" i="2"/>
  <c r="DJ301" i="2"/>
  <c r="DH302" i="2"/>
  <c r="DG303" i="2"/>
  <c r="DG304" i="2"/>
  <c r="DO417" i="2"/>
  <c r="DO418" i="2" s="1"/>
  <c r="BS452" i="2"/>
  <c r="BS453" i="2" s="1"/>
  <c r="CE131" i="2"/>
  <c r="BX347" i="2"/>
  <c r="BX348" i="2" s="1"/>
  <c r="CQ417" i="2"/>
  <c r="CQ418" i="2" s="1"/>
  <c r="CQ452" i="2"/>
  <c r="CQ453" i="2" s="1"/>
  <c r="DC417" i="2"/>
  <c r="DC418" i="2" s="1"/>
  <c r="DO61" i="2"/>
  <c r="DO62" i="2" s="1"/>
  <c r="DH154" i="2"/>
  <c r="DL154" i="2"/>
  <c r="DJ155" i="2"/>
  <c r="DN155" i="2"/>
  <c r="DI156" i="2"/>
  <c r="DM156" i="2"/>
  <c r="DI157" i="2"/>
  <c r="DJ158" i="2"/>
  <c r="DJ164" i="2" s="1"/>
  <c r="DJ165" i="2" s="1"/>
  <c r="DH159" i="2"/>
  <c r="DH164" i="2" s="1"/>
  <c r="DH165" i="2" s="1"/>
  <c r="DG160" i="2"/>
  <c r="DG161" i="2"/>
  <c r="DI297" i="2"/>
  <c r="DM297" i="2"/>
  <c r="DM307" i="2" s="1"/>
  <c r="DM308" i="2" s="1"/>
  <c r="DG298" i="2"/>
  <c r="DK298" i="2"/>
  <c r="DJ299" i="2"/>
  <c r="DJ300" i="2"/>
  <c r="DG301" i="2"/>
  <c r="DK301" i="2"/>
  <c r="DI302" i="2"/>
  <c r="DH303" i="2"/>
  <c r="DH307" i="2" s="1"/>
  <c r="DH308" i="2" s="1"/>
  <c r="DH304" i="2"/>
  <c r="DO382" i="2"/>
  <c r="DO383" i="2" s="1"/>
  <c r="Q61" i="2"/>
  <c r="Q62" i="2" s="1"/>
  <c r="V12" i="2" s="1"/>
  <c r="U61" i="2"/>
  <c r="U62" i="2" s="1"/>
  <c r="R12" i="2" s="1"/>
  <c r="W204" i="2"/>
  <c r="W205" i="2" s="1"/>
  <c r="P14" i="2" s="1"/>
  <c r="O239" i="2"/>
  <c r="W382" i="2"/>
  <c r="W383" i="2" s="1"/>
  <c r="T96" i="2"/>
  <c r="T97" i="2" s="1"/>
  <c r="S13" i="2" s="1"/>
  <c r="U96" i="2"/>
  <c r="U97" i="2" s="1"/>
  <c r="R13" i="2" s="1"/>
  <c r="AH274" i="2"/>
  <c r="AH275" i="2" s="1"/>
  <c r="AG274" i="2"/>
  <c r="AG275" i="2" s="1"/>
  <c r="W61" i="2"/>
  <c r="W62" i="2" s="1"/>
  <c r="P12" i="2" s="1"/>
  <c r="P131" i="2"/>
  <c r="P274" i="2"/>
  <c r="P275" i="2" s="1"/>
  <c r="T274" i="2"/>
  <c r="T275" i="2" s="1"/>
  <c r="P96" i="2"/>
  <c r="P97" i="2" s="1"/>
  <c r="W13" i="2" s="1"/>
  <c r="AD204" i="2"/>
  <c r="AD205" i="2" s="1"/>
  <c r="AG14" i="2" s="1"/>
  <c r="AD239" i="2"/>
  <c r="AJ310" i="2"/>
  <c r="AJ312" i="2" s="1"/>
  <c r="AJ313" i="2" s="1"/>
  <c r="V96" i="2"/>
  <c r="V97" i="2" s="1"/>
  <c r="Q13" i="2" s="1"/>
  <c r="V204" i="2"/>
  <c r="V205" i="2" s="1"/>
  <c r="Q14" i="2" s="1"/>
  <c r="X310" i="2"/>
  <c r="X312" i="2" s="1"/>
  <c r="X313" i="2" s="1"/>
  <c r="W452" i="2"/>
  <c r="W453" i="2" s="1"/>
  <c r="AI204" i="2"/>
  <c r="AI205" i="2" s="1"/>
  <c r="AB14" i="2" s="1"/>
  <c r="AG417" i="2"/>
  <c r="AG418" i="2" s="1"/>
  <c r="P452" i="2"/>
  <c r="P453" i="2" s="1"/>
  <c r="T452" i="2"/>
  <c r="T453" i="2" s="1"/>
  <c r="AE274" i="2"/>
  <c r="AE275" i="2" s="1"/>
  <c r="AH452" i="2"/>
  <c r="AH453" i="2" s="1"/>
  <c r="AU274" i="2"/>
  <c r="AU275" i="2" s="1"/>
  <c r="AS274" i="2"/>
  <c r="AS275" i="2" s="1"/>
  <c r="P382" i="2"/>
  <c r="P383" i="2" s="1"/>
  <c r="T382" i="2"/>
  <c r="T383" i="2" s="1"/>
  <c r="O417" i="2"/>
  <c r="O418" i="2" s="1"/>
  <c r="S417" i="2"/>
  <c r="S418" i="2" s="1"/>
  <c r="W417" i="2"/>
  <c r="W418" i="2" s="1"/>
  <c r="AD61" i="2"/>
  <c r="AD62" i="2" s="1"/>
  <c r="AG12" i="2" s="1"/>
  <c r="AB96" i="2"/>
  <c r="AB97" i="2" s="1"/>
  <c r="AI13" i="2" s="1"/>
  <c r="AF96" i="2"/>
  <c r="AF97" i="2" s="1"/>
  <c r="AE13" i="2" s="1"/>
  <c r="AA131" i="2"/>
  <c r="AE131" i="2"/>
  <c r="AI131" i="2"/>
  <c r="AA347" i="2"/>
  <c r="AA348" i="2" s="1"/>
  <c r="AA452" i="2"/>
  <c r="AA453" i="2" s="1"/>
  <c r="AC347" i="2"/>
  <c r="AC348" i="2" s="1"/>
  <c r="AG347" i="2"/>
  <c r="AG348" i="2" s="1"/>
  <c r="AB382" i="2"/>
  <c r="AB383" i="2" s="1"/>
  <c r="AF382" i="2"/>
  <c r="AF383" i="2" s="1"/>
  <c r="AT96" i="2"/>
  <c r="AT97" i="2" s="1"/>
  <c r="AO13" i="2" s="1"/>
  <c r="AQ96" i="2"/>
  <c r="AQ97" i="2" s="1"/>
  <c r="AR13" i="2" s="1"/>
  <c r="AM204" i="2"/>
  <c r="AM205" i="2" s="1"/>
  <c r="AV14" i="2" s="1"/>
  <c r="AU204" i="2"/>
  <c r="AU205" i="2" s="1"/>
  <c r="AN14" i="2" s="1"/>
  <c r="AO274" i="2"/>
  <c r="AO275" i="2" s="1"/>
  <c r="AP382" i="2"/>
  <c r="AP383" i="2" s="1"/>
  <c r="AT382" i="2"/>
  <c r="AT383" i="2" s="1"/>
  <c r="AM417" i="2"/>
  <c r="AM418" i="2" s="1"/>
  <c r="AU417" i="2"/>
  <c r="AU418" i="2" s="1"/>
  <c r="AY96" i="2"/>
  <c r="AY97" i="2" s="1"/>
  <c r="BH13" i="2" s="1"/>
  <c r="BC96" i="2"/>
  <c r="BC97" i="2" s="1"/>
  <c r="BD13" i="2" s="1"/>
  <c r="BG96" i="2"/>
  <c r="BG97" i="2" s="1"/>
  <c r="AZ13" i="2" s="1"/>
  <c r="AZ131" i="2"/>
  <c r="BD131" i="2"/>
  <c r="BA131" i="2"/>
  <c r="BH167" i="2"/>
  <c r="BH169" i="2" s="1"/>
  <c r="AD347" i="2"/>
  <c r="AD348" i="2" s="1"/>
  <c r="AH347" i="2"/>
  <c r="AH348" i="2" s="1"/>
  <c r="AC382" i="2"/>
  <c r="AC383" i="2" s="1"/>
  <c r="AG382" i="2"/>
  <c r="AG383" i="2" s="1"/>
  <c r="AA417" i="2"/>
  <c r="AA418" i="2" s="1"/>
  <c r="AE417" i="2"/>
  <c r="AE418" i="2" s="1"/>
  <c r="AI417" i="2"/>
  <c r="AI418" i="2" s="1"/>
  <c r="AO131" i="2"/>
  <c r="AS131" i="2"/>
  <c r="AN204" i="2"/>
  <c r="AN205" i="2" s="1"/>
  <c r="AU14" i="2" s="1"/>
  <c r="AR204" i="2"/>
  <c r="AR205" i="2" s="1"/>
  <c r="AQ14" i="2" s="1"/>
  <c r="AT274" i="2"/>
  <c r="AT275" i="2" s="1"/>
  <c r="AS307" i="2"/>
  <c r="AS308" i="2" s="1"/>
  <c r="AV310" i="2"/>
  <c r="AV312" i="2" s="1"/>
  <c r="AV313" i="2" s="1"/>
  <c r="AR417" i="2"/>
  <c r="AR418" i="2" s="1"/>
  <c r="BD96" i="2"/>
  <c r="BD97" i="2" s="1"/>
  <c r="BC13" i="2" s="1"/>
  <c r="AZ274" i="2"/>
  <c r="AZ275" i="2" s="1"/>
  <c r="BD274" i="2"/>
  <c r="BD275" i="2" s="1"/>
  <c r="BC452" i="2"/>
  <c r="BC453" i="2" s="1"/>
  <c r="AS61" i="2"/>
  <c r="AS62" i="2" s="1"/>
  <c r="AP12" i="2" s="1"/>
  <c r="AR307" i="2"/>
  <c r="AR308" i="2" s="1"/>
  <c r="AM347" i="2"/>
  <c r="AM348" i="2" s="1"/>
  <c r="AT452" i="2"/>
  <c r="AT453" i="2" s="1"/>
  <c r="BC204" i="2"/>
  <c r="BC205" i="2" s="1"/>
  <c r="BD14" i="2" s="1"/>
  <c r="AP239" i="2"/>
  <c r="AS382" i="2"/>
  <c r="AS383" i="2" s="1"/>
  <c r="AM452" i="2"/>
  <c r="AM453" i="2" s="1"/>
  <c r="AQ452" i="2"/>
  <c r="AQ453" i="2" s="1"/>
  <c r="AY131" i="2"/>
  <c r="BG167" i="2"/>
  <c r="BG309" i="2"/>
  <c r="BG310" i="2" s="1"/>
  <c r="BA417" i="2"/>
  <c r="BA418" i="2" s="1"/>
  <c r="BE417" i="2"/>
  <c r="BE418" i="2" s="1"/>
  <c r="AY452" i="2"/>
  <c r="AY453" i="2" s="1"/>
  <c r="BQ61" i="2"/>
  <c r="BQ62" i="2" s="1"/>
  <c r="BN12" i="2" s="1"/>
  <c r="BR131" i="2"/>
  <c r="BP204" i="2"/>
  <c r="BP205" i="2" s="1"/>
  <c r="BO14" i="2" s="1"/>
  <c r="BT310" i="2"/>
  <c r="BT312" i="2" s="1"/>
  <c r="BT313" i="2" s="1"/>
  <c r="BP417" i="2"/>
  <c r="BP418" i="2" s="1"/>
  <c r="AY239" i="2"/>
  <c r="BB347" i="2"/>
  <c r="BB348" i="2" s="1"/>
  <c r="BF347" i="2"/>
  <c r="BF348" i="2" s="1"/>
  <c r="AZ452" i="2"/>
  <c r="AZ453" i="2" s="1"/>
  <c r="BD452" i="2"/>
  <c r="BD453" i="2" s="1"/>
  <c r="BK347" i="2"/>
  <c r="BK348" i="2" s="1"/>
  <c r="BO347" i="2"/>
  <c r="BO348" i="2" s="1"/>
  <c r="BR452" i="2"/>
  <c r="BR453" i="2" s="1"/>
  <c r="BY239" i="2"/>
  <c r="CC382" i="2"/>
  <c r="CC383" i="2" s="1"/>
  <c r="AZ382" i="2"/>
  <c r="AZ383" i="2" s="1"/>
  <c r="BD382" i="2"/>
  <c r="BD383" i="2" s="1"/>
  <c r="BG382" i="2"/>
  <c r="BG383" i="2" s="1"/>
  <c r="AY417" i="2"/>
  <c r="AY418" i="2" s="1"/>
  <c r="BC417" i="2"/>
  <c r="BC418" i="2" s="1"/>
  <c r="BG417" i="2"/>
  <c r="BG418" i="2" s="1"/>
  <c r="BK61" i="2"/>
  <c r="BK62" i="2" s="1"/>
  <c r="BT12" i="2" s="1"/>
  <c r="BS61" i="2"/>
  <c r="BS62" i="2" s="1"/>
  <c r="BL12" i="2" s="1"/>
  <c r="BM96" i="2"/>
  <c r="BM97" i="2" s="1"/>
  <c r="BR13" i="2" s="1"/>
  <c r="BQ96" i="2"/>
  <c r="BQ97" i="2" s="1"/>
  <c r="BN13" i="2" s="1"/>
  <c r="BQ239" i="2"/>
  <c r="BN274" i="2"/>
  <c r="BN275" i="2" s="1"/>
  <c r="BK307" i="2"/>
  <c r="BK308" i="2" s="1"/>
  <c r="BK204" i="2"/>
  <c r="BK205" i="2" s="1"/>
  <c r="BT14" i="2" s="1"/>
  <c r="BK417" i="2"/>
  <c r="BK418" i="2" s="1"/>
  <c r="BO417" i="2"/>
  <c r="BO418" i="2" s="1"/>
  <c r="BS417" i="2"/>
  <c r="BS418" i="2" s="1"/>
  <c r="CB61" i="2"/>
  <c r="CB62" i="2" s="1"/>
  <c r="CA12" i="2" s="1"/>
  <c r="BW417" i="2"/>
  <c r="BW418" i="2" s="1"/>
  <c r="CA417" i="2"/>
  <c r="CA418" i="2" s="1"/>
  <c r="CL61" i="2"/>
  <c r="CL62" i="2" s="1"/>
  <c r="CO12" i="2" s="1"/>
  <c r="CP61" i="2"/>
  <c r="CP62" i="2" s="1"/>
  <c r="CK12" i="2" s="1"/>
  <c r="BY61" i="2"/>
  <c r="BY62" i="2" s="1"/>
  <c r="CD12" i="2" s="1"/>
  <c r="CC61" i="2"/>
  <c r="CC62" i="2" s="1"/>
  <c r="BZ12" i="2" s="1"/>
  <c r="BW96" i="2"/>
  <c r="BW97" i="2" s="1"/>
  <c r="CF13" i="2" s="1"/>
  <c r="CD131" i="2"/>
  <c r="CD452" i="2"/>
  <c r="CD453" i="2" s="1"/>
  <c r="CC239" i="2"/>
  <c r="BX274" i="2"/>
  <c r="BX275" i="2" s="1"/>
  <c r="CB274" i="2"/>
  <c r="CB275" i="2" s="1"/>
  <c r="BZ347" i="2"/>
  <c r="BZ348" i="2" s="1"/>
  <c r="CO131" i="2"/>
  <c r="CO132" i="2" s="1"/>
  <c r="CL17" i="2" s="1"/>
  <c r="BZ239" i="2"/>
  <c r="CD239" i="2"/>
  <c r="BX382" i="2"/>
  <c r="BX383" i="2" s="1"/>
  <c r="CB382" i="2"/>
  <c r="CB383" i="2" s="1"/>
  <c r="BX452" i="2"/>
  <c r="BX453" i="2" s="1"/>
  <c r="CB452" i="2"/>
  <c r="CB453" i="2" s="1"/>
  <c r="CJ131" i="2"/>
  <c r="CJ132" i="2" s="1"/>
  <c r="CQ17" i="2" s="1"/>
  <c r="CN131" i="2"/>
  <c r="CN132" i="2" s="1"/>
  <c r="CM17" i="2" s="1"/>
  <c r="CJ382" i="2"/>
  <c r="CJ383" i="2" s="1"/>
  <c r="CN382" i="2"/>
  <c r="CN383" i="2" s="1"/>
  <c r="CI417" i="2"/>
  <c r="CI418" i="2" s="1"/>
  <c r="CM417" i="2"/>
  <c r="CM418" i="2" s="1"/>
  <c r="CQ96" i="2"/>
  <c r="CQ97" i="2" s="1"/>
  <c r="CJ13" i="2" s="1"/>
  <c r="CQ164" i="2"/>
  <c r="CQ165" i="2" s="1"/>
  <c r="CQ166" i="2" s="1"/>
  <c r="CQ167" i="2" s="1"/>
  <c r="CN164" i="2"/>
  <c r="CN165" i="2" s="1"/>
  <c r="CI239" i="2"/>
  <c r="CP452" i="2"/>
  <c r="CP453" i="2" s="1"/>
  <c r="CX61" i="2"/>
  <c r="CX62" i="2" s="1"/>
  <c r="DB61" i="2"/>
  <c r="DB62" i="2" s="1"/>
  <c r="CW96" i="2"/>
  <c r="CW97" i="2" s="1"/>
  <c r="DA96" i="2"/>
  <c r="DA97" i="2" s="1"/>
  <c r="DA131" i="2"/>
  <c r="DA132" i="2" s="1"/>
  <c r="CR167" i="2"/>
  <c r="CP204" i="2"/>
  <c r="CP205" i="2" s="1"/>
  <c r="CK14" i="2" s="1"/>
  <c r="CX96" i="2"/>
  <c r="CX97" i="2" s="1"/>
  <c r="CO204" i="2"/>
  <c r="CO205" i="2" s="1"/>
  <c r="CL14" i="2" s="1"/>
  <c r="CJ274" i="2"/>
  <c r="CJ275" i="2" s="1"/>
  <c r="CJ452" i="2"/>
  <c r="CJ453" i="2" s="1"/>
  <c r="CN452" i="2"/>
  <c r="CN453" i="2" s="1"/>
  <c r="CK452" i="2"/>
  <c r="CK453" i="2" s="1"/>
  <c r="DD167" i="2"/>
  <c r="DD169" i="2" s="1"/>
  <c r="DD170" i="2" s="1"/>
  <c r="DB164" i="2"/>
  <c r="DB165"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19"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Y19" i="2" s="1"/>
  <c r="DM61" i="2"/>
  <c r="DM62" i="2" s="1"/>
  <c r="DP310" i="2"/>
  <c r="DP312" i="2" s="1"/>
  <c r="DP313" i="2" s="1"/>
  <c r="DJ382" i="2"/>
  <c r="DJ383" i="2" s="1"/>
  <c r="DN382" i="2"/>
  <c r="DN383" i="2" s="1"/>
  <c r="DG452" i="2"/>
  <c r="DG453" i="2" s="1"/>
  <c r="DP167" i="2"/>
  <c r="DP169" i="2" s="1"/>
  <c r="DP170" i="2" s="1"/>
  <c r="DN204" i="2"/>
  <c r="DN205" i="2" s="1"/>
  <c r="DG239" i="2"/>
  <c r="DG240"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N164" i="2"/>
  <c r="DN165" i="2" s="1"/>
  <c r="DI131" i="2"/>
  <c r="DI132" i="2" s="1"/>
  <c r="DM131" i="2"/>
  <c r="DM132" i="2" s="1"/>
  <c r="DL131" i="2"/>
  <c r="DL132" i="2" s="1"/>
  <c r="DL164" i="2"/>
  <c r="DL165"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K307" i="2"/>
  <c r="DK308"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W164" i="2"/>
  <c r="CW165"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X164" i="2"/>
  <c r="CX165" i="2" s="1"/>
  <c r="CY239" i="2"/>
  <c r="CY240" i="2" s="1"/>
  <c r="CW274" i="2"/>
  <c r="CW275" i="2" s="1"/>
  <c r="DB19" i="2" s="1"/>
  <c r="CV347" i="2"/>
  <c r="CV348" i="2" s="1"/>
  <c r="CU347" i="2"/>
  <c r="CU348" i="2" s="1"/>
  <c r="CX382" i="2"/>
  <c r="CX383" i="2" s="1"/>
  <c r="DC382" i="2"/>
  <c r="DC383" i="2" s="1"/>
  <c r="DB382" i="2"/>
  <c r="DB383" i="2" s="1"/>
  <c r="CU417" i="2"/>
  <c r="CU418" i="2" s="1"/>
  <c r="CS32" i="2"/>
  <c r="CS137" i="2"/>
  <c r="DA164" i="2"/>
  <c r="DA165" i="2" s="1"/>
  <c r="CW239" i="2"/>
  <c r="CW240" i="2" s="1"/>
  <c r="CX274" i="2"/>
  <c r="CX275" i="2" s="1"/>
  <c r="DA19" i="2" s="1"/>
  <c r="CW347" i="2"/>
  <c r="CW348" i="2" s="1"/>
  <c r="DA347" i="2"/>
  <c r="DA348" i="2" s="1"/>
  <c r="CV417" i="2"/>
  <c r="CV418" i="2" s="1"/>
  <c r="CS423" i="2"/>
  <c r="DB452" i="2"/>
  <c r="DB453" i="2" s="1"/>
  <c r="CV239" i="2"/>
  <c r="CV240" i="2" s="1"/>
  <c r="CU274" i="2"/>
  <c r="CU275" i="2" s="1"/>
  <c r="DD19" i="2" s="1"/>
  <c r="DC274" i="2"/>
  <c r="DC275" i="2" s="1"/>
  <c r="DA307" i="2"/>
  <c r="DA308" i="2" s="1"/>
  <c r="DB417" i="2"/>
  <c r="DB418" i="2" s="1"/>
  <c r="CW452" i="2"/>
  <c r="CW453" i="2" s="1"/>
  <c r="DA204" i="2"/>
  <c r="DA205" i="2" s="1"/>
  <c r="CV274" i="2"/>
  <c r="CV275" i="2" s="1"/>
  <c r="DC19" i="2" s="1"/>
  <c r="DB274" i="2"/>
  <c r="DB275" i="2" s="1"/>
  <c r="CZ347" i="2"/>
  <c r="CZ348" i="2" s="1"/>
  <c r="CY382" i="2"/>
  <c r="CY383" i="2" s="1"/>
  <c r="CX452" i="2"/>
  <c r="CX453" i="2" s="1"/>
  <c r="CZ239" i="2"/>
  <c r="CZ240" i="2" s="1"/>
  <c r="CY274" i="2"/>
  <c r="CY275" i="2" s="1"/>
  <c r="CZ19" i="2" s="1"/>
  <c r="CX417" i="2"/>
  <c r="CX418" i="2" s="1"/>
  <c r="DA452" i="2"/>
  <c r="DA453" i="2" s="1"/>
  <c r="CI61" i="2"/>
  <c r="CI62" i="2" s="1"/>
  <c r="CR12" i="2" s="1"/>
  <c r="CQ239" i="2"/>
  <c r="CP239" i="2"/>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L12" i="2" s="1"/>
  <c r="CM61" i="2"/>
  <c r="CM62" i="2" s="1"/>
  <c r="CN12" i="2" s="1"/>
  <c r="CI96" i="2"/>
  <c r="CI97" i="2" s="1"/>
  <c r="CR13" i="2" s="1"/>
  <c r="CM96" i="2"/>
  <c r="CM97" i="2" s="1"/>
  <c r="CN13" i="2" s="1"/>
  <c r="CI131" i="2"/>
  <c r="CI132" i="2" s="1"/>
  <c r="CR17" i="2" s="1"/>
  <c r="CG137" i="2"/>
  <c r="CI274" i="2"/>
  <c r="CI275" i="2" s="1"/>
  <c r="CG280" i="2"/>
  <c r="CJ61" i="2"/>
  <c r="CJ62" i="2" s="1"/>
  <c r="CQ12" i="2" s="1"/>
  <c r="CN61" i="2"/>
  <c r="CN62" i="2" s="1"/>
  <c r="CM12" i="2" s="1"/>
  <c r="CJ96" i="2"/>
  <c r="CJ97" i="2" s="1"/>
  <c r="CQ13" i="2" s="1"/>
  <c r="CM204" i="2"/>
  <c r="CM205" i="2" s="1"/>
  <c r="CN14" i="2" s="1"/>
  <c r="CM239" i="2"/>
  <c r="CL239" i="2"/>
  <c r="CK61" i="2"/>
  <c r="CK62" i="2" s="1"/>
  <c r="CP12" i="2" s="1"/>
  <c r="CK96" i="2"/>
  <c r="CK97" i="2" s="1"/>
  <c r="CP13" i="2" s="1"/>
  <c r="CO96" i="2"/>
  <c r="CO97" i="2" s="1"/>
  <c r="CL13" i="2" s="1"/>
  <c r="CL96" i="2"/>
  <c r="CL97" i="2" s="1"/>
  <c r="CO13" i="2" s="1"/>
  <c r="CL131" i="2"/>
  <c r="CL132" i="2" s="1"/>
  <c r="CO17" i="2" s="1"/>
  <c r="CP131" i="2"/>
  <c r="CP132" i="2" s="1"/>
  <c r="CK17" i="2" s="1"/>
  <c r="CM131" i="2"/>
  <c r="CM132" i="2" s="1"/>
  <c r="CN17" i="2" s="1"/>
  <c r="CK131" i="2"/>
  <c r="CK132" i="2" s="1"/>
  <c r="CP17" i="2" s="1"/>
  <c r="CL347" i="2"/>
  <c r="CL348" i="2" s="1"/>
  <c r="CP347" i="2"/>
  <c r="CP348" i="2" s="1"/>
  <c r="CI452" i="2"/>
  <c r="CI453" i="2" s="1"/>
  <c r="CM452" i="2"/>
  <c r="CM453" i="2" s="1"/>
  <c r="CJ204" i="2"/>
  <c r="CJ205" i="2" s="1"/>
  <c r="CQ14" i="2" s="1"/>
  <c r="CN204" i="2"/>
  <c r="CN205" i="2" s="1"/>
  <c r="CM14" i="2" s="1"/>
  <c r="CJ239" i="2"/>
  <c r="CP307" i="2"/>
  <c r="CP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P14" i="2" s="1"/>
  <c r="CK239" i="2"/>
  <c r="CO239" i="2"/>
  <c r="CL274" i="2"/>
  <c r="CL275" i="2" s="1"/>
  <c r="CP274" i="2"/>
  <c r="CP275" i="2" s="1"/>
  <c r="CM274" i="2"/>
  <c r="CM275" i="2" s="1"/>
  <c r="CK274" i="2"/>
  <c r="CK275" i="2" s="1"/>
  <c r="CN347" i="2"/>
  <c r="CN348" i="2" s="1"/>
  <c r="CO382" i="2"/>
  <c r="CO383" i="2" s="1"/>
  <c r="CL452" i="2"/>
  <c r="CL453" i="2" s="1"/>
  <c r="CL204" i="2"/>
  <c r="CL205" i="2" s="1"/>
  <c r="CO14" i="2" s="1"/>
  <c r="CI204" i="2"/>
  <c r="CI205" i="2" s="1"/>
  <c r="CR14" i="2" s="1"/>
  <c r="CN239" i="2"/>
  <c r="CO274" i="2"/>
  <c r="CO275" i="2" s="1"/>
  <c r="CO307" i="2"/>
  <c r="CO308" i="2" s="1"/>
  <c r="CI347" i="2"/>
  <c r="CI348" i="2" s="1"/>
  <c r="CM347" i="2"/>
  <c r="CM348" i="2" s="1"/>
  <c r="CQ347" i="2"/>
  <c r="CQ348" i="2" s="1"/>
  <c r="CI382" i="2"/>
  <c r="CI383" i="2" s="1"/>
  <c r="CP417" i="2"/>
  <c r="CP418" i="2" s="1"/>
  <c r="BZ131" i="2"/>
  <c r="BX131" i="2"/>
  <c r="CA96" i="2"/>
  <c r="CA97" i="2" s="1"/>
  <c r="CB13" i="2" s="1"/>
  <c r="BY96" i="2"/>
  <c r="BY97" i="2" s="1"/>
  <c r="CD13" i="2" s="1"/>
  <c r="CE96" i="2"/>
  <c r="CE97" i="2" s="1"/>
  <c r="BX13" i="2" s="1"/>
  <c r="CC96" i="2"/>
  <c r="CC97" i="2" s="1"/>
  <c r="BZ13" i="2" s="1"/>
  <c r="BX96" i="2"/>
  <c r="BX97" i="2" s="1"/>
  <c r="CE13" i="2" s="1"/>
  <c r="CB96" i="2"/>
  <c r="CB97" i="2" s="1"/>
  <c r="CA13" i="2" s="1"/>
  <c r="CD61" i="2"/>
  <c r="CD62" i="2" s="1"/>
  <c r="BY12" i="2" s="1"/>
  <c r="BY204" i="2"/>
  <c r="BY205" i="2" s="1"/>
  <c r="CD14" i="2" s="1"/>
  <c r="BW204" i="2"/>
  <c r="BW205" i="2" s="1"/>
  <c r="CF14" i="2" s="1"/>
  <c r="CB204" i="2"/>
  <c r="CB205" i="2" s="1"/>
  <c r="CA14" i="2" s="1"/>
  <c r="BW274" i="2"/>
  <c r="BW275" i="2" s="1"/>
  <c r="BY452" i="2"/>
  <c r="BY453" i="2" s="1"/>
  <c r="BW61" i="2"/>
  <c r="BW62" i="2" s="1"/>
  <c r="CF12" i="2" s="1"/>
  <c r="BW131" i="2"/>
  <c r="CA131" i="2"/>
  <c r="CE164" i="2"/>
  <c r="CE165" i="2" s="1"/>
  <c r="CE166" i="2" s="1"/>
  <c r="CE167" i="2" s="1"/>
  <c r="BZ164" i="2"/>
  <c r="BZ165" i="2" s="1"/>
  <c r="BX164" i="2"/>
  <c r="BX165" i="2" s="1"/>
  <c r="CA239" i="2"/>
  <c r="BU353" i="2"/>
  <c r="BU318" i="2"/>
  <c r="BU210" i="2"/>
  <c r="BU423" i="2"/>
  <c r="BU175" i="2"/>
  <c r="BU388" i="2"/>
  <c r="BU245" i="2"/>
  <c r="BU137" i="2"/>
  <c r="CA61" i="2"/>
  <c r="CA62" i="2" s="1"/>
  <c r="CB12" i="2" s="1"/>
  <c r="BU32" i="2"/>
  <c r="BX61" i="2"/>
  <c r="BX62" i="2" s="1"/>
  <c r="CE12" i="2" s="1"/>
  <c r="BZ61" i="2"/>
  <c r="BZ62" i="2" s="1"/>
  <c r="CC12" i="2" s="1"/>
  <c r="CD96" i="2"/>
  <c r="CD97" i="2" s="1"/>
  <c r="BY13" i="2" s="1"/>
  <c r="CC131" i="2"/>
  <c r="CB131" i="2"/>
  <c r="CF167" i="2"/>
  <c r="CF169" i="2" s="1"/>
  <c r="CA204" i="2"/>
  <c r="CA205" i="2" s="1"/>
  <c r="CB14" i="2" s="1"/>
  <c r="BZ204" i="2"/>
  <c r="BZ205" i="2" s="1"/>
  <c r="CC14" i="2" s="1"/>
  <c r="BY274" i="2"/>
  <c r="BY275" i="2" s="1"/>
  <c r="BU280" i="2"/>
  <c r="BU67" i="2"/>
  <c r="CE61" i="2"/>
  <c r="CE62" i="2" s="1"/>
  <c r="BX12" i="2" s="1"/>
  <c r="BZ96" i="2"/>
  <c r="BZ97" i="2" s="1"/>
  <c r="CC13" i="2" s="1"/>
  <c r="BY131" i="2"/>
  <c r="CB239" i="2"/>
  <c r="CA274" i="2"/>
  <c r="CA275" i="2" s="1"/>
  <c r="CE274" i="2"/>
  <c r="CE275" i="2" s="1"/>
  <c r="CC274" i="2"/>
  <c r="CC275" i="2" s="1"/>
  <c r="BW452" i="2"/>
  <c r="BW453" i="2" s="1"/>
  <c r="CA452" i="2"/>
  <c r="CA453" i="2" s="1"/>
  <c r="CD274" i="2"/>
  <c r="CD275" i="2" s="1"/>
  <c r="CD307" i="2"/>
  <c r="CD308"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CE14" i="2" s="1"/>
  <c r="BW239" i="2"/>
  <c r="CE239" i="2"/>
  <c r="BZ274" i="2"/>
  <c r="BZ275" i="2" s="1"/>
  <c r="CE307" i="2"/>
  <c r="CE308" i="2" s="1"/>
  <c r="CE309" i="2" s="1"/>
  <c r="CE310" i="2" s="1"/>
  <c r="CF310" i="2"/>
  <c r="CF312" i="2" s="1"/>
  <c r="CF313" i="2" s="1"/>
  <c r="CB347" i="2"/>
  <c r="CB348" i="2" s="1"/>
  <c r="BZ452" i="2"/>
  <c r="BZ453" i="2" s="1"/>
  <c r="BX239" i="2"/>
  <c r="BW347" i="2"/>
  <c r="BW348" i="2" s="1"/>
  <c r="CA347" i="2"/>
  <c r="CA348" i="2" s="1"/>
  <c r="CE347" i="2"/>
  <c r="CE348" i="2" s="1"/>
  <c r="BW382" i="2"/>
  <c r="BW383" i="2" s="1"/>
  <c r="CD417" i="2"/>
  <c r="CD418" i="2" s="1"/>
  <c r="BL61" i="2"/>
  <c r="BL62" i="2" s="1"/>
  <c r="BS12" i="2" s="1"/>
  <c r="BL96" i="2"/>
  <c r="BL97" i="2" s="1"/>
  <c r="BS13" i="2" s="1"/>
  <c r="BM239" i="2"/>
  <c r="BP239" i="2"/>
  <c r="BR274" i="2"/>
  <c r="BR275" i="2" s="1"/>
  <c r="BQ274" i="2"/>
  <c r="BQ275" i="2" s="1"/>
  <c r="BP96" i="2"/>
  <c r="BP97" i="2" s="1"/>
  <c r="BO13" i="2" s="1"/>
  <c r="BN131" i="2"/>
  <c r="BK131" i="2"/>
  <c r="BR204" i="2"/>
  <c r="BR205" i="2" s="1"/>
  <c r="BM14" i="2" s="1"/>
  <c r="BQ307" i="2"/>
  <c r="BQ308" i="2" s="1"/>
  <c r="BP61" i="2"/>
  <c r="BP62" i="2" s="1"/>
  <c r="BO12" i="2" s="1"/>
  <c r="BO61" i="2"/>
  <c r="BO62" i="2" s="1"/>
  <c r="BP12" i="2" s="1"/>
  <c r="BN61" i="2"/>
  <c r="BN62" i="2" s="1"/>
  <c r="BQ12" i="2" s="1"/>
  <c r="BR61" i="2"/>
  <c r="BR62" i="2" s="1"/>
  <c r="BM12" i="2" s="1"/>
  <c r="BK96" i="2"/>
  <c r="BK97" i="2" s="1"/>
  <c r="BT13" i="2" s="1"/>
  <c r="BO96" i="2"/>
  <c r="BO97" i="2" s="1"/>
  <c r="BP13" i="2" s="1"/>
  <c r="BR96" i="2"/>
  <c r="BR97" i="2" s="1"/>
  <c r="BM13" i="2" s="1"/>
  <c r="BO131" i="2"/>
  <c r="BO239" i="2"/>
  <c r="BN239" i="2"/>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P131" i="2"/>
  <c r="BO274" i="2"/>
  <c r="BO275" i="2" s="1"/>
  <c r="BN382" i="2"/>
  <c r="BN383" i="2" s="1"/>
  <c r="BM382" i="2"/>
  <c r="BM383" i="2" s="1"/>
  <c r="BI388" i="2"/>
  <c r="BL417" i="2"/>
  <c r="BL418" i="2" s="1"/>
  <c r="BM204" i="2"/>
  <c r="BM205" i="2" s="1"/>
  <c r="BR14" i="2" s="1"/>
  <c r="BL347" i="2"/>
  <c r="BL348" i="2" s="1"/>
  <c r="BN417" i="2"/>
  <c r="BN418" i="2" s="1"/>
  <c r="BN452" i="2"/>
  <c r="BN453" i="2" s="1"/>
  <c r="BN164" i="2"/>
  <c r="BN165" i="2" s="1"/>
  <c r="BN204" i="2"/>
  <c r="BN205" i="2" s="1"/>
  <c r="BQ14" i="2" s="1"/>
  <c r="BL239" i="2"/>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N14" i="2" s="1"/>
  <c r="BL204" i="2"/>
  <c r="BL205" i="2" s="1"/>
  <c r="BS14" i="2" s="1"/>
  <c r="BK239" i="2"/>
  <c r="BS239" i="2"/>
  <c r="BR307" i="2"/>
  <c r="BR308" i="2" s="1"/>
  <c r="BO382" i="2"/>
  <c r="BO383" i="2" s="1"/>
  <c r="BL452" i="2"/>
  <c r="BL453" i="2" s="1"/>
  <c r="BP452" i="2"/>
  <c r="BP453" i="2" s="1"/>
  <c r="BM452" i="2"/>
  <c r="BM453" i="2" s="1"/>
  <c r="BC61" i="2"/>
  <c r="BC62" i="2" s="1"/>
  <c r="BD12" i="2" s="1"/>
  <c r="BC131" i="2"/>
  <c r="AY274" i="2"/>
  <c r="AY275" i="2" s="1"/>
  <c r="BB61" i="2"/>
  <c r="BB62" i="2" s="1"/>
  <c r="BE12" i="2" s="1"/>
  <c r="AZ96" i="2"/>
  <c r="AZ97" i="2" s="1"/>
  <c r="BG13" i="2" s="1"/>
  <c r="BE164" i="2"/>
  <c r="BE165" i="2" s="1"/>
  <c r="BB96" i="2"/>
  <c r="BB97" i="2" s="1"/>
  <c r="BE13" i="2" s="1"/>
  <c r="BB131" i="2"/>
  <c r="BA204" i="2"/>
  <c r="BA205" i="2" s="1"/>
  <c r="BF14" i="2" s="1"/>
  <c r="AY204" i="2"/>
  <c r="AY205" i="2" s="1"/>
  <c r="BH14" i="2" s="1"/>
  <c r="AW353" i="2"/>
  <c r="AW245" i="2"/>
  <c r="AW318" i="2"/>
  <c r="AW423" i="2"/>
  <c r="AW175" i="2"/>
  <c r="AW388" i="2"/>
  <c r="AW32" i="2"/>
  <c r="AW137" i="2"/>
  <c r="AW102" i="2"/>
  <c r="AZ61" i="2"/>
  <c r="AZ62" i="2" s="1"/>
  <c r="BG12" i="2" s="1"/>
  <c r="BD61" i="2"/>
  <c r="BD62" i="2" s="1"/>
  <c r="BC12" i="2" s="1"/>
  <c r="AY61" i="2"/>
  <c r="AY62" i="2" s="1"/>
  <c r="BH12" i="2" s="1"/>
  <c r="BA96" i="2"/>
  <c r="BA97" i="2" s="1"/>
  <c r="BF13" i="2" s="1"/>
  <c r="BE96" i="2"/>
  <c r="BE97" i="2" s="1"/>
  <c r="BB13" i="2" s="1"/>
  <c r="BF96" i="2"/>
  <c r="BF97" i="2" s="1"/>
  <c r="BA13" i="2" s="1"/>
  <c r="AW210" i="2"/>
  <c r="BC239" i="2"/>
  <c r="BB239" i="2"/>
  <c r="BG239" i="2"/>
  <c r="BF239" i="2"/>
  <c r="BA452" i="2"/>
  <c r="BA453" i="2" s="1"/>
  <c r="BB204" i="2"/>
  <c r="BB205" i="2" s="1"/>
  <c r="BE14" i="2" s="1"/>
  <c r="AZ239" i="2"/>
  <c r="BA347" i="2"/>
  <c r="BA348" i="2" s="1"/>
  <c r="BE347" i="2"/>
  <c r="BE348" i="2" s="1"/>
  <c r="BB382" i="2"/>
  <c r="BB383" i="2" s="1"/>
  <c r="BF382" i="2"/>
  <c r="BF383" i="2" s="1"/>
  <c r="BC382" i="2"/>
  <c r="BC383" i="2" s="1"/>
  <c r="BA382" i="2"/>
  <c r="BA383" i="2" s="1"/>
  <c r="BB417" i="2"/>
  <c r="BB418" i="2" s="1"/>
  <c r="AZ417" i="2"/>
  <c r="AZ418" i="2" s="1"/>
  <c r="BA239" i="2"/>
  <c r="BE239" i="2"/>
  <c r="BB274" i="2"/>
  <c r="BB275" i="2" s="1"/>
  <c r="BF274" i="2"/>
  <c r="BF275" i="2" s="1"/>
  <c r="BC274" i="2"/>
  <c r="BC275" i="2" s="1"/>
  <c r="BA274" i="2"/>
  <c r="BA275" i="2" s="1"/>
  <c r="BD347" i="2"/>
  <c r="BD348" i="2" s="1"/>
  <c r="BE382" i="2"/>
  <c r="BE383" i="2" s="1"/>
  <c r="BB452" i="2"/>
  <c r="BB453" i="2" s="1"/>
  <c r="AZ204" i="2"/>
  <c r="AZ205" i="2" s="1"/>
  <c r="BG14" i="2" s="1"/>
  <c r="BD204" i="2"/>
  <c r="BD205" i="2" s="1"/>
  <c r="BC14" i="2" s="1"/>
  <c r="BD239" i="2"/>
  <c r="BE274" i="2"/>
  <c r="BE275" i="2" s="1"/>
  <c r="AY347" i="2"/>
  <c r="AY348" i="2" s="1"/>
  <c r="BC347" i="2"/>
  <c r="BC348" i="2" s="1"/>
  <c r="BG347" i="2"/>
  <c r="BG348" i="2" s="1"/>
  <c r="AY382" i="2"/>
  <c r="AY383" i="2" s="1"/>
  <c r="BF417" i="2"/>
  <c r="BF418" i="2" s="1"/>
  <c r="AP61" i="2"/>
  <c r="AP62" i="2" s="1"/>
  <c r="AS12" i="2" s="1"/>
  <c r="AP96" i="2"/>
  <c r="AP97" i="2" s="1"/>
  <c r="AS13" i="2" s="1"/>
  <c r="AO96" i="2"/>
  <c r="AO97" i="2" s="1"/>
  <c r="AT13" i="2" s="1"/>
  <c r="AR61" i="2"/>
  <c r="AR62" i="2" s="1"/>
  <c r="AQ12" i="2" s="1"/>
  <c r="AT61" i="2"/>
  <c r="AT62" i="2" s="1"/>
  <c r="AO12" i="2" s="1"/>
  <c r="AS96" i="2"/>
  <c r="AS97" i="2" s="1"/>
  <c r="AP13" i="2" s="1"/>
  <c r="AP131" i="2"/>
  <c r="AN131" i="2"/>
  <c r="AU164" i="2"/>
  <c r="AU165" i="2" s="1"/>
  <c r="AU166" i="2" s="1"/>
  <c r="AU167" i="2" s="1"/>
  <c r="AO204" i="2"/>
  <c r="AO205" i="2" s="1"/>
  <c r="AT14" i="2" s="1"/>
  <c r="AQ417" i="2"/>
  <c r="AQ418" i="2" s="1"/>
  <c r="AN417" i="2"/>
  <c r="AN418" i="2" s="1"/>
  <c r="AM61" i="2"/>
  <c r="AM62" i="2" s="1"/>
  <c r="AV12" i="2" s="1"/>
  <c r="AQ61" i="2"/>
  <c r="AQ62" i="2" s="1"/>
  <c r="AR12" i="2" s="1"/>
  <c r="AN96" i="2"/>
  <c r="AN97" i="2" s="1"/>
  <c r="AU13" i="2" s="1"/>
  <c r="AR96" i="2"/>
  <c r="AR97" i="2" s="1"/>
  <c r="AQ13" i="2" s="1"/>
  <c r="AM96" i="2"/>
  <c r="AM97" i="2" s="1"/>
  <c r="AV13" i="2" s="1"/>
  <c r="AQ274" i="2"/>
  <c r="AQ275" i="2" s="1"/>
  <c r="AK353" i="2"/>
  <c r="AK245" i="2"/>
  <c r="AK318" i="2"/>
  <c r="AK210" i="2"/>
  <c r="AK423" i="2"/>
  <c r="AK175" i="2"/>
  <c r="AK67" i="2"/>
  <c r="AK32" i="2"/>
  <c r="AK280" i="2"/>
  <c r="AK137" i="2"/>
  <c r="AK388" i="2"/>
  <c r="AN61" i="2"/>
  <c r="AN62" i="2" s="1"/>
  <c r="AU12" i="2" s="1"/>
  <c r="AK102" i="2"/>
  <c r="AM131" i="2"/>
  <c r="AQ131" i="2"/>
  <c r="AT131" i="2"/>
  <c r="AQ347" i="2"/>
  <c r="AQ348" i="2" s="1"/>
  <c r="AP347" i="2"/>
  <c r="AP348" i="2" s="1"/>
  <c r="AU347" i="2"/>
  <c r="AU348" i="2" s="1"/>
  <c r="AT347" i="2"/>
  <c r="AT348" i="2" s="1"/>
  <c r="AS204" i="2"/>
  <c r="AS205" i="2" s="1"/>
  <c r="AP14" i="2" s="1"/>
  <c r="AM239" i="2"/>
  <c r="AQ239" i="2"/>
  <c r="AU239" i="2"/>
  <c r="AP274" i="2"/>
  <c r="AP275" i="2" s="1"/>
  <c r="AN347" i="2"/>
  <c r="AN348" i="2" s="1"/>
  <c r="AP417" i="2"/>
  <c r="AP418" i="2" s="1"/>
  <c r="AP452" i="2"/>
  <c r="AP453" i="2" s="1"/>
  <c r="AP204" i="2"/>
  <c r="AP205" i="2" s="1"/>
  <c r="AS14" i="2" s="1"/>
  <c r="AN239" i="2"/>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S239" i="2"/>
  <c r="AR239" i="2"/>
  <c r="AN274" i="2"/>
  <c r="AN275" i="2" s="1"/>
  <c r="AR274" i="2"/>
  <c r="AR275" i="2" s="1"/>
  <c r="AM274" i="2"/>
  <c r="AM275" i="2" s="1"/>
  <c r="AQ382" i="2"/>
  <c r="AQ383" i="2" s="1"/>
  <c r="AN452" i="2"/>
  <c r="AN453" i="2" s="1"/>
  <c r="AR452" i="2"/>
  <c r="AR453" i="2" s="1"/>
  <c r="AO452" i="2"/>
  <c r="AO453" i="2" s="1"/>
  <c r="AI96" i="2"/>
  <c r="AI97" i="2" s="1"/>
  <c r="AB13" i="2" s="1"/>
  <c r="AH96" i="2"/>
  <c r="AH97" i="2" s="1"/>
  <c r="AC13" i="2" s="1"/>
  <c r="AH131" i="2"/>
  <c r="AG131" i="2"/>
  <c r="AC61" i="2"/>
  <c r="AC62" i="2" s="1"/>
  <c r="AH12" i="2" s="1"/>
  <c r="AG61" i="2"/>
  <c r="AG62" i="2" s="1"/>
  <c r="AD12" i="2" s="1"/>
  <c r="AB61" i="2"/>
  <c r="AB62" i="2" s="1"/>
  <c r="AI12" i="2" s="1"/>
  <c r="AA61" i="2"/>
  <c r="AA62" i="2" s="1"/>
  <c r="AJ12" i="2" s="1"/>
  <c r="AJ61" i="2"/>
  <c r="AJ62" i="2" s="1"/>
  <c r="AA12" i="2" s="1"/>
  <c r="AI61" i="2"/>
  <c r="AI62" i="2" s="1"/>
  <c r="AB12" i="2" s="1"/>
  <c r="AA96" i="2"/>
  <c r="AA97" i="2" s="1"/>
  <c r="AJ13" i="2" s="1"/>
  <c r="AE96" i="2"/>
  <c r="AE97" i="2" s="1"/>
  <c r="AF13" i="2" s="1"/>
  <c r="AD96" i="2"/>
  <c r="AD97" i="2" s="1"/>
  <c r="AG13" i="2" s="1"/>
  <c r="AC96" i="2"/>
  <c r="AC97" i="2" s="1"/>
  <c r="AH13" i="2" s="1"/>
  <c r="AD131" i="2"/>
  <c r="AC131" i="2"/>
  <c r="AB131" i="2"/>
  <c r="AI164" i="2"/>
  <c r="AI165" i="2" s="1"/>
  <c r="AI166" i="2" s="1"/>
  <c r="AI167" i="2" s="1"/>
  <c r="Y353" i="2"/>
  <c r="Y245" i="2"/>
  <c r="Y318" i="2"/>
  <c r="Y210" i="2"/>
  <c r="Y423" i="2"/>
  <c r="Y175" i="2"/>
  <c r="Y280" i="2"/>
  <c r="Y67" i="2"/>
  <c r="Y32" i="2"/>
  <c r="Y388" i="2"/>
  <c r="Y137" i="2"/>
  <c r="AF61" i="2"/>
  <c r="AF62" i="2" s="1"/>
  <c r="AE12" i="2" s="1"/>
  <c r="AE61" i="2"/>
  <c r="AE62" i="2" s="1"/>
  <c r="AF12" i="2" s="1"/>
  <c r="AG96" i="2"/>
  <c r="AG97" i="2" s="1"/>
  <c r="AD13" i="2" s="1"/>
  <c r="AF131" i="2"/>
  <c r="AA204" i="2"/>
  <c r="AA205" i="2" s="1"/>
  <c r="AJ14" i="2" s="1"/>
  <c r="AE452" i="2"/>
  <c r="AE453" i="2" s="1"/>
  <c r="AF204" i="2"/>
  <c r="AF205" i="2" s="1"/>
  <c r="AE14" i="2" s="1"/>
  <c r="AE204" i="2"/>
  <c r="AE205" i="2" s="1"/>
  <c r="AF14" i="2" s="1"/>
  <c r="AF239" i="2"/>
  <c r="AB347" i="2"/>
  <c r="AB348" i="2" s="1"/>
  <c r="AD382" i="2"/>
  <c r="AD383" i="2" s="1"/>
  <c r="AH417" i="2"/>
  <c r="AH418" i="2" s="1"/>
  <c r="AG452" i="2"/>
  <c r="AG453" i="2" s="1"/>
  <c r="AA382" i="2"/>
  <c r="AA383" i="2" s="1"/>
  <c r="AD452" i="2"/>
  <c r="AD453" i="2" s="1"/>
  <c r="AF452" i="2"/>
  <c r="AF453" i="2" s="1"/>
  <c r="AG204" i="2"/>
  <c r="AG205" i="2" s="1"/>
  <c r="AD14" i="2" s="1"/>
  <c r="AA239" i="2"/>
  <c r="AI239" i="2"/>
  <c r="AB274" i="2"/>
  <c r="AB275" i="2" s="1"/>
  <c r="AF274" i="2"/>
  <c r="AF275" i="2" s="1"/>
  <c r="AA274" i="2"/>
  <c r="AA275" i="2" s="1"/>
  <c r="AE347" i="2"/>
  <c r="AE348" i="2" s="1"/>
  <c r="AE382" i="2"/>
  <c r="AE383" i="2" s="1"/>
  <c r="AC417" i="2"/>
  <c r="AC418" i="2" s="1"/>
  <c r="AB452" i="2"/>
  <c r="AB453" i="2" s="1"/>
  <c r="AE239" i="2"/>
  <c r="AC274" i="2"/>
  <c r="AC275" i="2" s="1"/>
  <c r="AB204" i="2"/>
  <c r="AB205" i="2" s="1"/>
  <c r="AI14" i="2" s="1"/>
  <c r="AC239" i="2"/>
  <c r="AG239" i="2"/>
  <c r="AB239" i="2"/>
  <c r="AD274" i="2"/>
  <c r="AD275" i="2" s="1"/>
  <c r="AF347" i="2"/>
  <c r="AF348" i="2" s="1"/>
  <c r="AH382" i="2"/>
  <c r="AH383" i="2" s="1"/>
  <c r="AD417" i="2"/>
  <c r="AD418" i="2" s="1"/>
  <c r="AC452" i="2"/>
  <c r="AC453" i="2" s="1"/>
  <c r="W239" i="2"/>
  <c r="V239" i="2"/>
  <c r="P61" i="2"/>
  <c r="P62" i="2" s="1"/>
  <c r="W12" i="2" s="1"/>
  <c r="Q96" i="2"/>
  <c r="Q97" i="2" s="1"/>
  <c r="V13" i="2" s="1"/>
  <c r="Q131" i="2"/>
  <c r="U131" i="2"/>
  <c r="R131" i="2"/>
  <c r="O274" i="2"/>
  <c r="O275" i="2" s="1"/>
  <c r="S239" i="2"/>
  <c r="R239" i="2"/>
  <c r="Q452" i="2"/>
  <c r="Q453" i="2" s="1"/>
  <c r="M353" i="2"/>
  <c r="M245" i="2"/>
  <c r="M318" i="2"/>
  <c r="M210" i="2"/>
  <c r="M423" i="2"/>
  <c r="M175" i="2"/>
  <c r="M388" i="2"/>
  <c r="M137" i="2"/>
  <c r="M102" i="2"/>
  <c r="M67" i="2"/>
  <c r="T61" i="2"/>
  <c r="T62" i="2" s="1"/>
  <c r="S12" i="2" s="1"/>
  <c r="R96" i="2"/>
  <c r="R97" i="2" s="1"/>
  <c r="U13" i="2" s="1"/>
  <c r="O96" i="2"/>
  <c r="O97" i="2" s="1"/>
  <c r="X13" i="2" s="1"/>
  <c r="T131" i="2"/>
  <c r="U164" i="2"/>
  <c r="U165" i="2" s="1"/>
  <c r="T164" i="2"/>
  <c r="T165" i="2" s="1"/>
  <c r="S204" i="2"/>
  <c r="S205" i="2" s="1"/>
  <c r="T14" i="2" s="1"/>
  <c r="O61" i="2"/>
  <c r="O62" i="2" s="1"/>
  <c r="X12" i="2" s="1"/>
  <c r="S61" i="2"/>
  <c r="S62" i="2" s="1"/>
  <c r="T12" i="2" s="1"/>
  <c r="V61" i="2"/>
  <c r="V62" i="2" s="1"/>
  <c r="Q12" i="2" s="1"/>
  <c r="S96" i="2"/>
  <c r="S97" i="2" s="1"/>
  <c r="T13" i="2" s="1"/>
  <c r="O131" i="2"/>
  <c r="S131" i="2"/>
  <c r="W131" i="2"/>
  <c r="O164" i="2"/>
  <c r="O165" i="2" s="1"/>
  <c r="R347" i="2"/>
  <c r="R348" i="2" s="1"/>
  <c r="V347" i="2"/>
  <c r="V348" i="2" s="1"/>
  <c r="O452" i="2"/>
  <c r="O453" i="2" s="1"/>
  <c r="S452" i="2"/>
  <c r="S453" i="2" s="1"/>
  <c r="P204" i="2"/>
  <c r="P205" i="2" s="1"/>
  <c r="W14" i="2" s="1"/>
  <c r="T204" i="2"/>
  <c r="T205" i="2" s="1"/>
  <c r="S14" i="2" s="1"/>
  <c r="P239" i="2"/>
  <c r="V307" i="2"/>
  <c r="V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U239" i="2"/>
  <c r="R274" i="2"/>
  <c r="R275" i="2" s="1"/>
  <c r="V274" i="2"/>
  <c r="V275" i="2" s="1"/>
  <c r="S274" i="2"/>
  <c r="S275" i="2" s="1"/>
  <c r="Q274" i="2"/>
  <c r="Q275" i="2" s="1"/>
  <c r="T347" i="2"/>
  <c r="T348" i="2" s="1"/>
  <c r="U382" i="2"/>
  <c r="U383" i="2" s="1"/>
  <c r="R452" i="2"/>
  <c r="R453" i="2" s="1"/>
  <c r="R204" i="2"/>
  <c r="R205" i="2" s="1"/>
  <c r="U14" i="2" s="1"/>
  <c r="O204" i="2"/>
  <c r="O205" i="2" s="1"/>
  <c r="X14" i="2" s="1"/>
  <c r="T239" i="2"/>
  <c r="U274" i="2"/>
  <c r="U275" i="2" s="1"/>
  <c r="Q307" i="2"/>
  <c r="Q308" i="2" s="1"/>
  <c r="O347" i="2"/>
  <c r="O348" i="2" s="1"/>
  <c r="S347" i="2"/>
  <c r="S348" i="2" s="1"/>
  <c r="W347" i="2"/>
  <c r="W348" i="2" s="1"/>
  <c r="O382" i="2"/>
  <c r="O383" i="2" s="1"/>
  <c r="V417" i="2"/>
  <c r="V418" i="2" s="1"/>
  <c r="A8" i="2"/>
  <c r="A7" i="2"/>
  <c r="CJ307" i="2" l="1"/>
  <c r="CJ308" i="2" s="1"/>
  <c r="BT169" i="2"/>
  <c r="AV169" i="2"/>
  <c r="AA307" i="2"/>
  <c r="AA308" i="2" s="1"/>
  <c r="AA309" i="2" s="1"/>
  <c r="AA310" i="2" s="1"/>
  <c r="CR169" i="2"/>
  <c r="CR170" i="2" s="1"/>
  <c r="CI26" i="2" s="1"/>
  <c r="CL164" i="2"/>
  <c r="CL165" i="2" s="1"/>
  <c r="CP164" i="2"/>
  <c r="CP165" i="2" s="1"/>
  <c r="CP166" i="2" s="1"/>
  <c r="CP167" i="2" s="1"/>
  <c r="CJ164" i="2"/>
  <c r="CJ165" i="2" s="1"/>
  <c r="CR312" i="2"/>
  <c r="CR313" i="2" s="1"/>
  <c r="BB164" i="2"/>
  <c r="BB165" i="2" s="1"/>
  <c r="BA164" i="2"/>
  <c r="BA165" i="2" s="1"/>
  <c r="AR164" i="2"/>
  <c r="AR165" i="2" s="1"/>
  <c r="BC164" i="2"/>
  <c r="BC165" i="2" s="1"/>
  <c r="AN164" i="2"/>
  <c r="AN165" i="2" s="1"/>
  <c r="AG164" i="2"/>
  <c r="AG165" i="2" s="1"/>
  <c r="CL240" i="2"/>
  <c r="CO25" i="2"/>
  <c r="CK240" i="2"/>
  <c r="CP25" i="2"/>
  <c r="CP240" i="2"/>
  <c r="CK25" i="2"/>
  <c r="CM240" i="2"/>
  <c r="CN25" i="2"/>
  <c r="CQ240" i="2"/>
  <c r="CJ25" i="2"/>
  <c r="CO240" i="2"/>
  <c r="CL25" i="2"/>
  <c r="CN240" i="2"/>
  <c r="CM25" i="2"/>
  <c r="CJ240" i="2"/>
  <c r="CQ25" i="2"/>
  <c r="CI240" i="2"/>
  <c r="CR25" i="2"/>
  <c r="CI307" i="2"/>
  <c r="CI308" i="2" s="1"/>
  <c r="CI18" i="2"/>
  <c r="CI21" i="2" s="1"/>
  <c r="CB240" i="2"/>
  <c r="CA25" i="2"/>
  <c r="BY240" i="2"/>
  <c r="CD25" i="2"/>
  <c r="CE240" i="2"/>
  <c r="BX25" i="2"/>
  <c r="CC240" i="2"/>
  <c r="BZ25" i="2"/>
  <c r="CA240" i="2"/>
  <c r="CB25" i="2"/>
  <c r="BX240" i="2"/>
  <c r="CE25" i="2"/>
  <c r="BW240" i="2"/>
  <c r="CF25" i="2"/>
  <c r="CC309" i="2"/>
  <c r="CC310" i="2" s="1"/>
  <c r="CD240" i="2"/>
  <c r="BY25" i="2"/>
  <c r="BZ240" i="2"/>
  <c r="CC25" i="2"/>
  <c r="CA132" i="2"/>
  <c r="CB17" i="2" s="1"/>
  <c r="CB21" i="2" s="1"/>
  <c r="CB26" i="2"/>
  <c r="BZ132" i="2"/>
  <c r="CC17" i="2" s="1"/>
  <c r="CC21" i="2" s="1"/>
  <c r="CC26" i="2"/>
  <c r="CD132" i="2"/>
  <c r="BY17" i="2" s="1"/>
  <c r="BY21" i="2" s="1"/>
  <c r="BY26" i="2"/>
  <c r="BW132" i="2"/>
  <c r="CF17" i="2" s="1"/>
  <c r="CF21" i="2" s="1"/>
  <c r="CF26" i="2"/>
  <c r="BY132" i="2"/>
  <c r="CD17" i="2" s="1"/>
  <c r="CD21" i="2" s="1"/>
  <c r="CD26" i="2"/>
  <c r="CF170" i="2"/>
  <c r="BW18" i="2"/>
  <c r="BW164" i="2"/>
  <c r="BW165" i="2" s="1"/>
  <c r="CB132" i="2"/>
  <c r="CA17" i="2" s="1"/>
  <c r="CA21" i="2" s="1"/>
  <c r="CA26" i="2"/>
  <c r="CC132" i="2"/>
  <c r="BZ17" i="2" s="1"/>
  <c r="BZ21" i="2" s="1"/>
  <c r="BZ26" i="2"/>
  <c r="CE132" i="2"/>
  <c r="BX17" i="2" s="1"/>
  <c r="BX21" i="2" s="1"/>
  <c r="BX26" i="2"/>
  <c r="BX132" i="2"/>
  <c r="CE17" i="2" s="1"/>
  <c r="CE21" i="2" s="1"/>
  <c r="CE26" i="2"/>
  <c r="BK240" i="2"/>
  <c r="BT25" i="2"/>
  <c r="BR240" i="2"/>
  <c r="BM25" i="2"/>
  <c r="BP307" i="2"/>
  <c r="BP308" i="2" s="1"/>
  <c r="BL240" i="2"/>
  <c r="BS25" i="2"/>
  <c r="BN240" i="2"/>
  <c r="BQ25" i="2"/>
  <c r="BO240" i="2"/>
  <c r="BP25" i="2"/>
  <c r="BP240" i="2"/>
  <c r="BO25" i="2"/>
  <c r="BS240" i="2"/>
  <c r="BL25" i="2"/>
  <c r="BM240" i="2"/>
  <c r="BR25" i="2"/>
  <c r="BQ240" i="2"/>
  <c r="BN25" i="2"/>
  <c r="BO132" i="2"/>
  <c r="BP17" i="2" s="1"/>
  <c r="BP21" i="2" s="1"/>
  <c r="BP26" i="2"/>
  <c r="BR132" i="2"/>
  <c r="BM17" i="2" s="1"/>
  <c r="BM21" i="2" s="1"/>
  <c r="BM26" i="2"/>
  <c r="BT170" i="2"/>
  <c r="BK18" i="2"/>
  <c r="BP132" i="2"/>
  <c r="BO17" i="2" s="1"/>
  <c r="BO21" i="2" s="1"/>
  <c r="BO26" i="2"/>
  <c r="BK132" i="2"/>
  <c r="BT17" i="2" s="1"/>
  <c r="BT21" i="2" s="1"/>
  <c r="BT26" i="2"/>
  <c r="BR164" i="2"/>
  <c r="BR165" i="2" s="1"/>
  <c r="BL132" i="2"/>
  <c r="BS17" i="2" s="1"/>
  <c r="BS21" i="2" s="1"/>
  <c r="BS26" i="2"/>
  <c r="BN132" i="2"/>
  <c r="BQ17" i="2" s="1"/>
  <c r="BQ21" i="2" s="1"/>
  <c r="BQ26" i="2"/>
  <c r="BS132" i="2"/>
  <c r="BL17" i="2" s="1"/>
  <c r="BL21" i="2" s="1"/>
  <c r="BL26" i="2"/>
  <c r="BQ132" i="2"/>
  <c r="BN17" i="2" s="1"/>
  <c r="BN21" i="2" s="1"/>
  <c r="BN26" i="2"/>
  <c r="BM132" i="2"/>
  <c r="BR17" i="2" s="1"/>
  <c r="BR21" i="2" s="1"/>
  <c r="BR26" i="2"/>
  <c r="BQ164" i="2"/>
  <c r="BQ165" i="2" s="1"/>
  <c r="BQ166" i="2" s="1"/>
  <c r="BQ167" i="2" s="1"/>
  <c r="BM164" i="2"/>
  <c r="BM165" i="2" s="1"/>
  <c r="BP164" i="2"/>
  <c r="BP165" i="2" s="1"/>
  <c r="BP166" i="2" s="1"/>
  <c r="BP167" i="2" s="1"/>
  <c r="BL164" i="2"/>
  <c r="BL165" i="2" s="1"/>
  <c r="BK164" i="2"/>
  <c r="BK165" i="2" s="1"/>
  <c r="BC240" i="2"/>
  <c r="BD25" i="2"/>
  <c r="AZ240" i="2"/>
  <c r="BG25" i="2"/>
  <c r="BD240" i="2"/>
  <c r="BC25" i="2"/>
  <c r="BF240" i="2"/>
  <c r="BA25" i="2"/>
  <c r="AY240" i="2"/>
  <c r="BH25" i="2"/>
  <c r="BA240" i="2"/>
  <c r="BF25" i="2"/>
  <c r="BG240" i="2"/>
  <c r="AZ25" i="2"/>
  <c r="BC307" i="2"/>
  <c r="BC308" i="2" s="1"/>
  <c r="BE240" i="2"/>
  <c r="BB25" i="2"/>
  <c r="BB240" i="2"/>
  <c r="BE25" i="2"/>
  <c r="BD132" i="2"/>
  <c r="BC17" i="2" s="1"/>
  <c r="BC21" i="2" s="1"/>
  <c r="BC26" i="2"/>
  <c r="BC132" i="2"/>
  <c r="BD17" i="2" s="1"/>
  <c r="BD21" i="2" s="1"/>
  <c r="BD26" i="2"/>
  <c r="AZ132" i="2"/>
  <c r="BG17" i="2" s="1"/>
  <c r="BG21" i="2" s="1"/>
  <c r="BG26" i="2"/>
  <c r="BH170" i="2"/>
  <c r="AY18" i="2"/>
  <c r="BB132" i="2"/>
  <c r="BE17" i="2" s="1"/>
  <c r="BE21" i="2" s="1"/>
  <c r="BE26" i="2"/>
  <c r="BE132" i="2"/>
  <c r="BB17" i="2" s="1"/>
  <c r="BB21" i="2" s="1"/>
  <c r="BB26" i="2"/>
  <c r="BF132" i="2"/>
  <c r="BA17" i="2" s="1"/>
  <c r="BA21" i="2" s="1"/>
  <c r="BA26" i="2"/>
  <c r="BG132" i="2"/>
  <c r="AZ17" i="2" s="1"/>
  <c r="AZ21" i="2" s="1"/>
  <c r="AZ26" i="2"/>
  <c r="AY132" i="2"/>
  <c r="BH17" i="2" s="1"/>
  <c r="BH21" i="2" s="1"/>
  <c r="BH26" i="2"/>
  <c r="BA132" i="2"/>
  <c r="BF17" i="2" s="1"/>
  <c r="BF21" i="2" s="1"/>
  <c r="BF26" i="2"/>
  <c r="AY164" i="2"/>
  <c r="AY165" i="2" s="1"/>
  <c r="AS240" i="2"/>
  <c r="AP25" i="2"/>
  <c r="AR240" i="2"/>
  <c r="AQ25" i="2"/>
  <c r="AO240" i="2"/>
  <c r="AT25" i="2"/>
  <c r="AU240" i="2"/>
  <c r="AN25" i="2"/>
  <c r="AP240" i="2"/>
  <c r="AS25" i="2"/>
  <c r="AT240" i="2"/>
  <c r="AO25" i="2"/>
  <c r="AQ240" i="2"/>
  <c r="AR25" i="2"/>
  <c r="AM240" i="2"/>
  <c r="AV25" i="2"/>
  <c r="AN240" i="2"/>
  <c r="AU25" i="2"/>
  <c r="AT307" i="2"/>
  <c r="AT308" i="2" s="1"/>
  <c r="AT309" i="2" s="1"/>
  <c r="AT310" i="2" s="1"/>
  <c r="AT132" i="2"/>
  <c r="AO17" i="2" s="1"/>
  <c r="AO21" i="2" s="1"/>
  <c r="AO26" i="2"/>
  <c r="AV170" i="2"/>
  <c r="AM18" i="2"/>
  <c r="AQ132" i="2"/>
  <c r="AR17" i="2" s="1"/>
  <c r="AR21" i="2" s="1"/>
  <c r="AR26" i="2"/>
  <c r="AP132" i="2"/>
  <c r="AS17" i="2" s="1"/>
  <c r="AS21" i="2" s="1"/>
  <c r="AS26" i="2"/>
  <c r="AM132" i="2"/>
  <c r="AV17" i="2" s="1"/>
  <c r="AV21" i="2" s="1"/>
  <c r="AV26" i="2"/>
  <c r="AR132" i="2"/>
  <c r="AQ17" i="2" s="1"/>
  <c r="AQ21" i="2" s="1"/>
  <c r="AQ26" i="2"/>
  <c r="AN132" i="2"/>
  <c r="AU17" i="2" s="1"/>
  <c r="AU21" i="2" s="1"/>
  <c r="AU26" i="2"/>
  <c r="AS132" i="2"/>
  <c r="AP17" i="2" s="1"/>
  <c r="AP21" i="2" s="1"/>
  <c r="AP26" i="2"/>
  <c r="AO132" i="2"/>
  <c r="AT17" i="2" s="1"/>
  <c r="AT21" i="2" s="1"/>
  <c r="AT26" i="2"/>
  <c r="AU132" i="2"/>
  <c r="AN17" i="2" s="1"/>
  <c r="AN21" i="2" s="1"/>
  <c r="AN26" i="2"/>
  <c r="AP164" i="2"/>
  <c r="AP165" i="2" s="1"/>
  <c r="AT164" i="2"/>
  <c r="AT165" i="2" s="1"/>
  <c r="AS166" i="2" s="1"/>
  <c r="AS167" i="2" s="1"/>
  <c r="AB240" i="2"/>
  <c r="AI25" i="2"/>
  <c r="AF240" i="2"/>
  <c r="AE25" i="2"/>
  <c r="AG240" i="2"/>
  <c r="AD25" i="2"/>
  <c r="AC240" i="2"/>
  <c r="AH25" i="2"/>
  <c r="AD240" i="2"/>
  <c r="AG25" i="2"/>
  <c r="AE240" i="2"/>
  <c r="AF25" i="2"/>
  <c r="AI240" i="2"/>
  <c r="AB25" i="2"/>
  <c r="AC307" i="2"/>
  <c r="AC308" i="2" s="1"/>
  <c r="AA240" i="2"/>
  <c r="AJ25" i="2"/>
  <c r="AH240" i="2"/>
  <c r="AC25" i="2"/>
  <c r="AB132" i="2"/>
  <c r="AI17" i="2" s="1"/>
  <c r="AI21" i="2" s="1"/>
  <c r="AI26" i="2"/>
  <c r="AD132" i="2"/>
  <c r="AG17" i="2" s="1"/>
  <c r="AG21" i="2" s="1"/>
  <c r="AG26" i="2"/>
  <c r="AG132" i="2"/>
  <c r="AD17" i="2" s="1"/>
  <c r="AD21" i="2" s="1"/>
  <c r="AD26" i="2"/>
  <c r="AH132" i="2"/>
  <c r="AC17" i="2" s="1"/>
  <c r="AC21" i="2" s="1"/>
  <c r="AC26" i="2"/>
  <c r="AE164" i="2"/>
  <c r="AE165" i="2" s="1"/>
  <c r="AJ170" i="2"/>
  <c r="AA18" i="2"/>
  <c r="AF132" i="2"/>
  <c r="AE17" i="2" s="1"/>
  <c r="AE21" i="2" s="1"/>
  <c r="AE26" i="2"/>
  <c r="AI132" i="2"/>
  <c r="AB17" i="2" s="1"/>
  <c r="AB21" i="2" s="1"/>
  <c r="AB26" i="2"/>
  <c r="AE132" i="2"/>
  <c r="AF17" i="2" s="1"/>
  <c r="AF21" i="2" s="1"/>
  <c r="AF26" i="2"/>
  <c r="AC132" i="2"/>
  <c r="AH17" i="2" s="1"/>
  <c r="AH21" i="2" s="1"/>
  <c r="AH26" i="2"/>
  <c r="AA132" i="2"/>
  <c r="AJ17" i="2" s="1"/>
  <c r="AJ21" i="2" s="1"/>
  <c r="AJ26" i="2"/>
  <c r="AD164" i="2"/>
  <c r="AD165" i="2" s="1"/>
  <c r="S240" i="2"/>
  <c r="T25" i="2"/>
  <c r="W240" i="2"/>
  <c r="P25" i="2"/>
  <c r="O240" i="2"/>
  <c r="X25" i="2"/>
  <c r="T240" i="2"/>
  <c r="S25" i="2"/>
  <c r="P240" i="2"/>
  <c r="W25" i="2"/>
  <c r="U240" i="2"/>
  <c r="R25" i="2"/>
  <c r="Q240" i="2"/>
  <c r="V25" i="2"/>
  <c r="R240" i="2"/>
  <c r="U25" i="2"/>
  <c r="V240" i="2"/>
  <c r="Q25" i="2"/>
  <c r="W132" i="2"/>
  <c r="P17" i="2" s="1"/>
  <c r="P21" i="2" s="1"/>
  <c r="P26" i="2"/>
  <c r="S132" i="2"/>
  <c r="T17" i="2" s="1"/>
  <c r="T21" i="2" s="1"/>
  <c r="T26" i="2"/>
  <c r="T132" i="2"/>
  <c r="S17" i="2" s="1"/>
  <c r="S21" i="2" s="1"/>
  <c r="S26" i="2"/>
  <c r="O132" i="2"/>
  <c r="X17" i="2" s="1"/>
  <c r="X21" i="2" s="1"/>
  <c r="X26" i="2"/>
  <c r="P132" i="2"/>
  <c r="W17" i="2" s="1"/>
  <c r="W21" i="2" s="1"/>
  <c r="W26" i="2"/>
  <c r="X170" i="2"/>
  <c r="O18" i="2"/>
  <c r="R132" i="2"/>
  <c r="U17" i="2" s="1"/>
  <c r="U21" i="2" s="1"/>
  <c r="U26" i="2"/>
  <c r="U132" i="2"/>
  <c r="R17" i="2" s="1"/>
  <c r="R21" i="2" s="1"/>
  <c r="R26" i="2"/>
  <c r="Q132" i="2"/>
  <c r="V17" i="2" s="1"/>
  <c r="V21" i="2" s="1"/>
  <c r="V26" i="2"/>
  <c r="V132" i="2"/>
  <c r="Q17" i="2" s="1"/>
  <c r="Q21" i="2" s="1"/>
  <c r="Q26" i="2"/>
  <c r="S164" i="2"/>
  <c r="S165" i="2" s="1"/>
  <c r="S166" i="2" s="1"/>
  <c r="S167" i="2" s="1"/>
  <c r="DN309" i="2"/>
  <c r="DN310" i="2" s="1"/>
  <c r="DN312" i="2" s="1"/>
  <c r="DN313" i="2" s="1"/>
  <c r="CN307" i="2"/>
  <c r="CN308" i="2" s="1"/>
  <c r="CI164" i="2"/>
  <c r="CI165" i="2" s="1"/>
  <c r="CB164" i="2"/>
  <c r="CB165" i="2" s="1"/>
  <c r="CM164" i="2"/>
  <c r="CM165" i="2" s="1"/>
  <c r="AP307" i="2"/>
  <c r="AP308" i="2" s="1"/>
  <c r="AM309" i="2" s="1"/>
  <c r="AM310" i="2" s="1"/>
  <c r="BD307" i="2"/>
  <c r="BD308" i="2" s="1"/>
  <c r="BC309" i="2" s="1"/>
  <c r="BC310" i="2" s="1"/>
  <c r="AB307" i="2"/>
  <c r="AB308" i="2" s="1"/>
  <c r="AB309" i="2" s="1"/>
  <c r="AB310" i="2" s="1"/>
  <c r="AH164" i="2"/>
  <c r="AH165" i="2" s="1"/>
  <c r="AH166" i="2" s="1"/>
  <c r="AH167" i="2" s="1"/>
  <c r="AB164" i="2"/>
  <c r="AB165" i="2" s="1"/>
  <c r="AQ164" i="2"/>
  <c r="AQ165" i="2" s="1"/>
  <c r="AO166" i="2" s="1"/>
  <c r="AO167" i="2" s="1"/>
  <c r="DI164" i="2"/>
  <c r="DI165" i="2" s="1"/>
  <c r="CX307" i="2"/>
  <c r="CX308" i="2" s="1"/>
  <c r="CO164" i="2"/>
  <c r="CO165" i="2" s="1"/>
  <c r="CO166" i="2" s="1"/>
  <c r="CO167" i="2" s="1"/>
  <c r="CU307" i="2"/>
  <c r="CU308" i="2" s="1"/>
  <c r="AZ307" i="2"/>
  <c r="AZ308" i="2" s="1"/>
  <c r="AA164" i="2"/>
  <c r="AA165" i="2" s="1"/>
  <c r="BY164" i="2"/>
  <c r="BY165" i="2" s="1"/>
  <c r="CC164" i="2"/>
  <c r="CC165" i="2" s="1"/>
  <c r="CV164" i="2"/>
  <c r="CV165" i="2" s="1"/>
  <c r="BM307" i="2"/>
  <c r="BM308" i="2" s="1"/>
  <c r="BL309" i="2" s="1"/>
  <c r="BL310" i="2" s="1"/>
  <c r="AD307" i="2"/>
  <c r="AD308" i="2" s="1"/>
  <c r="AD309" i="2" s="1"/>
  <c r="AD310" i="2" s="1"/>
  <c r="P164" i="2"/>
  <c r="P165" i="2" s="1"/>
  <c r="CK307" i="2"/>
  <c r="CK308" i="2" s="1"/>
  <c r="BD164" i="2"/>
  <c r="BD165" i="2" s="1"/>
  <c r="AY307" i="2"/>
  <c r="AY308" i="2" s="1"/>
  <c r="P307" i="2"/>
  <c r="P308" i="2" s="1"/>
  <c r="T307" i="2"/>
  <c r="T308" i="2" s="1"/>
  <c r="BO307" i="2"/>
  <c r="BO308" i="2" s="1"/>
  <c r="BN309" i="2" s="1"/>
  <c r="BN310" i="2" s="1"/>
  <c r="AZ164" i="2"/>
  <c r="AZ165" i="2" s="1"/>
  <c r="V309" i="2"/>
  <c r="V310" i="2" s="1"/>
  <c r="V166" i="2"/>
  <c r="V167" i="2" s="1"/>
  <c r="BF164" i="2"/>
  <c r="BF165" i="2" s="1"/>
  <c r="BF166" i="2" s="1"/>
  <c r="BF167" i="2" s="1"/>
  <c r="DG307" i="2"/>
  <c r="DG308" i="2" s="1"/>
  <c r="CZ307" i="2"/>
  <c r="CZ308" i="2" s="1"/>
  <c r="CX309" i="2" s="1"/>
  <c r="CX310" i="2" s="1"/>
  <c r="CX312" i="2" s="1"/>
  <c r="CX313" i="2" s="1"/>
  <c r="BR166" i="2"/>
  <c r="BR167" i="2" s="1"/>
  <c r="BR309" i="2"/>
  <c r="BR310" i="2" s="1"/>
  <c r="CP309" i="2"/>
  <c r="CP310" i="2" s="1"/>
  <c r="BE309" i="2"/>
  <c r="BE310" i="2" s="1"/>
  <c r="CO309" i="2"/>
  <c r="CO310" i="2" s="1"/>
  <c r="DN166" i="2"/>
  <c r="DN167" i="2" s="1"/>
  <c r="DN169" i="2" s="1"/>
  <c r="DN170" i="2" s="1"/>
  <c r="U309" i="2"/>
  <c r="U310" i="2" s="1"/>
  <c r="DB309" i="2"/>
  <c r="DB310" i="2" s="1"/>
  <c r="DB312" i="2" s="1"/>
  <c r="DB313" i="2" s="1"/>
  <c r="AQ309" i="2"/>
  <c r="AQ310" i="2" s="1"/>
  <c r="AR309" i="2"/>
  <c r="AR310" i="2" s="1"/>
  <c r="AS309" i="2"/>
  <c r="AS310" i="2" s="1"/>
  <c r="AP309" i="2"/>
  <c r="AP310" i="2" s="1"/>
  <c r="AM164" i="2"/>
  <c r="AM165" i="2" s="1"/>
  <c r="BB307" i="2"/>
  <c r="BB308" i="2" s="1"/>
  <c r="CZ166" i="2"/>
  <c r="CZ167" i="2" s="1"/>
  <c r="CZ169" i="2" s="1"/>
  <c r="CZ170" i="2" s="1"/>
  <c r="AH309" i="2"/>
  <c r="AH310" i="2" s="1"/>
  <c r="BO164" i="2"/>
  <c r="BO165" i="2" s="1"/>
  <c r="R164" i="2"/>
  <c r="R165" i="2" s="1"/>
  <c r="CD166" i="2"/>
  <c r="CD167" i="2" s="1"/>
  <c r="DA166" i="2"/>
  <c r="DA167" i="2" s="1"/>
  <c r="DA169" i="2" s="1"/>
  <c r="DA170" i="2" s="1"/>
  <c r="CW307" i="2"/>
  <c r="CW308" i="2" s="1"/>
  <c r="CD309" i="2"/>
  <c r="CD310" i="2" s="1"/>
  <c r="CL307" i="2"/>
  <c r="CL308"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Y309" i="2"/>
  <c r="CY310" i="2" s="1"/>
  <c r="CY312" i="2" s="1"/>
  <c r="CY313" i="2" s="1"/>
  <c r="CZ309" i="2"/>
  <c r="CZ310" i="2" s="1"/>
  <c r="CZ312" i="2" s="1"/>
  <c r="CZ313" i="2" s="1"/>
  <c r="CY164" i="2"/>
  <c r="CY165" i="2" s="1"/>
  <c r="CY166" i="2" s="1"/>
  <c r="CY167" i="2" s="1"/>
  <c r="CY169" i="2" s="1"/>
  <c r="CY170" i="2" s="1"/>
  <c r="DB166" i="2"/>
  <c r="DB167" i="2" s="1"/>
  <c r="DB169" i="2" s="1"/>
  <c r="DB170" i="2" s="1"/>
  <c r="CN309" i="2"/>
  <c r="CN310" i="2" s="1"/>
  <c r="CM309" i="2"/>
  <c r="CM310" i="2" s="1"/>
  <c r="CN166" i="2"/>
  <c r="CN167" i="2" s="1"/>
  <c r="BZ307" i="2"/>
  <c r="BZ308" i="2" s="1"/>
  <c r="BZ309" i="2" s="1"/>
  <c r="BZ310" i="2" s="1"/>
  <c r="CA309" i="2"/>
  <c r="CA310" i="2" s="1"/>
  <c r="BY307" i="2"/>
  <c r="BY308" i="2" s="1"/>
  <c r="CB309" i="2"/>
  <c r="CB310" i="2" s="1"/>
  <c r="BW307" i="2"/>
  <c r="BW308" i="2" s="1"/>
  <c r="BO309" i="2"/>
  <c r="BO310" i="2" s="1"/>
  <c r="BM309" i="2"/>
  <c r="BM310" i="2" s="1"/>
  <c r="BK309" i="2"/>
  <c r="BK310" i="2" s="1"/>
  <c r="BP309" i="2"/>
  <c r="BP310" i="2" s="1"/>
  <c r="BQ309" i="2"/>
  <c r="BQ310" i="2" s="1"/>
  <c r="AO309" i="2"/>
  <c r="AO310" i="2" s="1"/>
  <c r="AN309" i="2"/>
  <c r="AN310" i="2" s="1"/>
  <c r="AC309" i="2"/>
  <c r="AC310" i="2" s="1"/>
  <c r="AG309" i="2"/>
  <c r="AG310" i="2" s="1"/>
  <c r="AF309" i="2"/>
  <c r="AF310" i="2" s="1"/>
  <c r="AC164" i="2"/>
  <c r="AC165" i="2" s="1"/>
  <c r="AE309" i="2"/>
  <c r="AE310" i="2" s="1"/>
  <c r="T166" i="2"/>
  <c r="T167" i="2" s="1"/>
  <c r="S307" i="2"/>
  <c r="S308" i="2" s="1"/>
  <c r="S309" i="2" s="1"/>
  <c r="S310" i="2" s="1"/>
  <c r="U166" i="2"/>
  <c r="U167" i="2" s="1"/>
  <c r="T309" i="2"/>
  <c r="T310" i="2" s="1"/>
  <c r="R307" i="2"/>
  <c r="R308" i="2" s="1"/>
  <c r="BD309" i="2" l="1"/>
  <c r="BD310" i="2" s="1"/>
  <c r="CI166" i="2"/>
  <c r="CI167" i="2" s="1"/>
  <c r="CB166" i="2"/>
  <c r="CB167" i="2" s="1"/>
  <c r="BW166" i="2"/>
  <c r="BW167" i="2" s="1"/>
  <c r="BC166" i="2"/>
  <c r="BC167" i="2" s="1"/>
  <c r="AP166" i="2"/>
  <c r="AP167" i="2" s="1"/>
  <c r="AD166" i="2"/>
  <c r="AD167" i="2" s="1"/>
  <c r="R166" i="2"/>
  <c r="R167" i="2" s="1"/>
  <c r="AY166" i="2"/>
  <c r="AY167" i="2" s="1"/>
  <c r="AG166" i="2"/>
  <c r="AG167" i="2" s="1"/>
  <c r="CM168" i="2"/>
  <c r="CM311" i="2"/>
  <c r="CM312" i="2" s="1"/>
  <c r="CM313" i="2" s="1"/>
  <c r="CN15" i="2"/>
  <c r="CN16" i="2" s="1"/>
  <c r="CN311" i="2"/>
  <c r="CN312" i="2" s="1"/>
  <c r="CN313" i="2" s="1"/>
  <c r="CN168" i="2"/>
  <c r="CN169" i="2" s="1"/>
  <c r="CN170" i="2" s="1"/>
  <c r="CM26" i="2" s="1"/>
  <c r="CM15" i="2"/>
  <c r="CM16" i="2" s="1"/>
  <c r="CP168" i="2"/>
  <c r="CP311" i="2"/>
  <c r="CP312" i="2" s="1"/>
  <c r="CP313" i="2" s="1"/>
  <c r="CK15" i="2"/>
  <c r="CK16" i="2" s="1"/>
  <c r="CK309" i="2"/>
  <c r="CK310" i="2" s="1"/>
  <c r="CK312" i="2" s="1"/>
  <c r="CK313" i="2" s="1"/>
  <c r="CO168" i="2"/>
  <c r="CO169" i="2" s="1"/>
  <c r="CO311" i="2"/>
  <c r="CO312" i="2" s="1"/>
  <c r="CO313" i="2" s="1"/>
  <c r="CL15" i="2"/>
  <c r="CL16" i="2" s="1"/>
  <c r="CJ311" i="2"/>
  <c r="CJ168" i="2"/>
  <c r="CQ15" i="2"/>
  <c r="CQ16" i="2" s="1"/>
  <c r="CK311" i="2"/>
  <c r="CK168" i="2"/>
  <c r="CP15" i="2"/>
  <c r="CP16" i="2" s="1"/>
  <c r="CP169" i="2"/>
  <c r="CP170" i="2" s="1"/>
  <c r="CK26" i="2" s="1"/>
  <c r="CI311" i="2"/>
  <c r="CI168" i="2"/>
  <c r="CI169" i="2" s="1"/>
  <c r="CR15" i="2"/>
  <c r="CR16" i="2" s="1"/>
  <c r="CQ311" i="2"/>
  <c r="CQ312" i="2" s="1"/>
  <c r="CQ313" i="2" s="1"/>
  <c r="CQ168" i="2"/>
  <c r="CQ169" i="2" s="1"/>
  <c r="CJ15" i="2"/>
  <c r="CJ16" i="2" s="1"/>
  <c r="CL311" i="2"/>
  <c r="CL168" i="2"/>
  <c r="CO15" i="2"/>
  <c r="CO16" i="2" s="1"/>
  <c r="CK166" i="2"/>
  <c r="CK167" i="2" s="1"/>
  <c r="CL166" i="2"/>
  <c r="CL167" i="2" s="1"/>
  <c r="CM166" i="2"/>
  <c r="CM167" i="2" s="1"/>
  <c r="CM169" i="2" s="1"/>
  <c r="CJ166" i="2"/>
  <c r="CJ167" i="2" s="1"/>
  <c r="CJ169" i="2" s="1"/>
  <c r="CK18" i="2"/>
  <c r="CK21" i="2" s="1"/>
  <c r="CM18" i="2"/>
  <c r="CM21" i="2" s="1"/>
  <c r="CC168" i="2"/>
  <c r="CC311" i="2"/>
  <c r="BZ15" i="2"/>
  <c r="BZ16" i="2" s="1"/>
  <c r="BW311" i="2"/>
  <c r="BW168" i="2"/>
  <c r="BW169" i="2" s="1"/>
  <c r="CF15" i="2"/>
  <c r="CF16" i="2" s="1"/>
  <c r="CE168" i="2"/>
  <c r="CE169" i="2" s="1"/>
  <c r="CE311" i="2"/>
  <c r="CE312" i="2" s="1"/>
  <c r="CE313" i="2" s="1"/>
  <c r="BX15" i="2"/>
  <c r="BX16" i="2" s="1"/>
  <c r="BZ168" i="2"/>
  <c r="BZ311" i="2"/>
  <c r="BZ312" i="2" s="1"/>
  <c r="BZ313" i="2" s="1"/>
  <c r="CC15" i="2"/>
  <c r="CC16" i="2" s="1"/>
  <c r="BX168" i="2"/>
  <c r="BX311" i="2"/>
  <c r="CE15" i="2"/>
  <c r="CE16" i="2" s="1"/>
  <c r="BY168" i="2"/>
  <c r="BY311" i="2"/>
  <c r="CD15" i="2"/>
  <c r="CD16" i="2" s="1"/>
  <c r="CD168" i="2"/>
  <c r="CD169" i="2" s="1"/>
  <c r="CD311" i="2"/>
  <c r="CD312" i="2" s="1"/>
  <c r="CD313" i="2" s="1"/>
  <c r="BY15" i="2"/>
  <c r="BY16" i="2" s="1"/>
  <c r="CA168" i="2"/>
  <c r="CA311" i="2"/>
  <c r="CA312" i="2" s="1"/>
  <c r="CA313" i="2" s="1"/>
  <c r="CB15" i="2"/>
  <c r="CB16" i="2" s="1"/>
  <c r="CC312" i="2"/>
  <c r="CC313" i="2" s="1"/>
  <c r="CB311" i="2"/>
  <c r="CB312" i="2" s="1"/>
  <c r="CB313" i="2" s="1"/>
  <c r="CB168" i="2"/>
  <c r="CB169" i="2" s="1"/>
  <c r="CA15" i="2"/>
  <c r="CA16" i="2" s="1"/>
  <c r="BY166" i="2"/>
  <c r="BY167" i="2" s="1"/>
  <c r="CC166" i="2"/>
  <c r="CC167" i="2" s="1"/>
  <c r="CA166" i="2"/>
  <c r="CA167" i="2" s="1"/>
  <c r="CA169" i="2" s="1"/>
  <c r="BZ166" i="2"/>
  <c r="BZ167" i="2" s="1"/>
  <c r="BP311" i="2"/>
  <c r="BP312" i="2" s="1"/>
  <c r="BP313" i="2" s="1"/>
  <c r="BP168" i="2"/>
  <c r="BP169" i="2" s="1"/>
  <c r="BO15" i="2"/>
  <c r="BO16" i="2" s="1"/>
  <c r="BS168" i="2"/>
  <c r="BS169" i="2" s="1"/>
  <c r="BS311" i="2"/>
  <c r="BS312" i="2" s="1"/>
  <c r="BS313" i="2" s="1"/>
  <c r="BL15" i="2"/>
  <c r="BL16" i="2" s="1"/>
  <c r="BR311" i="2"/>
  <c r="BR312" i="2" s="1"/>
  <c r="BR313" i="2" s="1"/>
  <c r="BR168" i="2"/>
  <c r="BR169" i="2" s="1"/>
  <c r="BM15" i="2"/>
  <c r="BM16" i="2" s="1"/>
  <c r="BQ311" i="2"/>
  <c r="BQ312" i="2" s="1"/>
  <c r="BQ313" i="2" s="1"/>
  <c r="BQ168" i="2"/>
  <c r="BQ169" i="2" s="1"/>
  <c r="BN15" i="2"/>
  <c r="BN16" i="2" s="1"/>
  <c r="BO311" i="2"/>
  <c r="BO312" i="2" s="1"/>
  <c r="BO313" i="2" s="1"/>
  <c r="BO168" i="2"/>
  <c r="BP15" i="2"/>
  <c r="BP16" i="2" s="1"/>
  <c r="BL311" i="2"/>
  <c r="BL312" i="2" s="1"/>
  <c r="BL313" i="2" s="1"/>
  <c r="BL168" i="2"/>
  <c r="BS15" i="2"/>
  <c r="BS16" i="2" s="1"/>
  <c r="BM311" i="2"/>
  <c r="BM312" i="2" s="1"/>
  <c r="BM313" i="2" s="1"/>
  <c r="BM168" i="2"/>
  <c r="BR15" i="2"/>
  <c r="BR16" i="2" s="1"/>
  <c r="BN311" i="2"/>
  <c r="BN312" i="2" s="1"/>
  <c r="BN313" i="2" s="1"/>
  <c r="BN168" i="2"/>
  <c r="BQ15" i="2"/>
  <c r="BQ16" i="2" s="1"/>
  <c r="BK168" i="2"/>
  <c r="BK311" i="2"/>
  <c r="BK312" i="2" s="1"/>
  <c r="BK313" i="2" s="1"/>
  <c r="BT15" i="2"/>
  <c r="BT16" i="2" s="1"/>
  <c r="BM166" i="2"/>
  <c r="BM167" i="2" s="1"/>
  <c r="BM169" i="2" s="1"/>
  <c r="BF311" i="2"/>
  <c r="BF312" i="2" s="1"/>
  <c r="BF313" i="2" s="1"/>
  <c r="BF168" i="2"/>
  <c r="BF169" i="2" s="1"/>
  <c r="BA15" i="2"/>
  <c r="BA16" i="2" s="1"/>
  <c r="BG311" i="2"/>
  <c r="BG312" i="2" s="1"/>
  <c r="BG313" i="2" s="1"/>
  <c r="BG168" i="2"/>
  <c r="BG169" i="2" s="1"/>
  <c r="AZ15" i="2"/>
  <c r="AZ16" i="2" s="1"/>
  <c r="BD168" i="2"/>
  <c r="BD311" i="2"/>
  <c r="BD312" i="2" s="1"/>
  <c r="BD313" i="2" s="1"/>
  <c r="BC15" i="2"/>
  <c r="BC16" i="2" s="1"/>
  <c r="BE312" i="2"/>
  <c r="BE313" i="2" s="1"/>
  <c r="BB168" i="2"/>
  <c r="BB311" i="2"/>
  <c r="BE15" i="2"/>
  <c r="BE16" i="2" s="1"/>
  <c r="BA168" i="2"/>
  <c r="BA311" i="2"/>
  <c r="BF15" i="2"/>
  <c r="BF16" i="2" s="1"/>
  <c r="AZ311" i="2"/>
  <c r="AZ168" i="2"/>
  <c r="BG15" i="2"/>
  <c r="BG16" i="2" s="1"/>
  <c r="AZ309" i="2"/>
  <c r="AZ310" i="2" s="1"/>
  <c r="BE311" i="2"/>
  <c r="BE168" i="2"/>
  <c r="BB15" i="2"/>
  <c r="BB16" i="2" s="1"/>
  <c r="AY311" i="2"/>
  <c r="AY168" i="2"/>
  <c r="BH15" i="2"/>
  <c r="BH16" i="2" s="1"/>
  <c r="BC311" i="2"/>
  <c r="BC312" i="2" s="1"/>
  <c r="BC313" i="2" s="1"/>
  <c r="BC168" i="2"/>
  <c r="BC169" i="2" s="1"/>
  <c r="BD15" i="2"/>
  <c r="BD16" i="2" s="1"/>
  <c r="AM168" i="2"/>
  <c r="AM311" i="2"/>
  <c r="AM312" i="2" s="1"/>
  <c r="AM313" i="2" s="1"/>
  <c r="AV15" i="2"/>
  <c r="AV16" i="2" s="1"/>
  <c r="AU311" i="2"/>
  <c r="AU312" i="2" s="1"/>
  <c r="AU313" i="2" s="1"/>
  <c r="AU168" i="2"/>
  <c r="AU169" i="2" s="1"/>
  <c r="AN15" i="2"/>
  <c r="AN16" i="2" s="1"/>
  <c r="AO311" i="2"/>
  <c r="AO312" i="2" s="1"/>
  <c r="AO313" i="2" s="1"/>
  <c r="AO168" i="2"/>
  <c r="AO169" i="2" s="1"/>
  <c r="AT15" i="2"/>
  <c r="AT16" i="2" s="1"/>
  <c r="AT168" i="2"/>
  <c r="AT311" i="2"/>
  <c r="AT312" i="2" s="1"/>
  <c r="AT313" i="2" s="1"/>
  <c r="AO15" i="2"/>
  <c r="AO16" i="2" s="1"/>
  <c r="AR168" i="2"/>
  <c r="AR311" i="2"/>
  <c r="AR312" i="2" s="1"/>
  <c r="AR313" i="2" s="1"/>
  <c r="AQ15" i="2"/>
  <c r="AQ16" i="2" s="1"/>
  <c r="AN311" i="2"/>
  <c r="AN312" i="2" s="1"/>
  <c r="AN313" i="2" s="1"/>
  <c r="AN168" i="2"/>
  <c r="AU15" i="2"/>
  <c r="AU16" i="2" s="1"/>
  <c r="AQ168" i="2"/>
  <c r="AQ311" i="2"/>
  <c r="AQ312" i="2" s="1"/>
  <c r="AQ313" i="2" s="1"/>
  <c r="AR15" i="2"/>
  <c r="AR16" i="2" s="1"/>
  <c r="AP311" i="2"/>
  <c r="AP312" i="2" s="1"/>
  <c r="AP313" i="2" s="1"/>
  <c r="AP168" i="2"/>
  <c r="AP169" i="2" s="1"/>
  <c r="AS15" i="2"/>
  <c r="AS16" i="2" s="1"/>
  <c r="AS168" i="2"/>
  <c r="AS169" i="2" s="1"/>
  <c r="AS311" i="2"/>
  <c r="AS312" i="2" s="1"/>
  <c r="AS313" i="2" s="1"/>
  <c r="AP15" i="2"/>
  <c r="AP16" i="2" s="1"/>
  <c r="AT166" i="2"/>
  <c r="AT167" i="2" s="1"/>
  <c r="AM166" i="2"/>
  <c r="AM167" i="2" s="1"/>
  <c r="AM169" i="2" s="1"/>
  <c r="AN166" i="2"/>
  <c r="AN167" i="2" s="1"/>
  <c r="AN169" i="2" s="1"/>
  <c r="AQ166" i="2"/>
  <c r="AQ167" i="2" s="1"/>
  <c r="AR166" i="2"/>
  <c r="AR167" i="2" s="1"/>
  <c r="AI168" i="2"/>
  <c r="AI169" i="2" s="1"/>
  <c r="AI311" i="2"/>
  <c r="AI312" i="2" s="1"/>
  <c r="AI313" i="2" s="1"/>
  <c r="AB15" i="2"/>
  <c r="AB16" i="2" s="1"/>
  <c r="AC168" i="2"/>
  <c r="AC311" i="2"/>
  <c r="AH15" i="2"/>
  <c r="AH16" i="2" s="1"/>
  <c r="AE311" i="2"/>
  <c r="AE312" i="2" s="1"/>
  <c r="AE313" i="2" s="1"/>
  <c r="AE168" i="2"/>
  <c r="AF15" i="2"/>
  <c r="AF16" i="2" s="1"/>
  <c r="AG168" i="2"/>
  <c r="AG169" i="2" s="1"/>
  <c r="AG311" i="2"/>
  <c r="AG312" i="2" s="1"/>
  <c r="AG313" i="2" s="1"/>
  <c r="AD15" i="2"/>
  <c r="AD16" i="2" s="1"/>
  <c r="AH311" i="2"/>
  <c r="AH312" i="2" s="1"/>
  <c r="AH313" i="2" s="1"/>
  <c r="AH168" i="2"/>
  <c r="AH169" i="2" s="1"/>
  <c r="AC15" i="2"/>
  <c r="AC16" i="2" s="1"/>
  <c r="AC312" i="2"/>
  <c r="AC313" i="2" s="1"/>
  <c r="AD168" i="2"/>
  <c r="AD169" i="2" s="1"/>
  <c r="AD311" i="2"/>
  <c r="AD312" i="2" s="1"/>
  <c r="AD313" i="2" s="1"/>
  <c r="AG15" i="2"/>
  <c r="AG16" i="2" s="1"/>
  <c r="AF311" i="2"/>
  <c r="AF312" i="2" s="1"/>
  <c r="AF313" i="2" s="1"/>
  <c r="AF168" i="2"/>
  <c r="AE15" i="2"/>
  <c r="AE16" i="2" s="1"/>
  <c r="AA168" i="2"/>
  <c r="AA311" i="2"/>
  <c r="AA312" i="2" s="1"/>
  <c r="AA313" i="2" s="1"/>
  <c r="AJ15" i="2"/>
  <c r="AJ16" i="2" s="1"/>
  <c r="AB168" i="2"/>
  <c r="AB311" i="2"/>
  <c r="AB312" i="2" s="1"/>
  <c r="AB313" i="2" s="1"/>
  <c r="AI15" i="2"/>
  <c r="AI16" i="2" s="1"/>
  <c r="AC166" i="2"/>
  <c r="AC167" i="2" s="1"/>
  <c r="AC169" i="2" s="1"/>
  <c r="AF166" i="2"/>
  <c r="AF167" i="2" s="1"/>
  <c r="AF169" i="2" s="1"/>
  <c r="AE166" i="2"/>
  <c r="AE167" i="2" s="1"/>
  <c r="Q311" i="2"/>
  <c r="Q168" i="2"/>
  <c r="V15" i="2"/>
  <c r="V16" i="2" s="1"/>
  <c r="T311" i="2"/>
  <c r="T168" i="2"/>
  <c r="T169" i="2" s="1"/>
  <c r="S15" i="2"/>
  <c r="S16" i="2" s="1"/>
  <c r="R15" i="2"/>
  <c r="R16" i="2" s="1"/>
  <c r="U311" i="2"/>
  <c r="U168" i="2"/>
  <c r="U169" i="2" s="1"/>
  <c r="O311" i="2"/>
  <c r="O168" i="2"/>
  <c r="X15" i="2"/>
  <c r="X16" i="2" s="1"/>
  <c r="V311" i="2"/>
  <c r="V312" i="2" s="1"/>
  <c r="V313" i="2" s="1"/>
  <c r="V168" i="2"/>
  <c r="V169" i="2" s="1"/>
  <c r="Q15" i="2"/>
  <c r="Q16" i="2" s="1"/>
  <c r="P311" i="2"/>
  <c r="P168" i="2"/>
  <c r="W15" i="2"/>
  <c r="W16" i="2" s="1"/>
  <c r="W168" i="2"/>
  <c r="W169" i="2" s="1"/>
  <c r="W311" i="2"/>
  <c r="W312" i="2" s="1"/>
  <c r="W313" i="2" s="1"/>
  <c r="P15" i="2"/>
  <c r="P16" i="2" s="1"/>
  <c r="U312" i="2"/>
  <c r="U313" i="2" s="1"/>
  <c r="T312" i="2"/>
  <c r="T313" i="2" s="1"/>
  <c r="R311" i="2"/>
  <c r="R168" i="2"/>
  <c r="R169" i="2" s="1"/>
  <c r="U15" i="2"/>
  <c r="U16" i="2" s="1"/>
  <c r="S311" i="2"/>
  <c r="S312" i="2" s="1"/>
  <c r="S313" i="2" s="1"/>
  <c r="S168" i="2"/>
  <c r="S169" i="2" s="1"/>
  <c r="S170" i="2" s="1"/>
  <c r="T15" i="2"/>
  <c r="T16" i="2" s="1"/>
  <c r="BX166" i="2"/>
  <c r="BX167" i="2" s="1"/>
  <c r="BX169" i="2" s="1"/>
  <c r="BD166" i="2"/>
  <c r="BD167" i="2" s="1"/>
  <c r="BD169" i="2" s="1"/>
  <c r="BA166" i="2"/>
  <c r="BA167" i="2" s="1"/>
  <c r="BA169" i="2" s="1"/>
  <c r="BE166" i="2"/>
  <c r="BE167" i="2" s="1"/>
  <c r="BE169" i="2" s="1"/>
  <c r="BB166" i="2"/>
  <c r="BB167" i="2" s="1"/>
  <c r="AZ166" i="2"/>
  <c r="AZ167"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J309" i="2"/>
  <c r="CJ310" i="2" s="1"/>
  <c r="CI309" i="2"/>
  <c r="CI310" i="2" s="1"/>
  <c r="BY309" i="2"/>
  <c r="BY310" i="2" s="1"/>
  <c r="BL166" i="2"/>
  <c r="BL167" i="2" s="1"/>
  <c r="BN166" i="2"/>
  <c r="BN167" i="2" s="1"/>
  <c r="BK166" i="2"/>
  <c r="BK167" i="2" s="1"/>
  <c r="BA309" i="2"/>
  <c r="BA310" i="2" s="1"/>
  <c r="BA312" i="2" s="1"/>
  <c r="BA313" i="2" s="1"/>
  <c r="AY309" i="2"/>
  <c r="AY310" i="2" s="1"/>
  <c r="AY312" i="2" s="1"/>
  <c r="AY313" i="2" s="1"/>
  <c r="BB309" i="2"/>
  <c r="BB310" i="2" s="1"/>
  <c r="BB312" i="2" s="1"/>
  <c r="BB313" i="2" s="1"/>
  <c r="Q166" i="2"/>
  <c r="Q167" i="2" s="1"/>
  <c r="O166" i="2"/>
  <c r="O167" i="2" s="1"/>
  <c r="O169" i="2" s="1"/>
  <c r="P166" i="2"/>
  <c r="P167" i="2" s="1"/>
  <c r="P169" i="2" s="1"/>
  <c r="BW309" i="2"/>
  <c r="BW310" i="2" s="1"/>
  <c r="BW312" i="2" s="1"/>
  <c r="BW313" i="2" s="1"/>
  <c r="BO166" i="2"/>
  <c r="BO167" i="2" s="1"/>
  <c r="BO169" i="2" s="1"/>
  <c r="R309" i="2"/>
  <c r="R310"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A166" i="2"/>
  <c r="AA167" i="2" s="1"/>
  <c r="O309" i="2"/>
  <c r="O310" i="2" s="1"/>
  <c r="O312" i="2" s="1"/>
  <c r="O313" i="2" s="1"/>
  <c r="P309" i="2"/>
  <c r="P310" i="2" s="1"/>
  <c r="P312" i="2" s="1"/>
  <c r="P313" i="2" s="1"/>
  <c r="Q309" i="2"/>
  <c r="Q310" i="2" s="1"/>
  <c r="Q312" i="2" s="1"/>
  <c r="Q313" i="2" s="1"/>
  <c r="CI312" i="2" l="1"/>
  <c r="CI313" i="2" s="1"/>
  <c r="CJ312" i="2"/>
  <c r="CJ313" i="2" s="1"/>
  <c r="CL312" i="2"/>
  <c r="CL313" i="2" s="1"/>
  <c r="CK169" i="2"/>
  <c r="CC169" i="2"/>
  <c r="BY312" i="2"/>
  <c r="BY313" i="2" s="1"/>
  <c r="BB169" i="2"/>
  <c r="AA169" i="2"/>
  <c r="AE169" i="2"/>
  <c r="S18" i="2"/>
  <c r="T170" i="2"/>
  <c r="CL169" i="2"/>
  <c r="AY169" i="2"/>
  <c r="AY170" i="2" s="1"/>
  <c r="BY18" i="2"/>
  <c r="CD170" i="2"/>
  <c r="BQ170" i="2"/>
  <c r="BN18" i="2"/>
  <c r="BK169" i="2"/>
  <c r="BK170" i="2" s="1"/>
  <c r="AZ169" i="2"/>
  <c r="AZ170" i="2" s="1"/>
  <c r="AP18" i="2"/>
  <c r="AS170" i="2"/>
  <c r="AQ169" i="2"/>
  <c r="AQ170" i="2" s="1"/>
  <c r="U170" i="2"/>
  <c r="R18" i="2"/>
  <c r="Q18" i="2"/>
  <c r="V170" i="2"/>
  <c r="Q169" i="2"/>
  <c r="CI170" i="2"/>
  <c r="CR26" i="2" s="1"/>
  <c r="CR18" i="2"/>
  <c r="CR21" i="2" s="1"/>
  <c r="CO170" i="2"/>
  <c r="CL26" i="2" s="1"/>
  <c r="CL18" i="2"/>
  <c r="CL21" i="2" s="1"/>
  <c r="CQ170" i="2"/>
  <c r="CJ26" i="2" s="1"/>
  <c r="CJ18" i="2"/>
  <c r="CJ21" i="2" s="1"/>
  <c r="CJ170" i="2"/>
  <c r="CQ26" i="2" s="1"/>
  <c r="CQ18" i="2"/>
  <c r="CQ21" i="2" s="1"/>
  <c r="CM170" i="2"/>
  <c r="CN26" i="2" s="1"/>
  <c r="CN18" i="2"/>
  <c r="CN21" i="2" s="1"/>
  <c r="CL170" i="2"/>
  <c r="CO26" i="2" s="1"/>
  <c r="CO18" i="2"/>
  <c r="CO21" i="2" s="1"/>
  <c r="CK170" i="2"/>
  <c r="CP26" i="2" s="1"/>
  <c r="CP18" i="2"/>
  <c r="CP21" i="2" s="1"/>
  <c r="CF18" i="2"/>
  <c r="BW170" i="2"/>
  <c r="CB170" i="2"/>
  <c r="CA18" i="2"/>
  <c r="BZ169" i="2"/>
  <c r="BZ170" i="2" s="1"/>
  <c r="BY169" i="2"/>
  <c r="BY170" i="2" s="1"/>
  <c r="CE170" i="2"/>
  <c r="BX18" i="2"/>
  <c r="CC170" i="2"/>
  <c r="BZ18" i="2"/>
  <c r="CD18" i="2"/>
  <c r="BX170" i="2"/>
  <c r="CE18" i="2"/>
  <c r="CC18" i="2"/>
  <c r="CA170" i="2"/>
  <c r="CB18" i="2"/>
  <c r="BP170" i="2"/>
  <c r="BO18" i="2"/>
  <c r="BR170" i="2"/>
  <c r="BM18" i="2"/>
  <c r="BN169" i="2"/>
  <c r="BN170" i="2" s="1"/>
  <c r="BL169" i="2"/>
  <c r="BL170" i="2" s="1"/>
  <c r="BS170" i="2"/>
  <c r="BL18" i="2"/>
  <c r="BM170" i="2"/>
  <c r="BR18" i="2"/>
  <c r="BO170" i="2"/>
  <c r="BP18" i="2"/>
  <c r="BS18" i="2"/>
  <c r="BT18" i="2"/>
  <c r="BQ18" i="2"/>
  <c r="BC170" i="2"/>
  <c r="BD18" i="2"/>
  <c r="BH18" i="2"/>
  <c r="BF170" i="2"/>
  <c r="BA18" i="2"/>
  <c r="BG170" i="2"/>
  <c r="AZ18" i="2"/>
  <c r="AZ312" i="2"/>
  <c r="AZ313" i="2" s="1"/>
  <c r="BB170" i="2"/>
  <c r="BE18" i="2"/>
  <c r="BE170" i="2"/>
  <c r="BB18" i="2"/>
  <c r="BD170" i="2"/>
  <c r="BC18" i="2"/>
  <c r="BG18" i="2"/>
  <c r="BA170" i="2"/>
  <c r="BF18" i="2"/>
  <c r="AP170" i="2"/>
  <c r="AS18" i="2"/>
  <c r="AO170" i="2"/>
  <c r="AT18" i="2"/>
  <c r="AT169" i="2"/>
  <c r="AT170" i="2" s="1"/>
  <c r="AN18" i="2"/>
  <c r="AU170" i="2"/>
  <c r="AR169" i="2"/>
  <c r="AR170" i="2" s="1"/>
  <c r="AR18" i="2"/>
  <c r="AM170" i="2"/>
  <c r="AV18" i="2"/>
  <c r="AN170" i="2"/>
  <c r="AU18" i="2"/>
  <c r="AH170" i="2"/>
  <c r="AC18" i="2"/>
  <c r="AG170" i="2"/>
  <c r="AD18" i="2"/>
  <c r="AG18" i="2"/>
  <c r="AD170" i="2"/>
  <c r="AI170" i="2"/>
  <c r="AB18" i="2"/>
  <c r="AC170" i="2"/>
  <c r="AH18" i="2"/>
  <c r="AB170" i="2"/>
  <c r="AI18" i="2"/>
  <c r="AF170" i="2"/>
  <c r="AE18" i="2"/>
  <c r="AA170" i="2"/>
  <c r="AJ18" i="2"/>
  <c r="AE170" i="2"/>
  <c r="AF18" i="2"/>
  <c r="U18" i="2"/>
  <c r="R170" i="2"/>
  <c r="W170" i="2"/>
  <c r="P18" i="2"/>
  <c r="R312" i="2"/>
  <c r="R313" i="2" s="1"/>
  <c r="T18" i="2"/>
  <c r="P170" i="2"/>
  <c r="W18" i="2"/>
  <c r="O170" i="2"/>
  <c r="X18" i="2"/>
  <c r="Q170" i="2"/>
  <c r="V18" i="2"/>
  <c r="I37" i="10"/>
  <c r="I38" i="10"/>
  <c r="I16" i="10"/>
  <c r="AO18" i="2" l="1"/>
  <c r="AQ18" i="2"/>
  <c r="I49" i="10"/>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J94" i="2"/>
  <c r="J95" i="2" s="1"/>
  <c r="I94" i="2"/>
  <c r="I95" i="2" s="1"/>
  <c r="H94" i="2"/>
  <c r="H95" i="2" s="1"/>
  <c r="G94" i="2"/>
  <c r="G95" i="2" s="1"/>
  <c r="F94" i="2"/>
  <c r="F95" i="2" s="1"/>
  <c r="E94" i="2"/>
  <c r="E95" i="2" s="1"/>
  <c r="D94" i="2"/>
  <c r="D95" i="2" s="1"/>
  <c r="C94" i="2"/>
  <c r="C95" i="2" s="1"/>
  <c r="L60" i="2"/>
  <c r="L61" i="2" s="1"/>
  <c r="L62" i="2" s="1"/>
  <c r="C12" i="2" s="1"/>
  <c r="K59" i="2"/>
  <c r="K60" i="2" s="1"/>
  <c r="J59" i="2"/>
  <c r="J60" i="2" s="1"/>
  <c r="I59" i="2"/>
  <c r="I60" i="2" s="1"/>
  <c r="H59" i="2"/>
  <c r="H60" i="2" s="1"/>
  <c r="G59" i="2"/>
  <c r="G60" i="2" s="1"/>
  <c r="F59" i="2"/>
  <c r="F60" i="2" s="1"/>
  <c r="E59" i="2"/>
  <c r="E60" i="2" s="1"/>
  <c r="D59" i="2"/>
  <c r="D60" i="2" s="1"/>
  <c r="C59" i="2"/>
  <c r="C60" i="2" s="1"/>
  <c r="L311" i="2" l="1"/>
  <c r="L168" i="2"/>
  <c r="D297" i="2"/>
  <c r="J298" i="2"/>
  <c r="I299" i="2"/>
  <c r="K239" i="2"/>
  <c r="K96" i="2"/>
  <c r="K97" i="2" s="1"/>
  <c r="D13" i="2" s="1"/>
  <c r="K347" i="2"/>
  <c r="K348" i="2" s="1"/>
  <c r="K61" i="2"/>
  <c r="K62" i="2" s="1"/>
  <c r="D12"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K307" i="2" s="1"/>
  <c r="K308" i="2" s="1"/>
  <c r="K309" i="2" s="1"/>
  <c r="K310" i="2" s="1"/>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E274" i="2"/>
  <c r="E275" i="2" s="1"/>
  <c r="D274" i="2"/>
  <c r="D275" i="2" s="1"/>
  <c r="F274" i="2"/>
  <c r="F275" i="2" s="1"/>
  <c r="J274" i="2"/>
  <c r="J275" i="2" s="1"/>
  <c r="G274" i="2"/>
  <c r="G275" i="2" s="1"/>
  <c r="L310" i="2"/>
  <c r="L312" i="2" s="1"/>
  <c r="L313" i="2" s="1"/>
  <c r="E131" i="2"/>
  <c r="F131" i="2"/>
  <c r="C131" i="2"/>
  <c r="G131" i="2"/>
  <c r="J61" i="2"/>
  <c r="J62" i="2" s="1"/>
  <c r="E12" i="2" s="1"/>
  <c r="G96" i="2"/>
  <c r="G97" i="2" s="1"/>
  <c r="H13" i="2" s="1"/>
  <c r="C96" i="2"/>
  <c r="C97" i="2" s="1"/>
  <c r="L13" i="2" s="1"/>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D239" i="2"/>
  <c r="H239" i="2"/>
  <c r="E239" i="2"/>
  <c r="I239" i="2"/>
  <c r="C239" i="2"/>
  <c r="F239" i="2"/>
  <c r="J239" i="2"/>
  <c r="H131" i="2"/>
  <c r="I131" i="2"/>
  <c r="D131" i="2"/>
  <c r="H96" i="2"/>
  <c r="H97" i="2" s="1"/>
  <c r="G13" i="2" s="1"/>
  <c r="E96" i="2"/>
  <c r="E97" i="2" s="1"/>
  <c r="J13" i="2" s="1"/>
  <c r="D96" i="2"/>
  <c r="D97" i="2" s="1"/>
  <c r="K13" i="2" s="1"/>
  <c r="I96" i="2"/>
  <c r="I97" i="2" s="1"/>
  <c r="F13" i="2" s="1"/>
  <c r="F96" i="2"/>
  <c r="F97" i="2" s="1"/>
  <c r="I13" i="2" s="1"/>
  <c r="J96" i="2"/>
  <c r="J97" i="2" s="1"/>
  <c r="E13" i="2" s="1"/>
  <c r="H61" i="2"/>
  <c r="H62" i="2" s="1"/>
  <c r="G12" i="2" s="1"/>
  <c r="I61" i="2"/>
  <c r="I62" i="2" s="1"/>
  <c r="F12" i="2" s="1"/>
  <c r="D61" i="2"/>
  <c r="D62" i="2" s="1"/>
  <c r="K12" i="2" s="1"/>
  <c r="K202" i="2"/>
  <c r="J202" i="2"/>
  <c r="I202" i="2"/>
  <c r="H202" i="2"/>
  <c r="G202" i="2"/>
  <c r="F202" i="2"/>
  <c r="E202" i="2"/>
  <c r="D202" i="2"/>
  <c r="C202" i="2"/>
  <c r="C203" i="2" s="1"/>
  <c r="H240" i="2" l="1"/>
  <c r="G25" i="2"/>
  <c r="D240" i="2"/>
  <c r="K25" i="2"/>
  <c r="K240" i="2"/>
  <c r="D25" i="2"/>
  <c r="J240" i="2"/>
  <c r="E25" i="2"/>
  <c r="G240" i="2"/>
  <c r="H25" i="2"/>
  <c r="F240" i="2"/>
  <c r="I25" i="2"/>
  <c r="C240" i="2"/>
  <c r="L25" i="2"/>
  <c r="I240" i="2"/>
  <c r="F25" i="2"/>
  <c r="E240" i="2"/>
  <c r="J25" i="2"/>
  <c r="G132" i="2"/>
  <c r="H17" i="2" s="1"/>
  <c r="H21" i="2" s="1"/>
  <c r="H26" i="2"/>
  <c r="C132" i="2"/>
  <c r="L17" i="2" s="1"/>
  <c r="L21" i="2" s="1"/>
  <c r="L26" i="2"/>
  <c r="F132" i="2"/>
  <c r="I17" i="2" s="1"/>
  <c r="I21" i="2" s="1"/>
  <c r="I26" i="2"/>
  <c r="D132" i="2"/>
  <c r="K17" i="2" s="1"/>
  <c r="K21" i="2" s="1"/>
  <c r="K26" i="2"/>
  <c r="H132" i="2"/>
  <c r="G17" i="2" s="1"/>
  <c r="G21" i="2" s="1"/>
  <c r="G26" i="2"/>
  <c r="E132" i="2"/>
  <c r="J17" i="2" s="1"/>
  <c r="J21" i="2" s="1"/>
  <c r="J26" i="2"/>
  <c r="K132" i="2"/>
  <c r="D17" i="2" s="1"/>
  <c r="D21" i="2" s="1"/>
  <c r="D26" i="2"/>
  <c r="I132" i="2"/>
  <c r="F17" i="2" s="1"/>
  <c r="F21" i="2" s="1"/>
  <c r="F26" i="2"/>
  <c r="J132" i="2"/>
  <c r="E17" i="2" s="1"/>
  <c r="E21" i="2" s="1"/>
  <c r="E26" i="2"/>
  <c r="C307" i="2"/>
  <c r="C308" i="2" s="1"/>
  <c r="G307" i="2"/>
  <c r="G308" i="2" s="1"/>
  <c r="F307" i="2"/>
  <c r="F308" i="2" s="1"/>
  <c r="D307" i="2"/>
  <c r="D308" i="2" s="1"/>
  <c r="J309" i="2"/>
  <c r="J310" i="2" s="1"/>
  <c r="E307" i="2"/>
  <c r="E308" i="2" s="1"/>
  <c r="H307" i="2"/>
  <c r="H308" i="2" s="1"/>
  <c r="I307" i="2"/>
  <c r="I308" i="2" s="1"/>
  <c r="I309" i="2" s="1"/>
  <c r="I310" i="2" s="1"/>
  <c r="L11" i="2"/>
  <c r="K311" i="2" l="1"/>
  <c r="K312" i="2" s="1"/>
  <c r="K313" i="2" s="1"/>
  <c r="K168" i="2"/>
  <c r="C168" i="2"/>
  <c r="C311" i="2"/>
  <c r="G168" i="2"/>
  <c r="G311" i="2"/>
  <c r="D168" i="2"/>
  <c r="D311" i="2"/>
  <c r="I168" i="2"/>
  <c r="I311" i="2"/>
  <c r="F168" i="2"/>
  <c r="F311" i="2"/>
  <c r="I312" i="2"/>
  <c r="I313" i="2" s="1"/>
  <c r="J312" i="2"/>
  <c r="J313" i="2" s="1"/>
  <c r="E168" i="2"/>
  <c r="E311" i="2"/>
  <c r="J168" i="2"/>
  <c r="J311" i="2"/>
  <c r="H311" i="2"/>
  <c r="H168" i="2"/>
  <c r="DP24" i="2"/>
  <c r="DD24" i="2"/>
  <c r="CR24" i="2"/>
  <c r="CF24" i="2"/>
  <c r="BT24" i="2"/>
  <c r="BH24" i="2"/>
  <c r="AV24" i="2"/>
  <c r="AJ24" i="2"/>
  <c r="X24" i="2"/>
  <c r="K11" i="2"/>
  <c r="L24" i="2"/>
  <c r="F309" i="2"/>
  <c r="F310" i="2" s="1"/>
  <c r="F312" i="2" s="1"/>
  <c r="F313" i="2" s="1"/>
  <c r="C309" i="2"/>
  <c r="C310" i="2" s="1"/>
  <c r="H309" i="2"/>
  <c r="H310" i="2" s="1"/>
  <c r="E309" i="2"/>
  <c r="E310" i="2" s="1"/>
  <c r="D309" i="2"/>
  <c r="D310" i="2" s="1"/>
  <c r="G309" i="2"/>
  <c r="G310" i="2" s="1"/>
  <c r="H312" i="2" l="1"/>
  <c r="H313" i="2" s="1"/>
  <c r="C312" i="2"/>
  <c r="D312" i="2"/>
  <c r="D313" i="2" s="1"/>
  <c r="E312" i="2"/>
  <c r="E313" i="2" s="1"/>
  <c r="G312" i="2"/>
  <c r="G313" i="2" s="1"/>
  <c r="C313" i="2"/>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42" i="2"/>
  <c r="H142" i="2"/>
  <c r="G142" i="2"/>
  <c r="F142" i="2"/>
  <c r="E142" i="2"/>
  <c r="D142" i="2"/>
  <c r="C142" i="2"/>
  <c r="L141" i="2"/>
  <c r="K141" i="2"/>
  <c r="J141" i="2"/>
  <c r="I141" i="2"/>
  <c r="H141" i="2"/>
  <c r="G141" i="2"/>
  <c r="F141" i="2"/>
  <c r="E141" i="2"/>
  <c r="D154" i="2" s="1"/>
  <c r="A45" i="2"/>
  <c r="C35" i="2"/>
  <c r="H156" i="2" l="1"/>
  <c r="H157" i="2"/>
  <c r="C159" i="2"/>
  <c r="I155" i="2"/>
  <c r="E155" i="2"/>
  <c r="D157" i="2"/>
  <c r="E158" i="2"/>
  <c r="C162" i="2"/>
  <c r="G154" i="2"/>
  <c r="D156" i="2"/>
  <c r="I154" i="2"/>
  <c r="E154" i="2"/>
  <c r="C155" i="2"/>
  <c r="C158" i="2"/>
  <c r="E159" i="2"/>
  <c r="D161" i="2"/>
  <c r="K154" i="2"/>
  <c r="G155" i="2"/>
  <c r="F156" i="2"/>
  <c r="F157" i="2"/>
  <c r="G158" i="2"/>
  <c r="D160" i="2"/>
  <c r="F154" i="2"/>
  <c r="J154" i="2"/>
  <c r="D155" i="2"/>
  <c r="H155" i="2"/>
  <c r="C156" i="2"/>
  <c r="G156" i="2"/>
  <c r="C157" i="2"/>
  <c r="G157" i="2"/>
  <c r="D158" i="2"/>
  <c r="F159" i="2"/>
  <c r="E160" i="2"/>
  <c r="H154" i="2"/>
  <c r="F155" i="2"/>
  <c r="J155" i="2"/>
  <c r="E156" i="2"/>
  <c r="I156" i="2"/>
  <c r="E157" i="2"/>
  <c r="F158" i="2"/>
  <c r="F164" i="2" s="1"/>
  <c r="F165" i="2" s="1"/>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A43" i="2"/>
  <c r="D35" i="2"/>
  <c r="CI83" i="2" s="1"/>
  <c r="L170" i="2" l="1"/>
  <c r="C18" i="2"/>
  <c r="K170" i="2"/>
  <c r="D18" i="2"/>
  <c r="C164"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E170" i="2" l="1"/>
  <c r="J18" i="2"/>
  <c r="I170" i="2"/>
  <c r="F18" i="2"/>
  <c r="F170" i="2"/>
  <c r="I18" i="2"/>
  <c r="G170" i="2"/>
  <c r="H18" i="2"/>
  <c r="C170" i="2"/>
  <c r="L18" i="2"/>
  <c r="D170" i="2"/>
  <c r="K18" i="2"/>
  <c r="H170" i="2"/>
  <c r="G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19" i="2" l="1"/>
  <c r="C20" i="2"/>
  <c r="C15" i="2"/>
  <c r="C16" i="2" s="1"/>
  <c r="L19" i="2"/>
  <c r="L15" i="2"/>
  <c r="L16" i="2" s="1"/>
  <c r="K19" i="2"/>
  <c r="K20" i="2"/>
  <c r="K15" i="2"/>
  <c r="K16" i="2" s="1"/>
  <c r="L20" i="2"/>
  <c r="J20" i="2"/>
  <c r="J19" i="2"/>
  <c r="J15" i="2"/>
  <c r="J16" i="2" s="1"/>
  <c r="I19" i="2"/>
  <c r="I20" i="2"/>
  <c r="I15" i="2"/>
  <c r="I16" i="2" s="1"/>
  <c r="H20" i="2"/>
  <c r="H19" i="2"/>
  <c r="H15" i="2"/>
  <c r="H16" i="2" s="1"/>
  <c r="G20" i="2"/>
  <c r="G19" i="2"/>
  <c r="G15" i="2"/>
  <c r="G16" i="2" s="1"/>
  <c r="F19" i="2"/>
  <c r="F20" i="2"/>
  <c r="F15" i="2"/>
  <c r="F16" i="2" s="1"/>
  <c r="E19" i="2"/>
  <c r="E20" i="2"/>
  <c r="E15" i="2"/>
  <c r="E16" i="2" s="1"/>
  <c r="D15" i="2"/>
  <c r="D16" i="2" s="1"/>
  <c r="D20" i="2"/>
  <c r="D19" i="2"/>
  <c r="CO153" i="2"/>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97" i="4"/>
  <c r="DI96" i="4"/>
  <c r="CQ97" i="4"/>
  <c r="CQ96" i="4"/>
  <c r="CQ98" i="4" s="1"/>
  <c r="CS43" i="4" s="1"/>
  <c r="BY97" i="4"/>
  <c r="BY96" i="4"/>
  <c r="BG97" i="4"/>
  <c r="BG96" i="4"/>
  <c r="BG98" i="4" s="1"/>
  <c r="BI43" i="4" s="1"/>
  <c r="EA98" i="4" l="1"/>
  <c r="EC43" i="4" s="1"/>
  <c r="DI98" i="4"/>
  <c r="DK43" i="4" s="1"/>
  <c r="FK98" i="4"/>
  <c r="FM43" i="4" s="1"/>
  <c r="FN43" i="4" s="1"/>
  <c r="BY98" i="4"/>
  <c r="CA43" i="4" s="1"/>
  <c r="ES98" i="4"/>
  <c r="EU43" i="4" s="1"/>
  <c r="EV43" i="4" s="1"/>
  <c r="AO97" i="4"/>
  <c r="AO96" i="4"/>
  <c r="AO98" i="4" s="1"/>
  <c r="AQ43" i="4" s="1"/>
  <c r="W97" i="4"/>
  <c r="W96" i="4"/>
  <c r="W98" i="4" l="1"/>
  <c r="Y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G88" i="4" s="1"/>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G82" i="4" s="1"/>
  <c r="FA82" i="4"/>
  <c r="EZ82" i="4"/>
  <c r="EY82" i="4"/>
  <c r="EX82" i="4"/>
  <c r="FB81" i="4"/>
  <c r="FA81" i="4"/>
  <c r="EZ81" i="4"/>
  <c r="EY81" i="4"/>
  <c r="EX81" i="4"/>
  <c r="FB80" i="4"/>
  <c r="FG80" i="4" s="1"/>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G74" i="4" s="1"/>
  <c r="FA74" i="4"/>
  <c r="EZ74" i="4"/>
  <c r="EY74" i="4"/>
  <c r="EX74" i="4"/>
  <c r="FB73" i="4"/>
  <c r="FA73" i="4"/>
  <c r="EZ73" i="4"/>
  <c r="EY73" i="4"/>
  <c r="EX73" i="4"/>
  <c r="FB72" i="4"/>
  <c r="FG72" i="4" s="1"/>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DE85" i="4" s="1"/>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J91" i="4" s="1"/>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J83" i="4" s="1"/>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J75" i="4" s="1"/>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O91" i="4"/>
  <c r="BT91" i="4" s="1"/>
  <c r="BN91" i="4"/>
  <c r="BM91" i="4"/>
  <c r="BL91" i="4"/>
  <c r="BP90" i="4"/>
  <c r="BO90" i="4"/>
  <c r="BN90" i="4"/>
  <c r="BM90" i="4"/>
  <c r="BL90" i="4"/>
  <c r="BP89" i="4"/>
  <c r="BO89" i="4"/>
  <c r="BN89" i="4"/>
  <c r="BM89" i="4"/>
  <c r="BL89" i="4"/>
  <c r="BP88" i="4"/>
  <c r="BO88" i="4"/>
  <c r="BN88" i="4"/>
  <c r="BS88" i="4" s="1"/>
  <c r="BM88" i="4"/>
  <c r="BL88" i="4"/>
  <c r="BP87" i="4"/>
  <c r="BO87" i="4"/>
  <c r="BT87" i="4" s="1"/>
  <c r="BN87" i="4"/>
  <c r="BM87" i="4"/>
  <c r="BL87" i="4"/>
  <c r="BP86" i="4"/>
  <c r="BO86" i="4"/>
  <c r="BN86" i="4"/>
  <c r="BM86" i="4"/>
  <c r="BL86" i="4"/>
  <c r="BP85" i="4"/>
  <c r="BO85" i="4"/>
  <c r="BN85" i="4"/>
  <c r="BM85" i="4"/>
  <c r="BL85" i="4"/>
  <c r="BP84" i="4"/>
  <c r="BO84" i="4"/>
  <c r="BN84" i="4"/>
  <c r="BS84" i="4" s="1"/>
  <c r="BM84" i="4"/>
  <c r="BL84" i="4"/>
  <c r="BP83" i="4"/>
  <c r="BO83" i="4"/>
  <c r="BT83" i="4" s="1"/>
  <c r="BN83" i="4"/>
  <c r="BM83" i="4"/>
  <c r="BL83" i="4"/>
  <c r="BP82" i="4"/>
  <c r="BO82" i="4"/>
  <c r="BN82" i="4"/>
  <c r="BM82" i="4"/>
  <c r="BL82" i="4"/>
  <c r="BP81" i="4"/>
  <c r="BO81" i="4"/>
  <c r="BN81" i="4"/>
  <c r="BM81" i="4"/>
  <c r="BL81" i="4"/>
  <c r="BP80" i="4"/>
  <c r="BO80" i="4"/>
  <c r="BN80" i="4"/>
  <c r="BS80" i="4" s="1"/>
  <c r="BM80" i="4"/>
  <c r="BL80" i="4"/>
  <c r="BP79" i="4"/>
  <c r="BO79" i="4"/>
  <c r="BT79" i="4" s="1"/>
  <c r="BN79" i="4"/>
  <c r="BM79" i="4"/>
  <c r="BL79" i="4"/>
  <c r="BP78" i="4"/>
  <c r="BO78" i="4"/>
  <c r="BN78" i="4"/>
  <c r="BM78" i="4"/>
  <c r="BL78" i="4"/>
  <c r="BP77" i="4"/>
  <c r="BO77" i="4"/>
  <c r="BN77" i="4"/>
  <c r="BM77" i="4"/>
  <c r="BL77" i="4"/>
  <c r="BP76" i="4"/>
  <c r="BO76" i="4"/>
  <c r="BN76" i="4"/>
  <c r="BS76" i="4" s="1"/>
  <c r="BM76" i="4"/>
  <c r="BL76" i="4"/>
  <c r="BP75" i="4"/>
  <c r="BO75" i="4"/>
  <c r="BT75" i="4" s="1"/>
  <c r="BN75" i="4"/>
  <c r="BM75" i="4"/>
  <c r="BL75" i="4"/>
  <c r="BP74" i="4"/>
  <c r="BO74" i="4"/>
  <c r="BN74" i="4"/>
  <c r="BM74" i="4"/>
  <c r="BL74" i="4"/>
  <c r="BP73" i="4"/>
  <c r="BO73" i="4"/>
  <c r="BN73" i="4"/>
  <c r="BM73" i="4"/>
  <c r="BL73" i="4"/>
  <c r="BP72" i="4"/>
  <c r="BO72" i="4"/>
  <c r="BN72" i="4"/>
  <c r="BS72" i="4" s="1"/>
  <c r="BM72" i="4"/>
  <c r="BL72" i="4"/>
  <c r="BP71" i="4"/>
  <c r="BO71" i="4"/>
  <c r="BT71" i="4" s="1"/>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AU89" i="4"/>
  <c r="AT89" i="4"/>
  <c r="AX88" i="4"/>
  <c r="BC88" i="4" s="1"/>
  <c r="AW88" i="4"/>
  <c r="BB88" i="4" s="1"/>
  <c r="AV88" i="4"/>
  <c r="AU88" i="4"/>
  <c r="AT88" i="4"/>
  <c r="AX87" i="4"/>
  <c r="AW87" i="4"/>
  <c r="AV87" i="4"/>
  <c r="AU87" i="4"/>
  <c r="AZ87" i="4" s="1"/>
  <c r="AT87" i="4"/>
  <c r="AX86" i="4"/>
  <c r="AW86" i="4"/>
  <c r="AV86" i="4"/>
  <c r="AU86" i="4"/>
  <c r="AT86" i="4"/>
  <c r="AX85" i="4"/>
  <c r="AW85" i="4"/>
  <c r="AV85" i="4"/>
  <c r="BA85" i="4" s="1"/>
  <c r="AU85" i="4"/>
  <c r="AT85" i="4"/>
  <c r="AX84" i="4"/>
  <c r="AW84" i="4"/>
  <c r="AV84" i="4"/>
  <c r="AU84" i="4"/>
  <c r="AT84" i="4"/>
  <c r="AX83" i="4"/>
  <c r="AW83" i="4"/>
  <c r="AV83" i="4"/>
  <c r="AU83" i="4"/>
  <c r="AT83" i="4"/>
  <c r="AX82" i="4"/>
  <c r="AW82" i="4"/>
  <c r="AV82" i="4"/>
  <c r="AU82" i="4"/>
  <c r="AT82" i="4"/>
  <c r="AX81" i="4"/>
  <c r="AW81" i="4"/>
  <c r="AV81" i="4"/>
  <c r="AU81" i="4"/>
  <c r="AT81" i="4"/>
  <c r="AX80" i="4"/>
  <c r="BC80" i="4" s="1"/>
  <c r="AW80" i="4"/>
  <c r="BB80" i="4" s="1"/>
  <c r="AV80" i="4"/>
  <c r="AU80" i="4"/>
  <c r="AT80" i="4"/>
  <c r="AX79" i="4"/>
  <c r="AW79" i="4"/>
  <c r="AV79" i="4"/>
  <c r="AU79" i="4"/>
  <c r="AZ79" i="4" s="1"/>
  <c r="AT79" i="4"/>
  <c r="AX78" i="4"/>
  <c r="AW78" i="4"/>
  <c r="AV78" i="4"/>
  <c r="AU78" i="4"/>
  <c r="AT78" i="4"/>
  <c r="AX77" i="4"/>
  <c r="AW77" i="4"/>
  <c r="AV77" i="4"/>
  <c r="BA77" i="4" s="1"/>
  <c r="AU77" i="4"/>
  <c r="AT77" i="4"/>
  <c r="AX76" i="4"/>
  <c r="AW76" i="4"/>
  <c r="AV76" i="4"/>
  <c r="AU76" i="4"/>
  <c r="AT76" i="4"/>
  <c r="AX75" i="4"/>
  <c r="AW75" i="4"/>
  <c r="AV75" i="4"/>
  <c r="AU75" i="4"/>
  <c r="AT75" i="4"/>
  <c r="AX74" i="4"/>
  <c r="AW74" i="4"/>
  <c r="AV74" i="4"/>
  <c r="AU74" i="4"/>
  <c r="AT74" i="4"/>
  <c r="AX73" i="4"/>
  <c r="AW73" i="4"/>
  <c r="AV73" i="4"/>
  <c r="AU73" i="4"/>
  <c r="AT73" i="4"/>
  <c r="AX72" i="4"/>
  <c r="BC72" i="4" s="1"/>
  <c r="AW72" i="4"/>
  <c r="BB72" i="4" s="1"/>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K90" i="4" s="1"/>
  <c r="AE90" i="4"/>
  <c r="AJ90" i="4" s="1"/>
  <c r="AD90" i="4"/>
  <c r="AC90" i="4"/>
  <c r="AB90" i="4"/>
  <c r="AF89" i="4"/>
  <c r="AE89" i="4"/>
  <c r="AD89" i="4"/>
  <c r="AC89" i="4"/>
  <c r="AB89" i="4"/>
  <c r="AF88" i="4"/>
  <c r="AE88" i="4"/>
  <c r="AD88" i="4"/>
  <c r="AC88" i="4"/>
  <c r="AB88" i="4"/>
  <c r="AF87" i="4"/>
  <c r="AE87" i="4"/>
  <c r="AD87" i="4"/>
  <c r="AI87" i="4" s="1"/>
  <c r="AC87" i="4"/>
  <c r="AB87" i="4"/>
  <c r="AF86" i="4"/>
  <c r="AE86" i="4"/>
  <c r="AD86" i="4"/>
  <c r="AC86" i="4"/>
  <c r="AB86" i="4"/>
  <c r="AF85" i="4"/>
  <c r="AE85" i="4"/>
  <c r="AD85" i="4"/>
  <c r="AC85" i="4"/>
  <c r="AB85" i="4"/>
  <c r="AF84" i="4"/>
  <c r="AE84" i="4"/>
  <c r="AD84" i="4"/>
  <c r="AC84" i="4"/>
  <c r="AB84" i="4"/>
  <c r="AF83" i="4"/>
  <c r="AE83" i="4"/>
  <c r="AD83" i="4"/>
  <c r="AC83" i="4"/>
  <c r="AB83" i="4"/>
  <c r="AF82" i="4"/>
  <c r="AK82" i="4" s="1"/>
  <c r="AE82" i="4"/>
  <c r="AJ82" i="4" s="1"/>
  <c r="AD82" i="4"/>
  <c r="AC82" i="4"/>
  <c r="AB82" i="4"/>
  <c r="AF81" i="4"/>
  <c r="AE81" i="4"/>
  <c r="AD81" i="4"/>
  <c r="AC81" i="4"/>
  <c r="AB81" i="4"/>
  <c r="AF80" i="4"/>
  <c r="AE80" i="4"/>
  <c r="AD80" i="4"/>
  <c r="AC80" i="4"/>
  <c r="AB80" i="4"/>
  <c r="AF79" i="4"/>
  <c r="AE79" i="4"/>
  <c r="AD79" i="4"/>
  <c r="AI79" i="4" s="1"/>
  <c r="AC79" i="4"/>
  <c r="AB79" i="4"/>
  <c r="AF78" i="4"/>
  <c r="AE78" i="4"/>
  <c r="AD78" i="4"/>
  <c r="AC78" i="4"/>
  <c r="AB78" i="4"/>
  <c r="AF77" i="4"/>
  <c r="AE77" i="4"/>
  <c r="AD77" i="4"/>
  <c r="AC77" i="4"/>
  <c r="AB77" i="4"/>
  <c r="AF76" i="4"/>
  <c r="AE76" i="4"/>
  <c r="AD76" i="4"/>
  <c r="AC76" i="4"/>
  <c r="AB76" i="4"/>
  <c r="AF75" i="4"/>
  <c r="AE75" i="4"/>
  <c r="AD75" i="4"/>
  <c r="AC75" i="4"/>
  <c r="AB75" i="4"/>
  <c r="AF74" i="4"/>
  <c r="AK74" i="4" s="1"/>
  <c r="AE74" i="4"/>
  <c r="AJ74" i="4" s="1"/>
  <c r="AD74" i="4"/>
  <c r="AC74" i="4"/>
  <c r="AB74" i="4"/>
  <c r="AF73" i="4"/>
  <c r="AE73" i="4"/>
  <c r="AD73" i="4"/>
  <c r="AC73" i="4"/>
  <c r="AB73" i="4"/>
  <c r="AF72" i="4"/>
  <c r="AE72" i="4"/>
  <c r="AD72" i="4"/>
  <c r="AC72" i="4"/>
  <c r="AB72" i="4"/>
  <c r="AF71" i="4"/>
  <c r="AE71" i="4"/>
  <c r="AD71" i="4"/>
  <c r="AI71" i="4" s="1"/>
  <c r="AC71" i="4"/>
  <c r="AB71" i="4"/>
  <c r="AF70" i="4"/>
  <c r="AE70" i="4"/>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BA73" i="4" l="1"/>
  <c r="BB84" i="4"/>
  <c r="BA89" i="4"/>
  <c r="BU79" i="4"/>
  <c r="BB76" i="4"/>
  <c r="BA81" i="4"/>
  <c r="BA92" i="4"/>
  <c r="BU71" i="4"/>
  <c r="BU87" i="4"/>
  <c r="AJ70" i="4"/>
  <c r="AI75" i="4"/>
  <c r="AJ78" i="4"/>
  <c r="AI83" i="4"/>
  <c r="AJ86" i="4"/>
  <c r="AI91" i="4"/>
  <c r="AZ75" i="4"/>
  <c r="BC76" i="4"/>
  <c r="AZ83" i="4"/>
  <c r="BC84" i="4"/>
  <c r="AZ91" i="4"/>
  <c r="DC70" i="4"/>
  <c r="DD73" i="4"/>
  <c r="DC78" i="4"/>
  <c r="DD81" i="4"/>
  <c r="DC86" i="4"/>
  <c r="DD89" i="4"/>
  <c r="DT75" i="4"/>
  <c r="DW76" i="4"/>
  <c r="DT83" i="4"/>
  <c r="DW84" i="4"/>
  <c r="DT91" i="4"/>
  <c r="FG70" i="4"/>
  <c r="FG78" i="4"/>
  <c r="FG86" i="4"/>
  <c r="AK70" i="4"/>
  <c r="AK78" i="4"/>
  <c r="AK86" i="4"/>
  <c r="CL72" i="4"/>
  <c r="CK77" i="4"/>
  <c r="CL80" i="4"/>
  <c r="CK85" i="4"/>
  <c r="CL88" i="4"/>
  <c r="DE73" i="4"/>
  <c r="DE81" i="4"/>
  <c r="DE89" i="4"/>
  <c r="DE92" i="4"/>
  <c r="CM72" i="4"/>
  <c r="CM80" i="4"/>
  <c r="CM88" i="4"/>
  <c r="BU75" i="4"/>
  <c r="BU83" i="4"/>
  <c r="BU91" i="4"/>
  <c r="FY69" i="4"/>
  <c r="FY85"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N35" i="1"/>
  <c r="AC35" i="1"/>
  <c r="R35" i="1"/>
  <c r="CN50" i="1" l="1"/>
  <c r="CN46" i="1"/>
  <c r="CN49" i="1"/>
  <c r="CN48" i="1"/>
  <c r="CN51" i="1"/>
  <c r="CN47" i="1"/>
  <c r="DG44" i="1"/>
  <c r="DG43" i="1"/>
  <c r="DG42" i="1"/>
  <c r="DG41" i="1"/>
  <c r="DG40" i="1"/>
  <c r="CZ40" i="1" s="1"/>
  <c r="CF37" i="1"/>
  <c r="BZ44" i="1"/>
  <c r="BZ43" i="1"/>
  <c r="BZ42" i="1"/>
  <c r="BZ41" i="1"/>
  <c r="BZ40" i="1"/>
  <c r="BS40" i="1" s="1"/>
  <c r="BH40" i="1"/>
  <c r="BJ37" i="1"/>
  <c r="BD44" i="1"/>
  <c r="BD43" i="1"/>
  <c r="BD42" i="1"/>
  <c r="AW40" i="1" s="1"/>
  <c r="BD41" i="1"/>
  <c r="AN36" i="1"/>
  <c r="AC36" i="1"/>
  <c r="AC37" i="1"/>
  <c r="R36" i="1"/>
  <c r="R37" i="1"/>
  <c r="AV46" i="1" l="1"/>
  <c r="AV49" i="1"/>
  <c r="AV48" i="1"/>
  <c r="AV51" i="1"/>
  <c r="AV47" i="1"/>
  <c r="AV50" i="1"/>
  <c r="CY48" i="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BY41" i="4" s="1"/>
  <c r="AZ43" i="4"/>
  <c r="DC43" i="4"/>
  <c r="CQ41" i="4" s="1"/>
  <c r="AH43" i="4"/>
  <c r="FD44" i="4"/>
  <c r="FE44" i="4"/>
  <c r="DC44" i="4"/>
  <c r="BS44" i="4"/>
  <c r="DU44" i="4"/>
  <c r="FD45" i="4"/>
  <c r="DB45" i="4"/>
  <c r="EL45" i="4"/>
  <c r="BS45" i="4"/>
  <c r="FX42" i="4"/>
  <c r="CL42" i="4"/>
  <c r="DE42" i="4"/>
  <c r="EN42" i="4"/>
  <c r="EO43" i="4"/>
  <c r="FF43" i="4"/>
  <c r="BU43" i="4"/>
  <c r="DV43" i="4"/>
  <c r="DI42" i="4" s="1"/>
  <c r="BB44" i="4"/>
  <c r="CM44" i="4"/>
  <c r="DE45" i="4"/>
  <c r="BU45" i="4"/>
  <c r="AH41" i="4"/>
  <c r="DT41" i="4"/>
  <c r="FD42" i="4"/>
  <c r="BS42" i="4"/>
  <c r="BA43" i="4"/>
  <c r="AO41" i="4" s="1"/>
  <c r="FE43" i="4"/>
  <c r="CK43" i="4"/>
  <c r="FW44" i="4"/>
  <c r="BA45" i="4"/>
  <c r="EO41" i="4"/>
  <c r="FX41" i="4"/>
  <c r="DW41" i="4"/>
  <c r="BT42" i="4"/>
  <c r="CL43" i="4"/>
  <c r="BY42" i="4" s="1"/>
  <c r="CM43" i="4"/>
  <c r="FG44" i="4"/>
  <c r="BU44" i="4"/>
  <c r="CL44" i="4"/>
  <c r="FG45" i="4"/>
  <c r="EN45" i="4"/>
  <c r="EA42" i="4" s="1"/>
  <c r="FE41" i="4"/>
  <c r="DB41" i="4"/>
  <c r="FV42" i="4"/>
  <c r="EM42" i="4"/>
  <c r="EL42" i="4"/>
  <c r="DB43" i="4"/>
  <c r="DU43" i="4"/>
  <c r="DI41" i="4" s="1"/>
  <c r="BS43" i="4"/>
  <c r="BG41" i="4" s="1"/>
  <c r="AZ44" i="4"/>
  <c r="EM44" i="4"/>
  <c r="EL44" i="4"/>
  <c r="AI44" i="4"/>
  <c r="EM45" i="4"/>
  <c r="EA41" i="4" s="1"/>
  <c r="BR45" i="4"/>
  <c r="DC45" i="4"/>
  <c r="DT45" i="4"/>
  <c r="CJ42" i="4"/>
  <c r="AK41" i="4"/>
  <c r="BU41" i="4"/>
  <c r="BT41" i="4"/>
  <c r="DV41" i="4"/>
  <c r="CL41" i="4"/>
  <c r="BU42" i="4"/>
  <c r="EO42" i="4"/>
  <c r="AJ42" i="4"/>
  <c r="W42" i="4" s="1"/>
  <c r="DV42" i="4"/>
  <c r="BB43" i="4"/>
  <c r="AO42" i="4" s="1"/>
  <c r="FX43" i="4"/>
  <c r="DD43" i="4"/>
  <c r="CQ42" i="4" s="1"/>
  <c r="BT43" i="4"/>
  <c r="BG42" i="4" s="1"/>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W41" i="4" l="1"/>
  <c r="W43" i="4" s="1"/>
  <c r="Z43" i="4" s="1"/>
  <c r="CQ43" i="4"/>
  <c r="CT43" i="4" s="1"/>
  <c r="AO43" i="4"/>
  <c r="AR43" i="4" s="1"/>
  <c r="EA43" i="4"/>
  <c r="ED43" i="4" s="1"/>
  <c r="FK43" i="4"/>
  <c r="ES43" i="4"/>
  <c r="BG43" i="4"/>
  <c r="BJ43" i="4" s="1"/>
  <c r="DI43" i="4"/>
  <c r="DL43" i="4" s="1"/>
  <c r="BY43" i="4"/>
  <c r="CB43" i="4" s="1"/>
  <c r="E43" i="4"/>
  <c r="H43" i="4" s="1"/>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<sst xmlns="http://schemas.openxmlformats.org/spreadsheetml/2006/main" count="5100" uniqueCount="251">
  <si>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</si>
  <si>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</si>
  <si>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</si>
  <si>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</si>
  <si>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</si>
  <si>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</si>
  <si>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</si>
  <si>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</si>
  <si>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</si>
  <si>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</si>
  <si>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</si>
  <si>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</si>
  <si>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</si>
  <si>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</si>
  <si>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</si>
  <si>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</si>
  <si>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</si>
  <si>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</si>
  <si>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</si>
  <si>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</si>
  <si>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</si>
  <si>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</si>
  <si>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</si>
  <si>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</si>
  <si>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</si>
  <si>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</si>
  <si>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</si>
  <si>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</si>
  <si>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</si>
  <si>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</si>
  <si>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</si>
  <si>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</si>
  <si>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</si>
  <si>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</si>
  <si>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</si>
  <si>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</si>
  <si>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</si>
  <si>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</si>
  <si>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</si>
  <si>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</si>
  <si>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</si>
  <si>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</si>
  <si>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</si>
  <si>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</si>
  <si>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</si>
  <si>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</si>
  <si>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</si>
  <si>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</si>
  <si>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</si>
  <si>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</si>
  <si>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</si>
  <si>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</si>
  <si>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</si>
  <si>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</si>
  <si>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</si>
  <si>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</si>
  <si>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</si>
  <si>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</si>
  <si>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</si>
  <si>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</si>
  <si>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</si>
  <si>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</si>
  <si>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</si>
  <si>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</si>
  <si>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</si>
  <si>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</si>
  <si>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</si>
  <si>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</si>
  <si>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</si>
  <si>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</si>
  <si>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</si>
  <si>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</si>
  <si>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</si>
  <si>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</si>
  <si>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</si>
  <si>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</si>
  <si>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</si>
  <si>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</si>
  <si>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</si>
  <si>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</si>
  <si>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</si>
  <si>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</si>
  <si>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</si>
  <si>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</si>
  <si>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</si>
  <si>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</si>
  <si>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</si>
  <si>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</si>
  <si>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</si>
  <si>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</si>
  <si>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</si>
  <si>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</si>
  <si>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</si>
  <si>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</si>
  <si>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</si>
  <si>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</si>
  <si>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</si>
  <si>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</si>
  <si>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</si>
  <si>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</si>
  <si>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</si>
  <si>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</si>
  <si>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</si>
  <si>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</si>
  <si>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</si>
  <si>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</si>
  <si>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</si>
  <si>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</si>
  <si>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</si>
  <si>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</si>
  <si>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</si>
  <si>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</si>
  <si>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</si>
  <si>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</si>
  <si>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</si>
  <si>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</si>
  <si>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</si>
  <si>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</si>
  <si>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</si>
  <si>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</si>
  <si>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</si>
  <si>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</si>
  <si>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</si>
  <si>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</si>
  <si>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</si>
  <si>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</si>
  <si>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</si>
  <si>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</si>
  <si>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</si>
  <si>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</si>
  <si>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</si>
  <si>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</si>
  <si>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</si>
  <si>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</si>
  <si>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</si>
  <si>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</si>
  <si>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</si>
  <si>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</si>
  <si>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</si>
  <si>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</si>
  <si>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</si>
  <si>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</si>
  <si>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</si>
  <si>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</si>
  <si>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</si>
  <si>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</si>
  <si>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</si>
  <si>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</si>
  <si>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</si>
  <si>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</si>
  <si>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</si>
  <si>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</si>
  <si>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</si>
  <si>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</si>
  <si>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</si>
  <si>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</si>
  <si>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</si>
  <si>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</si>
  <si>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</si>
  <si>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</si>
  <si>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</si>
  <si>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</si>
  <si>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</si>
  <si>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</si>
  <si>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</si>
  <si>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</si>
  <si>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</si>
  <si>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</si>
  <si>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</si>
  <si>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</si>
  <si>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</si>
  <si>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</si>
  <si>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</si>
  <si>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</si>
  <si>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</si>
  <si>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</si>
  <si>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</si>
  <si>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</si>
  <si>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</si>
  <si>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</si>
  <si>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</si>
  <si>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</si>
  <si>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</si>
  <si>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</si>
  <si>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</si>
  <si>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</si>
  <si>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</si>
  <si>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</si>
  <si>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</si>
  <si>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</si>
  <si>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</si>
  <si>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</si>
  <si>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</si>
  <si>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</si>
  <si>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</si>
  <si>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</si>
  <si>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</si>
  <si>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</si>
  <si>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</si>
  <si>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</si>
  <si>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</si>
  <si>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</si>
  <si>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</si>
  <si>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</si>
  <si>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</si>
  <si>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</si>
  <si>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</si>
  <si>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</si>
  <si>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</si>
  <si>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</si>
  <si>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</si>
  <si>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</si>
  <si>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</si>
  <si>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</si>
  <si>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</si>
  <si>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</si>
  <si>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</si>
  <si>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</si>
  <si>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</si>
  <si>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</si>
  <si>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</si>
  <si>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</si>
  <si>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</si>
  <si>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</si>
  <si>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</si>
  <si>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</si>
  <si>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</si>
  <si>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</si>
  <si>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Proposed Effective Date:</t>
  </si>
  <si>
    <t>(If no, provide explanation in Filing Memorandum.  Include a time line as to when compliance with CCR §2644.8 will be achieved.)</t>
  </si>
  <si>
    <t xml:space="preserve">What is the average policy term of your book in months (taken from Exhibit 3 - </t>
  </si>
  <si>
    <t>Policy Term Distribution)?</t>
  </si>
  <si>
    <t>1/3/2023</t>
  </si>
  <si>
    <t>Laura Campbell</t>
  </si>
  <si>
    <t>State Farm Mutual Automobile Insurance Company</t>
  </si>
  <si>
    <t>MPC</t>
  </si>
  <si>
    <t>UM</t>
  </si>
  <si>
    <t>COMP</t>
  </si>
  <si>
    <t>COLL</t>
  </si>
  <si>
    <t>Misc. Damage</t>
  </si>
  <si>
    <t>Misc. Liability</t>
  </si>
  <si>
    <t>ISO Fast Track Bodily Injury and Property Damage</t>
  </si>
  <si>
    <t>Earned</t>
  </si>
  <si>
    <t>Excludes DCCE</t>
  </si>
  <si>
    <t>Yes</t>
  </si>
  <si>
    <t>No</t>
  </si>
  <si>
    <t/>
  </si>
  <si>
    <t>Reported</t>
  </si>
  <si>
    <t>Closed</t>
  </si>
  <si>
    <t>BIPD</t>
  </si>
  <si>
    <t>ZdoAlbYF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</si>
</sst>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323">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6"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1"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3"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4" fillId="0" borderId="0" xfId="0" applyFont="1" applyAlignment="1" applyProtection="1">
      <alignment horizontal="centerContinuous"/>
    </xf>
    <xf numFmtId="0" fontId="11" fillId="0" borderId="0" xfId="0" applyFont="1" applyAlignment="1">
      <alignment horizontal="centerContinuous"/>
    </xf>
    <xf numFmtId="0" fontId="32" fillId="0" borderId="0" xfId="0" applyFont="1" applyAlignment="1">
      <alignment vertical="center"/>
    </xf>
    <xf numFmtId="0" fontId="35" fillId="0" borderId="0" xfId="0" applyFont="1"/>
    <xf numFmtId="0" fontId="36" fillId="0" borderId="0" xfId="0" applyFont="1" applyAlignment="1" applyProtection="1">
      <alignment horizontal="centerContinuous" vertical="center"/>
    </xf>
    <xf numFmtId="0" fontId="37" fillId="0" borderId="0" xfId="0" applyFont="1" applyAlignment="1" applyProtection="1">
      <alignment horizontal="centerContinuous"/>
    </xf>
    <xf numFmtId="0" fontId="37" fillId="0" borderId="0" xfId="0" applyFont="1" applyAlignment="1">
      <alignment horizontal="centerContinuous"/>
    </xf>
    <xf numFmtId="0" fontId="37" fillId="0" borderId="0" xfId="0" applyFont="1"/>
    <xf numFmtId="0" fontId="36"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3" fillId="0" borderId="0" xfId="0" applyFont="1" applyProtection="1"/>
    <xf numFmtId="0" fontId="38" fillId="0" borderId="0" xfId="0" applyFont="1" applyAlignment="1" applyProtection="1">
      <alignment vertical="center"/>
    </xf>
    <xf numFmtId="0" fontId="33" fillId="0" borderId="0" xfId="0" applyFont="1" applyBorder="1" applyProtection="1"/>
    <xf numFmtId="0" fontId="33" fillId="0" borderId="0" xfId="0" applyFont="1"/>
    <xf numFmtId="0" fontId="39" fillId="0" borderId="0" xfId="0" applyFont="1" applyAlignment="1" applyProtection="1">
      <alignment horizontal="centerContinuous" vertical="center"/>
    </xf>
    <xf numFmtId="0" fontId="40" fillId="0" borderId="0" xfId="0" applyFont="1" applyAlignment="1" applyProtection="1">
      <alignment horizontal="centerContinuous" vertical="center"/>
    </xf>
    <xf numFmtId="0" fontId="33" fillId="0" borderId="0" xfId="0" applyFont="1" applyAlignment="1" applyProtection="1">
      <alignment horizontal="centerContinuous"/>
    </xf>
    <xf numFmtId="0" fontId="33" fillId="0" borderId="0" xfId="0" applyFont="1" applyAlignment="1">
      <alignment horizontal="centerContinuous"/>
    </xf>
    <xf numFmtId="0" fontId="33" fillId="0" borderId="0" xfId="0" applyFont="1" applyAlignment="1">
      <alignment vertical="center"/>
    </xf>
    <xf numFmtId="0" fontId="33" fillId="0" borderId="0" xfId="0" applyFont="1" applyAlignment="1" applyProtection="1">
      <alignment horizontal="left" vertical="center"/>
    </xf>
    <xf numFmtId="0" fontId="33" fillId="0" borderId="0" xfId="0" applyFont="1" applyAlignment="1"/>
    <xf numFmtId="0" fontId="0" fillId="0" borderId="0" xfId="0" applyAlignment="1">
      <alignment horizontal="right"/>
    </xf>
    <xf numFmtId="0" fontId="41" fillId="0" borderId="0" xfId="0" applyFont="1" applyAlignment="1" applyProtection="1">
      <alignment horizontal="center"/>
    </xf>
    <xf numFmtId="0" fontId="18" fillId="0" borderId="0" xfId="0" applyFont="1" applyAlignment="1" applyProtection="1">
      <alignment horizontal="center"/>
    </xf>
    <xf numFmtId="0" fontId="2" fillId="0" borderId="0" xfId="0" applyFont="1"/>
    <xf numFmtId="0" fontId="20" fillId="0" borderId="0" xfId="0" applyFont="1" applyAlignment="1">
      <alignment vertical="top"/>
    </xf>
    <xf numFmtId="0" fontId="0" fillId="0" borderId="0" xfId="0" applyAlignment="1">
      <alignment vertical="top"/>
    </xf>
    <xf numFmtId="0" fontId="0" fillId="0" borderId="24" xfId="0" applyBorder="1" applyAlignment="1">
      <alignment vertical="top"/>
    </xf>
    <xf numFmtId="0" fontId="2" fillId="0" borderId="0" xfId="0" applyFont="1" applyAlignment="1">
      <alignment vertical="top"/>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5" val="0"/>
</file>

<file path=xl/ctrlProps/ctrlProp10.xml><?xml version="1.0" encoding="utf-8"?>
<formControlPr xmlns="http://schemas.microsoft.com/office/spreadsheetml/2009/9/main" objectType="Drop" dropLines="3" dropStyle="combo" dx="15" fmlaLink="$C$34" fmlaRange="References!$B$13:$B$15" noThreeD="1" sel="3"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2" val="0"/>
</file>

<file path=xl/ctrlProps/ctrlProp15.xml><?xml version="1.0" encoding="utf-8"?>
<formControlPr xmlns="http://schemas.microsoft.com/office/spreadsheetml/2009/9/main" objectType="Drop" dropLines="34" dropStyle="combo" dx="16" fmlaLink="References!$Q$9" fmlaRange="List_DetailLine" sel="2" val="0"/>
</file>

<file path=xl/ctrlProps/ctrlProp16.xml><?xml version="1.0" encoding="utf-8"?>
<formControlPr xmlns="http://schemas.microsoft.com/office/spreadsheetml/2009/9/main" objectType="Drop" dropLines="34" dropStyle="combo" dx="16" fmlaLink="References!$Q$10" fmlaRange="List_DetailLine" sel="3" val="0"/>
</file>

<file path=xl/ctrlProps/ctrlProp17.xml><?xml version="1.0" encoding="utf-8"?>
<formControlPr xmlns="http://schemas.microsoft.com/office/spreadsheetml/2009/9/main" objectType="Drop" dropLines="34" dropStyle="combo" dx="16" fmlaLink="References!$Q$11" fmlaRange="List_DetailLine" sel="3" val="0"/>
</file>

<file path=xl/ctrlProps/ctrlProp18.xml><?xml version="1.0" encoding="utf-8"?>
<formControlPr xmlns="http://schemas.microsoft.com/office/spreadsheetml/2009/9/main" objectType="Drop" dropLines="34" dropStyle="combo" dx="16" fmlaLink="References!$Q$12" fmlaRange="List_DetailLine" sel="3"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276225</xdr:rowOff>
        </xdr:from>
        <xdr:to>
          <xdr:col>4</xdr:col>
          <xdr:colOff>9525</xdr:colOff>
          <xdr:row>63</xdr:row>
          <xdr:rowOff>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1161925</xdr:colOff>
      <xdr:row>63</xdr:row>
      <xdr:rowOff>249280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1161925</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1161925</xdr:colOff>
      <xdr:row>133</xdr:row>
      <xdr:rowOff>248842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1161925</xdr:colOff>
      <xdr:row>171</xdr:row>
      <xdr:rowOff>249599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21823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1161925</xdr:colOff>
      <xdr:row>241</xdr:row>
      <xdr:rowOff>246529</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18853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148</v>
      </c>
      <c r="B5" s="119" t="s">
        <v>250</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232</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141</v>
      </c>
      <c r="B19" s="122"/>
    </row>
    <row r="20" spans="1:2" x14ac:dyDescent="0.25">
      <c r="A20" s="119" t="s">
        <v>142</v>
      </c>
      <c r="B20" s="198" t="str">
        <f>B10&amp;" Edition"</f>
        <v>1/3/2023 Edition</v>
      </c>
    </row>
    <row r="21" spans="1:2" x14ac:dyDescent="0.25">
      <c r="A21" s="119" t="s">
        <v>143</v>
      </c>
      <c r="B21" s="199" t="str">
        <f>IF(ISBLANK('1.General'!$C$12),"",'1.General'!$C$12)</f>
        <v>State Farm Mutual Automobile Insurance Company</v>
      </c>
    </row>
    <row r="22" spans="1:2" x14ac:dyDescent="0.25">
      <c r="A22" s="119" t="s">
        <v>144</v>
      </c>
      <c r="B22" s="200" t="str">
        <f>INDEX(List_GeneralLine,References!$F$5,1)</f>
        <v>Auto Liability and Physical Damage</v>
      </c>
    </row>
    <row r="23" spans="1:2" x14ac:dyDescent="0.25">
      <c r="A23" s="119" t="s">
        <v>145</v>
      </c>
      <c r="B23" s="200">
        <f>IF(ISBLANK('1.General'!$B$10),"",'1.General'!$B$10)</f>
        <v>45201</v>
      </c>
    </row>
    <row r="24" spans="1:2" x14ac:dyDescent="0.25">
      <c r="A24" s="119" t="s">
        <v>146</v>
      </c>
      <c r="B24" s="200" t="str">
        <f>IF(ISBLANK('1.General'!$B$8),"",'1.General'!$B$8)</f>
        <v>Laura Campbell</v>
      </c>
    </row>
    <row r="25" spans="1:2" x14ac:dyDescent="0.25">
      <c r="A25" s="119" t="s">
        <v>147</v>
      </c>
      <c r="B25" s="201" t="str">
        <f>IF(ISBLANK('1.General'!$F$8),"",'1.General'!$F$8)</f>
        <v/>
      </c>
    </row>
    <row r="26" spans="1:2" x14ac:dyDescent="0.25">
      <c r="A26" s="119" t="s">
        <v>65</v>
      </c>
      <c r="B26" s="197" t="str">
        <f>INDEX(List_AggMethod,References!$L$5,1)</f>
        <v>Accident Year Data</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A4" zoomScaleNormal="100" workbookViewId="0">
      <selection activeCell="A4" sqref="A4"/>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82</v>
      </c>
      <c r="C2" s="15"/>
      <c r="D2" s="175" t="s">
        <v>83</v>
      </c>
      <c r="E2" s="15"/>
      <c r="F2" s="174" t="s">
        <v>84</v>
      </c>
      <c r="G2" s="252"/>
      <c r="H2" s="15"/>
      <c r="I2" s="249" t="s">
        <v>133</v>
      </c>
      <c r="J2" s="176"/>
      <c r="L2" s="175" t="s">
        <v>134</v>
      </c>
      <c r="N2" s="175" t="s">
        <v>140</v>
      </c>
      <c r="P2" s="235" t="s">
        <v>183</v>
      </c>
      <c r="Q2" s="236"/>
    </row>
    <row r="3" spans="1:17" x14ac:dyDescent="0.25">
      <c r="A3" s="17"/>
      <c r="B3" s="177" t="s">
        <v>85</v>
      </c>
      <c r="C3" s="15"/>
      <c r="D3" s="178"/>
      <c r="F3" s="179"/>
      <c r="G3" s="228"/>
      <c r="I3" s="250"/>
      <c r="J3" s="180"/>
      <c r="L3" s="182"/>
      <c r="N3" s="182"/>
      <c r="P3" s="237" t="s">
        <v>184</v>
      </c>
      <c r="Q3" s="238"/>
    </row>
    <row r="4" spans="1:17" x14ac:dyDescent="0.25">
      <c r="A4" s="17"/>
      <c r="B4" s="177" t="s">
        <v>154</v>
      </c>
      <c r="C4" s="181"/>
      <c r="D4" s="182"/>
      <c r="F4" s="179"/>
      <c r="G4" s="228"/>
      <c r="I4" s="250"/>
      <c r="J4" s="180"/>
      <c r="L4" s="182"/>
      <c r="N4" s="182"/>
      <c r="P4" s="233"/>
      <c r="Q4" s="234"/>
    </row>
    <row r="5" spans="1:17" ht="45" x14ac:dyDescent="0.25">
      <c r="A5" s="170" t="s">
        <v>135</v>
      </c>
      <c r="B5" s="183"/>
      <c r="C5" s="95"/>
      <c r="D5" s="184">
        <v>2</v>
      </c>
      <c r="E5" s="185"/>
      <c r="F5" s="186">
        <v>5</v>
      </c>
      <c r="G5" s="229"/>
      <c r="H5" s="185"/>
      <c r="I5" s="251"/>
      <c r="J5" s="187"/>
      <c r="L5" s="186">
        <v>1</v>
      </c>
      <c r="N5" s="186">
        <v>4</v>
      </c>
      <c r="P5" s="233"/>
      <c r="Q5" s="234"/>
    </row>
    <row r="6" spans="1:17" x14ac:dyDescent="0.25">
      <c r="B6" s="188" t="s">
        <v>86</v>
      </c>
      <c r="C6" s="189"/>
      <c r="D6" s="182" t="s">
        <v>87</v>
      </c>
      <c r="F6" s="179"/>
      <c r="G6" s="228"/>
      <c r="I6" s="250"/>
      <c r="J6" s="180"/>
      <c r="L6" s="182" t="s">
        <v>224</v>
      </c>
      <c r="N6" s="182" t="s">
        <v>66</v>
      </c>
      <c r="P6" s="239">
        <v>1</v>
      </c>
      <c r="Q6" s="241">
        <v>2</v>
      </c>
    </row>
    <row r="7" spans="1:17" x14ac:dyDescent="0.25">
      <c r="B7" s="188" t="s">
        <v>88</v>
      </c>
      <c r="C7" s="189"/>
      <c r="D7" s="182" t="s">
        <v>89</v>
      </c>
      <c r="F7" s="179" t="s">
        <v>90</v>
      </c>
      <c r="G7" s="228"/>
      <c r="I7" s="250" t="s">
        <v>90</v>
      </c>
      <c r="J7" s="180">
        <v>22</v>
      </c>
      <c r="L7" s="182" t="s">
        <v>225</v>
      </c>
      <c r="N7" s="182" t="s">
        <v>68</v>
      </c>
      <c r="P7" s="239">
        <v>2</v>
      </c>
      <c r="Q7" s="241">
        <v>2</v>
      </c>
    </row>
    <row r="8" spans="1:17" ht="15.75" thickBot="1" x14ac:dyDescent="0.3">
      <c r="B8" s="191" t="s">
        <v>91</v>
      </c>
      <c r="C8" s="189"/>
      <c r="D8" s="190"/>
      <c r="F8" s="179" t="s">
        <v>92</v>
      </c>
      <c r="G8" s="228"/>
      <c r="I8" s="250" t="s">
        <v>92</v>
      </c>
      <c r="J8" s="180">
        <v>2.1</v>
      </c>
      <c r="L8" s="182" t="s">
        <v>226</v>
      </c>
      <c r="N8" s="182" t="s">
        <v>67</v>
      </c>
      <c r="P8" s="239">
        <v>3</v>
      </c>
      <c r="Q8" s="241">
        <v>2</v>
      </c>
    </row>
    <row r="9" spans="1:17" ht="15.75" thickBot="1" x14ac:dyDescent="0.3">
      <c r="F9" s="179" t="s">
        <v>223</v>
      </c>
      <c r="G9" s="228"/>
      <c r="I9" s="250" t="s">
        <v>94</v>
      </c>
      <c r="J9" s="180">
        <v>17</v>
      </c>
      <c r="L9" s="190"/>
      <c r="N9" s="190" t="s">
        <v>69</v>
      </c>
      <c r="P9" s="239">
        <v>4</v>
      </c>
      <c r="Q9" s="241">
        <v>2</v>
      </c>
    </row>
    <row r="10" spans="1:17" x14ac:dyDescent="0.25">
      <c r="B10" s="175" t="s">
        <v>163</v>
      </c>
      <c r="F10" s="179" t="s">
        <v>93</v>
      </c>
      <c r="G10" s="228"/>
      <c r="I10" s="250" t="s">
        <v>95</v>
      </c>
      <c r="J10" s="180">
        <v>27</v>
      </c>
      <c r="L10" s="278"/>
      <c r="P10" s="239">
        <v>5</v>
      </c>
      <c r="Q10" s="241">
        <v>3</v>
      </c>
    </row>
    <row r="11" spans="1:17" x14ac:dyDescent="0.25">
      <c r="B11" s="178" t="s">
        <v>164</v>
      </c>
      <c r="F11" s="179" t="s">
        <v>94</v>
      </c>
      <c r="G11" s="228"/>
      <c r="I11" s="250" t="s">
        <v>96</v>
      </c>
      <c r="J11" s="180">
        <v>26</v>
      </c>
      <c r="L11" s="278"/>
      <c r="P11" s="239">
        <v>6</v>
      </c>
      <c r="Q11" s="241">
        <v>3</v>
      </c>
    </row>
    <row r="12" spans="1:17" x14ac:dyDescent="0.25">
      <c r="B12" s="182"/>
      <c r="F12" s="179" t="s">
        <v>95</v>
      </c>
      <c r="G12" s="228"/>
      <c r="I12" s="250" t="s">
        <v>97</v>
      </c>
      <c r="J12" s="180">
        <v>19.399999999999999</v>
      </c>
      <c r="P12" s="239">
        <v>7</v>
      </c>
      <c r="Q12" s="241">
        <v>3</v>
      </c>
    </row>
    <row r="13" spans="1:17" x14ac:dyDescent="0.25">
      <c r="B13" s="184"/>
      <c r="F13" s="179" t="s">
        <v>96</v>
      </c>
      <c r="G13" s="228"/>
      <c r="I13" s="250" t="s">
        <v>99</v>
      </c>
      <c r="J13" s="180">
        <v>21.2</v>
      </c>
      <c r="P13" s="239">
        <v>8</v>
      </c>
      <c r="Q13" s="241">
        <v>1</v>
      </c>
    </row>
    <row r="14" spans="1:17" x14ac:dyDescent="0.25">
      <c r="B14" s="182">
        <v>12</v>
      </c>
      <c r="F14" s="179" t="s">
        <v>98</v>
      </c>
      <c r="G14" s="228"/>
      <c r="I14" s="250" t="s">
        <v>101</v>
      </c>
      <c r="J14" s="180">
        <v>5</v>
      </c>
      <c r="P14" s="239">
        <v>9</v>
      </c>
      <c r="Q14" s="241">
        <v>1</v>
      </c>
    </row>
    <row r="15" spans="1:17" ht="15.75" thickBot="1" x14ac:dyDescent="0.3">
      <c r="B15" s="190">
        <v>15</v>
      </c>
      <c r="F15" s="179" t="s">
        <v>100</v>
      </c>
      <c r="G15" s="228"/>
      <c r="I15" s="250" t="s">
        <v>103</v>
      </c>
      <c r="J15" s="180">
        <v>5.2</v>
      </c>
      <c r="P15" s="240">
        <v>10</v>
      </c>
      <c r="Q15" s="242">
        <v>1</v>
      </c>
    </row>
    <row r="16" spans="1:17" ht="15.75" thickBot="1" x14ac:dyDescent="0.3">
      <c r="F16" s="179" t="s">
        <v>102</v>
      </c>
      <c r="G16" s="228"/>
      <c r="I16" s="250" t="s">
        <v>105</v>
      </c>
      <c r="J16" s="180">
        <v>5.0999999999999996</v>
      </c>
    </row>
    <row r="17" spans="2:10" x14ac:dyDescent="0.25">
      <c r="B17" s="175" t="s">
        <v>167</v>
      </c>
      <c r="F17" s="179" t="s">
        <v>104</v>
      </c>
      <c r="G17" s="228"/>
      <c r="I17" s="250" t="s">
        <v>98</v>
      </c>
      <c r="J17" s="180">
        <v>12</v>
      </c>
    </row>
    <row r="18" spans="2:10" x14ac:dyDescent="0.25">
      <c r="B18" s="178" t="s">
        <v>164</v>
      </c>
      <c r="F18" s="179" t="s">
        <v>182</v>
      </c>
      <c r="G18" s="228"/>
      <c r="I18" s="250" t="s">
        <v>108</v>
      </c>
      <c r="J18" s="180" t="s">
        <v>109</v>
      </c>
    </row>
    <row r="19" spans="2:10" x14ac:dyDescent="0.25">
      <c r="B19" s="182"/>
      <c r="F19" s="179" t="s">
        <v>221</v>
      </c>
      <c r="G19" s="228"/>
      <c r="I19" s="250" t="s">
        <v>111</v>
      </c>
      <c r="J19" s="180">
        <v>3</v>
      </c>
    </row>
    <row r="20" spans="2:10" x14ac:dyDescent="0.25">
      <c r="B20" s="184"/>
      <c r="F20" s="179" t="s">
        <v>222</v>
      </c>
      <c r="G20" s="228"/>
      <c r="I20" s="250" t="s">
        <v>102</v>
      </c>
      <c r="J20" s="180">
        <v>23</v>
      </c>
    </row>
    <row r="21" spans="2:10" x14ac:dyDescent="0.25">
      <c r="B21" s="182" t="s">
        <v>165</v>
      </c>
      <c r="F21" s="179" t="s">
        <v>106</v>
      </c>
      <c r="G21" s="228"/>
      <c r="I21" s="250" t="s">
        <v>104</v>
      </c>
      <c r="J21" s="180">
        <v>1</v>
      </c>
    </row>
    <row r="22" spans="2:10" ht="15.75" thickBot="1" x14ac:dyDescent="0.3">
      <c r="B22" s="190" t="s">
        <v>166</v>
      </c>
      <c r="F22" s="179" t="s">
        <v>107</v>
      </c>
      <c r="G22" s="228"/>
      <c r="I22" s="250" t="s">
        <v>110</v>
      </c>
      <c r="J22" s="180">
        <v>9</v>
      </c>
    </row>
    <row r="23" spans="2:10" x14ac:dyDescent="0.25">
      <c r="F23" s="179" t="s">
        <v>110</v>
      </c>
      <c r="G23" s="228"/>
      <c r="I23" s="250" t="s">
        <v>116</v>
      </c>
      <c r="J23" s="180">
        <v>4</v>
      </c>
    </row>
    <row r="24" spans="2:10" x14ac:dyDescent="0.25">
      <c r="F24" s="179" t="s">
        <v>112</v>
      </c>
      <c r="G24" s="228"/>
      <c r="I24" s="250" t="s">
        <v>112</v>
      </c>
      <c r="J24" s="180">
        <v>9</v>
      </c>
    </row>
    <row r="25" spans="2:10" x14ac:dyDescent="0.25">
      <c r="F25" s="179" t="s">
        <v>113</v>
      </c>
      <c r="G25" s="228"/>
      <c r="I25" s="250" t="s">
        <v>113</v>
      </c>
      <c r="J25" s="180">
        <v>11</v>
      </c>
    </row>
    <row r="26" spans="2:10" x14ac:dyDescent="0.25">
      <c r="F26" s="179" t="s">
        <v>114</v>
      </c>
      <c r="G26" s="228"/>
      <c r="I26" s="250" t="s">
        <v>119</v>
      </c>
      <c r="J26" s="180">
        <v>11.2</v>
      </c>
    </row>
    <row r="27" spans="2:10" x14ac:dyDescent="0.25">
      <c r="F27" s="179" t="s">
        <v>115</v>
      </c>
      <c r="I27" s="250" t="s">
        <v>120</v>
      </c>
      <c r="J27" s="180">
        <v>11.1</v>
      </c>
    </row>
    <row r="28" spans="2:10" x14ac:dyDescent="0.25">
      <c r="F28" s="179" t="s">
        <v>117</v>
      </c>
      <c r="I28" s="250" t="s">
        <v>121</v>
      </c>
      <c r="J28" s="180" t="s">
        <v>122</v>
      </c>
    </row>
    <row r="29" spans="2:10" x14ac:dyDescent="0.25">
      <c r="F29" s="179" t="s">
        <v>227</v>
      </c>
      <c r="I29" s="250" t="s">
        <v>123</v>
      </c>
      <c r="J29" s="180" t="s">
        <v>124</v>
      </c>
    </row>
    <row r="30" spans="2:10" ht="15.75" thickBot="1" x14ac:dyDescent="0.3">
      <c r="F30" s="192" t="s">
        <v>118</v>
      </c>
      <c r="I30" s="250" t="s">
        <v>125</v>
      </c>
      <c r="J30" s="180" t="s">
        <v>126</v>
      </c>
    </row>
    <row r="31" spans="2:10" x14ac:dyDescent="0.25">
      <c r="I31" s="250" t="s">
        <v>115</v>
      </c>
      <c r="J31" s="180">
        <v>17</v>
      </c>
    </row>
    <row r="32" spans="2:10" x14ac:dyDescent="0.25">
      <c r="I32" s="250" t="s">
        <v>127</v>
      </c>
      <c r="J32" s="180">
        <v>17.2</v>
      </c>
    </row>
    <row r="33" spans="9:10" x14ac:dyDescent="0.25">
      <c r="I33" s="250" t="s">
        <v>128</v>
      </c>
      <c r="J33" s="180">
        <v>17.100000000000001</v>
      </c>
    </row>
    <row r="34" spans="9:10" x14ac:dyDescent="0.25">
      <c r="I34" s="250" t="s">
        <v>129</v>
      </c>
      <c r="J34" s="180">
        <v>19.2</v>
      </c>
    </row>
    <row r="35" spans="9:10" x14ac:dyDescent="0.25">
      <c r="I35" s="250" t="s">
        <v>130</v>
      </c>
      <c r="J35" s="180">
        <v>21.1</v>
      </c>
    </row>
    <row r="36" spans="9:10" x14ac:dyDescent="0.25">
      <c r="I36" s="250" t="s">
        <v>117</v>
      </c>
      <c r="J36" s="180">
        <v>18</v>
      </c>
    </row>
    <row r="37" spans="9:10" x14ac:dyDescent="0.25">
      <c r="I37" s="250" t="s">
        <v>131</v>
      </c>
      <c r="J37" s="180">
        <v>18.2</v>
      </c>
    </row>
    <row r="38" spans="9:10" x14ac:dyDescent="0.25">
      <c r="I38" s="250" t="s">
        <v>132</v>
      </c>
      <c r="J38" s="180">
        <v>18.100000000000001</v>
      </c>
    </row>
    <row r="39" spans="9:10" x14ac:dyDescent="0.25">
      <c r="I39" s="250" t="s">
        <v>118</v>
      </c>
      <c r="J39" s="180">
        <v>24</v>
      </c>
    </row>
    <row r="40" spans="9:10" x14ac:dyDescent="0.25">
      <c r="I40" s="243" t="s">
        <v>185</v>
      </c>
      <c r="J40" s="244"/>
    </row>
    <row r="41" spans="9:10" x14ac:dyDescent="0.25">
      <c r="I41" s="245"/>
      <c r="J41" s="246"/>
    </row>
    <row r="42" spans="9:10" x14ac:dyDescent="0.25">
      <c r="I42" s="245" t="s">
        <v>129</v>
      </c>
      <c r="J42" s="246"/>
    </row>
    <row r="43" spans="9:10" x14ac:dyDescent="0.25">
      <c r="I43" s="245" t="s">
        <v>130</v>
      </c>
      <c r="J43" s="246"/>
    </row>
    <row r="44" spans="9:10" x14ac:dyDescent="0.25">
      <c r="I44" s="245"/>
      <c r="J44" s="246"/>
    </row>
    <row r="45" spans="9:10" x14ac:dyDescent="0.25">
      <c r="I45" s="245"/>
      <c r="J45" s="246"/>
    </row>
    <row r="46" spans="9:10" x14ac:dyDescent="0.25">
      <c r="I46" s="245"/>
      <c r="J46" s="246"/>
    </row>
    <row r="47" spans="9:10" x14ac:dyDescent="0.25">
      <c r="I47" s="245"/>
      <c r="J47" s="246"/>
    </row>
    <row r="48" spans="9:10" x14ac:dyDescent="0.25">
      <c r="I48" s="245"/>
      <c r="J48" s="246"/>
    </row>
    <row r="49" spans="9:10" x14ac:dyDescent="0.25">
      <c r="I49" s="245"/>
      <c r="J49" s="246"/>
    </row>
    <row r="50" spans="9:10" x14ac:dyDescent="0.25">
      <c r="I50" s="247"/>
      <c r="J50" s="253"/>
    </row>
  </sheetData>
  <sheetProtection algorithmName="SHA-512" hashValue="ApDDAVutESTKqOQsgS740JTJp1TYB06QK31Z7Sv7rVmBagSNhdf/kQOLkdsn1SEDa3FiOe8yE+rhZv9XRUJ4mQ==" saltValue="qnDW+SIX9udWZvU8bGitkA==" spinCount="100000" sheet="1" objects="1" scenarios="1" formatColumns="0" formatRows="0" sort="0"/>
  <pageMargins left="0.7" right="0.7" top="0.75" bottom="0.75" header="0.3" footer="0.3"/>
  <pageSetup orientation="portrait" r:id="rId1"/>
  <headerFooter>
    <oddFooter>&amp;L1/3/2023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zoomScaleNormal="100" zoomScaleSheetLayoutView="100" workbookViewId="0"/>
  </sheetViews>
  <sheetFormatPr defaultRowHeight="15" x14ac:dyDescent="0.25"/>
  <cols>
    <col min="1" max="1" width="2.28515625" customWidth="1"/>
    <col min="2" max="2" width="100.7109375" customWidth="1"/>
  </cols>
  <sheetData>
    <row r="1" spans="1:2" ht="26.25" x14ac:dyDescent="0.25">
      <c r="A1" s="163" t="s">
        <v>73</v>
      </c>
      <c r="B1" s="19"/>
    </row>
    <row r="2" spans="1:2" ht="26.25" x14ac:dyDescent="0.25">
      <c r="A2" s="163" t="s">
        <v>72</v>
      </c>
      <c r="B2" s="18"/>
    </row>
    <row r="3" spans="1:2" ht="26.25" x14ac:dyDescent="0.25">
      <c r="A3" s="163"/>
      <c r="B3" s="18"/>
    </row>
    <row r="4" spans="1:2" ht="47.25" x14ac:dyDescent="0.25">
      <c r="A4" s="164"/>
      <c r="B4" s="165" t="s">
        <v>153</v>
      </c>
    </row>
    <row r="5" spans="1:2" ht="27" thickBot="1" x14ac:dyDescent="0.3">
      <c r="A5" s="166"/>
      <c r="B5" s="167" t="s">
        <v>71</v>
      </c>
    </row>
    <row r="6" spans="1:2" ht="26.25" x14ac:dyDescent="0.25">
      <c r="A6" s="164"/>
      <c r="B6" s="168"/>
    </row>
    <row r="7" spans="1:2" ht="68.25" customHeight="1" x14ac:dyDescent="0.25">
      <c r="A7" s="95" t="s">
        <v>149</v>
      </c>
      <c r="B7" s="169" t="s">
        <v>155</v>
      </c>
    </row>
    <row r="8" spans="1:2" ht="21.75" customHeight="1" x14ac:dyDescent="0.25">
      <c r="A8" s="95" t="s">
        <v>150</v>
      </c>
      <c r="B8" s="169" t="s">
        <v>156</v>
      </c>
    </row>
    <row r="9" spans="1:2" ht="69" customHeight="1" x14ac:dyDescent="0.25">
      <c r="A9" s="95" t="s">
        <v>151</v>
      </c>
      <c r="B9" s="169" t="s">
        <v>216</v>
      </c>
    </row>
    <row r="10" spans="1:2" ht="51" customHeight="1" x14ac:dyDescent="0.25">
      <c r="A10" s="95" t="s">
        <v>152</v>
      </c>
      <c r="B10" s="169" t="s">
        <v>161</v>
      </c>
    </row>
    <row r="11" spans="1:2" ht="127.5" customHeight="1" x14ac:dyDescent="0.25">
      <c r="A11" s="95" t="s">
        <v>157</v>
      </c>
      <c r="B11" s="169" t="s">
        <v>217</v>
      </c>
    </row>
    <row r="12" spans="1:2" ht="83.25" customHeight="1" x14ac:dyDescent="0.25">
      <c r="A12" s="95" t="s">
        <v>158</v>
      </c>
      <c r="B12" s="169" t="s">
        <v>186</v>
      </c>
    </row>
    <row r="13" spans="1:2" ht="22.5" customHeight="1" x14ac:dyDescent="0.25">
      <c r="A13" s="95" t="s">
        <v>159</v>
      </c>
      <c r="B13" s="208" t="s">
        <v>160</v>
      </c>
    </row>
    <row r="15" spans="1:2" x14ac:dyDescent="0.25">
      <c r="B15" s="308" t="str">
        <f>Edition_Date</f>
        <v>1/3/2023 Edition</v>
      </c>
    </row>
  </sheetData>
  <sheetProtection algorithmName="SHA-512" hashValue="Tw2Ub1YuScmlN8sJKuiLfq/wcJyhXP87j+nh2VNnZr/TaMijrzCryoS0xDrvHX9vAwVbjoMBKTVVA0WUKFkyeQ==" saltValue="H3r93FO2Nki1ZiaDg9dxQg=="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74</v>
      </c>
      <c r="F1" s="171" t="s">
        <v>77</v>
      </c>
      <c r="G1" s="53" t="str">
        <f>Co_Name</f>
        <v>State Farm Mutual Automobile Insurance Company</v>
      </c>
      <c r="H1" s="53"/>
      <c r="I1" s="194" t="s">
        <v>139</v>
      </c>
    </row>
    <row r="2" spans="1:9" x14ac:dyDescent="0.25">
      <c r="A2" s="171" t="s">
        <v>75</v>
      </c>
      <c r="F2" s="171" t="s">
        <v>78</v>
      </c>
      <c r="G2" s="37" t="str">
        <f>General_Line</f>
        <v>Auto Liability and Physical Damage</v>
      </c>
      <c r="I2" s="195" t="s">
        <v>138</v>
      </c>
    </row>
    <row r="3" spans="1:9" x14ac:dyDescent="0.25">
      <c r="A3" s="171"/>
      <c r="G3" s="25"/>
      <c r="I3" s="203"/>
    </row>
    <row r="4" spans="1:9" ht="18" customHeight="1" x14ac:dyDescent="0.25">
      <c r="A4" s="171"/>
      <c r="G4" s="25"/>
      <c r="I4" s="203"/>
    </row>
    <row r="5" spans="1:9" ht="23.25" customHeight="1" x14ac:dyDescent="0.25">
      <c r="A5" s="172" t="s">
        <v>79</v>
      </c>
      <c r="B5" s="2"/>
      <c r="C5" s="2"/>
      <c r="D5" s="2"/>
      <c r="E5" s="2"/>
      <c r="F5" s="2"/>
      <c r="G5" s="26"/>
      <c r="H5" s="2"/>
      <c r="I5" s="203"/>
    </row>
    <row r="6" spans="1:9" ht="23.25" customHeight="1" x14ac:dyDescent="0.25">
      <c r="A6" s="172" t="s">
        <v>162</v>
      </c>
      <c r="B6" s="2"/>
      <c r="C6" s="2"/>
      <c r="D6" s="2"/>
      <c r="E6" s="2"/>
      <c r="F6" s="2"/>
      <c r="G6" s="26"/>
      <c r="H6" s="2"/>
      <c r="I6" s="203"/>
    </row>
    <row r="7" spans="1:9" ht="18" customHeight="1" x14ac:dyDescent="0.25">
      <c r="G7" s="25"/>
      <c r="I7" s="203"/>
    </row>
    <row r="8" spans="1:9" x14ac:dyDescent="0.25">
      <c r="A8" s="104" t="s">
        <v>80</v>
      </c>
      <c r="B8" s="224" t="s">
        <v>233</v>
      </c>
      <c r="C8" s="207" t="s">
        <v>81</v>
      </c>
      <c r="F8" s="225"/>
      <c r="G8" s="25"/>
      <c r="I8" s="205"/>
    </row>
    <row r="9" spans="1:9" x14ac:dyDescent="0.25">
      <c r="A9" s="104"/>
      <c r="B9" s="254"/>
      <c r="C9" s="25"/>
      <c r="D9" s="25"/>
      <c r="E9" s="25"/>
      <c r="F9" s="25"/>
      <c r="G9" s="173"/>
      <c r="H9" s="258"/>
      <c r="I9" s="203"/>
    </row>
    <row r="10" spans="1:9" x14ac:dyDescent="0.25">
      <c r="A10" s="104" t="s">
        <v>228</v>
      </c>
      <c r="B10" s="225">
        <v>45201</v>
      </c>
      <c r="C10" s="25"/>
      <c r="D10" s="25"/>
      <c r="E10" s="25"/>
      <c r="F10" s="25"/>
      <c r="G10" s="25"/>
      <c r="I10" s="203"/>
    </row>
    <row r="11" spans="1:9" x14ac:dyDescent="0.25">
      <c r="A11" s="104"/>
      <c r="B11" s="254"/>
      <c r="C11" s="25"/>
      <c r="D11" s="25"/>
      <c r="E11" s="25"/>
      <c r="F11" s="25"/>
      <c r="G11" s="25"/>
      <c r="I11" s="203"/>
    </row>
    <row r="12" spans="1:9" x14ac:dyDescent="0.25">
      <c r="A12" s="11" t="s">
        <v>136</v>
      </c>
      <c r="B12" s="11"/>
      <c r="C12" s="318" t="s">
        <v>234</v>
      </c>
      <c r="D12" s="319"/>
      <c r="E12" s="319"/>
      <c r="F12" s="320"/>
      <c r="G12" s="257"/>
      <c r="I12" s="203"/>
    </row>
    <row r="13" spans="1:9" x14ac:dyDescent="0.25">
      <c r="A13" s="171"/>
      <c r="B13" s="171"/>
      <c r="C13" s="255"/>
      <c r="D13" s="255"/>
      <c r="E13" s="255"/>
      <c r="F13" s="255"/>
      <c r="G13" s="256"/>
      <c r="H13" s="25"/>
      <c r="I13" s="203"/>
    </row>
    <row r="14" spans="1:9" x14ac:dyDescent="0.25">
      <c r="A14" s="11" t="s">
        <v>179</v>
      </c>
      <c r="B14" s="11"/>
      <c r="C14" s="227"/>
      <c r="D14" s="227"/>
      <c r="E14" s="255"/>
      <c r="F14" s="255"/>
      <c r="G14" s="256"/>
      <c r="H14" s="25"/>
      <c r="I14" s="203"/>
    </row>
    <row r="15" spans="1:9" x14ac:dyDescent="0.25">
      <c r="A15" s="25"/>
      <c r="B15" s="25"/>
      <c r="C15" s="25"/>
      <c r="D15" s="25"/>
      <c r="E15" s="25"/>
      <c r="F15" s="25"/>
      <c r="G15" s="25"/>
      <c r="H15" s="25"/>
      <c r="I15" s="203"/>
    </row>
    <row r="16" spans="1:9" x14ac:dyDescent="0.25">
      <c r="A16" s="104" t="s">
        <v>137</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181</v>
      </c>
      <c r="B18" s="11"/>
      <c r="C18" s="11" t="s">
        <v>180</v>
      </c>
      <c r="G18" s="316" t="s">
        <v>214</v>
      </c>
      <c r="I18" s="203"/>
    </row>
    <row r="19" spans="1:9" ht="18" customHeight="1" x14ac:dyDescent="0.25">
      <c r="A19" s="154" t="s">
        <v>175</v>
      </c>
      <c r="B19" s="154"/>
      <c r="G19" s="317"/>
      <c r="I19" s="203"/>
    </row>
    <row r="20" spans="1:9" ht="18" customHeight="1" x14ac:dyDescent="0.25">
      <c r="A20" s="154"/>
      <c r="B20" s="154"/>
      <c r="G20" s="25"/>
      <c r="I20" s="203"/>
    </row>
    <row r="21" spans="1:9" ht="18" customHeight="1" x14ac:dyDescent="0.25">
      <c r="A21" s="248" t="str">
        <f>IF(INDEX(List_DetailLine,References!Q6,1)="","",INDEX(List_DetailLine,References!Q6,1))</f>
        <v>Private Passenger Auto Liability</v>
      </c>
      <c r="B21" s="25"/>
      <c r="C21" s="193" t="s">
        <v>249</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8" t="str">
        <f>IF(INDEX(List_DetailLine,References!Q7,1)="","",INDEX(List_DetailLine,References!Q7,1))</f>
        <v>Private Passenger Auto Liability</v>
      </c>
      <c r="B22" s="25"/>
      <c r="C22" s="193" t="s">
        <v>235</v>
      </c>
      <c r="D22" s="162">
        <f>IF(OR(Covg02="NA",Covg02="N/A",Covg02=""),"",1)</f>
        <v>1</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8" t="str">
        <f>IF(INDEX(List_DetailLine,References!Q8,1)="","",INDEX(List_DetailLine,References!Q8,1))</f>
        <v>Private Passenger Auto Liability</v>
      </c>
      <c r="B23" s="25"/>
      <c r="C23" s="193" t="s">
        <v>236</v>
      </c>
      <c r="D23" s="162">
        <f>IF(OR(Covg03="NA",Covg03="N/A",Covg03=""),"",1)</f>
        <v>1</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8" t="str">
        <f>IF(INDEX(List_DetailLine,References!Q9,1)="","",INDEX(List_DetailLine,References!Q9,1))</f>
        <v>Private Passenger Auto Liability</v>
      </c>
      <c r="B24" s="25"/>
      <c r="C24" s="193" t="s">
        <v>237</v>
      </c>
      <c r="D24" s="162">
        <f>IF(OR(Covg04="NA",Covg04="N/A",Covg04=""),"",1)</f>
        <v>1</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8" t="str">
        <f>IF(INDEX(List_DetailLine,References!Q10,1)="","",INDEX(List_DetailLine,References!Q10,1))</f>
        <v>Private Passenger Auto Physical Damage</v>
      </c>
      <c r="B25" s="25"/>
      <c r="C25" s="193" t="s">
        <v>238</v>
      </c>
      <c r="D25" s="162">
        <f>IF(OR(Covg05="NA",Covg05="N/A",Covg05=""),"",1)</f>
        <v>1</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8" t="str">
        <f>IF(INDEX(List_DetailLine,References!Q11,1)="","",INDEX(List_DetailLine,References!Q11,1))</f>
        <v>Private Passenger Auto Physical Damage</v>
      </c>
      <c r="B26" s="25"/>
      <c r="C26" s="193" t="s">
        <v>239</v>
      </c>
      <c r="D26" s="162">
        <f>IF(OR(Covg06="NA",Covg06="N/A",Covg06=""),"",1)</f>
        <v>1</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8" t="str">
        <f>IF(INDEX(List_DetailLine,References!Q12,1)="","",INDEX(List_DetailLine,References!Q12,1))</f>
        <v>Private Passenger Auto Physical Damage</v>
      </c>
      <c r="B27" s="25"/>
      <c r="C27" s="193" t="s">
        <v>240</v>
      </c>
      <c r="D27" s="162">
        <f>IF(OR(Covg07="NA",Covg07="N/A",Covg07=""),"",1)</f>
        <v>1</v>
      </c>
      <c r="G27" s="193" t="s">
        <v>241</v>
      </c>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8" t="str">
        <f>IF(INDEX(List_DetailLine,References!Q13,1)="","",INDEX(List_DetailLine,References!Q13,1))</f>
        <v/>
      </c>
      <c r="B28" s="25"/>
      <c r="C28" s="193"/>
      <c r="D28" s="162" t="str">
        <f>IF(OR(Covg08="NA",Covg08="N/A",Covg08=""),"",1)</f>
        <v/>
      </c>
      <c r="G28" s="193"/>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8"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8"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7</v>
      </c>
      <c r="E31" s="162"/>
      <c r="F31" s="162"/>
      <c r="G31" s="25"/>
      <c r="I31" s="203"/>
    </row>
    <row r="32" spans="1:9" x14ac:dyDescent="0.25">
      <c r="A32" s="11" t="s">
        <v>59</v>
      </c>
      <c r="B32" s="11"/>
      <c r="C32" s="156" t="s">
        <v>64</v>
      </c>
      <c r="F32" s="161"/>
      <c r="G32" s="25"/>
      <c r="H32" s="161"/>
      <c r="I32" s="203"/>
    </row>
    <row r="33" spans="1:9" x14ac:dyDescent="0.25">
      <c r="A33" s="154"/>
      <c r="B33" s="154"/>
      <c r="G33" s="25"/>
      <c r="I33" s="203"/>
    </row>
    <row r="34" spans="1:9" x14ac:dyDescent="0.25">
      <c r="A34" s="11" t="s">
        <v>60</v>
      </c>
      <c r="B34" s="11"/>
      <c r="C34" s="157">
        <v>3</v>
      </c>
      <c r="G34" s="25"/>
      <c r="I34" s="203"/>
    </row>
    <row r="35" spans="1:9" x14ac:dyDescent="0.25">
      <c r="A35" s="154" t="s">
        <v>191</v>
      </c>
      <c r="B35" s="154"/>
      <c r="C35" s="160"/>
      <c r="D35" s="160"/>
      <c r="E35" s="160"/>
      <c r="F35" s="160"/>
      <c r="G35" s="25"/>
      <c r="I35" s="203"/>
    </row>
    <row r="36" spans="1:9" x14ac:dyDescent="0.25">
      <c r="G36" s="25"/>
      <c r="I36" s="203"/>
    </row>
    <row r="37" spans="1:9" x14ac:dyDescent="0.25">
      <c r="A37" s="11" t="s">
        <v>176</v>
      </c>
      <c r="B37" s="11"/>
      <c r="C37" s="155">
        <v>20224</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177</v>
      </c>
      <c r="B38" s="11"/>
      <c r="C38" s="155">
        <v>20223</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178</v>
      </c>
      <c r="B39" s="11"/>
      <c r="C39" s="155">
        <v>20223</v>
      </c>
      <c r="I39" s="226"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242</v>
      </c>
      <c r="I41" s="203"/>
    </row>
    <row r="42" spans="1:9" x14ac:dyDescent="0.25">
      <c r="I42" s="203"/>
    </row>
    <row r="43" spans="1:9" x14ac:dyDescent="0.25">
      <c r="A43" s="11" t="s">
        <v>61</v>
      </c>
      <c r="B43" s="11"/>
      <c r="C43" s="153" t="s">
        <v>243</v>
      </c>
      <c r="I43" s="203"/>
    </row>
    <row r="44" spans="1:9" x14ac:dyDescent="0.25">
      <c r="C44" s="158"/>
      <c r="I44" s="203"/>
    </row>
    <row r="45" spans="1:9" x14ac:dyDescent="0.25">
      <c r="A45" s="11" t="s">
        <v>62</v>
      </c>
      <c r="B45" s="11"/>
      <c r="C45" s="153" t="s">
        <v>243</v>
      </c>
      <c r="I45" s="203"/>
    </row>
    <row r="46" spans="1:9" x14ac:dyDescent="0.25">
      <c r="C46" s="158"/>
      <c r="I46" s="203"/>
    </row>
    <row r="47" spans="1:9" x14ac:dyDescent="0.25">
      <c r="A47" s="11" t="s">
        <v>188</v>
      </c>
      <c r="B47" s="11"/>
      <c r="C47" s="259" t="s">
        <v>244</v>
      </c>
      <c r="I47" s="205" t="str">
        <f>IF(C47="No","← ERROR! Exhibit 7 Reported Claim Counts need to include claims Closed Without Payment.","")</f>
        <v/>
      </c>
    </row>
    <row r="48" spans="1:9" x14ac:dyDescent="0.25">
      <c r="I48" s="203"/>
    </row>
    <row r="49" spans="1:9" x14ac:dyDescent="0.25">
      <c r="A49" s="11" t="s">
        <v>199</v>
      </c>
      <c r="B49" s="11"/>
      <c r="C49" s="259" t="s">
        <v>244</v>
      </c>
      <c r="I49" s="205" t="str">
        <f>IF(C49="No","← ERROR! Exhibit 7 Paid Claim Counts need to include both open and closed claim counts.","")</f>
        <v/>
      </c>
    </row>
    <row r="50" spans="1:9" x14ac:dyDescent="0.25">
      <c r="A50" s="11"/>
      <c r="B50" s="11"/>
      <c r="C50" s="260"/>
      <c r="I50" s="203"/>
    </row>
    <row r="51" spans="1:9" x14ac:dyDescent="0.25">
      <c r="A51" s="11" t="s">
        <v>209</v>
      </c>
      <c r="B51" s="11"/>
      <c r="C51" s="259" t="s">
        <v>245</v>
      </c>
      <c r="I51" s="284"/>
    </row>
    <row r="52" spans="1:9" x14ac:dyDescent="0.25">
      <c r="A52" s="11"/>
      <c r="B52" s="11"/>
      <c r="C52" s="260"/>
      <c r="I52" s="203"/>
    </row>
    <row r="53" spans="1:9" x14ac:dyDescent="0.25">
      <c r="A53" s="11" t="s">
        <v>210</v>
      </c>
      <c r="B53" s="11"/>
      <c r="C53" s="259" t="s">
        <v>245</v>
      </c>
      <c r="I53" s="203"/>
    </row>
    <row r="54" spans="1:9" x14ac:dyDescent="0.25">
      <c r="A54" s="11"/>
      <c r="B54" s="11"/>
      <c r="C54" s="260"/>
      <c r="I54" s="203"/>
    </row>
    <row r="55" spans="1:9" x14ac:dyDescent="0.25">
      <c r="A55" s="11" t="s">
        <v>187</v>
      </c>
      <c r="B55" s="11"/>
      <c r="C55" s="259" t="s">
        <v>244</v>
      </c>
      <c r="I55" s="205" t="str">
        <f>IF(C55="No","← ERROR! Exhibit 8 Reported Claim Counts need to include claims Closed Without Payment.","")</f>
        <v/>
      </c>
    </row>
    <row r="56" spans="1:9" x14ac:dyDescent="0.25">
      <c r="I56" s="203"/>
    </row>
    <row r="57" spans="1:9" x14ac:dyDescent="0.25">
      <c r="A57" s="11" t="s">
        <v>213</v>
      </c>
      <c r="B57" s="11"/>
      <c r="C57" s="159" t="s">
        <v>245</v>
      </c>
      <c r="I57" s="226" t="str">
        <f>IF(DCCEDevtBasis="No",IF(
SUMPRODUCT(--('3.Exhibit 7 - Annual'!C249:L258&lt;&gt;""))+SUMPRODUCT(--('3.Exhibit 7 - Annual'!O249:X258&lt;&gt;""))+SUMPRODUCT(--('3.Exhibit 7 - Annual'!AA249:AJ258&lt;&gt;""))+SUMPRODUCT(--('3.Exhibit 7 - Annual'!AM249:AV258&lt;&gt;""))+SUMPRODUCT(--('3.Exhibit 7 - Annual'!AY249:BH258&lt;&gt;""))+SUMPRODUCT(--('3.Exhibit 7 - Annual'!BK249:BT258&lt;&gt;""))+SUMPRODUCT(--('3.Exhibit 7 - Annual'!BW249:CF258&lt;&gt;""))+SUMPRODUCT(--('3.Exhibit 7 - Annual'!CI249:CR258&lt;&gt;""))+SUMPRODUCT(--('3.Exhibit 7 - Annual'!CU249:DD258&lt;&gt;""))+SUMPRODUCT(--('3.Exhibit 7 - Annual'!DG249:DP258&lt;&gt;""))=0,"","← Warning! You indicated you do not track Incurred DCCE, but there are non-empty Incurred DCCE development triangles."),"")</f>
        <v/>
      </c>
    </row>
    <row r="58" spans="1:9" x14ac:dyDescent="0.25">
      <c r="I58" s="203"/>
    </row>
    <row r="59" spans="1:9" x14ac:dyDescent="0.25">
      <c r="A59" s="11" t="s">
        <v>70</v>
      </c>
      <c r="B59" s="11"/>
      <c r="C59" s="159" t="s">
        <v>244</v>
      </c>
      <c r="I59" s="203"/>
    </row>
    <row r="60" spans="1:9" s="313" customFormat="1" ht="20.100000000000001" customHeight="1" x14ac:dyDescent="0.25">
      <c r="A60" s="312" t="s">
        <v>229</v>
      </c>
      <c r="B60" s="312"/>
      <c r="I60" s="314"/>
    </row>
    <row r="61" spans="1:9" x14ac:dyDescent="0.25">
      <c r="A61" s="311" t="s">
        <v>230</v>
      </c>
      <c r="B61" s="154"/>
      <c r="C61" s="155">
        <v>6</v>
      </c>
      <c r="I61" s="203"/>
    </row>
    <row r="62" spans="1:9" s="313" customFormat="1" ht="24.95" customHeight="1" x14ac:dyDescent="0.25">
      <c r="A62" s="315" t="s">
        <v>231</v>
      </c>
      <c r="I62" s="314"/>
    </row>
    <row r="63" spans="1:9" x14ac:dyDescent="0.25">
      <c r="A63" s="11" t="s">
        <v>76</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1bWMHIH8QXtatImjtLUk5yP86Tc0o8ZqHse4pcWCkJadbDGo5z5qLO3owd5WCjA42OgcGxe/rMHgFMhzRoiWMw==" saltValue="xa5U8IOSVhiRX2ZEmX2cWg==" spinCount="100000" sheet="1" objects="1" scenarios="1" formatColumns="0" formatRows="0" sort="0"/>
  <mergeCells count="2">
    <mergeCell ref="G18:G19"/>
    <mergeCell ref="C12:F12"/>
  </mergeCells>
  <dataValidations disablePrompts="1" count="5">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 type="whole" operator="greaterThan" allowBlank="1" showInputMessage="1" showErrorMessage="1" sqref="C61" xr:uid="{ED166A86-65BF-4EA7-8774-9CEDBB6B407A}">
      <formula1>0</formula1>
    </dataValidation>
  </dataValidations>
  <printOptions horizontalCentered="1"/>
  <pageMargins left="0.5" right="0.5" top="0.5" bottom="0.5" header="0.3" footer="0.3"/>
  <pageSetup scale="60" orientation="portrait" useFirstPageNumber="1" r:id="rId1"/>
  <headerFooter>
    <oddFooter>&amp;CStandard Exhibits Template&amp;RPage 1&amp;L1/3/2023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276225</xdr:rowOff>
                  </from>
                  <to>
                    <xdr:col>4</xdr:col>
                    <xdr:colOff>9525</xdr:colOff>
                    <xdr:row>63</xdr:row>
                    <xdr:rowOff>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85" zoomScaleNormal="100" zoomScaleSheetLayoutView="85" workbookViewId="0">
      <selection activeCell="B1" sqref="B1"/>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Mutual Automobile Insurance Company</v>
      </c>
      <c r="C1" s="47"/>
      <c r="D1" s="47"/>
      <c r="E1" s="47"/>
      <c r="F1" s="47"/>
      <c r="G1" s="47"/>
      <c r="H1" s="47"/>
      <c r="I1" s="47"/>
      <c r="J1" s="47"/>
      <c r="K1" s="47"/>
      <c r="L1" s="47"/>
      <c r="M1" s="137" t="str">
        <f>Co_Name</f>
        <v>State Farm Mutual Automobile Insurance Company</v>
      </c>
      <c r="N1" s="47"/>
      <c r="O1" s="47"/>
      <c r="P1" s="47"/>
      <c r="Q1" s="47"/>
      <c r="R1" s="47"/>
      <c r="S1" s="47"/>
      <c r="T1" s="47"/>
      <c r="U1" s="47"/>
      <c r="V1" s="47"/>
      <c r="W1" s="47"/>
      <c r="X1" s="137" t="str">
        <f>Co_Name</f>
        <v>State Farm Mutual Automobile Insurance Company</v>
      </c>
      <c r="Y1" s="47"/>
      <c r="Z1" s="47"/>
      <c r="AA1" s="47"/>
      <c r="AB1" s="47"/>
      <c r="AC1" s="47"/>
      <c r="AD1" s="47"/>
      <c r="AE1" s="47"/>
      <c r="AF1" s="47"/>
      <c r="AG1" s="47"/>
      <c r="AH1" s="47"/>
      <c r="AI1" s="137" t="str">
        <f>Co_Name</f>
        <v>State Farm Mutual Automobile Insurance Company</v>
      </c>
      <c r="AJ1" s="47"/>
      <c r="AK1" s="47"/>
      <c r="AL1" s="47"/>
      <c r="AM1" s="47"/>
      <c r="AN1" s="47"/>
      <c r="AO1" s="47"/>
      <c r="AP1" s="47"/>
      <c r="AQ1" s="47"/>
      <c r="AR1" s="47"/>
      <c r="AS1" s="47"/>
      <c r="AT1" s="137" t="str">
        <f>Co_Name</f>
        <v>State Farm Mutual Automobile Insurance Company</v>
      </c>
      <c r="AU1" s="47"/>
      <c r="AV1" s="47"/>
      <c r="AW1" s="47"/>
      <c r="AX1" s="47"/>
      <c r="AY1" s="47"/>
      <c r="AZ1" s="47"/>
      <c r="BA1" s="47"/>
      <c r="BB1" s="47"/>
      <c r="BC1" s="47"/>
      <c r="BD1" s="47"/>
      <c r="BE1" s="137" t="str">
        <f>Co_Name</f>
        <v>State Farm Mutual Automobile Insurance Company</v>
      </c>
      <c r="BF1" s="47"/>
      <c r="BG1" s="47"/>
      <c r="BH1" s="47"/>
      <c r="BI1" s="47"/>
      <c r="BJ1" s="47"/>
      <c r="BK1" s="47"/>
      <c r="BL1" s="47"/>
      <c r="BM1" s="47"/>
      <c r="BN1" s="47"/>
      <c r="BO1" s="47"/>
      <c r="BP1" s="137" t="str">
        <f>Co_Name</f>
        <v>State Farm Mutual Automobile Insurance Company</v>
      </c>
      <c r="BQ1" s="47"/>
      <c r="BR1" s="47"/>
      <c r="BS1" s="47"/>
      <c r="BT1" s="47"/>
      <c r="BU1" s="47"/>
      <c r="BV1" s="47"/>
      <c r="BW1" s="47"/>
      <c r="BX1" s="47"/>
      <c r="BY1" s="47"/>
      <c r="BZ1" s="47"/>
      <c r="CA1" s="137" t="str">
        <f>Co_Name</f>
        <v>State Farm Mutual Automobile Insurance Company</v>
      </c>
      <c r="CB1" s="47"/>
      <c r="CC1" s="47"/>
      <c r="CD1" s="47"/>
      <c r="CE1" s="47"/>
      <c r="CF1" s="47"/>
      <c r="CG1" s="47"/>
      <c r="CH1" s="47"/>
      <c r="CI1" s="47"/>
      <c r="CJ1" s="47"/>
      <c r="CK1" s="47"/>
      <c r="CL1" s="137" t="str">
        <f>Co_Name</f>
        <v>State Farm Mutual Automobile Insurance Company</v>
      </c>
      <c r="CM1" s="47"/>
      <c r="CN1" s="47"/>
      <c r="CO1" s="47"/>
      <c r="CP1" s="47"/>
      <c r="CQ1" s="47"/>
      <c r="CR1" s="47"/>
      <c r="CS1" s="47"/>
      <c r="CT1" s="47"/>
      <c r="CU1" s="47"/>
      <c r="CV1" s="47"/>
      <c r="CW1" s="137" t="str">
        <f>Co_Name</f>
        <v>State Farm Mutual Automobile Insurance Company</v>
      </c>
      <c r="CX1" s="47"/>
      <c r="CY1" s="47"/>
      <c r="CZ1" s="47"/>
      <c r="DA1" s="47"/>
      <c r="DB1" s="47"/>
      <c r="DC1" s="47"/>
      <c r="DD1" s="47"/>
      <c r="DE1" s="47"/>
      <c r="DF1" s="47"/>
      <c r="DG1" s="47"/>
    </row>
    <row r="2" spans="1:111" s="230" customFormat="1" ht="21" x14ac:dyDescent="0.35">
      <c r="B2" s="231" t="str">
        <f>Detailed_LineDesc01</f>
        <v>Private Passenger Auto Liability</v>
      </c>
      <c r="C2" s="232"/>
      <c r="D2" s="232"/>
      <c r="E2" s="232"/>
      <c r="F2" s="232"/>
      <c r="G2" s="232"/>
      <c r="H2" s="232"/>
      <c r="I2" s="232"/>
      <c r="J2" s="232"/>
      <c r="K2" s="232"/>
      <c r="L2" s="232"/>
      <c r="M2" s="231" t="str">
        <f>Detailed_LineDesc02</f>
        <v>Private Passenger Auto Liability</v>
      </c>
      <c r="N2" s="232"/>
      <c r="O2" s="232"/>
      <c r="P2" s="232"/>
      <c r="Q2" s="232"/>
      <c r="R2" s="232"/>
      <c r="S2" s="232"/>
      <c r="T2" s="232"/>
      <c r="U2" s="232"/>
      <c r="V2" s="232"/>
      <c r="W2" s="232"/>
      <c r="X2" s="231" t="str">
        <f>Detailed_LineDesc03</f>
        <v>Private Passenger Auto Liability</v>
      </c>
      <c r="Y2" s="232"/>
      <c r="Z2" s="232"/>
      <c r="AA2" s="232"/>
      <c r="AB2" s="232"/>
      <c r="AC2" s="232"/>
      <c r="AD2" s="232"/>
      <c r="AE2" s="232"/>
      <c r="AF2" s="232"/>
      <c r="AG2" s="232"/>
      <c r="AH2" s="232"/>
      <c r="AI2" s="231" t="str">
        <f>Detailed_LineDesc04</f>
        <v>Private Passenger Auto Liability</v>
      </c>
      <c r="AJ2" s="232"/>
      <c r="AK2" s="232"/>
      <c r="AL2" s="232"/>
      <c r="AM2" s="232"/>
      <c r="AN2" s="232"/>
      <c r="AO2" s="232"/>
      <c r="AP2" s="232"/>
      <c r="AQ2" s="232"/>
      <c r="AR2" s="232"/>
      <c r="AS2" s="232"/>
      <c r="AT2" s="231" t="str">
        <f>Detailed_LineDesc05</f>
        <v>Private Passenger Auto Physical Damage</v>
      </c>
      <c r="AU2" s="232"/>
      <c r="AV2" s="232"/>
      <c r="AW2" s="232"/>
      <c r="AX2" s="232"/>
      <c r="AY2" s="232"/>
      <c r="AZ2" s="232"/>
      <c r="BA2" s="232"/>
      <c r="BB2" s="232"/>
      <c r="BC2" s="232"/>
      <c r="BD2" s="232"/>
      <c r="BE2" s="231" t="str">
        <f>Detailed_LineDesc06</f>
        <v>Private Passenger Auto Physical Damage</v>
      </c>
      <c r="BF2" s="232"/>
      <c r="BG2" s="232"/>
      <c r="BH2" s="232"/>
      <c r="BI2" s="232"/>
      <c r="BJ2" s="232"/>
      <c r="BK2" s="232"/>
      <c r="BL2" s="232"/>
      <c r="BM2" s="232"/>
      <c r="BN2" s="232"/>
      <c r="BO2" s="232"/>
      <c r="BP2" s="231" t="str">
        <f>Detailed_LineDesc07</f>
        <v>Private Passenger Auto Physical Damage</v>
      </c>
      <c r="BQ2" s="232"/>
      <c r="BR2" s="232"/>
      <c r="BS2" s="232"/>
      <c r="BT2" s="232"/>
      <c r="BU2" s="232"/>
      <c r="BV2" s="232"/>
      <c r="BW2" s="232"/>
      <c r="BX2" s="232"/>
      <c r="BY2" s="232"/>
      <c r="BZ2" s="232"/>
      <c r="CA2" s="231" t="str">
        <f>Detailed_LineDesc08</f>
        <v/>
      </c>
      <c r="CB2" s="232"/>
      <c r="CC2" s="232"/>
      <c r="CD2" s="232"/>
      <c r="CE2" s="232"/>
      <c r="CF2" s="232"/>
      <c r="CG2" s="232"/>
      <c r="CH2" s="232"/>
      <c r="CI2" s="232"/>
      <c r="CJ2" s="232"/>
      <c r="CK2" s="232"/>
      <c r="CL2" s="231" t="str">
        <f>Detailed_LineDesc09</f>
        <v/>
      </c>
      <c r="CM2" s="232"/>
      <c r="CN2" s="232"/>
      <c r="CO2" s="232"/>
      <c r="CP2" s="232"/>
      <c r="CQ2" s="232"/>
      <c r="CR2" s="232"/>
      <c r="CS2" s="232"/>
      <c r="CT2" s="232"/>
      <c r="CU2" s="232"/>
      <c r="CV2" s="232"/>
      <c r="CW2" s="231" t="str">
        <f>Detailed_LineDesc10</f>
        <v/>
      </c>
      <c r="CX2" s="232"/>
      <c r="CY2" s="232"/>
      <c r="CZ2" s="232"/>
      <c r="DA2" s="232"/>
      <c r="DB2" s="232"/>
      <c r="DC2" s="232"/>
      <c r="DD2" s="232"/>
      <c r="DE2" s="232"/>
      <c r="DF2" s="232"/>
      <c r="DG2" s="232"/>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BIPD</v>
      </c>
      <c r="C6" s="40"/>
      <c r="D6" s="41"/>
      <c r="E6" s="41"/>
      <c r="F6" s="41"/>
      <c r="G6" s="41"/>
      <c r="H6" s="41"/>
      <c r="I6" s="41"/>
      <c r="J6" s="41"/>
      <c r="K6" s="41"/>
      <c r="L6" s="41"/>
      <c r="M6" s="138" t="str">
        <f>Covg02</f>
        <v>MPC</v>
      </c>
      <c r="N6" s="40"/>
      <c r="O6" s="41"/>
      <c r="P6" s="41"/>
      <c r="Q6" s="41"/>
      <c r="R6" s="41"/>
      <c r="S6" s="41"/>
      <c r="T6" s="41"/>
      <c r="U6" s="41"/>
      <c r="V6" s="41"/>
      <c r="W6" s="41"/>
      <c r="X6" s="138" t="str">
        <f>Covg03</f>
        <v>UM</v>
      </c>
      <c r="Y6" s="40"/>
      <c r="Z6" s="41"/>
      <c r="AA6" s="41"/>
      <c r="AB6" s="41"/>
      <c r="AC6" s="41"/>
      <c r="AD6" s="41"/>
      <c r="AE6" s="41"/>
      <c r="AF6" s="41"/>
      <c r="AG6" s="41"/>
      <c r="AH6" s="41"/>
      <c r="AI6" s="138" t="str">
        <f>Covg04</f>
        <v>COMP</v>
      </c>
      <c r="AJ6" s="40"/>
      <c r="AK6" s="41"/>
      <c r="AL6" s="41"/>
      <c r="AM6" s="41"/>
      <c r="AN6" s="41"/>
      <c r="AO6" s="41"/>
      <c r="AP6" s="41"/>
      <c r="AQ6" s="41"/>
      <c r="AR6" s="41"/>
      <c r="AS6" s="41"/>
      <c r="AT6" s="138" t="str">
        <f>Covg05</f>
        <v>COLL</v>
      </c>
      <c r="AU6" s="40"/>
      <c r="AV6" s="41"/>
      <c r="AW6" s="41"/>
      <c r="AX6" s="41"/>
      <c r="AY6" s="41"/>
      <c r="AZ6" s="41"/>
      <c r="BA6" s="41"/>
      <c r="BB6" s="41"/>
      <c r="BC6" s="41"/>
      <c r="BD6" s="41"/>
      <c r="BE6" s="138" t="str">
        <f>Covg06</f>
        <v>Misc. Damage</v>
      </c>
      <c r="BF6" s="40"/>
      <c r="BG6" s="41"/>
      <c r="BH6" s="41"/>
      <c r="BI6" s="41"/>
      <c r="BJ6" s="41"/>
      <c r="BK6" s="41"/>
      <c r="BL6" s="41"/>
      <c r="BM6" s="41"/>
      <c r="BN6" s="41"/>
      <c r="BO6" s="41"/>
      <c r="BP6" s="138" t="str">
        <f>Covg07</f>
        <v>Misc. Liability</v>
      </c>
      <c r="BQ6" s="40"/>
      <c r="BR6" s="41"/>
      <c r="BS6" s="41"/>
      <c r="BT6" s="41"/>
      <c r="BU6" s="41"/>
      <c r="BV6" s="41"/>
      <c r="BW6" s="41"/>
      <c r="BX6" s="41"/>
      <c r="BY6" s="41"/>
      <c r="BZ6" s="41"/>
      <c r="CA6" s="138">
        <f>Covg08</f>
        <v>0</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5" t="str">
        <f>IF(COUNTIF(D11:D37,0)=0,"","For calendar quarters where business was not being written and there are no exposures, enter blank cells rather than cells containing zero.")</f>
        <v/>
      </c>
      <c r="M7" s="42"/>
      <c r="O7" s="265" t="str">
        <f>IF(COUNTIF(O11:O37,0)=0,"","For calendar quarters where business was not being written and there are no exposures, enter blank cells rather than cells containing zero.")</f>
        <v/>
      </c>
      <c r="X7" s="42"/>
      <c r="Z7" s="265" t="str">
        <f>IF(COUNTIF(Z11:Z37,0)=0,"","For calendar quarters where business was not being written and there are no exposures, enter blank cells rather than cells containing zero.")</f>
        <v/>
      </c>
      <c r="AI7" s="42"/>
      <c r="AK7" s="265" t="str">
        <f>IF(COUNTIF(AK11:AK37,0)=0,"","For calendar quarters where business was not being written and there are no exposures, enter blank cells rather than cells containing zero.")</f>
        <v/>
      </c>
      <c r="AT7" s="42"/>
      <c r="AV7" s="265" t="str">
        <f>IF(COUNTIF(AV11:AV37,0)=0,"","For calendar quarters where business was not being written and there are no exposures, enter blank cells rather than cells containing zero.")</f>
        <v/>
      </c>
      <c r="BE7" s="42"/>
      <c r="BG7" s="265" t="str">
        <f>IF(COUNTIF(BG11:BG37,0)=0,"","For calendar quarters where business was not being written and there are no exposures, enter blank cells rather than cells containing zero.")</f>
        <v/>
      </c>
      <c r="BP7" s="42"/>
      <c r="BR7" s="265" t="str">
        <f>IF(COUNTIF(BR11:BR37,0)=0,"","For calendar quarters where business was not being written and there are no exposures, enter blank cells rather than cells containing zero.")</f>
        <v/>
      </c>
      <c r="CA7" s="42"/>
      <c r="CC7" s="265" t="str">
        <f>IF(COUNTIF(CC11:CC37,0)=0,"","For calendar quarters where business was not being written and there are no exposures, enter blank cells rather than cells containing zero.")</f>
        <v/>
      </c>
      <c r="CL7" s="42"/>
      <c r="CN7" s="265" t="str">
        <f>IF(COUNTIF(CN11:CN37,0)=0,"","For calendar quarters where business was not being written and there are no exposures, enter blank cells rather than cells containing zero.")</f>
        <v/>
      </c>
      <c r="CW7" s="42"/>
      <c r="CY7" s="265" t="str">
        <f>IF(COUNTIF(CY11:CY37,0)=0,"","For calendar quarters where business was not being written and there are no exposures, enter blank cells rather than cells containing zero.")</f>
        <v/>
      </c>
    </row>
    <row r="8" spans="1:111" s="297" customFormat="1" ht="15.75" customHeight="1" x14ac:dyDescent="0.25">
      <c r="B8" s="298"/>
      <c r="D8" s="297" t="str">
        <f>IF(COUNTBLANK(D11:F37)=81,"",IF(COUNTBLANK(D11:F37)=0,"","It appears as though you have blank cells/ no data for some years and a variance may be required."))</f>
        <v/>
      </c>
      <c r="H8" s="299"/>
      <c r="L8" s="299"/>
      <c r="M8" s="298"/>
      <c r="O8" s="297" t="str">
        <f>IF(COUNTBLANK(O11:Q37)=81,"",IF(COUNTBLANK(O11:Q37)=0,"","It appears as though you have blank cells/ no data for some years and a variance may be required."))</f>
        <v/>
      </c>
      <c r="S8" s="299"/>
      <c r="W8" s="299"/>
      <c r="X8" s="298"/>
      <c r="Z8" s="297" t="str">
        <f>IF(COUNTBLANK(Z11:AB37)=81,"",IF(COUNTBLANK(Z11:AB37)=0,"","It appears as though you have blank cells/ no data for some years and a variance may be required."))</f>
        <v/>
      </c>
      <c r="AD8" s="299"/>
      <c r="AH8" s="299"/>
      <c r="AI8" s="298"/>
      <c r="AK8" s="297" t="str">
        <f>IF(COUNTBLANK(AK11:AM37)=81,"",IF(COUNTBLANK(AK11:AM37)=0,"","It appears as though you have blank cells/ no data for some years and a variance may be required."))</f>
        <v/>
      </c>
      <c r="AO8" s="299"/>
      <c r="AS8" s="299"/>
      <c r="AT8" s="298"/>
      <c r="AV8" s="297" t="str">
        <f>IF(COUNTBLANK(AV11:AX37)=81,"",IF(COUNTBLANK(AV11:AX37)=0,"","It appears as though you have blank cells/ no data for some years and a variance may be required."))</f>
        <v/>
      </c>
      <c r="AZ8" s="299"/>
      <c r="BD8" s="299"/>
      <c r="BE8" s="298"/>
      <c r="BG8" s="297" t="str">
        <f>IF(COUNTBLANK(BG11:BI37)=81,"",IF(COUNTBLANK(BG11:BI37)=0,"","It appears as though you have blank cells/ no data for some years and a variance may be required."))</f>
        <v/>
      </c>
      <c r="BK8" s="299"/>
      <c r="BO8" s="299"/>
      <c r="BP8" s="298"/>
      <c r="BR8" s="297" t="str">
        <f>IF(COUNTBLANK(BR11:BT37)=81,"",IF(COUNTBLANK(BR11:BT37)=0,"","It appears as though you have blank cells/ no data for some years and a variance may be required."))</f>
        <v/>
      </c>
      <c r="BV8" s="299"/>
      <c r="BZ8" s="299"/>
      <c r="CA8" s="298"/>
      <c r="CC8" s="297" t="str">
        <f>IF(COUNTBLANK(CC11:CE37)=81,"",IF(COUNTBLANK(CC11:CE37)=0,"","It appears as though you have blank cells/ no data for some years and a variance may be required."))</f>
        <v/>
      </c>
      <c r="CG8" s="299"/>
      <c r="CK8" s="299"/>
      <c r="CL8" s="298"/>
      <c r="CN8" s="297" t="str">
        <f>IF(COUNTBLANK(CN11:CP37)=81,"",IF(COUNTBLANK(CN11:CP37)=0,"","It appears as though you have blank cells/ no data for some years and a variance may be required."))</f>
        <v/>
      </c>
      <c r="CR8" s="299"/>
      <c r="CV8" s="299"/>
      <c r="CW8" s="298"/>
      <c r="CY8" s="297" t="str">
        <f>IF(COUNTBLANK(CY11:DA37)=81,"",IF(COUNTBLANK(CY11:DA37)=0,"","It appears as though you have blank cells/ no data for some years and a variance may be required."))</f>
        <v/>
      </c>
      <c r="DC8" s="299"/>
      <c r="DG8" s="299"/>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60.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20162</v>
      </c>
      <c r="C11" s="32"/>
      <c r="D11" s="14">
        <v>938758.71333333338</v>
      </c>
      <c r="E11" s="14">
        <v>401070574.92000002</v>
      </c>
      <c r="F11" s="14">
        <v>478350550.27977574</v>
      </c>
      <c r="G11" s="33">
        <f>F11/D11</f>
        <v>509.55644244435746</v>
      </c>
      <c r="H11" s="32"/>
      <c r="I11" s="34"/>
      <c r="J11" s="34"/>
      <c r="K11" s="34"/>
      <c r="L11" s="34"/>
      <c r="M11" s="31">
        <f t="shared" ref="M11:M35" si="1">IF(RIGHT(M12,1)="1",M12-7,M12-1)</f>
        <v>20162</v>
      </c>
      <c r="N11" s="32"/>
      <c r="O11" s="14">
        <v>538605.69000000006</v>
      </c>
      <c r="P11" s="14">
        <v>24254189.469999999</v>
      </c>
      <c r="Q11" s="14">
        <v>20724394.481325176</v>
      </c>
      <c r="R11" s="33">
        <f>Q11/O11</f>
        <v>38.477860271630576</v>
      </c>
      <c r="S11" s="32"/>
      <c r="T11" s="34"/>
      <c r="U11" s="34"/>
      <c r="V11" s="34"/>
      <c r="W11" s="34"/>
      <c r="X11" s="31">
        <f t="shared" ref="X11:X35" si="2">IF(RIGHT(X12,1)="1",X12-7,X12-1)</f>
        <v>20162</v>
      </c>
      <c r="Y11" s="32"/>
      <c r="Z11" s="14">
        <v>916191.01166666672</v>
      </c>
      <c r="AA11" s="14">
        <v>55247301.159999996</v>
      </c>
      <c r="AB11" s="14">
        <v>97620068.665118456</v>
      </c>
      <c r="AC11" s="33">
        <f>AB11/Z11</f>
        <v>106.5499087221291</v>
      </c>
      <c r="AD11" s="32"/>
      <c r="AE11" s="34"/>
      <c r="AF11" s="34"/>
      <c r="AG11" s="34"/>
      <c r="AH11" s="34"/>
      <c r="AI11" s="31">
        <f t="shared" ref="AI11:AI35" si="3">IF(RIGHT(AI12,1)="1",AI12-7,AI12-1)</f>
        <v>20162</v>
      </c>
      <c r="AJ11" s="32"/>
      <c r="AK11" s="14">
        <v>828695.36416666664</v>
      </c>
      <c r="AL11" s="14">
        <v>78354429.019999996</v>
      </c>
      <c r="AM11" s="14">
        <v>104642096.57765381</v>
      </c>
      <c r="AN11" s="33">
        <f>AM11/AK11</f>
        <v>126.27329788779687</v>
      </c>
      <c r="AO11" s="32"/>
      <c r="AP11" s="34"/>
      <c r="AQ11" s="34"/>
      <c r="AR11" s="34"/>
      <c r="AS11" s="34"/>
      <c r="AT11" s="31">
        <f t="shared" ref="AT11:AT35" si="4">IF(RIGHT(AT12,1)="1",AT12-7,AT12-1)</f>
        <v>20162</v>
      </c>
      <c r="AU11" s="32"/>
      <c r="AV11" s="14">
        <v>800724.34166666667</v>
      </c>
      <c r="AW11" s="14">
        <v>302918865.14999998</v>
      </c>
      <c r="AX11" s="14">
        <v>305893851.78447837</v>
      </c>
      <c r="AY11" s="33">
        <f>AX11/AV11</f>
        <v>382.02142218853493</v>
      </c>
      <c r="AZ11" s="32"/>
      <c r="BA11" s="34"/>
      <c r="BB11" s="34"/>
      <c r="BC11" s="34"/>
      <c r="BD11" s="34"/>
      <c r="BE11" s="31">
        <f t="shared" ref="BE11:BE35" si="5">IF(RIGHT(BE12,1)="1",BE12-7,BE12-1)</f>
        <v>20162</v>
      </c>
      <c r="BF11" s="32"/>
      <c r="BG11" s="14">
        <v>979220.69666666666</v>
      </c>
      <c r="BH11" s="14">
        <v>17996952.539999999</v>
      </c>
      <c r="BI11" s="14">
        <v>19625048.831888892</v>
      </c>
      <c r="BJ11" s="33">
        <f>BI11/BG11</f>
        <v>20.041497181068458</v>
      </c>
      <c r="BK11" s="32"/>
      <c r="BL11" s="34"/>
      <c r="BM11" s="34"/>
      <c r="BN11" s="34"/>
      <c r="BO11" s="34"/>
      <c r="BP11" s="31">
        <f t="shared" ref="BP11:BP35" si="6">IF(RIGHT(BP12,1)="1",BP12-7,BP12-1)</f>
        <v>20162</v>
      </c>
      <c r="BQ11" s="32"/>
      <c r="BR11" s="14">
        <v>58821.664166666662</v>
      </c>
      <c r="BS11" s="14">
        <v>293602.51</v>
      </c>
      <c r="BT11" s="14">
        <v>145112.03609307951</v>
      </c>
      <c r="BU11" s="33">
        <f>BT11/BR11</f>
        <v>2.466982839552375</v>
      </c>
      <c r="BV11" s="32"/>
      <c r="BW11" s="34"/>
      <c r="BX11" s="34"/>
      <c r="BY11" s="34"/>
      <c r="BZ11" s="34"/>
      <c r="CA11" s="31">
        <f t="shared" ref="CA11:CA35" si="7">IF(RIGHT(CA12,1)="1",CA12-7,CA12-1)</f>
        <v>20162</v>
      </c>
      <c r="CB11" s="32"/>
      <c r="CC11" s="14"/>
      <c r="CD11" s="14"/>
      <c r="CE11" s="14"/>
      <c r="CF11" s="33" t="e">
        <f>CE11/CC11</f>
        <v>#DIV/0!</v>
      </c>
      <c r="CG11" s="32"/>
      <c r="CH11" s="34"/>
      <c r="CI11" s="34"/>
      <c r="CJ11" s="34"/>
      <c r="CK11" s="34"/>
      <c r="CL11" s="31">
        <f t="shared" ref="CL11:CL35" si="8">IF(RIGHT(CL12,1)="1",CL12-7,CL12-1)</f>
        <v>20162</v>
      </c>
      <c r="CM11" s="32"/>
      <c r="CN11" s="14"/>
      <c r="CO11" s="14"/>
      <c r="CP11" s="14"/>
      <c r="CQ11" s="33" t="e">
        <f>CP11/CN11</f>
        <v>#DIV/0!</v>
      </c>
      <c r="CR11" s="32"/>
      <c r="CS11" s="34"/>
      <c r="CT11" s="34"/>
      <c r="CU11" s="34"/>
      <c r="CV11" s="34"/>
      <c r="CW11" s="31">
        <f t="shared" ref="CW11:CW35" si="9">IF(RIGHT(CW12,1)="1",CW12-7,CW12-1)</f>
        <v>20162</v>
      </c>
      <c r="CX11" s="32"/>
      <c r="CY11" s="14"/>
      <c r="CZ11" s="14"/>
      <c r="DA11" s="14"/>
      <c r="DB11" s="33" t="e">
        <f>DA11/CY11</f>
        <v>#DIV/0!</v>
      </c>
      <c r="DC11" s="32"/>
      <c r="DD11" s="34"/>
      <c r="DE11" s="34"/>
      <c r="DF11" s="34"/>
      <c r="DG11" s="34"/>
    </row>
    <row r="12" spans="1:111" x14ac:dyDescent="0.25">
      <c r="A12" s="25">
        <v>2</v>
      </c>
      <c r="B12" s="31">
        <f t="shared" si="0"/>
        <v>20163</v>
      </c>
      <c r="C12" s="31"/>
      <c r="D12" s="14">
        <v>939179.83833333338</v>
      </c>
      <c r="E12" s="14">
        <v>419517903.44</v>
      </c>
      <c r="F12" s="14">
        <v>476481406.24806517</v>
      </c>
      <c r="G12" s="33">
        <f t="shared" ref="G12:G36" si="10">F12/D12</f>
        <v>507.33777153226384</v>
      </c>
      <c r="H12" s="32"/>
      <c r="I12" s="35"/>
      <c r="J12" s="35"/>
      <c r="K12" s="35"/>
      <c r="L12" s="35"/>
      <c r="M12" s="31">
        <f t="shared" si="1"/>
        <v>20163</v>
      </c>
      <c r="N12" s="31"/>
      <c r="O12" s="16">
        <v>536972.4425</v>
      </c>
      <c r="P12" s="16">
        <v>22940108.140000001</v>
      </c>
      <c r="Q12" s="16">
        <v>20524975.296511367</v>
      </c>
      <c r="R12" s="33">
        <f t="shared" ref="R12:R36" si="11">Q12/O12</f>
        <v>38.223517022498534</v>
      </c>
      <c r="S12" s="32"/>
      <c r="T12" s="35"/>
      <c r="U12" s="35"/>
      <c r="V12" s="35"/>
      <c r="W12" s="35"/>
      <c r="X12" s="31">
        <f t="shared" si="2"/>
        <v>20163</v>
      </c>
      <c r="Y12" s="31"/>
      <c r="Z12" s="16">
        <v>916769.56666666677</v>
      </c>
      <c r="AA12" s="16">
        <v>57199568.950000003</v>
      </c>
      <c r="AB12" s="16">
        <v>97370340.856958807</v>
      </c>
      <c r="AC12" s="33">
        <f t="shared" ref="AC12:AC36" si="12">AB12/Z12</f>
        <v>106.2102674404791</v>
      </c>
      <c r="AD12" s="32"/>
      <c r="AE12" s="35"/>
      <c r="AF12" s="35"/>
      <c r="AG12" s="35"/>
      <c r="AH12" s="35"/>
      <c r="AI12" s="31">
        <f t="shared" si="3"/>
        <v>20163</v>
      </c>
      <c r="AJ12" s="31"/>
      <c r="AK12" s="16">
        <v>829459.1216666667</v>
      </c>
      <c r="AL12" s="16">
        <v>78422072.290000007</v>
      </c>
      <c r="AM12" s="16">
        <v>105696419.45694894</v>
      </c>
      <c r="AN12" s="33">
        <f t="shared" ref="AN12:AN36" si="13">AM12/AK12</f>
        <v>127.42812357596203</v>
      </c>
      <c r="AO12" s="32"/>
      <c r="AP12" s="35"/>
      <c r="AQ12" s="35"/>
      <c r="AR12" s="35"/>
      <c r="AS12" s="35"/>
      <c r="AT12" s="31">
        <f t="shared" si="4"/>
        <v>20163</v>
      </c>
      <c r="AU12" s="31"/>
      <c r="AV12" s="16">
        <v>801404.71833333327</v>
      </c>
      <c r="AW12" s="16">
        <v>308507671.70999998</v>
      </c>
      <c r="AX12" s="16">
        <v>309285282.30685592</v>
      </c>
      <c r="AY12" s="33">
        <f t="shared" ref="AY12:AY36" si="14">AX12/AV12</f>
        <v>385.92895104245315</v>
      </c>
      <c r="AZ12" s="32"/>
      <c r="BA12" s="35"/>
      <c r="BB12" s="35"/>
      <c r="BC12" s="35"/>
      <c r="BD12" s="35"/>
      <c r="BE12" s="31">
        <f t="shared" si="5"/>
        <v>20163</v>
      </c>
      <c r="BF12" s="31"/>
      <c r="BG12" s="16">
        <v>982614.30249999999</v>
      </c>
      <c r="BH12" s="16">
        <v>18308562.119999997</v>
      </c>
      <c r="BI12" s="16">
        <v>19727263.24452563</v>
      </c>
      <c r="BJ12" s="33">
        <f t="shared" ref="BJ12:BJ36" si="15">BI12/BG12</f>
        <v>20.076303789121397</v>
      </c>
      <c r="BK12" s="32"/>
      <c r="BL12" s="35"/>
      <c r="BM12" s="35"/>
      <c r="BN12" s="35"/>
      <c r="BO12" s="35"/>
      <c r="BP12" s="31">
        <f t="shared" si="6"/>
        <v>20163</v>
      </c>
      <c r="BQ12" s="31"/>
      <c r="BR12" s="16">
        <v>58542.907499999994</v>
      </c>
      <c r="BS12" s="16">
        <v>279613.83</v>
      </c>
      <c r="BT12" s="16">
        <v>144852.94411203053</v>
      </c>
      <c r="BU12" s="33">
        <f t="shared" ref="BU12:BU36" si="16">BT12/BR12</f>
        <v>2.4743038960275512</v>
      </c>
      <c r="BV12" s="32"/>
      <c r="BW12" s="35"/>
      <c r="BX12" s="35"/>
      <c r="BY12" s="35"/>
      <c r="BZ12" s="35"/>
      <c r="CA12" s="31">
        <f t="shared" si="7"/>
        <v>20163</v>
      </c>
      <c r="CB12" s="31"/>
      <c r="CC12" s="16"/>
      <c r="CD12" s="16"/>
      <c r="CE12" s="16"/>
      <c r="CF12" s="33" t="e">
        <f t="shared" ref="CF12:CF36" si="17">CE12/CC12</f>
        <v>#DIV/0!</v>
      </c>
      <c r="CG12" s="32"/>
      <c r="CH12" s="35"/>
      <c r="CI12" s="35"/>
      <c r="CJ12" s="35"/>
      <c r="CK12" s="35"/>
      <c r="CL12" s="31">
        <f t="shared" si="8"/>
        <v>20163</v>
      </c>
      <c r="CM12" s="31"/>
      <c r="CN12" s="16"/>
      <c r="CO12" s="16"/>
      <c r="CP12" s="16"/>
      <c r="CQ12" s="33" t="e">
        <f t="shared" ref="CQ12:CQ36" si="18">CP12/CN12</f>
        <v>#DIV/0!</v>
      </c>
      <c r="CR12" s="32"/>
      <c r="CS12" s="35"/>
      <c r="CT12" s="35"/>
      <c r="CU12" s="35"/>
      <c r="CV12" s="35"/>
      <c r="CW12" s="31">
        <f t="shared" si="9"/>
        <v>20163</v>
      </c>
      <c r="CX12" s="31"/>
      <c r="CY12" s="16"/>
      <c r="CZ12" s="16"/>
      <c r="DA12" s="16"/>
      <c r="DB12" s="33" t="e">
        <f t="shared" ref="DB12:DB36" si="19">DA12/CY12</f>
        <v>#DIV/0!</v>
      </c>
      <c r="DC12" s="32"/>
      <c r="DD12" s="35"/>
      <c r="DE12" s="35"/>
      <c r="DF12" s="35"/>
      <c r="DG12" s="35"/>
    </row>
    <row r="13" spans="1:111" x14ac:dyDescent="0.25">
      <c r="A13" s="25">
        <v>3</v>
      </c>
      <c r="B13" s="31">
        <f t="shared" si="0"/>
        <v>20164</v>
      </c>
      <c r="C13" s="31"/>
      <c r="D13" s="14">
        <v>939808.34916666662</v>
      </c>
      <c r="E13" s="14">
        <v>436539062.05000001</v>
      </c>
      <c r="F13" s="14">
        <v>475083679.60252321</v>
      </c>
      <c r="G13" s="33">
        <f t="shared" si="10"/>
        <v>505.51123537451286</v>
      </c>
      <c r="H13" s="32"/>
      <c r="I13" s="35"/>
      <c r="J13" s="35"/>
      <c r="K13" s="35"/>
      <c r="L13" s="35"/>
      <c r="M13" s="31">
        <f t="shared" si="1"/>
        <v>20164</v>
      </c>
      <c r="N13" s="31"/>
      <c r="O13" s="16">
        <v>535822.39583333337</v>
      </c>
      <c r="P13" s="16">
        <v>21792391.300000001</v>
      </c>
      <c r="Q13" s="16">
        <v>20376029.171422929</v>
      </c>
      <c r="R13" s="33">
        <f t="shared" si="11"/>
        <v>38.027580276358691</v>
      </c>
      <c r="S13" s="32"/>
      <c r="T13" s="35"/>
      <c r="U13" s="35"/>
      <c r="V13" s="35"/>
      <c r="W13" s="35"/>
      <c r="X13" s="31">
        <f t="shared" si="2"/>
        <v>20164</v>
      </c>
      <c r="Y13" s="31"/>
      <c r="Z13" s="16">
        <v>917628.07</v>
      </c>
      <c r="AA13" s="16">
        <v>58983189</v>
      </c>
      <c r="AB13" s="16">
        <v>97154220.030789137</v>
      </c>
      <c r="AC13" s="33">
        <f t="shared" si="12"/>
        <v>105.8753793688865</v>
      </c>
      <c r="AD13" s="32"/>
      <c r="AE13" s="35"/>
      <c r="AF13" s="35"/>
      <c r="AG13" s="35"/>
      <c r="AH13" s="35"/>
      <c r="AI13" s="31">
        <f t="shared" si="3"/>
        <v>20164</v>
      </c>
      <c r="AJ13" s="31"/>
      <c r="AK13" s="16">
        <v>830340.77</v>
      </c>
      <c r="AL13" s="16">
        <v>78565873.390000001</v>
      </c>
      <c r="AM13" s="16">
        <v>106789219.46190587</v>
      </c>
      <c r="AN13" s="33">
        <f t="shared" si="13"/>
        <v>128.60890771617281</v>
      </c>
      <c r="AO13" s="32"/>
      <c r="AP13" s="35"/>
      <c r="AQ13" s="35"/>
      <c r="AR13" s="35"/>
      <c r="AS13" s="35"/>
      <c r="AT13" s="31">
        <f t="shared" si="4"/>
        <v>20164</v>
      </c>
      <c r="AU13" s="31"/>
      <c r="AV13" s="16">
        <v>802177.55500000005</v>
      </c>
      <c r="AW13" s="16">
        <v>314425214.82999998</v>
      </c>
      <c r="AX13" s="16">
        <v>313147152.38032532</v>
      </c>
      <c r="AY13" s="33">
        <f t="shared" si="14"/>
        <v>390.37137156040882</v>
      </c>
      <c r="AZ13" s="32"/>
      <c r="BA13" s="35"/>
      <c r="BB13" s="35"/>
      <c r="BC13" s="35"/>
      <c r="BD13" s="35"/>
      <c r="BE13" s="31">
        <f t="shared" si="5"/>
        <v>20164</v>
      </c>
      <c r="BF13" s="31"/>
      <c r="BG13" s="16">
        <v>986464.52500000002</v>
      </c>
      <c r="BH13" s="16">
        <v>18615218.579999998</v>
      </c>
      <c r="BI13" s="16">
        <v>19842547.502666704</v>
      </c>
      <c r="BJ13" s="33">
        <f t="shared" si="15"/>
        <v>20.114811024417431</v>
      </c>
      <c r="BK13" s="32"/>
      <c r="BL13" s="35"/>
      <c r="BM13" s="35"/>
      <c r="BN13" s="35"/>
      <c r="BO13" s="35"/>
      <c r="BP13" s="31">
        <f t="shared" si="6"/>
        <v>20164</v>
      </c>
      <c r="BQ13" s="31"/>
      <c r="BR13" s="16">
        <v>58341.829166666663</v>
      </c>
      <c r="BS13" s="16">
        <v>266705.17000000004</v>
      </c>
      <c r="BT13" s="16">
        <v>144530.33042113885</v>
      </c>
      <c r="BU13" s="33">
        <f t="shared" si="16"/>
        <v>2.4773020058773816</v>
      </c>
      <c r="BV13" s="32"/>
      <c r="BW13" s="35"/>
      <c r="BX13" s="35"/>
      <c r="BY13" s="35"/>
      <c r="BZ13" s="35"/>
      <c r="CA13" s="31">
        <f t="shared" si="7"/>
        <v>20164</v>
      </c>
      <c r="CB13" s="31"/>
      <c r="CC13" s="16"/>
      <c r="CD13" s="16"/>
      <c r="CE13" s="16"/>
      <c r="CF13" s="33" t="e">
        <f t="shared" si="17"/>
        <v>#DIV/0!</v>
      </c>
      <c r="CG13" s="32"/>
      <c r="CH13" s="35"/>
      <c r="CI13" s="35"/>
      <c r="CJ13" s="35"/>
      <c r="CK13" s="35"/>
      <c r="CL13" s="31">
        <f t="shared" si="8"/>
        <v>20164</v>
      </c>
      <c r="CM13" s="31"/>
      <c r="CN13" s="16"/>
      <c r="CO13" s="16"/>
      <c r="CP13" s="16"/>
      <c r="CQ13" s="33" t="e">
        <f t="shared" si="18"/>
        <v>#DIV/0!</v>
      </c>
      <c r="CR13" s="32"/>
      <c r="CS13" s="35"/>
      <c r="CT13" s="35"/>
      <c r="CU13" s="35"/>
      <c r="CV13" s="35"/>
      <c r="CW13" s="31">
        <f t="shared" si="9"/>
        <v>20164</v>
      </c>
      <c r="CX13" s="31"/>
      <c r="CY13" s="16"/>
      <c r="CZ13" s="16"/>
      <c r="DA13" s="16"/>
      <c r="DB13" s="33" t="e">
        <f t="shared" si="19"/>
        <v>#DIV/0!</v>
      </c>
      <c r="DC13" s="32"/>
      <c r="DD13" s="35"/>
      <c r="DE13" s="35"/>
      <c r="DF13" s="35"/>
      <c r="DG13" s="35"/>
    </row>
    <row r="14" spans="1:111" x14ac:dyDescent="0.25">
      <c r="A14" s="25">
        <v>4</v>
      </c>
      <c r="B14" s="31">
        <f t="shared" si="0"/>
        <v>20171</v>
      </c>
      <c r="C14" s="31"/>
      <c r="D14" s="14">
        <v>942161.95250000001</v>
      </c>
      <c r="E14" s="14">
        <v>438255759.98000002</v>
      </c>
      <c r="F14" s="14">
        <v>474827827.56882799</v>
      </c>
      <c r="G14" s="33">
        <f t="shared" si="10"/>
        <v>503.97686545172604</v>
      </c>
      <c r="H14" s="32"/>
      <c r="I14" s="33">
        <f>IF(COUNT(D11:D14)&lt;4,"",SUM(D11:D14))</f>
        <v>3759908.8533333335</v>
      </c>
      <c r="J14" s="33">
        <f>IF(COUNT(D11:D14)&lt;4,"",SUM(E11:E14))</f>
        <v>1695383300.3900001</v>
      </c>
      <c r="K14" s="33">
        <f>IF(COUNT(D11:D14)&lt;4,"",SUM(F11:F14))</f>
        <v>1904743463.699192</v>
      </c>
      <c r="L14" s="33">
        <f>IFERROR(K14/I14,0)</f>
        <v>506.59298881954243</v>
      </c>
      <c r="M14" s="31">
        <f t="shared" si="1"/>
        <v>20171</v>
      </c>
      <c r="N14" s="31"/>
      <c r="O14" s="16">
        <v>535367.89666666661</v>
      </c>
      <c r="P14" s="16">
        <v>21553255.120000001</v>
      </c>
      <c r="Q14" s="16">
        <v>20249992.47495202</v>
      </c>
      <c r="R14" s="33">
        <f t="shared" si="11"/>
        <v>37.824442969093774</v>
      </c>
      <c r="S14" s="32"/>
      <c r="T14" s="33">
        <f>IF(COUNT(O11:O14)&lt;4,"",SUM(O11:O14))</f>
        <v>2146768.4249999998</v>
      </c>
      <c r="U14" s="33">
        <f>IF(COUNT(O11:O14)&lt;4,"",SUM(P11:P14))</f>
        <v>90539944.030000001</v>
      </c>
      <c r="V14" s="33">
        <f>IF(COUNT(O11:O14)&lt;4,"",SUM(Q11:Q14))</f>
        <v>81875391.424211502</v>
      </c>
      <c r="W14" s="33">
        <f>IFERROR(V14/T14,0)</f>
        <v>38.13890239428666</v>
      </c>
      <c r="X14" s="31">
        <f t="shared" si="2"/>
        <v>20171</v>
      </c>
      <c r="Y14" s="31"/>
      <c r="Z14" s="16">
        <v>920103.56833333336</v>
      </c>
      <c r="AA14" s="16">
        <v>59177619.560000002</v>
      </c>
      <c r="AB14" s="16">
        <v>97137819.886966497</v>
      </c>
      <c r="AC14" s="33">
        <f t="shared" si="12"/>
        <v>105.57270206322643</v>
      </c>
      <c r="AD14" s="32"/>
      <c r="AE14" s="33">
        <f>IF(COUNT(Z11:Z14)&lt;4,"",SUM(Z11:Z14))</f>
        <v>3670692.2166666668</v>
      </c>
      <c r="AF14" s="33">
        <f>IF(COUNT(Z11:Z14)&lt;4,"",SUM(AA11:AA14))</f>
        <v>230607678.67000002</v>
      </c>
      <c r="AG14" s="33">
        <f>IF(COUNT(Z11:Z14)&lt;4,"",SUM(AB11:AB14))</f>
        <v>389282449.43983293</v>
      </c>
      <c r="AH14" s="33">
        <f>IFERROR(AG14/AE14,0)</f>
        <v>106.05150921461292</v>
      </c>
      <c r="AI14" s="31">
        <f t="shared" si="3"/>
        <v>20171</v>
      </c>
      <c r="AJ14" s="31"/>
      <c r="AK14" s="16">
        <v>832546.15249999997</v>
      </c>
      <c r="AL14" s="16">
        <v>79370059.430000007</v>
      </c>
      <c r="AM14" s="16">
        <v>107980379.92170133</v>
      </c>
      <c r="AN14" s="33">
        <f t="shared" si="13"/>
        <v>129.69897175964829</v>
      </c>
      <c r="AO14" s="32"/>
      <c r="AP14" s="33">
        <f>IF(COUNT(AK11:AK14)&lt;4,"",SUM(AK11:AK14))</f>
        <v>3321041.4083333332</v>
      </c>
      <c r="AQ14" s="33">
        <f>IF(COUNT(AK11:AK14)&lt;4,"",SUM(AL11:AL14))</f>
        <v>314712434.13</v>
      </c>
      <c r="AR14" s="33">
        <f>IF(COUNT(AK11:AK14)&lt;4,"",SUM(AM11:AM14))</f>
        <v>425108115.41820991</v>
      </c>
      <c r="AS14" s="33">
        <f>IFERROR(AR14/AP14,0)</f>
        <v>128.00446099573045</v>
      </c>
      <c r="AT14" s="31">
        <f t="shared" si="4"/>
        <v>20171</v>
      </c>
      <c r="AU14" s="31"/>
      <c r="AV14" s="16">
        <v>804145.75416666677</v>
      </c>
      <c r="AW14" s="16">
        <v>319272420.12</v>
      </c>
      <c r="AX14" s="16">
        <v>317751332.36228192</v>
      </c>
      <c r="AY14" s="33">
        <f t="shared" si="14"/>
        <v>395.14146622780646</v>
      </c>
      <c r="AZ14" s="32"/>
      <c r="BA14" s="33">
        <f>IF(COUNT(AV11:AV14)&lt;4,"",SUM(AV11:AV14))</f>
        <v>3208452.3691666671</v>
      </c>
      <c r="BB14" s="33">
        <f>IF(COUNT(AV11:AV14)&lt;4,"",SUM(AW11:AW14))</f>
        <v>1245124171.8099999</v>
      </c>
      <c r="BC14" s="33">
        <f>IF(COUNT(AV11:AV14)&lt;4,"",SUM(AX11:AX14))</f>
        <v>1246077618.8339415</v>
      </c>
      <c r="BD14" s="33">
        <f>IFERROR(BC14/BA14,0)</f>
        <v>388.37341978605895</v>
      </c>
      <c r="BE14" s="31">
        <f t="shared" si="5"/>
        <v>20171</v>
      </c>
      <c r="BF14" s="31"/>
      <c r="BG14" s="16">
        <v>992874.19499999995</v>
      </c>
      <c r="BH14" s="16">
        <v>18783098.77</v>
      </c>
      <c r="BI14" s="16">
        <v>19998756.425648063</v>
      </c>
      <c r="BJ14" s="33">
        <f t="shared" si="15"/>
        <v>20.142286431009584</v>
      </c>
      <c r="BK14" s="32"/>
      <c r="BL14" s="33">
        <f>IF(COUNT(BG11:BG14)&lt;4,"",SUM(BG11:BG14))</f>
        <v>3941173.7191666663</v>
      </c>
      <c r="BM14" s="33">
        <f>IF(COUNT(BG11:BG14)&lt;4,"",SUM(BH11:BH14))</f>
        <v>73703832.00999999</v>
      </c>
      <c r="BN14" s="33">
        <f>IF(COUNT(BG11:BG14)&lt;4,"",SUM(BI11:BI14))</f>
        <v>79193616.004729301</v>
      </c>
      <c r="BO14" s="33">
        <f>IFERROR(BN14/BL14,0)</f>
        <v>20.093916596367194</v>
      </c>
      <c r="BP14" s="31">
        <f t="shared" si="6"/>
        <v>20171</v>
      </c>
      <c r="BQ14" s="31"/>
      <c r="BR14" s="16">
        <v>58334.932500000003</v>
      </c>
      <c r="BS14" s="16">
        <v>265390.02</v>
      </c>
      <c r="BT14" s="16">
        <v>144530.61471004918</v>
      </c>
      <c r="BU14" s="33">
        <f t="shared" si="16"/>
        <v>2.4775997591160182</v>
      </c>
      <c r="BV14" s="32"/>
      <c r="BW14" s="33">
        <f>IF(COUNT(BR11:BR14)&lt;4,"",SUM(BR11:BR14))</f>
        <v>234041.33333333331</v>
      </c>
      <c r="BX14" s="33">
        <f>IF(COUNT(BR11:BR14)&lt;4,"",SUM(BS11:BS14))</f>
        <v>1105311.5300000003</v>
      </c>
      <c r="BY14" s="33">
        <f>IF(COUNT(BR11:BR14)&lt;4,"",SUM(BT11:BT14))</f>
        <v>579025.92533629807</v>
      </c>
      <c r="BZ14" s="33">
        <f>IFERROR(BY14/BW14,0)</f>
        <v>2.4740327577591628</v>
      </c>
      <c r="CA14" s="31">
        <f t="shared" si="7"/>
        <v>20171</v>
      </c>
      <c r="CB14" s="31"/>
      <c r="CC14" s="16"/>
      <c r="CD14" s="16"/>
      <c r="CE14" s="16"/>
      <c r="CF14" s="33" t="e">
        <f t="shared" si="17"/>
        <v>#DIV/0!</v>
      </c>
      <c r="CG14" s="32"/>
      <c r="CH14" s="33" t="str">
        <f>IF(COUNT(CC11:CC14)&lt;4,"",SUM(CC11:CC14))</f>
        <v/>
      </c>
      <c r="CI14" s="33" t="str">
        <f>IF(COUNT(CC11:CC14)&lt;4,"",SUM(CD11:CD14))</f>
        <v/>
      </c>
      <c r="CJ14" s="33" t="str">
        <f>IF(COUNT(CC11:CC14)&lt;4,"",SUM(CE11:CE14))</f>
        <v/>
      </c>
      <c r="CK14" s="33">
        <f>IFERROR(CJ14/CH14,0)</f>
        <v>0</v>
      </c>
      <c r="CL14" s="31">
        <f t="shared" si="8"/>
        <v>20171</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20171</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20172</v>
      </c>
      <c r="C15" s="31"/>
      <c r="D15" s="14">
        <v>947555.89583333337</v>
      </c>
      <c r="E15" s="14">
        <v>441869191.57999998</v>
      </c>
      <c r="F15" s="14">
        <v>476828984.54785961</v>
      </c>
      <c r="G15" s="33">
        <f t="shared" si="10"/>
        <v>503.21990147980631</v>
      </c>
      <c r="H15" s="32"/>
      <c r="I15" s="33">
        <f t="shared" ref="I15:I37" si="20">IF(COUNT(D12:D15)&lt;4,"",SUM(D12:D15))</f>
        <v>3768706.0358333336</v>
      </c>
      <c r="J15" s="33">
        <f t="shared" ref="J15:J37" si="21">IF(COUNT(D12:D15)&lt;4,"",SUM(E12:E15))</f>
        <v>1736181917.05</v>
      </c>
      <c r="K15" s="33">
        <f t="shared" ref="K15:K37" si="22">IF(COUNT(D12:D15)&lt;4,"",SUM(F12:F15))</f>
        <v>1903221897.9672761</v>
      </c>
      <c r="L15" s="33">
        <f t="shared" ref="L15:L37" si="23">IFERROR(K15/I15,0)</f>
        <v>505.00672641251441</v>
      </c>
      <c r="M15" s="31">
        <f t="shared" si="1"/>
        <v>20172</v>
      </c>
      <c r="N15" s="31"/>
      <c r="O15" s="16">
        <v>535809.57583333331</v>
      </c>
      <c r="P15" s="16">
        <v>21507930.239999998</v>
      </c>
      <c r="Q15" s="16">
        <v>20247079.819266561</v>
      </c>
      <c r="R15" s="33">
        <f t="shared" si="11"/>
        <v>37.78782749034805</v>
      </c>
      <c r="S15" s="32"/>
      <c r="T15" s="33">
        <f t="shared" ref="T15:T37" si="24">IF(COUNT(O12:O15)&lt;4,"",SUM(O12:O15))</f>
        <v>2143972.3108333331</v>
      </c>
      <c r="U15" s="33">
        <f t="shared" ref="U15:U37" si="25">IF(COUNT(O12:O15)&lt;4,"",SUM(P12:P15))</f>
        <v>87793684.799999997</v>
      </c>
      <c r="V15" s="33">
        <f t="shared" ref="V15:V37" si="26">IF(COUNT(O12:O15)&lt;4,"",SUM(Q12:Q15))</f>
        <v>81398076.76215288</v>
      </c>
      <c r="W15" s="33">
        <f t="shared" ref="W15:W37" si="27">IFERROR(V15/T15,0)</f>
        <v>37.96601119839768</v>
      </c>
      <c r="X15" s="31">
        <f t="shared" si="2"/>
        <v>20172</v>
      </c>
      <c r="Y15" s="31"/>
      <c r="Z15" s="16">
        <v>925659.47499999998</v>
      </c>
      <c r="AA15" s="16">
        <v>59667973.07</v>
      </c>
      <c r="AB15" s="16">
        <v>97624830.838849351</v>
      </c>
      <c r="AC15" s="33">
        <f t="shared" si="12"/>
        <v>105.46516670058323</v>
      </c>
      <c r="AD15" s="32"/>
      <c r="AE15" s="33">
        <f t="shared" ref="AE15:AE37" si="28">IF(COUNT(Z12:Z15)&lt;4,"",SUM(Z12:Z15))</f>
        <v>3680160.68</v>
      </c>
      <c r="AF15" s="33">
        <f t="shared" ref="AF15:AF37" si="29">IF(COUNT(Z12:Z15)&lt;4,"",SUM(AA12:AA15))</f>
        <v>235028350.57999998</v>
      </c>
      <c r="AG15" s="33">
        <f t="shared" ref="AG15:AG37" si="30">IF(COUNT(Z12:Z15)&lt;4,"",SUM(AB12:AB15))</f>
        <v>389287211.61356384</v>
      </c>
      <c r="AH15" s="33">
        <f t="shared" ref="AH15:AH37" si="31">IFERROR(AG15/AE15,0)</f>
        <v>105.77994969870821</v>
      </c>
      <c r="AI15" s="31">
        <f t="shared" si="3"/>
        <v>20172</v>
      </c>
      <c r="AJ15" s="31"/>
      <c r="AK15" s="16">
        <v>836706.61833333329</v>
      </c>
      <c r="AL15" s="16">
        <v>80777254.409999996</v>
      </c>
      <c r="AM15" s="16">
        <v>109881066.51927088</v>
      </c>
      <c r="AN15" s="33">
        <f t="shared" si="13"/>
        <v>131.32568108299063</v>
      </c>
      <c r="AO15" s="32"/>
      <c r="AP15" s="33">
        <f t="shared" ref="AP15:AP37" si="32">IF(COUNT(AK12:AK15)&lt;4,"",SUM(AK12:AK15))</f>
        <v>3329052.6624999996</v>
      </c>
      <c r="AQ15" s="33">
        <f t="shared" ref="AQ15:AQ37" si="33">IF(COUNT(AK12:AK15)&lt;4,"",SUM(AL12:AL15))</f>
        <v>317135259.51999998</v>
      </c>
      <c r="AR15" s="33">
        <f t="shared" ref="AR15:AR37" si="34">IF(COUNT(AK12:AK15)&lt;4,"",SUM(AM12:AM15))</f>
        <v>430347085.35982704</v>
      </c>
      <c r="AS15" s="33">
        <f t="shared" ref="AS15:AS37" si="35">IFERROR(AR15/AP15,0)</f>
        <v>129.27013447623017</v>
      </c>
      <c r="AT15" s="31">
        <f t="shared" si="4"/>
        <v>20172</v>
      </c>
      <c r="AU15" s="31"/>
      <c r="AV15" s="16">
        <v>808064.3716666667</v>
      </c>
      <c r="AW15" s="16">
        <v>325224217.52999997</v>
      </c>
      <c r="AX15" s="16">
        <v>323531126.84683871</v>
      </c>
      <c r="AY15" s="33">
        <f t="shared" si="14"/>
        <v>400.37791318474069</v>
      </c>
      <c r="AZ15" s="32"/>
      <c r="BA15" s="33">
        <f t="shared" ref="BA15:BA37" si="36">IF(COUNT(AV12:AV15)&lt;4,"",SUM(AV12:AV15))</f>
        <v>3215792.3991666669</v>
      </c>
      <c r="BB15" s="33">
        <f t="shared" ref="BB15:BB37" si="37">IF(COUNT(AV12:AV15)&lt;4,"",SUM(AW12:AW15))</f>
        <v>1267429524.1900001</v>
      </c>
      <c r="BC15" s="33">
        <f t="shared" ref="BC15:BC37" si="38">IF(COUNT(AV12:AV15)&lt;4,"",SUM(AX12:AX15))</f>
        <v>1263714893.8963017</v>
      </c>
      <c r="BD15" s="33">
        <f t="shared" ref="BD15:BD37" si="39">IFERROR(BC15/BA15,0)</f>
        <v>392.9715407697891</v>
      </c>
      <c r="BE15" s="31">
        <f t="shared" si="5"/>
        <v>20172</v>
      </c>
      <c r="BF15" s="31"/>
      <c r="BG15" s="16">
        <v>1002642.2683333333</v>
      </c>
      <c r="BH15" s="16">
        <v>19006596.350000001</v>
      </c>
      <c r="BI15" s="16">
        <v>20242874.700310066</v>
      </c>
      <c r="BJ15" s="33">
        <f t="shared" si="15"/>
        <v>20.1895285483618</v>
      </c>
      <c r="BK15" s="32"/>
      <c r="BL15" s="33">
        <f t="shared" ref="BL15:BL37" si="40">IF(COUNT(BG12:BG15)&lt;4,"",SUM(BG12:BG15))</f>
        <v>3964595.2908333335</v>
      </c>
      <c r="BM15" s="33">
        <f t="shared" ref="BM15:BM37" si="41">IF(COUNT(BG12:BG15)&lt;4,"",SUM(BH12:BH15))</f>
        <v>74713475.819999993</v>
      </c>
      <c r="BN15" s="33">
        <f t="shared" ref="BN15:BN37" si="42">IF(COUNT(BG12:BG15)&lt;4,"",SUM(BI12:BI15))</f>
        <v>79811441.873150468</v>
      </c>
      <c r="BO15" s="33">
        <f t="shared" ref="BO15:BO37" si="43">IFERROR(BN15/BL15,0)</f>
        <v>20.131043906974575</v>
      </c>
      <c r="BP15" s="31">
        <f t="shared" si="6"/>
        <v>20172</v>
      </c>
      <c r="BQ15" s="31"/>
      <c r="BR15" s="16">
        <v>58547.376666666671</v>
      </c>
      <c r="BS15" s="16">
        <v>266295.89</v>
      </c>
      <c r="BT15" s="16">
        <v>145500.00628334878</v>
      </c>
      <c r="BU15" s="33">
        <f t="shared" si="16"/>
        <v>2.4851669633592253</v>
      </c>
      <c r="BV15" s="32"/>
      <c r="BW15" s="33">
        <f t="shared" ref="BW15:BW37" si="44">IF(COUNT(BR12:BR15)&lt;4,"",SUM(BR12:BR15))</f>
        <v>233767.04583333334</v>
      </c>
      <c r="BX15" s="33">
        <f t="shared" ref="BX15:BX37" si="45">IF(COUNT(BR12:BR15)&lt;4,"",SUM(BS12:BS15))</f>
        <v>1078004.9100000001</v>
      </c>
      <c r="BY15" s="33">
        <f t="shared" ref="BY15:BY37" si="46">IF(COUNT(BR12:BR15)&lt;4,"",SUM(BT12:BT15))</f>
        <v>579413.89552656724</v>
      </c>
      <c r="BZ15" s="33">
        <f t="shared" ref="BZ15:BZ37" si="47">IFERROR(BY15/BW15,0)</f>
        <v>2.4785952761693641</v>
      </c>
      <c r="CA15" s="31">
        <f t="shared" si="7"/>
        <v>20172</v>
      </c>
      <c r="CB15" s="31"/>
      <c r="CC15" s="16"/>
      <c r="CD15" s="16"/>
      <c r="CE15" s="16"/>
      <c r="CF15" s="33" t="e">
        <f t="shared" si="17"/>
        <v>#DIV/0!</v>
      </c>
      <c r="CG15" s="32"/>
      <c r="CH15" s="33" t="str">
        <f t="shared" ref="CH15:CH37" si="48">IF(COUNT(CC12:CC15)&lt;4,"",SUM(CC12:CC15))</f>
        <v/>
      </c>
      <c r="CI15" s="33" t="str">
        <f t="shared" ref="CI15:CI37" si="49">IF(COUNT(CC12:CC15)&lt;4,"",SUM(CD12:CD15))</f>
        <v/>
      </c>
      <c r="CJ15" s="33" t="str">
        <f t="shared" ref="CJ15:CJ37" si="50">IF(COUNT(CC12:CC15)&lt;4,"",SUM(CE12:CE15))</f>
        <v/>
      </c>
      <c r="CK15" s="33">
        <f t="shared" ref="CK15:CK37" si="51">IFERROR(CJ15/CH15,0)</f>
        <v>0</v>
      </c>
      <c r="CL15" s="31">
        <f t="shared" si="8"/>
        <v>20172</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20172</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20173</v>
      </c>
      <c r="C16" s="31"/>
      <c r="D16" s="14">
        <v>944678.24000000011</v>
      </c>
      <c r="E16" s="14">
        <v>458431756.08999997</v>
      </c>
      <c r="F16" s="14">
        <v>471095229.91669279</v>
      </c>
      <c r="G16" s="33">
        <f t="shared" si="10"/>
        <v>498.68326586700329</v>
      </c>
      <c r="H16" s="32"/>
      <c r="I16" s="33">
        <f t="shared" si="20"/>
        <v>3774204.4375000005</v>
      </c>
      <c r="J16" s="33">
        <f t="shared" si="21"/>
        <v>1775095769.6999998</v>
      </c>
      <c r="K16" s="33">
        <f t="shared" si="22"/>
        <v>1897835721.6359036</v>
      </c>
      <c r="L16" s="33">
        <f t="shared" si="23"/>
        <v>502.84391136295022</v>
      </c>
      <c r="M16" s="31">
        <f t="shared" si="1"/>
        <v>20173</v>
      </c>
      <c r="N16" s="31"/>
      <c r="O16" s="16">
        <v>533487.71250000002</v>
      </c>
      <c r="P16" s="16">
        <v>20744888.91</v>
      </c>
      <c r="Q16" s="16">
        <v>20021483.6896604</v>
      </c>
      <c r="R16" s="33">
        <f t="shared" si="11"/>
        <v>37.529418617416418</v>
      </c>
      <c r="S16" s="32"/>
      <c r="T16" s="33">
        <f t="shared" si="24"/>
        <v>2140487.5808333331</v>
      </c>
      <c r="U16" s="33">
        <f t="shared" si="25"/>
        <v>85598465.569999993</v>
      </c>
      <c r="V16" s="33">
        <f t="shared" si="26"/>
        <v>80894585.155301914</v>
      </c>
      <c r="W16" s="33">
        <f t="shared" si="27"/>
        <v>37.792597294027793</v>
      </c>
      <c r="X16" s="31">
        <f t="shared" si="2"/>
        <v>20173</v>
      </c>
      <c r="Y16" s="31"/>
      <c r="Z16" s="16">
        <v>923094.36416666664</v>
      </c>
      <c r="AA16" s="16">
        <v>61460320.740000002</v>
      </c>
      <c r="AB16" s="16">
        <v>96626168.244271338</v>
      </c>
      <c r="AC16" s="33">
        <f t="shared" si="12"/>
        <v>104.67637112214595</v>
      </c>
      <c r="AD16" s="32"/>
      <c r="AE16" s="33">
        <f t="shared" si="28"/>
        <v>3686485.4775</v>
      </c>
      <c r="AF16" s="33">
        <f t="shared" si="29"/>
        <v>239289102.37</v>
      </c>
      <c r="AG16" s="33">
        <f t="shared" si="30"/>
        <v>388543039.00087631</v>
      </c>
      <c r="AH16" s="33">
        <f t="shared" si="31"/>
        <v>105.39660100990491</v>
      </c>
      <c r="AI16" s="31">
        <f t="shared" si="3"/>
        <v>20173</v>
      </c>
      <c r="AJ16" s="31"/>
      <c r="AK16" s="16">
        <v>834800.66333333345</v>
      </c>
      <c r="AL16" s="16">
        <v>81337359.329999998</v>
      </c>
      <c r="AM16" s="16">
        <v>110469635.99323191</v>
      </c>
      <c r="AN16" s="33">
        <f t="shared" si="13"/>
        <v>132.33055607805824</v>
      </c>
      <c r="AO16" s="32"/>
      <c r="AP16" s="33">
        <f t="shared" si="32"/>
        <v>3334394.2041666666</v>
      </c>
      <c r="AQ16" s="33">
        <f t="shared" si="33"/>
        <v>320050546.56</v>
      </c>
      <c r="AR16" s="33">
        <f t="shared" si="34"/>
        <v>435120301.89611</v>
      </c>
      <c r="AS16" s="33">
        <f t="shared" si="35"/>
        <v>130.49455920730148</v>
      </c>
      <c r="AT16" s="31">
        <f t="shared" si="4"/>
        <v>20173</v>
      </c>
      <c r="AU16" s="31"/>
      <c r="AV16" s="16">
        <v>805932.27416666655</v>
      </c>
      <c r="AW16" s="16">
        <v>327575361.38999999</v>
      </c>
      <c r="AX16" s="16">
        <v>324067207.7930963</v>
      </c>
      <c r="AY16" s="33">
        <f t="shared" si="14"/>
        <v>402.10228350537466</v>
      </c>
      <c r="AZ16" s="32"/>
      <c r="BA16" s="33">
        <f t="shared" si="36"/>
        <v>3220319.9550000001</v>
      </c>
      <c r="BB16" s="33">
        <f t="shared" si="37"/>
        <v>1286497213.8699999</v>
      </c>
      <c r="BC16" s="33">
        <f t="shared" si="38"/>
        <v>1278496819.3825421</v>
      </c>
      <c r="BD16" s="33">
        <f t="shared" si="39"/>
        <v>397.00925288417255</v>
      </c>
      <c r="BE16" s="31">
        <f t="shared" si="5"/>
        <v>20173</v>
      </c>
      <c r="BF16" s="31"/>
      <c r="BG16" s="16">
        <v>1001792.3699999999</v>
      </c>
      <c r="BH16" s="16">
        <v>18976732.280000001</v>
      </c>
      <c r="BI16" s="16">
        <v>20286855.212809272</v>
      </c>
      <c r="BJ16" s="33">
        <f t="shared" si="15"/>
        <v>20.25055871887832</v>
      </c>
      <c r="BK16" s="32"/>
      <c r="BL16" s="33">
        <f t="shared" si="40"/>
        <v>3983773.3583333334</v>
      </c>
      <c r="BM16" s="33">
        <f t="shared" si="41"/>
        <v>75381645.979999989</v>
      </c>
      <c r="BN16" s="33">
        <f t="shared" si="42"/>
        <v>80371033.841434106</v>
      </c>
      <c r="BO16" s="33">
        <f t="shared" si="43"/>
        <v>20.174599961444201</v>
      </c>
      <c r="BP16" s="31">
        <f t="shared" si="6"/>
        <v>20173</v>
      </c>
      <c r="BQ16" s="31"/>
      <c r="BR16" s="16">
        <v>58177.192499999997</v>
      </c>
      <c r="BS16" s="16">
        <v>254258.91</v>
      </c>
      <c r="BT16" s="16">
        <v>144865.14669939768</v>
      </c>
      <c r="BU16" s="33">
        <f t="shared" si="16"/>
        <v>2.4900676790032055</v>
      </c>
      <c r="BV16" s="32"/>
      <c r="BW16" s="33">
        <f t="shared" si="44"/>
        <v>233401.33083333334</v>
      </c>
      <c r="BX16" s="33">
        <f t="shared" si="45"/>
        <v>1052649.99</v>
      </c>
      <c r="BY16" s="33">
        <f t="shared" si="46"/>
        <v>579426.09811393451</v>
      </c>
      <c r="BZ16" s="33">
        <f t="shared" si="47"/>
        <v>2.4825312522647511</v>
      </c>
      <c r="CA16" s="31">
        <f t="shared" si="7"/>
        <v>20173</v>
      </c>
      <c r="CB16" s="31"/>
      <c r="CC16" s="16"/>
      <c r="CD16" s="16"/>
      <c r="CE16" s="16"/>
      <c r="CF16" s="33" t="e">
        <f t="shared" si="17"/>
        <v>#DIV/0!</v>
      </c>
      <c r="CG16" s="32"/>
      <c r="CH16" s="33" t="str">
        <f t="shared" si="48"/>
        <v/>
      </c>
      <c r="CI16" s="33" t="str">
        <f t="shared" si="49"/>
        <v/>
      </c>
      <c r="CJ16" s="33" t="str">
        <f t="shared" si="50"/>
        <v/>
      </c>
      <c r="CK16" s="33">
        <f t="shared" si="51"/>
        <v>0</v>
      </c>
      <c r="CL16" s="31">
        <f t="shared" si="8"/>
        <v>20173</v>
      </c>
      <c r="CM16" s="31"/>
      <c r="CN16" s="16"/>
      <c r="CO16" s="16"/>
      <c r="CP16" s="16"/>
      <c r="CQ16" s="33" t="e">
        <f t="shared" si="18"/>
        <v>#DIV/0!</v>
      </c>
      <c r="CR16" s="32"/>
      <c r="CS16" s="33" t="str">
        <f t="shared" si="52"/>
        <v/>
      </c>
      <c r="CT16" s="33" t="str">
        <f t="shared" si="53"/>
        <v/>
      </c>
      <c r="CU16" s="33" t="str">
        <f t="shared" si="54"/>
        <v/>
      </c>
      <c r="CV16" s="33">
        <f t="shared" si="55"/>
        <v>0</v>
      </c>
      <c r="CW16" s="31">
        <f t="shared" si="9"/>
        <v>20173</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20174</v>
      </c>
      <c r="C17" s="31"/>
      <c r="D17" s="14">
        <v>936693.85499999998</v>
      </c>
      <c r="E17" s="14">
        <v>475345883.04000002</v>
      </c>
      <c r="F17" s="14">
        <v>461203136.76822937</v>
      </c>
      <c r="G17" s="33">
        <f t="shared" si="10"/>
        <v>492.37339852969291</v>
      </c>
      <c r="H17" s="32"/>
      <c r="I17" s="33">
        <f t="shared" si="20"/>
        <v>3771089.9433333334</v>
      </c>
      <c r="J17" s="33">
        <f t="shared" si="21"/>
        <v>1813902590.6899998</v>
      </c>
      <c r="K17" s="33">
        <f t="shared" si="22"/>
        <v>1883955178.8016095</v>
      </c>
      <c r="L17" s="33">
        <f t="shared" si="23"/>
        <v>499.5784261608855</v>
      </c>
      <c r="M17" s="31">
        <f t="shared" si="1"/>
        <v>20174</v>
      </c>
      <c r="N17" s="31"/>
      <c r="O17" s="16">
        <v>529591.61416666664</v>
      </c>
      <c r="P17" s="16">
        <v>19796016.879999999</v>
      </c>
      <c r="Q17" s="16">
        <v>19682585.679426745</v>
      </c>
      <c r="R17" s="33">
        <f t="shared" si="11"/>
        <v>37.165591661412677</v>
      </c>
      <c r="S17" s="32"/>
      <c r="T17" s="33">
        <f t="shared" si="24"/>
        <v>2134256.7991666668</v>
      </c>
      <c r="U17" s="33">
        <f t="shared" si="25"/>
        <v>83602091.149999991</v>
      </c>
      <c r="V17" s="33">
        <f t="shared" si="26"/>
        <v>80201141.66330573</v>
      </c>
      <c r="W17" s="33">
        <f t="shared" si="27"/>
        <v>37.578018584558684</v>
      </c>
      <c r="X17" s="31">
        <f t="shared" si="2"/>
        <v>20174</v>
      </c>
      <c r="Y17" s="31"/>
      <c r="Z17" s="16">
        <v>915678.77333333332</v>
      </c>
      <c r="AA17" s="16">
        <v>63240288.130000003</v>
      </c>
      <c r="AB17" s="16">
        <v>94836114.210371956</v>
      </c>
      <c r="AC17" s="33">
        <f t="shared" si="12"/>
        <v>103.56919584926197</v>
      </c>
      <c r="AD17" s="32"/>
      <c r="AE17" s="33">
        <f t="shared" si="28"/>
        <v>3684536.1808333336</v>
      </c>
      <c r="AF17" s="33">
        <f t="shared" si="29"/>
        <v>243546201.5</v>
      </c>
      <c r="AG17" s="33">
        <f t="shared" si="30"/>
        <v>386224933.18045914</v>
      </c>
      <c r="AH17" s="33">
        <f t="shared" si="31"/>
        <v>104.82321633576859</v>
      </c>
      <c r="AI17" s="31">
        <f t="shared" si="3"/>
        <v>20174</v>
      </c>
      <c r="AJ17" s="31"/>
      <c r="AK17" s="16">
        <v>828690.5791666666</v>
      </c>
      <c r="AL17" s="16">
        <v>81180934.730000004</v>
      </c>
      <c r="AM17" s="16">
        <v>110018651.47925052</v>
      </c>
      <c r="AN17" s="33">
        <f t="shared" si="13"/>
        <v>132.76203959007904</v>
      </c>
      <c r="AO17" s="32"/>
      <c r="AP17" s="33">
        <f t="shared" si="32"/>
        <v>3332744.0133333332</v>
      </c>
      <c r="AQ17" s="33">
        <f t="shared" si="33"/>
        <v>322665607.90000004</v>
      </c>
      <c r="AR17" s="33">
        <f t="shared" si="34"/>
        <v>438349733.91345465</v>
      </c>
      <c r="AS17" s="33">
        <f t="shared" si="35"/>
        <v>131.52817382905667</v>
      </c>
      <c r="AT17" s="31">
        <f t="shared" si="4"/>
        <v>20174</v>
      </c>
      <c r="AU17" s="31"/>
      <c r="AV17" s="16">
        <v>799701.06916666671</v>
      </c>
      <c r="AW17" s="16">
        <v>327752067.31999999</v>
      </c>
      <c r="AX17" s="16">
        <v>321982899.04491639</v>
      </c>
      <c r="AY17" s="33">
        <f t="shared" si="14"/>
        <v>402.62907161102163</v>
      </c>
      <c r="AZ17" s="32"/>
      <c r="BA17" s="33">
        <f t="shared" si="36"/>
        <v>3217843.4691666667</v>
      </c>
      <c r="BB17" s="33">
        <f t="shared" si="37"/>
        <v>1299824066.3599999</v>
      </c>
      <c r="BC17" s="33">
        <f t="shared" si="38"/>
        <v>1287332566.0471334</v>
      </c>
      <c r="BD17" s="33">
        <f t="shared" si="39"/>
        <v>400.06065502636687</v>
      </c>
      <c r="BE17" s="31">
        <f t="shared" si="5"/>
        <v>20174</v>
      </c>
      <c r="BF17" s="31"/>
      <c r="BG17" s="16">
        <v>995306.27999999991</v>
      </c>
      <c r="BH17" s="16">
        <v>18843758.32</v>
      </c>
      <c r="BI17" s="16">
        <v>20224279.841140229</v>
      </c>
      <c r="BJ17" s="33">
        <f t="shared" si="15"/>
        <v>20.319654610378056</v>
      </c>
      <c r="BK17" s="32"/>
      <c r="BL17" s="33">
        <f t="shared" si="40"/>
        <v>3992615.1133333328</v>
      </c>
      <c r="BM17" s="33">
        <f t="shared" si="41"/>
        <v>75610185.719999999</v>
      </c>
      <c r="BN17" s="33">
        <f t="shared" si="42"/>
        <v>80752766.179907635</v>
      </c>
      <c r="BO17" s="33">
        <f t="shared" si="43"/>
        <v>20.225532361041733</v>
      </c>
      <c r="BP17" s="31">
        <f t="shared" si="6"/>
        <v>20174</v>
      </c>
      <c r="BQ17" s="31"/>
      <c r="BR17" s="16">
        <v>57618.041666666664</v>
      </c>
      <c r="BS17" s="16">
        <v>238475.76</v>
      </c>
      <c r="BT17" s="16">
        <v>143473.78622917042</v>
      </c>
      <c r="BU17" s="33">
        <f t="shared" si="16"/>
        <v>2.4900843916077289</v>
      </c>
      <c r="BV17" s="32"/>
      <c r="BW17" s="33">
        <f t="shared" si="44"/>
        <v>232677.54333333333</v>
      </c>
      <c r="BX17" s="33">
        <f t="shared" si="45"/>
        <v>1024420.5800000001</v>
      </c>
      <c r="BY17" s="33">
        <f t="shared" si="46"/>
        <v>578369.553921966</v>
      </c>
      <c r="BZ17" s="33">
        <f t="shared" si="47"/>
        <v>2.4857128265850523</v>
      </c>
      <c r="CA17" s="31">
        <f t="shared" si="7"/>
        <v>20174</v>
      </c>
      <c r="CB17" s="31"/>
      <c r="CC17" s="16"/>
      <c r="CD17" s="16"/>
      <c r="CE17" s="16"/>
      <c r="CF17" s="33" t="e">
        <f t="shared" si="17"/>
        <v>#DIV/0!</v>
      </c>
      <c r="CG17" s="32"/>
      <c r="CH17" s="33" t="str">
        <f t="shared" si="48"/>
        <v/>
      </c>
      <c r="CI17" s="33" t="str">
        <f t="shared" si="49"/>
        <v/>
      </c>
      <c r="CJ17" s="33" t="str">
        <f t="shared" si="50"/>
        <v/>
      </c>
      <c r="CK17" s="33">
        <f t="shared" si="51"/>
        <v>0</v>
      </c>
      <c r="CL17" s="31">
        <f t="shared" si="8"/>
        <v>20174</v>
      </c>
      <c r="CM17" s="31"/>
      <c r="CN17" s="16"/>
      <c r="CO17" s="16"/>
      <c r="CP17" s="16"/>
      <c r="CQ17" s="33" t="e">
        <f t="shared" si="18"/>
        <v>#DIV/0!</v>
      </c>
      <c r="CR17" s="32"/>
      <c r="CS17" s="33" t="str">
        <f t="shared" si="52"/>
        <v/>
      </c>
      <c r="CT17" s="33" t="str">
        <f t="shared" si="53"/>
        <v/>
      </c>
      <c r="CU17" s="33" t="str">
        <f t="shared" si="54"/>
        <v/>
      </c>
      <c r="CV17" s="33">
        <f t="shared" si="55"/>
        <v>0</v>
      </c>
      <c r="CW17" s="31">
        <f t="shared" si="9"/>
        <v>20174</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20181</v>
      </c>
      <c r="C18" s="31"/>
      <c r="D18" s="14">
        <v>928525.99583333323</v>
      </c>
      <c r="E18" s="14">
        <v>491748108.38</v>
      </c>
      <c r="F18" s="14">
        <v>452307918.73959863</v>
      </c>
      <c r="G18" s="33">
        <f t="shared" si="10"/>
        <v>487.12466938920915</v>
      </c>
      <c r="H18" s="32"/>
      <c r="I18" s="33">
        <f t="shared" si="20"/>
        <v>3757453.9866666668</v>
      </c>
      <c r="J18" s="33">
        <f t="shared" si="21"/>
        <v>1867394939.0900002</v>
      </c>
      <c r="K18" s="33">
        <f t="shared" si="22"/>
        <v>1861435269.9723806</v>
      </c>
      <c r="L18" s="33">
        <f t="shared" si="23"/>
        <v>495.39802126058964</v>
      </c>
      <c r="M18" s="31">
        <f t="shared" si="1"/>
        <v>20181</v>
      </c>
      <c r="N18" s="31"/>
      <c r="O18" s="16">
        <v>525329.87916666665</v>
      </c>
      <c r="P18" s="16">
        <v>19506487.41</v>
      </c>
      <c r="Q18" s="16">
        <v>19352548.669790152</v>
      </c>
      <c r="R18" s="33">
        <f t="shared" si="11"/>
        <v>36.838850096417886</v>
      </c>
      <c r="S18" s="32"/>
      <c r="T18" s="33">
        <f t="shared" si="24"/>
        <v>2124218.7816666663</v>
      </c>
      <c r="U18" s="33">
        <f t="shared" si="25"/>
        <v>81555323.439999998</v>
      </c>
      <c r="V18" s="33">
        <f t="shared" si="26"/>
        <v>79303697.858143851</v>
      </c>
      <c r="W18" s="33">
        <f t="shared" si="27"/>
        <v>37.333112079878141</v>
      </c>
      <c r="X18" s="31">
        <f t="shared" si="2"/>
        <v>20181</v>
      </c>
      <c r="Y18" s="31"/>
      <c r="Z18" s="16">
        <v>907905.16500000004</v>
      </c>
      <c r="AA18" s="16">
        <v>65051198.810000002</v>
      </c>
      <c r="AB18" s="16">
        <v>93406588.13454701</v>
      </c>
      <c r="AC18" s="33">
        <f t="shared" si="12"/>
        <v>102.88143710973051</v>
      </c>
      <c r="AD18" s="32"/>
      <c r="AE18" s="33">
        <f t="shared" si="28"/>
        <v>3672337.7774999999</v>
      </c>
      <c r="AF18" s="33">
        <f t="shared" si="29"/>
        <v>249419780.75</v>
      </c>
      <c r="AG18" s="33">
        <f t="shared" si="30"/>
        <v>382493701.42803967</v>
      </c>
      <c r="AH18" s="33">
        <f t="shared" si="31"/>
        <v>104.15537039417657</v>
      </c>
      <c r="AI18" s="31">
        <f t="shared" si="3"/>
        <v>20181</v>
      </c>
      <c r="AJ18" s="31"/>
      <c r="AK18" s="16">
        <v>822576.97333333327</v>
      </c>
      <c r="AL18" s="16">
        <v>81519014.510000005</v>
      </c>
      <c r="AM18" s="16">
        <v>109850926.0935359</v>
      </c>
      <c r="AN18" s="33">
        <f t="shared" si="13"/>
        <v>133.54485921042306</v>
      </c>
      <c r="AO18" s="32"/>
      <c r="AP18" s="33">
        <f t="shared" si="32"/>
        <v>3322774.8341666665</v>
      </c>
      <c r="AQ18" s="33">
        <f t="shared" si="33"/>
        <v>324814562.98000002</v>
      </c>
      <c r="AR18" s="33">
        <f t="shared" si="34"/>
        <v>440220280.08528924</v>
      </c>
      <c r="AS18" s="33">
        <f t="shared" si="35"/>
        <v>132.48573919565453</v>
      </c>
      <c r="AT18" s="31">
        <f t="shared" si="4"/>
        <v>20181</v>
      </c>
      <c r="AU18" s="31"/>
      <c r="AV18" s="16">
        <v>793342.4541666666</v>
      </c>
      <c r="AW18" s="16">
        <v>329919353.17000002</v>
      </c>
      <c r="AX18" s="16">
        <v>321106368.75205958</v>
      </c>
      <c r="AY18" s="33">
        <f t="shared" si="14"/>
        <v>404.75127363422439</v>
      </c>
      <c r="AZ18" s="32"/>
      <c r="BA18" s="33">
        <f t="shared" si="36"/>
        <v>3207040.1691666665</v>
      </c>
      <c r="BB18" s="33">
        <f t="shared" si="37"/>
        <v>1310470999.4100001</v>
      </c>
      <c r="BC18" s="33">
        <f t="shared" si="38"/>
        <v>1290687602.4369111</v>
      </c>
      <c r="BD18" s="33">
        <f t="shared" si="39"/>
        <v>402.45445468563929</v>
      </c>
      <c r="BE18" s="31">
        <f t="shared" si="5"/>
        <v>20181</v>
      </c>
      <c r="BF18" s="31"/>
      <c r="BG18" s="16">
        <v>988064.39333333343</v>
      </c>
      <c r="BH18" s="16">
        <v>18911528.48</v>
      </c>
      <c r="BI18" s="16">
        <v>20141914.356385507</v>
      </c>
      <c r="BJ18" s="33">
        <f t="shared" si="15"/>
        <v>20.385224376353403</v>
      </c>
      <c r="BK18" s="32"/>
      <c r="BL18" s="33">
        <f t="shared" si="40"/>
        <v>3987805.3116666665</v>
      </c>
      <c r="BM18" s="33">
        <f t="shared" si="41"/>
        <v>75738615.430000007</v>
      </c>
      <c r="BN18" s="33">
        <f t="shared" si="42"/>
        <v>80895924.110645086</v>
      </c>
      <c r="BO18" s="33">
        <f t="shared" si="43"/>
        <v>20.285825858643882</v>
      </c>
      <c r="BP18" s="31">
        <f t="shared" si="6"/>
        <v>20181</v>
      </c>
      <c r="BQ18" s="31"/>
      <c r="BR18" s="16">
        <v>57078.122500000005</v>
      </c>
      <c r="BS18" s="16">
        <v>224036.48000000001</v>
      </c>
      <c r="BT18" s="16">
        <v>142620.88992419673</v>
      </c>
      <c r="BU18" s="33">
        <f t="shared" si="16"/>
        <v>2.4986962373227453</v>
      </c>
      <c r="BV18" s="32"/>
      <c r="BW18" s="33">
        <f t="shared" si="44"/>
        <v>231420.73333333334</v>
      </c>
      <c r="BX18" s="33">
        <f t="shared" si="45"/>
        <v>983067.04</v>
      </c>
      <c r="BY18" s="33">
        <f t="shared" si="46"/>
        <v>576459.82913611364</v>
      </c>
      <c r="BZ18" s="33">
        <f t="shared" si="47"/>
        <v>2.4909601695272201</v>
      </c>
      <c r="CA18" s="31">
        <f t="shared" si="7"/>
        <v>20181</v>
      </c>
      <c r="CB18" s="31"/>
      <c r="CC18" s="16"/>
      <c r="CD18" s="16"/>
      <c r="CE18" s="16"/>
      <c r="CF18" s="33" t="e">
        <f t="shared" si="17"/>
        <v>#DIV/0!</v>
      </c>
      <c r="CG18" s="32"/>
      <c r="CH18" s="33" t="str">
        <f t="shared" si="48"/>
        <v/>
      </c>
      <c r="CI18" s="33" t="str">
        <f t="shared" si="49"/>
        <v/>
      </c>
      <c r="CJ18" s="33" t="str">
        <f t="shared" si="50"/>
        <v/>
      </c>
      <c r="CK18" s="33">
        <f t="shared" si="51"/>
        <v>0</v>
      </c>
      <c r="CL18" s="31">
        <f t="shared" si="8"/>
        <v>20181</v>
      </c>
      <c r="CM18" s="31"/>
      <c r="CN18" s="16"/>
      <c r="CO18" s="16"/>
      <c r="CP18" s="16"/>
      <c r="CQ18" s="33" t="e">
        <f t="shared" si="18"/>
        <v>#DIV/0!</v>
      </c>
      <c r="CR18" s="32"/>
      <c r="CS18" s="33" t="str">
        <f t="shared" si="52"/>
        <v/>
      </c>
      <c r="CT18" s="33" t="str">
        <f t="shared" si="53"/>
        <v/>
      </c>
      <c r="CU18" s="33" t="str">
        <f t="shared" si="54"/>
        <v/>
      </c>
      <c r="CV18" s="33">
        <f t="shared" si="55"/>
        <v>0</v>
      </c>
      <c r="CW18" s="31">
        <f t="shared" si="9"/>
        <v>20181</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20182</v>
      </c>
      <c r="C19" s="31"/>
      <c r="D19" s="14">
        <v>921894.52249999996</v>
      </c>
      <c r="E19" s="14">
        <v>509034114.57999998</v>
      </c>
      <c r="F19" s="14">
        <v>445227508.46116763</v>
      </c>
      <c r="G19" s="33">
        <f t="shared" si="10"/>
        <v>482.94842587175441</v>
      </c>
      <c r="H19" s="32"/>
      <c r="I19" s="33">
        <f t="shared" si="20"/>
        <v>3731792.6133333333</v>
      </c>
      <c r="J19" s="33">
        <f t="shared" si="21"/>
        <v>1934559862.0899999</v>
      </c>
      <c r="K19" s="33">
        <f t="shared" si="22"/>
        <v>1829833793.8856885</v>
      </c>
      <c r="L19" s="33">
        <f t="shared" si="23"/>
        <v>490.33641026778116</v>
      </c>
      <c r="M19" s="31">
        <f t="shared" si="1"/>
        <v>20182</v>
      </c>
      <c r="N19" s="31"/>
      <c r="O19" s="16">
        <v>521081.13750000001</v>
      </c>
      <c r="P19" s="16">
        <v>19398772.359999999</v>
      </c>
      <c r="Q19" s="16">
        <v>19029741.077666998</v>
      </c>
      <c r="R19" s="33">
        <f t="shared" si="11"/>
        <v>36.519727367154978</v>
      </c>
      <c r="S19" s="32"/>
      <c r="T19" s="33">
        <f t="shared" si="24"/>
        <v>2109490.3433333333</v>
      </c>
      <c r="U19" s="33">
        <f t="shared" si="25"/>
        <v>79446165.560000002</v>
      </c>
      <c r="V19" s="33">
        <f t="shared" si="26"/>
        <v>78086359.116544291</v>
      </c>
      <c r="W19" s="33">
        <f t="shared" si="27"/>
        <v>37.016694275620772</v>
      </c>
      <c r="X19" s="31">
        <f t="shared" si="2"/>
        <v>20182</v>
      </c>
      <c r="Y19" s="31"/>
      <c r="Z19" s="16">
        <v>901707.44749999989</v>
      </c>
      <c r="AA19" s="16">
        <v>67021948.939999998</v>
      </c>
      <c r="AB19" s="16">
        <v>92365146.409023076</v>
      </c>
      <c r="AC19" s="33">
        <f t="shared" si="12"/>
        <v>102.4336071140447</v>
      </c>
      <c r="AD19" s="32"/>
      <c r="AE19" s="33">
        <f t="shared" si="28"/>
        <v>3648385.75</v>
      </c>
      <c r="AF19" s="33">
        <f t="shared" si="29"/>
        <v>256773756.62</v>
      </c>
      <c r="AG19" s="33">
        <f t="shared" si="30"/>
        <v>377234016.99821341</v>
      </c>
      <c r="AH19" s="33">
        <f t="shared" si="31"/>
        <v>103.39751409187294</v>
      </c>
      <c r="AI19" s="31">
        <f t="shared" si="3"/>
        <v>20182</v>
      </c>
      <c r="AJ19" s="31"/>
      <c r="AK19" s="16">
        <v>817127.69333333336</v>
      </c>
      <c r="AL19" s="16">
        <v>82126123.269999996</v>
      </c>
      <c r="AM19" s="16">
        <v>109937845.36024332</v>
      </c>
      <c r="AN19" s="33">
        <f t="shared" si="13"/>
        <v>134.54181795230878</v>
      </c>
      <c r="AO19" s="32"/>
      <c r="AP19" s="33">
        <f t="shared" si="32"/>
        <v>3303195.9091666667</v>
      </c>
      <c r="AQ19" s="33">
        <f t="shared" si="33"/>
        <v>326163431.83999997</v>
      </c>
      <c r="AR19" s="33">
        <f t="shared" si="34"/>
        <v>440277058.92626166</v>
      </c>
      <c r="AS19" s="33">
        <f t="shared" si="35"/>
        <v>133.28820664389087</v>
      </c>
      <c r="AT19" s="31">
        <f t="shared" si="4"/>
        <v>20182</v>
      </c>
      <c r="AU19" s="31"/>
      <c r="AV19" s="16">
        <v>787669.39083333325</v>
      </c>
      <c r="AW19" s="16">
        <v>333124590.39999998</v>
      </c>
      <c r="AX19" s="16">
        <v>321039409.20306349</v>
      </c>
      <c r="AY19" s="33">
        <f t="shared" si="14"/>
        <v>407.58142050361045</v>
      </c>
      <c r="AZ19" s="32"/>
      <c r="BA19" s="33">
        <f t="shared" si="36"/>
        <v>3186645.188333333</v>
      </c>
      <c r="BB19" s="33">
        <f t="shared" si="37"/>
        <v>1318371372.2800002</v>
      </c>
      <c r="BC19" s="33">
        <f t="shared" si="38"/>
        <v>1288195884.7931356</v>
      </c>
      <c r="BD19" s="33">
        <f t="shared" si="39"/>
        <v>404.24829520065987</v>
      </c>
      <c r="BE19" s="31">
        <f t="shared" si="5"/>
        <v>20182</v>
      </c>
      <c r="BF19" s="31"/>
      <c r="BG19" s="16">
        <v>982394.44916666672</v>
      </c>
      <c r="BH19" s="16">
        <v>19044693.379999999</v>
      </c>
      <c r="BI19" s="16">
        <v>20064189.831920363</v>
      </c>
      <c r="BJ19" s="33">
        <f t="shared" si="15"/>
        <v>20.423761401482025</v>
      </c>
      <c r="BK19" s="32"/>
      <c r="BL19" s="33">
        <f t="shared" si="40"/>
        <v>3967557.4925000002</v>
      </c>
      <c r="BM19" s="33">
        <f t="shared" si="41"/>
        <v>75776712.459999993</v>
      </c>
      <c r="BN19" s="33">
        <f t="shared" si="42"/>
        <v>80717239.242255375</v>
      </c>
      <c r="BO19" s="33">
        <f t="shared" si="43"/>
        <v>20.344314958217424</v>
      </c>
      <c r="BP19" s="31">
        <f t="shared" si="6"/>
        <v>20182</v>
      </c>
      <c r="BQ19" s="31"/>
      <c r="BR19" s="16">
        <v>56728.00916666667</v>
      </c>
      <c r="BS19" s="16">
        <v>210086.7</v>
      </c>
      <c r="BT19" s="16">
        <v>141915.17099324602</v>
      </c>
      <c r="BU19" s="33">
        <f t="shared" si="16"/>
        <v>2.5016772680370254</v>
      </c>
      <c r="BV19" s="32"/>
      <c r="BW19" s="33">
        <f t="shared" si="44"/>
        <v>229601.36583333334</v>
      </c>
      <c r="BX19" s="33">
        <f t="shared" si="45"/>
        <v>926857.85000000009</v>
      </c>
      <c r="BY19" s="33">
        <f t="shared" si="46"/>
        <v>572874.99384601088</v>
      </c>
      <c r="BZ19" s="33">
        <f t="shared" si="47"/>
        <v>2.4950853047706101</v>
      </c>
      <c r="CA19" s="31">
        <f t="shared" si="7"/>
        <v>20182</v>
      </c>
      <c r="CB19" s="31"/>
      <c r="CC19" s="16"/>
      <c r="CD19" s="16"/>
      <c r="CE19" s="16"/>
      <c r="CF19" s="33" t="e">
        <f t="shared" si="17"/>
        <v>#DIV/0!</v>
      </c>
      <c r="CG19" s="32"/>
      <c r="CH19" s="33" t="str">
        <f t="shared" si="48"/>
        <v/>
      </c>
      <c r="CI19" s="33" t="str">
        <f t="shared" si="49"/>
        <v/>
      </c>
      <c r="CJ19" s="33" t="str">
        <f t="shared" si="50"/>
        <v/>
      </c>
      <c r="CK19" s="33">
        <f t="shared" si="51"/>
        <v>0</v>
      </c>
      <c r="CL19" s="31">
        <f t="shared" si="8"/>
        <v>20182</v>
      </c>
      <c r="CM19" s="31"/>
      <c r="CN19" s="16"/>
      <c r="CO19" s="16"/>
      <c r="CP19" s="16"/>
      <c r="CQ19" s="33" t="e">
        <f t="shared" si="18"/>
        <v>#DIV/0!</v>
      </c>
      <c r="CR19" s="32"/>
      <c r="CS19" s="33" t="str">
        <f t="shared" si="52"/>
        <v/>
      </c>
      <c r="CT19" s="33" t="str">
        <f t="shared" si="53"/>
        <v/>
      </c>
      <c r="CU19" s="33" t="str">
        <f t="shared" si="54"/>
        <v/>
      </c>
      <c r="CV19" s="33">
        <f t="shared" si="55"/>
        <v>0</v>
      </c>
      <c r="CW19" s="31">
        <f t="shared" si="9"/>
        <v>20182</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20183</v>
      </c>
      <c r="C20" s="31"/>
      <c r="D20" s="14">
        <v>914679.8091666667</v>
      </c>
      <c r="E20" s="14">
        <v>507768359.19</v>
      </c>
      <c r="F20" s="14">
        <v>438597846.18859774</v>
      </c>
      <c r="G20" s="33">
        <f t="shared" si="10"/>
        <v>479.50970579331926</v>
      </c>
      <c r="H20" s="32"/>
      <c r="I20" s="33">
        <f t="shared" si="20"/>
        <v>3701794.1824999996</v>
      </c>
      <c r="J20" s="33">
        <f t="shared" si="21"/>
        <v>1983896465.1900001</v>
      </c>
      <c r="K20" s="33">
        <f t="shared" si="22"/>
        <v>1797336410.1575933</v>
      </c>
      <c r="L20" s="33">
        <f t="shared" si="23"/>
        <v>485.53115639286176</v>
      </c>
      <c r="M20" s="31">
        <f t="shared" si="1"/>
        <v>20183</v>
      </c>
      <c r="N20" s="31"/>
      <c r="O20" s="16">
        <v>517263.43333333335</v>
      </c>
      <c r="P20" s="16">
        <v>19173541.920000002</v>
      </c>
      <c r="Q20" s="16">
        <v>18754809.39531035</v>
      </c>
      <c r="R20" s="33">
        <f t="shared" si="11"/>
        <v>36.257752214285041</v>
      </c>
      <c r="S20" s="32"/>
      <c r="T20" s="33">
        <f t="shared" si="24"/>
        <v>2093266.0641666665</v>
      </c>
      <c r="U20" s="33">
        <f t="shared" si="25"/>
        <v>77874818.569999993</v>
      </c>
      <c r="V20" s="33">
        <f t="shared" si="26"/>
        <v>76819684.822194248</v>
      </c>
      <c r="W20" s="33">
        <f t="shared" si="27"/>
        <v>36.698480970586182</v>
      </c>
      <c r="X20" s="31">
        <f t="shared" si="2"/>
        <v>20183</v>
      </c>
      <c r="Y20" s="31"/>
      <c r="Z20" s="16">
        <v>895007.99416666664</v>
      </c>
      <c r="AA20" s="16">
        <v>67007807.909999996</v>
      </c>
      <c r="AB20" s="16">
        <v>91402401.468658417</v>
      </c>
      <c r="AC20" s="33">
        <f t="shared" si="12"/>
        <v>102.12467605248858</v>
      </c>
      <c r="AD20" s="32"/>
      <c r="AE20" s="33">
        <f t="shared" si="28"/>
        <v>3620299.38</v>
      </c>
      <c r="AF20" s="33">
        <f t="shared" si="29"/>
        <v>262321243.78999999</v>
      </c>
      <c r="AG20" s="33">
        <f t="shared" si="30"/>
        <v>372010250.22260046</v>
      </c>
      <c r="AH20" s="33">
        <f t="shared" si="31"/>
        <v>102.75676433770526</v>
      </c>
      <c r="AI20" s="31">
        <f t="shared" si="3"/>
        <v>20183</v>
      </c>
      <c r="AJ20" s="31"/>
      <c r="AK20" s="16">
        <v>811842.02583333338</v>
      </c>
      <c r="AL20" s="16">
        <v>82309076.599999994</v>
      </c>
      <c r="AM20" s="16">
        <v>109996312.67809337</v>
      </c>
      <c r="AN20" s="33">
        <f t="shared" si="13"/>
        <v>135.48979872677225</v>
      </c>
      <c r="AO20" s="32"/>
      <c r="AP20" s="33">
        <f t="shared" si="32"/>
        <v>3280237.2716666665</v>
      </c>
      <c r="AQ20" s="33">
        <f t="shared" si="33"/>
        <v>327135149.11000001</v>
      </c>
      <c r="AR20" s="33">
        <f t="shared" si="34"/>
        <v>439803735.61112314</v>
      </c>
      <c r="AS20" s="33">
        <f t="shared" si="35"/>
        <v>134.07680578779042</v>
      </c>
      <c r="AT20" s="31">
        <f t="shared" si="4"/>
        <v>20183</v>
      </c>
      <c r="AU20" s="31"/>
      <c r="AV20" s="16">
        <v>782246.28250000009</v>
      </c>
      <c r="AW20" s="16">
        <v>333822513.31999999</v>
      </c>
      <c r="AX20" s="16">
        <v>320902892.74549145</v>
      </c>
      <c r="AY20" s="33">
        <f t="shared" si="14"/>
        <v>410.23255709175123</v>
      </c>
      <c r="AZ20" s="32"/>
      <c r="BA20" s="33">
        <f t="shared" si="36"/>
        <v>3162959.1966666668</v>
      </c>
      <c r="BB20" s="33">
        <f t="shared" si="37"/>
        <v>1324618524.21</v>
      </c>
      <c r="BC20" s="33">
        <f t="shared" si="38"/>
        <v>1285031569.7455308</v>
      </c>
      <c r="BD20" s="33">
        <f t="shared" si="39"/>
        <v>406.27510184126976</v>
      </c>
      <c r="BE20" s="31">
        <f t="shared" si="5"/>
        <v>20183</v>
      </c>
      <c r="BF20" s="31"/>
      <c r="BG20" s="16">
        <v>976110.77333333332</v>
      </c>
      <c r="BH20" s="16">
        <v>19022340.32</v>
      </c>
      <c r="BI20" s="16">
        <v>19984981.669682637</v>
      </c>
      <c r="BJ20" s="33">
        <f t="shared" si="15"/>
        <v>20.474091891677073</v>
      </c>
      <c r="BK20" s="32"/>
      <c r="BL20" s="33">
        <f t="shared" si="40"/>
        <v>3941875.8958333335</v>
      </c>
      <c r="BM20" s="33">
        <f t="shared" si="41"/>
        <v>75822320.5</v>
      </c>
      <c r="BN20" s="33">
        <f t="shared" si="42"/>
        <v>80415365.699128747</v>
      </c>
      <c r="BO20" s="33">
        <f t="shared" si="43"/>
        <v>20.400278401491509</v>
      </c>
      <c r="BP20" s="31">
        <f t="shared" si="6"/>
        <v>20183</v>
      </c>
      <c r="BQ20" s="31"/>
      <c r="BR20" s="16">
        <v>56270.314166666671</v>
      </c>
      <c r="BS20" s="16">
        <v>205413.62</v>
      </c>
      <c r="BT20" s="16">
        <v>140958.84720492229</v>
      </c>
      <c r="BU20" s="33">
        <f t="shared" si="16"/>
        <v>2.5050303928891746</v>
      </c>
      <c r="BV20" s="32"/>
      <c r="BW20" s="33">
        <f t="shared" si="44"/>
        <v>227694.48750000002</v>
      </c>
      <c r="BX20" s="33">
        <f t="shared" si="45"/>
        <v>878012.55999999994</v>
      </c>
      <c r="BY20" s="33">
        <f t="shared" si="46"/>
        <v>568968.69435153552</v>
      </c>
      <c r="BZ20" s="33">
        <f t="shared" si="47"/>
        <v>2.4988250730116399</v>
      </c>
      <c r="CA20" s="31">
        <f t="shared" si="7"/>
        <v>20183</v>
      </c>
      <c r="CB20" s="31"/>
      <c r="CC20" s="16"/>
      <c r="CD20" s="16"/>
      <c r="CE20" s="16"/>
      <c r="CF20" s="33" t="e">
        <f t="shared" si="17"/>
        <v>#DIV/0!</v>
      </c>
      <c r="CG20" s="32"/>
      <c r="CH20" s="33" t="str">
        <f t="shared" si="48"/>
        <v/>
      </c>
      <c r="CI20" s="33" t="str">
        <f t="shared" si="49"/>
        <v/>
      </c>
      <c r="CJ20" s="33" t="str">
        <f t="shared" si="50"/>
        <v/>
      </c>
      <c r="CK20" s="33">
        <f t="shared" si="51"/>
        <v>0</v>
      </c>
      <c r="CL20" s="31">
        <f t="shared" si="8"/>
        <v>20183</v>
      </c>
      <c r="CM20" s="31"/>
      <c r="CN20" s="16"/>
      <c r="CO20" s="16"/>
      <c r="CP20" s="16"/>
      <c r="CQ20" s="33" t="e">
        <f t="shared" si="18"/>
        <v>#DIV/0!</v>
      </c>
      <c r="CR20" s="32"/>
      <c r="CS20" s="33" t="str">
        <f t="shared" si="52"/>
        <v/>
      </c>
      <c r="CT20" s="33" t="str">
        <f t="shared" si="53"/>
        <v/>
      </c>
      <c r="CU20" s="33" t="str">
        <f t="shared" si="54"/>
        <v/>
      </c>
      <c r="CV20" s="33">
        <f t="shared" si="55"/>
        <v>0</v>
      </c>
      <c r="CW20" s="31">
        <f t="shared" si="9"/>
        <v>20183</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20184</v>
      </c>
      <c r="C21" s="31"/>
      <c r="D21" s="14">
        <v>908598.4833333334</v>
      </c>
      <c r="E21" s="14">
        <v>501117306.79000002</v>
      </c>
      <c r="F21" s="14">
        <v>432941126.13386285</v>
      </c>
      <c r="G21" s="33">
        <f t="shared" si="10"/>
        <v>476.49334010062586</v>
      </c>
      <c r="H21" s="32"/>
      <c r="I21" s="33">
        <f t="shared" si="20"/>
        <v>3673698.8108333331</v>
      </c>
      <c r="J21" s="33">
        <f t="shared" si="21"/>
        <v>2009667888.9400001</v>
      </c>
      <c r="K21" s="33">
        <f t="shared" si="22"/>
        <v>1769074399.5232267</v>
      </c>
      <c r="L21" s="33">
        <f t="shared" si="23"/>
        <v>481.55128948144068</v>
      </c>
      <c r="M21" s="31">
        <f t="shared" si="1"/>
        <v>20184</v>
      </c>
      <c r="N21" s="31"/>
      <c r="O21" s="16">
        <v>514169.99416666664</v>
      </c>
      <c r="P21" s="16">
        <v>18942012.52</v>
      </c>
      <c r="Q21" s="16">
        <v>18531860.15062438</v>
      </c>
      <c r="R21" s="33">
        <f t="shared" si="11"/>
        <v>36.042282437464316</v>
      </c>
      <c r="S21" s="32"/>
      <c r="T21" s="33">
        <f t="shared" si="24"/>
        <v>2077844.4441666666</v>
      </c>
      <c r="U21" s="33">
        <f t="shared" si="25"/>
        <v>77020814.209999993</v>
      </c>
      <c r="V21" s="33">
        <f t="shared" si="26"/>
        <v>75668959.293391883</v>
      </c>
      <c r="W21" s="33">
        <f t="shared" si="27"/>
        <v>36.417047246161601</v>
      </c>
      <c r="X21" s="31">
        <f t="shared" si="2"/>
        <v>20184</v>
      </c>
      <c r="Y21" s="31"/>
      <c r="Z21" s="16">
        <v>889487.80250000011</v>
      </c>
      <c r="AA21" s="16">
        <v>66704779.189999998</v>
      </c>
      <c r="AB21" s="16">
        <v>90664464.451735437</v>
      </c>
      <c r="AC21" s="33">
        <f t="shared" si="12"/>
        <v>101.92884511391085</v>
      </c>
      <c r="AD21" s="32"/>
      <c r="AE21" s="33">
        <f t="shared" si="28"/>
        <v>3594108.4091666667</v>
      </c>
      <c r="AF21" s="33">
        <f t="shared" si="29"/>
        <v>265785734.84999999</v>
      </c>
      <c r="AG21" s="33">
        <f t="shared" si="30"/>
        <v>367838600.46396393</v>
      </c>
      <c r="AH21" s="33">
        <f t="shared" si="31"/>
        <v>102.34488184212877</v>
      </c>
      <c r="AI21" s="31">
        <f t="shared" si="3"/>
        <v>20184</v>
      </c>
      <c r="AJ21" s="31"/>
      <c r="AK21" s="16">
        <v>807497.0575</v>
      </c>
      <c r="AL21" s="16">
        <v>82379670.959999993</v>
      </c>
      <c r="AM21" s="16">
        <v>110102607.62570165</v>
      </c>
      <c r="AN21" s="33">
        <f t="shared" si="13"/>
        <v>136.35047533990755</v>
      </c>
      <c r="AO21" s="32"/>
      <c r="AP21" s="33">
        <f t="shared" si="32"/>
        <v>3259043.75</v>
      </c>
      <c r="AQ21" s="33">
        <f t="shared" si="33"/>
        <v>328333885.33999997</v>
      </c>
      <c r="AR21" s="33">
        <f t="shared" si="34"/>
        <v>439887691.75757426</v>
      </c>
      <c r="AS21" s="33">
        <f t="shared" si="35"/>
        <v>134.97446659240896</v>
      </c>
      <c r="AT21" s="31">
        <f t="shared" si="4"/>
        <v>20184</v>
      </c>
      <c r="AU21" s="31"/>
      <c r="AV21" s="16">
        <v>777914.65</v>
      </c>
      <c r="AW21" s="16">
        <v>333947567.42000002</v>
      </c>
      <c r="AX21" s="16">
        <v>321329133.2349745</v>
      </c>
      <c r="AY21" s="33">
        <f t="shared" si="14"/>
        <v>413.06476646888513</v>
      </c>
      <c r="AZ21" s="32"/>
      <c r="BA21" s="33">
        <f t="shared" si="36"/>
        <v>3141172.7774999999</v>
      </c>
      <c r="BB21" s="33">
        <f t="shared" si="37"/>
        <v>1330814024.3099999</v>
      </c>
      <c r="BC21" s="33">
        <f t="shared" si="38"/>
        <v>1284377803.9355888</v>
      </c>
      <c r="BD21" s="33">
        <f t="shared" si="39"/>
        <v>408.88480033174136</v>
      </c>
      <c r="BE21" s="31">
        <f t="shared" si="5"/>
        <v>20184</v>
      </c>
      <c r="BF21" s="31"/>
      <c r="BG21" s="16">
        <v>971731.11166666658</v>
      </c>
      <c r="BH21" s="16">
        <v>18991252.560000002</v>
      </c>
      <c r="BI21" s="16">
        <v>19952194.534330301</v>
      </c>
      <c r="BJ21" s="33">
        <f t="shared" si="15"/>
        <v>20.532629134523905</v>
      </c>
      <c r="BK21" s="32"/>
      <c r="BL21" s="33">
        <f t="shared" si="40"/>
        <v>3918300.7275</v>
      </c>
      <c r="BM21" s="33">
        <f t="shared" si="41"/>
        <v>75969814.74000001</v>
      </c>
      <c r="BN21" s="33">
        <f t="shared" si="42"/>
        <v>80143280.392318815</v>
      </c>
      <c r="BO21" s="33">
        <f t="shared" si="43"/>
        <v>20.453580765214202</v>
      </c>
      <c r="BP21" s="31">
        <f t="shared" si="6"/>
        <v>20184</v>
      </c>
      <c r="BQ21" s="31"/>
      <c r="BR21" s="16">
        <v>55934.735000000008</v>
      </c>
      <c r="BS21" s="16">
        <v>204419.25999999998</v>
      </c>
      <c r="BT21" s="16">
        <v>140301.87760925034</v>
      </c>
      <c r="BU21" s="33">
        <f t="shared" si="16"/>
        <v>2.508313977160173</v>
      </c>
      <c r="BV21" s="32"/>
      <c r="BW21" s="33">
        <f t="shared" si="44"/>
        <v>226011.18083333338</v>
      </c>
      <c r="BX21" s="33">
        <f t="shared" si="45"/>
        <v>843956.06</v>
      </c>
      <c r="BY21" s="33">
        <f t="shared" si="46"/>
        <v>565796.78573161538</v>
      </c>
      <c r="BZ21" s="33">
        <f t="shared" si="47"/>
        <v>2.5034017505038784</v>
      </c>
      <c r="CA21" s="31">
        <f t="shared" si="7"/>
        <v>20184</v>
      </c>
      <c r="CB21" s="31"/>
      <c r="CC21" s="16"/>
      <c r="CD21" s="16"/>
      <c r="CE21" s="16"/>
      <c r="CF21" s="33" t="e">
        <f t="shared" si="17"/>
        <v>#DIV/0!</v>
      </c>
      <c r="CG21" s="32"/>
      <c r="CH21" s="33" t="str">
        <f t="shared" si="48"/>
        <v/>
      </c>
      <c r="CI21" s="33" t="str">
        <f t="shared" si="49"/>
        <v/>
      </c>
      <c r="CJ21" s="33" t="str">
        <f t="shared" si="50"/>
        <v/>
      </c>
      <c r="CK21" s="33">
        <f t="shared" si="51"/>
        <v>0</v>
      </c>
      <c r="CL21" s="31">
        <f t="shared" si="8"/>
        <v>20184</v>
      </c>
      <c r="CM21" s="31"/>
      <c r="CN21" s="16"/>
      <c r="CO21" s="16"/>
      <c r="CP21" s="16"/>
      <c r="CQ21" s="33" t="e">
        <f t="shared" si="18"/>
        <v>#DIV/0!</v>
      </c>
      <c r="CR21" s="32"/>
      <c r="CS21" s="33" t="str">
        <f t="shared" si="52"/>
        <v/>
      </c>
      <c r="CT21" s="33" t="str">
        <f t="shared" si="53"/>
        <v/>
      </c>
      <c r="CU21" s="33" t="str">
        <f t="shared" si="54"/>
        <v/>
      </c>
      <c r="CV21" s="33">
        <f t="shared" si="55"/>
        <v>0</v>
      </c>
      <c r="CW21" s="31">
        <f t="shared" si="9"/>
        <v>20184</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20191</v>
      </c>
      <c r="C22" s="31"/>
      <c r="D22" s="14">
        <v>905023.941666667</v>
      </c>
      <c r="E22" s="14">
        <v>494855143.12</v>
      </c>
      <c r="F22" s="14">
        <v>429805077.4803344</v>
      </c>
      <c r="G22" s="33">
        <f t="shared" si="10"/>
        <v>474.91017385553062</v>
      </c>
      <c r="H22" s="32"/>
      <c r="I22" s="33">
        <f t="shared" si="20"/>
        <v>3650196.7566666668</v>
      </c>
      <c r="J22" s="33">
        <f t="shared" si="21"/>
        <v>2012774923.6799998</v>
      </c>
      <c r="K22" s="33">
        <f t="shared" si="22"/>
        <v>1746571558.2639627</v>
      </c>
      <c r="L22" s="33">
        <f t="shared" si="23"/>
        <v>478.48696240114992</v>
      </c>
      <c r="M22" s="31">
        <f t="shared" si="1"/>
        <v>20191</v>
      </c>
      <c r="N22" s="31"/>
      <c r="O22" s="16">
        <v>512022.13916666666</v>
      </c>
      <c r="P22" s="16">
        <v>18701399.34</v>
      </c>
      <c r="Q22" s="16">
        <v>18387162.734409086</v>
      </c>
      <c r="R22" s="33">
        <f t="shared" si="11"/>
        <v>35.910874409326937</v>
      </c>
      <c r="S22" s="32"/>
      <c r="T22" s="33">
        <f t="shared" si="24"/>
        <v>2064536.7041666666</v>
      </c>
      <c r="U22" s="33">
        <f t="shared" si="25"/>
        <v>76215726.140000001</v>
      </c>
      <c r="V22" s="33">
        <f t="shared" si="26"/>
        <v>74703573.358010814</v>
      </c>
      <c r="W22" s="33">
        <f t="shared" si="27"/>
        <v>36.184182730800273</v>
      </c>
      <c r="X22" s="31">
        <f t="shared" si="2"/>
        <v>20191</v>
      </c>
      <c r="Y22" s="31"/>
      <c r="Z22" s="16">
        <v>886106.86750000005</v>
      </c>
      <c r="AA22" s="16">
        <v>72415598.439999998</v>
      </c>
      <c r="AB22" s="16">
        <v>90090280.131478891</v>
      </c>
      <c r="AC22" s="33">
        <f t="shared" si="12"/>
        <v>101.66976855246965</v>
      </c>
      <c r="AD22" s="32"/>
      <c r="AE22" s="33">
        <f t="shared" si="28"/>
        <v>3572310.1116666668</v>
      </c>
      <c r="AF22" s="33">
        <f t="shared" si="29"/>
        <v>273150134.48000002</v>
      </c>
      <c r="AG22" s="33">
        <f t="shared" si="30"/>
        <v>364522292.46089584</v>
      </c>
      <c r="AH22" s="33">
        <f t="shared" si="31"/>
        <v>102.04105496620151</v>
      </c>
      <c r="AI22" s="31">
        <f t="shared" si="3"/>
        <v>20191</v>
      </c>
      <c r="AJ22" s="31"/>
      <c r="AK22" s="16">
        <v>805446.58083333343</v>
      </c>
      <c r="AL22" s="16">
        <v>82612098.739999995</v>
      </c>
      <c r="AM22" s="16">
        <v>110725111.62577836</v>
      </c>
      <c r="AN22" s="33">
        <f t="shared" si="13"/>
        <v>137.4704595694225</v>
      </c>
      <c r="AO22" s="32"/>
      <c r="AP22" s="33">
        <f t="shared" si="32"/>
        <v>3241913.3575000004</v>
      </c>
      <c r="AQ22" s="33">
        <f t="shared" si="33"/>
        <v>329426969.56999999</v>
      </c>
      <c r="AR22" s="33">
        <f t="shared" si="34"/>
        <v>440761877.28981674</v>
      </c>
      <c r="AS22" s="33">
        <f t="shared" si="35"/>
        <v>135.95732787556975</v>
      </c>
      <c r="AT22" s="31">
        <f t="shared" si="4"/>
        <v>20191</v>
      </c>
      <c r="AU22" s="31"/>
      <c r="AV22" s="16">
        <v>775744.8075</v>
      </c>
      <c r="AW22" s="16">
        <v>328210185.10000002</v>
      </c>
      <c r="AX22" s="16">
        <v>323815536.2164439</v>
      </c>
      <c r="AY22" s="33">
        <f t="shared" si="14"/>
        <v>417.42533509184193</v>
      </c>
      <c r="AZ22" s="32"/>
      <c r="BA22" s="33">
        <f t="shared" si="36"/>
        <v>3123575.1308333334</v>
      </c>
      <c r="BB22" s="33">
        <f t="shared" si="37"/>
        <v>1329104856.2400002</v>
      </c>
      <c r="BC22" s="33">
        <f t="shared" si="38"/>
        <v>1287086971.3999734</v>
      </c>
      <c r="BD22" s="33">
        <f t="shared" si="39"/>
        <v>412.05571100080874</v>
      </c>
      <c r="BE22" s="31">
        <f t="shared" si="5"/>
        <v>20191</v>
      </c>
      <c r="BF22" s="31"/>
      <c r="BG22" s="16">
        <v>970690.03749999998</v>
      </c>
      <c r="BH22" s="16">
        <v>19042028.439999998</v>
      </c>
      <c r="BI22" s="16">
        <v>20005377.182491187</v>
      </c>
      <c r="BJ22" s="33">
        <f t="shared" si="15"/>
        <v>20.609439068742052</v>
      </c>
      <c r="BK22" s="32"/>
      <c r="BL22" s="33">
        <f t="shared" si="40"/>
        <v>3900926.3716666666</v>
      </c>
      <c r="BM22" s="33">
        <f t="shared" si="41"/>
        <v>76100314.700000003</v>
      </c>
      <c r="BN22" s="33">
        <f t="shared" si="42"/>
        <v>80006743.218424484</v>
      </c>
      <c r="BO22" s="33">
        <f t="shared" si="43"/>
        <v>20.509677854863405</v>
      </c>
      <c r="BP22" s="31">
        <f t="shared" si="6"/>
        <v>20191</v>
      </c>
      <c r="BQ22" s="31"/>
      <c r="BR22" s="16">
        <v>55781.805833333339</v>
      </c>
      <c r="BS22" s="16">
        <v>203048.75</v>
      </c>
      <c r="BT22" s="16">
        <v>140341.24204011686</v>
      </c>
      <c r="BU22" s="33">
        <f t="shared" si="16"/>
        <v>2.5158963562318672</v>
      </c>
      <c r="BV22" s="32"/>
      <c r="BW22" s="33">
        <f t="shared" si="44"/>
        <v>224714.8641666667</v>
      </c>
      <c r="BX22" s="33">
        <f t="shared" si="45"/>
        <v>822968.33</v>
      </c>
      <c r="BY22" s="33">
        <f t="shared" si="46"/>
        <v>563517.13784753555</v>
      </c>
      <c r="BZ22" s="33">
        <f t="shared" si="47"/>
        <v>2.5076985447192568</v>
      </c>
      <c r="CA22" s="31">
        <f t="shared" si="7"/>
        <v>20191</v>
      </c>
      <c r="CB22" s="31"/>
      <c r="CC22" s="16"/>
      <c r="CD22" s="16"/>
      <c r="CE22" s="16"/>
      <c r="CF22" s="33" t="e">
        <f t="shared" si="17"/>
        <v>#DIV/0!</v>
      </c>
      <c r="CG22" s="32"/>
      <c r="CH22" s="33" t="str">
        <f t="shared" si="48"/>
        <v/>
      </c>
      <c r="CI22" s="33" t="str">
        <f t="shared" si="49"/>
        <v/>
      </c>
      <c r="CJ22" s="33" t="str">
        <f t="shared" si="50"/>
        <v/>
      </c>
      <c r="CK22" s="33">
        <f t="shared" si="51"/>
        <v>0</v>
      </c>
      <c r="CL22" s="31">
        <f t="shared" si="8"/>
        <v>20191</v>
      </c>
      <c r="CM22" s="31"/>
      <c r="CN22" s="16"/>
      <c r="CO22" s="16"/>
      <c r="CP22" s="16"/>
      <c r="CQ22" s="33" t="e">
        <f t="shared" si="18"/>
        <v>#DIV/0!</v>
      </c>
      <c r="CR22" s="32"/>
      <c r="CS22" s="33" t="str">
        <f t="shared" si="52"/>
        <v/>
      </c>
      <c r="CT22" s="33" t="str">
        <f t="shared" si="53"/>
        <v/>
      </c>
      <c r="CU22" s="33" t="str">
        <f t="shared" si="54"/>
        <v/>
      </c>
      <c r="CV22" s="33">
        <f t="shared" si="55"/>
        <v>0</v>
      </c>
      <c r="CW22" s="31">
        <f t="shared" si="9"/>
        <v>20191</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20192</v>
      </c>
      <c r="C23" s="31"/>
      <c r="D23" s="14">
        <v>901738.12666666659</v>
      </c>
      <c r="E23" s="14">
        <v>486560206.30000001</v>
      </c>
      <c r="F23" s="14">
        <v>425720270.19941795</v>
      </c>
      <c r="G23" s="33">
        <f t="shared" si="10"/>
        <v>472.11075766877076</v>
      </c>
      <c r="H23" s="32"/>
      <c r="I23" s="33">
        <f t="shared" si="20"/>
        <v>3630040.3608333333</v>
      </c>
      <c r="J23" s="33">
        <f t="shared" si="21"/>
        <v>1990301015.3999999</v>
      </c>
      <c r="K23" s="33">
        <f t="shared" si="22"/>
        <v>1727064320.002213</v>
      </c>
      <c r="L23" s="33">
        <f t="shared" si="23"/>
        <v>475.77000482874467</v>
      </c>
      <c r="M23" s="31">
        <f t="shared" si="1"/>
        <v>20192</v>
      </c>
      <c r="N23" s="31"/>
      <c r="O23" s="16">
        <v>509755.93583333335</v>
      </c>
      <c r="P23" s="16">
        <v>18354857.699999999</v>
      </c>
      <c r="Q23" s="16">
        <v>18175017.809066445</v>
      </c>
      <c r="R23" s="33">
        <f t="shared" si="11"/>
        <v>35.654352468411147</v>
      </c>
      <c r="S23" s="32"/>
      <c r="T23" s="33">
        <f t="shared" si="24"/>
        <v>2053211.5024999999</v>
      </c>
      <c r="U23" s="33">
        <f t="shared" si="25"/>
        <v>75171811.480000004</v>
      </c>
      <c r="V23" s="33">
        <f t="shared" si="26"/>
        <v>73848850.08941026</v>
      </c>
      <c r="W23" s="33">
        <f t="shared" si="27"/>
        <v>35.967483135318282</v>
      </c>
      <c r="X23" s="31">
        <f t="shared" si="2"/>
        <v>20192</v>
      </c>
      <c r="Y23" s="31"/>
      <c r="Z23" s="16">
        <v>883063.755</v>
      </c>
      <c r="AA23" s="16">
        <v>80028783.230000004</v>
      </c>
      <c r="AB23" s="16">
        <v>89158528.587239027</v>
      </c>
      <c r="AC23" s="33">
        <f t="shared" si="12"/>
        <v>100.96499610862075</v>
      </c>
      <c r="AD23" s="32"/>
      <c r="AE23" s="33">
        <f t="shared" si="28"/>
        <v>3553666.4191666669</v>
      </c>
      <c r="AF23" s="33">
        <f t="shared" si="29"/>
        <v>286156968.76999998</v>
      </c>
      <c r="AG23" s="33">
        <f t="shared" si="30"/>
        <v>361315674.63911176</v>
      </c>
      <c r="AH23" s="33">
        <f t="shared" si="31"/>
        <v>101.67405491138926</v>
      </c>
      <c r="AI23" s="31">
        <f t="shared" si="3"/>
        <v>20192</v>
      </c>
      <c r="AJ23" s="31"/>
      <c r="AK23" s="16">
        <v>803494.13416666666</v>
      </c>
      <c r="AL23" s="16">
        <v>82595242.810000002</v>
      </c>
      <c r="AM23" s="16">
        <v>111134960.89298531</v>
      </c>
      <c r="AN23" s="33">
        <f t="shared" si="13"/>
        <v>138.31458895247252</v>
      </c>
      <c r="AO23" s="32"/>
      <c r="AP23" s="33">
        <f t="shared" si="32"/>
        <v>3228279.7983333338</v>
      </c>
      <c r="AQ23" s="33">
        <f t="shared" si="33"/>
        <v>329896089.11000001</v>
      </c>
      <c r="AR23" s="33">
        <f t="shared" si="34"/>
        <v>441958992.82255876</v>
      </c>
      <c r="AS23" s="33">
        <f t="shared" si="35"/>
        <v>136.90231963497379</v>
      </c>
      <c r="AT23" s="31">
        <f t="shared" si="4"/>
        <v>20192</v>
      </c>
      <c r="AU23" s="31"/>
      <c r="AV23" s="16">
        <v>773710.94499999995</v>
      </c>
      <c r="AW23" s="16">
        <v>318403728.72000003</v>
      </c>
      <c r="AX23" s="16">
        <v>325510131.68525183</v>
      </c>
      <c r="AY23" s="33">
        <f t="shared" si="14"/>
        <v>420.71284345764536</v>
      </c>
      <c r="AZ23" s="32"/>
      <c r="BA23" s="33">
        <f t="shared" si="36"/>
        <v>3109616.6850000001</v>
      </c>
      <c r="BB23" s="33">
        <f t="shared" si="37"/>
        <v>1314383994.5599999</v>
      </c>
      <c r="BC23" s="33">
        <f t="shared" si="38"/>
        <v>1291557693.8821616</v>
      </c>
      <c r="BD23" s="33">
        <f t="shared" si="39"/>
        <v>415.34305501777999</v>
      </c>
      <c r="BE23" s="31">
        <f t="shared" si="5"/>
        <v>20192</v>
      </c>
      <c r="BF23" s="31"/>
      <c r="BG23" s="16">
        <v>969346.00250000006</v>
      </c>
      <c r="BH23" s="16">
        <v>19087862.75</v>
      </c>
      <c r="BI23" s="16">
        <v>20053397.005524084</v>
      </c>
      <c r="BJ23" s="33">
        <f t="shared" si="15"/>
        <v>20.68755320990152</v>
      </c>
      <c r="BK23" s="32"/>
      <c r="BL23" s="33">
        <f t="shared" si="40"/>
        <v>3887877.9249999998</v>
      </c>
      <c r="BM23" s="33">
        <f t="shared" si="41"/>
        <v>76143484.069999993</v>
      </c>
      <c r="BN23" s="33">
        <f t="shared" si="42"/>
        <v>79995950.392028213</v>
      </c>
      <c r="BO23" s="33">
        <f t="shared" si="43"/>
        <v>20.575736156126407</v>
      </c>
      <c r="BP23" s="31">
        <f t="shared" si="6"/>
        <v>20192</v>
      </c>
      <c r="BQ23" s="31"/>
      <c r="BR23" s="16">
        <v>55667.427500000005</v>
      </c>
      <c r="BS23" s="16">
        <v>201097.56999999998</v>
      </c>
      <c r="BT23" s="16">
        <v>140374.35629435175</v>
      </c>
      <c r="BU23" s="33">
        <f t="shared" si="16"/>
        <v>2.5216605580409071</v>
      </c>
      <c r="BV23" s="32"/>
      <c r="BW23" s="33">
        <f t="shared" si="44"/>
        <v>223654.28250000003</v>
      </c>
      <c r="BX23" s="33">
        <f t="shared" si="45"/>
        <v>813979.2</v>
      </c>
      <c r="BY23" s="33">
        <f t="shared" si="46"/>
        <v>561976.32314864127</v>
      </c>
      <c r="BZ23" s="33">
        <f t="shared" si="47"/>
        <v>2.5127009278198873</v>
      </c>
      <c r="CA23" s="31">
        <f t="shared" si="7"/>
        <v>20192</v>
      </c>
      <c r="CB23" s="31"/>
      <c r="CC23" s="16"/>
      <c r="CD23" s="16"/>
      <c r="CE23" s="16"/>
      <c r="CF23" s="33" t="e">
        <f t="shared" si="17"/>
        <v>#DIV/0!</v>
      </c>
      <c r="CG23" s="32"/>
      <c r="CH23" s="33" t="str">
        <f t="shared" si="48"/>
        <v/>
      </c>
      <c r="CI23" s="33" t="str">
        <f t="shared" si="49"/>
        <v/>
      </c>
      <c r="CJ23" s="33" t="str">
        <f t="shared" si="50"/>
        <v/>
      </c>
      <c r="CK23" s="33">
        <f t="shared" si="51"/>
        <v>0</v>
      </c>
      <c r="CL23" s="31">
        <f t="shared" si="8"/>
        <v>20192</v>
      </c>
      <c r="CM23" s="31"/>
      <c r="CN23" s="16"/>
      <c r="CO23" s="16"/>
      <c r="CP23" s="16"/>
      <c r="CQ23" s="33" t="e">
        <f t="shared" si="18"/>
        <v>#DIV/0!</v>
      </c>
      <c r="CR23" s="32"/>
      <c r="CS23" s="33" t="str">
        <f t="shared" si="52"/>
        <v/>
      </c>
      <c r="CT23" s="33" t="str">
        <f t="shared" si="53"/>
        <v/>
      </c>
      <c r="CU23" s="33" t="str">
        <f t="shared" si="54"/>
        <v/>
      </c>
      <c r="CV23" s="33">
        <f t="shared" si="55"/>
        <v>0</v>
      </c>
      <c r="CW23" s="31">
        <f t="shared" si="9"/>
        <v>20192</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20193</v>
      </c>
      <c r="C24" s="31"/>
      <c r="D24" s="14">
        <v>895378.79499999993</v>
      </c>
      <c r="E24" s="14">
        <v>476802209.72000003</v>
      </c>
      <c r="F24" s="14">
        <v>418114931.84444779</v>
      </c>
      <c r="G24" s="33">
        <f t="shared" si="10"/>
        <v>466.96988378471463</v>
      </c>
      <c r="H24" s="32"/>
      <c r="I24" s="33">
        <f t="shared" si="20"/>
        <v>3610739.3466666667</v>
      </c>
      <c r="J24" s="33">
        <f t="shared" si="21"/>
        <v>1959334865.9300001</v>
      </c>
      <c r="K24" s="33">
        <f t="shared" si="22"/>
        <v>1706581405.6580632</v>
      </c>
      <c r="L24" s="33">
        <f t="shared" si="23"/>
        <v>472.6404322797577</v>
      </c>
      <c r="M24" s="31">
        <f t="shared" si="1"/>
        <v>20193</v>
      </c>
      <c r="N24" s="31"/>
      <c r="O24" s="16">
        <v>506955.48</v>
      </c>
      <c r="P24" s="16">
        <v>17991170.800000001</v>
      </c>
      <c r="Q24" s="16">
        <v>17860802.921853058</v>
      </c>
      <c r="R24" s="33">
        <f t="shared" si="11"/>
        <v>35.231501830995214</v>
      </c>
      <c r="S24" s="32"/>
      <c r="T24" s="33">
        <f t="shared" si="24"/>
        <v>2042903.5491666666</v>
      </c>
      <c r="U24" s="33">
        <f t="shared" si="25"/>
        <v>73989440.359999999</v>
      </c>
      <c r="V24" s="33">
        <f t="shared" si="26"/>
        <v>72954843.615952969</v>
      </c>
      <c r="W24" s="33">
        <f t="shared" si="27"/>
        <v>35.711349978178085</v>
      </c>
      <c r="X24" s="31">
        <f t="shared" si="2"/>
        <v>20193</v>
      </c>
      <c r="Y24" s="31"/>
      <c r="Z24" s="16">
        <v>877055.80666666664</v>
      </c>
      <c r="AA24" s="16">
        <v>81242473.280000001</v>
      </c>
      <c r="AB24" s="16">
        <v>87740913.37672621</v>
      </c>
      <c r="AC24" s="33">
        <f t="shared" si="12"/>
        <v>100.04028558934446</v>
      </c>
      <c r="AD24" s="32"/>
      <c r="AE24" s="33">
        <f t="shared" si="28"/>
        <v>3535714.2316666669</v>
      </c>
      <c r="AF24" s="33">
        <f t="shared" si="29"/>
        <v>300391634.13999999</v>
      </c>
      <c r="AG24" s="33">
        <f t="shared" si="30"/>
        <v>357654186.54717958</v>
      </c>
      <c r="AH24" s="33">
        <f t="shared" si="31"/>
        <v>101.15472097375594</v>
      </c>
      <c r="AI24" s="31">
        <f t="shared" si="3"/>
        <v>20193</v>
      </c>
      <c r="AJ24" s="31"/>
      <c r="AK24" s="16">
        <v>799203.4916666667</v>
      </c>
      <c r="AL24" s="16">
        <v>82153978.609999999</v>
      </c>
      <c r="AM24" s="16">
        <v>110671833.51090212</v>
      </c>
      <c r="AN24" s="33">
        <f t="shared" si="13"/>
        <v>138.47766515647473</v>
      </c>
      <c r="AO24" s="32"/>
      <c r="AP24" s="33">
        <f t="shared" si="32"/>
        <v>3215641.2641666667</v>
      </c>
      <c r="AQ24" s="33">
        <f t="shared" si="33"/>
        <v>329740991.12</v>
      </c>
      <c r="AR24" s="33">
        <f t="shared" si="34"/>
        <v>442634513.65536743</v>
      </c>
      <c r="AS24" s="33">
        <f t="shared" si="35"/>
        <v>137.65046449299007</v>
      </c>
      <c r="AT24" s="31">
        <f t="shared" si="4"/>
        <v>20193</v>
      </c>
      <c r="AU24" s="31"/>
      <c r="AV24" s="16">
        <v>769492.42166666675</v>
      </c>
      <c r="AW24" s="16">
        <v>313477781.88999999</v>
      </c>
      <c r="AX24" s="16">
        <v>324017189.68000883</v>
      </c>
      <c r="AY24" s="33">
        <f t="shared" si="14"/>
        <v>421.07911729424217</v>
      </c>
      <c r="AZ24" s="32"/>
      <c r="BA24" s="33">
        <f t="shared" si="36"/>
        <v>3096862.8241666667</v>
      </c>
      <c r="BB24" s="33">
        <f t="shared" si="37"/>
        <v>1294039263.1300001</v>
      </c>
      <c r="BC24" s="33">
        <f t="shared" si="38"/>
        <v>1294671990.816679</v>
      </c>
      <c r="BD24" s="33">
        <f t="shared" si="39"/>
        <v>418.0591987199374</v>
      </c>
      <c r="BE24" s="31">
        <f t="shared" si="5"/>
        <v>20193</v>
      </c>
      <c r="BF24" s="31"/>
      <c r="BG24" s="16">
        <v>963749.54916666658</v>
      </c>
      <c r="BH24" s="16">
        <v>19062475.57</v>
      </c>
      <c r="BI24" s="16">
        <v>20026594.655134417</v>
      </c>
      <c r="BJ24" s="33">
        <f t="shared" si="15"/>
        <v>20.779874473042277</v>
      </c>
      <c r="BK24" s="32"/>
      <c r="BL24" s="33">
        <f t="shared" si="40"/>
        <v>3875516.7008333327</v>
      </c>
      <c r="BM24" s="33">
        <f t="shared" si="41"/>
        <v>76183619.319999993</v>
      </c>
      <c r="BN24" s="33">
        <f t="shared" si="42"/>
        <v>80037563.37748</v>
      </c>
      <c r="BO24" s="33">
        <f t="shared" si="43"/>
        <v>20.652101269559729</v>
      </c>
      <c r="BP24" s="31">
        <f t="shared" si="6"/>
        <v>20193</v>
      </c>
      <c r="BQ24" s="31"/>
      <c r="BR24" s="16">
        <v>55269.02583333334</v>
      </c>
      <c r="BS24" s="16">
        <v>199751.94</v>
      </c>
      <c r="BT24" s="16">
        <v>139860.1378678786</v>
      </c>
      <c r="BU24" s="33">
        <f t="shared" si="16"/>
        <v>2.5305337982549974</v>
      </c>
      <c r="BV24" s="32"/>
      <c r="BW24" s="33">
        <f t="shared" si="44"/>
        <v>222652.9941666667</v>
      </c>
      <c r="BX24" s="33">
        <f t="shared" si="45"/>
        <v>808317.52</v>
      </c>
      <c r="BY24" s="33">
        <f t="shared" si="46"/>
        <v>560877.61381159746</v>
      </c>
      <c r="BZ24" s="33">
        <f t="shared" si="47"/>
        <v>2.5190661186067547</v>
      </c>
      <c r="CA24" s="31">
        <f t="shared" si="7"/>
        <v>20193</v>
      </c>
      <c r="CB24" s="31"/>
      <c r="CC24" s="16"/>
      <c r="CD24" s="16"/>
      <c r="CE24" s="16"/>
      <c r="CF24" s="33" t="e">
        <f t="shared" si="17"/>
        <v>#DIV/0!</v>
      </c>
      <c r="CG24" s="32"/>
      <c r="CH24" s="33" t="str">
        <f t="shared" si="48"/>
        <v/>
      </c>
      <c r="CI24" s="33" t="str">
        <f t="shared" si="49"/>
        <v/>
      </c>
      <c r="CJ24" s="33" t="str">
        <f t="shared" si="50"/>
        <v/>
      </c>
      <c r="CK24" s="33">
        <f t="shared" si="51"/>
        <v>0</v>
      </c>
      <c r="CL24" s="31">
        <f t="shared" si="8"/>
        <v>20193</v>
      </c>
      <c r="CM24" s="31"/>
      <c r="CN24" s="16"/>
      <c r="CO24" s="16"/>
      <c r="CP24" s="16"/>
      <c r="CQ24" s="33" t="e">
        <f t="shared" si="18"/>
        <v>#DIV/0!</v>
      </c>
      <c r="CR24" s="32"/>
      <c r="CS24" s="33" t="str">
        <f t="shared" si="52"/>
        <v/>
      </c>
      <c r="CT24" s="33" t="str">
        <f t="shared" si="53"/>
        <v/>
      </c>
      <c r="CU24" s="33" t="str">
        <f t="shared" si="54"/>
        <v/>
      </c>
      <c r="CV24" s="33">
        <f t="shared" si="55"/>
        <v>0</v>
      </c>
      <c r="CW24" s="31">
        <f t="shared" si="9"/>
        <v>20193</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20194</v>
      </c>
      <c r="C25" s="31"/>
      <c r="D25" s="14">
        <v>890456.56499999994</v>
      </c>
      <c r="E25" s="14">
        <v>471136723.49000001</v>
      </c>
      <c r="F25" s="14">
        <v>413146782.91260207</v>
      </c>
      <c r="G25" s="33">
        <f t="shared" si="10"/>
        <v>463.97185348687066</v>
      </c>
      <c r="H25" s="32"/>
      <c r="I25" s="33">
        <f t="shared" si="20"/>
        <v>3592597.4283333332</v>
      </c>
      <c r="J25" s="33">
        <f t="shared" si="21"/>
        <v>1929354282.6300001</v>
      </c>
      <c r="K25" s="33">
        <f t="shared" si="22"/>
        <v>1686787062.4368024</v>
      </c>
      <c r="L25" s="33">
        <f t="shared" si="23"/>
        <v>469.51741632218767</v>
      </c>
      <c r="M25" s="31">
        <f t="shared" si="1"/>
        <v>20194</v>
      </c>
      <c r="N25" s="31"/>
      <c r="O25" s="16">
        <v>504923.33333333331</v>
      </c>
      <c r="P25" s="16">
        <v>17786179.530000001</v>
      </c>
      <c r="Q25" s="16">
        <v>17661655.519288216</v>
      </c>
      <c r="R25" s="33">
        <f t="shared" si="11"/>
        <v>34.978885611587664</v>
      </c>
      <c r="S25" s="32"/>
      <c r="T25" s="33">
        <f t="shared" si="24"/>
        <v>2033656.8883333332</v>
      </c>
      <c r="U25" s="33">
        <f t="shared" si="25"/>
        <v>72833607.370000005</v>
      </c>
      <c r="V25" s="33">
        <f t="shared" si="26"/>
        <v>72084638.984616801</v>
      </c>
      <c r="W25" s="33">
        <f t="shared" si="27"/>
        <v>35.445821464845615</v>
      </c>
      <c r="X25" s="31">
        <f t="shared" si="2"/>
        <v>20194</v>
      </c>
      <c r="Y25" s="31"/>
      <c r="Z25" s="16">
        <v>872484.91333333345</v>
      </c>
      <c r="AA25" s="16">
        <v>80438153.549999997</v>
      </c>
      <c r="AB25" s="16">
        <v>86872257.550433248</v>
      </c>
      <c r="AC25" s="33">
        <f t="shared" si="12"/>
        <v>99.568779038868769</v>
      </c>
      <c r="AD25" s="32"/>
      <c r="AE25" s="33">
        <f t="shared" si="28"/>
        <v>3518711.3425000003</v>
      </c>
      <c r="AF25" s="33">
        <f t="shared" si="29"/>
        <v>314125008.5</v>
      </c>
      <c r="AG25" s="33">
        <f t="shared" si="30"/>
        <v>353861979.64587736</v>
      </c>
      <c r="AH25" s="33">
        <f t="shared" si="31"/>
        <v>100.56578821110767</v>
      </c>
      <c r="AI25" s="31">
        <f t="shared" si="3"/>
        <v>20194</v>
      </c>
      <c r="AJ25" s="31"/>
      <c r="AK25" s="16">
        <v>796014.77166666661</v>
      </c>
      <c r="AL25" s="16">
        <v>82190086.010000005</v>
      </c>
      <c r="AM25" s="16">
        <v>110720474.76028436</v>
      </c>
      <c r="AN25" s="33">
        <f t="shared" si="13"/>
        <v>139.09349261002015</v>
      </c>
      <c r="AO25" s="32"/>
      <c r="AP25" s="33">
        <f t="shared" si="32"/>
        <v>3204158.9783333335</v>
      </c>
      <c r="AQ25" s="33">
        <f t="shared" si="33"/>
        <v>329551406.17000002</v>
      </c>
      <c r="AR25" s="33">
        <f t="shared" si="34"/>
        <v>443252380.78995013</v>
      </c>
      <c r="AS25" s="33">
        <f t="shared" si="35"/>
        <v>138.33657561539317</v>
      </c>
      <c r="AT25" s="31">
        <f t="shared" si="4"/>
        <v>20194</v>
      </c>
      <c r="AU25" s="31"/>
      <c r="AV25" s="16">
        <v>766541.34583333333</v>
      </c>
      <c r="AW25" s="16">
        <v>313780049.02999997</v>
      </c>
      <c r="AX25" s="16">
        <v>324329619.31583476</v>
      </c>
      <c r="AY25" s="33">
        <f t="shared" si="14"/>
        <v>423.10779591835967</v>
      </c>
      <c r="AZ25" s="32"/>
      <c r="BA25" s="33">
        <f t="shared" si="36"/>
        <v>3085489.52</v>
      </c>
      <c r="BB25" s="33">
        <f t="shared" si="37"/>
        <v>1273871744.74</v>
      </c>
      <c r="BC25" s="33">
        <f t="shared" si="38"/>
        <v>1297672476.8975394</v>
      </c>
      <c r="BD25" s="33">
        <f t="shared" si="39"/>
        <v>420.57264122470247</v>
      </c>
      <c r="BE25" s="31">
        <f t="shared" si="5"/>
        <v>20194</v>
      </c>
      <c r="BF25" s="31"/>
      <c r="BG25" s="16">
        <v>960506.84833333339</v>
      </c>
      <c r="BH25" s="16">
        <v>19091796.170000002</v>
      </c>
      <c r="BI25" s="16">
        <v>20057245.538823176</v>
      </c>
      <c r="BJ25" s="33">
        <f t="shared" si="15"/>
        <v>20.881939127895244</v>
      </c>
      <c r="BK25" s="32"/>
      <c r="BL25" s="33">
        <f t="shared" si="40"/>
        <v>3864292.4375</v>
      </c>
      <c r="BM25" s="33">
        <f t="shared" si="41"/>
        <v>76284162.930000007</v>
      </c>
      <c r="BN25" s="33">
        <f t="shared" si="42"/>
        <v>80142614.381972864</v>
      </c>
      <c r="BO25" s="33">
        <f t="shared" si="43"/>
        <v>20.739272629641107</v>
      </c>
      <c r="BP25" s="31">
        <f t="shared" si="6"/>
        <v>20194</v>
      </c>
      <c r="BQ25" s="31"/>
      <c r="BR25" s="16">
        <v>54993.393333333333</v>
      </c>
      <c r="BS25" s="16">
        <v>199202.02</v>
      </c>
      <c r="BT25" s="16">
        <v>139476.18809563859</v>
      </c>
      <c r="BU25" s="33">
        <f t="shared" si="16"/>
        <v>2.5362353483122382</v>
      </c>
      <c r="BV25" s="32"/>
      <c r="BW25" s="33">
        <f t="shared" si="44"/>
        <v>221711.65250000003</v>
      </c>
      <c r="BX25" s="33">
        <f t="shared" si="45"/>
        <v>803100.28</v>
      </c>
      <c r="BY25" s="33">
        <f t="shared" si="46"/>
        <v>560051.92429798585</v>
      </c>
      <c r="BZ25" s="33">
        <f t="shared" si="47"/>
        <v>2.5260373912822907</v>
      </c>
      <c r="CA25" s="31">
        <f t="shared" si="7"/>
        <v>20194</v>
      </c>
      <c r="CB25" s="31"/>
      <c r="CC25" s="16"/>
      <c r="CD25" s="16"/>
      <c r="CE25" s="16"/>
      <c r="CF25" s="33" t="e">
        <f t="shared" si="17"/>
        <v>#DIV/0!</v>
      </c>
      <c r="CG25" s="32"/>
      <c r="CH25" s="33" t="str">
        <f t="shared" si="48"/>
        <v/>
      </c>
      <c r="CI25" s="33" t="str">
        <f t="shared" si="49"/>
        <v/>
      </c>
      <c r="CJ25" s="33" t="str">
        <f t="shared" si="50"/>
        <v/>
      </c>
      <c r="CK25" s="33">
        <f t="shared" si="51"/>
        <v>0</v>
      </c>
      <c r="CL25" s="31">
        <f t="shared" si="8"/>
        <v>20194</v>
      </c>
      <c r="CM25" s="31"/>
      <c r="CN25" s="16"/>
      <c r="CO25" s="16"/>
      <c r="CP25" s="16"/>
      <c r="CQ25" s="33" t="e">
        <f t="shared" si="18"/>
        <v>#DIV/0!</v>
      </c>
      <c r="CR25" s="32"/>
      <c r="CS25" s="33" t="str">
        <f t="shared" si="52"/>
        <v/>
      </c>
      <c r="CT25" s="33" t="str">
        <f t="shared" si="53"/>
        <v/>
      </c>
      <c r="CU25" s="33" t="str">
        <f t="shared" si="54"/>
        <v/>
      </c>
      <c r="CV25" s="33">
        <f t="shared" si="55"/>
        <v>0</v>
      </c>
      <c r="CW25" s="31">
        <f t="shared" si="9"/>
        <v>20194</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20201</v>
      </c>
      <c r="C26" s="31"/>
      <c r="D26" s="14">
        <v>890313.22000000009</v>
      </c>
      <c r="E26" s="14">
        <v>470359745.55000001</v>
      </c>
      <c r="F26" s="14">
        <v>412465439.42927694</v>
      </c>
      <c r="G26" s="33">
        <f t="shared" si="10"/>
        <v>463.28127019081768</v>
      </c>
      <c r="H26" s="32"/>
      <c r="I26" s="33">
        <f t="shared" si="20"/>
        <v>3577886.7066666665</v>
      </c>
      <c r="J26" s="33">
        <f t="shared" si="21"/>
        <v>1904858885.0599999</v>
      </c>
      <c r="K26" s="33">
        <f t="shared" si="22"/>
        <v>1669447424.3857446</v>
      </c>
      <c r="L26" s="33">
        <f t="shared" si="23"/>
        <v>466.60153360224285</v>
      </c>
      <c r="M26" s="31">
        <f t="shared" si="1"/>
        <v>20201</v>
      </c>
      <c r="N26" s="31"/>
      <c r="O26" s="16">
        <v>504985.36833333335</v>
      </c>
      <c r="P26" s="16">
        <v>17754003.260000002</v>
      </c>
      <c r="Q26" s="16">
        <v>17629704.520723455</v>
      </c>
      <c r="R26" s="33">
        <f t="shared" si="11"/>
        <v>34.911317488086802</v>
      </c>
      <c r="S26" s="32"/>
      <c r="T26" s="33">
        <f t="shared" si="24"/>
        <v>2026620.1174999999</v>
      </c>
      <c r="U26" s="33">
        <f t="shared" si="25"/>
        <v>71886211.290000007</v>
      </c>
      <c r="V26" s="33">
        <f t="shared" si="26"/>
        <v>71327180.770931184</v>
      </c>
      <c r="W26" s="33">
        <f t="shared" si="27"/>
        <v>35.195140991158738</v>
      </c>
      <c r="X26" s="31">
        <f t="shared" si="2"/>
        <v>20201</v>
      </c>
      <c r="Y26" s="31"/>
      <c r="Z26" s="16">
        <v>872615.96749999991</v>
      </c>
      <c r="AA26" s="16">
        <v>80449437.150000006</v>
      </c>
      <c r="AB26" s="16">
        <v>86884443.705411166</v>
      </c>
      <c r="AC26" s="33">
        <f t="shared" si="12"/>
        <v>99.567790346915899</v>
      </c>
      <c r="AD26" s="32"/>
      <c r="AE26" s="33">
        <f t="shared" si="28"/>
        <v>3505220.4424999999</v>
      </c>
      <c r="AF26" s="33">
        <f t="shared" si="29"/>
        <v>322158847.21000004</v>
      </c>
      <c r="AG26" s="33">
        <f t="shared" si="30"/>
        <v>350656143.21980965</v>
      </c>
      <c r="AH26" s="33">
        <f t="shared" si="31"/>
        <v>100.03825692906037</v>
      </c>
      <c r="AI26" s="31">
        <f t="shared" si="3"/>
        <v>20201</v>
      </c>
      <c r="AJ26" s="31"/>
      <c r="AK26" s="16">
        <v>797155.75</v>
      </c>
      <c r="AL26" s="16">
        <v>83070455.480000004</v>
      </c>
      <c r="AM26" s="16">
        <v>111906444.14436556</v>
      </c>
      <c r="AN26" s="33">
        <f t="shared" si="13"/>
        <v>140.38215762022111</v>
      </c>
      <c r="AO26" s="32"/>
      <c r="AP26" s="33">
        <f t="shared" si="32"/>
        <v>3195868.1475</v>
      </c>
      <c r="AQ26" s="33">
        <f t="shared" si="33"/>
        <v>330009762.91000003</v>
      </c>
      <c r="AR26" s="33">
        <f t="shared" si="34"/>
        <v>444433713.30853736</v>
      </c>
      <c r="AS26" s="33">
        <f t="shared" si="35"/>
        <v>139.06509680513577</v>
      </c>
      <c r="AT26" s="31">
        <f t="shared" si="4"/>
        <v>20201</v>
      </c>
      <c r="AU26" s="31"/>
      <c r="AV26" s="16">
        <v>767610.5</v>
      </c>
      <c r="AW26" s="16">
        <v>317717918.68000001</v>
      </c>
      <c r="AX26" s="16">
        <v>328399883.72062421</v>
      </c>
      <c r="AY26" s="33">
        <f t="shared" si="14"/>
        <v>427.82098957820955</v>
      </c>
      <c r="AZ26" s="32"/>
      <c r="BA26" s="33">
        <f t="shared" si="36"/>
        <v>3077355.2124999999</v>
      </c>
      <c r="BB26" s="33">
        <f t="shared" si="37"/>
        <v>1263379478.3199999</v>
      </c>
      <c r="BC26" s="33">
        <f t="shared" si="38"/>
        <v>1302256824.4017196</v>
      </c>
      <c r="BD26" s="33">
        <f t="shared" si="39"/>
        <v>423.17403564984767</v>
      </c>
      <c r="BE26" s="31">
        <f t="shared" si="5"/>
        <v>20201</v>
      </c>
      <c r="BF26" s="31"/>
      <c r="BG26" s="16">
        <v>963301.95750000002</v>
      </c>
      <c r="BH26" s="16">
        <v>19249834.579999998</v>
      </c>
      <c r="BI26" s="16">
        <v>20223096.599796981</v>
      </c>
      <c r="BJ26" s="33">
        <f t="shared" si="15"/>
        <v>20.993517600940805</v>
      </c>
      <c r="BK26" s="32"/>
      <c r="BL26" s="33">
        <f t="shared" si="40"/>
        <v>3856904.3575000004</v>
      </c>
      <c r="BM26" s="33">
        <f t="shared" si="41"/>
        <v>76491969.069999993</v>
      </c>
      <c r="BN26" s="33">
        <f t="shared" si="42"/>
        <v>80360333.799278662</v>
      </c>
      <c r="BO26" s="33">
        <f t="shared" si="43"/>
        <v>20.835448937957921</v>
      </c>
      <c r="BP26" s="31">
        <f t="shared" si="6"/>
        <v>20201</v>
      </c>
      <c r="BQ26" s="31"/>
      <c r="BR26" s="16">
        <v>54966.056666666664</v>
      </c>
      <c r="BS26" s="16">
        <v>199589.31</v>
      </c>
      <c r="BT26" s="16">
        <v>139748.79066314086</v>
      </c>
      <c r="BU26" s="33">
        <f t="shared" si="16"/>
        <v>2.5424561836521447</v>
      </c>
      <c r="BV26" s="32"/>
      <c r="BW26" s="33">
        <f t="shared" si="44"/>
        <v>220895.90333333335</v>
      </c>
      <c r="BX26" s="33">
        <f t="shared" si="45"/>
        <v>799640.84000000008</v>
      </c>
      <c r="BY26" s="33">
        <f t="shared" si="46"/>
        <v>559459.47292100976</v>
      </c>
      <c r="BZ26" s="33">
        <f t="shared" si="47"/>
        <v>2.5326837867010226</v>
      </c>
      <c r="CA26" s="31">
        <f t="shared" si="7"/>
        <v>20201</v>
      </c>
      <c r="CB26" s="31"/>
      <c r="CC26" s="16"/>
      <c r="CD26" s="16"/>
      <c r="CE26" s="16"/>
      <c r="CF26" s="33" t="e">
        <f t="shared" si="17"/>
        <v>#DIV/0!</v>
      </c>
      <c r="CG26" s="32"/>
      <c r="CH26" s="33" t="str">
        <f t="shared" si="48"/>
        <v/>
      </c>
      <c r="CI26" s="33" t="str">
        <f t="shared" si="49"/>
        <v/>
      </c>
      <c r="CJ26" s="33" t="str">
        <f t="shared" si="50"/>
        <v/>
      </c>
      <c r="CK26" s="33">
        <f t="shared" si="51"/>
        <v>0</v>
      </c>
      <c r="CL26" s="31">
        <f t="shared" si="8"/>
        <v>20201</v>
      </c>
      <c r="CM26" s="31"/>
      <c r="CN26" s="16"/>
      <c r="CO26" s="16"/>
      <c r="CP26" s="16"/>
      <c r="CQ26" s="33" t="e">
        <f t="shared" si="18"/>
        <v>#DIV/0!</v>
      </c>
      <c r="CR26" s="32"/>
      <c r="CS26" s="33" t="str">
        <f t="shared" si="52"/>
        <v/>
      </c>
      <c r="CT26" s="33" t="str">
        <f t="shared" si="53"/>
        <v/>
      </c>
      <c r="CU26" s="33" t="str">
        <f t="shared" si="54"/>
        <v/>
      </c>
      <c r="CV26" s="33">
        <f t="shared" si="55"/>
        <v>0</v>
      </c>
      <c r="CW26" s="31">
        <f t="shared" si="9"/>
        <v>20201</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20202</v>
      </c>
      <c r="C27" s="31"/>
      <c r="D27" s="14">
        <v>894988.84666666668</v>
      </c>
      <c r="E27" s="14">
        <v>471111062.22000003</v>
      </c>
      <c r="F27" s="14">
        <v>413124280.16421217</v>
      </c>
      <c r="G27" s="33">
        <f t="shared" si="10"/>
        <v>461.59712682774682</v>
      </c>
      <c r="H27" s="32"/>
      <c r="I27" s="33">
        <f t="shared" si="20"/>
        <v>3571137.4266666668</v>
      </c>
      <c r="J27" s="33">
        <f t="shared" si="21"/>
        <v>1889409740.98</v>
      </c>
      <c r="K27" s="33">
        <f t="shared" si="22"/>
        <v>1656851434.350539</v>
      </c>
      <c r="L27" s="33">
        <f t="shared" si="23"/>
        <v>463.9562235769402</v>
      </c>
      <c r="M27" s="31">
        <f t="shared" si="1"/>
        <v>20202</v>
      </c>
      <c r="N27" s="31"/>
      <c r="O27" s="16">
        <v>505638.63416666671</v>
      </c>
      <c r="P27" s="16">
        <v>17718760.530000001</v>
      </c>
      <c r="Q27" s="16">
        <v>17594708.530956827</v>
      </c>
      <c r="R27" s="33">
        <f t="shared" si="11"/>
        <v>34.797001933909435</v>
      </c>
      <c r="S27" s="32"/>
      <c r="T27" s="33">
        <f t="shared" si="24"/>
        <v>2022502.8158333334</v>
      </c>
      <c r="U27" s="33">
        <f t="shared" si="25"/>
        <v>71250114.120000005</v>
      </c>
      <c r="V27" s="33">
        <f t="shared" si="26"/>
        <v>70746871.492821559</v>
      </c>
      <c r="W27" s="33">
        <f t="shared" si="27"/>
        <v>34.979863038495537</v>
      </c>
      <c r="X27" s="31">
        <f t="shared" si="2"/>
        <v>20202</v>
      </c>
      <c r="Y27" s="31"/>
      <c r="Z27" s="16">
        <v>877115.44499999995</v>
      </c>
      <c r="AA27" s="16">
        <v>80631510.840000004</v>
      </c>
      <c r="AB27" s="16">
        <v>87081081.144148558</v>
      </c>
      <c r="AC27" s="33">
        <f t="shared" si="12"/>
        <v>99.281208238384821</v>
      </c>
      <c r="AD27" s="32"/>
      <c r="AE27" s="33">
        <f t="shared" si="28"/>
        <v>3499272.1324999998</v>
      </c>
      <c r="AF27" s="33">
        <f t="shared" si="29"/>
        <v>322761574.81999999</v>
      </c>
      <c r="AG27" s="33">
        <f t="shared" si="30"/>
        <v>348578695.77671921</v>
      </c>
      <c r="AH27" s="33">
        <f t="shared" si="31"/>
        <v>99.614629150800752</v>
      </c>
      <c r="AI27" s="31">
        <f t="shared" si="3"/>
        <v>20202</v>
      </c>
      <c r="AJ27" s="31"/>
      <c r="AK27" s="16">
        <v>802220.96833333327</v>
      </c>
      <c r="AL27" s="16">
        <v>84099103.450000003</v>
      </c>
      <c r="AM27" s="16">
        <v>113292163.48265345</v>
      </c>
      <c r="AN27" s="33">
        <f t="shared" si="13"/>
        <v>141.22313920318658</v>
      </c>
      <c r="AO27" s="32"/>
      <c r="AP27" s="33">
        <f t="shared" si="32"/>
        <v>3194594.9816666665</v>
      </c>
      <c r="AQ27" s="33">
        <f t="shared" si="33"/>
        <v>331513623.55000001</v>
      </c>
      <c r="AR27" s="33">
        <f t="shared" si="34"/>
        <v>446590915.89820546</v>
      </c>
      <c r="AS27" s="33">
        <f t="shared" si="35"/>
        <v>139.79578583862062</v>
      </c>
      <c r="AT27" s="31">
        <f t="shared" si="4"/>
        <v>20202</v>
      </c>
      <c r="AU27" s="31"/>
      <c r="AV27" s="16">
        <v>770694.78500000003</v>
      </c>
      <c r="AW27" s="16">
        <v>321105917.64999998</v>
      </c>
      <c r="AX27" s="16">
        <v>331901790.29365003</v>
      </c>
      <c r="AY27" s="33">
        <f t="shared" si="14"/>
        <v>430.65270033408882</v>
      </c>
      <c r="AZ27" s="32"/>
      <c r="BA27" s="33">
        <f t="shared" si="36"/>
        <v>3074339.0525000002</v>
      </c>
      <c r="BB27" s="33">
        <f t="shared" si="37"/>
        <v>1266081667.25</v>
      </c>
      <c r="BC27" s="33">
        <f t="shared" si="38"/>
        <v>1308648483.010118</v>
      </c>
      <c r="BD27" s="33">
        <f t="shared" si="39"/>
        <v>425.66823654207798</v>
      </c>
      <c r="BE27" s="31">
        <f t="shared" si="5"/>
        <v>20202</v>
      </c>
      <c r="BF27" s="31"/>
      <c r="BG27" s="16">
        <v>970942.5708333333</v>
      </c>
      <c r="BH27" s="16">
        <v>19433492.920000002</v>
      </c>
      <c r="BI27" s="16">
        <v>20415985.5681125</v>
      </c>
      <c r="BJ27" s="33">
        <f t="shared" si="15"/>
        <v>21.026975416877665</v>
      </c>
      <c r="BK27" s="32"/>
      <c r="BL27" s="33">
        <f t="shared" si="40"/>
        <v>3858500.9258333333</v>
      </c>
      <c r="BM27" s="33">
        <f t="shared" si="41"/>
        <v>76837599.24000001</v>
      </c>
      <c r="BN27" s="33">
        <f t="shared" si="42"/>
        <v>80722922.36186707</v>
      </c>
      <c r="BO27" s="33">
        <f t="shared" si="43"/>
        <v>20.920799013267846</v>
      </c>
      <c r="BP27" s="31">
        <f t="shared" si="6"/>
        <v>20202</v>
      </c>
      <c r="BQ27" s="31"/>
      <c r="BR27" s="16">
        <v>55489.664166666669</v>
      </c>
      <c r="BS27" s="16">
        <v>201543.37</v>
      </c>
      <c r="BT27" s="16">
        <v>141118.56050644757</v>
      </c>
      <c r="BU27" s="33">
        <f t="shared" si="16"/>
        <v>2.5431503799083948</v>
      </c>
      <c r="BV27" s="32"/>
      <c r="BW27" s="33">
        <f t="shared" si="44"/>
        <v>220718.14</v>
      </c>
      <c r="BX27" s="33">
        <f t="shared" si="45"/>
        <v>800086.64</v>
      </c>
      <c r="BY27" s="33">
        <f t="shared" si="46"/>
        <v>560203.67713310558</v>
      </c>
      <c r="BZ27" s="33">
        <f t="shared" si="47"/>
        <v>2.5380953152881114</v>
      </c>
      <c r="CA27" s="31">
        <f t="shared" si="7"/>
        <v>20202</v>
      </c>
      <c r="CB27" s="31"/>
      <c r="CC27" s="16"/>
      <c r="CD27" s="16"/>
      <c r="CE27" s="16"/>
      <c r="CF27" s="33" t="e">
        <f t="shared" si="17"/>
        <v>#DIV/0!</v>
      </c>
      <c r="CG27" s="32"/>
      <c r="CH27" s="33" t="str">
        <f t="shared" si="48"/>
        <v/>
      </c>
      <c r="CI27" s="33" t="str">
        <f t="shared" si="49"/>
        <v/>
      </c>
      <c r="CJ27" s="33" t="str">
        <f t="shared" si="50"/>
        <v/>
      </c>
      <c r="CK27" s="33">
        <f t="shared" si="51"/>
        <v>0</v>
      </c>
      <c r="CL27" s="31">
        <f t="shared" si="8"/>
        <v>20202</v>
      </c>
      <c r="CM27" s="31"/>
      <c r="CN27" s="16"/>
      <c r="CO27" s="16"/>
      <c r="CP27" s="16"/>
      <c r="CQ27" s="33" t="e">
        <f t="shared" si="18"/>
        <v>#DIV/0!</v>
      </c>
      <c r="CR27" s="32"/>
      <c r="CS27" s="33" t="str">
        <f t="shared" si="52"/>
        <v/>
      </c>
      <c r="CT27" s="33" t="str">
        <f t="shared" si="53"/>
        <v/>
      </c>
      <c r="CU27" s="33" t="str">
        <f t="shared" si="54"/>
        <v/>
      </c>
      <c r="CV27" s="33">
        <f t="shared" si="55"/>
        <v>0</v>
      </c>
      <c r="CW27" s="31">
        <f t="shared" si="9"/>
        <v>20202</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20203</v>
      </c>
      <c r="C28" s="31"/>
      <c r="D28" s="14">
        <v>885217.78916666668</v>
      </c>
      <c r="E28" s="14">
        <v>458891872.89999998</v>
      </c>
      <c r="F28" s="14">
        <v>402674962.89002204</v>
      </c>
      <c r="G28" s="33">
        <f t="shared" si="10"/>
        <v>454.88801492466092</v>
      </c>
      <c r="H28" s="32"/>
      <c r="I28" s="33">
        <f t="shared" si="20"/>
        <v>3560976.4208333334</v>
      </c>
      <c r="J28" s="33">
        <f t="shared" si="21"/>
        <v>1871499404.1599998</v>
      </c>
      <c r="K28" s="33">
        <f t="shared" si="22"/>
        <v>1641411465.3961132</v>
      </c>
      <c r="L28" s="33">
        <f t="shared" si="23"/>
        <v>460.94421063647286</v>
      </c>
      <c r="M28" s="31">
        <f t="shared" si="1"/>
        <v>20203</v>
      </c>
      <c r="N28" s="31"/>
      <c r="O28" s="16">
        <v>501548.47833333333</v>
      </c>
      <c r="P28" s="16">
        <v>17350667.390000001</v>
      </c>
      <c r="Q28" s="16">
        <v>17229192.472450413</v>
      </c>
      <c r="R28" s="33">
        <f t="shared" si="11"/>
        <v>34.351998294768521</v>
      </c>
      <c r="S28" s="32"/>
      <c r="T28" s="33">
        <f t="shared" si="24"/>
        <v>2017095.8141666667</v>
      </c>
      <c r="U28" s="33">
        <f t="shared" si="25"/>
        <v>70609610.710000008</v>
      </c>
      <c r="V28" s="33">
        <f t="shared" si="26"/>
        <v>70115261.043418914</v>
      </c>
      <c r="W28" s="33">
        <f t="shared" si="27"/>
        <v>34.760500989084647</v>
      </c>
      <c r="X28" s="31">
        <f t="shared" si="2"/>
        <v>20203</v>
      </c>
      <c r="Y28" s="31"/>
      <c r="Z28" s="16">
        <v>867966.32333333336</v>
      </c>
      <c r="AA28" s="16">
        <v>79076008.180000007</v>
      </c>
      <c r="AB28" s="16">
        <v>85401156.609134123</v>
      </c>
      <c r="AC28" s="33">
        <f t="shared" si="12"/>
        <v>98.392246695885575</v>
      </c>
      <c r="AD28" s="32"/>
      <c r="AE28" s="33">
        <f t="shared" si="28"/>
        <v>3490182.6491666664</v>
      </c>
      <c r="AF28" s="33">
        <f t="shared" si="29"/>
        <v>320595109.72000003</v>
      </c>
      <c r="AG28" s="33">
        <f t="shared" si="30"/>
        <v>346238939.00912708</v>
      </c>
      <c r="AH28" s="33">
        <f t="shared" si="31"/>
        <v>99.203673220883388</v>
      </c>
      <c r="AI28" s="31">
        <f t="shared" si="3"/>
        <v>20203</v>
      </c>
      <c r="AJ28" s="31"/>
      <c r="AK28" s="16">
        <v>795964.72916666663</v>
      </c>
      <c r="AL28" s="16">
        <v>83457205.939999998</v>
      </c>
      <c r="AM28" s="16">
        <v>112498686.07642871</v>
      </c>
      <c r="AN28" s="33">
        <f t="shared" si="13"/>
        <v>141.33627025686042</v>
      </c>
      <c r="AO28" s="32"/>
      <c r="AP28" s="33">
        <f t="shared" si="32"/>
        <v>3191356.2191666663</v>
      </c>
      <c r="AQ28" s="33">
        <f t="shared" si="33"/>
        <v>332816850.88</v>
      </c>
      <c r="AR28" s="33">
        <f t="shared" si="34"/>
        <v>448417768.46373206</v>
      </c>
      <c r="AS28" s="33">
        <f t="shared" si="35"/>
        <v>140.51009591803697</v>
      </c>
      <c r="AT28" s="31">
        <f t="shared" si="4"/>
        <v>20203</v>
      </c>
      <c r="AU28" s="31"/>
      <c r="AV28" s="16">
        <v>765108.95000000007</v>
      </c>
      <c r="AW28" s="16">
        <v>317583269.69</v>
      </c>
      <c r="AX28" s="16">
        <v>328474447.72539359</v>
      </c>
      <c r="AY28" s="33">
        <f t="shared" si="14"/>
        <v>429.3172204107579</v>
      </c>
      <c r="AZ28" s="32"/>
      <c r="BA28" s="33">
        <f t="shared" si="36"/>
        <v>3069955.5808333335</v>
      </c>
      <c r="BB28" s="33">
        <f t="shared" si="37"/>
        <v>1270187155.05</v>
      </c>
      <c r="BC28" s="33">
        <f t="shared" si="38"/>
        <v>1313105741.0555027</v>
      </c>
      <c r="BD28" s="33">
        <f t="shared" si="39"/>
        <v>427.72792846047065</v>
      </c>
      <c r="BE28" s="31">
        <f t="shared" si="5"/>
        <v>20203</v>
      </c>
      <c r="BF28" s="31"/>
      <c r="BG28" s="16">
        <v>961928.54249999998</v>
      </c>
      <c r="BH28" s="16">
        <v>19323377.710000001</v>
      </c>
      <c r="BI28" s="16">
        <v>20300147.74931787</v>
      </c>
      <c r="BJ28" s="33">
        <f t="shared" si="15"/>
        <v>21.103592265345291</v>
      </c>
      <c r="BK28" s="32"/>
      <c r="BL28" s="33">
        <f t="shared" si="40"/>
        <v>3856679.9191666669</v>
      </c>
      <c r="BM28" s="33">
        <f t="shared" si="41"/>
        <v>77098501.379999995</v>
      </c>
      <c r="BN28" s="33">
        <f t="shared" si="42"/>
        <v>80996475.456050515</v>
      </c>
      <c r="BO28" s="33">
        <f t="shared" si="43"/>
        <v>21.001606862296171</v>
      </c>
      <c r="BP28" s="31">
        <f t="shared" si="6"/>
        <v>20203</v>
      </c>
      <c r="BQ28" s="31"/>
      <c r="BR28" s="16">
        <v>54919.927499999998</v>
      </c>
      <c r="BS28" s="16">
        <v>199332.82</v>
      </c>
      <c r="BT28" s="16">
        <v>139749.56231084204</v>
      </c>
      <c r="BU28" s="33">
        <f t="shared" si="16"/>
        <v>2.5446057318783248</v>
      </c>
      <c r="BV28" s="32"/>
      <c r="BW28" s="33">
        <f t="shared" si="44"/>
        <v>220369.04166666666</v>
      </c>
      <c r="BX28" s="33">
        <f t="shared" si="45"/>
        <v>799667.52</v>
      </c>
      <c r="BY28" s="33">
        <f t="shared" si="46"/>
        <v>560093.10157606914</v>
      </c>
      <c r="BZ28" s="33">
        <f t="shared" si="47"/>
        <v>2.5416142727673785</v>
      </c>
      <c r="CA28" s="31">
        <f t="shared" si="7"/>
        <v>20203</v>
      </c>
      <c r="CB28" s="31"/>
      <c r="CC28" s="16"/>
      <c r="CD28" s="16"/>
      <c r="CE28" s="16"/>
      <c r="CF28" s="33" t="e">
        <f t="shared" si="17"/>
        <v>#DIV/0!</v>
      </c>
      <c r="CG28" s="32"/>
      <c r="CH28" s="33" t="str">
        <f t="shared" si="48"/>
        <v/>
      </c>
      <c r="CI28" s="33" t="str">
        <f t="shared" si="49"/>
        <v/>
      </c>
      <c r="CJ28" s="33" t="str">
        <f t="shared" si="50"/>
        <v/>
      </c>
      <c r="CK28" s="33">
        <f t="shared" si="51"/>
        <v>0</v>
      </c>
      <c r="CL28" s="31">
        <f t="shared" si="8"/>
        <v>20203</v>
      </c>
      <c r="CM28" s="31"/>
      <c r="CN28" s="16"/>
      <c r="CO28" s="16"/>
      <c r="CP28" s="16"/>
      <c r="CQ28" s="33" t="e">
        <f t="shared" si="18"/>
        <v>#DIV/0!</v>
      </c>
      <c r="CR28" s="32"/>
      <c r="CS28" s="33" t="str">
        <f t="shared" si="52"/>
        <v/>
      </c>
      <c r="CT28" s="33" t="str">
        <f t="shared" si="53"/>
        <v/>
      </c>
      <c r="CU28" s="33" t="str">
        <f t="shared" si="54"/>
        <v/>
      </c>
      <c r="CV28" s="33">
        <f t="shared" si="55"/>
        <v>0</v>
      </c>
      <c r="CW28" s="31">
        <f t="shared" si="9"/>
        <v>20203</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20204</v>
      </c>
      <c r="C29" s="31"/>
      <c r="D29" s="14">
        <v>889956.24583333323</v>
      </c>
      <c r="E29" s="14">
        <v>448654899.86000001</v>
      </c>
      <c r="F29" s="14">
        <v>403725788.29240984</v>
      </c>
      <c r="G29" s="33">
        <f t="shared" si="10"/>
        <v>453.64678340379635</v>
      </c>
      <c r="H29" s="32"/>
      <c r="I29" s="33">
        <f t="shared" si="20"/>
        <v>3560476.1016666666</v>
      </c>
      <c r="J29" s="33">
        <f t="shared" si="21"/>
        <v>1849017580.5300002</v>
      </c>
      <c r="K29" s="33">
        <f t="shared" si="22"/>
        <v>1631990470.7759211</v>
      </c>
      <c r="L29" s="33">
        <f t="shared" si="23"/>
        <v>458.36298971701643</v>
      </c>
      <c r="M29" s="31">
        <f t="shared" si="1"/>
        <v>20204</v>
      </c>
      <c r="N29" s="31"/>
      <c r="O29" s="16">
        <v>503351.26499999996</v>
      </c>
      <c r="P29" s="16">
        <v>17367422.34</v>
      </c>
      <c r="Q29" s="16">
        <v>17245830.118249707</v>
      </c>
      <c r="R29" s="33">
        <f t="shared" si="11"/>
        <v>34.262018032774208</v>
      </c>
      <c r="S29" s="32"/>
      <c r="T29" s="33">
        <f t="shared" si="24"/>
        <v>2015523.7458333333</v>
      </c>
      <c r="U29" s="33">
        <f t="shared" si="25"/>
        <v>70190853.520000011</v>
      </c>
      <c r="V29" s="33">
        <f t="shared" si="26"/>
        <v>69699435.642380401</v>
      </c>
      <c r="W29" s="33">
        <f t="shared" si="27"/>
        <v>34.581302148619763</v>
      </c>
      <c r="X29" s="31">
        <f t="shared" si="2"/>
        <v>20204</v>
      </c>
      <c r="Y29" s="31"/>
      <c r="Z29" s="16">
        <v>872807.54666666675</v>
      </c>
      <c r="AA29" s="16">
        <v>79364377.879999995</v>
      </c>
      <c r="AB29" s="16">
        <v>85712592.485550255</v>
      </c>
      <c r="AC29" s="33">
        <f t="shared" si="12"/>
        <v>98.203312761094494</v>
      </c>
      <c r="AD29" s="32"/>
      <c r="AE29" s="33">
        <f t="shared" si="28"/>
        <v>3490505.2825000002</v>
      </c>
      <c r="AF29" s="33">
        <f t="shared" si="29"/>
        <v>319521334.05000001</v>
      </c>
      <c r="AG29" s="33">
        <f t="shared" si="30"/>
        <v>345079273.94424415</v>
      </c>
      <c r="AH29" s="33">
        <f t="shared" si="31"/>
        <v>98.86226950417003</v>
      </c>
      <c r="AI29" s="31">
        <f t="shared" si="3"/>
        <v>20204</v>
      </c>
      <c r="AJ29" s="31"/>
      <c r="AK29" s="16">
        <v>801471.40666666673</v>
      </c>
      <c r="AL29" s="16">
        <v>83153818.939999998</v>
      </c>
      <c r="AM29" s="16">
        <v>114826670.3751215</v>
      </c>
      <c r="AN29" s="33">
        <f t="shared" si="13"/>
        <v>143.26982774430792</v>
      </c>
      <c r="AO29" s="32"/>
      <c r="AP29" s="33">
        <f t="shared" si="32"/>
        <v>3196812.8541666665</v>
      </c>
      <c r="AQ29" s="33">
        <f t="shared" si="33"/>
        <v>333780583.81</v>
      </c>
      <c r="AR29" s="33">
        <f t="shared" si="34"/>
        <v>452523964.07856917</v>
      </c>
      <c r="AS29" s="33">
        <f t="shared" si="35"/>
        <v>141.55472488442913</v>
      </c>
      <c r="AT29" s="31">
        <f t="shared" si="4"/>
        <v>20204</v>
      </c>
      <c r="AU29" s="31"/>
      <c r="AV29" s="16">
        <v>770767.56</v>
      </c>
      <c r="AW29" s="16">
        <v>315360068.13</v>
      </c>
      <c r="AX29" s="16">
        <v>334364530.30483466</v>
      </c>
      <c r="AY29" s="33">
        <f t="shared" si="14"/>
        <v>433.80721719117844</v>
      </c>
      <c r="AZ29" s="32"/>
      <c r="BA29" s="33">
        <f t="shared" si="36"/>
        <v>3074181.7950000004</v>
      </c>
      <c r="BB29" s="33">
        <f t="shared" si="37"/>
        <v>1271767174.1500001</v>
      </c>
      <c r="BC29" s="33">
        <f t="shared" si="38"/>
        <v>1323140652.0445025</v>
      </c>
      <c r="BD29" s="33">
        <f t="shared" si="39"/>
        <v>430.40416614154805</v>
      </c>
      <c r="BE29" s="31">
        <f t="shared" si="5"/>
        <v>20204</v>
      </c>
      <c r="BF29" s="31"/>
      <c r="BG29" s="16">
        <v>970799.78749999986</v>
      </c>
      <c r="BH29" s="16">
        <v>19625443.73</v>
      </c>
      <c r="BI29" s="16">
        <v>20617333.289708871</v>
      </c>
      <c r="BJ29" s="33">
        <f t="shared" si="15"/>
        <v>21.237471984622651</v>
      </c>
      <c r="BK29" s="32"/>
      <c r="BL29" s="33">
        <f t="shared" si="40"/>
        <v>3866972.8583333334</v>
      </c>
      <c r="BM29" s="33">
        <f t="shared" si="41"/>
        <v>77632148.939999998</v>
      </c>
      <c r="BN29" s="33">
        <f t="shared" si="42"/>
        <v>81556563.206936225</v>
      </c>
      <c r="BO29" s="33">
        <f t="shared" si="43"/>
        <v>21.090544514989727</v>
      </c>
      <c r="BP29" s="31">
        <f t="shared" si="6"/>
        <v>20204</v>
      </c>
      <c r="BQ29" s="31"/>
      <c r="BR29" s="16">
        <v>55185.065000000002</v>
      </c>
      <c r="BS29" s="16">
        <v>191383.15999999997</v>
      </c>
      <c r="BT29" s="16">
        <v>140948.87876450189</v>
      </c>
      <c r="BU29" s="33">
        <f t="shared" si="16"/>
        <v>2.5541127615687667</v>
      </c>
      <c r="BV29" s="32"/>
      <c r="BW29" s="33">
        <f t="shared" si="44"/>
        <v>220560.71333333332</v>
      </c>
      <c r="BX29" s="33">
        <f t="shared" si="45"/>
        <v>791848.65999999992</v>
      </c>
      <c r="BY29" s="33">
        <f t="shared" si="46"/>
        <v>561565.79224493238</v>
      </c>
      <c r="BZ29" s="33">
        <f t="shared" si="47"/>
        <v>2.5460825899499073</v>
      </c>
      <c r="CA29" s="31">
        <f t="shared" si="7"/>
        <v>20204</v>
      </c>
      <c r="CB29" s="31"/>
      <c r="CC29" s="16"/>
      <c r="CD29" s="16"/>
      <c r="CE29" s="16"/>
      <c r="CF29" s="33" t="e">
        <f t="shared" si="17"/>
        <v>#DIV/0!</v>
      </c>
      <c r="CG29" s="32"/>
      <c r="CH29" s="33" t="str">
        <f t="shared" si="48"/>
        <v/>
      </c>
      <c r="CI29" s="33" t="str">
        <f t="shared" si="49"/>
        <v/>
      </c>
      <c r="CJ29" s="33" t="str">
        <f t="shared" si="50"/>
        <v/>
      </c>
      <c r="CK29" s="33">
        <f t="shared" si="51"/>
        <v>0</v>
      </c>
      <c r="CL29" s="31">
        <f t="shared" si="8"/>
        <v>20204</v>
      </c>
      <c r="CM29" s="31"/>
      <c r="CN29" s="16"/>
      <c r="CO29" s="16"/>
      <c r="CP29" s="16"/>
      <c r="CQ29" s="33" t="e">
        <f t="shared" si="18"/>
        <v>#DIV/0!</v>
      </c>
      <c r="CR29" s="32"/>
      <c r="CS29" s="33" t="str">
        <f t="shared" si="52"/>
        <v/>
      </c>
      <c r="CT29" s="33" t="str">
        <f t="shared" si="53"/>
        <v/>
      </c>
      <c r="CU29" s="33" t="str">
        <f t="shared" si="54"/>
        <v/>
      </c>
      <c r="CV29" s="33">
        <f t="shared" si="55"/>
        <v>0</v>
      </c>
      <c r="CW29" s="31">
        <f t="shared" si="9"/>
        <v>20204</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20211</v>
      </c>
      <c r="C30" s="31"/>
      <c r="D30" s="14">
        <v>897125.22166666668</v>
      </c>
      <c r="E30" s="14">
        <v>433201449.81999999</v>
      </c>
      <c r="F30" s="14">
        <v>404924389.63773143</v>
      </c>
      <c r="G30" s="33">
        <f t="shared" si="10"/>
        <v>451.35771446205536</v>
      </c>
      <c r="H30" s="32"/>
      <c r="I30" s="33">
        <f t="shared" si="20"/>
        <v>3567288.103333333</v>
      </c>
      <c r="J30" s="33">
        <f t="shared" si="21"/>
        <v>1811859284.8</v>
      </c>
      <c r="K30" s="33">
        <f t="shared" si="22"/>
        <v>1624449420.9843755</v>
      </c>
      <c r="L30" s="33">
        <f t="shared" si="23"/>
        <v>455.37376683045676</v>
      </c>
      <c r="M30" s="31">
        <f t="shared" si="1"/>
        <v>20211</v>
      </c>
      <c r="N30" s="31"/>
      <c r="O30" s="16">
        <v>506507.33666666667</v>
      </c>
      <c r="P30" s="16">
        <v>17407524.399999999</v>
      </c>
      <c r="Q30" s="16">
        <v>17285651.417036168</v>
      </c>
      <c r="R30" s="33">
        <f t="shared" si="11"/>
        <v>34.127149136265885</v>
      </c>
      <c r="S30" s="32"/>
      <c r="T30" s="33">
        <f t="shared" si="24"/>
        <v>2017045.7141666666</v>
      </c>
      <c r="U30" s="33">
        <f t="shared" si="25"/>
        <v>69844374.659999996</v>
      </c>
      <c r="V30" s="33">
        <f t="shared" si="26"/>
        <v>69355382.538693115</v>
      </c>
      <c r="W30" s="33">
        <f t="shared" si="27"/>
        <v>34.384635931440442</v>
      </c>
      <c r="X30" s="31">
        <f t="shared" si="2"/>
        <v>20211</v>
      </c>
      <c r="Y30" s="31"/>
      <c r="Z30" s="16">
        <v>880162.80583333329</v>
      </c>
      <c r="AA30" s="16">
        <v>79644579.719999999</v>
      </c>
      <c r="AB30" s="16">
        <v>86015207.169457123</v>
      </c>
      <c r="AC30" s="33">
        <f t="shared" si="12"/>
        <v>97.726473556239853</v>
      </c>
      <c r="AD30" s="32"/>
      <c r="AE30" s="33">
        <f t="shared" si="28"/>
        <v>3498052.1208333331</v>
      </c>
      <c r="AF30" s="33">
        <f t="shared" si="29"/>
        <v>318716476.62</v>
      </c>
      <c r="AG30" s="33">
        <f t="shared" si="30"/>
        <v>344210037.40829003</v>
      </c>
      <c r="AH30" s="33">
        <f t="shared" si="31"/>
        <v>98.400488477081254</v>
      </c>
      <c r="AI30" s="31">
        <f t="shared" si="3"/>
        <v>20211</v>
      </c>
      <c r="AJ30" s="31"/>
      <c r="AK30" s="16">
        <v>809232.35583333333</v>
      </c>
      <c r="AL30" s="16">
        <v>82212824.780000001</v>
      </c>
      <c r="AM30" s="16">
        <v>117734843.48014131</v>
      </c>
      <c r="AN30" s="33">
        <f t="shared" si="13"/>
        <v>145.48954034209373</v>
      </c>
      <c r="AO30" s="32"/>
      <c r="AP30" s="33">
        <f t="shared" si="32"/>
        <v>3208889.46</v>
      </c>
      <c r="AQ30" s="33">
        <f t="shared" si="33"/>
        <v>332922953.11000001</v>
      </c>
      <c r="AR30" s="33">
        <f t="shared" si="34"/>
        <v>458352363.41434491</v>
      </c>
      <c r="AS30" s="33">
        <f t="shared" si="35"/>
        <v>142.83831497715255</v>
      </c>
      <c r="AT30" s="31">
        <f t="shared" si="4"/>
        <v>20211</v>
      </c>
      <c r="AU30" s="31"/>
      <c r="AV30" s="16">
        <v>778514.83583333332</v>
      </c>
      <c r="AW30" s="16">
        <v>310328368.74000001</v>
      </c>
      <c r="AX30" s="16">
        <v>341582136.2305994</v>
      </c>
      <c r="AY30" s="33">
        <f t="shared" si="14"/>
        <v>438.76124192927557</v>
      </c>
      <c r="AZ30" s="32"/>
      <c r="BA30" s="33">
        <f t="shared" si="36"/>
        <v>3085086.1308333334</v>
      </c>
      <c r="BB30" s="33">
        <f t="shared" si="37"/>
        <v>1264377624.21</v>
      </c>
      <c r="BC30" s="33">
        <f t="shared" si="38"/>
        <v>1336322904.5544777</v>
      </c>
      <c r="BD30" s="33">
        <f t="shared" si="39"/>
        <v>433.15578492245027</v>
      </c>
      <c r="BE30" s="31">
        <f t="shared" si="5"/>
        <v>20211</v>
      </c>
      <c r="BF30" s="31"/>
      <c r="BG30" s="16">
        <v>982827.30666666676</v>
      </c>
      <c r="BH30" s="16">
        <v>19958951.219999999</v>
      </c>
      <c r="BI30" s="16">
        <v>20967540.699164692</v>
      </c>
      <c r="BJ30" s="33">
        <f t="shared" si="15"/>
        <v>21.333901242811105</v>
      </c>
      <c r="BK30" s="32"/>
      <c r="BL30" s="33">
        <f t="shared" si="40"/>
        <v>3886498.2074999996</v>
      </c>
      <c r="BM30" s="33">
        <f t="shared" si="41"/>
        <v>78341265.579999998</v>
      </c>
      <c r="BN30" s="33">
        <f t="shared" si="42"/>
        <v>82301007.306303933</v>
      </c>
      <c r="BO30" s="33">
        <f t="shared" si="43"/>
        <v>21.176134121838249</v>
      </c>
      <c r="BP30" s="31">
        <f t="shared" si="6"/>
        <v>20211</v>
      </c>
      <c r="BQ30" s="31"/>
      <c r="BR30" s="16">
        <v>55555.38</v>
      </c>
      <c r="BS30" s="16">
        <v>179135.52000000002</v>
      </c>
      <c r="BT30" s="16">
        <v>142452.57820942136</v>
      </c>
      <c r="BU30" s="33">
        <f t="shared" si="16"/>
        <v>2.564154510497838</v>
      </c>
      <c r="BV30" s="32"/>
      <c r="BW30" s="33">
        <f t="shared" si="44"/>
        <v>221150.03666666668</v>
      </c>
      <c r="BX30" s="33">
        <f t="shared" si="45"/>
        <v>771394.87</v>
      </c>
      <c r="BY30" s="33">
        <f t="shared" si="46"/>
        <v>564269.57979121292</v>
      </c>
      <c r="BZ30" s="33">
        <f t="shared" si="47"/>
        <v>2.551523790347459</v>
      </c>
      <c r="CA30" s="31">
        <f t="shared" si="7"/>
        <v>20211</v>
      </c>
      <c r="CB30" s="31"/>
      <c r="CC30" s="16"/>
      <c r="CD30" s="16"/>
      <c r="CE30" s="16"/>
      <c r="CF30" s="33" t="e">
        <f t="shared" si="17"/>
        <v>#DIV/0!</v>
      </c>
      <c r="CG30" s="32"/>
      <c r="CH30" s="33" t="str">
        <f t="shared" si="48"/>
        <v/>
      </c>
      <c r="CI30" s="33" t="str">
        <f t="shared" si="49"/>
        <v/>
      </c>
      <c r="CJ30" s="33" t="str">
        <f t="shared" si="50"/>
        <v/>
      </c>
      <c r="CK30" s="33">
        <f t="shared" si="51"/>
        <v>0</v>
      </c>
      <c r="CL30" s="31">
        <f t="shared" si="8"/>
        <v>20211</v>
      </c>
      <c r="CM30" s="31"/>
      <c r="CN30" s="16"/>
      <c r="CO30" s="16"/>
      <c r="CP30" s="16"/>
      <c r="CQ30" s="33" t="e">
        <f t="shared" si="18"/>
        <v>#DIV/0!</v>
      </c>
      <c r="CR30" s="32"/>
      <c r="CS30" s="33" t="str">
        <f t="shared" si="52"/>
        <v/>
      </c>
      <c r="CT30" s="33" t="str">
        <f t="shared" si="53"/>
        <v/>
      </c>
      <c r="CU30" s="33" t="str">
        <f t="shared" si="54"/>
        <v/>
      </c>
      <c r="CV30" s="33">
        <f t="shared" si="55"/>
        <v>0</v>
      </c>
      <c r="CW30" s="31">
        <f t="shared" si="9"/>
        <v>20211</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20212</v>
      </c>
      <c r="C31" s="31"/>
      <c r="D31" s="14">
        <v>905797.84249999991</v>
      </c>
      <c r="E31" s="14">
        <v>428463668.11000001</v>
      </c>
      <c r="F31" s="14">
        <v>405761636.64373672</v>
      </c>
      <c r="G31" s="33">
        <f t="shared" si="10"/>
        <v>447.9604803692572</v>
      </c>
      <c r="H31" s="32"/>
      <c r="I31" s="33">
        <f t="shared" si="20"/>
        <v>3578097.0991666666</v>
      </c>
      <c r="J31" s="33">
        <f t="shared" si="21"/>
        <v>1769211890.6900001</v>
      </c>
      <c r="K31" s="33">
        <f t="shared" si="22"/>
        <v>1617086777.4639001</v>
      </c>
      <c r="L31" s="33">
        <f t="shared" si="23"/>
        <v>451.9404400290079</v>
      </c>
      <c r="M31" s="31">
        <f t="shared" si="1"/>
        <v>20212</v>
      </c>
      <c r="N31" s="31"/>
      <c r="O31" s="16">
        <v>510414.60666666669</v>
      </c>
      <c r="P31" s="16">
        <v>17424175.420000002</v>
      </c>
      <c r="Q31" s="16">
        <v>17302185.860466745</v>
      </c>
      <c r="R31" s="33">
        <f t="shared" si="11"/>
        <v>33.898296863918269</v>
      </c>
      <c r="S31" s="32"/>
      <c r="T31" s="33">
        <f t="shared" si="24"/>
        <v>2021821.6866666668</v>
      </c>
      <c r="U31" s="33">
        <f t="shared" si="25"/>
        <v>69549789.550000012</v>
      </c>
      <c r="V31" s="33">
        <f t="shared" si="26"/>
        <v>69062859.868203029</v>
      </c>
      <c r="W31" s="33">
        <f t="shared" si="27"/>
        <v>34.158729389269467</v>
      </c>
      <c r="X31" s="31">
        <f t="shared" si="2"/>
        <v>20212</v>
      </c>
      <c r="Y31" s="31"/>
      <c r="Z31" s="16">
        <v>889046.32416666672</v>
      </c>
      <c r="AA31" s="16">
        <v>80042728.819999993</v>
      </c>
      <c r="AB31" s="16">
        <v>86445203.503686413</v>
      </c>
      <c r="AC31" s="33">
        <f t="shared" si="12"/>
        <v>97.233632437223605</v>
      </c>
      <c r="AD31" s="32"/>
      <c r="AE31" s="33">
        <f t="shared" si="28"/>
        <v>3509983</v>
      </c>
      <c r="AF31" s="33">
        <f t="shared" si="29"/>
        <v>318127694.60000002</v>
      </c>
      <c r="AG31" s="33">
        <f t="shared" si="30"/>
        <v>343574159.76782793</v>
      </c>
      <c r="AH31" s="33">
        <f t="shared" si="31"/>
        <v>97.884850088398693</v>
      </c>
      <c r="AI31" s="31">
        <f t="shared" si="3"/>
        <v>20212</v>
      </c>
      <c r="AJ31" s="31"/>
      <c r="AK31" s="16">
        <v>818526.61750000005</v>
      </c>
      <c r="AL31" s="16">
        <v>83072752.859999999</v>
      </c>
      <c r="AM31" s="16">
        <v>120461629.59580746</v>
      </c>
      <c r="AN31" s="33">
        <f t="shared" si="13"/>
        <v>147.16886051150004</v>
      </c>
      <c r="AO31" s="32"/>
      <c r="AP31" s="33">
        <f t="shared" si="32"/>
        <v>3225195.1091666669</v>
      </c>
      <c r="AQ31" s="33">
        <f t="shared" si="33"/>
        <v>331896602.51999998</v>
      </c>
      <c r="AR31" s="33">
        <f t="shared" si="34"/>
        <v>465521829.52749896</v>
      </c>
      <c r="AS31" s="33">
        <f t="shared" si="35"/>
        <v>144.33912174937581</v>
      </c>
      <c r="AT31" s="31">
        <f t="shared" si="4"/>
        <v>20212</v>
      </c>
      <c r="AU31" s="31"/>
      <c r="AV31" s="16">
        <v>788098.29249999998</v>
      </c>
      <c r="AW31" s="16">
        <v>313207254.33999997</v>
      </c>
      <c r="AX31" s="16">
        <v>349213015.06883532</v>
      </c>
      <c r="AY31" s="33">
        <f t="shared" si="14"/>
        <v>443.10845283151701</v>
      </c>
      <c r="AZ31" s="32"/>
      <c r="BA31" s="33">
        <f t="shared" si="36"/>
        <v>3102489.6383333337</v>
      </c>
      <c r="BB31" s="33">
        <f t="shared" si="37"/>
        <v>1256478960.8999999</v>
      </c>
      <c r="BC31" s="33">
        <f t="shared" si="38"/>
        <v>1353634129.329663</v>
      </c>
      <c r="BD31" s="33">
        <f t="shared" si="39"/>
        <v>436.30576960019732</v>
      </c>
      <c r="BE31" s="31">
        <f t="shared" si="5"/>
        <v>20212</v>
      </c>
      <c r="BF31" s="31"/>
      <c r="BG31" s="16">
        <v>996989.9833333334</v>
      </c>
      <c r="BH31" s="16">
        <v>20365395.84</v>
      </c>
      <c r="BI31" s="16">
        <v>21394308.549324829</v>
      </c>
      <c r="BJ31" s="33">
        <f t="shared" si="15"/>
        <v>21.458900196564823</v>
      </c>
      <c r="BK31" s="32"/>
      <c r="BL31" s="33">
        <f t="shared" si="40"/>
        <v>3912545.62</v>
      </c>
      <c r="BM31" s="33">
        <f t="shared" si="41"/>
        <v>79273168.5</v>
      </c>
      <c r="BN31" s="33">
        <f t="shared" si="42"/>
        <v>83279330.287516251</v>
      </c>
      <c r="BO31" s="33">
        <f t="shared" si="43"/>
        <v>21.285203643840514</v>
      </c>
      <c r="BP31" s="31">
        <f t="shared" si="6"/>
        <v>20212</v>
      </c>
      <c r="BQ31" s="31"/>
      <c r="BR31" s="16">
        <v>56014.765833333331</v>
      </c>
      <c r="BS31" s="16">
        <v>175563.84</v>
      </c>
      <c r="BT31" s="16">
        <v>143444.89187007496</v>
      </c>
      <c r="BU31" s="33">
        <f t="shared" si="16"/>
        <v>2.5608406950567599</v>
      </c>
      <c r="BV31" s="32"/>
      <c r="BW31" s="33">
        <f t="shared" si="44"/>
        <v>221675.13833333334</v>
      </c>
      <c r="BX31" s="33">
        <f t="shared" si="45"/>
        <v>745415.34</v>
      </c>
      <c r="BY31" s="33">
        <f t="shared" si="46"/>
        <v>566595.91115484026</v>
      </c>
      <c r="BZ31" s="33">
        <f t="shared" si="47"/>
        <v>2.5559740953126142</v>
      </c>
      <c r="CA31" s="31">
        <f t="shared" si="7"/>
        <v>20212</v>
      </c>
      <c r="CB31" s="31"/>
      <c r="CC31" s="16"/>
      <c r="CD31" s="16"/>
      <c r="CE31" s="16"/>
      <c r="CF31" s="33" t="e">
        <f t="shared" si="17"/>
        <v>#DIV/0!</v>
      </c>
      <c r="CG31" s="32"/>
      <c r="CH31" s="33" t="str">
        <f t="shared" si="48"/>
        <v/>
      </c>
      <c r="CI31" s="33" t="str">
        <f t="shared" si="49"/>
        <v/>
      </c>
      <c r="CJ31" s="33" t="str">
        <f t="shared" si="50"/>
        <v/>
      </c>
      <c r="CK31" s="33">
        <f t="shared" si="51"/>
        <v>0</v>
      </c>
      <c r="CL31" s="31">
        <f t="shared" si="8"/>
        <v>20212</v>
      </c>
      <c r="CM31" s="31"/>
      <c r="CN31" s="16"/>
      <c r="CO31" s="16"/>
      <c r="CP31" s="16"/>
      <c r="CQ31" s="33" t="e">
        <f t="shared" si="18"/>
        <v>#DIV/0!</v>
      </c>
      <c r="CR31" s="32"/>
      <c r="CS31" s="33" t="str">
        <f t="shared" si="52"/>
        <v/>
      </c>
      <c r="CT31" s="33" t="str">
        <f t="shared" si="53"/>
        <v/>
      </c>
      <c r="CU31" s="33" t="str">
        <f t="shared" si="54"/>
        <v/>
      </c>
      <c r="CV31" s="33">
        <f t="shared" si="55"/>
        <v>0</v>
      </c>
      <c r="CW31" s="31">
        <f t="shared" si="9"/>
        <v>20212</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20213</v>
      </c>
      <c r="C32" s="31"/>
      <c r="D32" s="14">
        <v>910156.11166666669</v>
      </c>
      <c r="E32" s="14">
        <v>428735615.73000002</v>
      </c>
      <c r="F32" s="14">
        <v>406019175.19270945</v>
      </c>
      <c r="G32" s="33">
        <f t="shared" si="10"/>
        <v>446.09838904362476</v>
      </c>
      <c r="H32" s="32"/>
      <c r="I32" s="33">
        <f t="shared" si="20"/>
        <v>3603035.4216666664</v>
      </c>
      <c r="J32" s="33">
        <f t="shared" si="21"/>
        <v>1739055633.52</v>
      </c>
      <c r="K32" s="33">
        <f t="shared" si="22"/>
        <v>1620430989.7665873</v>
      </c>
      <c r="L32" s="33">
        <f t="shared" si="23"/>
        <v>449.74051046576164</v>
      </c>
      <c r="M32" s="31">
        <f t="shared" si="1"/>
        <v>20213</v>
      </c>
      <c r="N32" s="31"/>
      <c r="O32" s="16">
        <v>513008.4458333333</v>
      </c>
      <c r="P32" s="16">
        <v>17422483.890000001</v>
      </c>
      <c r="Q32" s="16">
        <v>17300506.173150524</v>
      </c>
      <c r="R32" s="33">
        <f t="shared" si="11"/>
        <v>33.723628360635473</v>
      </c>
      <c r="S32" s="32"/>
      <c r="T32" s="33">
        <f t="shared" si="24"/>
        <v>2033281.6541666666</v>
      </c>
      <c r="U32" s="33">
        <f t="shared" si="25"/>
        <v>69621606.049999997</v>
      </c>
      <c r="V32" s="33">
        <f t="shared" si="26"/>
        <v>69134173.568903148</v>
      </c>
      <c r="W32" s="33">
        <f t="shared" si="27"/>
        <v>34.001277406517275</v>
      </c>
      <c r="X32" s="31">
        <f t="shared" si="2"/>
        <v>20213</v>
      </c>
      <c r="Y32" s="31"/>
      <c r="Z32" s="16">
        <v>893791.43583333341</v>
      </c>
      <c r="AA32" s="16">
        <v>80363148.459999993</v>
      </c>
      <c r="AB32" s="16">
        <v>86791252.937466547</v>
      </c>
      <c r="AC32" s="33">
        <f t="shared" si="12"/>
        <v>97.104592254843041</v>
      </c>
      <c r="AD32" s="32"/>
      <c r="AE32" s="33">
        <f t="shared" si="28"/>
        <v>3535808.1125000003</v>
      </c>
      <c r="AF32" s="33">
        <f t="shared" si="29"/>
        <v>319414834.88</v>
      </c>
      <c r="AG32" s="33">
        <f t="shared" si="30"/>
        <v>344964256.09616035</v>
      </c>
      <c r="AH32" s="33">
        <f t="shared" si="31"/>
        <v>97.563059170723122</v>
      </c>
      <c r="AI32" s="31">
        <f t="shared" si="3"/>
        <v>20213</v>
      </c>
      <c r="AJ32" s="31"/>
      <c r="AK32" s="16">
        <v>824551.16333333345</v>
      </c>
      <c r="AL32" s="16">
        <v>84634935.909999996</v>
      </c>
      <c r="AM32" s="16">
        <v>122726910.4424298</v>
      </c>
      <c r="AN32" s="33">
        <f t="shared" si="13"/>
        <v>148.84086749243497</v>
      </c>
      <c r="AO32" s="32"/>
      <c r="AP32" s="33">
        <f t="shared" si="32"/>
        <v>3253781.5433333339</v>
      </c>
      <c r="AQ32" s="33">
        <f t="shared" si="33"/>
        <v>333074332.49000001</v>
      </c>
      <c r="AR32" s="33">
        <f t="shared" si="34"/>
        <v>475750053.89350009</v>
      </c>
      <c r="AS32" s="33">
        <f t="shared" si="35"/>
        <v>146.21450381887604</v>
      </c>
      <c r="AT32" s="31">
        <f t="shared" si="4"/>
        <v>20213</v>
      </c>
      <c r="AU32" s="31"/>
      <c r="AV32" s="16">
        <v>794559.4</v>
      </c>
      <c r="AW32" s="16">
        <v>319199655.77999997</v>
      </c>
      <c r="AX32" s="16">
        <v>355894292.5468263</v>
      </c>
      <c r="AY32" s="33">
        <f t="shared" si="14"/>
        <v>447.91401693419812</v>
      </c>
      <c r="AZ32" s="32"/>
      <c r="BA32" s="33">
        <f t="shared" si="36"/>
        <v>3131940.0883333334</v>
      </c>
      <c r="BB32" s="33">
        <f t="shared" si="37"/>
        <v>1258095346.99</v>
      </c>
      <c r="BC32" s="33">
        <f t="shared" si="38"/>
        <v>1381053974.1510956</v>
      </c>
      <c r="BD32" s="33">
        <f t="shared" si="39"/>
        <v>440.95797978243752</v>
      </c>
      <c r="BE32" s="31">
        <f t="shared" si="5"/>
        <v>20213</v>
      </c>
      <c r="BF32" s="31"/>
      <c r="BG32" s="16">
        <v>1006582.33</v>
      </c>
      <c r="BH32" s="16">
        <v>20729977.559999999</v>
      </c>
      <c r="BI32" s="16">
        <v>21776996.920015879</v>
      </c>
      <c r="BJ32" s="33">
        <f t="shared" si="15"/>
        <v>21.634590903275523</v>
      </c>
      <c r="BK32" s="32"/>
      <c r="BL32" s="33">
        <f t="shared" si="40"/>
        <v>3957199.4075000002</v>
      </c>
      <c r="BM32" s="33">
        <f t="shared" si="41"/>
        <v>80679768.350000009</v>
      </c>
      <c r="BN32" s="33">
        <f t="shared" si="42"/>
        <v>84756179.458214283</v>
      </c>
      <c r="BO32" s="33">
        <f t="shared" si="43"/>
        <v>21.418223023479083</v>
      </c>
      <c r="BP32" s="31">
        <f t="shared" si="6"/>
        <v>20213</v>
      </c>
      <c r="BQ32" s="31"/>
      <c r="BR32" s="16">
        <v>56074.738333333335</v>
      </c>
      <c r="BS32" s="16">
        <v>175392.32</v>
      </c>
      <c r="BT32" s="16">
        <v>143305.67321127804</v>
      </c>
      <c r="BU32" s="33">
        <f t="shared" si="16"/>
        <v>2.5556191160341224</v>
      </c>
      <c r="BV32" s="32"/>
      <c r="BW32" s="33">
        <f t="shared" si="44"/>
        <v>222829.94916666669</v>
      </c>
      <c r="BX32" s="33">
        <f t="shared" si="45"/>
        <v>721474.84000000008</v>
      </c>
      <c r="BY32" s="33">
        <f t="shared" si="46"/>
        <v>570152.0220552762</v>
      </c>
      <c r="BZ32" s="33">
        <f t="shared" si="47"/>
        <v>2.5586866764881249</v>
      </c>
      <c r="CA32" s="31">
        <f t="shared" si="7"/>
        <v>20213</v>
      </c>
      <c r="CB32" s="31"/>
      <c r="CC32" s="16"/>
      <c r="CD32" s="16"/>
      <c r="CE32" s="16"/>
      <c r="CF32" s="33" t="e">
        <f t="shared" si="17"/>
        <v>#DIV/0!</v>
      </c>
      <c r="CG32" s="32"/>
      <c r="CH32" s="33" t="str">
        <f t="shared" si="48"/>
        <v/>
      </c>
      <c r="CI32" s="33" t="str">
        <f t="shared" si="49"/>
        <v/>
      </c>
      <c r="CJ32" s="33" t="str">
        <f t="shared" si="50"/>
        <v/>
      </c>
      <c r="CK32" s="33">
        <f t="shared" si="51"/>
        <v>0</v>
      </c>
      <c r="CL32" s="31">
        <f t="shared" si="8"/>
        <v>20213</v>
      </c>
      <c r="CM32" s="31"/>
      <c r="CN32" s="16"/>
      <c r="CO32" s="16"/>
      <c r="CP32" s="16"/>
      <c r="CQ32" s="33" t="e">
        <f t="shared" si="18"/>
        <v>#DIV/0!</v>
      </c>
      <c r="CR32" s="32"/>
      <c r="CS32" s="33" t="str">
        <f t="shared" si="52"/>
        <v/>
      </c>
      <c r="CT32" s="33" t="str">
        <f t="shared" si="53"/>
        <v/>
      </c>
      <c r="CU32" s="33" t="str">
        <f t="shared" si="54"/>
        <v/>
      </c>
      <c r="CV32" s="33">
        <f t="shared" si="55"/>
        <v>0</v>
      </c>
      <c r="CW32" s="31">
        <f t="shared" si="9"/>
        <v>20213</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20214</v>
      </c>
      <c r="C33" s="31"/>
      <c r="D33" s="14">
        <v>912864.33250000002</v>
      </c>
      <c r="E33" s="14">
        <v>428702854.29000002</v>
      </c>
      <c r="F33" s="14">
        <v>405988149.60873908</v>
      </c>
      <c r="G33" s="33">
        <f t="shared" si="10"/>
        <v>444.74094907058827</v>
      </c>
      <c r="H33" s="32"/>
      <c r="I33" s="33">
        <f t="shared" si="20"/>
        <v>3625943.5083333333</v>
      </c>
      <c r="J33" s="33">
        <f t="shared" si="21"/>
        <v>1719103587.95</v>
      </c>
      <c r="K33" s="33">
        <f t="shared" si="22"/>
        <v>1622693351.0829167</v>
      </c>
      <c r="L33" s="33">
        <f t="shared" si="23"/>
        <v>447.52306464608671</v>
      </c>
      <c r="M33" s="31">
        <f t="shared" si="1"/>
        <v>20214</v>
      </c>
      <c r="N33" s="31"/>
      <c r="O33" s="16">
        <v>515146.48583333334</v>
      </c>
      <c r="P33" s="16">
        <v>17432433.460000001</v>
      </c>
      <c r="Q33" s="16">
        <v>17310386.084550757</v>
      </c>
      <c r="R33" s="33">
        <f t="shared" si="11"/>
        <v>33.602842221758316</v>
      </c>
      <c r="S33" s="32"/>
      <c r="T33" s="33">
        <f t="shared" si="24"/>
        <v>2045076.875</v>
      </c>
      <c r="U33" s="33">
        <f t="shared" si="25"/>
        <v>69686617.170000002</v>
      </c>
      <c r="V33" s="33">
        <f t="shared" si="26"/>
        <v>69198729.535204187</v>
      </c>
      <c r="W33" s="33">
        <f t="shared" si="27"/>
        <v>33.83673757261775</v>
      </c>
      <c r="X33" s="31">
        <f t="shared" si="2"/>
        <v>20214</v>
      </c>
      <c r="Y33" s="31"/>
      <c r="Z33" s="16">
        <v>896873.66666666663</v>
      </c>
      <c r="AA33" s="16">
        <v>80667269.349999994</v>
      </c>
      <c r="AB33" s="16">
        <v>87119699.91339229</v>
      </c>
      <c r="AC33" s="33">
        <f t="shared" si="12"/>
        <v>97.137092046846021</v>
      </c>
      <c r="AD33" s="32"/>
      <c r="AE33" s="33">
        <f t="shared" si="28"/>
        <v>3559874.2324999999</v>
      </c>
      <c r="AF33" s="33">
        <f t="shared" si="29"/>
        <v>320717726.35000002</v>
      </c>
      <c r="AG33" s="33">
        <f t="shared" si="30"/>
        <v>346371363.52400237</v>
      </c>
      <c r="AH33" s="33">
        <f t="shared" si="31"/>
        <v>97.298764198406943</v>
      </c>
      <c r="AI33" s="31">
        <f t="shared" si="3"/>
        <v>20214</v>
      </c>
      <c r="AJ33" s="31"/>
      <c r="AK33" s="16">
        <v>828931.53833333345</v>
      </c>
      <c r="AL33" s="16">
        <v>85990862.069999993</v>
      </c>
      <c r="AM33" s="16">
        <v>124693103.55896768</v>
      </c>
      <c r="AN33" s="33">
        <f t="shared" si="13"/>
        <v>150.42629914851372</v>
      </c>
      <c r="AO33" s="32"/>
      <c r="AP33" s="33">
        <f t="shared" si="32"/>
        <v>3281241.6750000003</v>
      </c>
      <c r="AQ33" s="33">
        <f t="shared" si="33"/>
        <v>335911375.62</v>
      </c>
      <c r="AR33" s="33">
        <f t="shared" si="34"/>
        <v>485616487.07734621</v>
      </c>
      <c r="AS33" s="33">
        <f t="shared" si="35"/>
        <v>147.99778107699007</v>
      </c>
      <c r="AT33" s="31">
        <f t="shared" si="4"/>
        <v>20214</v>
      </c>
      <c r="AU33" s="31"/>
      <c r="AV33" s="16">
        <v>799383.92666666664</v>
      </c>
      <c r="AW33" s="16">
        <v>324343587.83999997</v>
      </c>
      <c r="AX33" s="16">
        <v>361629562.08190501</v>
      </c>
      <c r="AY33" s="33">
        <f t="shared" si="14"/>
        <v>452.38533077573391</v>
      </c>
      <c r="AZ33" s="32"/>
      <c r="BA33" s="33">
        <f t="shared" si="36"/>
        <v>3160556.4550000001</v>
      </c>
      <c r="BB33" s="33">
        <f t="shared" si="37"/>
        <v>1267078866.6999998</v>
      </c>
      <c r="BC33" s="33">
        <f t="shared" si="38"/>
        <v>1408319005.9281659</v>
      </c>
      <c r="BD33" s="33">
        <f t="shared" si="39"/>
        <v>445.59210568765678</v>
      </c>
      <c r="BE33" s="31">
        <f t="shared" si="5"/>
        <v>20214</v>
      </c>
      <c r="BF33" s="31"/>
      <c r="BG33" s="16">
        <v>1014312.72</v>
      </c>
      <c r="BH33" s="16">
        <v>21078966.490000002</v>
      </c>
      <c r="BI33" s="16">
        <v>22143258.118644178</v>
      </c>
      <c r="BJ33" s="33">
        <f t="shared" si="15"/>
        <v>21.830799990997036</v>
      </c>
      <c r="BK33" s="32"/>
      <c r="BL33" s="33">
        <f t="shared" si="40"/>
        <v>4000712.34</v>
      </c>
      <c r="BM33" s="33">
        <f t="shared" si="41"/>
        <v>82133291.110000014</v>
      </c>
      <c r="BN33" s="33">
        <f t="shared" si="42"/>
        <v>86282104.287149578</v>
      </c>
      <c r="BO33" s="33">
        <f t="shared" si="43"/>
        <v>21.566685368623524</v>
      </c>
      <c r="BP33" s="31">
        <f t="shared" si="6"/>
        <v>20214</v>
      </c>
      <c r="BQ33" s="31"/>
      <c r="BR33" s="16">
        <v>55760.519166666665</v>
      </c>
      <c r="BS33" s="16">
        <v>173922.61</v>
      </c>
      <c r="BT33" s="16">
        <v>142105.09576296969</v>
      </c>
      <c r="BU33" s="33">
        <f t="shared" si="16"/>
        <v>2.5484894668613371</v>
      </c>
      <c r="BV33" s="32"/>
      <c r="BW33" s="33">
        <f t="shared" si="44"/>
        <v>223405.40333333332</v>
      </c>
      <c r="BX33" s="33">
        <f t="shared" si="45"/>
        <v>704014.28999999992</v>
      </c>
      <c r="BY33" s="33">
        <f t="shared" si="46"/>
        <v>571308.23905374412</v>
      </c>
      <c r="BZ33" s="33">
        <f t="shared" si="47"/>
        <v>2.5572713574940726</v>
      </c>
      <c r="CA33" s="31">
        <f t="shared" si="7"/>
        <v>20214</v>
      </c>
      <c r="CB33" s="31"/>
      <c r="CC33" s="16"/>
      <c r="CD33" s="16"/>
      <c r="CE33" s="16"/>
      <c r="CF33" s="33" t="e">
        <f t="shared" si="17"/>
        <v>#DIV/0!</v>
      </c>
      <c r="CG33" s="32"/>
      <c r="CH33" s="33" t="str">
        <f t="shared" si="48"/>
        <v/>
      </c>
      <c r="CI33" s="33" t="str">
        <f t="shared" si="49"/>
        <v/>
      </c>
      <c r="CJ33" s="33" t="str">
        <f t="shared" si="50"/>
        <v/>
      </c>
      <c r="CK33" s="33">
        <f t="shared" si="51"/>
        <v>0</v>
      </c>
      <c r="CL33" s="31">
        <f t="shared" si="8"/>
        <v>20214</v>
      </c>
      <c r="CM33" s="31"/>
      <c r="CN33" s="16"/>
      <c r="CO33" s="16"/>
      <c r="CP33" s="16"/>
      <c r="CQ33" s="33" t="e">
        <f t="shared" si="18"/>
        <v>#DIV/0!</v>
      </c>
      <c r="CR33" s="32"/>
      <c r="CS33" s="33" t="str">
        <f t="shared" si="52"/>
        <v/>
      </c>
      <c r="CT33" s="33" t="str">
        <f t="shared" si="53"/>
        <v/>
      </c>
      <c r="CU33" s="33" t="str">
        <f t="shared" si="54"/>
        <v/>
      </c>
      <c r="CV33" s="33">
        <f t="shared" si="55"/>
        <v>0</v>
      </c>
      <c r="CW33" s="31">
        <f t="shared" si="9"/>
        <v>20214</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20221</v>
      </c>
      <c r="C34" s="31"/>
      <c r="D34" s="14">
        <v>914860.22916666663</v>
      </c>
      <c r="E34" s="14">
        <v>429442466.80000001</v>
      </c>
      <c r="F34" s="14">
        <v>406688573.95011574</v>
      </c>
      <c r="G34" s="33">
        <f t="shared" si="10"/>
        <v>444.53629197605699</v>
      </c>
      <c r="H34" s="32"/>
      <c r="I34" s="33">
        <f t="shared" si="20"/>
        <v>3643678.5158333331</v>
      </c>
      <c r="J34" s="33">
        <f t="shared" si="21"/>
        <v>1715344604.9300001</v>
      </c>
      <c r="K34" s="33">
        <f t="shared" si="22"/>
        <v>1624457535.3953009</v>
      </c>
      <c r="L34" s="33">
        <f t="shared" si="23"/>
        <v>445.8289962564869</v>
      </c>
      <c r="M34" s="31">
        <f t="shared" si="1"/>
        <v>20221</v>
      </c>
      <c r="N34" s="31"/>
      <c r="O34" s="16">
        <v>516858.05499999999</v>
      </c>
      <c r="P34" s="16">
        <v>17472090.010000002</v>
      </c>
      <c r="Q34" s="16">
        <v>17349764.99242707</v>
      </c>
      <c r="R34" s="33">
        <f t="shared" si="11"/>
        <v>33.567755836613728</v>
      </c>
      <c r="S34" s="32"/>
      <c r="T34" s="33">
        <f t="shared" si="24"/>
        <v>2055427.5933333333</v>
      </c>
      <c r="U34" s="33">
        <f t="shared" si="25"/>
        <v>69751182.780000001</v>
      </c>
      <c r="V34" s="33">
        <f t="shared" si="26"/>
        <v>69262843.110595092</v>
      </c>
      <c r="W34" s="33">
        <f t="shared" si="27"/>
        <v>33.697534924239278</v>
      </c>
      <c r="X34" s="31">
        <f t="shared" si="2"/>
        <v>20221</v>
      </c>
      <c r="Y34" s="31"/>
      <c r="Z34" s="16">
        <v>899106.24583333323</v>
      </c>
      <c r="AA34" s="16">
        <v>81047478.299999997</v>
      </c>
      <c r="AB34" s="16">
        <v>87530321.097117603</v>
      </c>
      <c r="AC34" s="33">
        <f t="shared" si="12"/>
        <v>97.352589310499624</v>
      </c>
      <c r="AD34" s="32"/>
      <c r="AE34" s="33">
        <f t="shared" si="28"/>
        <v>3578817.6724999999</v>
      </c>
      <c r="AF34" s="33">
        <f t="shared" si="29"/>
        <v>322120624.92999995</v>
      </c>
      <c r="AG34" s="33">
        <f t="shared" si="30"/>
        <v>347886477.45166284</v>
      </c>
      <c r="AH34" s="33">
        <f t="shared" si="31"/>
        <v>97.20709722790798</v>
      </c>
      <c r="AI34" s="31">
        <f t="shared" si="3"/>
        <v>20221</v>
      </c>
      <c r="AJ34" s="31"/>
      <c r="AK34" s="16">
        <v>832830.63166666671</v>
      </c>
      <c r="AL34" s="16">
        <v>87428901.049999997</v>
      </c>
      <c r="AM34" s="16">
        <v>126778366.33152838</v>
      </c>
      <c r="AN34" s="33">
        <f t="shared" si="13"/>
        <v>152.22586863528133</v>
      </c>
      <c r="AO34" s="32"/>
      <c r="AP34" s="33">
        <f t="shared" si="32"/>
        <v>3304839.9508333337</v>
      </c>
      <c r="AQ34" s="33">
        <f t="shared" si="33"/>
        <v>341127451.88999999</v>
      </c>
      <c r="AR34" s="33">
        <f t="shared" si="34"/>
        <v>494660009.92873329</v>
      </c>
      <c r="AS34" s="33">
        <f t="shared" si="35"/>
        <v>149.67744801196864</v>
      </c>
      <c r="AT34" s="31">
        <f t="shared" si="4"/>
        <v>20221</v>
      </c>
      <c r="AU34" s="31"/>
      <c r="AV34" s="16">
        <v>803454.73249999993</v>
      </c>
      <c r="AW34" s="16">
        <v>329941610.68000001</v>
      </c>
      <c r="AX34" s="16">
        <v>367871123.88257289</v>
      </c>
      <c r="AY34" s="33">
        <f t="shared" si="14"/>
        <v>457.86166787258662</v>
      </c>
      <c r="AZ34" s="32"/>
      <c r="BA34" s="33">
        <f t="shared" si="36"/>
        <v>3185496.3516666666</v>
      </c>
      <c r="BB34" s="33">
        <f t="shared" si="37"/>
        <v>1286692108.6399999</v>
      </c>
      <c r="BC34" s="33">
        <f t="shared" si="38"/>
        <v>1434607993.5801396</v>
      </c>
      <c r="BD34" s="33">
        <f t="shared" si="39"/>
        <v>450.35618792328739</v>
      </c>
      <c r="BE34" s="31">
        <f t="shared" si="5"/>
        <v>20221</v>
      </c>
      <c r="BF34" s="31"/>
      <c r="BG34" s="16">
        <v>1020885.6641666668</v>
      </c>
      <c r="BH34" s="16">
        <v>21433379.789999999</v>
      </c>
      <c r="BI34" s="16">
        <v>22515157.293729715</v>
      </c>
      <c r="BJ34" s="33">
        <f t="shared" si="15"/>
        <v>22.054533709324335</v>
      </c>
      <c r="BK34" s="32"/>
      <c r="BL34" s="33">
        <f t="shared" si="40"/>
        <v>4038770.6974999998</v>
      </c>
      <c r="BM34" s="33">
        <f t="shared" si="41"/>
        <v>83607719.680000007</v>
      </c>
      <c r="BN34" s="33">
        <f t="shared" si="42"/>
        <v>87829720.881714612</v>
      </c>
      <c r="BO34" s="33">
        <f t="shared" si="43"/>
        <v>21.746647051807432</v>
      </c>
      <c r="BP34" s="31">
        <f t="shared" si="6"/>
        <v>20221</v>
      </c>
      <c r="BQ34" s="31"/>
      <c r="BR34" s="16">
        <v>55901.560833333337</v>
      </c>
      <c r="BS34" s="16">
        <v>174964.05</v>
      </c>
      <c r="BT34" s="16">
        <v>142957.79130673164</v>
      </c>
      <c r="BU34" s="33">
        <f t="shared" si="16"/>
        <v>2.5573130548706944</v>
      </c>
      <c r="BV34" s="32"/>
      <c r="BW34" s="33">
        <f t="shared" si="44"/>
        <v>223751.58416666667</v>
      </c>
      <c r="BX34" s="33">
        <f t="shared" si="45"/>
        <v>699842.82000000007</v>
      </c>
      <c r="BY34" s="33">
        <f t="shared" si="46"/>
        <v>571813.45215105428</v>
      </c>
      <c r="BZ34" s="33">
        <f t="shared" si="47"/>
        <v>2.5555727539570201</v>
      </c>
      <c r="CA34" s="31">
        <f t="shared" si="7"/>
        <v>20221</v>
      </c>
      <c r="CB34" s="31"/>
      <c r="CC34" s="16"/>
      <c r="CD34" s="16"/>
      <c r="CE34" s="16"/>
      <c r="CF34" s="33" t="e">
        <f t="shared" si="17"/>
        <v>#DIV/0!</v>
      </c>
      <c r="CG34" s="32"/>
      <c r="CH34" s="33" t="str">
        <f t="shared" si="48"/>
        <v/>
      </c>
      <c r="CI34" s="33" t="str">
        <f t="shared" si="49"/>
        <v/>
      </c>
      <c r="CJ34" s="33" t="str">
        <f t="shared" si="50"/>
        <v/>
      </c>
      <c r="CK34" s="33">
        <f t="shared" si="51"/>
        <v>0</v>
      </c>
      <c r="CL34" s="31">
        <f t="shared" si="8"/>
        <v>20221</v>
      </c>
      <c r="CM34" s="31"/>
      <c r="CN34" s="16"/>
      <c r="CO34" s="16"/>
      <c r="CP34" s="16"/>
      <c r="CQ34" s="33" t="e">
        <f t="shared" si="18"/>
        <v>#DIV/0!</v>
      </c>
      <c r="CR34" s="32"/>
      <c r="CS34" s="33" t="str">
        <f t="shared" si="52"/>
        <v/>
      </c>
      <c r="CT34" s="33" t="str">
        <f t="shared" si="53"/>
        <v/>
      </c>
      <c r="CU34" s="33" t="str">
        <f t="shared" si="54"/>
        <v/>
      </c>
      <c r="CV34" s="33">
        <f t="shared" si="55"/>
        <v>0</v>
      </c>
      <c r="CW34" s="31">
        <f t="shared" si="9"/>
        <v>20221</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20222</v>
      </c>
      <c r="C35" s="31"/>
      <c r="D35" s="14">
        <v>920684.72583333345</v>
      </c>
      <c r="E35" s="14">
        <v>433058496.5</v>
      </c>
      <c r="F35" s="14">
        <v>410113009.29534942</v>
      </c>
      <c r="G35" s="33">
        <f t="shared" si="10"/>
        <v>445.44348112666523</v>
      </c>
      <c r="H35" s="32"/>
      <c r="I35" s="33">
        <f t="shared" si="20"/>
        <v>3658565.3991666669</v>
      </c>
      <c r="J35" s="33">
        <f t="shared" si="21"/>
        <v>1719939433.3199999</v>
      </c>
      <c r="K35" s="33">
        <f t="shared" si="22"/>
        <v>1628808908.0469136</v>
      </c>
      <c r="L35" s="33">
        <f t="shared" si="23"/>
        <v>445.20426187213081</v>
      </c>
      <c r="M35" s="31">
        <f t="shared" si="1"/>
        <v>20222</v>
      </c>
      <c r="N35" s="31"/>
      <c r="O35" s="16">
        <v>519969.83083333331</v>
      </c>
      <c r="P35" s="16">
        <v>17625169.940000001</v>
      </c>
      <c r="Q35" s="16">
        <v>17501773.184294049</v>
      </c>
      <c r="R35" s="33">
        <f t="shared" si="11"/>
        <v>33.659208951113008</v>
      </c>
      <c r="S35" s="32"/>
      <c r="T35" s="33">
        <f t="shared" si="24"/>
        <v>2064982.8174999999</v>
      </c>
      <c r="U35" s="33">
        <f t="shared" si="25"/>
        <v>69952177.299999997</v>
      </c>
      <c r="V35" s="33">
        <f t="shared" si="26"/>
        <v>69462430.434422389</v>
      </c>
      <c r="W35" s="33">
        <f t="shared" si="27"/>
        <v>33.638260737935845</v>
      </c>
      <c r="X35" s="31">
        <f t="shared" si="2"/>
        <v>20222</v>
      </c>
      <c r="Y35" s="31"/>
      <c r="Z35" s="16">
        <v>905146.97499999998</v>
      </c>
      <c r="AA35" s="16">
        <v>81970874.129999995</v>
      </c>
      <c r="AB35" s="16">
        <v>88527577.707625121</v>
      </c>
      <c r="AC35" s="33">
        <f t="shared" si="12"/>
        <v>97.804644055320537</v>
      </c>
      <c r="AD35" s="32"/>
      <c r="AE35" s="33">
        <f t="shared" si="28"/>
        <v>3594918.3233333332</v>
      </c>
      <c r="AF35" s="33">
        <f t="shared" si="29"/>
        <v>324048770.24000001</v>
      </c>
      <c r="AG35" s="33">
        <f t="shared" si="30"/>
        <v>349968851.65560156</v>
      </c>
      <c r="AH35" s="33">
        <f t="shared" si="31"/>
        <v>97.350988305931324</v>
      </c>
      <c r="AI35" s="31">
        <f t="shared" si="3"/>
        <v>20222</v>
      </c>
      <c r="AJ35" s="31"/>
      <c r="AK35" s="16">
        <v>839956.255</v>
      </c>
      <c r="AL35" s="16">
        <v>89435811.400000006</v>
      </c>
      <c r="AM35" s="16">
        <v>129688534.62246147</v>
      </c>
      <c r="AN35" s="33">
        <f t="shared" si="13"/>
        <v>154.39915334931516</v>
      </c>
      <c r="AO35" s="32"/>
      <c r="AP35" s="33">
        <f t="shared" si="32"/>
        <v>3326269.5883333334</v>
      </c>
      <c r="AQ35" s="33">
        <f t="shared" si="33"/>
        <v>347490510.42999995</v>
      </c>
      <c r="AR35" s="33">
        <f t="shared" si="34"/>
        <v>503886914.95538735</v>
      </c>
      <c r="AS35" s="33">
        <f t="shared" si="35"/>
        <v>151.48709434819619</v>
      </c>
      <c r="AT35" s="31">
        <f t="shared" si="4"/>
        <v>20222</v>
      </c>
      <c r="AU35" s="31"/>
      <c r="AV35" s="16">
        <v>810637.33666666655</v>
      </c>
      <c r="AW35" s="16">
        <v>337823756.04000002</v>
      </c>
      <c r="AX35" s="16">
        <v>376659386.95194745</v>
      </c>
      <c r="AY35" s="33">
        <f t="shared" si="14"/>
        <v>464.64598892122029</v>
      </c>
      <c r="AZ35" s="32"/>
      <c r="BA35" s="33">
        <f t="shared" si="36"/>
        <v>3208035.395833333</v>
      </c>
      <c r="BB35" s="33">
        <f t="shared" si="37"/>
        <v>1311308610.3399999</v>
      </c>
      <c r="BC35" s="33">
        <f t="shared" si="38"/>
        <v>1462054365.4632516</v>
      </c>
      <c r="BD35" s="33">
        <f t="shared" si="39"/>
        <v>455.74757914523013</v>
      </c>
      <c r="BE35" s="31">
        <f t="shared" si="5"/>
        <v>20222</v>
      </c>
      <c r="BF35" s="31"/>
      <c r="BG35" s="16">
        <v>1032011.0416666667</v>
      </c>
      <c r="BH35" s="16">
        <v>21914326.129999999</v>
      </c>
      <c r="BI35" s="16">
        <v>23019936.756430712</v>
      </c>
      <c r="BJ35" s="33">
        <f t="shared" si="15"/>
        <v>22.305901610562429</v>
      </c>
      <c r="BK35" s="32"/>
      <c r="BL35" s="33">
        <f t="shared" si="40"/>
        <v>4073791.7558333334</v>
      </c>
      <c r="BM35" s="33">
        <f t="shared" si="41"/>
        <v>85156649.969999999</v>
      </c>
      <c r="BN35" s="33">
        <f t="shared" si="42"/>
        <v>89455349.088820487</v>
      </c>
      <c r="BO35" s="33">
        <f t="shared" si="43"/>
        <v>21.958743708665967</v>
      </c>
      <c r="BP35" s="31">
        <f t="shared" si="6"/>
        <v>20222</v>
      </c>
      <c r="BQ35" s="31"/>
      <c r="BR35" s="16">
        <v>56359.81</v>
      </c>
      <c r="BS35" s="16">
        <v>176604.71</v>
      </c>
      <c r="BT35" s="16">
        <v>144300.32646502534</v>
      </c>
      <c r="BU35" s="33">
        <f t="shared" si="16"/>
        <v>2.5603408965542176</v>
      </c>
      <c r="BV35" s="32"/>
      <c r="BW35" s="33">
        <f t="shared" si="44"/>
        <v>224096.62833333336</v>
      </c>
      <c r="BX35" s="33">
        <f t="shared" si="45"/>
        <v>700883.69</v>
      </c>
      <c r="BY35" s="33">
        <f t="shared" si="46"/>
        <v>572668.88674600469</v>
      </c>
      <c r="BZ35" s="33">
        <f t="shared" si="47"/>
        <v>2.5554551668407357</v>
      </c>
      <c r="CA35" s="31">
        <f t="shared" si="7"/>
        <v>20222</v>
      </c>
      <c r="CB35" s="31"/>
      <c r="CC35" s="16"/>
      <c r="CD35" s="16"/>
      <c r="CE35" s="16"/>
      <c r="CF35" s="33" t="e">
        <f t="shared" si="17"/>
        <v>#DIV/0!</v>
      </c>
      <c r="CG35" s="32"/>
      <c r="CH35" s="33" t="str">
        <f t="shared" si="48"/>
        <v/>
      </c>
      <c r="CI35" s="33" t="str">
        <f t="shared" si="49"/>
        <v/>
      </c>
      <c r="CJ35" s="33" t="str">
        <f t="shared" si="50"/>
        <v/>
      </c>
      <c r="CK35" s="33">
        <f t="shared" si="51"/>
        <v>0</v>
      </c>
      <c r="CL35" s="31">
        <f t="shared" si="8"/>
        <v>20222</v>
      </c>
      <c r="CM35" s="31"/>
      <c r="CN35" s="16"/>
      <c r="CO35" s="16"/>
      <c r="CP35" s="16"/>
      <c r="CQ35" s="33" t="e">
        <f t="shared" si="18"/>
        <v>#DIV/0!</v>
      </c>
      <c r="CR35" s="32"/>
      <c r="CS35" s="33" t="str">
        <f t="shared" si="52"/>
        <v/>
      </c>
      <c r="CT35" s="33" t="str">
        <f t="shared" si="53"/>
        <v/>
      </c>
      <c r="CU35" s="33" t="str">
        <f t="shared" si="54"/>
        <v/>
      </c>
      <c r="CV35" s="33">
        <f t="shared" si="55"/>
        <v>0</v>
      </c>
      <c r="CW35" s="31">
        <f t="shared" si="9"/>
        <v>20222</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20223</v>
      </c>
      <c r="C36" s="31"/>
      <c r="D36" s="14">
        <v>927188.62583333335</v>
      </c>
      <c r="E36" s="14">
        <v>437653750.61000001</v>
      </c>
      <c r="F36" s="14">
        <v>414464785.11030316</v>
      </c>
      <c r="G36" s="33">
        <f t="shared" si="10"/>
        <v>447.01237004260361</v>
      </c>
      <c r="H36" s="32"/>
      <c r="I36" s="33">
        <f t="shared" si="20"/>
        <v>3675597.9133333336</v>
      </c>
      <c r="J36" s="33">
        <f t="shared" si="21"/>
        <v>1728857568.2000003</v>
      </c>
      <c r="K36" s="33">
        <f t="shared" si="22"/>
        <v>1637254517.9645073</v>
      </c>
      <c r="L36" s="33">
        <f t="shared" si="23"/>
        <v>445.43896165174135</v>
      </c>
      <c r="M36" s="31">
        <f>IF(RIGHT(M37,1)="1",M37-7,M37-1)</f>
        <v>20223</v>
      </c>
      <c r="N36" s="31"/>
      <c r="O36" s="16">
        <v>523240.04916666663</v>
      </c>
      <c r="P36" s="16">
        <v>17805215.91</v>
      </c>
      <c r="Q36" s="16">
        <v>17680558.622415401</v>
      </c>
      <c r="R36" s="33">
        <f t="shared" si="11"/>
        <v>33.790530083800306</v>
      </c>
      <c r="S36" s="32"/>
      <c r="T36" s="33">
        <f t="shared" si="24"/>
        <v>2075214.4208333332</v>
      </c>
      <c r="U36" s="33">
        <f t="shared" si="25"/>
        <v>70334909.319999993</v>
      </c>
      <c r="V36" s="33">
        <f t="shared" si="26"/>
        <v>69842482.883687288</v>
      </c>
      <c r="W36" s="33">
        <f t="shared" si="27"/>
        <v>33.655550087995728</v>
      </c>
      <c r="X36" s="31">
        <f>IF(RIGHT(X37,1)="1",X37-7,X37-1)</f>
        <v>20223</v>
      </c>
      <c r="Y36" s="31"/>
      <c r="Z36" s="16">
        <v>911794.99416666664</v>
      </c>
      <c r="AA36" s="16">
        <v>83089446.370000005</v>
      </c>
      <c r="AB36" s="16">
        <v>89735622.540002376</v>
      </c>
      <c r="AC36" s="33">
        <f t="shared" si="12"/>
        <v>98.416445707750441</v>
      </c>
      <c r="AD36" s="32"/>
      <c r="AE36" s="33">
        <f t="shared" si="28"/>
        <v>3612921.8816666664</v>
      </c>
      <c r="AF36" s="33">
        <f t="shared" si="29"/>
        <v>326775068.14999998</v>
      </c>
      <c r="AG36" s="33">
        <f t="shared" si="30"/>
        <v>352913221.2581374</v>
      </c>
      <c r="AH36" s="33">
        <f t="shared" si="31"/>
        <v>97.680833634669142</v>
      </c>
      <c r="AI36" s="31">
        <f>IF(RIGHT(AI37,1)="1",AI37-7,AI37-1)</f>
        <v>20223</v>
      </c>
      <c r="AJ36" s="31"/>
      <c r="AK36" s="16">
        <v>847517.01750000007</v>
      </c>
      <c r="AL36" s="16">
        <v>91722528.200000003</v>
      </c>
      <c r="AM36" s="16">
        <v>133004442.93979311</v>
      </c>
      <c r="AN36" s="33">
        <f t="shared" si="13"/>
        <v>156.93424461508596</v>
      </c>
      <c r="AO36" s="32"/>
      <c r="AP36" s="33">
        <f t="shared" si="32"/>
        <v>3349235.4425000004</v>
      </c>
      <c r="AQ36" s="33">
        <f t="shared" si="33"/>
        <v>354578102.72000003</v>
      </c>
      <c r="AR36" s="33">
        <f t="shared" si="34"/>
        <v>514164447.45275068</v>
      </c>
      <c r="AS36" s="33">
        <f t="shared" si="35"/>
        <v>153.51696119307701</v>
      </c>
      <c r="AT36" s="31">
        <f>IF(RIGHT(AT37,1)="1",AT37-7,AT37-1)</f>
        <v>20223</v>
      </c>
      <c r="AU36" s="31"/>
      <c r="AV36" s="16">
        <v>818206.96583333332</v>
      </c>
      <c r="AW36" s="16">
        <v>346715969.55000001</v>
      </c>
      <c r="AX36" s="16">
        <v>386573833.84752291</v>
      </c>
      <c r="AY36" s="33">
        <f t="shared" si="14"/>
        <v>472.46460857712498</v>
      </c>
      <c r="AZ36" s="32"/>
      <c r="BA36" s="33">
        <f t="shared" si="36"/>
        <v>3231682.9616666664</v>
      </c>
      <c r="BB36" s="33">
        <f t="shared" si="37"/>
        <v>1338824924.1099999</v>
      </c>
      <c r="BC36" s="33">
        <f t="shared" si="38"/>
        <v>1492733906.7639482</v>
      </c>
      <c r="BD36" s="33">
        <f t="shared" si="39"/>
        <v>461.90604848010986</v>
      </c>
      <c r="BE36" s="31">
        <f>IF(RIGHT(BE37,1)="1",BE37-7,BE37-1)</f>
        <v>20223</v>
      </c>
      <c r="BF36" s="31"/>
      <c r="BG36" s="16">
        <v>1043890.0125</v>
      </c>
      <c r="BH36" s="16">
        <v>22430641.010000002</v>
      </c>
      <c r="BI36" s="16">
        <v>23561844.335099287</v>
      </c>
      <c r="BJ36" s="33">
        <f t="shared" si="15"/>
        <v>22.571194333655232</v>
      </c>
      <c r="BK36" s="32"/>
      <c r="BL36" s="33">
        <f t="shared" si="40"/>
        <v>4111099.4383333335</v>
      </c>
      <c r="BM36" s="33">
        <f t="shared" si="41"/>
        <v>86857313.420000002</v>
      </c>
      <c r="BN36" s="33">
        <f t="shared" si="42"/>
        <v>91240196.503903896</v>
      </c>
      <c r="BO36" s="33">
        <f t="shared" si="43"/>
        <v>22.193624326657801</v>
      </c>
      <c r="BP36" s="31">
        <f>IF(RIGHT(BP37,1)="1",BP37-7,BP37-1)</f>
        <v>20223</v>
      </c>
      <c r="BQ36" s="31"/>
      <c r="BR36" s="16">
        <v>56692.342499999999</v>
      </c>
      <c r="BS36" s="16">
        <v>177800.84</v>
      </c>
      <c r="BT36" s="16">
        <v>145279.49519516242</v>
      </c>
      <c r="BU36" s="33">
        <f t="shared" si="16"/>
        <v>2.5625946783758744</v>
      </c>
      <c r="BV36" s="32"/>
      <c r="BW36" s="33">
        <f t="shared" si="44"/>
        <v>224714.23250000001</v>
      </c>
      <c r="BX36" s="33">
        <f t="shared" si="45"/>
        <v>703292.21</v>
      </c>
      <c r="BY36" s="33">
        <f t="shared" si="46"/>
        <v>574642.70872988901</v>
      </c>
      <c r="BZ36" s="33">
        <f t="shared" si="47"/>
        <v>2.5572154568798351</v>
      </c>
      <c r="CA36" s="31">
        <f>IF(RIGHT(CA37,1)="1",CA37-7,CA37-1)</f>
        <v>20223</v>
      </c>
      <c r="CB36" s="31"/>
      <c r="CC36" s="16"/>
      <c r="CD36" s="16"/>
      <c r="CE36" s="16"/>
      <c r="CF36" s="33" t="e">
        <f t="shared" si="17"/>
        <v>#DIV/0!</v>
      </c>
      <c r="CG36" s="32"/>
      <c r="CH36" s="33" t="str">
        <f t="shared" si="48"/>
        <v/>
      </c>
      <c r="CI36" s="33" t="str">
        <f t="shared" si="49"/>
        <v/>
      </c>
      <c r="CJ36" s="33" t="str">
        <f t="shared" si="50"/>
        <v/>
      </c>
      <c r="CK36" s="33">
        <f t="shared" si="51"/>
        <v>0</v>
      </c>
      <c r="CL36" s="31">
        <f>IF(RIGHT(CL37,1)="1",CL37-7,CL37-1)</f>
        <v>20223</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20223</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20224</v>
      </c>
      <c r="C37" s="27"/>
      <c r="D37" s="14">
        <v>939206.83583333332</v>
      </c>
      <c r="E37" s="14">
        <v>446192336.54000002</v>
      </c>
      <c r="F37" s="14">
        <v>422550956.37626565</v>
      </c>
      <c r="G37" s="33">
        <f>F37/D37</f>
        <v>449.90191750611291</v>
      </c>
      <c r="H37" s="32"/>
      <c r="I37" s="33">
        <f t="shared" si="20"/>
        <v>3701940.416666667</v>
      </c>
      <c r="J37" s="33">
        <f t="shared" si="21"/>
        <v>1746347050.4499998</v>
      </c>
      <c r="K37" s="33">
        <f t="shared" si="22"/>
        <v>1653817324.7320337</v>
      </c>
      <c r="L37" s="33">
        <f t="shared" si="23"/>
        <v>446.7433666102001</v>
      </c>
      <c r="M37" s="133">
        <f>$B$37</f>
        <v>20224</v>
      </c>
      <c r="N37" s="27"/>
      <c r="O37" s="16">
        <v>529018.3716666667</v>
      </c>
      <c r="P37" s="16">
        <v>18133446.719999999</v>
      </c>
      <c r="Q37" s="16">
        <v>18006491.433745623</v>
      </c>
      <c r="R37" s="33">
        <f>Q37/O37</f>
        <v>34.037554077784414</v>
      </c>
      <c r="S37" s="32"/>
      <c r="T37" s="33">
        <f t="shared" si="24"/>
        <v>2089086.3066666666</v>
      </c>
      <c r="U37" s="33">
        <f t="shared" si="25"/>
        <v>71035922.579999998</v>
      </c>
      <c r="V37" s="33">
        <f t="shared" si="26"/>
        <v>70538588.232882142</v>
      </c>
      <c r="W37" s="33">
        <f t="shared" si="27"/>
        <v>33.765281983697975</v>
      </c>
      <c r="X37" s="133">
        <f>$B$37</f>
        <v>20224</v>
      </c>
      <c r="Y37" s="27"/>
      <c r="Z37" s="16">
        <v>923832.40499999991</v>
      </c>
      <c r="AA37" s="16">
        <v>84869678.079999998</v>
      </c>
      <c r="AB37" s="16">
        <v>91658251.799691141</v>
      </c>
      <c r="AC37" s="33">
        <f>AB37/Z37</f>
        <v>99.215237854414895</v>
      </c>
      <c r="AD37" s="32"/>
      <c r="AE37" s="33">
        <f t="shared" si="28"/>
        <v>3639880.6199999996</v>
      </c>
      <c r="AF37" s="33">
        <f t="shared" si="29"/>
        <v>330977476.88</v>
      </c>
      <c r="AG37" s="33">
        <f t="shared" si="30"/>
        <v>357451773.14443624</v>
      </c>
      <c r="AH37" s="33">
        <f t="shared" si="31"/>
        <v>98.204257354032748</v>
      </c>
      <c r="AI37" s="133">
        <f>$B$37</f>
        <v>20224</v>
      </c>
      <c r="AJ37" s="27"/>
      <c r="AK37" s="16">
        <v>859821.48166666657</v>
      </c>
      <c r="AL37" s="16">
        <v>94759605.239999995</v>
      </c>
      <c r="AM37" s="16">
        <v>137408429.04656109</v>
      </c>
      <c r="AN37" s="33">
        <f>AM37/AK37</f>
        <v>159.81041643692177</v>
      </c>
      <c r="AO37" s="32"/>
      <c r="AP37" s="33">
        <f t="shared" si="32"/>
        <v>3380125.3858333332</v>
      </c>
      <c r="AQ37" s="33">
        <f t="shared" si="33"/>
        <v>363346845.88999999</v>
      </c>
      <c r="AR37" s="33">
        <f t="shared" si="34"/>
        <v>526879772.9403441</v>
      </c>
      <c r="AS37" s="33">
        <f t="shared" si="35"/>
        <v>155.87580719596519</v>
      </c>
      <c r="AT37" s="133">
        <f>$B$37</f>
        <v>20224</v>
      </c>
      <c r="AU37" s="27"/>
      <c r="AV37" s="16">
        <v>830433.61833333329</v>
      </c>
      <c r="AW37" s="16">
        <v>359368405.56999999</v>
      </c>
      <c r="AX37" s="16">
        <v>400680771.88706583</v>
      </c>
      <c r="AY37" s="33">
        <f>AX37/AV37</f>
        <v>482.49584679775563</v>
      </c>
      <c r="AZ37" s="32"/>
      <c r="BA37" s="33">
        <f t="shared" si="36"/>
        <v>3262732.6533333329</v>
      </c>
      <c r="BB37" s="33">
        <f t="shared" si="37"/>
        <v>1373849741.8399999</v>
      </c>
      <c r="BC37" s="33">
        <f t="shared" si="38"/>
        <v>1531785116.5691092</v>
      </c>
      <c r="BD37" s="33">
        <f t="shared" si="39"/>
        <v>469.47920020482792</v>
      </c>
      <c r="BE37" s="133">
        <f>$B$37</f>
        <v>20224</v>
      </c>
      <c r="BF37" s="27"/>
      <c r="BG37" s="16">
        <v>1063292.1741666668</v>
      </c>
      <c r="BH37" s="16">
        <v>23144310</v>
      </c>
      <c r="BI37" s="16">
        <v>24311011.0674766</v>
      </c>
      <c r="BJ37" s="33">
        <f>BI37/BG37</f>
        <v>22.863904821391028</v>
      </c>
      <c r="BK37" s="32"/>
      <c r="BL37" s="33">
        <f t="shared" si="40"/>
        <v>4160078.8925000005</v>
      </c>
      <c r="BM37" s="33">
        <f t="shared" si="41"/>
        <v>88922656.930000007</v>
      </c>
      <c r="BN37" s="33">
        <f t="shared" si="42"/>
        <v>93407949.452736318</v>
      </c>
      <c r="BO37" s="33">
        <f t="shared" si="43"/>
        <v>22.453408184430558</v>
      </c>
      <c r="BP37" s="133">
        <f>$B$37</f>
        <v>20224</v>
      </c>
      <c r="BQ37" s="27"/>
      <c r="BR37" s="16">
        <v>57470.159999999996</v>
      </c>
      <c r="BS37" s="16">
        <v>180340.66</v>
      </c>
      <c r="BT37" s="16">
        <v>147355.3060669713</v>
      </c>
      <c r="BU37" s="33">
        <f>BT37/BR37</f>
        <v>2.5640315959964495</v>
      </c>
      <c r="BV37" s="32"/>
      <c r="BW37" s="33">
        <f t="shared" si="44"/>
        <v>226423.87333333332</v>
      </c>
      <c r="BX37" s="33">
        <f t="shared" si="45"/>
        <v>709710.26</v>
      </c>
      <c r="BY37" s="33">
        <f t="shared" si="46"/>
        <v>579892.91903389071</v>
      </c>
      <c r="BZ37" s="33">
        <f t="shared" si="47"/>
        <v>2.5610944221424594</v>
      </c>
      <c r="CA37" s="133">
        <f>$B$37</f>
        <v>20224</v>
      </c>
      <c r="CB37" s="27"/>
      <c r="CC37" s="16"/>
      <c r="CD37" s="16"/>
      <c r="CE37" s="16"/>
      <c r="CF37" s="33" t="e">
        <f>CE37/CC37</f>
        <v>#DIV/0!</v>
      </c>
      <c r="CG37" s="32"/>
      <c r="CH37" s="33" t="str">
        <f t="shared" si="48"/>
        <v/>
      </c>
      <c r="CI37" s="33" t="str">
        <f t="shared" si="49"/>
        <v/>
      </c>
      <c r="CJ37" s="33" t="str">
        <f t="shared" si="50"/>
        <v/>
      </c>
      <c r="CK37" s="33">
        <f t="shared" si="51"/>
        <v>0</v>
      </c>
      <c r="CL37" s="133">
        <f>$B$37</f>
        <v>20224</v>
      </c>
      <c r="CM37" s="27"/>
      <c r="CN37" s="16"/>
      <c r="CO37" s="16"/>
      <c r="CP37" s="16"/>
      <c r="CQ37" s="33" t="e">
        <f>CP37/CN37</f>
        <v>#DIV/0!</v>
      </c>
      <c r="CR37" s="32"/>
      <c r="CS37" s="33" t="str">
        <f t="shared" si="52"/>
        <v/>
      </c>
      <c r="CT37" s="33" t="str">
        <f t="shared" si="53"/>
        <v/>
      </c>
      <c r="CU37" s="33" t="str">
        <f t="shared" si="54"/>
        <v/>
      </c>
      <c r="CV37" s="33">
        <f t="shared" si="55"/>
        <v>0</v>
      </c>
      <c r="CW37" s="133">
        <f>$B$37</f>
        <v>20224</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189</v>
      </c>
      <c r="O38" s="25" t="s">
        <v>189</v>
      </c>
      <c r="Z38" s="25" t="s">
        <v>189</v>
      </c>
      <c r="AK38" s="25" t="s">
        <v>189</v>
      </c>
      <c r="AV38" s="25" t="s">
        <v>189</v>
      </c>
      <c r="BG38" s="25" t="s">
        <v>189</v>
      </c>
      <c r="BR38" s="25" t="s">
        <v>189</v>
      </c>
      <c r="CC38" s="25" t="s">
        <v>189</v>
      </c>
      <c r="CN38" s="25" t="s">
        <v>189</v>
      </c>
      <c r="CY38" s="25" t="s">
        <v>189</v>
      </c>
    </row>
    <row r="39" spans="1:111" ht="14.25" customHeight="1" thickBot="1" x14ac:dyDescent="0.3">
      <c r="E39" s="87" t="s">
        <v>31</v>
      </c>
      <c r="K39" s="222" t="s">
        <v>174</v>
      </c>
      <c r="L39" s="83" t="s">
        <v>6</v>
      </c>
      <c r="P39" s="87" t="s">
        <v>31</v>
      </c>
      <c r="V39" s="222" t="s">
        <v>174</v>
      </c>
      <c r="W39" s="83" t="s">
        <v>6</v>
      </c>
      <c r="AA39" s="87" t="s">
        <v>31</v>
      </c>
      <c r="AG39" s="222" t="s">
        <v>174</v>
      </c>
      <c r="AH39" s="83" t="s">
        <v>6</v>
      </c>
      <c r="AL39" s="87" t="s">
        <v>31</v>
      </c>
      <c r="AR39" s="222" t="s">
        <v>174</v>
      </c>
      <c r="AS39" s="83" t="s">
        <v>6</v>
      </c>
      <c r="AW39" s="87" t="s">
        <v>31</v>
      </c>
      <c r="BC39" s="222" t="s">
        <v>174</v>
      </c>
      <c r="BD39" s="83" t="s">
        <v>6</v>
      </c>
      <c r="BH39" s="87" t="s">
        <v>31</v>
      </c>
      <c r="BN39" s="222" t="s">
        <v>174</v>
      </c>
      <c r="BO39" s="83" t="s">
        <v>6</v>
      </c>
      <c r="BS39" s="87" t="s">
        <v>31</v>
      </c>
      <c r="BY39" s="222" t="s">
        <v>174</v>
      </c>
      <c r="BZ39" s="83" t="s">
        <v>6</v>
      </c>
      <c r="CD39" s="87" t="s">
        <v>31</v>
      </c>
      <c r="CJ39" s="222" t="s">
        <v>174</v>
      </c>
      <c r="CK39" s="83" t="s">
        <v>6</v>
      </c>
      <c r="CO39" s="87" t="s">
        <v>31</v>
      </c>
      <c r="CU39" s="222" t="s">
        <v>174</v>
      </c>
      <c r="CV39" s="83" t="s">
        <v>6</v>
      </c>
      <c r="CZ39" s="87" t="s">
        <v>31</v>
      </c>
      <c r="DF39" s="222" t="s">
        <v>174</v>
      </c>
      <c r="DG39" s="83" t="s">
        <v>6</v>
      </c>
    </row>
    <row r="40" spans="1:111" ht="15.75" thickBot="1" x14ac:dyDescent="0.3">
      <c r="B40" s="25" t="s">
        <v>12</v>
      </c>
      <c r="D40" s="86" t="s">
        <v>8</v>
      </c>
      <c r="E40" s="88">
        <f>VLOOKUP($D$40,$K$40:$L$44,2,FALSE)</f>
        <v>-1.7795863553062063E-2</v>
      </c>
      <c r="F40" s="135" t="str">
        <f>IF($D$40&lt;&gt;'4.Exhibit 8'!$D$40,"ERROR!  The number of data points selected must be","")</f>
        <v/>
      </c>
      <c r="K40" s="70" t="s">
        <v>7</v>
      </c>
      <c r="L40" s="220">
        <f>LOGEST(L30:L$37)^4-1</f>
        <v>-1.1391567722071172E-2</v>
      </c>
      <c r="M40" s="25" t="s">
        <v>12</v>
      </c>
      <c r="O40" s="86" t="s">
        <v>9</v>
      </c>
      <c r="P40" s="88">
        <f>VLOOKUP($O$40,$V$40:$W$44,2,FALSE)</f>
        <v>-2.0320619671540308E-2</v>
      </c>
      <c r="Q40" s="135" t="str">
        <f>IF($O$40&lt;&gt;'4.Exhibit 8'!$V$40,"ERROR!  The number of data points selected must be","")</f>
        <v/>
      </c>
      <c r="V40" s="70" t="s">
        <v>7</v>
      </c>
      <c r="W40" s="220">
        <f>LOGEST(W30:W$37)^4-1</f>
        <v>-1.125816328478757E-2</v>
      </c>
      <c r="X40" s="25" t="s">
        <v>12</v>
      </c>
      <c r="Z40" s="86" t="s">
        <v>9</v>
      </c>
      <c r="AA40" s="88">
        <f>VLOOKUP($Z$40,$AG$40:$AH$44,2,FALSE)</f>
        <v>-1.2662254125551997E-2</v>
      </c>
      <c r="AB40" s="135" t="str">
        <f>IF($Z$40&lt;&gt;'4.Exhibit 8'!$AN$40,"ERROR!  The number of data points selected must be","")</f>
        <v/>
      </c>
      <c r="AG40" s="70" t="s">
        <v>7</v>
      </c>
      <c r="AH40" s="220">
        <f>LOGEST(AH30:AH$37)^4-1</f>
        <v>-1.5167639063206062E-3</v>
      </c>
      <c r="AI40" s="25" t="s">
        <v>12</v>
      </c>
      <c r="AK40" s="86" t="s">
        <v>9</v>
      </c>
      <c r="AL40" s="88">
        <f>VLOOKUP($AK$40,$AR$40:$AS$44,2,FALSE)</f>
        <v>3.6244444136904974E-2</v>
      </c>
      <c r="AM40" s="135" t="str">
        <f>IF($AK$40&lt;&gt;'4.Exhibit 8'!$BF$40,"ERROR!  The number of data points selected must be","")</f>
        <v/>
      </c>
      <c r="AR40" s="70" t="s">
        <v>7</v>
      </c>
      <c r="AS40" s="220">
        <f>LOGEST(AS30:AS$37)^4-1</f>
        <v>5.0631206302753418E-2</v>
      </c>
      <c r="AT40" s="25" t="s">
        <v>12</v>
      </c>
      <c r="AV40" s="86" t="s">
        <v>9</v>
      </c>
      <c r="AW40" s="88">
        <f>VLOOKUP($AV$40,$BC$40:$BD$44,2,FALSE)</f>
        <v>3.2926462782541632E-2</v>
      </c>
      <c r="AX40" s="135" t="str">
        <f>IF($AV$40&lt;&gt;'4.Exhibit 8'!$BX$40,"ERROR!  The number of data points selected must be","")</f>
        <v/>
      </c>
      <c r="BC40" s="70" t="s">
        <v>7</v>
      </c>
      <c r="BD40" s="220">
        <f>LOGEST(BD30:BD$37)^4-1</f>
        <v>4.6694555145626371E-2</v>
      </c>
      <c r="BE40" s="25" t="s">
        <v>12</v>
      </c>
      <c r="BG40" s="86" t="s">
        <v>9</v>
      </c>
      <c r="BH40" s="88">
        <f>VLOOKUP($BG$40,$BN$40:$BO$44,2,FALSE)</f>
        <v>2.288818565758155E-2</v>
      </c>
      <c r="BI40" s="135" t="str">
        <f>IF($BG$40&lt;&gt;'4.Exhibit 8'!$CP$40,"ERROR!  The number of data points selected must be","")</f>
        <v/>
      </c>
      <c r="BN40" s="70" t="s">
        <v>7</v>
      </c>
      <c r="BO40" s="220">
        <f>LOGEST(BO30:BO$37)^4-1</f>
        <v>3.3994444856883854E-2</v>
      </c>
      <c r="BP40" s="25" t="s">
        <v>12</v>
      </c>
      <c r="BR40" s="86" t="s">
        <v>11</v>
      </c>
      <c r="BS40" s="88">
        <f>VLOOKUP($BR$40,$BY$40:$BZ$44,2,FALSE)</f>
        <v>6.6352283652639787E-3</v>
      </c>
      <c r="BT40" s="135" t="str">
        <f>IF($BR$40&lt;&gt;'4.Exhibit 8'!$DH$40,"ERROR!  The number of data points selected must be","")</f>
        <v/>
      </c>
      <c r="BY40" s="70" t="s">
        <v>7</v>
      </c>
      <c r="BZ40" s="220">
        <f>LOGEST(BZ30:BZ$37)^4-1</f>
        <v>1.1520710283663416E-3</v>
      </c>
      <c r="CA40" s="25" t="s">
        <v>12</v>
      </c>
      <c r="CC40" s="86"/>
      <c r="CD40" s="88" t="e">
        <f>VLOOKUP($CC$40,$CJ$40:$CK$44,2,FALSE)</f>
        <v>#N/A</v>
      </c>
      <c r="CE40" s="135" t="str">
        <f>IF($CC$40&lt;&gt;'4.Exhibit 8'!$DZ$40,"ERROR!  The number of data points selected must be","")</f>
        <v/>
      </c>
      <c r="CJ40" s="70" t="s">
        <v>7</v>
      </c>
      <c r="CK40" s="220" t="e">
        <f>LOGEST(CK30:CK$37)^4-1</f>
        <v>#NUM!</v>
      </c>
      <c r="CL40" s="25" t="s">
        <v>12</v>
      </c>
      <c r="CN40" s="86"/>
      <c r="CO40" s="88" t="e">
        <f>VLOOKUP($CN$40,$CU$40:$CV$44,2,FALSE)</f>
        <v>#N/A</v>
      </c>
      <c r="CP40" s="135" t="str">
        <f>IF($CN$40&lt;&gt;'4.Exhibit 8'!$ER$40,"ERROR!  The number of data points selected must be","")</f>
        <v/>
      </c>
      <c r="CU40" s="70" t="s">
        <v>7</v>
      </c>
      <c r="CV40" s="220" t="e">
        <f>LOGEST(CV30:CV$37)^4-1</f>
        <v>#NUM!</v>
      </c>
      <c r="CW40" s="25" t="s">
        <v>12</v>
      </c>
      <c r="CY40" s="86"/>
      <c r="CZ40" s="88" t="e">
        <f>VLOOKUP($CY$40,$DF$40:$DG$44,2,FALSE)</f>
        <v>#N/A</v>
      </c>
      <c r="DA40" s="135" t="str">
        <f>IF($CY$40&lt;&gt;'4.Exhibit 8'!$FJ$40,"ERROR!  The number of data points selected must be","")</f>
        <v/>
      </c>
      <c r="DF40" s="70" t="s">
        <v>7</v>
      </c>
      <c r="DG40" s="220" t="e">
        <f>LOGEST(DG30:DG$37)^4-1</f>
        <v>#NUM!</v>
      </c>
    </row>
    <row r="41" spans="1:111" x14ac:dyDescent="0.25">
      <c r="F41" s="136" t="str">
        <f>IF($D$40&lt;&gt;'4.Exhibit 8'!$D$40,"the same for premium trend and loss trend.","")</f>
        <v/>
      </c>
      <c r="G41" s="37"/>
      <c r="K41" s="70" t="s">
        <v>8</v>
      </c>
      <c r="L41" s="220">
        <f>LOGEST(L26:L$37)^4-1</f>
        <v>-1.7795863553062063E-2</v>
      </c>
      <c r="Q41" s="136" t="str">
        <f>IF($O$40&lt;&gt;'4.Exhibit 8'!$V$40,"the same for premium trend and loss trend.","")</f>
        <v/>
      </c>
      <c r="R41" s="37"/>
      <c r="V41" s="70" t="s">
        <v>8</v>
      </c>
      <c r="W41" s="220">
        <f>LOGEST(W26:W$37)^4-1</f>
        <v>-1.6856986606655577E-2</v>
      </c>
      <c r="AB41" s="136" t="str">
        <f>IF($Z$40&lt;&gt;'4.Exhibit 8'!$AN$40,"the same for premium trend and loss trend.","")</f>
        <v/>
      </c>
      <c r="AC41" s="37"/>
      <c r="AG41" s="70" t="s">
        <v>8</v>
      </c>
      <c r="AH41" s="220">
        <f>LOGEST(AH26:AH$37)^4-1</f>
        <v>-8.8199422036258079E-3</v>
      </c>
      <c r="AM41" s="136" t="str">
        <f>IF($AK$40&lt;&gt;'4.Exhibit 8'!$BF$40,"the same for premium trend and loss trend.","")</f>
        <v/>
      </c>
      <c r="AN41" s="37"/>
      <c r="AR41" s="70" t="s">
        <v>8</v>
      </c>
      <c r="AS41" s="220">
        <f>LOGEST(AS26:AS$37)^4-1</f>
        <v>4.3183861216936181E-2</v>
      </c>
      <c r="AX41" s="136" t="str">
        <f>IF($AV$40&lt;&gt;'4.Exhibit 8'!$BX$40,"the same for premium trend and loss trend.","")</f>
        <v/>
      </c>
      <c r="AY41" s="37"/>
      <c r="BC41" s="70" t="s">
        <v>8</v>
      </c>
      <c r="BD41" s="220">
        <f>LOGEST(BD26:BD$37)^4-1</f>
        <v>3.7668572480020535E-2</v>
      </c>
      <c r="BI41" s="136" t="str">
        <f>IF($BG$40&lt;&gt;'4.Exhibit 8'!$CP$40,"the same for premium trend and loss trend.","")</f>
        <v/>
      </c>
      <c r="BJ41" s="37"/>
      <c r="BN41" s="70" t="s">
        <v>8</v>
      </c>
      <c r="BO41" s="220">
        <f>LOGEST(BO26:BO$37)^4-1</f>
        <v>2.6648144181450117E-2</v>
      </c>
      <c r="BT41" s="136" t="str">
        <f>IF($BR$40&lt;&gt;'4.Exhibit 8'!$DH$40,"the same for premium trend and loss trend.","")</f>
        <v/>
      </c>
      <c r="BU41" s="37"/>
      <c r="BY41" s="70" t="s">
        <v>8</v>
      </c>
      <c r="BZ41" s="220">
        <f>LOGEST(BZ26:BZ$37)^4-1</f>
        <v>3.5683309182161782E-3</v>
      </c>
      <c r="CE41" s="136" t="str">
        <f>IF($CC$40&lt;&gt;'4.Exhibit 8'!$DZ$40,"the same for premium trend and loss trend.","")</f>
        <v/>
      </c>
      <c r="CF41" s="37"/>
      <c r="CJ41" s="70" t="s">
        <v>8</v>
      </c>
      <c r="CK41" s="220" t="e">
        <f>LOGEST(CK26:CK$37)^4-1</f>
        <v>#NUM!</v>
      </c>
      <c r="CP41" s="136" t="str">
        <f>IF($CN$40&lt;&gt;'4.Exhibit 8'!$ER$40,"the same for premium trend and loss trend.","")</f>
        <v/>
      </c>
      <c r="CQ41" s="37"/>
      <c r="CU41" s="70" t="s">
        <v>8</v>
      </c>
      <c r="CV41" s="220" t="e">
        <f>LOGEST(CV26:CV$37)^4-1</f>
        <v>#NUM!</v>
      </c>
      <c r="DA41" s="136" t="str">
        <f>IF($CY$40&lt;&gt;'4.Exhibit 8'!$FJ$40,"the same for premium trend and loss trend.","")</f>
        <v/>
      </c>
      <c r="DB41" s="37"/>
      <c r="DF41" s="70" t="s">
        <v>8</v>
      </c>
      <c r="DG41" s="220" t="e">
        <f>LOGEST(DG26:DG$37)^4-1</f>
        <v>#NUM!</v>
      </c>
    </row>
    <row r="42" spans="1:111" x14ac:dyDescent="0.25">
      <c r="B42" s="25" t="s">
        <v>53</v>
      </c>
      <c r="G42" s="24">
        <v>2.258</v>
      </c>
      <c r="K42" s="70" t="s">
        <v>9</v>
      </c>
      <c r="L42" s="220">
        <f>LOGEST(L22:L$37)^4-1</f>
        <v>-2.0512216189648491E-2</v>
      </c>
      <c r="M42" s="25" t="s">
        <v>53</v>
      </c>
      <c r="R42" s="261">
        <f>$G$42</f>
        <v>2.258</v>
      </c>
      <c r="V42" s="70" t="s">
        <v>9</v>
      </c>
      <c r="W42" s="220">
        <f>LOGEST(W22:W$37)^4-1</f>
        <v>-2.0320619671540308E-2</v>
      </c>
      <c r="X42" s="25" t="s">
        <v>53</v>
      </c>
      <c r="AC42" s="261">
        <f>$G$42</f>
        <v>2.258</v>
      </c>
      <c r="AG42" s="70" t="s">
        <v>9</v>
      </c>
      <c r="AH42" s="220">
        <f>LOGEST(AH22:AH$37)^4-1</f>
        <v>-1.2662254125551997E-2</v>
      </c>
      <c r="AI42" s="25" t="s">
        <v>53</v>
      </c>
      <c r="AN42" s="261">
        <f>$G$42</f>
        <v>2.258</v>
      </c>
      <c r="AR42" s="70" t="s">
        <v>9</v>
      </c>
      <c r="AS42" s="220">
        <f>LOGEST(AS22:AS$37)^4-1</f>
        <v>3.6244444136904974E-2</v>
      </c>
      <c r="AT42" s="25" t="s">
        <v>53</v>
      </c>
      <c r="AY42" s="261">
        <f>$G$42</f>
        <v>2.258</v>
      </c>
      <c r="BC42" s="70" t="s">
        <v>9</v>
      </c>
      <c r="BD42" s="220">
        <f>LOGEST(BD22:BD$37)^4-1</f>
        <v>3.2926462782541632E-2</v>
      </c>
      <c r="BE42" s="25" t="s">
        <v>53</v>
      </c>
      <c r="BJ42" s="261">
        <f>$G$42</f>
        <v>2.258</v>
      </c>
      <c r="BN42" s="70" t="s">
        <v>9</v>
      </c>
      <c r="BO42" s="220">
        <f>LOGEST(BO22:BO$37)^4-1</f>
        <v>2.288818565758155E-2</v>
      </c>
      <c r="BP42" s="25" t="s">
        <v>53</v>
      </c>
      <c r="BU42" s="261">
        <f>$G$42</f>
        <v>2.258</v>
      </c>
      <c r="BY42" s="70" t="s">
        <v>9</v>
      </c>
      <c r="BZ42" s="220">
        <f>LOGEST(BZ22:BZ$37)^4-1</f>
        <v>5.5079303874439045E-3</v>
      </c>
      <c r="CA42" s="25" t="s">
        <v>53</v>
      </c>
      <c r="CF42" s="261">
        <f>$G$42</f>
        <v>2.258</v>
      </c>
      <c r="CJ42" s="70" t="s">
        <v>9</v>
      </c>
      <c r="CK42" s="220" t="e">
        <f>LOGEST(CK22:CK$37)^4-1</f>
        <v>#NUM!</v>
      </c>
      <c r="CL42" s="25" t="s">
        <v>53</v>
      </c>
      <c r="CQ42" s="261">
        <f>$G$42</f>
        <v>2.258</v>
      </c>
      <c r="CU42" s="70" t="s">
        <v>9</v>
      </c>
      <c r="CV42" s="220" t="e">
        <f>LOGEST(CV22:CV$37)^4-1</f>
        <v>#NUM!</v>
      </c>
      <c r="CW42" s="25" t="s">
        <v>53</v>
      </c>
      <c r="DB42" s="261">
        <f>$G$42</f>
        <v>2.258</v>
      </c>
      <c r="DF42" s="70" t="s">
        <v>9</v>
      </c>
      <c r="DG42" s="220" t="e">
        <f>LOGEST(DG22:DG$37)^4-1</f>
        <v>#NUM!</v>
      </c>
    </row>
    <row r="43" spans="1:111" x14ac:dyDescent="0.25">
      <c r="B43" s="37"/>
      <c r="F43" s="135" t="str">
        <f>IF($G$42&lt;&gt;'4.Exhibit 8'!$F$46,"ERROR!  The trend period must be identical for","")</f>
        <v/>
      </c>
      <c r="K43" s="70" t="s">
        <v>10</v>
      </c>
      <c r="L43" s="220">
        <f>LOGEST(L18:L$37)^4-1</f>
        <v>-2.2797844342083873E-2</v>
      </c>
      <c r="M43" s="37"/>
      <c r="Q43" s="135"/>
      <c r="V43" s="70" t="s">
        <v>10</v>
      </c>
      <c r="W43" s="220">
        <f>LOGEST(W18:W$37)^4-1</f>
        <v>-2.2620721329550064E-2</v>
      </c>
      <c r="X43" s="37"/>
      <c r="AB43" s="135"/>
      <c r="AG43" s="70" t="s">
        <v>10</v>
      </c>
      <c r="AH43" s="220">
        <f>LOGEST(AH18:AH$37)^4-1</f>
        <v>-1.4445962764660258E-2</v>
      </c>
      <c r="AI43" s="37"/>
      <c r="AM43" s="135"/>
      <c r="AR43" s="70" t="s">
        <v>10</v>
      </c>
      <c r="AS43" s="220">
        <f>LOGEST(AS18:AS$37)^4-1</f>
        <v>3.2837097010388616E-2</v>
      </c>
      <c r="AT43" s="37"/>
      <c r="AX43" s="135"/>
      <c r="BC43" s="70" t="s">
        <v>10</v>
      </c>
      <c r="BD43" s="220">
        <f>LOGEST(BD18:BD$37)^4-1</f>
        <v>3.0762449445338014E-2</v>
      </c>
      <c r="BE43" s="37"/>
      <c r="BI43" s="135"/>
      <c r="BN43" s="70" t="s">
        <v>10</v>
      </c>
      <c r="BO43" s="220">
        <f>LOGEST(BO18:BO$37)^4-1</f>
        <v>1.9983573295893509E-2</v>
      </c>
      <c r="BP43" s="37"/>
      <c r="BT43" s="135"/>
      <c r="BY43" s="70" t="s">
        <v>10</v>
      </c>
      <c r="BZ43" s="220">
        <f>LOGEST(BZ18:BZ$37)^4-1</f>
        <v>6.3289788436520222E-3</v>
      </c>
      <c r="CA43" s="37"/>
      <c r="CE43" s="135"/>
      <c r="CJ43" s="70" t="s">
        <v>10</v>
      </c>
      <c r="CK43" s="220" t="e">
        <f>LOGEST(CK18:CK$37)^4-1</f>
        <v>#NUM!</v>
      </c>
      <c r="CL43" s="37"/>
      <c r="CP43" s="135"/>
      <c r="CU43" s="70" t="s">
        <v>10</v>
      </c>
      <c r="CV43" s="220" t="e">
        <f>LOGEST(CV18:CV$37)^4-1</f>
        <v>#NUM!</v>
      </c>
      <c r="CW43" s="37"/>
      <c r="DA43" s="135"/>
      <c r="DF43" s="70" t="s">
        <v>10</v>
      </c>
      <c r="DG43" s="220" t="e">
        <f>LOGEST(DG18:DG$37)^4-1</f>
        <v>#NUM!</v>
      </c>
    </row>
    <row r="44" spans="1:111" ht="15.75" thickBot="1" x14ac:dyDescent="0.3">
      <c r="B44" s="37"/>
      <c r="F44" s="135" t="str">
        <f>IF($G$42&lt;&gt;'4.Exhibit 8'!$F$46,"premium and loss trends.","")</f>
        <v/>
      </c>
      <c r="K44" s="72" t="s">
        <v>11</v>
      </c>
      <c r="L44" s="221">
        <f>LOGEST(L14:L$37)^4-1</f>
        <v>-2.4454687784445817E-2</v>
      </c>
      <c r="M44" s="37"/>
      <c r="Q44" s="135"/>
      <c r="V44" s="72" t="s">
        <v>11</v>
      </c>
      <c r="W44" s="221">
        <f>LOGEST(W14:W$37)^4-1</f>
        <v>-2.3782262282066924E-2</v>
      </c>
      <c r="X44" s="37"/>
      <c r="AB44" s="135"/>
      <c r="AG44" s="72" t="s">
        <v>11</v>
      </c>
      <c r="AH44" s="221">
        <f>LOGEST(AH14:AH$37)^4-1</f>
        <v>-1.6030704022163555E-2</v>
      </c>
      <c r="AI44" s="37"/>
      <c r="AM44" s="135"/>
      <c r="AR44" s="72" t="s">
        <v>11</v>
      </c>
      <c r="AS44" s="221">
        <f>LOGEST(AS14:AS$37)^4-1</f>
        <v>3.1479674216884801E-2</v>
      </c>
      <c r="AT44" s="37"/>
      <c r="AX44" s="135"/>
      <c r="BC44" s="72" t="s">
        <v>11</v>
      </c>
      <c r="BD44" s="221">
        <f>LOGEST(BD14:BD$37)^4-1</f>
        <v>2.9762792675257943E-2</v>
      </c>
      <c r="BE44" s="37"/>
      <c r="BI44" s="135"/>
      <c r="BN44" s="72" t="s">
        <v>11</v>
      </c>
      <c r="BO44" s="221">
        <f>LOGEST(BO14:BO$37)^4-1</f>
        <v>1.7813853204310393E-2</v>
      </c>
      <c r="BP44" s="37"/>
      <c r="BT44" s="135"/>
      <c r="BY44" s="72" t="s">
        <v>11</v>
      </c>
      <c r="BZ44" s="221">
        <f>LOGEST(BZ14:BZ$37)^4-1</f>
        <v>6.6352283652639787E-3</v>
      </c>
      <c r="CA44" s="37"/>
      <c r="CE44" s="135"/>
      <c r="CJ44" s="72" t="s">
        <v>11</v>
      </c>
      <c r="CK44" s="221" t="e">
        <f>LOGEST(CK14:CK$37)^4-1</f>
        <v>#NUM!</v>
      </c>
      <c r="CL44" s="37"/>
      <c r="CP44" s="135"/>
      <c r="CU44" s="72" t="s">
        <v>11</v>
      </c>
      <c r="CV44" s="221" t="e">
        <f>LOGEST(CV14:CV$37)^4-1</f>
        <v>#NUM!</v>
      </c>
      <c r="CW44" s="37"/>
      <c r="DA44" s="135"/>
      <c r="DF44" s="72" t="s">
        <v>11</v>
      </c>
      <c r="DG44" s="221"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0.87780967910757668</v>
      </c>
      <c r="J46" s="125"/>
      <c r="K46" s="125"/>
      <c r="L46" s="71"/>
      <c r="M46" s="38" t="s">
        <v>20</v>
      </c>
      <c r="O46" s="85">
        <f>(1+PTrnd_Cov2)^(R$42+5)</f>
        <v>0.86156378458169736</v>
      </c>
      <c r="U46" s="125"/>
      <c r="V46" s="125"/>
      <c r="W46" s="71"/>
      <c r="X46" s="38" t="s">
        <v>20</v>
      </c>
      <c r="Z46" s="85">
        <f>(1+PTrnd_Cov3)^(AC$42+5)</f>
        <v>0.91165883208243303</v>
      </c>
      <c r="AF46" s="125"/>
      <c r="AG46" s="125"/>
      <c r="AH46" s="71"/>
      <c r="AI46" s="38" t="s">
        <v>20</v>
      </c>
      <c r="AK46" s="85">
        <f>(1+PTrnd_Cov4)^(AN$42+5)</f>
        <v>1.2948657898842229</v>
      </c>
      <c r="AQ46" s="125"/>
      <c r="AR46" s="125"/>
      <c r="AS46" s="71"/>
      <c r="AT46" s="38" t="s">
        <v>20</v>
      </c>
      <c r="AV46" s="85">
        <f>(1+PTrnd_Cov5)^(AY$42+5)</f>
        <v>1.2650734263339718</v>
      </c>
      <c r="BB46" s="125"/>
      <c r="BC46" s="125"/>
      <c r="BD46" s="71"/>
      <c r="BE46" s="38" t="s">
        <v>20</v>
      </c>
      <c r="BG46" s="85">
        <f>(1+PTrnd_Cov6)^(BJ$42+5)</f>
        <v>1.1785087293401164</v>
      </c>
      <c r="BM46" s="125"/>
      <c r="BN46" s="125"/>
      <c r="BO46" s="71"/>
      <c r="BP46" s="38" t="s">
        <v>20</v>
      </c>
      <c r="BR46" s="85">
        <f>(1+PTrnd_Cov7)^(BU$42+5)</f>
        <v>1.0491700462196873</v>
      </c>
      <c r="BX46" s="125"/>
      <c r="BY46" s="125"/>
      <c r="BZ46" s="71"/>
      <c r="CA46" s="38" t="s">
        <v>20</v>
      </c>
      <c r="CC46" s="85" t="e">
        <f>(1+PTrnd_Cov8)^(CF$42+5)</f>
        <v>#N/A</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0.89371409316498951</v>
      </c>
      <c r="M47" s="38" t="s">
        <v>19</v>
      </c>
      <c r="O47" s="46">
        <f>(1+PTrnd_Cov2)^(R$42+4)</f>
        <v>0.87943443730829429</v>
      </c>
      <c r="X47" s="38" t="s">
        <v>19</v>
      </c>
      <c r="Z47" s="46">
        <f>(1+PTrnd_Cov3)^(AC$42+4)</f>
        <v>0.92335053115487953</v>
      </c>
      <c r="AI47" s="38" t="s">
        <v>19</v>
      </c>
      <c r="AK47" s="46">
        <f>(1+PTrnd_Cov4)^(AN$42+4)</f>
        <v>1.2495756162656442</v>
      </c>
      <c r="AT47" s="38" t="s">
        <v>19</v>
      </c>
      <c r="AV47" s="46">
        <f>(1+PTrnd_Cov5)^(AY$42+4)</f>
        <v>1.2247468449264654</v>
      </c>
      <c r="BE47" s="38" t="s">
        <v>19</v>
      </c>
      <c r="BG47" s="46">
        <f>(1+PTrnd_Cov6)^(BJ$42+4)</f>
        <v>1.152138372370086</v>
      </c>
      <c r="BP47" s="38" t="s">
        <v>19</v>
      </c>
      <c r="BR47" s="46">
        <f>(1+PTrnd_Cov7)^(BU$42+4)</f>
        <v>1.0422544499296913</v>
      </c>
      <c r="CA47" s="38" t="s">
        <v>19</v>
      </c>
      <c r="CC47" s="46" t="e">
        <f>(1+PTrnd_Cov8)^(CF$42+4)</f>
        <v>#N/A</v>
      </c>
      <c r="CL47" s="38" t="s">
        <v>19</v>
      </c>
      <c r="CN47" s="46" t="e">
        <f>(1+PTrnd_Cov9)^(CQ$42+4)</f>
        <v>#N/A</v>
      </c>
      <c r="CW47" s="38" t="s">
        <v>19</v>
      </c>
      <c r="CY47" s="46" t="e">
        <f>(1+PTrnd_Cov10)^(DB$42+4)</f>
        <v>#N/A</v>
      </c>
    </row>
    <row r="48" spans="1:111" ht="17.25" x14ac:dyDescent="0.25">
      <c r="B48" s="38" t="s">
        <v>18</v>
      </c>
      <c r="D48" s="46">
        <f>(1+PTrnd_Cov1)^(G$42+3)</f>
        <v>0.90990666807609299</v>
      </c>
      <c r="M48" s="38" t="s">
        <v>18</v>
      </c>
      <c r="O48" s="46">
        <f>(1+PTrnd_Cov2)^(R$42+3)</f>
        <v>0.89767576511964964</v>
      </c>
      <c r="X48" s="38" t="s">
        <v>18</v>
      </c>
      <c r="Z48" s="46">
        <f>(1+PTrnd_Cov3)^(AC$42+3)</f>
        <v>0.93519217209416272</v>
      </c>
      <c r="AI48" s="38" t="s">
        <v>18</v>
      </c>
      <c r="AK48" s="46">
        <f>(1+PTrnd_Cov4)^(AN$42+3)</f>
        <v>1.2058695449088022</v>
      </c>
      <c r="AT48" s="38" t="s">
        <v>18</v>
      </c>
      <c r="AV48" s="46">
        <f>(1+PTrnd_Cov5)^(AY$42+3)</f>
        <v>1.1857057487201845</v>
      </c>
      <c r="BE48" s="38" t="s">
        <v>18</v>
      </c>
      <c r="BG48" s="46">
        <f>(1+PTrnd_Cov6)^(BJ$42+3)</f>
        <v>1.1263580795289112</v>
      </c>
      <c r="BP48" s="38" t="s">
        <v>18</v>
      </c>
      <c r="BR48" s="46">
        <f>(1+PTrnd_Cov7)^(BU$42+3)</f>
        <v>1.0353844377394497</v>
      </c>
      <c r="CA48" s="38" t="s">
        <v>18</v>
      </c>
      <c r="CC48" s="46" t="e">
        <f>(1+PTrnd_Cov8)^(CF$42+3)</f>
        <v>#N/A</v>
      </c>
      <c r="CL48" s="38" t="s">
        <v>18</v>
      </c>
      <c r="CN48" s="46" t="e">
        <f>(1+PTrnd_Cov9)^(CQ$42+3)</f>
        <v>#N/A</v>
      </c>
      <c r="CW48" s="38" t="s">
        <v>18</v>
      </c>
      <c r="CY48" s="46" t="e">
        <f>(1+PTrnd_Cov10)^(DB$42+3)</f>
        <v>#N/A</v>
      </c>
    </row>
    <row r="49" spans="2:103" ht="17.25" x14ac:dyDescent="0.25">
      <c r="B49" s="38" t="s">
        <v>17</v>
      </c>
      <c r="D49" s="46">
        <f>(1+PTrnd_Cov1)^(G$42+2)</f>
        <v>0.92639262482402429</v>
      </c>
      <c r="M49" s="38" t="s">
        <v>17</v>
      </c>
      <c r="O49" s="46">
        <f>(1+PTrnd_Cov2)^(R$42+2)</f>
        <v>0.91629545659997813</v>
      </c>
      <c r="X49" s="38" t="s">
        <v>17</v>
      </c>
      <c r="Z49" s="46">
        <f>(1+PTrnd_Cov3)^(AC$42+2)</f>
        <v>0.94718567785119778</v>
      </c>
      <c r="AI49" s="38" t="s">
        <v>17</v>
      </c>
      <c r="AK49" s="46">
        <f>(1+PTrnd_Cov4)^(AN$42+2)</f>
        <v>1.1636921690935376</v>
      </c>
      <c r="AT49" s="38" t="s">
        <v>17</v>
      </c>
      <c r="AV49" s="46">
        <f>(1+PTrnd_Cov5)^(AY$42+2)</f>
        <v>1.147909160470223</v>
      </c>
      <c r="BE49" s="38" t="s">
        <v>17</v>
      </c>
      <c r="BG49" s="46">
        <f>(1+PTrnd_Cov6)^(BJ$42+2)</f>
        <v>1.1011546475187923</v>
      </c>
      <c r="BP49" s="38" t="s">
        <v>17</v>
      </c>
      <c r="BR49" s="46">
        <f>(1+PTrnd_Cov7)^(BU$42+2)</f>
        <v>1.0285597091817194</v>
      </c>
      <c r="CA49" s="38" t="s">
        <v>17</v>
      </c>
      <c r="CC49" s="46" t="e">
        <f>(1+PTrnd_Cov8)^(CF$42+2)</f>
        <v>#N/A</v>
      </c>
      <c r="CL49" s="38" t="s">
        <v>17</v>
      </c>
      <c r="CN49" s="46" t="e">
        <f>(1+PTrnd_Cov9)^(CQ$42+2)</f>
        <v>#N/A</v>
      </c>
      <c r="CW49" s="38" t="s">
        <v>17</v>
      </c>
      <c r="CY49" s="46" t="e">
        <f>(1+PTrnd_Cov10)^(DB$42+2)</f>
        <v>#N/A</v>
      </c>
    </row>
    <row r="50" spans="2:103" ht="17.25" x14ac:dyDescent="0.25">
      <c r="B50" s="38" t="s">
        <v>16</v>
      </c>
      <c r="D50" s="46">
        <f>(1+PTrnd_Cov1)^(G$42+1)</f>
        <v>0.94317727898722936</v>
      </c>
      <c r="M50" s="38" t="s">
        <v>16</v>
      </c>
      <c r="O50" s="46">
        <f>(1+PTrnd_Cov2)^(R$42+1)</f>
        <v>0.9353013598109714</v>
      </c>
      <c r="X50" s="38" t="s">
        <v>16</v>
      </c>
      <c r="Z50" s="46">
        <f>(1+PTrnd_Cov3)^(AC$42+1)</f>
        <v>0.95933299603805888</v>
      </c>
      <c r="AI50" s="38" t="s">
        <v>16</v>
      </c>
      <c r="AK50" s="46">
        <f>(1+PTrnd_Cov4)^(AN$42+1)</f>
        <v>1.1229900200456899</v>
      </c>
      <c r="AT50" s="38" t="s">
        <v>16</v>
      </c>
      <c r="AV50" s="46">
        <f>(1+PTrnd_Cov5)^(AY$42+1)</f>
        <v>1.1113174091579918</v>
      </c>
      <c r="BE50" s="38" t="s">
        <v>16</v>
      </c>
      <c r="BG50" s="46">
        <f>(1+PTrnd_Cov6)^(BJ$42+1)</f>
        <v>1.0765151684794325</v>
      </c>
      <c r="BP50" s="38" t="s">
        <v>16</v>
      </c>
      <c r="BR50" s="46">
        <f>(1+PTrnd_Cov7)^(BU$42+1)</f>
        <v>1.0217799657697852</v>
      </c>
      <c r="CA50" s="38" t="s">
        <v>16</v>
      </c>
      <c r="CC50" s="46" t="e">
        <f>(1+PTrnd_Cov8)^(CF$42+1)</f>
        <v>#N/A</v>
      </c>
      <c r="CL50" s="38" t="s">
        <v>16</v>
      </c>
      <c r="CN50" s="46" t="e">
        <f>(1+PTrnd_Cov9)^(CQ$42+1)</f>
        <v>#N/A</v>
      </c>
      <c r="CW50" s="38" t="s">
        <v>16</v>
      </c>
      <c r="CY50" s="46" t="e">
        <f>(1+PTrnd_Cov10)^(DB$42+1)</f>
        <v>#N/A</v>
      </c>
    </row>
    <row r="51" spans="2:103" x14ac:dyDescent="0.25">
      <c r="B51" s="38" t="s">
        <v>15</v>
      </c>
      <c r="D51" s="46">
        <f>(1+PTrnd_Cov1)^(G$42+0)</f>
        <v>0.96026604245336844</v>
      </c>
      <c r="M51" s="38" t="s">
        <v>15</v>
      </c>
      <c r="O51" s="46">
        <f>(1+PTrnd_Cov2)^(R$42+0)</f>
        <v>0.95470148559969736</v>
      </c>
      <c r="X51" s="38" t="s">
        <v>15</v>
      </c>
      <c r="Z51" s="46">
        <f>(1+PTrnd_Cov3)^(AC$42+0)</f>
        <v>0.97163609924424965</v>
      </c>
      <c r="AI51" s="38" t="s">
        <v>15</v>
      </c>
      <c r="AK51" s="46">
        <f>(1+PTrnd_Cov4)^(AN$42+0)</f>
        <v>1.0837114991540784</v>
      </c>
      <c r="AT51" s="38" t="s">
        <v>15</v>
      </c>
      <c r="AV51" s="46">
        <f>(1+PTrnd_Cov5)^(AY$42+0)</f>
        <v>1.075892088352812</v>
      </c>
      <c r="BE51" s="38" t="s">
        <v>15</v>
      </c>
      <c r="BG51" s="46">
        <f>(1+PTrnd_Cov6)^(BJ$42+0)</f>
        <v>1.0524270233773165</v>
      </c>
      <c r="BP51" s="38" t="s">
        <v>15</v>
      </c>
      <c r="BR51" s="46">
        <f>(1+PTrnd_Cov7)^(BU$42+0)</f>
        <v>1.0150449109844046</v>
      </c>
      <c r="CA51" s="38" t="s">
        <v>15</v>
      </c>
      <c r="CC51" s="46" t="e">
        <f>(1+PTrnd_Cov8)^(CF$42+0)</f>
        <v>#N/A</v>
      </c>
      <c r="CL51" s="38" t="s">
        <v>15</v>
      </c>
      <c r="CN51" s="46" t="e">
        <f>(1+PTrnd_Cov9)^(CQ$42+0)</f>
        <v>#N/A</v>
      </c>
      <c r="CW51" s="38" t="s">
        <v>15</v>
      </c>
      <c r="CY51" s="46" t="e">
        <f>(1+PTrnd_Cov10)^(DB$42+0)</f>
        <v>#N/A</v>
      </c>
    </row>
  </sheetData>
  <sheetProtection algorithmName="SHA-512" hashValue="VLBY6eahJUSmFRP2wdn23ZtGBOkk47EhQYzli43knRYMcUczLdoG+eArmhsfpwG0NPKLX4VIqVS8cGhVYQdcNw==" saltValue="/K/KscHiswAfNdm3KqCcdg=="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3"/>
  <pageSetup scale="65" orientation="portrait" useFirstPageNumber="1" r:id="rId1"/>
  <headerFooter>
    <oddHeader>&amp;R&amp;"-,Bold"&amp;12Exhibit 5</oddHeader>
    <oddFooter>&amp;CStandard Exhibits Template&amp;RPage 2.&amp;P&amp;L1/3/2023 Edition</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zoomScale="60" zoomScaleNormal="60" zoomScaleSheetLayoutView="65" workbookViewId="0"/>
  </sheetViews>
  <sheetFormatPr defaultColWidth="9.140625" defaultRowHeight="15" x14ac:dyDescent="0.25"/>
  <cols>
    <col min="1" max="1" width="25.85546875" style="17" customWidth="1"/>
    <col min="2" max="12" width="12.7109375" style="17" customWidth="1"/>
    <col min="13" max="13" width="25.7109375" style="17" customWidth="1"/>
    <col min="14" max="24" width="12.7109375" style="17" customWidth="1"/>
    <col min="25" max="25" width="25.7109375" style="17" customWidth="1"/>
    <col min="26" max="36" width="12.7109375" style="17" customWidth="1"/>
    <col min="37" max="37" width="25.7109375" style="17" customWidth="1"/>
    <col min="38" max="48" width="12.7109375" style="17" customWidth="1"/>
    <col min="49" max="49" width="25.7109375" style="17" customWidth="1"/>
    <col min="50" max="60" width="12.7109375" style="17" customWidth="1"/>
    <col min="61" max="61" width="25.7109375" style="17" customWidth="1"/>
    <col min="62" max="62" width="12.7109375" style="17" customWidth="1"/>
    <col min="63" max="63" width="13.5703125" style="17" bestFit="1" customWidth="1"/>
    <col min="64" max="71" width="12.7109375" style="17" customWidth="1"/>
    <col min="72" max="72" width="14" style="17" customWidth="1"/>
    <col min="73" max="73" width="25.7109375" style="17" customWidth="1"/>
    <col min="74" max="84" width="12.7109375" style="17" customWidth="1"/>
    <col min="85" max="85" width="25.7109375" style="17" customWidth="1"/>
    <col min="86" max="96" width="12.7109375" style="17" customWidth="1"/>
    <col min="97" max="97" width="25.7109375" style="17" customWidth="1"/>
    <col min="98" max="108" width="12.7109375" style="17" customWidth="1"/>
    <col min="109" max="109" width="25.7109375" style="17" customWidth="1"/>
    <col min="110" max="120" width="12.7109375" style="17" customWidth="1"/>
    <col min="121" max="16384" width="9.140625" style="17"/>
  </cols>
  <sheetData>
    <row r="1" spans="1:120" ht="21" x14ac:dyDescent="0.35">
      <c r="A1" s="67" t="str">
        <f>Co_Name</f>
        <v>State Farm Mutual Automobile Insurance Company</v>
      </c>
      <c r="B1" s="68"/>
      <c r="C1" s="40"/>
      <c r="D1" s="18"/>
      <c r="E1" s="18"/>
      <c r="F1" s="18"/>
      <c r="G1" s="18"/>
      <c r="H1" s="18"/>
      <c r="I1" s="18"/>
      <c r="J1" s="18"/>
      <c r="K1" s="18"/>
      <c r="L1" s="18"/>
      <c r="M1" s="67" t="str">
        <f>Co_Name</f>
        <v>State Farm Mutual Automobile Insurance Company</v>
      </c>
      <c r="N1" s="68"/>
      <c r="O1" s="40"/>
      <c r="P1" s="18"/>
      <c r="Q1" s="18"/>
      <c r="R1" s="18"/>
      <c r="S1" s="18"/>
      <c r="T1" s="18"/>
      <c r="U1" s="18"/>
      <c r="V1" s="18"/>
      <c r="W1" s="18"/>
      <c r="X1" s="18"/>
      <c r="Y1" s="67" t="str">
        <f>Co_Name</f>
        <v>State Farm Mutual Automobile Insurance Company</v>
      </c>
      <c r="Z1" s="68"/>
      <c r="AA1" s="40"/>
      <c r="AB1" s="18"/>
      <c r="AC1" s="18"/>
      <c r="AD1" s="18"/>
      <c r="AE1" s="18"/>
      <c r="AF1" s="18"/>
      <c r="AG1" s="18"/>
      <c r="AH1" s="18"/>
      <c r="AI1" s="18"/>
      <c r="AJ1" s="18"/>
      <c r="AK1" s="67" t="str">
        <f>Co_Name</f>
        <v>State Farm Mutual Automobile Insurance Company</v>
      </c>
      <c r="AL1" s="68"/>
      <c r="AM1" s="40"/>
      <c r="AN1" s="18"/>
      <c r="AO1" s="18"/>
      <c r="AP1" s="18"/>
      <c r="AQ1" s="18"/>
      <c r="AR1" s="18"/>
      <c r="AS1" s="18"/>
      <c r="AT1" s="18"/>
      <c r="AU1" s="18"/>
      <c r="AV1" s="18"/>
      <c r="AW1" s="67" t="str">
        <f>Co_Name</f>
        <v>State Farm Mutual Automobile Insurance Company</v>
      </c>
      <c r="AX1" s="68"/>
      <c r="AY1" s="40"/>
      <c r="AZ1" s="18"/>
      <c r="BA1" s="18"/>
      <c r="BB1" s="18"/>
      <c r="BC1" s="18"/>
      <c r="BD1" s="18"/>
      <c r="BE1" s="18"/>
      <c r="BF1" s="18"/>
      <c r="BG1" s="18"/>
      <c r="BH1" s="18"/>
      <c r="BI1" s="67" t="str">
        <f>Co_Name</f>
        <v>State Farm Mutual Automobile Insurance Company</v>
      </c>
      <c r="BJ1" s="68"/>
      <c r="BK1" s="40"/>
      <c r="BL1" s="18"/>
      <c r="BM1" s="18"/>
      <c r="BN1" s="18"/>
      <c r="BO1" s="18"/>
      <c r="BP1" s="18"/>
      <c r="BQ1" s="18"/>
      <c r="BR1" s="18"/>
      <c r="BS1" s="18"/>
      <c r="BT1" s="18"/>
      <c r="BU1" s="67" t="str">
        <f>Co_Name</f>
        <v>State Farm Mutual Automobile Insurance Company</v>
      </c>
      <c r="BV1" s="68"/>
      <c r="BW1" s="40"/>
      <c r="BX1" s="18"/>
      <c r="BY1" s="18"/>
      <c r="BZ1" s="18"/>
      <c r="CA1" s="18"/>
      <c r="CB1" s="18"/>
      <c r="CC1" s="18"/>
      <c r="CD1" s="18"/>
      <c r="CE1" s="18"/>
      <c r="CF1" s="18"/>
      <c r="CG1" s="67" t="str">
        <f>Co_Name</f>
        <v>State Farm Mutual Automobile Insurance Company</v>
      </c>
      <c r="CH1" s="68"/>
      <c r="CI1" s="40"/>
      <c r="CJ1" s="18"/>
      <c r="CK1" s="18"/>
      <c r="CL1" s="18"/>
      <c r="CM1" s="18"/>
      <c r="CN1" s="18"/>
      <c r="CO1" s="18"/>
      <c r="CP1" s="18"/>
      <c r="CQ1" s="18"/>
      <c r="CR1" s="18"/>
      <c r="CS1" s="67" t="str">
        <f>Co_Name</f>
        <v>State Farm Mutual Automobile Insurance Company</v>
      </c>
      <c r="CT1" s="68"/>
      <c r="CU1" s="40"/>
      <c r="CV1" s="18"/>
      <c r="CW1" s="18"/>
      <c r="CX1" s="18"/>
      <c r="CY1" s="18"/>
      <c r="CZ1" s="18"/>
      <c r="DA1" s="18"/>
      <c r="DB1" s="18"/>
      <c r="DC1" s="18"/>
      <c r="DD1" s="18"/>
      <c r="DE1" s="67" t="str">
        <f>Co_Name</f>
        <v>State Farm Mutual Automobile Insurance Company</v>
      </c>
      <c r="DF1" s="68"/>
      <c r="DG1" s="40"/>
      <c r="DH1" s="18"/>
      <c r="DI1" s="18"/>
      <c r="DJ1" s="18"/>
      <c r="DK1" s="18"/>
      <c r="DL1" s="18"/>
      <c r="DM1" s="18"/>
      <c r="DN1" s="18"/>
      <c r="DO1" s="18"/>
      <c r="DP1" s="18"/>
    </row>
    <row r="2" spans="1:120" ht="21" x14ac:dyDescent="0.35">
      <c r="A2" s="67" t="str">
        <f>Detailed_LineDesc01</f>
        <v>Private Passenger Auto Liability</v>
      </c>
      <c r="B2" s="68"/>
      <c r="C2" s="40"/>
      <c r="D2" s="18"/>
      <c r="E2" s="18"/>
      <c r="F2" s="18"/>
      <c r="G2" s="18"/>
      <c r="H2" s="18"/>
      <c r="I2" s="18"/>
      <c r="J2" s="18"/>
      <c r="K2" s="18"/>
      <c r="L2" s="18"/>
      <c r="M2" s="67" t="str">
        <f>Detailed_LineDesc02</f>
        <v>Private Passenger Auto Liability</v>
      </c>
      <c r="N2" s="68"/>
      <c r="O2" s="40"/>
      <c r="P2" s="18"/>
      <c r="Q2" s="18"/>
      <c r="R2" s="18"/>
      <c r="S2" s="18"/>
      <c r="T2" s="18"/>
      <c r="U2" s="18"/>
      <c r="V2" s="18"/>
      <c r="W2" s="18"/>
      <c r="X2" s="18"/>
      <c r="Y2" s="67" t="str">
        <f>Detailed_LineDesc03</f>
        <v>Private Passenger Auto Liability</v>
      </c>
      <c r="Z2" s="68"/>
      <c r="AA2" s="40"/>
      <c r="AB2" s="18"/>
      <c r="AC2" s="18"/>
      <c r="AD2" s="18"/>
      <c r="AE2" s="18"/>
      <c r="AF2" s="18"/>
      <c r="AG2" s="18"/>
      <c r="AH2" s="18"/>
      <c r="AI2" s="18"/>
      <c r="AJ2" s="18"/>
      <c r="AK2" s="67" t="str">
        <f>Detailed_LineDesc04</f>
        <v>Private Passenger Auto Liability</v>
      </c>
      <c r="AL2" s="68"/>
      <c r="AM2" s="40"/>
      <c r="AN2" s="18"/>
      <c r="AO2" s="18"/>
      <c r="AP2" s="18"/>
      <c r="AQ2" s="18"/>
      <c r="AR2" s="18"/>
      <c r="AS2" s="18"/>
      <c r="AT2" s="18"/>
      <c r="AU2" s="18"/>
      <c r="AV2" s="18"/>
      <c r="AW2" s="67" t="str">
        <f>Detailed_LineDesc05</f>
        <v>Private Passenger Auto Physical Damage</v>
      </c>
      <c r="AX2" s="68"/>
      <c r="AY2" s="40"/>
      <c r="AZ2" s="18"/>
      <c r="BA2" s="18"/>
      <c r="BB2" s="18"/>
      <c r="BC2" s="18"/>
      <c r="BD2" s="18"/>
      <c r="BE2" s="18"/>
      <c r="BF2" s="18"/>
      <c r="BG2" s="18"/>
      <c r="BH2" s="18"/>
      <c r="BI2" s="67" t="str">
        <f>Detailed_LineDesc06</f>
        <v>Private Passenger Auto Physical Damage</v>
      </c>
      <c r="BJ2" s="68"/>
      <c r="BK2" s="40"/>
      <c r="BL2" s="18"/>
      <c r="BM2" s="18"/>
      <c r="BN2" s="18"/>
      <c r="BO2" s="18"/>
      <c r="BP2" s="18"/>
      <c r="BQ2" s="18"/>
      <c r="BR2" s="18"/>
      <c r="BS2" s="18"/>
      <c r="BT2" s="18"/>
      <c r="BU2" s="67" t="str">
        <f>Detailed_LineDesc07</f>
        <v>Private Passenger Auto Physical Damage</v>
      </c>
      <c r="BV2" s="68"/>
      <c r="BW2" s="40"/>
      <c r="BX2" s="18"/>
      <c r="BY2" s="18"/>
      <c r="BZ2" s="18"/>
      <c r="CA2" s="18"/>
      <c r="CB2" s="18"/>
      <c r="CC2" s="18"/>
      <c r="CD2" s="18"/>
      <c r="CE2" s="18"/>
      <c r="CF2" s="18"/>
      <c r="CG2" s="67" t="str">
        <f>Detailed_LineDesc08</f>
        <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218</v>
      </c>
      <c r="B4" s="68"/>
      <c r="C4" s="40"/>
      <c r="D4" s="18"/>
      <c r="E4" s="18"/>
      <c r="F4" s="18"/>
      <c r="G4" s="18"/>
      <c r="H4" s="18"/>
      <c r="I4" s="18"/>
      <c r="J4" s="18"/>
      <c r="K4" s="18"/>
      <c r="L4" s="18"/>
      <c r="M4" s="67" t="s">
        <v>218</v>
      </c>
      <c r="N4" s="68"/>
      <c r="O4" s="40"/>
      <c r="P4" s="18"/>
      <c r="Q4" s="18"/>
      <c r="R4" s="18"/>
      <c r="S4" s="18"/>
      <c r="T4" s="18"/>
      <c r="U4" s="18"/>
      <c r="V4" s="18"/>
      <c r="W4" s="18"/>
      <c r="X4" s="18"/>
      <c r="Y4" s="67" t="s">
        <v>218</v>
      </c>
      <c r="Z4" s="68"/>
      <c r="AA4" s="40"/>
      <c r="AB4" s="18"/>
      <c r="AC4" s="18"/>
      <c r="AD4" s="18"/>
      <c r="AE4" s="18"/>
      <c r="AF4" s="18"/>
      <c r="AG4" s="18"/>
      <c r="AH4" s="18"/>
      <c r="AI4" s="18"/>
      <c r="AJ4" s="18"/>
      <c r="AK4" s="67" t="s">
        <v>218</v>
      </c>
      <c r="AL4" s="68"/>
      <c r="AM4" s="40"/>
      <c r="AN4" s="18"/>
      <c r="AO4" s="18"/>
      <c r="AP4" s="18"/>
      <c r="AQ4" s="18"/>
      <c r="AR4" s="18"/>
      <c r="AS4" s="18"/>
      <c r="AT4" s="18"/>
      <c r="AU4" s="18"/>
      <c r="AV4" s="18"/>
      <c r="AW4" s="67" t="s">
        <v>218</v>
      </c>
      <c r="AX4" s="68"/>
      <c r="AY4" s="40"/>
      <c r="AZ4" s="18"/>
      <c r="BA4" s="18"/>
      <c r="BB4" s="18"/>
      <c r="BC4" s="18"/>
      <c r="BD4" s="18"/>
      <c r="BE4" s="18"/>
      <c r="BF4" s="18"/>
      <c r="BG4" s="18"/>
      <c r="BH4" s="18"/>
      <c r="BI4" s="67" t="s">
        <v>218</v>
      </c>
      <c r="BJ4" s="68"/>
      <c r="BK4" s="40"/>
      <c r="BL4" s="18"/>
      <c r="BM4" s="18"/>
      <c r="BN4" s="18"/>
      <c r="BO4" s="18"/>
      <c r="BP4" s="18"/>
      <c r="BQ4" s="18"/>
      <c r="BR4" s="18"/>
      <c r="BS4" s="18"/>
      <c r="BT4" s="18"/>
      <c r="BU4" s="67" t="s">
        <v>218</v>
      </c>
      <c r="BV4" s="68"/>
      <c r="BW4" s="40"/>
      <c r="BX4" s="18"/>
      <c r="BY4" s="18"/>
      <c r="BZ4" s="18"/>
      <c r="CA4" s="18"/>
      <c r="CB4" s="18"/>
      <c r="CC4" s="18"/>
      <c r="CD4" s="18"/>
      <c r="CE4" s="18"/>
      <c r="CF4" s="18"/>
      <c r="CG4" s="67" t="s">
        <v>218</v>
      </c>
      <c r="CH4" s="68"/>
      <c r="CI4" s="40"/>
      <c r="CJ4" s="18"/>
      <c r="CK4" s="18"/>
      <c r="CL4" s="18"/>
      <c r="CM4" s="18"/>
      <c r="CN4" s="18"/>
      <c r="CO4" s="18"/>
      <c r="CP4" s="18"/>
      <c r="CQ4" s="18"/>
      <c r="CR4" s="18"/>
      <c r="CS4" s="67" t="s">
        <v>218</v>
      </c>
      <c r="CT4" s="68"/>
      <c r="CU4" s="40"/>
      <c r="CV4" s="18"/>
      <c r="CW4" s="18"/>
      <c r="CX4" s="18"/>
      <c r="CY4" s="18"/>
      <c r="CZ4" s="18"/>
      <c r="DA4" s="18"/>
      <c r="DB4" s="18"/>
      <c r="DC4" s="18"/>
      <c r="DD4" s="18"/>
      <c r="DE4" s="67" t="s">
        <v>218</v>
      </c>
      <c r="DF4" s="68"/>
      <c r="DG4" s="40"/>
      <c r="DH4" s="18"/>
      <c r="DI4" s="18"/>
      <c r="DJ4" s="18"/>
      <c r="DK4" s="18"/>
      <c r="DL4" s="18"/>
      <c r="DM4" s="18"/>
      <c r="DN4" s="18"/>
      <c r="DO4" s="18"/>
      <c r="DP4" s="18"/>
    </row>
    <row r="5" spans="1:120" ht="21" customHeight="1" x14ac:dyDescent="0.25">
      <c r="A5" s="279" t="str">
        <f>Covg01</f>
        <v>BIPD</v>
      </c>
      <c r="B5" s="69"/>
      <c r="C5" s="18"/>
      <c r="D5" s="18"/>
      <c r="E5" s="18"/>
      <c r="F5" s="18"/>
      <c r="G5" s="18"/>
      <c r="H5" s="18"/>
      <c r="I5" s="18"/>
      <c r="J5" s="18"/>
      <c r="K5" s="18"/>
      <c r="L5" s="18"/>
      <c r="M5" s="279" t="str">
        <f>Covg02</f>
        <v>MPC</v>
      </c>
      <c r="N5" s="69"/>
      <c r="O5" s="18"/>
      <c r="P5" s="18"/>
      <c r="Q5" s="18"/>
      <c r="R5" s="18"/>
      <c r="S5" s="18"/>
      <c r="T5" s="18"/>
      <c r="U5" s="18"/>
      <c r="V5" s="18"/>
      <c r="W5" s="18"/>
      <c r="X5" s="18"/>
      <c r="Y5" s="279" t="str">
        <f>Covg03</f>
        <v>UM</v>
      </c>
      <c r="Z5" s="69"/>
      <c r="AA5" s="18"/>
      <c r="AB5" s="18"/>
      <c r="AC5" s="18"/>
      <c r="AD5" s="18"/>
      <c r="AE5" s="18"/>
      <c r="AF5" s="18"/>
      <c r="AG5" s="18"/>
      <c r="AH5" s="18"/>
      <c r="AI5" s="18"/>
      <c r="AJ5" s="18"/>
      <c r="AK5" s="279" t="str">
        <f>Covg04</f>
        <v>COMP</v>
      </c>
      <c r="AL5" s="69"/>
      <c r="AM5" s="18"/>
      <c r="AN5" s="18"/>
      <c r="AO5" s="18"/>
      <c r="AP5" s="18"/>
      <c r="AQ5" s="18"/>
      <c r="AR5" s="18"/>
      <c r="AS5" s="18"/>
      <c r="AT5" s="18"/>
      <c r="AU5" s="18"/>
      <c r="AV5" s="18"/>
      <c r="AW5" s="279" t="str">
        <f>Covg05</f>
        <v>COLL</v>
      </c>
      <c r="AX5" s="69"/>
      <c r="AY5" s="18"/>
      <c r="AZ5" s="18"/>
      <c r="BA5" s="18"/>
      <c r="BB5" s="18"/>
      <c r="BC5" s="18"/>
      <c r="BD5" s="18"/>
      <c r="BE5" s="18"/>
      <c r="BF5" s="18"/>
      <c r="BG5" s="18"/>
      <c r="BH5" s="18"/>
      <c r="BI5" s="279" t="str">
        <f>Covg06</f>
        <v>Misc. Damage</v>
      </c>
      <c r="BJ5" s="69"/>
      <c r="BK5" s="18"/>
      <c r="BL5" s="18"/>
      <c r="BM5" s="18"/>
      <c r="BN5" s="18"/>
      <c r="BO5" s="18"/>
      <c r="BP5" s="18"/>
      <c r="BQ5" s="18"/>
      <c r="BR5" s="18"/>
      <c r="BS5" s="18"/>
      <c r="BT5" s="18"/>
      <c r="BU5" s="279" t="str">
        <f>Covg07</f>
        <v>Misc. Liability</v>
      </c>
      <c r="BV5" s="69"/>
      <c r="BW5" s="18"/>
      <c r="BX5" s="18"/>
      <c r="BY5" s="18"/>
      <c r="BZ5" s="18"/>
      <c r="CA5" s="18"/>
      <c r="CB5" s="18"/>
      <c r="CC5" s="18"/>
      <c r="CD5" s="18"/>
      <c r="CE5" s="18"/>
      <c r="CF5" s="18"/>
      <c r="CG5" s="279">
        <f>Covg08</f>
        <v>0</v>
      </c>
      <c r="CH5" s="69"/>
      <c r="CI5" s="18"/>
      <c r="CJ5" s="18"/>
      <c r="CK5" s="18"/>
      <c r="CL5" s="18"/>
      <c r="CM5" s="18"/>
      <c r="CN5" s="18"/>
      <c r="CO5" s="18"/>
      <c r="CP5" s="18"/>
      <c r="CQ5" s="18"/>
      <c r="CR5" s="18"/>
      <c r="CS5" s="279">
        <f>Covg09</f>
        <v>0</v>
      </c>
      <c r="CT5" s="69"/>
      <c r="CU5" s="18"/>
      <c r="CV5" s="18"/>
      <c r="CW5" s="18"/>
      <c r="CX5" s="18"/>
      <c r="CY5" s="18"/>
      <c r="CZ5" s="18"/>
      <c r="DA5" s="18"/>
      <c r="DB5" s="18"/>
      <c r="DC5" s="18"/>
      <c r="DD5" s="18"/>
      <c r="DE5" s="279">
        <f>Covg10</f>
        <v>0</v>
      </c>
      <c r="DF5" s="69"/>
      <c r="DG5" s="18"/>
      <c r="DH5" s="18"/>
      <c r="DI5" s="18"/>
      <c r="DJ5" s="18"/>
      <c r="DK5" s="18"/>
      <c r="DL5" s="18"/>
      <c r="DM5" s="18"/>
      <c r="DN5" s="18"/>
      <c r="DO5" s="18"/>
      <c r="DP5" s="18"/>
    </row>
    <row r="6" spans="1:120" ht="15" customHeight="1" x14ac:dyDescent="0.35">
      <c r="A6" s="67"/>
      <c r="B6" s="68"/>
      <c r="C6" s="40"/>
      <c r="D6" s="18"/>
      <c r="E6" s="18"/>
      <c r="F6" s="18"/>
      <c r="G6" s="18"/>
      <c r="H6" s="296"/>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0" t="str">
        <f>IF(OR(D7="Paid - Loss &amp; DCCE",D7="Incurred - Loss &amp; DCCE"),"Selected Ultimate Loss &amp; DCCE:",IF(OR(D7="Paid - Pure Loss",D7="Incurred - Pure Loss"),"Selected Ultimate Loss:","Selected Ultimate Loss (&amp; DCCE):"))</f>
        <v>Selected Ultimate Loss:</v>
      </c>
      <c r="B7" s="142"/>
      <c r="C7" s="104"/>
      <c r="D7" s="321" t="s">
        <v>203</v>
      </c>
      <c r="E7" s="322"/>
      <c r="G7" s="286"/>
      <c r="J7" s="143"/>
      <c r="K7" s="143"/>
      <c r="L7" s="143"/>
      <c r="M7" s="280" t="str">
        <f>IF(OR(P7="Paid - Loss &amp; DCCE",P7="Incurred - Loss &amp; DCCE"),"Selected Ultimate Loss &amp; DCCE:",IF(OR(P7="Paid - Pure Loss",P7="Incurred - Pure Loss"),"Selected Ultimate Loss:","Selected Ultimate Loss (&amp; DCCE):"))</f>
        <v>Selected Ultimate Loss:</v>
      </c>
      <c r="N7" s="142"/>
      <c r="O7" s="104"/>
      <c r="P7" s="321" t="s">
        <v>203</v>
      </c>
      <c r="Q7" s="322"/>
      <c r="V7" s="143"/>
      <c r="W7" s="143"/>
      <c r="X7" s="143"/>
      <c r="Y7" s="280" t="str">
        <f>IF(OR(AB7="Paid - Loss &amp; DCCE",AB7="Incurred - Loss &amp; DCCE"),"Selected Ultimate Loss &amp; DCCE:",IF(OR(AB7="Paid - Pure Loss",AB7="Incurred - Pure Loss"),"Selected Ultimate Loss:","Selected Ultimate Loss (&amp; DCCE):"))</f>
        <v>Selected Ultimate Loss:</v>
      </c>
      <c r="Z7" s="142"/>
      <c r="AA7" s="104"/>
      <c r="AB7" s="321" t="s">
        <v>203</v>
      </c>
      <c r="AC7" s="322"/>
      <c r="AH7" s="143"/>
      <c r="AI7" s="143"/>
      <c r="AJ7" s="143"/>
      <c r="AK7" s="280" t="str">
        <f>IF(OR(AN7="Paid - Loss &amp; DCCE",AN7="Incurred - Loss &amp; DCCE"),"Selected Ultimate Loss &amp; DCCE:",IF(OR(AN7="Paid - Pure Loss",AN7="Incurred - Pure Loss"),"Selected Ultimate Loss:","Selected Ultimate Loss (&amp; DCCE):"))</f>
        <v>Selected Ultimate Loss:</v>
      </c>
      <c r="AL7" s="142"/>
      <c r="AM7" s="104"/>
      <c r="AN7" s="321" t="s">
        <v>203</v>
      </c>
      <c r="AO7" s="322"/>
      <c r="AT7" s="143"/>
      <c r="AU7" s="143"/>
      <c r="AV7" s="143"/>
      <c r="AW7" s="280" t="str">
        <f>IF(OR(AZ7="Paid - Loss &amp; DCCE",AZ7="Incurred - Loss &amp; DCCE"),"Selected Ultimate Loss &amp; DCCE:",IF(OR(AZ7="Paid - Pure Loss",AZ7="Incurred - Pure Loss"),"Selected Ultimate Loss:","Selected Ultimate Loss (&amp; DCCE):"))</f>
        <v>Selected Ultimate Loss:</v>
      </c>
      <c r="AX7" s="142"/>
      <c r="AY7" s="104"/>
      <c r="AZ7" s="321" t="s">
        <v>203</v>
      </c>
      <c r="BA7" s="322"/>
      <c r="BF7" s="143"/>
      <c r="BG7" s="143"/>
      <c r="BH7" s="143"/>
      <c r="BI7" s="280" t="str">
        <f>IF(OR(BL7="Paid - Loss &amp; DCCE",BL7="Incurred - Loss &amp; DCCE"),"Selected Ultimate Loss &amp; DCCE:",IF(OR(BL7="Paid - Pure Loss",BL7="Incurred - Pure Loss"),"Selected Ultimate Loss:","Selected Ultimate Loss (&amp; DCCE):"))</f>
        <v>Selected Ultimate Loss:</v>
      </c>
      <c r="BJ7" s="142"/>
      <c r="BK7" s="104"/>
      <c r="BL7" s="321" t="s">
        <v>203</v>
      </c>
      <c r="BM7" s="322"/>
      <c r="BR7" s="143"/>
      <c r="BS7" s="143"/>
      <c r="BT7" s="143"/>
      <c r="BU7" s="280" t="str">
        <f>IF(OR(BX7="Paid - Loss &amp; DCCE",BX7="Incurred - Loss &amp; DCCE"),"Selected Ultimate Loss &amp; DCCE:",IF(OR(BX7="Paid - Pure Loss",BX7="Incurred - Pure Loss"),"Selected Ultimate Loss:","Selected Ultimate Loss (&amp; DCCE):"))</f>
        <v>Selected Ultimate Loss:</v>
      </c>
      <c r="BV7" s="142"/>
      <c r="BW7" s="104"/>
      <c r="BX7" s="321" t="s">
        <v>203</v>
      </c>
      <c r="BY7" s="322"/>
      <c r="CD7" s="143"/>
      <c r="CE7" s="143"/>
      <c r="CF7" s="143"/>
      <c r="CG7" s="280" t="str">
        <f>IF(OR(CJ7="Paid - Loss &amp; DCCE",CJ7="Incurred - Loss &amp; DCCE"),"Selected Ultimate Loss &amp; DCCE:",IF(OR(CJ7="Paid - Pure Loss",CJ7="Incurred - Pure Loss"),"Selected Ultimate Loss:","Selected Ultimate Loss (&amp; DCCE):"))</f>
        <v>Selected Ultimate Loss (&amp; DCCE):</v>
      </c>
      <c r="CH7" s="142"/>
      <c r="CI7" s="104"/>
      <c r="CJ7" s="321"/>
      <c r="CK7" s="322"/>
      <c r="CP7" s="143"/>
      <c r="CQ7" s="143"/>
      <c r="CR7" s="143"/>
      <c r="CS7" s="280" t="str">
        <f>IF(OR(CV7="Paid - Loss &amp; DCCE",CV7="Incurred - Loss &amp; DCCE"),"Selected Ultimate Loss &amp; DCCE:",IF(OR(CV7="Paid - Pure Loss",CV7="Incurred - Pure Loss"),"Selected Ultimate Loss:","Selected Ultimate Loss (&amp; DCCE):"))</f>
        <v>Selected Ultimate Loss (&amp; DCCE):</v>
      </c>
      <c r="CT7" s="142"/>
      <c r="CU7" s="104"/>
      <c r="CV7" s="321"/>
      <c r="CW7" s="322"/>
      <c r="DB7" s="143"/>
      <c r="DC7" s="143"/>
      <c r="DD7" s="143"/>
      <c r="DE7" s="280" t="str">
        <f>IF(OR(DH7="Paid - Loss &amp; DCCE",DH7="Incurred - Loss &amp; DCCE"),"Selected Ultimate Loss &amp; DCCE:",IF(OR(DH7="Paid - Pure Loss",DH7="Incurred - Pure Loss"),"Selected Ultimate Loss:","Selected Ultimate Loss (&amp; DCCE):"))</f>
        <v>Selected Ultimate Loss (&amp; DCCE):</v>
      </c>
      <c r="DF7" s="142"/>
      <c r="DG7" s="104"/>
      <c r="DH7" s="321"/>
      <c r="DI7" s="322"/>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21" t="s">
        <v>206</v>
      </c>
      <c r="E8" s="322"/>
      <c r="F8" s="277"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v>
      </c>
      <c r="N8" s="143"/>
      <c r="O8" s="143"/>
      <c r="P8" s="321" t="s">
        <v>206</v>
      </c>
      <c r="Q8" s="322"/>
      <c r="R8" s="277"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v>
      </c>
      <c r="Z8" s="143"/>
      <c r="AA8" s="143"/>
      <c r="AB8" s="321" t="s">
        <v>206</v>
      </c>
      <c r="AC8" s="322"/>
      <c r="AD8" s="277"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v>
      </c>
      <c r="AL8" s="143"/>
      <c r="AM8" s="143"/>
      <c r="AN8" s="321" t="s">
        <v>206</v>
      </c>
      <c r="AO8" s="322"/>
      <c r="AP8" s="277"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v>
      </c>
      <c r="AX8" s="143"/>
      <c r="AY8" s="143"/>
      <c r="AZ8" s="321" t="s">
        <v>206</v>
      </c>
      <c r="BA8" s="322"/>
      <c r="BB8" s="277"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v>
      </c>
      <c r="BJ8" s="143"/>
      <c r="BK8" s="143"/>
      <c r="BL8" s="321" t="s">
        <v>206</v>
      </c>
      <c r="BM8" s="322"/>
      <c r="BN8" s="277"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v>
      </c>
      <c r="BV8" s="143"/>
      <c r="BW8" s="143"/>
      <c r="BX8" s="321" t="s">
        <v>206</v>
      </c>
      <c r="BY8" s="322"/>
      <c r="BZ8" s="277"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 (if applicable):</v>
      </c>
      <c r="CH8" s="143"/>
      <c r="CI8" s="143"/>
      <c r="CJ8" s="321"/>
      <c r="CK8" s="322"/>
      <c r="CL8" s="277"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21"/>
      <c r="CW8" s="322"/>
      <c r="CX8" s="277"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21"/>
      <c r="DI8" s="322"/>
      <c r="DJ8" s="277"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136" t="str">
        <f>IF(ISNUMBER(SEARCH("Reminder",F46&amp;F81&amp;F116&amp;F189&amp;F224&amp;F259)),"Please scroll down for important reminder(s).","")</f>
        <v/>
      </c>
      <c r="G9" s="143"/>
      <c r="H9" s="143"/>
      <c r="I9" s="143"/>
      <c r="J9" s="143"/>
      <c r="K9" s="143"/>
      <c r="L9" s="143"/>
      <c r="M9" s="104"/>
      <c r="N9" s="143"/>
      <c r="O9" s="143"/>
      <c r="P9" s="143"/>
      <c r="Q9" s="143"/>
      <c r="R9" s="136" t="str">
        <f>IF(ISNUMBER(SEARCH("Reminder",R46&amp;R81&amp;R116&amp;R189&amp;R224&amp;R259)),"Please scroll down for important reminder(s).","")</f>
        <v/>
      </c>
      <c r="S9" s="143"/>
      <c r="T9" s="143"/>
      <c r="U9" s="143"/>
      <c r="V9" s="143"/>
      <c r="W9" s="143"/>
      <c r="X9" s="143"/>
      <c r="Y9" s="104"/>
      <c r="Z9" s="143"/>
      <c r="AA9" s="143"/>
      <c r="AB9" s="143"/>
      <c r="AC9" s="143"/>
      <c r="AD9" s="136" t="str">
        <f>IF(ISNUMBER(SEARCH("Reminder",AD46&amp;AD81&amp;AD116&amp;AD189&amp;AD224&amp;AD259)),"Please scroll down for important reminder(s).","")</f>
        <v>Please scroll down for important reminder(s).</v>
      </c>
      <c r="AE9" s="143"/>
      <c r="AF9" s="143"/>
      <c r="AG9" s="143"/>
      <c r="AH9" s="143"/>
      <c r="AI9" s="143"/>
      <c r="AJ9" s="143"/>
      <c r="AK9" s="104"/>
      <c r="AL9" s="143"/>
      <c r="AM9" s="143"/>
      <c r="AN9" s="143"/>
      <c r="AO9" s="143"/>
      <c r="AP9" s="136" t="str">
        <f>IF(ISNUMBER(SEARCH("Reminder",AP46&amp;AP81&amp;AP116&amp;AP189&amp;AP224&amp;AP259)),"Please scroll down for important reminder(s).","")</f>
        <v/>
      </c>
      <c r="AQ9" s="143"/>
      <c r="AR9" s="143"/>
      <c r="AS9" s="143"/>
      <c r="AT9" s="143"/>
      <c r="AU9" s="143"/>
      <c r="AV9" s="143"/>
      <c r="AW9" s="104"/>
      <c r="AX9" s="143"/>
      <c r="AY9" s="143"/>
      <c r="AZ9" s="143"/>
      <c r="BA9" s="143"/>
      <c r="BB9" s="136" t="str">
        <f>IF(ISNUMBER(SEARCH("Reminder",BB46&amp;BB81&amp;BB116&amp;BB189&amp;BB224&amp;BB259)),"Please scroll down for important reminder(s).","")</f>
        <v/>
      </c>
      <c r="BC9" s="143"/>
      <c r="BD9" s="143"/>
      <c r="BE9" s="143"/>
      <c r="BF9" s="143"/>
      <c r="BG9" s="143"/>
      <c r="BH9" s="143"/>
      <c r="BI9" s="104"/>
      <c r="BJ9" s="143"/>
      <c r="BK9" s="143"/>
      <c r="BL9" s="143"/>
      <c r="BM9" s="143"/>
      <c r="BN9" s="136" t="str">
        <f>IF(ISNUMBER(SEARCH("Reminder",BN46&amp;BN81&amp;BN116&amp;BN189&amp;BN224&amp;BN259)),"Please scroll down for important reminder(s).","")</f>
        <v/>
      </c>
      <c r="BO9" s="143"/>
      <c r="BP9" s="143"/>
      <c r="BQ9" s="143"/>
      <c r="BR9" s="143"/>
      <c r="BS9" s="143"/>
      <c r="BT9" s="143"/>
      <c r="BU9" s="104"/>
      <c r="BV9" s="143"/>
      <c r="BW9" s="143"/>
      <c r="BX9" s="143"/>
      <c r="BY9" s="143"/>
      <c r="BZ9" s="136" t="str">
        <f>IF(ISNUMBER(SEARCH("Reminder",BZ46&amp;BZ81&amp;BZ116&amp;BZ189&amp;BZ224&amp;BZ259)),"Please scroll down for important reminder(s).","")</f>
        <v/>
      </c>
      <c r="CA9" s="143"/>
      <c r="CB9" s="143"/>
      <c r="CC9" s="143"/>
      <c r="CD9" s="143"/>
      <c r="CE9" s="143"/>
      <c r="CF9" s="143"/>
      <c r="CG9" s="104"/>
      <c r="CH9" s="143"/>
      <c r="CI9" s="143"/>
      <c r="CJ9" s="143"/>
      <c r="CK9" s="143"/>
      <c r="CL9" s="136" t="str">
        <f>IF(ISNUMBER(SEARCH("Reminder",CL46&amp;CL81&amp;CL116&amp;CL189&amp;CL224&amp;CL259)),"Please scroll down for important reminder(s).","")</f>
        <v/>
      </c>
      <c r="CM9" s="143"/>
      <c r="CN9" s="143"/>
      <c r="CO9" s="143"/>
      <c r="CP9" s="143"/>
      <c r="CQ9" s="143"/>
      <c r="CR9" s="143"/>
      <c r="CS9" s="104"/>
      <c r="CT9" s="143"/>
      <c r="CU9" s="143"/>
      <c r="CV9" s="143"/>
      <c r="CW9" s="143"/>
      <c r="CX9" s="136" t="str">
        <f>IF(ISNUMBER(SEARCH("Reminder",CX46&amp;CX81&amp;CX116&amp;CX189&amp;CX224&amp;CX259)),"Please scroll down for important reminder(s).","")</f>
        <v/>
      </c>
      <c r="CY9" s="143"/>
      <c r="CZ9" s="143"/>
      <c r="DA9" s="143"/>
      <c r="DB9" s="143"/>
      <c r="DC9" s="143"/>
      <c r="DD9" s="143"/>
      <c r="DE9" s="104"/>
      <c r="DF9" s="143"/>
      <c r="DG9" s="143"/>
      <c r="DH9" s="143"/>
      <c r="DI9" s="143"/>
      <c r="DJ9" s="136" t="str">
        <f>IF(ISNUMBER(SEARCH("Reminder",DJ46&amp;DJ81&amp;DJ116&amp;DJ189&amp;DJ224&amp;DJ259)),"Please scroll down for important reminder(s).","")</f>
        <v/>
      </c>
      <c r="DK9" s="143"/>
      <c r="DL9" s="143"/>
      <c r="DM9" s="143"/>
      <c r="DN9" s="143"/>
      <c r="DO9" s="143"/>
      <c r="DP9" s="143"/>
    </row>
    <row r="10" spans="1:120" ht="15" customHeight="1" x14ac:dyDescent="0.25">
      <c r="A10" s="280"/>
      <c r="B10" s="142"/>
      <c r="C10" s="40" t="str">
        <f>$A$35</f>
        <v>Fiscal Accident Year Data Ending</v>
      </c>
      <c r="D10" s="150"/>
      <c r="E10" s="151"/>
      <c r="F10" s="19"/>
      <c r="G10" s="151"/>
      <c r="H10" s="151"/>
      <c r="I10" s="150"/>
      <c r="J10" s="151"/>
      <c r="K10" s="151"/>
      <c r="L10" s="151"/>
      <c r="M10" s="280"/>
      <c r="N10" s="142"/>
      <c r="O10" s="40" t="str">
        <f>$A$35</f>
        <v>Fiscal Accident Year Data Ending</v>
      </c>
      <c r="P10" s="150"/>
      <c r="Q10" s="151"/>
      <c r="R10" s="19"/>
      <c r="S10" s="151"/>
      <c r="T10" s="151"/>
      <c r="U10" s="150"/>
      <c r="V10" s="151"/>
      <c r="W10" s="151"/>
      <c r="X10" s="151"/>
      <c r="Y10" s="280"/>
      <c r="Z10" s="142"/>
      <c r="AA10" s="40" t="str">
        <f>$A$35</f>
        <v>Fiscal Accident Year Data Ending</v>
      </c>
      <c r="AB10" s="150"/>
      <c r="AC10" s="151"/>
      <c r="AD10" s="19"/>
      <c r="AE10" s="151"/>
      <c r="AF10" s="151"/>
      <c r="AG10" s="150"/>
      <c r="AH10" s="151"/>
      <c r="AI10" s="151"/>
      <c r="AJ10" s="151"/>
      <c r="AK10" s="280"/>
      <c r="AL10" s="142"/>
      <c r="AM10" s="40" t="str">
        <f>$A$35</f>
        <v>Fiscal Accident Year Data Ending</v>
      </c>
      <c r="AN10" s="150"/>
      <c r="AO10" s="151"/>
      <c r="AP10" s="19"/>
      <c r="AQ10" s="151"/>
      <c r="AR10" s="151"/>
      <c r="AS10" s="150"/>
      <c r="AT10" s="151"/>
      <c r="AU10" s="151"/>
      <c r="AV10" s="151"/>
      <c r="AW10" s="280"/>
      <c r="AX10" s="142"/>
      <c r="AY10" s="40" t="str">
        <f>$A$35</f>
        <v>Fiscal Accident Year Data Ending</v>
      </c>
      <c r="AZ10" s="150"/>
      <c r="BA10" s="151"/>
      <c r="BB10" s="19"/>
      <c r="BC10" s="151"/>
      <c r="BD10" s="151"/>
      <c r="BE10" s="150"/>
      <c r="BF10" s="151"/>
      <c r="BG10" s="151"/>
      <c r="BH10" s="151"/>
      <c r="BI10" s="280"/>
      <c r="BJ10" s="142"/>
      <c r="BK10" s="40" t="str">
        <f>$A$35</f>
        <v>Fiscal Accident Year Data Ending</v>
      </c>
      <c r="BL10" s="150"/>
      <c r="BM10" s="151"/>
      <c r="BN10" s="19"/>
      <c r="BO10" s="151"/>
      <c r="BP10" s="151"/>
      <c r="BQ10" s="150"/>
      <c r="BR10" s="151"/>
      <c r="BS10" s="151"/>
      <c r="BT10" s="151"/>
      <c r="BU10" s="280"/>
      <c r="BV10" s="142"/>
      <c r="BW10" s="40" t="str">
        <f>$A$35</f>
        <v>Fiscal Accident Year Data Ending</v>
      </c>
      <c r="BX10" s="150"/>
      <c r="BY10" s="151"/>
      <c r="BZ10" s="19"/>
      <c r="CA10" s="151"/>
      <c r="CB10" s="151"/>
      <c r="CC10" s="150"/>
      <c r="CD10" s="151"/>
      <c r="CE10" s="151"/>
      <c r="CF10" s="151"/>
      <c r="CG10" s="280"/>
      <c r="CH10" s="142"/>
      <c r="CI10" s="40" t="str">
        <f>$A$35</f>
        <v>Fiscal Accident Year Data Ending</v>
      </c>
      <c r="CJ10" s="150"/>
      <c r="CK10" s="151"/>
      <c r="CL10" s="19"/>
      <c r="CM10" s="151"/>
      <c r="CN10" s="151"/>
      <c r="CO10" s="150"/>
      <c r="CP10" s="151"/>
      <c r="CQ10" s="151"/>
      <c r="CR10" s="151"/>
      <c r="CS10" s="280"/>
      <c r="CT10" s="142"/>
      <c r="CU10" s="40" t="str">
        <f>$A$35</f>
        <v>Fiscal Accident Year Data Ending</v>
      </c>
      <c r="CV10" s="150"/>
      <c r="CW10" s="151"/>
      <c r="CX10" s="19"/>
      <c r="CY10" s="151"/>
      <c r="CZ10" s="151"/>
      <c r="DA10" s="150"/>
      <c r="DB10" s="151"/>
      <c r="DC10" s="151"/>
      <c r="DD10" s="151"/>
      <c r="DE10" s="280"/>
      <c r="DF10" s="142"/>
      <c r="DG10" s="40" t="str">
        <f>$A$35</f>
        <v>Fiscal Accident Year Data Ending</v>
      </c>
      <c r="DH10" s="150"/>
      <c r="DI10" s="151"/>
      <c r="DJ10" s="19"/>
      <c r="DK10" s="151"/>
      <c r="DL10" s="151"/>
      <c r="DM10" s="150"/>
      <c r="DN10" s="151"/>
      <c r="DO10" s="151"/>
      <c r="DP10" s="151"/>
    </row>
    <row r="11" spans="1:120" ht="15" customHeight="1" x14ac:dyDescent="0.25">
      <c r="A11" s="281" t="s">
        <v>41</v>
      </c>
      <c r="B11" s="145"/>
      <c r="C11" s="146">
        <f t="shared" ref="C11:J11" si="0">D11-10</f>
        <v>20133</v>
      </c>
      <c r="D11" s="146">
        <f t="shared" si="0"/>
        <v>20143</v>
      </c>
      <c r="E11" s="146">
        <f t="shared" si="0"/>
        <v>20153</v>
      </c>
      <c r="F11" s="146">
        <f t="shared" si="0"/>
        <v>20163</v>
      </c>
      <c r="G11" s="146">
        <f t="shared" si="0"/>
        <v>20173</v>
      </c>
      <c r="H11" s="146">
        <f t="shared" si="0"/>
        <v>20183</v>
      </c>
      <c r="I11" s="146">
        <f t="shared" si="0"/>
        <v>20193</v>
      </c>
      <c r="J11" s="146">
        <f t="shared" si="0"/>
        <v>20203</v>
      </c>
      <c r="K11" s="146">
        <f>L11-10</f>
        <v>20213</v>
      </c>
      <c r="L11" s="146">
        <f>FYQtr_LDF</f>
        <v>20223</v>
      </c>
      <c r="M11" s="281" t="s">
        <v>41</v>
      </c>
      <c r="N11" s="145"/>
      <c r="O11" s="146">
        <f t="shared" ref="O11" si="1">P11-10</f>
        <v>20133</v>
      </c>
      <c r="P11" s="146">
        <f t="shared" ref="P11" si="2">Q11-10</f>
        <v>20143</v>
      </c>
      <c r="Q11" s="146">
        <f t="shared" ref="Q11" si="3">R11-10</f>
        <v>20153</v>
      </c>
      <c r="R11" s="146">
        <f t="shared" ref="R11" si="4">S11-10</f>
        <v>20163</v>
      </c>
      <c r="S11" s="146">
        <f t="shared" ref="S11" si="5">T11-10</f>
        <v>20173</v>
      </c>
      <c r="T11" s="146">
        <f t="shared" ref="T11" si="6">U11-10</f>
        <v>20183</v>
      </c>
      <c r="U11" s="146">
        <f t="shared" ref="U11" si="7">V11-10</f>
        <v>20193</v>
      </c>
      <c r="V11" s="146">
        <f t="shared" ref="V11" si="8">W11-10</f>
        <v>20203</v>
      </c>
      <c r="W11" s="146">
        <f>X11-10</f>
        <v>20213</v>
      </c>
      <c r="X11" s="146">
        <f>FYQtr_LDF</f>
        <v>20223</v>
      </c>
      <c r="Y11" s="281" t="s">
        <v>41</v>
      </c>
      <c r="Z11" s="145"/>
      <c r="AA11" s="146">
        <f t="shared" ref="AA11" si="9">AB11-10</f>
        <v>20133</v>
      </c>
      <c r="AB11" s="146">
        <f t="shared" ref="AB11" si="10">AC11-10</f>
        <v>20143</v>
      </c>
      <c r="AC11" s="146">
        <f t="shared" ref="AC11" si="11">AD11-10</f>
        <v>20153</v>
      </c>
      <c r="AD11" s="146">
        <f t="shared" ref="AD11" si="12">AE11-10</f>
        <v>20163</v>
      </c>
      <c r="AE11" s="146">
        <f t="shared" ref="AE11" si="13">AF11-10</f>
        <v>20173</v>
      </c>
      <c r="AF11" s="146">
        <f t="shared" ref="AF11" si="14">AG11-10</f>
        <v>20183</v>
      </c>
      <c r="AG11" s="146">
        <f t="shared" ref="AG11" si="15">AH11-10</f>
        <v>20193</v>
      </c>
      <c r="AH11" s="146">
        <f t="shared" ref="AH11" si="16">AI11-10</f>
        <v>20203</v>
      </c>
      <c r="AI11" s="146">
        <f>AJ11-10</f>
        <v>20213</v>
      </c>
      <c r="AJ11" s="146">
        <f>FYQtr_LDF</f>
        <v>20223</v>
      </c>
      <c r="AK11" s="281" t="s">
        <v>41</v>
      </c>
      <c r="AL11" s="145"/>
      <c r="AM11" s="146">
        <f t="shared" ref="AM11" si="17">AN11-10</f>
        <v>20133</v>
      </c>
      <c r="AN11" s="146">
        <f t="shared" ref="AN11" si="18">AO11-10</f>
        <v>20143</v>
      </c>
      <c r="AO11" s="146">
        <f t="shared" ref="AO11" si="19">AP11-10</f>
        <v>20153</v>
      </c>
      <c r="AP11" s="146">
        <f t="shared" ref="AP11" si="20">AQ11-10</f>
        <v>20163</v>
      </c>
      <c r="AQ11" s="146">
        <f t="shared" ref="AQ11" si="21">AR11-10</f>
        <v>20173</v>
      </c>
      <c r="AR11" s="146">
        <f t="shared" ref="AR11" si="22">AS11-10</f>
        <v>20183</v>
      </c>
      <c r="AS11" s="146">
        <f t="shared" ref="AS11" si="23">AT11-10</f>
        <v>20193</v>
      </c>
      <c r="AT11" s="146">
        <f t="shared" ref="AT11" si="24">AU11-10</f>
        <v>20203</v>
      </c>
      <c r="AU11" s="146">
        <f>AV11-10</f>
        <v>20213</v>
      </c>
      <c r="AV11" s="146">
        <f>FYQtr_LDF</f>
        <v>20223</v>
      </c>
      <c r="AW11" s="281" t="s">
        <v>41</v>
      </c>
      <c r="AX11" s="145"/>
      <c r="AY11" s="146">
        <f t="shared" ref="AY11" si="25">AZ11-10</f>
        <v>20133</v>
      </c>
      <c r="AZ11" s="146">
        <f t="shared" ref="AZ11" si="26">BA11-10</f>
        <v>20143</v>
      </c>
      <c r="BA11" s="146">
        <f t="shared" ref="BA11" si="27">BB11-10</f>
        <v>20153</v>
      </c>
      <c r="BB11" s="146">
        <f t="shared" ref="BB11" si="28">BC11-10</f>
        <v>20163</v>
      </c>
      <c r="BC11" s="146">
        <f t="shared" ref="BC11" si="29">BD11-10</f>
        <v>20173</v>
      </c>
      <c r="BD11" s="146">
        <f t="shared" ref="BD11" si="30">BE11-10</f>
        <v>20183</v>
      </c>
      <c r="BE11" s="146">
        <f t="shared" ref="BE11" si="31">BF11-10</f>
        <v>20193</v>
      </c>
      <c r="BF11" s="146">
        <f t="shared" ref="BF11" si="32">BG11-10</f>
        <v>20203</v>
      </c>
      <c r="BG11" s="146">
        <f>BH11-10</f>
        <v>20213</v>
      </c>
      <c r="BH11" s="146">
        <f>FYQtr_LDF</f>
        <v>20223</v>
      </c>
      <c r="BI11" s="281" t="s">
        <v>41</v>
      </c>
      <c r="BJ11" s="145"/>
      <c r="BK11" s="146">
        <f t="shared" ref="BK11" si="33">BL11-10</f>
        <v>20133</v>
      </c>
      <c r="BL11" s="146">
        <f t="shared" ref="BL11" si="34">BM11-10</f>
        <v>20143</v>
      </c>
      <c r="BM11" s="146">
        <f t="shared" ref="BM11" si="35">BN11-10</f>
        <v>20153</v>
      </c>
      <c r="BN11" s="146">
        <f t="shared" ref="BN11" si="36">BO11-10</f>
        <v>20163</v>
      </c>
      <c r="BO11" s="146">
        <f t="shared" ref="BO11" si="37">BP11-10</f>
        <v>20173</v>
      </c>
      <c r="BP11" s="146">
        <f t="shared" ref="BP11" si="38">BQ11-10</f>
        <v>20183</v>
      </c>
      <c r="BQ11" s="146">
        <f t="shared" ref="BQ11" si="39">BR11-10</f>
        <v>20193</v>
      </c>
      <c r="BR11" s="146">
        <f t="shared" ref="BR11" si="40">BS11-10</f>
        <v>20203</v>
      </c>
      <c r="BS11" s="146">
        <f>BT11-10</f>
        <v>20213</v>
      </c>
      <c r="BT11" s="146">
        <f>FYQtr_LDF</f>
        <v>20223</v>
      </c>
      <c r="BU11" s="281" t="s">
        <v>41</v>
      </c>
      <c r="BV11" s="145"/>
      <c r="BW11" s="146">
        <f t="shared" ref="BW11" si="41">BX11-10</f>
        <v>20133</v>
      </c>
      <c r="BX11" s="146">
        <f t="shared" ref="BX11" si="42">BY11-10</f>
        <v>20143</v>
      </c>
      <c r="BY11" s="146">
        <f t="shared" ref="BY11" si="43">BZ11-10</f>
        <v>20153</v>
      </c>
      <c r="BZ11" s="146">
        <f t="shared" ref="BZ11" si="44">CA11-10</f>
        <v>20163</v>
      </c>
      <c r="CA11" s="146">
        <f t="shared" ref="CA11" si="45">CB11-10</f>
        <v>20173</v>
      </c>
      <c r="CB11" s="146">
        <f t="shared" ref="CB11" si="46">CC11-10</f>
        <v>20183</v>
      </c>
      <c r="CC11" s="146">
        <f t="shared" ref="CC11" si="47">CD11-10</f>
        <v>20193</v>
      </c>
      <c r="CD11" s="146">
        <f t="shared" ref="CD11" si="48">CE11-10</f>
        <v>20203</v>
      </c>
      <c r="CE11" s="146">
        <f>CF11-10</f>
        <v>20213</v>
      </c>
      <c r="CF11" s="146">
        <f>FYQtr_LDF</f>
        <v>20223</v>
      </c>
      <c r="CG11" s="281" t="s">
        <v>41</v>
      </c>
      <c r="CH11" s="145"/>
      <c r="CI11" s="146">
        <f t="shared" ref="CI11" si="49">CJ11-10</f>
        <v>20133</v>
      </c>
      <c r="CJ11" s="146">
        <f t="shared" ref="CJ11" si="50">CK11-10</f>
        <v>20143</v>
      </c>
      <c r="CK11" s="146">
        <f t="shared" ref="CK11" si="51">CL11-10</f>
        <v>20153</v>
      </c>
      <c r="CL11" s="146">
        <f t="shared" ref="CL11" si="52">CM11-10</f>
        <v>20163</v>
      </c>
      <c r="CM11" s="146">
        <f t="shared" ref="CM11" si="53">CN11-10</f>
        <v>20173</v>
      </c>
      <c r="CN11" s="146">
        <f t="shared" ref="CN11" si="54">CO11-10</f>
        <v>20183</v>
      </c>
      <c r="CO11" s="146">
        <f t="shared" ref="CO11" si="55">CP11-10</f>
        <v>20193</v>
      </c>
      <c r="CP11" s="146">
        <f t="shared" ref="CP11" si="56">CQ11-10</f>
        <v>20203</v>
      </c>
      <c r="CQ11" s="146">
        <f>CR11-10</f>
        <v>20213</v>
      </c>
      <c r="CR11" s="146">
        <f>FYQtr_LDF</f>
        <v>20223</v>
      </c>
      <c r="CS11" s="281" t="s">
        <v>41</v>
      </c>
      <c r="CT11" s="145"/>
      <c r="CU11" s="146">
        <f t="shared" ref="CU11" si="57">CV11-10</f>
        <v>20133</v>
      </c>
      <c r="CV11" s="146">
        <f t="shared" ref="CV11" si="58">CW11-10</f>
        <v>20143</v>
      </c>
      <c r="CW11" s="146">
        <f t="shared" ref="CW11" si="59">CX11-10</f>
        <v>20153</v>
      </c>
      <c r="CX11" s="146">
        <f t="shared" ref="CX11" si="60">CY11-10</f>
        <v>20163</v>
      </c>
      <c r="CY11" s="146">
        <f t="shared" ref="CY11" si="61">CZ11-10</f>
        <v>20173</v>
      </c>
      <c r="CZ11" s="146">
        <f t="shared" ref="CZ11" si="62">DA11-10</f>
        <v>20183</v>
      </c>
      <c r="DA11" s="146">
        <f t="shared" ref="DA11" si="63">DB11-10</f>
        <v>20193</v>
      </c>
      <c r="DB11" s="146">
        <f t="shared" ref="DB11" si="64">DC11-10</f>
        <v>20203</v>
      </c>
      <c r="DC11" s="146">
        <f>DD11-10</f>
        <v>20213</v>
      </c>
      <c r="DD11" s="146">
        <f>FYQtr_LDF</f>
        <v>20223</v>
      </c>
      <c r="DE11" s="281" t="s">
        <v>41</v>
      </c>
      <c r="DF11" s="145"/>
      <c r="DG11" s="146">
        <f t="shared" ref="DG11" si="65">DH11-10</f>
        <v>20133</v>
      </c>
      <c r="DH11" s="146">
        <f t="shared" ref="DH11" si="66">DI11-10</f>
        <v>20143</v>
      </c>
      <c r="DI11" s="146">
        <f t="shared" ref="DI11" si="67">DJ11-10</f>
        <v>20153</v>
      </c>
      <c r="DJ11" s="146">
        <f t="shared" ref="DJ11" si="68">DK11-10</f>
        <v>20163</v>
      </c>
      <c r="DK11" s="146">
        <f t="shared" ref="DK11" si="69">DL11-10</f>
        <v>20173</v>
      </c>
      <c r="DL11" s="146">
        <f t="shared" ref="DL11" si="70">DM11-10</f>
        <v>20183</v>
      </c>
      <c r="DM11" s="146">
        <f t="shared" ref="DM11" si="71">DN11-10</f>
        <v>20193</v>
      </c>
      <c r="DN11" s="146">
        <f t="shared" ref="DN11" si="72">DO11-10</f>
        <v>20203</v>
      </c>
      <c r="DO11" s="146">
        <f>DP11-10</f>
        <v>20213</v>
      </c>
      <c r="DP11" s="146">
        <f>FYQtr_LDF</f>
        <v>20223</v>
      </c>
    </row>
    <row r="12" spans="1:120" ht="15" customHeight="1" x14ac:dyDescent="0.25">
      <c r="A12" s="287" t="s">
        <v>204</v>
      </c>
      <c r="B12" s="142"/>
      <c r="C12" s="144">
        <f>IF(COUNTA(B36:L45)=0,"",INDEX(C62:L62,1,11-MATCH(C11,C11:L11,0)))</f>
        <v>1012454284.6000001</v>
      </c>
      <c r="D12" s="144">
        <f>IF(COUNTA(B36:L45)=0,"",INDEX(C62:L62,1,11-MATCH(D11,C11:L11,0)))</f>
        <v>1158410416.8526053</v>
      </c>
      <c r="E12" s="144">
        <f>IF(COUNTA(B36:L45)=0,"",INDEX(C62:L62,1,11-MATCH(E11,C11:L11,0)))</f>
        <v>1240206852.4418831</v>
      </c>
      <c r="F12" s="144">
        <f>IF(COUNTA(B36:L45)=0,"",INDEX(C62:L62,1,11-MATCH(F11,C11:L11,0)))</f>
        <v>1410992929.4483497</v>
      </c>
      <c r="G12" s="144">
        <f>IF(COUNTA(B36:L45)=0,"",INDEX(C62:L62,1,11-MATCH(G11,C11:L11,0)))</f>
        <v>1424100327.4225614</v>
      </c>
      <c r="H12" s="144">
        <f>IF(COUNTA(B36:L45)=0,"",INDEX(C62:L62,1,11-MATCH(H11,C11:L11,0)))</f>
        <v>1353929293.6419363</v>
      </c>
      <c r="I12" s="144">
        <f>IF(COUNTA(B36:L45)=0,"",INDEX(C62:L62,1,11-MATCH(I11,C11:L11,0)))</f>
        <v>1284423138.1954892</v>
      </c>
      <c r="J12" s="144">
        <f>IF(COUNTA(B36:L45)=0,"",INDEX(C62:L62,1,11-MATCH(J11,C11:L11,0)))</f>
        <v>995516693.1916889</v>
      </c>
      <c r="K12" s="144">
        <f>IF(COUNTA(B36:L45)=0,"",INDEX(C62:L62,1,11-MATCH(K11,C11:L11,0)))</f>
        <v>1009676442.1152521</v>
      </c>
      <c r="L12" s="144">
        <f>IF(COUNTA(B36:L45)=0,"",INDEX(C62:L62,1,11-MATCH(L11,C11:L11,0)))</f>
        <v>1337525610.7005632</v>
      </c>
      <c r="M12" s="289" t="s">
        <v>204</v>
      </c>
      <c r="N12" s="142"/>
      <c r="O12" s="144">
        <f>IF(COUNTA(N36:X45)=0,"",INDEX(O62:X62,1,11-MATCH(O11,O11:X11,0)))</f>
        <v>64009608.699999996</v>
      </c>
      <c r="P12" s="144">
        <f>IF(COUNTA(N36:X45)=0,"",INDEX(O62:X62,1,11-MATCH(P11,O11:X11,0)))</f>
        <v>63388893.994966969</v>
      </c>
      <c r="Q12" s="144">
        <f>IF(COUNTA(N36:X45)=0,"",INDEX(O62:X62,1,11-MATCH(Q11,O11:X11,0)))</f>
        <v>63437294.416384526</v>
      </c>
      <c r="R12" s="144">
        <f>IF(COUNTA(N36:X45)=0,"",INDEX(O62:X62,1,11-MATCH(R11,O11:X11,0)))</f>
        <v>65020471.396370344</v>
      </c>
      <c r="S12" s="144">
        <f>IF(COUNTA(N36:X45)=0,"",INDEX(O62:X62,1,11-MATCH(S11,O11:X11,0)))</f>
        <v>71095262.739232972</v>
      </c>
      <c r="T12" s="144">
        <f>IF(COUNTA(N36:X45)=0,"",INDEX(O62:X62,1,11-MATCH(T11,O11:X11,0)))</f>
        <v>71576408.50295867</v>
      </c>
      <c r="U12" s="144">
        <f>IF(COUNTA(N36:X45)=0,"",INDEX(O62:X62,1,11-MATCH(U11,O11:X11,0)))</f>
        <v>71225879.644738868</v>
      </c>
      <c r="V12" s="144">
        <f>IF(COUNTA(N36:X45)=0,"",INDEX(O62:X62,1,11-MATCH(V11,O11:X11,0)))</f>
        <v>52507546.152253591</v>
      </c>
      <c r="W12" s="144">
        <f>IF(COUNTA(N36:X45)=0,"",INDEX(O62:X62,1,11-MATCH(W11,O11:X11,0)))</f>
        <v>51952591.369772121</v>
      </c>
      <c r="X12" s="144">
        <f>IF(COUNTA(N36:X45)=0,"",INDEX(O62:X62,1,11-MATCH(X11,O11:X11,0)))</f>
        <v>60071252.735696308</v>
      </c>
      <c r="Y12" s="289" t="s">
        <v>204</v>
      </c>
      <c r="Z12" s="142"/>
      <c r="AA12" s="144">
        <f>IF(COUNTA(Z36:AJ45)=0,"",INDEX(AA62:AJ62,1,11-MATCH(AA11,AA11:AJ11,0)))</f>
        <v>139535554.97000006</v>
      </c>
      <c r="AB12" s="144">
        <f>IF(COUNTA(Z36:AJ45)=0,"",INDEX(AA62:AJ62,1,11-MATCH(AB11,AA11:AJ11,0)))</f>
        <v>160053053.21006626</v>
      </c>
      <c r="AC12" s="144">
        <f>IF(COUNTA(Z36:AJ45)=0,"",INDEX(AA62:AJ62,1,11-MATCH(AC11,AA11:AJ11,0)))</f>
        <v>184056005.71164104</v>
      </c>
      <c r="AD12" s="144">
        <f>IF(COUNTA(Z36:AJ45)=0,"",INDEX(AA62:AJ62,1,11-MATCH(AD11,AA11:AJ11,0)))</f>
        <v>199354856.09445268</v>
      </c>
      <c r="AE12" s="144">
        <f>IF(COUNTA(Z36:AJ45)=0,"",INDEX(AA62:AJ62,1,11-MATCH(AE11,AA11:AJ11,0)))</f>
        <v>227000943.87366262</v>
      </c>
      <c r="AF12" s="144">
        <f>IF(COUNTA(Z36:AJ45)=0,"",INDEX(AA62:AJ62,1,11-MATCH(AF11,AA11:AJ11,0)))</f>
        <v>230565373.26217431</v>
      </c>
      <c r="AG12" s="144">
        <f>IF(COUNTA(Z36:AJ45)=0,"",INDEX(AA62:AJ62,1,11-MATCH(AG11,AA11:AJ11,0)))</f>
        <v>225374525.14900896</v>
      </c>
      <c r="AH12" s="144">
        <f>IF(COUNTA(Z36:AJ45)=0,"",INDEX(AA62:AJ62,1,11-MATCH(AH11,AA11:AJ11,0)))</f>
        <v>206169440.02423728</v>
      </c>
      <c r="AI12" s="144">
        <f>IF(COUNTA(Z36:AJ45)=0,"",INDEX(AA62:AJ62,1,11-MATCH(AI11,AA11:AJ11,0)))</f>
        <v>244743510.34201053</v>
      </c>
      <c r="AJ12" s="144">
        <f>IF(COUNTA(Z36:AJ45)=0,"",INDEX(AA62:AJ62,1,11-MATCH(AJ11,AA11:AJ11,0)))</f>
        <v>281044100.76429474</v>
      </c>
      <c r="AK12" s="289" t="s">
        <v>204</v>
      </c>
      <c r="AL12" s="142"/>
      <c r="AM12" s="144">
        <f>IF(COUNTA(AL36:AV45)=0,"",INDEX(AM62:AV62,1,11-MATCH(AM11,AM11:AV11,0)))</f>
        <v>174614204.84000006</v>
      </c>
      <c r="AN12" s="144">
        <f>IF(COUNTA(AL36:AV45)=0,"",INDEX(AM62:AV62,1,11-MATCH(AN11,AM11:AV11,0)))</f>
        <v>180060582.9338972</v>
      </c>
      <c r="AO12" s="144">
        <f>IF(COUNTA(AL36:AV45)=0,"",INDEX(AM62:AV62,1,11-MATCH(AO11,AM11:AV11,0)))</f>
        <v>194309960.895071</v>
      </c>
      <c r="AP12" s="144">
        <f>IF(COUNTA(AL36:AV45)=0,"",INDEX(AM62:AV62,1,11-MATCH(AP11,AM11:AV11,0)))</f>
        <v>208376933.12620273</v>
      </c>
      <c r="AQ12" s="144">
        <f>IF(COUNTA(AL36:AV45)=0,"",INDEX(AM62:AV62,1,11-MATCH(AQ11,AM11:AV11,0)))</f>
        <v>226683686.98407686</v>
      </c>
      <c r="AR12" s="144">
        <f>IF(COUNTA(AL36:AV45)=0,"",INDEX(AM62:AV62,1,11-MATCH(AR11,AM11:AV11,0)))</f>
        <v>219085164.24123156</v>
      </c>
      <c r="AS12" s="144">
        <f>IF(COUNTA(AL36:AV45)=0,"",INDEX(AM62:AV62,1,11-MATCH(AS11,AM11:AV11,0)))</f>
        <v>234392470.30623537</v>
      </c>
      <c r="AT12" s="144">
        <f>IF(COUNTA(AL36:AV45)=0,"",INDEX(AM62:AV62,1,11-MATCH(AT11,AM11:AV11,0)))</f>
        <v>235804230.76854819</v>
      </c>
      <c r="AU12" s="144">
        <f>IF(COUNTA(AL36:AV45)=0,"",INDEX(AM62:AV62,1,11-MATCH(AU11,AM11:AV11,0)))</f>
        <v>286040105.5947215</v>
      </c>
      <c r="AV12" s="144">
        <f>IF(COUNTA(AL36:AV45)=0,"",INDEX(AM62:AV62,1,11-MATCH(AV11,AM11:AV11,0)))</f>
        <v>376941752.61482173</v>
      </c>
      <c r="AW12" s="289" t="s">
        <v>204</v>
      </c>
      <c r="AX12" s="142"/>
      <c r="AY12" s="144">
        <f>IF(COUNTA(AX36:BH45)=0,"",INDEX(AY62:BH62,1,11-MATCH(AY11,AY11:BH11,0)))</f>
        <v>575484926.37999976</v>
      </c>
      <c r="AZ12" s="144">
        <f>IF(COUNTA(AX36:BH45)=0,"",INDEX(AY62:BH62,1,11-MATCH(AZ11,AY11:BH11,0)))</f>
        <v>638259059.97485352</v>
      </c>
      <c r="BA12" s="144">
        <f>IF(COUNTA(AX36:BH45)=0,"",INDEX(AY62:BH62,1,11-MATCH(BA11,AY11:BH11,0)))</f>
        <v>731097103.00054014</v>
      </c>
      <c r="BB12" s="144">
        <f>IF(COUNTA(AX36:BH45)=0,"",INDEX(AY62:BH62,1,11-MATCH(BB11,AY11:BH11,0)))</f>
        <v>812252420.57797384</v>
      </c>
      <c r="BC12" s="144">
        <f>IF(COUNTA(AX36:BH45)=0,"",INDEX(AY62:BH62,1,11-MATCH(BC11,AY11:BH11,0)))</f>
        <v>850999469.77755725</v>
      </c>
      <c r="BD12" s="144">
        <f>IF(COUNTA(AX36:BH45)=0,"",INDEX(AY62:BH62,1,11-MATCH(BD11,AY11:BH11,0)))</f>
        <v>835144963.3048538</v>
      </c>
      <c r="BE12" s="144">
        <f>IF(COUNTA(AX36:BH45)=0,"",INDEX(AY62:BH62,1,11-MATCH(BE11,AY11:BH11,0)))</f>
        <v>861505095.65838492</v>
      </c>
      <c r="BF12" s="144">
        <f>IF(COUNTA(AX36:BH45)=0,"",INDEX(AY62:BH62,1,11-MATCH(BF11,AY11:BH11,0)))</f>
        <v>710254257.29649436</v>
      </c>
      <c r="BG12" s="144">
        <f>IF(COUNTA(AX36:BH45)=0,"",INDEX(AY62:BH62,1,11-MATCH(BG11,AY11:BH11,0)))</f>
        <v>823105176.30192244</v>
      </c>
      <c r="BH12" s="144">
        <f>IF(COUNTA(AX36:BH45)=0,"",INDEX(AY62:BH62,1,11-MATCH(BH11,AY11:BH11,0)))</f>
        <v>1154473149.5362978</v>
      </c>
      <c r="BI12" s="289" t="s">
        <v>204</v>
      </c>
      <c r="BJ12" s="142"/>
      <c r="BK12" s="144">
        <f>IF(COUNTA(BJ36:BT45)=0,"",INDEX(BK62:BT62,1,11-MATCH(BK11,BK11:BT11,0)))</f>
        <v>38057465.469999991</v>
      </c>
      <c r="BL12" s="144">
        <f>IF(COUNTA(BJ36:BT45)=0,"",INDEX(BK62:BT62,1,11-MATCH(BL11,BK11:BT11,0)))</f>
        <v>41021329.906556293</v>
      </c>
      <c r="BM12" s="144">
        <f>IF(COUNTA(BJ36:BT45)=0,"",INDEX(BK62:BT62,1,11-MATCH(BM11,BK11:BT11,0)))</f>
        <v>44548341.318521783</v>
      </c>
      <c r="BN12" s="144">
        <f>IF(COUNTA(BJ36:BT45)=0,"",INDEX(BK62:BT62,1,11-MATCH(BN11,BK11:BT11,0)))</f>
        <v>49441997.731898248</v>
      </c>
      <c r="BO12" s="144">
        <f>IF(COUNTA(BJ36:BT45)=0,"",INDEX(BK62:BT62,1,11-MATCH(BO11,BK11:BT11,0)))</f>
        <v>53912809.329425544</v>
      </c>
      <c r="BP12" s="144">
        <f>IF(COUNTA(BJ36:BT45)=0,"",INDEX(BK62:BT62,1,11-MATCH(BP11,BK11:BT11,0)))</f>
        <v>51169540.108053386</v>
      </c>
      <c r="BQ12" s="144">
        <f>IF(COUNTA(BJ36:BT45)=0,"",INDEX(BK62:BT62,1,11-MATCH(BQ11,BK11:BT11,0)))</f>
        <v>53554302.714825407</v>
      </c>
      <c r="BR12" s="144">
        <f>IF(COUNTA(BJ36:BT45)=0,"",INDEX(BK62:BT62,1,11-MATCH(BR11,BK11:BT11,0)))</f>
        <v>45456586.887135953</v>
      </c>
      <c r="BS12" s="144">
        <f>IF(COUNTA(BJ36:BT45)=0,"",INDEX(BK62:BT62,1,11-MATCH(BS11,BK11:BT11,0)))</f>
        <v>52157511.875705555</v>
      </c>
      <c r="BT12" s="144">
        <f>IF(COUNTA(BJ36:BT45)=0,"",INDEX(BK62:BT62,1,11-MATCH(BT11,BK11:BT11,0)))</f>
        <v>68558500.03526713</v>
      </c>
      <c r="BU12" s="289" t="s">
        <v>204</v>
      </c>
      <c r="BV12" s="142"/>
      <c r="BW12" s="144">
        <f>IF(COUNTA(BV36:CF45)=0,"",INDEX(BW62:CF62,1,11-MATCH(BW11,BW11:CF11,0)))</f>
        <v>262757.52</v>
      </c>
      <c r="BX12" s="144">
        <f>IF(COUNTA(BV36:CF45)=0,"",INDEX(BW62:CF62,1,11-MATCH(BX11,BW11:CF11,0)))</f>
        <v>367111.87</v>
      </c>
      <c r="BY12" s="144">
        <f>IF(COUNTA(BV36:CF45)=0,"",INDEX(BW62:CF62,1,11-MATCH(BY11,BW11:CF11,0)))</f>
        <v>511667.20000000001</v>
      </c>
      <c r="BZ12" s="144">
        <f>IF(COUNTA(BV36:CF45)=0,"",INDEX(BW62:CF62,1,11-MATCH(BZ11,BW11:CF11,0)))</f>
        <v>275600</v>
      </c>
      <c r="CA12" s="144">
        <f>IF(COUNTA(BV36:CF45)=0,"",INDEX(BW62:CF62,1,11-MATCH(CA11,BW11:CF11,0)))</f>
        <v>379934.12</v>
      </c>
      <c r="CB12" s="144">
        <f>IF(COUNTA(BV36:CF45)=0,"",INDEX(BW62:CF62,1,11-MATCH(CB11,BW11:CF11,0)))</f>
        <v>539653.41999999993</v>
      </c>
      <c r="CC12" s="144">
        <f>IF(COUNTA(BV36:CF45)=0,"",INDEX(BW62:CF62,1,11-MATCH(CC11,BW11:CF11,0)))</f>
        <v>477546.23941783363</v>
      </c>
      <c r="CD12" s="144">
        <f>IF(COUNTA(BV36:CF45)=0,"",INDEX(BW62:CF62,1,11-MATCH(CD11,BW11:CF11,0)))</f>
        <v>169394.16378154294</v>
      </c>
      <c r="CE12" s="144">
        <f>IF(COUNTA(BV36:CF45)=0,"",INDEX(BW62:CF62,1,11-MATCH(CE11,BW11:CF11,0)))</f>
        <v>209884.37593526879</v>
      </c>
      <c r="CF12" s="144">
        <f>IF(COUNTA(BV36:CF45)=0,"",INDEX(BW62:CF62,1,11-MATCH(CF11,BW11:CF11,0)))</f>
        <v>341063.69715024572</v>
      </c>
      <c r="CG12" s="289" t="s">
        <v>204</v>
      </c>
      <c r="CH12" s="142"/>
      <c r="CI12" s="144" t="str">
        <f>IF(COUNTA(CH36:CR45)=0,"",INDEX(CI62:CR62,1,11-MATCH(CI11,CI11:CR11,0)))</f>
        <v/>
      </c>
      <c r="CJ12" s="144" t="str">
        <f>IF(COUNTA(CH36:CR45)=0,"",INDEX(CI62:CR62,1,11-MATCH(CJ11,CI11:CR11,0)))</f>
        <v/>
      </c>
      <c r="CK12" s="144" t="str">
        <f>IF(COUNTA(CH36:CR45)=0,"",INDEX(CI62:CR62,1,11-MATCH(CK11,CI11:CR11,0)))</f>
        <v/>
      </c>
      <c r="CL12" s="144" t="str">
        <f>IF(COUNTA(CH36:CR45)=0,"",INDEX(CI62:CR62,1,11-MATCH(CL11,CI11:CR11,0)))</f>
        <v/>
      </c>
      <c r="CM12" s="144" t="str">
        <f>IF(COUNTA(CH36:CR45)=0,"",INDEX(CI62:CR62,1,11-MATCH(CM11,CI11:CR11,0)))</f>
        <v/>
      </c>
      <c r="CN12" s="144" t="str">
        <f>IF(COUNTA(CH36:CR45)=0,"",INDEX(CI62:CR62,1,11-MATCH(CN11,CI11:CR11,0)))</f>
        <v/>
      </c>
      <c r="CO12" s="144" t="str">
        <f>IF(COUNTA(CH36:CR45)=0,"",INDEX(CI62:CR62,1,11-MATCH(CO11,CI11:CR11,0)))</f>
        <v/>
      </c>
      <c r="CP12" s="144" t="str">
        <f>IF(COUNTA(CH36:CR45)=0,"",INDEX(CI62:CR62,1,11-MATCH(CP11,CI11:CR11,0)))</f>
        <v/>
      </c>
      <c r="CQ12" s="144" t="str">
        <f>IF(COUNTA(CH36:CR45)=0,"",INDEX(CI62:CR62,1,11-MATCH(CQ11,CI11:CR11,0)))</f>
        <v/>
      </c>
      <c r="CR12" s="144" t="str">
        <f>IF(COUNTA(CH36:CR45)=0,"",INDEX(CI62:CR62,1,11-MATCH(CR11,CI11:CR11,0)))</f>
        <v/>
      </c>
      <c r="CS12" s="289" t="s">
        <v>204</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89" t="s">
        <v>204</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7" t="s">
        <v>202</v>
      </c>
      <c r="B13" s="142"/>
      <c r="C13" s="144">
        <f>IF(COUNTA(B71:L80)=0,"",INDEX(C97:L97,1,11-MATCH(C11,C11:L11,0)))</f>
        <v>919830174.80000019</v>
      </c>
      <c r="D13" s="144">
        <f>IF(COUNTA(B71:L80)=0,"",INDEX(C97:L97,1,11-MATCH(D11,C11:L11,0)))</f>
        <v>1064080052.674119</v>
      </c>
      <c r="E13" s="144">
        <f>IF(COUNTA(B71:L80)=0,"",INDEX(C97:L97,1,11-MATCH(E11,C11:L11,0)))</f>
        <v>1140110679.0327554</v>
      </c>
      <c r="F13" s="144">
        <f>IF(COUNTA(B71:L80)=0,"",INDEX(C97:L97,1,11-MATCH(F11,C11:L11,0)))</f>
        <v>1286823941.2871079</v>
      </c>
      <c r="G13" s="144">
        <f>IF(COUNTA(B71:L80)=0,"",INDEX(C97:L97,1,11-MATCH(G11,C11:L11,0)))</f>
        <v>1280462015.2017419</v>
      </c>
      <c r="H13" s="144">
        <f>IF(COUNTA(B71:L80)=0,"",INDEX(C97:L97,1,11-MATCH(H11,C11:L11,0)))</f>
        <v>1213763840.2172399</v>
      </c>
      <c r="I13" s="144">
        <f>IF(COUNTA(B71:L80)=0,"",INDEX(C97:L97,1,11-MATCH(I11,C11:L11,0)))</f>
        <v>1142531266.3105781</v>
      </c>
      <c r="J13" s="144">
        <f>IF(COUNTA(B71:L80)=0,"",INDEX(C97:L97,1,11-MATCH(J11,C11:L11,0)))</f>
        <v>877924399.96693408</v>
      </c>
      <c r="K13" s="144">
        <f>IF(COUNTA(B71:L80)=0,"",INDEX(C97:L97,1,11-MATCH(K11,C11:L11,0)))</f>
        <v>902967910.1846447</v>
      </c>
      <c r="L13" s="144">
        <f>IF(COUNTA(B71:L80)=0,"",INDEX(C97:L97,1,11-MATCH(L11,C11:L11,0)))</f>
        <v>1194673315.5775063</v>
      </c>
      <c r="M13" s="289" t="s">
        <v>202</v>
      </c>
      <c r="N13" s="142"/>
      <c r="O13" s="144">
        <f>IF(COUNTA(N71:X80)=0,"",INDEX(O97:X97,1,11-MATCH(O11,O11:X11,0)))</f>
        <v>63134270.549999997</v>
      </c>
      <c r="P13" s="144">
        <f>IF(COUNTA(N71:X80)=0,"",INDEX(O97:X97,1,11-MATCH(P11,O11:X11,0)))</f>
        <v>62491719.014061376</v>
      </c>
      <c r="Q13" s="144">
        <f>IF(COUNTA(N71:X80)=0,"",INDEX(O97:X97,1,11-MATCH(Q11,O11:X11,0)))</f>
        <v>62949704.429553859</v>
      </c>
      <c r="R13" s="144">
        <f>IF(COUNTA(N71:X80)=0,"",INDEX(O97:X97,1,11-MATCH(R11,O11:X11,0)))</f>
        <v>64748691.487370715</v>
      </c>
      <c r="S13" s="144">
        <f>IF(COUNTA(N71:X80)=0,"",INDEX(O97:X97,1,11-MATCH(S11,O11:X11,0)))</f>
        <v>70620823.399780616</v>
      </c>
      <c r="T13" s="144">
        <f>IF(COUNTA(N71:X80)=0,"",INDEX(O97:X97,1,11-MATCH(T11,O11:X11,0)))</f>
        <v>71215996.196530998</v>
      </c>
      <c r="U13" s="144">
        <f>IF(COUNTA(N71:X80)=0,"",INDEX(O97:X97,1,11-MATCH(U11,O11:X11,0)))</f>
        <v>70832647.719938517</v>
      </c>
      <c r="V13" s="144">
        <f>IF(COUNTA(N71:X80)=0,"",INDEX(O97:X97,1,11-MATCH(V11,O11:X11,0)))</f>
        <v>52175257.122090012</v>
      </c>
      <c r="W13" s="144">
        <f>IF(COUNTA(N71:X80)=0,"",INDEX(O97:X97,1,11-MATCH(W11,O11:X11,0)))</f>
        <v>51797606.142444</v>
      </c>
      <c r="X13" s="144">
        <f>IF(COUNTA(N71:X80)=0,"",INDEX(O97:X97,1,11-MATCH(X11,O11:X11,0)))</f>
        <v>59770069.587156393</v>
      </c>
      <c r="Y13" s="289" t="s">
        <v>202</v>
      </c>
      <c r="Z13" s="142"/>
      <c r="AA13" s="144">
        <f>IF(COUNTA(Z71:AJ80)=0,"",INDEX(AA97:AJ97,1,11-MATCH(AA11,AA11:AJ11,0)))</f>
        <v>126373328.64000006</v>
      </c>
      <c r="AB13" s="144">
        <f>IF(COUNTA(Z71:AJ80)=0,"",INDEX(AA97:AJ97,1,11-MATCH(AB11,AA11:AJ11,0)))</f>
        <v>146172899.73812905</v>
      </c>
      <c r="AC13" s="144">
        <f>IF(COUNTA(Z71:AJ80)=0,"",INDEX(AA97:AJ97,1,11-MATCH(AC11,AA11:AJ11,0)))</f>
        <v>168697803.67652079</v>
      </c>
      <c r="AD13" s="144">
        <f>IF(COUNTA(Z71:AJ80)=0,"",INDEX(AA97:AJ97,1,11-MATCH(AD11,AA11:AJ11,0)))</f>
        <v>181908996.57160857</v>
      </c>
      <c r="AE13" s="144">
        <f>IF(COUNTA(Z71:AJ80)=0,"",INDEX(AA97:AJ97,1,11-MATCH(AE11,AA11:AJ11,0)))</f>
        <v>206880512.14038959</v>
      </c>
      <c r="AF13" s="144">
        <f>IF(COUNTA(Z71:AJ80)=0,"",INDEX(AA97:AJ97,1,11-MATCH(AF11,AA11:AJ11,0)))</f>
        <v>208021956.72295809</v>
      </c>
      <c r="AG13" s="144">
        <f>IF(COUNTA(Z71:AJ80)=0,"",INDEX(AA97:AJ97,1,11-MATCH(AG11,AA11:AJ11,0)))</f>
        <v>202754648.82919544</v>
      </c>
      <c r="AH13" s="144">
        <f>IF(COUNTA(Z71:AJ80)=0,"",INDEX(AA97:AJ97,1,11-MATCH(AH11,AA11:AJ11,0)))</f>
        <v>184956760.97268948</v>
      </c>
      <c r="AI13" s="144">
        <f>IF(COUNTA(Z71:AJ80)=0,"",INDEX(AA97:AJ97,1,11-MATCH(AI11,AA11:AJ11,0)))</f>
        <v>221478751.17692968</v>
      </c>
      <c r="AJ13" s="144">
        <f>IF(COUNTA(Z71:AJ80)=0,"",INDEX(AA97:AJ97,1,11-MATCH(AJ11,AA11:AJ11,0)))</f>
        <v>253964994.42672533</v>
      </c>
      <c r="AK13" s="289" t="s">
        <v>202</v>
      </c>
      <c r="AL13" s="142"/>
      <c r="AM13" s="144">
        <f>IF(COUNTA(AL71:AV80)=0,"",INDEX(AM97:AV97,1,11-MATCH(AM11,AM11:AV11,0)))</f>
        <v>173144135.10000005</v>
      </c>
      <c r="AN13" s="144">
        <f>IF(COUNTA(AL71:AV80)=0,"",INDEX(AM97:AV97,1,11-MATCH(AN11,AM11:AV11,0)))</f>
        <v>178920713.72953856</v>
      </c>
      <c r="AO13" s="144">
        <f>IF(COUNTA(AL71:AV80)=0,"",INDEX(AM97:AV97,1,11-MATCH(AO11,AM11:AV11,0)))</f>
        <v>193370544.03609994</v>
      </c>
      <c r="AP13" s="144">
        <f>IF(COUNTA(AL71:AV80)=0,"",INDEX(AM97:AV97,1,11-MATCH(AP11,AM11:AV11,0)))</f>
        <v>207363887.06075856</v>
      </c>
      <c r="AQ13" s="144">
        <f>IF(COUNTA(AL71:AV80)=0,"",INDEX(AM97:AV97,1,11-MATCH(AQ11,AM11:AV11,0)))</f>
        <v>225376212.74855736</v>
      </c>
      <c r="AR13" s="144">
        <f>IF(COUNTA(AL71:AV80)=0,"",INDEX(AM97:AV97,1,11-MATCH(AR11,AM11:AV11,0)))</f>
        <v>217893055.55164367</v>
      </c>
      <c r="AS13" s="144">
        <f>IF(COUNTA(AL71:AV80)=0,"",INDEX(AM97:AV97,1,11-MATCH(AS11,AM11:AV11,0)))</f>
        <v>232933497.15200296</v>
      </c>
      <c r="AT13" s="144">
        <f>IF(COUNTA(AL71:AV80)=0,"",INDEX(AM97:AV97,1,11-MATCH(AT11,AM11:AV11,0)))</f>
        <v>232944587.75268391</v>
      </c>
      <c r="AU13" s="144">
        <f>IF(COUNTA(AL71:AV80)=0,"",INDEX(AM97:AV97,1,11-MATCH(AU11,AM11:AV11,0)))</f>
        <v>283887240.59170425</v>
      </c>
      <c r="AV13" s="144">
        <f>IF(COUNTA(AL71:AV80)=0,"",INDEX(AM97:AV97,1,11-MATCH(AV11,AM11:AV11,0)))</f>
        <v>374478345.27768052</v>
      </c>
      <c r="AW13" s="289" t="s">
        <v>202</v>
      </c>
      <c r="AX13" s="142"/>
      <c r="AY13" s="144">
        <f>IF(COUNTA(AX71:BH80)=0,"",INDEX(AY97:BH97,1,11-MATCH(AY11,AY11:BH11,0)))</f>
        <v>574570138.09999979</v>
      </c>
      <c r="AZ13" s="144">
        <f>IF(COUNTA(AX71:BH80)=0,"",INDEX(AY97:BH97,1,11-MATCH(AZ11,AY11:BH11,0)))</f>
        <v>637166690.12343919</v>
      </c>
      <c r="BA13" s="144">
        <f>IF(COUNTA(AX71:BH80)=0,"",INDEX(AY97:BH97,1,11-MATCH(BA11,AY11:BH11,0)))</f>
        <v>729978107.99226284</v>
      </c>
      <c r="BB13" s="144">
        <f>IF(COUNTA(AX71:BH80)=0,"",INDEX(AY97:BH97,1,11-MATCH(BB11,AY11:BH11,0)))</f>
        <v>811283998.72397685</v>
      </c>
      <c r="BC13" s="144">
        <f>IF(COUNTA(AX71:BH80)=0,"",INDEX(AY97:BH97,1,11-MATCH(BC11,AY11:BH11,0)))</f>
        <v>849741525.15436447</v>
      </c>
      <c r="BD13" s="144">
        <f>IF(COUNTA(AX71:BH80)=0,"",INDEX(AY97:BH97,1,11-MATCH(BD11,AY11:BH11,0)))</f>
        <v>833814712.85216498</v>
      </c>
      <c r="BE13" s="144">
        <f>IF(COUNTA(AX71:BH80)=0,"",INDEX(AY97:BH97,1,11-MATCH(BE11,AY11:BH11,0)))</f>
        <v>858849685.06234038</v>
      </c>
      <c r="BF13" s="144">
        <f>IF(COUNTA(AX71:BH80)=0,"",INDEX(AY97:BH97,1,11-MATCH(BF11,AY11:BH11,0)))</f>
        <v>706678364.23536921</v>
      </c>
      <c r="BG13" s="144">
        <f>IF(COUNTA(AX71:BH80)=0,"",INDEX(AY97:BH97,1,11-MATCH(BG11,AY11:BH11,0)))</f>
        <v>820273441.56397748</v>
      </c>
      <c r="BH13" s="144">
        <f>IF(COUNTA(AX71:BH80)=0,"",INDEX(AY97:BH97,1,11-MATCH(BH11,AY11:BH11,0)))</f>
        <v>1150945746.1958833</v>
      </c>
      <c r="BI13" s="289" t="s">
        <v>202</v>
      </c>
      <c r="BJ13" s="142"/>
      <c r="BK13" s="144">
        <f>IF(COUNTA(BJ71:BT80)=0,"",INDEX(BK97:BT97,1,11-MATCH(BK11,BK11:BT11,0)))</f>
        <v>38025515.699999988</v>
      </c>
      <c r="BL13" s="144">
        <f>IF(COUNTA(BJ71:BT80)=0,"",INDEX(BK97:BT97,1,11-MATCH(BL11,BK11:BT11,0)))</f>
        <v>41011191.016272604</v>
      </c>
      <c r="BM13" s="144">
        <f>IF(COUNTA(BJ71:BT80)=0,"",INDEX(BK97:BT97,1,11-MATCH(BM11,BK11:BT11,0)))</f>
        <v>44529023.351290315</v>
      </c>
      <c r="BN13" s="144">
        <f>IF(COUNTA(BJ71:BT80)=0,"",INDEX(BK97:BT97,1,11-MATCH(BN11,BK11:BT11,0)))</f>
        <v>49434567.261829764</v>
      </c>
      <c r="BO13" s="144">
        <f>IF(COUNTA(BJ71:BT80)=0,"",INDEX(BK97:BT97,1,11-MATCH(BO11,BK11:BT11,0)))</f>
        <v>53896000.700209446</v>
      </c>
      <c r="BP13" s="144">
        <f>IF(COUNTA(BJ71:BT80)=0,"",INDEX(BK97:BT97,1,11-MATCH(BP11,BK11:BT11,0)))</f>
        <v>51137692.182002679</v>
      </c>
      <c r="BQ13" s="144">
        <f>IF(COUNTA(BJ71:BT80)=0,"",INDEX(BK97:BT97,1,11-MATCH(BQ11,BK11:BT11,0)))</f>
        <v>53523730.377650447</v>
      </c>
      <c r="BR13" s="144">
        <f>IF(COUNTA(BJ71:BT80)=0,"",INDEX(BK97:BT97,1,11-MATCH(BR11,BK11:BT11,0)))</f>
        <v>45398516.355475441</v>
      </c>
      <c r="BS13" s="144">
        <f>IF(COUNTA(BJ71:BT80)=0,"",INDEX(BK97:BT97,1,11-MATCH(BS11,BK11:BT11,0)))</f>
        <v>52143582.136531003</v>
      </c>
      <c r="BT13" s="144">
        <f>IF(COUNTA(BJ71:BT80)=0,"",INDEX(BK97:BT97,1,11-MATCH(BT11,BK11:BT11,0)))</f>
        <v>68541297.69996807</v>
      </c>
      <c r="BU13" s="289" t="s">
        <v>202</v>
      </c>
      <c r="BV13" s="142"/>
      <c r="BW13" s="144">
        <f>IF(COUNTA(BV71:CF80)=0,"",INDEX(BW97:CF97,1,11-MATCH(BW11,BW11:CF11,0)))</f>
        <v>258250</v>
      </c>
      <c r="BX13" s="144">
        <f>IF(COUNTA(BV71:CF80)=0,"",INDEX(BW97:CF97,1,11-MATCH(BX11,BW11:CF11,0)))</f>
        <v>366601.32</v>
      </c>
      <c r="BY13" s="144">
        <f>IF(COUNTA(BV71:CF80)=0,"",INDEX(BW97:CF97,1,11-MATCH(BY11,BW11:CF11,0)))</f>
        <v>501471.43</v>
      </c>
      <c r="BZ13" s="144">
        <f>IF(COUNTA(BV71:CF80)=0,"",INDEX(BW97:CF97,1,11-MATCH(BZ11,BW11:CF11,0)))</f>
        <v>275600</v>
      </c>
      <c r="CA13" s="144">
        <f>IF(COUNTA(BV71:CF80)=0,"",INDEX(BW97:CF97,1,11-MATCH(CA11,BW11:CF11,0)))</f>
        <v>379934.12</v>
      </c>
      <c r="CB13" s="144">
        <f>IF(COUNTA(BV71:CF80)=0,"",INDEX(BW97:CF97,1,11-MATCH(CB11,BW11:CF11,0)))</f>
        <v>531671.41999999993</v>
      </c>
      <c r="CC13" s="144">
        <f>IF(COUNTA(BV71:CF80)=0,"",INDEX(BW97:CF97,1,11-MATCH(CC11,BW11:CF11,0)))</f>
        <v>477569.23819243273</v>
      </c>
      <c r="CD13" s="144">
        <f>IF(COUNTA(BV71:CF80)=0,"",INDEX(BW97:CF97,1,11-MATCH(CD11,BW11:CF11,0)))</f>
        <v>169381.86837862412</v>
      </c>
      <c r="CE13" s="144">
        <f>IF(COUNTA(BV71:CF80)=0,"",INDEX(BW97:CF97,1,11-MATCH(CE11,BW11:CF11,0)))</f>
        <v>209901.78534338766</v>
      </c>
      <c r="CF13" s="144">
        <f>IF(COUNTA(BV71:CF80)=0,"",INDEX(BW97:CF97,1,11-MATCH(CF11,BW11:CF11,0)))</f>
        <v>341480.95747042727</v>
      </c>
      <c r="CG13" s="289" t="s">
        <v>202</v>
      </c>
      <c r="CH13" s="142"/>
      <c r="CI13" s="144" t="str">
        <f>IF(COUNTA(CH71:CR80)=0,"",INDEX(CI97:CR97,1,11-MATCH(CI11,CI11:CR11,0)))</f>
        <v/>
      </c>
      <c r="CJ13" s="144" t="str">
        <f>IF(COUNTA(CH71:CR80)=0,"",INDEX(CI97:CR97,1,11-MATCH(CJ11,CI11:CR11,0)))</f>
        <v/>
      </c>
      <c r="CK13" s="144" t="str">
        <f>IF(COUNTA(CH71:CR80)=0,"",INDEX(CI97:CR97,1,11-MATCH(CK11,CI11:CR11,0)))</f>
        <v/>
      </c>
      <c r="CL13" s="144" t="str">
        <f>IF(COUNTA(CH71:CR80)=0,"",INDEX(CI97:CR97,1,11-MATCH(CL11,CI11:CR11,0)))</f>
        <v/>
      </c>
      <c r="CM13" s="144" t="str">
        <f>IF(COUNTA(CH71:CR80)=0,"",INDEX(CI97:CR97,1,11-MATCH(CM11,CI11:CR11,0)))</f>
        <v/>
      </c>
      <c r="CN13" s="144" t="str">
        <f>IF(COUNTA(CH71:CR80)=0,"",INDEX(CI97:CR97,1,11-MATCH(CN11,CI11:CR11,0)))</f>
        <v/>
      </c>
      <c r="CO13" s="144" t="str">
        <f>IF(COUNTA(CH71:CR80)=0,"",INDEX(CI97:CR97,1,11-MATCH(CO11,CI11:CR11,0)))</f>
        <v/>
      </c>
      <c r="CP13" s="144" t="str">
        <f>IF(COUNTA(CH71:CR80)=0,"",INDEX(CI97:CR97,1,11-MATCH(CP11,CI11:CR11,0)))</f>
        <v/>
      </c>
      <c r="CQ13" s="144" t="str">
        <f>IF(COUNTA(CH71:CR80)=0,"",INDEX(CI97:CR97,1,11-MATCH(CQ11,CI11:CR11,0)))</f>
        <v/>
      </c>
      <c r="CR13" s="144" t="str">
        <f>IF(COUNTA(CH71:CR80)=0,"",INDEX(CI97:CR97,1,11-MATCH(CR11,CI11:CR11,0)))</f>
        <v/>
      </c>
      <c r="CS13" s="289" t="s">
        <v>202</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89" t="s">
        <v>202</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7" t="s">
        <v>205</v>
      </c>
      <c r="B14" s="142"/>
      <c r="C14" s="144">
        <f>IF(COUNTA(B179:L188)=0,"",INDEX(C205:L205,1,11-MATCH(C11,C11:L11,0)))</f>
        <v>1012681785.6000001</v>
      </c>
      <c r="D14" s="144">
        <f>IF(COUNTA(B179:L188)=0,"",INDEX(C205:L205,1,11-MATCH(D11,C11:L11,0)))</f>
        <v>1158525770.3493562</v>
      </c>
      <c r="E14" s="144">
        <f>IF(COUNTA(B179:L188)=0,"",INDEX(C205:L205,1,11-MATCH(E11,C11:L11,0)))</f>
        <v>1240226087.7268746</v>
      </c>
      <c r="F14" s="144">
        <f>IF(COUNTA(B179:L188)=0,"",INDEX(C205:L205,1,11-MATCH(F11,C11:L11,0)))</f>
        <v>1412096174.3855245</v>
      </c>
      <c r="G14" s="144">
        <f>IF(COUNTA(B179:L188)=0,"",INDEX(C205:L205,1,11-MATCH(G11,C11:L11,0)))</f>
        <v>1428819850.9789751</v>
      </c>
      <c r="H14" s="144">
        <f>IF(COUNTA(B179:L188)=0,"",INDEX(C205:L205,1,11-MATCH(H11,C11:L11,0)))</f>
        <v>1365149642.974606</v>
      </c>
      <c r="I14" s="144">
        <f>IF(COUNTA(B179:L188)=0,"",INDEX(C205:L205,1,11-MATCH(I11,C11:L11,0)))</f>
        <v>1315983210.0011842</v>
      </c>
      <c r="J14" s="144">
        <f>IF(COUNTA(B179:L188)=0,"",INDEX(C205:L205,1,11-MATCH(J11,C11:L11,0)))</f>
        <v>1031956647.6375777</v>
      </c>
      <c r="K14" s="144">
        <f>IF(COUNTA(B179:L188)=0,"",INDEX(C205:L205,1,11-MATCH(K11,C11:L11,0)))</f>
        <v>1065918503.7194455</v>
      </c>
      <c r="L14" s="144">
        <f>IF(COUNTA(B179:L188)=0,"",INDEX(C205:L205,1,11-MATCH(L11,C11:L11,0)))</f>
        <v>1397272652.5986259</v>
      </c>
      <c r="M14" s="289" t="s">
        <v>205</v>
      </c>
      <c r="N14" s="142"/>
      <c r="O14" s="144">
        <f>IF(COUNTA(N179:X188)=0,"",INDEX(O205:X205,1,11-MATCH(O11,O11:X11,0)))</f>
        <v>64009608.699999996</v>
      </c>
      <c r="P14" s="144">
        <f>IF(COUNTA(N179:X188)=0,"",INDEX(O205:X205,1,11-MATCH(P11,O11:X11,0)))</f>
        <v>63390392.948251143</v>
      </c>
      <c r="Q14" s="144">
        <f>IF(COUNTA(N179:X188)=0,"",INDEX(O205:X205,1,11-MATCH(Q11,O11:X11,0)))</f>
        <v>63443040.312821314</v>
      </c>
      <c r="R14" s="144">
        <f>IF(COUNTA(N179:X188)=0,"",INDEX(O205:X205,1,11-MATCH(R11,O11:X11,0)))</f>
        <v>65024846.054945223</v>
      </c>
      <c r="S14" s="144">
        <f>IF(COUNTA(N179:X188)=0,"",INDEX(O205:X205,1,11-MATCH(S11,O11:X11,0)))</f>
        <v>71099195.591908962</v>
      </c>
      <c r="T14" s="144">
        <f>IF(COUNTA(N179:X188)=0,"",INDEX(O205:X205,1,11-MATCH(T11,O11:X11,0)))</f>
        <v>71570130.604454637</v>
      </c>
      <c r="U14" s="144">
        <f>IF(COUNTA(N179:X188)=0,"",INDEX(O205:X205,1,11-MATCH(U11,O11:X11,0)))</f>
        <v>71198946.031653658</v>
      </c>
      <c r="V14" s="144">
        <f>IF(COUNTA(N179:X188)=0,"",INDEX(O205:X205,1,11-MATCH(V11,O11:X11,0)))</f>
        <v>52419845.639614232</v>
      </c>
      <c r="W14" s="144">
        <f>IF(COUNTA(N179:X188)=0,"",INDEX(O205:X205,1,11-MATCH(W11,O11:X11,0)))</f>
        <v>52170548.732145347</v>
      </c>
      <c r="X14" s="144">
        <f>IF(COUNTA(N179:X188)=0,"",INDEX(O205:X205,1,11-MATCH(X11,O11:X11,0)))</f>
        <v>59252359.59100391</v>
      </c>
      <c r="Y14" s="289" t="s">
        <v>205</v>
      </c>
      <c r="Z14" s="142"/>
      <c r="AA14" s="144">
        <f>IF(COUNTA(Z179:AJ188)=0,"",INDEX(AA205:AJ205,1,11-MATCH(AA11,AA11:AJ11,0)))</f>
        <v>139583779.97000006</v>
      </c>
      <c r="AB14" s="144">
        <f>IF(COUNTA(Z179:AJ188)=0,"",INDEX(AA205:AJ205,1,11-MATCH(AB11,AA11:AJ11,0)))</f>
        <v>160144941.61592481</v>
      </c>
      <c r="AC14" s="144">
        <f>IF(COUNTA(Z179:AJ188)=0,"",INDEX(AA205:AJ205,1,11-MATCH(AC11,AA11:AJ11,0)))</f>
        <v>184087848.02796429</v>
      </c>
      <c r="AD14" s="144">
        <f>IF(COUNTA(Z179:AJ188)=0,"",INDEX(AA205:AJ205,1,11-MATCH(AD11,AA11:AJ11,0)))</f>
        <v>198799574.54956263</v>
      </c>
      <c r="AE14" s="144">
        <f>IF(COUNTA(Z179:AJ188)=0,"",INDEX(AA205:AJ205,1,11-MATCH(AE11,AA11:AJ11,0)))</f>
        <v>226581386.52187803</v>
      </c>
      <c r="AF14" s="144">
        <f>IF(COUNTA(Z179:AJ188)=0,"",INDEX(AA205:AJ205,1,11-MATCH(AF11,AA11:AJ11,0)))</f>
        <v>231597872.07125744</v>
      </c>
      <c r="AG14" s="144">
        <f>IF(COUNTA(Z179:AJ188)=0,"",INDEX(AA205:AJ205,1,11-MATCH(AG11,AA11:AJ11,0)))</f>
        <v>226630978.74068943</v>
      </c>
      <c r="AH14" s="144">
        <f>IF(COUNTA(Z179:AJ188)=0,"",INDEX(AA205:AJ205,1,11-MATCH(AH11,AA11:AJ11,0)))</f>
        <v>208696299.96988338</v>
      </c>
      <c r="AI14" s="144">
        <f>IF(COUNTA(Z179:AJ188)=0,"",INDEX(AA205:AJ205,1,11-MATCH(AI11,AA11:AJ11,0)))</f>
        <v>258956196.53702635</v>
      </c>
      <c r="AJ14" s="144">
        <f>IF(COUNTA(Z179:AJ188)=0,"",INDEX(AA205:AJ205,1,11-MATCH(AJ11,AA11:AJ11,0)))</f>
        <v>295631691.26629722</v>
      </c>
      <c r="AK14" s="289" t="s">
        <v>205</v>
      </c>
      <c r="AL14" s="142"/>
      <c r="AM14" s="144">
        <f>IF(COUNTA(AL179:AV188)=0,"",INDEX(AM205:AV205,1,11-MATCH(AM11,AM11:AV11,0)))</f>
        <v>174614204.84000006</v>
      </c>
      <c r="AN14" s="144">
        <f>IF(COUNTA(AL179:AV188)=0,"",INDEX(AM205:AV205,1,11-MATCH(AN11,AM11:AV11,0)))</f>
        <v>180060582.9338972</v>
      </c>
      <c r="AO14" s="144">
        <f>IF(COUNTA(AL179:AV188)=0,"",INDEX(AM205:AV205,1,11-MATCH(AO11,AM11:AV11,0)))</f>
        <v>194312939.31666118</v>
      </c>
      <c r="AP14" s="144">
        <f>IF(COUNTA(AL179:AV188)=0,"",INDEX(AM205:AV205,1,11-MATCH(AP11,AM11:AV11,0)))</f>
        <v>208376364.16879705</v>
      </c>
      <c r="AQ14" s="144">
        <f>IF(COUNTA(AL179:AV188)=0,"",INDEX(AM205:AV205,1,11-MATCH(AQ11,AM11:AV11,0)))</f>
        <v>226696981.28761634</v>
      </c>
      <c r="AR14" s="144">
        <f>IF(COUNTA(AL179:AV188)=0,"",INDEX(AM205:AV205,1,11-MATCH(AR11,AM11:AV11,0)))</f>
        <v>219086619.45838773</v>
      </c>
      <c r="AS14" s="144">
        <f>IF(COUNTA(AL179:AV188)=0,"",INDEX(AM205:AV205,1,11-MATCH(AS11,AM11:AV11,0)))</f>
        <v>234401690.59848732</v>
      </c>
      <c r="AT14" s="144">
        <f>IF(COUNTA(AL179:AV188)=0,"",INDEX(AM205:AV205,1,11-MATCH(AT11,AM11:AV11,0)))</f>
        <v>235835618.419613</v>
      </c>
      <c r="AU14" s="144">
        <f>IF(COUNTA(AL179:AV188)=0,"",INDEX(AM205:AV205,1,11-MATCH(AU11,AM11:AV11,0)))</f>
        <v>286102120.92745709</v>
      </c>
      <c r="AV14" s="144">
        <f>IF(COUNTA(AL179:AV188)=0,"",INDEX(AM205:AV205,1,11-MATCH(AV11,AM11:AV11,0)))</f>
        <v>378586919.65500605</v>
      </c>
      <c r="AW14" s="289" t="s">
        <v>205</v>
      </c>
      <c r="AX14" s="142"/>
      <c r="AY14" s="144">
        <f>IF(COUNTA(AX179:BH188)=0,"",INDEX(AY205:BH205,1,11-MATCH(AY11,AY11:BH11,0)))</f>
        <v>575490046.37999976</v>
      </c>
      <c r="AZ14" s="144">
        <f>IF(COUNTA(AX179:BH188)=0,"",INDEX(AY205:BH205,1,11-MATCH(AZ11,AY11:BH11,0)))</f>
        <v>638259637.51838732</v>
      </c>
      <c r="BA14" s="144">
        <f>IF(COUNTA(AX179:BH188)=0,"",INDEX(AY205:BH205,1,11-MATCH(BA11,AY11:BH11,0)))</f>
        <v>731108822.54195535</v>
      </c>
      <c r="BB14" s="144">
        <f>IF(COUNTA(AX179:BH188)=0,"",INDEX(AY205:BH205,1,11-MATCH(BB11,AY11:BH11,0)))</f>
        <v>812266905.81640708</v>
      </c>
      <c r="BC14" s="144">
        <f>IF(COUNTA(AX179:BH188)=0,"",INDEX(AY205:BH205,1,11-MATCH(BC11,AY11:BH11,0)))</f>
        <v>851004039.26630843</v>
      </c>
      <c r="BD14" s="144">
        <f>IF(COUNTA(AX179:BH188)=0,"",INDEX(AY205:BH205,1,11-MATCH(BD11,AY11:BH11,0)))</f>
        <v>835160572.65896988</v>
      </c>
      <c r="BE14" s="144">
        <f>IF(COUNTA(AX179:BH188)=0,"",INDEX(AY205:BH205,1,11-MATCH(BE11,AY11:BH11,0)))</f>
        <v>861548440.51230192</v>
      </c>
      <c r="BF14" s="144">
        <f>IF(COUNTA(AX179:BH188)=0,"",INDEX(AY205:BH205,1,11-MATCH(BF11,AY11:BH11,0)))</f>
        <v>710442901.53460491</v>
      </c>
      <c r="BG14" s="144">
        <f>IF(COUNTA(AX179:BH188)=0,"",INDEX(AY205:BH205,1,11-MATCH(BG11,AY11:BH11,0)))</f>
        <v>823763540.30163074</v>
      </c>
      <c r="BH14" s="144">
        <f>IF(COUNTA(AX179:BH188)=0,"",INDEX(AY205:BH205,1,11-MATCH(BH11,AY11:BH11,0)))</f>
        <v>1162219832.6769192</v>
      </c>
      <c r="BI14" s="289" t="s">
        <v>205</v>
      </c>
      <c r="BJ14" s="142"/>
      <c r="BK14" s="144">
        <f>IF(COUNTA(BJ179:BT188)=0,"",INDEX(BK205:BT205,1,11-MATCH(BK11,BK11:BT11,0)))</f>
        <v>38057465.469999991</v>
      </c>
      <c r="BL14" s="144">
        <f>IF(COUNTA(BJ179:BT188)=0,"",INDEX(BK205:BT205,1,11-MATCH(BL11,BK11:BT11,0)))</f>
        <v>41021329.906556293</v>
      </c>
      <c r="BM14" s="144">
        <f>IF(COUNTA(BJ179:BT188)=0,"",INDEX(BK205:BT205,1,11-MATCH(BM11,BK11:BT11,0)))</f>
        <v>44548242.740814887</v>
      </c>
      <c r="BN14" s="144">
        <f>IF(COUNTA(BJ179:BT188)=0,"",INDEX(BK205:BT205,1,11-MATCH(BN11,BK11:BT11,0)))</f>
        <v>49441888.32551536</v>
      </c>
      <c r="BO14" s="144">
        <f>IF(COUNTA(BJ179:BT188)=0,"",INDEX(BK205:BT205,1,11-MATCH(BO11,BK11:BT11,0)))</f>
        <v>53913013.998090111</v>
      </c>
      <c r="BP14" s="144">
        <f>IF(COUNTA(BJ179:BT188)=0,"",INDEX(BK205:BT205,1,11-MATCH(BP11,BK11:BT11,0)))</f>
        <v>51170115.140287459</v>
      </c>
      <c r="BQ14" s="144">
        <f>IF(COUNTA(BJ179:BT188)=0,"",INDEX(BK205:BT205,1,11-MATCH(BQ11,BK11:BT11,0)))</f>
        <v>53592795.09134873</v>
      </c>
      <c r="BR14" s="144">
        <f>IF(COUNTA(BJ179:BT188)=0,"",INDEX(BK205:BT205,1,11-MATCH(BR11,BK11:BT11,0)))</f>
        <v>45459730.936334677</v>
      </c>
      <c r="BS14" s="144">
        <f>IF(COUNTA(BJ179:BT188)=0,"",INDEX(BK205:BT205,1,11-MATCH(BS11,BK11:BT11,0)))</f>
        <v>52168441.745124005</v>
      </c>
      <c r="BT14" s="144">
        <f>IF(COUNTA(BJ179:BT188)=0,"",INDEX(BK205:BT205,1,11-MATCH(BT11,BK11:BT11,0)))</f>
        <v>68726991.389772117</v>
      </c>
      <c r="BU14" s="289" t="s">
        <v>205</v>
      </c>
      <c r="BV14" s="142"/>
      <c r="BW14" s="144">
        <f>IF(COUNTA(BV179:CF188)=0,"",INDEX(BW205:CF205,1,11-MATCH(BW11,BW11:CF11,0)))</f>
        <v>262757.52</v>
      </c>
      <c r="BX14" s="144">
        <f>IF(COUNTA(BV179:CF188)=0,"",INDEX(BW205:CF205,1,11-MATCH(BX11,BW11:CF11,0)))</f>
        <v>367111.87</v>
      </c>
      <c r="BY14" s="144">
        <f>IF(COUNTA(BV179:CF188)=0,"",INDEX(BW205:CF205,1,11-MATCH(BY11,BW11:CF11,0)))</f>
        <v>511667.20000000001</v>
      </c>
      <c r="BZ14" s="144">
        <f>IF(COUNTA(BV179:CF188)=0,"",INDEX(BW205:CF205,1,11-MATCH(BZ11,BW11:CF11,0)))</f>
        <v>275600</v>
      </c>
      <c r="CA14" s="144">
        <f>IF(COUNTA(BV179:CF188)=0,"",INDEX(BW205:CF205,1,11-MATCH(CA11,BW11:CF11,0)))</f>
        <v>379934.12</v>
      </c>
      <c r="CB14" s="144">
        <f>IF(COUNTA(BV179:CF188)=0,"",INDEX(BW205:CF205,1,11-MATCH(CB11,BW11:CF11,0)))</f>
        <v>539653.41999999993</v>
      </c>
      <c r="CC14" s="144">
        <f>IF(COUNTA(BV179:CF188)=0,"",INDEX(BW205:CF205,1,11-MATCH(CC11,BW11:CF11,0)))</f>
        <v>477546.23941783363</v>
      </c>
      <c r="CD14" s="144">
        <f>IF(COUNTA(BV179:CF188)=0,"",INDEX(BW205:CF205,1,11-MATCH(CD11,BW11:CF11,0)))</f>
        <v>168536.28572359835</v>
      </c>
      <c r="CE14" s="144">
        <f>IF(COUNTA(BV179:CF188)=0,"",INDEX(BW205:CF205,1,11-MATCH(CE11,BW11:CF11,0)))</f>
        <v>219120.46306195462</v>
      </c>
      <c r="CF14" s="144">
        <f>IF(COUNTA(BV179:CF188)=0,"",INDEX(BW205:CF205,1,11-MATCH(CF11,BW11:CF11,0)))</f>
        <v>352502.40192401828</v>
      </c>
      <c r="CG14" s="289" t="s">
        <v>205</v>
      </c>
      <c r="CH14" s="142"/>
      <c r="CI14" s="144" t="str">
        <f>IF(COUNTA(CH179:CR188)=0,"",INDEX(CI205:CR205,1,11-MATCH(CI11,CI11:CR11,0)))</f>
        <v/>
      </c>
      <c r="CJ14" s="144" t="str">
        <f>IF(COUNTA(CH179:CR188)=0,"",INDEX(CI205:CR205,1,11-MATCH(CJ11,CI11:CR11,0)))</f>
        <v/>
      </c>
      <c r="CK14" s="144" t="str">
        <f>IF(COUNTA(CH179:CR188)=0,"",INDEX(CI205:CR205,1,11-MATCH(CK11,CI11:CR11,0)))</f>
        <v/>
      </c>
      <c r="CL14" s="144" t="str">
        <f>IF(COUNTA(CH179:CR188)=0,"",INDEX(CI205:CR205,1,11-MATCH(CL11,CI11:CR11,0)))</f>
        <v/>
      </c>
      <c r="CM14" s="144" t="str">
        <f>IF(COUNTA(CH179:CR188)=0,"",INDEX(CI205:CR205,1,11-MATCH(CM11,CI11:CR11,0)))</f>
        <v/>
      </c>
      <c r="CN14" s="144" t="str">
        <f>IF(COUNTA(CH179:CR188)=0,"",INDEX(CI205:CR205,1,11-MATCH(CN11,CI11:CR11,0)))</f>
        <v/>
      </c>
      <c r="CO14" s="144" t="str">
        <f>IF(COUNTA(CH179:CR188)=0,"",INDEX(CI205:CR205,1,11-MATCH(CO11,CI11:CR11,0)))</f>
        <v/>
      </c>
      <c r="CP14" s="144" t="str">
        <f>IF(COUNTA(CH179:CR188)=0,"",INDEX(CI205:CR205,1,11-MATCH(CP11,CI11:CR11,0)))</f>
        <v/>
      </c>
      <c r="CQ14" s="144" t="str">
        <f>IF(COUNTA(CH179:CR188)=0,"",INDEX(CI205:CR205,1,11-MATCH(CQ11,CI11:CR11,0)))</f>
        <v/>
      </c>
      <c r="CR14" s="144" t="str">
        <f>IF(COUNTA(CH179:CR188)=0,"",INDEX(CI205:CR205,1,11-MATCH(CR11,CI11:CR11,0)))</f>
        <v/>
      </c>
      <c r="CS14" s="289" t="s">
        <v>205</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89" t="s">
        <v>205</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7" t="s">
        <v>203</v>
      </c>
      <c r="B15" s="68"/>
      <c r="C15" s="144">
        <f>IF(COUNTA(B214:L223)=0,"",INDEX(C240:L240,1,11-MATCH(C11,C11:L11,0)))</f>
        <v>920057675.80000019</v>
      </c>
      <c r="D15" s="144">
        <f>IF(COUNTA(B214:L223)=0,"",INDEX(C240:L240,1,11-MATCH(D11,C11:L11,0)))</f>
        <v>1064193158.5822048</v>
      </c>
      <c r="E15" s="144">
        <f>IF(COUNTA(B214:L223)=0,"",INDEX(C240:L240,1,11-MATCH(E11,C11:L11,0)))</f>
        <v>1140124211.3832164</v>
      </c>
      <c r="F15" s="144">
        <f>IF(COUNTA(B214:L223)=0,"",INDEX(C240:L240,1,11-MATCH(F11,C11:L11,0)))</f>
        <v>1287931106.1730287</v>
      </c>
      <c r="G15" s="144">
        <f>IF(COUNTA(B214:L223)=0,"",INDEX(C240:L240,1,11-MATCH(G11,C11:L11,0)))</f>
        <v>1285254424.5704341</v>
      </c>
      <c r="H15" s="144">
        <f>IF(COUNTA(B214:L223)=0,"",INDEX(C240:L240,1,11-MATCH(H11,C11:L11,0)))</f>
        <v>1225131403.7641387</v>
      </c>
      <c r="I15" s="144">
        <f>IF(COUNTA(B214:L223)=0,"",INDEX(C240:L240,1,11-MATCH(I11,C11:L11,0)))</f>
        <v>1174127100.2305522</v>
      </c>
      <c r="J15" s="144">
        <f>IF(COUNTA(B214:L223)=0,"",INDEX(C240:L240,1,11-MATCH(J11,C11:L11,0)))</f>
        <v>914066335.87849927</v>
      </c>
      <c r="K15" s="144">
        <f>IF(COUNTA(B214:L223)=0,"",INDEX(C240:L240,1,11-MATCH(K11,C11:L11,0)))</f>
        <v>956074346.85543823</v>
      </c>
      <c r="L15" s="144">
        <f>IF(COUNTA(B214:L223)=0,"",INDEX(C240:L240,1,11-MATCH(L11,C11:L11,0)))</f>
        <v>1251253054.1177616</v>
      </c>
      <c r="M15" s="289" t="s">
        <v>203</v>
      </c>
      <c r="N15" s="68"/>
      <c r="O15" s="144">
        <f>IF(COUNTA(N214:X223)=0,"",INDEX(O240:X240,1,11-MATCH(O11,O11:X11,0)))</f>
        <v>63134270.549999997</v>
      </c>
      <c r="P15" s="144">
        <f>IF(COUNTA(N214:X223)=0,"",INDEX(O240:X240,1,11-MATCH(P11,O11:X11,0)))</f>
        <v>62493217.966579154</v>
      </c>
      <c r="Q15" s="144">
        <f>IF(COUNTA(N214:X223)=0,"",INDEX(O240:X240,1,11-MATCH(Q11,O11:X11,0)))</f>
        <v>62955455.031573683</v>
      </c>
      <c r="R15" s="144">
        <f>IF(COUNTA(N214:X223)=0,"",INDEX(O240:X240,1,11-MATCH(R11,O11:X11,0)))</f>
        <v>64753062.903224528</v>
      </c>
      <c r="S15" s="144">
        <f>IF(COUNTA(N214:X223)=0,"",INDEX(O240:X240,1,11-MATCH(S11,O11:X11,0)))</f>
        <v>70624751.489567399</v>
      </c>
      <c r="T15" s="144">
        <f>IF(COUNTA(N214:X223)=0,"",INDEX(O240:X240,1,11-MATCH(T11,O11:X11,0)))</f>
        <v>71209699.792117447</v>
      </c>
      <c r="U15" s="144">
        <f>IF(COUNTA(N214:X223)=0,"",INDEX(O240:X240,1,11-MATCH(U11,O11:X11,0)))</f>
        <v>70805714.478667989</v>
      </c>
      <c r="V15" s="144">
        <f>IF(COUNTA(N214:X223)=0,"",INDEX(O240:X240,1,11-MATCH(V11,O11:X11,0)))</f>
        <v>52087720.954671144</v>
      </c>
      <c r="W15" s="144">
        <f>IF(COUNTA(N214:X223)=0,"",INDEX(O240:X240,1,11-MATCH(W11,O11:X11,0)))</f>
        <v>52013918.147174187</v>
      </c>
      <c r="X15" s="144">
        <f>IF(COUNTA(N214:X223)=0,"",INDEX(O240:X240,1,11-MATCH(X11,O11:X11,0)))</f>
        <v>58953874.20794864</v>
      </c>
      <c r="Y15" s="289" t="s">
        <v>203</v>
      </c>
      <c r="Z15" s="68"/>
      <c r="AA15" s="144">
        <f>IF(COUNTA(Z214:AJ223)=0,"",INDEX(AA240:AJ240,1,11-MATCH(AA11,AA11:AJ11,0)))</f>
        <v>126421553.64000006</v>
      </c>
      <c r="AB15" s="144">
        <f>IF(COUNTA(Z214:AJ223)=0,"",INDEX(AA240:AJ240,1,11-MATCH(AB11,AA11:AJ11,0)))</f>
        <v>146262962.13321468</v>
      </c>
      <c r="AC15" s="144">
        <f>IF(COUNTA(Z214:AJ223)=0,"",INDEX(AA240:AJ240,1,11-MATCH(AC11,AA11:AJ11,0)))</f>
        <v>168724110.10857093</v>
      </c>
      <c r="AD15" s="144">
        <f>IF(COUNTA(Z214:AJ223)=0,"",INDEX(AA240:AJ240,1,11-MATCH(AD11,AA11:AJ11,0)))</f>
        <v>181355033.81049174</v>
      </c>
      <c r="AE15" s="144">
        <f>IF(COUNTA(Z214:AJ223)=0,"",INDEX(AA240:AJ240,1,11-MATCH(AE11,AA11:AJ11,0)))</f>
        <v>206467645.45198521</v>
      </c>
      <c r="AF15" s="144">
        <f>IF(COUNTA(Z214:AJ223)=0,"",INDEX(AA240:AJ240,1,11-MATCH(AF11,AA11:AJ11,0)))</f>
        <v>209090287.24149579</v>
      </c>
      <c r="AG15" s="144">
        <f>IF(COUNTA(Z214:AJ223)=0,"",INDEX(AA240:AJ240,1,11-MATCH(AG11,AA11:AJ11,0)))</f>
        <v>204075691.2701661</v>
      </c>
      <c r="AH15" s="144">
        <f>IF(COUNTA(Z214:AJ223)=0,"",INDEX(AA240:AJ240,1,11-MATCH(AH11,AA11:AJ11,0)))</f>
        <v>187526440.69023901</v>
      </c>
      <c r="AI15" s="144">
        <f>IF(COUNTA(Z214:AJ223)=0,"",INDEX(AA240:AJ240,1,11-MATCH(AI11,AA11:AJ11,0)))</f>
        <v>234597128.01328337</v>
      </c>
      <c r="AJ15" s="144">
        <f>IF(COUNTA(Z214:AJ223)=0,"",INDEX(AA240:AJ240,1,11-MATCH(AJ11,AA11:AJ11,0)))</f>
        <v>267238322.56361914</v>
      </c>
      <c r="AK15" s="289" t="s">
        <v>203</v>
      </c>
      <c r="AL15" s="68"/>
      <c r="AM15" s="144">
        <f>IF(COUNTA(AL214:AV223)=0,"",INDEX(AM240:AV240,1,11-MATCH(AM11,AM11:AV11,0)))</f>
        <v>173144135.10000005</v>
      </c>
      <c r="AN15" s="144">
        <f>IF(COUNTA(AL214:AV223)=0,"",INDEX(AM240:AV240,1,11-MATCH(AN11,AM11:AV11,0)))</f>
        <v>178920713.72953856</v>
      </c>
      <c r="AO15" s="144">
        <f>IF(COUNTA(AL214:AV223)=0,"",INDEX(AM240:AV240,1,11-MATCH(AO11,AM11:AV11,0)))</f>
        <v>193373516.30004087</v>
      </c>
      <c r="AP15" s="144">
        <f>IF(COUNTA(AL214:AV223)=0,"",INDEX(AM240:AV240,1,11-MATCH(AP11,AM11:AV11,0)))</f>
        <v>207363314.84734696</v>
      </c>
      <c r="AQ15" s="144">
        <f>IF(COUNTA(AL214:AV223)=0,"",INDEX(AM240:AV240,1,11-MATCH(AQ11,AM11:AV11,0)))</f>
        <v>225389504.2256611</v>
      </c>
      <c r="AR15" s="144">
        <f>IF(COUNTA(AL214:AV223)=0,"",INDEX(AM240:AV240,1,11-MATCH(AR11,AM11:AV11,0)))</f>
        <v>217894508.22900918</v>
      </c>
      <c r="AS15" s="144">
        <f>IF(COUNTA(AL214:AV223)=0,"",INDEX(AM240:AV240,1,11-MATCH(AS11,AM11:AV11,0)))</f>
        <v>232942717.50376558</v>
      </c>
      <c r="AT15" s="144">
        <f>IF(COUNTA(AL214:AV223)=0,"",INDEX(AM240:AV240,1,11-MATCH(AT11,AM11:AV11,0)))</f>
        <v>232976088.75098905</v>
      </c>
      <c r="AU15" s="144">
        <f>IF(COUNTA(AL214:AV223)=0,"",INDEX(AM240:AV240,1,11-MATCH(AU11,AM11:AV11,0)))</f>
        <v>283949154.05683118</v>
      </c>
      <c r="AV15" s="144">
        <f>IF(COUNTA(AL214:AV223)=0,"",INDEX(AM240:AV240,1,11-MATCH(AV11,AM11:AV11,0)))</f>
        <v>376110223.50221878</v>
      </c>
      <c r="AW15" s="289" t="s">
        <v>203</v>
      </c>
      <c r="AX15" s="68"/>
      <c r="AY15" s="144">
        <f>IF(COUNTA(AX214:BH223)=0,"",INDEX(AY240:BH240,1,11-MATCH(AY11,AY11:BH11,0)))</f>
        <v>574575258.09999979</v>
      </c>
      <c r="AZ15" s="144">
        <f>IF(COUNTA(AX214:BH223)=0,"",INDEX(AY240:BH240,1,11-MATCH(AZ11,AY11:BH11,0)))</f>
        <v>637167267.60686588</v>
      </c>
      <c r="BA15" s="144">
        <f>IF(COUNTA(AX214:BH223)=0,"",INDEX(AY240:BH240,1,11-MATCH(BA11,AY11:BH11,0)))</f>
        <v>729989827.90210485</v>
      </c>
      <c r="BB15" s="144">
        <f>IF(COUNTA(AX214:BH223)=0,"",INDEX(AY240:BH240,1,11-MATCH(BB11,AY11:BH11,0)))</f>
        <v>811298485.18886781</v>
      </c>
      <c r="BC15" s="144">
        <f>IF(COUNTA(AX214:BH223)=0,"",INDEX(AY240:BH240,1,11-MATCH(BC11,AY11:BH11,0)))</f>
        <v>849746095.32609677</v>
      </c>
      <c r="BD15" s="144">
        <f>IF(COUNTA(AX214:BH223)=0,"",INDEX(AY240:BH240,1,11-MATCH(BD11,AY11:BH11,0)))</f>
        <v>833830328.87903321</v>
      </c>
      <c r="BE15" s="144">
        <f>IF(COUNTA(AX214:BH223)=0,"",INDEX(AY240:BH240,1,11-MATCH(BE11,AY11:BH11,0)))</f>
        <v>858893146.56209421</v>
      </c>
      <c r="BF15" s="144">
        <f>IF(COUNTA(AX214:BH223)=0,"",INDEX(AY240:BH240,1,11-MATCH(BF11,AY11:BH11,0)))</f>
        <v>706867543.05423367</v>
      </c>
      <c r="BG15" s="144">
        <f>IF(COUNTA(AX214:BH223)=0,"",INDEX(AY240:BH240,1,11-MATCH(BG11,AY11:BH11,0)))</f>
        <v>820931851.57167816</v>
      </c>
      <c r="BH15" s="144">
        <f>IF(COUNTA(AX214:BH223)=0,"",INDEX(AY240:BH240,1,11-MATCH(BH11,AY11:BH11,0)))</f>
        <v>1158673262.0354464</v>
      </c>
      <c r="BI15" s="289" t="s">
        <v>203</v>
      </c>
      <c r="BJ15" s="68"/>
      <c r="BK15" s="144">
        <f>IF(COUNTA(BJ214:BT223)=0,"",INDEX(BK240:BT240,1,11-MATCH(BK11,BK11:BT11,0)))</f>
        <v>38025515.699999988</v>
      </c>
      <c r="BL15" s="144">
        <f>IF(COUNTA(BJ214:BT223)=0,"",INDEX(BK240:BT240,1,11-MATCH(BL11,BK11:BT11,0)))</f>
        <v>41011191.016272604</v>
      </c>
      <c r="BM15" s="144">
        <f>IF(COUNTA(BJ214:BT223)=0,"",INDEX(BK240:BT240,1,11-MATCH(BM11,BK11:BT11,0)))</f>
        <v>44528924.763864033</v>
      </c>
      <c r="BN15" s="144">
        <f>IF(COUNTA(BJ214:BT223)=0,"",INDEX(BK240:BT240,1,11-MATCH(BN11,BK11:BT11,0)))</f>
        <v>49434457.813642636</v>
      </c>
      <c r="BO15" s="144">
        <f>IF(COUNTA(BJ214:BT223)=0,"",INDEX(BK240:BT240,1,11-MATCH(BO11,BK11:BT11,0)))</f>
        <v>53896205.342393488</v>
      </c>
      <c r="BP15" s="144">
        <f>IF(COUNTA(BJ214:BT223)=0,"",INDEX(BK240:BT240,1,11-MATCH(BP11,BK11:BT11,0)))</f>
        <v>51138267.406911053</v>
      </c>
      <c r="BQ15" s="144">
        <f>IF(COUNTA(BJ214:BT223)=0,"",INDEX(BK240:BT240,1,11-MATCH(BQ11,BK11:BT11,0)))</f>
        <v>53562223.069583021</v>
      </c>
      <c r="BR15" s="144">
        <f>IF(COUNTA(BJ214:BT223)=0,"",INDEX(BK240:BT240,1,11-MATCH(BR11,BK11:BT11,0)))</f>
        <v>45401662.516688794</v>
      </c>
      <c r="BS15" s="144">
        <f>IF(COUNTA(BJ214:BT223)=0,"",INDEX(BK240:BT240,1,11-MATCH(BS11,BK11:BT11,0)))</f>
        <v>52154504.721452318</v>
      </c>
      <c r="BT15" s="144">
        <f>IF(COUNTA(BJ214:BT223)=0,"",INDEX(BK240:BT240,1,11-MATCH(BT11,BK11:BT11,0)))</f>
        <v>68709677.56199187</v>
      </c>
      <c r="BU15" s="289" t="s">
        <v>203</v>
      </c>
      <c r="BV15" s="68"/>
      <c r="BW15" s="144">
        <f>IF(COUNTA(BV214:CF223)=0,"",INDEX(BW240:CF240,1,11-MATCH(BW11,BW11:CF11,0)))</f>
        <v>258250</v>
      </c>
      <c r="BX15" s="144">
        <f>IF(COUNTA(BV214:CF223)=0,"",INDEX(BW240:CF240,1,11-MATCH(BX11,BW11:CF11,0)))</f>
        <v>366601.32</v>
      </c>
      <c r="BY15" s="144">
        <f>IF(COUNTA(BV214:CF223)=0,"",INDEX(BW240:CF240,1,11-MATCH(BY11,BW11:CF11,0)))</f>
        <v>501471.43</v>
      </c>
      <c r="BZ15" s="144">
        <f>IF(COUNTA(BV214:CF223)=0,"",INDEX(BW240:CF240,1,11-MATCH(BZ11,BW11:CF11,0)))</f>
        <v>275600</v>
      </c>
      <c r="CA15" s="144">
        <f>IF(COUNTA(BV214:CF223)=0,"",INDEX(BW240:CF240,1,11-MATCH(CA11,BW11:CF11,0)))</f>
        <v>379934.12</v>
      </c>
      <c r="CB15" s="144">
        <f>IF(COUNTA(BV214:CF223)=0,"",INDEX(BW240:CF240,1,11-MATCH(CB11,BW11:CF11,0)))</f>
        <v>531671.41999999993</v>
      </c>
      <c r="CC15" s="144">
        <f>IF(COUNTA(BV214:CF223)=0,"",INDEX(BW240:CF240,1,11-MATCH(CC11,BW11:CF11,0)))</f>
        <v>477569.23819243273</v>
      </c>
      <c r="CD15" s="144">
        <f>IF(COUNTA(BV214:CF223)=0,"",INDEX(BW240:CF240,1,11-MATCH(CD11,BW11:CF11,0)))</f>
        <v>168519.11264576527</v>
      </c>
      <c r="CE15" s="144">
        <f>IF(COUNTA(BV214:CF223)=0,"",INDEX(BW240:CF240,1,11-MATCH(CE11,BW11:CF11,0)))</f>
        <v>219133.52714433876</v>
      </c>
      <c r="CF15" s="144">
        <f>IF(COUNTA(BV214:CF223)=0,"",INDEX(BW240:CF240,1,11-MATCH(CF11,BW11:CF11,0)))</f>
        <v>352865.74789210461</v>
      </c>
      <c r="CG15" s="289" t="s">
        <v>203</v>
      </c>
      <c r="CH15" s="68"/>
      <c r="CI15" s="144" t="str">
        <f>IF(COUNTA(CH214:CR223)=0,"",INDEX(CI240:CR240,1,11-MATCH(CI11,CI11:CR11,0)))</f>
        <v/>
      </c>
      <c r="CJ15" s="144" t="str">
        <f>IF(COUNTA(CH214:CR223)=0,"",INDEX(CI240:CR240,1,11-MATCH(CJ11,CI11:CR11,0)))</f>
        <v/>
      </c>
      <c r="CK15" s="144" t="str">
        <f>IF(COUNTA(CH214:CR223)=0,"",INDEX(CI240:CR240,1,11-MATCH(CK11,CI11:CR11,0)))</f>
        <v/>
      </c>
      <c r="CL15" s="144" t="str">
        <f>IF(COUNTA(CH214:CR223)=0,"",INDEX(CI240:CR240,1,11-MATCH(CL11,CI11:CR11,0)))</f>
        <v/>
      </c>
      <c r="CM15" s="144" t="str">
        <f>IF(COUNTA(CH214:CR223)=0,"",INDEX(CI240:CR240,1,11-MATCH(CM11,CI11:CR11,0)))</f>
        <v/>
      </c>
      <c r="CN15" s="144" t="str">
        <f>IF(COUNTA(CH214:CR223)=0,"",INDEX(CI240:CR240,1,11-MATCH(CN11,CI11:CR11,0)))</f>
        <v/>
      </c>
      <c r="CO15" s="144" t="str">
        <f>IF(COUNTA(CH214:CR223)=0,"",INDEX(CI240:CR240,1,11-MATCH(CO11,CI11:CR11,0)))</f>
        <v/>
      </c>
      <c r="CP15" s="144" t="str">
        <f>IF(COUNTA(CH214:CR223)=0,"",INDEX(CI240:CR240,1,11-MATCH(CP11,CI11:CR11,0)))</f>
        <v/>
      </c>
      <c r="CQ15" s="144" t="str">
        <f>IF(COUNTA(CH214:CR223)=0,"",INDEX(CI240:CR240,1,11-MATCH(CQ11,CI11:CR11,0)))</f>
        <v/>
      </c>
      <c r="CR15" s="144" t="str">
        <f>IF(COUNTA(CH214:CR223)=0,"",INDEX(CI240:CR240,1,11-MATCH(CR11,CI11:CR11,0)))</f>
        <v/>
      </c>
      <c r="CS15" s="289" t="s">
        <v>203</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89" t="s">
        <v>203</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2" t="s">
        <v>40</v>
      </c>
      <c r="B16" s="68"/>
      <c r="C16" s="147">
        <f>IF(D7="Paid - Loss &amp; DCCE",C12,IF(D7="Paid - Pure Loss",C13,IF(D7="Incurred - Loss &amp; DCCE",C14,IF(D7="Incurred - Pure Loss",C15,""))))</f>
        <v>920057675.80000019</v>
      </c>
      <c r="D16" s="147">
        <f>IF(D7="Paid - Loss &amp; DCCE",D12,IF(D7="Paid - Pure Loss",D13,IF(D7="Incurred - Loss &amp; DCCE",D14,IF(D7="Incurred - Pure Loss",D15,""))))</f>
        <v>1064193158.5822048</v>
      </c>
      <c r="E16" s="147">
        <f>IF(D7="Paid - Loss &amp; DCCE",E12,IF(D7="Paid - Pure Loss",E13,IF(D7="Incurred - Loss &amp; DCCE",E14,IF(D7="Incurred - Pure Loss",E15,""))))</f>
        <v>1140124211.3832164</v>
      </c>
      <c r="F16" s="147">
        <f>IF(D7="Paid - Loss &amp; DCCE",F12,IF(D7="Paid - Pure Loss",F13,IF(D7="Incurred - Loss &amp; DCCE",F14,IF(D7="Incurred - Pure Loss",F15,""))))</f>
        <v>1287931106.1730287</v>
      </c>
      <c r="G16" s="147">
        <f>IF(D7="Paid - Loss &amp; DCCE",G12,IF(D7="Paid - Pure Loss",G13,IF(D7="Incurred - Loss &amp; DCCE",G14,IF(D7="Incurred - Pure Loss",G15,""))))</f>
        <v>1285254424.5704341</v>
      </c>
      <c r="H16" s="147">
        <f>IF(D7="Paid - Loss &amp; DCCE",H12,IF(D7="Paid - Pure Loss",H13,IF(D7="Incurred - Loss &amp; DCCE",H14,IF(D7="Incurred - Pure Loss",H15,""))))</f>
        <v>1225131403.7641387</v>
      </c>
      <c r="I16" s="147">
        <f>IF(D7="Paid - Loss &amp; DCCE",I12,IF(D7="Paid - Pure Loss",I13,IF(D7="Incurred - Loss &amp; DCCE",I14,IF(D7="Incurred - Pure Loss",I15,""))))</f>
        <v>1174127100.2305522</v>
      </c>
      <c r="J16" s="147">
        <f>IF(D7="Paid - Loss &amp; DCCE",J12,IF(D7="Paid - Pure Loss",J13,IF(D7="Incurred - Loss &amp; DCCE",J14,IF(D7="Incurred - Pure Loss",J15,""))))</f>
        <v>914066335.87849927</v>
      </c>
      <c r="K16" s="147">
        <f>IF(D7="Paid - Loss &amp; DCCE",K12,IF(D7="Paid - Pure Loss",K13,IF(D7="Incurred - Loss &amp; DCCE",K14,IF(D7="Incurred - Pure Loss",K15,""))))</f>
        <v>956074346.85543823</v>
      </c>
      <c r="L16" s="147">
        <f>IF(D7="Paid - Loss &amp; DCCE",L12,IF(D7="Paid - Pure Loss",L13,IF(D7="Incurred - Loss &amp; DCCE",L14,IF(D7="Incurred - Pure Loss",L15,""))))</f>
        <v>1251253054.1177616</v>
      </c>
      <c r="M16" s="282" t="s">
        <v>40</v>
      </c>
      <c r="N16" s="68"/>
      <c r="O16" s="147">
        <f>IF(P7="Paid - Loss &amp; DCCE",O12,IF(P7="Paid - Pure Loss",O13,IF(P7="Incurred - Loss &amp; DCCE",O14,IF(P7="Incurred - Pure Loss",O15,""))))</f>
        <v>63134270.549999997</v>
      </c>
      <c r="P16" s="147">
        <f>IF(P7="Paid - Loss &amp; DCCE",P12,IF(P7="Paid - Pure Loss",P13,IF(P7="Incurred - Loss &amp; DCCE",P14,IF(P7="Incurred - Pure Loss",P15,""))))</f>
        <v>62493217.966579154</v>
      </c>
      <c r="Q16" s="147">
        <f>IF(P7="Paid - Loss &amp; DCCE",Q12,IF(P7="Paid - Pure Loss",Q13,IF(P7="Incurred - Loss &amp; DCCE",Q14,IF(P7="Incurred - Pure Loss",Q15,""))))</f>
        <v>62955455.031573683</v>
      </c>
      <c r="R16" s="147">
        <f>IF(P7="Paid - Loss &amp; DCCE",R12,IF(P7="Paid - Pure Loss",R13,IF(P7="Incurred - Loss &amp; DCCE",R14,IF(P7="Incurred - Pure Loss",R15,""))))</f>
        <v>64753062.903224528</v>
      </c>
      <c r="S16" s="147">
        <f>IF(P7="Paid - Loss &amp; DCCE",S12,IF(P7="Paid - Pure Loss",S13,IF(P7="Incurred - Loss &amp; DCCE",S14,IF(P7="Incurred - Pure Loss",S15,""))))</f>
        <v>70624751.489567399</v>
      </c>
      <c r="T16" s="147">
        <f>IF(P7="Paid - Loss &amp; DCCE",T12,IF(P7="Paid - Pure Loss",T13,IF(P7="Incurred - Loss &amp; DCCE",T14,IF(P7="Incurred - Pure Loss",T15,""))))</f>
        <v>71209699.792117447</v>
      </c>
      <c r="U16" s="147">
        <f>IF(P7="Paid - Loss &amp; DCCE",U12,IF(P7="Paid - Pure Loss",U13,IF(P7="Incurred - Loss &amp; DCCE",U14,IF(P7="Incurred - Pure Loss",U15,""))))</f>
        <v>70805714.478667989</v>
      </c>
      <c r="V16" s="147">
        <f>IF(P7="Paid - Loss &amp; DCCE",V12,IF(P7="Paid - Pure Loss",V13,IF(P7="Incurred - Loss &amp; DCCE",V14,IF(P7="Incurred - Pure Loss",V15,""))))</f>
        <v>52087720.954671144</v>
      </c>
      <c r="W16" s="147">
        <f>IF(P7="Paid - Loss &amp; DCCE",W12,IF(P7="Paid - Pure Loss",W13,IF(P7="Incurred - Loss &amp; DCCE",W14,IF(P7="Incurred - Pure Loss",W15,""))))</f>
        <v>52013918.147174187</v>
      </c>
      <c r="X16" s="147">
        <f>IF(P7="Paid - Loss &amp; DCCE",X12,IF(P7="Paid - Pure Loss",X13,IF(P7="Incurred - Loss &amp; DCCE",X14,IF(P7="Incurred - Pure Loss",X15,""))))</f>
        <v>58953874.20794864</v>
      </c>
      <c r="Y16" s="282" t="s">
        <v>40</v>
      </c>
      <c r="Z16" s="68"/>
      <c r="AA16" s="147">
        <f>IF(AB7="Paid - Loss &amp; DCCE",AA12,IF(AB7="Paid - Pure Loss",AA13,IF(AB7="Incurred - Loss &amp; DCCE",AA14,IF(AB7="Incurred - Pure Loss",AA15,""))))</f>
        <v>126421553.64000006</v>
      </c>
      <c r="AB16" s="147">
        <f>IF(AB7="Paid - Loss &amp; DCCE",AB12,IF(AB7="Paid - Pure Loss",AB13,IF(AB7="Incurred - Loss &amp; DCCE",AB14,IF(AB7="Incurred - Pure Loss",AB15,""))))</f>
        <v>146262962.13321468</v>
      </c>
      <c r="AC16" s="147">
        <f>IF(AB7="Paid - Loss &amp; DCCE",AC12,IF(AB7="Paid - Pure Loss",AC13,IF(AB7="Incurred - Loss &amp; DCCE",AC14,IF(AB7="Incurred - Pure Loss",AC15,""))))</f>
        <v>168724110.10857093</v>
      </c>
      <c r="AD16" s="147">
        <f>IF(AB7="Paid - Loss &amp; DCCE",AD12,IF(AB7="Paid - Pure Loss",AD13,IF(AB7="Incurred - Loss &amp; DCCE",AD14,IF(AB7="Incurred - Pure Loss",AD15,""))))</f>
        <v>181355033.81049174</v>
      </c>
      <c r="AE16" s="147">
        <f>IF(AB7="Paid - Loss &amp; DCCE",AE12,IF(AB7="Paid - Pure Loss",AE13,IF(AB7="Incurred - Loss &amp; DCCE",AE14,IF(AB7="Incurred - Pure Loss",AE15,""))))</f>
        <v>206467645.45198521</v>
      </c>
      <c r="AF16" s="147">
        <f>IF(AB7="Paid - Loss &amp; DCCE",AF12,IF(AB7="Paid - Pure Loss",AF13,IF(AB7="Incurred - Loss &amp; DCCE",AF14,IF(AB7="Incurred - Pure Loss",AF15,""))))</f>
        <v>209090287.24149579</v>
      </c>
      <c r="AG16" s="147">
        <f>IF(AB7="Paid - Loss &amp; DCCE",AG12,IF(AB7="Paid - Pure Loss",AG13,IF(AB7="Incurred - Loss &amp; DCCE",AG14,IF(AB7="Incurred - Pure Loss",AG15,""))))</f>
        <v>204075691.2701661</v>
      </c>
      <c r="AH16" s="147">
        <f>IF(AB7="Paid - Loss &amp; DCCE",AH12,IF(AB7="Paid - Pure Loss",AH13,IF(AB7="Incurred - Loss &amp; DCCE",AH14,IF(AB7="Incurred - Pure Loss",AH15,""))))</f>
        <v>187526440.69023901</v>
      </c>
      <c r="AI16" s="147">
        <f>IF(AB7="Paid - Loss &amp; DCCE",AI12,IF(AB7="Paid - Pure Loss",AI13,IF(AB7="Incurred - Loss &amp; DCCE",AI14,IF(AB7="Incurred - Pure Loss",AI15,""))))</f>
        <v>234597128.01328337</v>
      </c>
      <c r="AJ16" s="147">
        <f>IF(AB7="Paid - Loss &amp; DCCE",AJ12,IF(AB7="Paid - Pure Loss",AJ13,IF(AB7="Incurred - Loss &amp; DCCE",AJ14,IF(AB7="Incurred - Pure Loss",AJ15,""))))</f>
        <v>267238322.56361914</v>
      </c>
      <c r="AK16" s="282" t="s">
        <v>40</v>
      </c>
      <c r="AL16" s="68"/>
      <c r="AM16" s="147">
        <f>IF(AN7="Paid - Loss &amp; DCCE",AM12,IF(AN7="Paid - Pure Loss",AM13,IF(AN7="Incurred - Loss &amp; DCCE",AM14,IF(AN7="Incurred - Pure Loss",AM15,""))))</f>
        <v>173144135.10000005</v>
      </c>
      <c r="AN16" s="147">
        <f>IF(AN7="Paid - Loss &amp; DCCE",AN12,IF(AN7="Paid - Pure Loss",AN13,IF(AN7="Incurred - Loss &amp; DCCE",AN14,IF(AN7="Incurred - Pure Loss",AN15,""))))</f>
        <v>178920713.72953856</v>
      </c>
      <c r="AO16" s="147">
        <f>IF(AN7="Paid - Loss &amp; DCCE",AO12,IF(AN7="Paid - Pure Loss",AO13,IF(AN7="Incurred - Loss &amp; DCCE",AO14,IF(AN7="Incurred - Pure Loss",AO15,""))))</f>
        <v>193373516.30004087</v>
      </c>
      <c r="AP16" s="147">
        <f>IF(AN7="Paid - Loss &amp; DCCE",AP12,IF(AN7="Paid - Pure Loss",AP13,IF(AN7="Incurred - Loss &amp; DCCE",AP14,IF(AN7="Incurred - Pure Loss",AP15,""))))</f>
        <v>207363314.84734696</v>
      </c>
      <c r="AQ16" s="147">
        <f>IF(AN7="Paid - Loss &amp; DCCE",AQ12,IF(AN7="Paid - Pure Loss",AQ13,IF(AN7="Incurred - Loss &amp; DCCE",AQ14,IF(AN7="Incurred - Pure Loss",AQ15,""))))</f>
        <v>225389504.2256611</v>
      </c>
      <c r="AR16" s="147">
        <f>IF(AN7="Paid - Loss &amp; DCCE",AR12,IF(AN7="Paid - Pure Loss",AR13,IF(AN7="Incurred - Loss &amp; DCCE",AR14,IF(AN7="Incurred - Pure Loss",AR15,""))))</f>
        <v>217894508.22900918</v>
      </c>
      <c r="AS16" s="147">
        <f>IF(AN7="Paid - Loss &amp; DCCE",AS12,IF(AN7="Paid - Pure Loss",AS13,IF(AN7="Incurred - Loss &amp; DCCE",AS14,IF(AN7="Incurred - Pure Loss",AS15,""))))</f>
        <v>232942717.50376558</v>
      </c>
      <c r="AT16" s="147">
        <f>IF(AN7="Paid - Loss &amp; DCCE",AT12,IF(AN7="Paid - Pure Loss",AT13,IF(AN7="Incurred - Loss &amp; DCCE",AT14,IF(AN7="Incurred - Pure Loss",AT15,""))))</f>
        <v>232976088.75098905</v>
      </c>
      <c r="AU16" s="147">
        <f>IF(AN7="Paid - Loss &amp; DCCE",AU12,IF(AN7="Paid - Pure Loss",AU13,IF(AN7="Incurred - Loss &amp; DCCE",AU14,IF(AN7="Incurred - Pure Loss",AU15,""))))</f>
        <v>283949154.05683118</v>
      </c>
      <c r="AV16" s="147">
        <f>IF(AN7="Paid - Loss &amp; DCCE",AV12,IF(AN7="Paid - Pure Loss",AV13,IF(AN7="Incurred - Loss &amp; DCCE",AV14,IF(AN7="Incurred - Pure Loss",AV15,""))))</f>
        <v>376110223.50221878</v>
      </c>
      <c r="AW16" s="282" t="s">
        <v>40</v>
      </c>
      <c r="AX16" s="68"/>
      <c r="AY16" s="147">
        <f>IF(AZ7="Paid - Loss &amp; DCCE",AY12,IF(AZ7="Paid - Pure Loss",AY13,IF(AZ7="Incurred - Loss &amp; DCCE",AY14,IF(AZ7="Incurred - Pure Loss",AY15,""))))</f>
        <v>574575258.09999979</v>
      </c>
      <c r="AZ16" s="147">
        <f>IF(AZ7="Paid - Loss &amp; DCCE",AZ12,IF(AZ7="Paid - Pure Loss",AZ13,IF(AZ7="Incurred - Loss &amp; DCCE",AZ14,IF(AZ7="Incurred - Pure Loss",AZ15,""))))</f>
        <v>637167267.60686588</v>
      </c>
      <c r="BA16" s="147">
        <f>IF(AZ7="Paid - Loss &amp; DCCE",BA12,IF(AZ7="Paid - Pure Loss",BA13,IF(AZ7="Incurred - Loss &amp; DCCE",BA14,IF(AZ7="Incurred - Pure Loss",BA15,""))))</f>
        <v>729989827.90210485</v>
      </c>
      <c r="BB16" s="147">
        <f>IF(AZ7="Paid - Loss &amp; DCCE",BB12,IF(AZ7="Paid - Pure Loss",BB13,IF(AZ7="Incurred - Loss &amp; DCCE",BB14,IF(AZ7="Incurred - Pure Loss",BB15,""))))</f>
        <v>811298485.18886781</v>
      </c>
      <c r="BC16" s="147">
        <f>IF(AZ7="Paid - Loss &amp; DCCE",BC12,IF(AZ7="Paid - Pure Loss",BC13,IF(AZ7="Incurred - Loss &amp; DCCE",BC14,IF(AZ7="Incurred - Pure Loss",BC15,""))))</f>
        <v>849746095.32609677</v>
      </c>
      <c r="BD16" s="147">
        <f>IF(AZ7="Paid - Loss &amp; DCCE",BD12,IF(AZ7="Paid - Pure Loss",BD13,IF(AZ7="Incurred - Loss &amp; DCCE",BD14,IF(AZ7="Incurred - Pure Loss",BD15,""))))</f>
        <v>833830328.87903321</v>
      </c>
      <c r="BE16" s="147">
        <f>IF(AZ7="Paid - Loss &amp; DCCE",BE12,IF(AZ7="Paid - Pure Loss",BE13,IF(AZ7="Incurred - Loss &amp; DCCE",BE14,IF(AZ7="Incurred - Pure Loss",BE15,""))))</f>
        <v>858893146.56209421</v>
      </c>
      <c r="BF16" s="147">
        <f>IF(AZ7="Paid - Loss &amp; DCCE",BF12,IF(AZ7="Paid - Pure Loss",BF13,IF(AZ7="Incurred - Loss &amp; DCCE",BF14,IF(AZ7="Incurred - Pure Loss",BF15,""))))</f>
        <v>706867543.05423367</v>
      </c>
      <c r="BG16" s="147">
        <f>IF(AZ7="Paid - Loss &amp; DCCE",BG12,IF(AZ7="Paid - Pure Loss",BG13,IF(AZ7="Incurred - Loss &amp; DCCE",BG14,IF(AZ7="Incurred - Pure Loss",BG15,""))))</f>
        <v>820931851.57167816</v>
      </c>
      <c r="BH16" s="147">
        <f>IF(AZ7="Paid - Loss &amp; DCCE",BH12,IF(AZ7="Paid - Pure Loss",BH13,IF(AZ7="Incurred - Loss &amp; DCCE",BH14,IF(AZ7="Incurred - Pure Loss",BH15,""))))</f>
        <v>1158673262.0354464</v>
      </c>
      <c r="BI16" s="282" t="s">
        <v>40</v>
      </c>
      <c r="BJ16" s="68"/>
      <c r="BK16" s="147">
        <f>IF(BL7="Paid - Loss &amp; DCCE",BK12,IF(BL7="Paid - Pure Loss",BK13,IF(BL7="Incurred - Loss &amp; DCCE",BK14,IF(BL7="Incurred - Pure Loss",BK15,""))))</f>
        <v>38025515.699999988</v>
      </c>
      <c r="BL16" s="147">
        <f>IF(BL7="Paid - Loss &amp; DCCE",BL12,IF(BL7="Paid - Pure Loss",BL13,IF(BL7="Incurred - Loss &amp; DCCE",BL14,IF(BL7="Incurred - Pure Loss",BL15,""))))</f>
        <v>41011191.016272604</v>
      </c>
      <c r="BM16" s="147">
        <f>IF(BL7="Paid - Loss &amp; DCCE",BM12,IF(BL7="Paid - Pure Loss",BM13,IF(BL7="Incurred - Loss &amp; DCCE",BM14,IF(BL7="Incurred - Pure Loss",BM15,""))))</f>
        <v>44528924.763864033</v>
      </c>
      <c r="BN16" s="147">
        <f>IF(BL7="Paid - Loss &amp; DCCE",BN12,IF(BL7="Paid - Pure Loss",BN13,IF(BL7="Incurred - Loss &amp; DCCE",BN14,IF(BL7="Incurred - Pure Loss",BN15,""))))</f>
        <v>49434457.813642636</v>
      </c>
      <c r="BO16" s="147">
        <f>IF(BL7="Paid - Loss &amp; DCCE",BO12,IF(BL7="Paid - Pure Loss",BO13,IF(BL7="Incurred - Loss &amp; DCCE",BO14,IF(BL7="Incurred - Pure Loss",BO15,""))))</f>
        <v>53896205.342393488</v>
      </c>
      <c r="BP16" s="147">
        <f>IF(BL7="Paid - Loss &amp; DCCE",BP12,IF(BL7="Paid - Pure Loss",BP13,IF(BL7="Incurred - Loss &amp; DCCE",BP14,IF(BL7="Incurred - Pure Loss",BP15,""))))</f>
        <v>51138267.406911053</v>
      </c>
      <c r="BQ16" s="147">
        <f>IF(BL7="Paid - Loss &amp; DCCE",BQ12,IF(BL7="Paid - Pure Loss",BQ13,IF(BL7="Incurred - Loss &amp; DCCE",BQ14,IF(BL7="Incurred - Pure Loss",BQ15,""))))</f>
        <v>53562223.069583021</v>
      </c>
      <c r="BR16" s="147">
        <f>IF(BL7="Paid - Loss &amp; DCCE",BR12,IF(BL7="Paid - Pure Loss",BR13,IF(BL7="Incurred - Loss &amp; DCCE",BR14,IF(BL7="Incurred - Pure Loss",BR15,""))))</f>
        <v>45401662.516688794</v>
      </c>
      <c r="BS16" s="147">
        <f>IF(BL7="Paid - Loss &amp; DCCE",BS12,IF(BL7="Paid - Pure Loss",BS13,IF(BL7="Incurred - Loss &amp; DCCE",BS14,IF(BL7="Incurred - Pure Loss",BS15,""))))</f>
        <v>52154504.721452318</v>
      </c>
      <c r="BT16" s="147">
        <f>IF(BL7="Paid - Loss &amp; DCCE",BT12,IF(BL7="Paid - Pure Loss",BT13,IF(BL7="Incurred - Loss &amp; DCCE",BT14,IF(BL7="Incurred - Pure Loss",BT15,""))))</f>
        <v>68709677.56199187</v>
      </c>
      <c r="BU16" s="282" t="s">
        <v>40</v>
      </c>
      <c r="BV16" s="68"/>
      <c r="BW16" s="147">
        <f>IF(BX7="Paid - Loss &amp; DCCE",BW12,IF(BX7="Paid - Pure Loss",BW13,IF(BX7="Incurred - Loss &amp; DCCE",BW14,IF(BX7="Incurred - Pure Loss",BW15,""))))</f>
        <v>258250</v>
      </c>
      <c r="BX16" s="147">
        <f>IF(BX7="Paid - Loss &amp; DCCE",BX12,IF(BX7="Paid - Pure Loss",BX13,IF(BX7="Incurred - Loss &amp; DCCE",BX14,IF(BX7="Incurred - Pure Loss",BX15,""))))</f>
        <v>366601.32</v>
      </c>
      <c r="BY16" s="147">
        <f>IF(BX7="Paid - Loss &amp; DCCE",BY12,IF(BX7="Paid - Pure Loss",BY13,IF(BX7="Incurred - Loss &amp; DCCE",BY14,IF(BX7="Incurred - Pure Loss",BY15,""))))</f>
        <v>501471.43</v>
      </c>
      <c r="BZ16" s="147">
        <f>IF(BX7="Paid - Loss &amp; DCCE",BZ12,IF(BX7="Paid - Pure Loss",BZ13,IF(BX7="Incurred - Loss &amp; DCCE",BZ14,IF(BX7="Incurred - Pure Loss",BZ15,""))))</f>
        <v>275600</v>
      </c>
      <c r="CA16" s="147">
        <f>IF(BX7="Paid - Loss &amp; DCCE",CA12,IF(BX7="Paid - Pure Loss",CA13,IF(BX7="Incurred - Loss &amp; DCCE",CA14,IF(BX7="Incurred - Pure Loss",CA15,""))))</f>
        <v>379934.12</v>
      </c>
      <c r="CB16" s="147">
        <f>IF(BX7="Paid - Loss &amp; DCCE",CB12,IF(BX7="Paid - Pure Loss",CB13,IF(BX7="Incurred - Loss &amp; DCCE",CB14,IF(BX7="Incurred - Pure Loss",CB15,""))))</f>
        <v>531671.41999999993</v>
      </c>
      <c r="CC16" s="147">
        <f>IF(BX7="Paid - Loss &amp; DCCE",CC12,IF(BX7="Paid - Pure Loss",CC13,IF(BX7="Incurred - Loss &amp; DCCE",CC14,IF(BX7="Incurred - Pure Loss",CC15,""))))</f>
        <v>477569.23819243273</v>
      </c>
      <c r="CD16" s="147">
        <f>IF(BX7="Paid - Loss &amp; DCCE",CD12,IF(BX7="Paid - Pure Loss",CD13,IF(BX7="Incurred - Loss &amp; DCCE",CD14,IF(BX7="Incurred - Pure Loss",CD15,""))))</f>
        <v>168519.11264576527</v>
      </c>
      <c r="CE16" s="147">
        <f>IF(BX7="Paid - Loss &amp; DCCE",CE12,IF(BX7="Paid - Pure Loss",CE13,IF(BX7="Incurred - Loss &amp; DCCE",CE14,IF(BX7="Incurred - Pure Loss",CE15,""))))</f>
        <v>219133.52714433876</v>
      </c>
      <c r="CF16" s="147">
        <f>IF(BX7="Paid - Loss &amp; DCCE",CF12,IF(BX7="Paid - Pure Loss",CF13,IF(BX7="Incurred - Loss &amp; DCCE",CF14,IF(BX7="Incurred - Pure Loss",CF15,""))))</f>
        <v>352865.74789210461</v>
      </c>
      <c r="CG16" s="282" t="s">
        <v>40</v>
      </c>
      <c r="CH16" s="68"/>
      <c r="CI16" s="147" t="str">
        <f>IF(CJ7="Paid - Loss &amp; DCCE",CI12,IF(CJ7="Paid - Pure Loss",CI13,IF(CJ7="Incurred - Loss &amp; DCCE",CI14,IF(CJ7="Incurred - Pure Loss",CI15,""))))</f>
        <v/>
      </c>
      <c r="CJ16" s="147" t="str">
        <f>IF(CJ7="Paid - Loss &amp; DCCE",CJ12,IF(CJ7="Paid - Pure Loss",CJ13,IF(CJ7="Incurred - Loss &amp; DCCE",CJ14,IF(CJ7="Incurred - Pure Loss",CJ15,""))))</f>
        <v/>
      </c>
      <c r="CK16" s="147" t="str">
        <f>IF(CJ7="Paid - Loss &amp; DCCE",CK12,IF(CJ7="Paid - Pure Loss",CK13,IF(CJ7="Incurred - Loss &amp; DCCE",CK14,IF(CJ7="Incurred - Pure Loss",CK15,""))))</f>
        <v/>
      </c>
      <c r="CL16" s="147" t="str">
        <f>IF(CJ7="Paid - Loss &amp; DCCE",CL12,IF(CJ7="Paid - Pure Loss",CL13,IF(CJ7="Incurred - Loss &amp; DCCE",CL14,IF(CJ7="Incurred - Pure Loss",CL15,""))))</f>
        <v/>
      </c>
      <c r="CM16" s="147" t="str">
        <f>IF(CJ7="Paid - Loss &amp; DCCE",CM12,IF(CJ7="Paid - Pure Loss",CM13,IF(CJ7="Incurred - Loss &amp; DCCE",CM14,IF(CJ7="Incurred - Pure Loss",CM15,""))))</f>
        <v/>
      </c>
      <c r="CN16" s="147" t="str">
        <f>IF(CJ7="Paid - Loss &amp; DCCE",CN12,IF(CJ7="Paid - Pure Loss",CN13,IF(CJ7="Incurred - Loss &amp; DCCE",CN14,IF(CJ7="Incurred - Pure Loss",CN15,""))))</f>
        <v/>
      </c>
      <c r="CO16" s="147" t="str">
        <f>IF(CJ7="Paid - Loss &amp; DCCE",CO12,IF(CJ7="Paid - Pure Loss",CO13,IF(CJ7="Incurred - Loss &amp; DCCE",CO14,IF(CJ7="Incurred - Pure Loss",CO15,""))))</f>
        <v/>
      </c>
      <c r="CP16" s="147" t="str">
        <f>IF(CJ7="Paid - Loss &amp; DCCE",CP12,IF(CJ7="Paid - Pure Loss",CP13,IF(CJ7="Incurred - Loss &amp; DCCE",CP14,IF(CJ7="Incurred - Pure Loss",CP15,""))))</f>
        <v/>
      </c>
      <c r="CQ16" s="147" t="str">
        <f>IF(CJ7="Paid - Loss &amp; DCCE",CQ12,IF(CJ7="Paid - Pure Loss",CQ13,IF(CJ7="Incurred - Loss &amp; DCCE",CQ14,IF(CJ7="Incurred - Pure Loss",CQ15,""))))</f>
        <v/>
      </c>
      <c r="CR16" s="147" t="str">
        <f>IF(CJ7="Paid - Loss &amp; DCCE",CR12,IF(CJ7="Paid - Pure Loss",CR13,IF(CJ7="Incurred - Loss &amp; DCCE",CR14,IF(CJ7="Incurred - Pure Loss",CR15,""))))</f>
        <v/>
      </c>
      <c r="CS16" s="282"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2"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5" customFormat="1" ht="15" customHeight="1" x14ac:dyDescent="0.35">
      <c r="A17" s="291" t="s">
        <v>206</v>
      </c>
      <c r="B17" s="292"/>
      <c r="C17" s="293">
        <f>IF(OR(D7="Paid - Loss &amp; DCCE",D7="Incurred - Loss &amp; DCCE"),"N/A",IF(COUNTA(B106:L115)=0,"",INDEX(C132:L132,1,11-MATCH(C11,C11:L11,0))))</f>
        <v>92624109.800000042</v>
      </c>
      <c r="D17" s="293">
        <f>IF(OR(D7="Paid - Loss &amp; DCCE",D7="Incurred - Loss &amp; DCCE"),"N/A",IF(COUNTA(B106:L115)=0,"",INDEX(C132:L132,1,11-MATCH(D11,C11:L11,0))))</f>
        <v>94326751.416834891</v>
      </c>
      <c r="E17" s="293">
        <f>IF(OR(D7="Paid - Loss &amp; DCCE",D7="Incurred - Loss &amp; DCCE"),"N/A",IF(COUNTA(B106:L115)=0,"",INDEX(C132:L132,1,11-MATCH(E11,C11:L11,0))))</f>
        <v>100082791.07420163</v>
      </c>
      <c r="F17" s="293">
        <f>IF(OR(D7="Paid - Loss &amp; DCCE",D7="Incurred - Loss &amp; DCCE"),"N/A",IF(COUNTA(B106:L115)=0,"",INDEX(C132:L132,1,11-MATCH(F11,C11:L11,0))))</f>
        <v>124204423.81849493</v>
      </c>
      <c r="G17" s="293">
        <f>IF(OR(D7="Paid - Loss &amp; DCCE",D7="Incurred - Loss &amp; DCCE"),"N/A",IF(COUNTA(B106:L115)=0,"",INDEX(C132:L132,1,11-MATCH(G11,C11:L11,0))))</f>
        <v>144295625.69890532</v>
      </c>
      <c r="H17" s="293">
        <f>IF(OR(D7="Paid - Loss &amp; DCCE",D7="Incurred - Loss &amp; DCCE"),"N/A",IF(COUNTA(B106:L115)=0,"",INDEX(C132:L132,1,11-MATCH(H11,C11:L11,0))))</f>
        <v>141906258.20752499</v>
      </c>
      <c r="I17" s="293">
        <f>IF(OR(D7="Paid - Loss &amp; DCCE",D7="Incurred - Loss &amp; DCCE"),"N/A",IF(COUNTA(B106:L115)=0,"",INDEX(C132:L132,1,11-MATCH(I11,C11:L11,0))))</f>
        <v>147243770.80320016</v>
      </c>
      <c r="J17" s="293">
        <f>IF(OR(D7="Paid - Loss &amp; DCCE",D7="Incurred - Loss &amp; DCCE"),"N/A",IF(COUNTA(B106:L115)=0,"",INDEX(C132:L132,1,11-MATCH(J11,C11:L11,0))))</f>
        <v>133897271.28245068</v>
      </c>
      <c r="K17" s="293">
        <f>IF(OR(D7="Paid - Loss &amp; DCCE",D7="Incurred - Loss &amp; DCCE"),"N/A",IF(COUNTA(B106:L115)=0,"",INDEX(C132:L132,1,11-MATCH(K11,C11:L11,0))))</f>
        <v>103434621.23711169</v>
      </c>
      <c r="L17" s="293">
        <f>IF(OR(D7="Paid - Loss &amp; DCCE",D7="Incurred - Loss &amp; DCCE"),"N/A",IF(COUNTA(B106:L115)=0,"",INDEX(C132:L132,1,11-MATCH(L11,C11:L11,0))))</f>
        <v>106779221.50859842</v>
      </c>
      <c r="M17" s="294" t="s">
        <v>206</v>
      </c>
      <c r="N17" s="292"/>
      <c r="O17" s="293">
        <f>IF(OR(P7="Paid - Loss &amp; DCCE",P7="Incurred - Loss &amp; DCCE"),"N/A",IF(COUNTA(N106:X115)=0,"",INDEX(O132:X132,1,11-MATCH(O11,O11:X11,0))))</f>
        <v>875338.14999999967</v>
      </c>
      <c r="P17" s="293">
        <f>IF(OR(P7="Paid - Loss &amp; DCCE",P7="Incurred - Loss &amp; DCCE"),"N/A",IF(COUNTA(N106:X115)=0,"",INDEX(O132:X132,1,11-MATCH(P11,O11:X11,0))))</f>
        <v>897176.11474016379</v>
      </c>
      <c r="Q17" s="293">
        <f>IF(OR(P7="Paid - Loss &amp; DCCE",P7="Incurred - Loss &amp; DCCE"),"N/A",IF(COUNTA(N106:X115)=0,"",INDEX(O132:X132,1,11-MATCH(Q11,O11:X11,0))))</f>
        <v>487543.64488744555</v>
      </c>
      <c r="R17" s="293">
        <f>IF(OR(P7="Paid - Loss &amp; DCCE",P7="Incurred - Loss &amp; DCCE"),"N/A",IF(COUNTA(N106:X115)=0,"",INDEX(O132:X132,1,11-MATCH(R11,O11:X11,0))))</f>
        <v>272015.6937749256</v>
      </c>
      <c r="S17" s="293">
        <f>IF(OR(P7="Paid - Loss &amp; DCCE",P7="Incurred - Loss &amp; DCCE"),"N/A",IF(COUNTA(N106:X115)=0,"",INDEX(O132:X132,1,11-MATCH(S11,O11:X11,0))))</f>
        <v>474447.90066192712</v>
      </c>
      <c r="T17" s="293">
        <f>IF(OR(P7="Paid - Loss &amp; DCCE",P7="Incurred - Loss &amp; DCCE"),"N/A",IF(COUNTA(N106:X115)=0,"",INDEX(O132:X132,1,11-MATCH(T11,O11:X11,0))))</f>
        <v>359044.16130897118</v>
      </c>
      <c r="U17" s="293">
        <f>IF(OR(P7="Paid - Loss &amp; DCCE",P7="Incurred - Loss &amp; DCCE"),"N/A",IF(COUNTA(N106:X115)=0,"",INDEX(O132:X132,1,11-MATCH(U11,O11:X11,0))))</f>
        <v>392840.53060259199</v>
      </c>
      <c r="V17" s="293">
        <f>IF(OR(P7="Paid - Loss &amp; DCCE",P7="Incurred - Loss &amp; DCCE"),"N/A",IF(COUNTA(N106:X115)=0,"",INDEX(O132:X132,1,11-MATCH(V11,O11:X11,0))))</f>
        <v>337355.45443909656</v>
      </c>
      <c r="W17" s="293">
        <f>IF(OR(P7="Paid - Loss &amp; DCCE",P7="Incurred - Loss &amp; DCCE"),"N/A",IF(COUNTA(N106:X115)=0,"",INDEX(O132:X132,1,11-MATCH(W11,O11:X11,0))))</f>
        <v>106268.05492371977</v>
      </c>
      <c r="X17" s="293">
        <f>IF(OR(P7="Paid - Loss &amp; DCCE",P7="Incurred - Loss &amp; DCCE"),"N/A",IF(COUNTA(N106:X115)=0,"",INDEX(O132:X132,1,11-MATCH(X11,O11:X11,0))))</f>
        <v>298181.77937177388</v>
      </c>
      <c r="Y17" s="294" t="s">
        <v>206</v>
      </c>
      <c r="Z17" s="292"/>
      <c r="AA17" s="293">
        <f>IF(OR(AB7="Paid - Loss &amp; DCCE",AB7="Incurred - Loss &amp; DCCE"),"N/A",IF(COUNTA(Z106:AJ115)=0,"",INDEX(AA132:AJ132,1,11-MATCH(AA11,AA11:AJ11,0))))</f>
        <v>13162226.329999996</v>
      </c>
      <c r="AB17" s="293">
        <f>IF(OR(AB7="Paid - Loss &amp; DCCE",AB7="Incurred - Loss &amp; DCCE"),"N/A",IF(COUNTA(Z106:AJ115)=0,"",INDEX(AA132:AJ132,1,11-MATCH(AB11,AA11:AJ11,0))))</f>
        <v>13850685.64472229</v>
      </c>
      <c r="AC17" s="293">
        <f>IF(OR(AB7="Paid - Loss &amp; DCCE",AB7="Incurred - Loss &amp; DCCE"),"N/A",IF(COUNTA(Z106:AJ115)=0,"",INDEX(AA132:AJ132,1,11-MATCH(AC11,AA11:AJ11,0))))</f>
        <v>15276588.750290941</v>
      </c>
      <c r="AD17" s="293">
        <f>IF(OR(AB7="Paid - Loss &amp; DCCE",AB7="Incurred - Loss &amp; DCCE"),"N/A",IF(COUNTA(Z106:AJ115)=0,"",INDEX(AA132:AJ132,1,11-MATCH(AD11,AA11:AJ11,0))))</f>
        <v>17397550.701954942</v>
      </c>
      <c r="AE17" s="293">
        <f>IF(OR(AB7="Paid - Loss &amp; DCCE",AB7="Incurred - Loss &amp; DCCE"),"N/A",IF(COUNTA(Z106:AJ115)=0,"",INDEX(AA132:AJ132,1,11-MATCH(AE11,AA11:AJ11,0))))</f>
        <v>20115492.218819864</v>
      </c>
      <c r="AF17" s="293">
        <f>IF(OR(AB7="Paid - Loss &amp; DCCE",AB7="Incurred - Loss &amp; DCCE"),"N/A",IF(COUNTA(Z106:AJ115)=0,"",INDEX(AA132:AJ132,1,11-MATCH(AF11,AA11:AJ11,0))))</f>
        <v>23045450.383253958</v>
      </c>
      <c r="AG17" s="293">
        <f>IF(OR(AB7="Paid - Loss &amp; DCCE",AB7="Incurred - Loss &amp; DCCE"),"N/A",IF(COUNTA(Z106:AJ115)=0,"",INDEX(AA132:AJ132,1,11-MATCH(AG11,AA11:AJ11,0))))</f>
        <v>23712941.2010401</v>
      </c>
      <c r="AH17" s="293">
        <f>IF(OR(AB7="Paid - Loss &amp; DCCE",AB7="Incurred - Loss &amp; DCCE"),"N/A",IF(COUNTA(Z106:AJ115)=0,"",INDEX(AA132:AJ132,1,11-MATCH(AH11,AA11:AJ11,0))))</f>
        <v>23384302.70742292</v>
      </c>
      <c r="AI17" s="293">
        <f>IF(OR(AB7="Paid - Loss &amp; DCCE",AB7="Incurred - Loss &amp; DCCE"),"N/A",IF(COUNTA(Z106:AJ115)=0,"",INDEX(AA132:AJ132,1,11-MATCH(AI11,AA11:AJ11,0))))</f>
        <v>21241532.059606031</v>
      </c>
      <c r="AJ17" s="293">
        <f>IF(OR(AB7="Paid - Loss &amp; DCCE",AB7="Incurred - Loss &amp; DCCE"),"N/A",IF(COUNTA(Z106:AJ115)=0,"",INDEX(AA132:AJ132,1,11-MATCH(AJ11,AA11:AJ11,0))))</f>
        <v>20450114.24002368</v>
      </c>
      <c r="AK17" s="294" t="s">
        <v>206</v>
      </c>
      <c r="AL17" s="292"/>
      <c r="AM17" s="293">
        <f>IF(OR(AN7="Paid - Loss &amp; DCCE",AN7="Incurred - Loss &amp; DCCE"),"N/A",IF(COUNTA(AL106:AV115)=0,"",INDEX(AM132:AV132,1,11-MATCH(AM11,AM11:AV11,0))))</f>
        <v>1470069.7400000005</v>
      </c>
      <c r="AN17" s="293">
        <f>IF(OR(AN7="Paid - Loss &amp; DCCE",AN7="Incurred - Loss &amp; DCCE"),"N/A",IF(COUNTA(AL106:AV115)=0,"",INDEX(AM132:AV132,1,11-MATCH(AN11,AM11:AV11,0))))</f>
        <v>1139872.6800000004</v>
      </c>
      <c r="AO17" s="293">
        <f>IF(OR(AN7="Paid - Loss &amp; DCCE",AN7="Incurred - Loss &amp; DCCE"),"N/A",IF(COUNTA(AL106:AV115)=0,"",INDEX(AM132:AV132,1,11-MATCH(AO11,AM11:AV11,0))))</f>
        <v>939414.26999999979</v>
      </c>
      <c r="AP17" s="293">
        <f>IF(OR(AN7="Paid - Loss &amp; DCCE",AN7="Incurred - Loss &amp; DCCE"),"N/A",IF(COUNTA(AL106:AV115)=0,"",INDEX(AM132:AV132,1,11-MATCH(AP11,AM11:AV11,0))))</f>
        <v>1012895.8208798908</v>
      </c>
      <c r="AQ17" s="293">
        <f>IF(OR(AN7="Paid - Loss &amp; DCCE",AN7="Incurred - Loss &amp; DCCE"),"N/A",IF(COUNTA(AL106:AV115)=0,"",INDEX(AM132:AV132,1,11-MATCH(AQ11,AM11:AV11,0))))</f>
        <v>1307446.8407820796</v>
      </c>
      <c r="AR17" s="293">
        <f>IF(OR(AN7="Paid - Loss &amp; DCCE",AN7="Incurred - Loss &amp; DCCE"),"N/A",IF(COUNTA(AL106:AV115)=0,"",INDEX(AM132:AV132,1,11-MATCH(AR11,AM11:AV11,0))))</f>
        <v>1192143.8752548252</v>
      </c>
      <c r="AS17" s="293">
        <f>IF(OR(AN7="Paid - Loss &amp; DCCE",AN7="Incurred - Loss &amp; DCCE"),"N/A",IF(COUNTA(AL106:AV115)=0,"",INDEX(AM132:AV132,1,11-MATCH(AS11,AM11:AV11,0))))</f>
        <v>1466989.4389415034</v>
      </c>
      <c r="AT17" s="293">
        <f>IF(OR(AN7="Paid - Loss &amp; DCCE",AN7="Incurred - Loss &amp; DCCE"),"N/A",IF(COUNTA(AL106:AV115)=0,"",INDEX(AM132:AV132,1,11-MATCH(AT11,AM11:AV11,0))))</f>
        <v>3006703.8378738374</v>
      </c>
      <c r="AU17" s="293">
        <f>IF(OR(AN7="Paid - Loss &amp; DCCE",AN7="Incurred - Loss &amp; DCCE"),"N/A",IF(COUNTA(AL106:AV115)=0,"",INDEX(AM132:AV132,1,11-MATCH(AU11,AM11:AV11,0))))</f>
        <v>2187498.3013785006</v>
      </c>
      <c r="AV17" s="293">
        <f>IF(OR(AN7="Paid - Loss &amp; DCCE",AN7="Incurred - Loss &amp; DCCE"),"N/A",IF(COUNTA(AL106:AV115)=0,"",INDEX(AM132:AV132,1,11-MATCH(AV11,AM11:AV11,0))))</f>
        <v>1998910.3415307403</v>
      </c>
      <c r="AW17" s="294" t="s">
        <v>206</v>
      </c>
      <c r="AX17" s="292"/>
      <c r="AY17" s="293">
        <f>IF(OR(AZ7="Paid - Loss &amp; DCCE",AZ7="Incurred - Loss &amp; DCCE"),"N/A",IF(COUNTA(AX106:BH115)=0,"",INDEX(AY132:BH132,1,11-MATCH(AY11,AY11:BH11,0))))</f>
        <v>914788.2799999998</v>
      </c>
      <c r="AZ17" s="293">
        <f>IF(OR(AZ7="Paid - Loss &amp; DCCE",AZ7="Incurred - Loss &amp; DCCE"),"N/A",IF(COUNTA(AX106:BH115)=0,"",INDEX(AY132:BH132,1,11-MATCH(AZ11,AY11:BH11,0))))</f>
        <v>1092469.8511475916</v>
      </c>
      <c r="BA17" s="293">
        <f>IF(OR(AZ7="Paid - Loss &amp; DCCE",AZ7="Incurred - Loss &amp; DCCE"),"N/A",IF(COUNTA(AX106:BH115)=0,"",INDEX(AY132:BH132,1,11-MATCH(BA11,AY11:BH11,0))))</f>
        <v>1118927.9624137382</v>
      </c>
      <c r="BB17" s="293">
        <f>IF(OR(AZ7="Paid - Loss &amp; DCCE",AZ7="Incurred - Loss &amp; DCCE"),"N/A",IF(COUNTA(AX106:BH115)=0,"",INDEX(AY132:BH132,1,11-MATCH(BB11,AY11:BH11,0))))</f>
        <v>967816.65337781992</v>
      </c>
      <c r="BC17" s="293">
        <f>IF(OR(AZ7="Paid - Loss &amp; DCCE",AZ7="Incurred - Loss &amp; DCCE"),"N/A",IF(COUNTA(AX106:BH115)=0,"",INDEX(AY132:BH132,1,11-MATCH(BC11,AY11:BH11,0))))</f>
        <v>1257783.4822807447</v>
      </c>
      <c r="BD17" s="293">
        <f>IF(OR(AZ7="Paid - Loss &amp; DCCE",AZ7="Incurred - Loss &amp; DCCE"),"N/A",IF(COUNTA(AX106:BH115)=0,"",INDEX(AY132:BH132,1,11-MATCH(BD11,AY11:BH11,0))))</f>
        <v>1331993.8351935709</v>
      </c>
      <c r="BE17" s="293">
        <f>IF(OR(AZ7="Paid - Loss &amp; DCCE",AZ7="Incurred - Loss &amp; DCCE"),"N/A",IF(COUNTA(AX106:BH115)=0,"",INDEX(AY132:BH132,1,11-MATCH(BE11,AY11:BH11,0))))</f>
        <v>2726608.9899912844</v>
      </c>
      <c r="BF17" s="293">
        <f>IF(OR(AZ7="Paid - Loss &amp; DCCE",AZ7="Incurred - Loss &amp; DCCE"),"N/A",IF(COUNTA(AX106:BH115)=0,"",INDEX(AY132:BH132,1,11-MATCH(BF11,AY11:BH11,0))))</f>
        <v>3893468.6088684793</v>
      </c>
      <c r="BG17" s="293">
        <f>IF(OR(AZ7="Paid - Loss &amp; DCCE",AZ7="Incurred - Loss &amp; DCCE"),"N/A",IF(COUNTA(AX106:BH115)=0,"",INDEX(AY132:BH132,1,11-MATCH(BG11,AY11:BH11,0))))</f>
        <v>3069241.9547883202</v>
      </c>
      <c r="BH17" s="293">
        <f>IF(OR(AZ7="Paid - Loss &amp; DCCE",AZ7="Incurred - Loss &amp; DCCE"),"N/A",IF(COUNTA(AX106:BH115)=0,"",INDEX(AY132:BH132,1,11-MATCH(BH11,AY11:BH11,0))))</f>
        <v>3128515.1327744373</v>
      </c>
      <c r="BI17" s="294" t="s">
        <v>206</v>
      </c>
      <c r="BJ17" s="292"/>
      <c r="BK17" s="293">
        <f>IF(OR(BL7="Paid - Loss &amp; DCCE",BL7="Incurred - Loss &amp; DCCE"),"N/A",IF(COUNTA(BJ106:BT115)=0,"",INDEX(BK132:BT132,1,11-MATCH(BK11,BK11:BT11,0))))</f>
        <v>31949.77</v>
      </c>
      <c r="BL17" s="293">
        <f>IF(OR(BL7="Paid - Loss &amp; DCCE",BL7="Incurred - Loss &amp; DCCE"),"N/A",IF(COUNTA(BJ106:BT115)=0,"",INDEX(BK132:BT132,1,11-MATCH(BL11,BK11:BT11,0))))</f>
        <v>10137.710000000001</v>
      </c>
      <c r="BM17" s="293">
        <f>IF(OR(BL7="Paid - Loss &amp; DCCE",BL7="Incurred - Loss &amp; DCCE"),"N/A",IF(COUNTA(BJ106:BT115)=0,"",INDEX(BK132:BT132,1,11-MATCH(BM11,BK11:BT11,0))))</f>
        <v>19317</v>
      </c>
      <c r="BN17" s="293">
        <f>IF(OR(BL7="Paid - Loss &amp; DCCE",BL7="Incurred - Loss &amp; DCCE"),"N/A",IF(COUNTA(BJ106:BT115)=0,"",INDEX(BK132:BT132,1,11-MATCH(BN11,BK11:BT11,0))))</f>
        <v>7428.4</v>
      </c>
      <c r="BO17" s="293">
        <f>IF(OR(BL7="Paid - Loss &amp; DCCE",BL7="Incurred - Loss &amp; DCCE"),"N/A",IF(COUNTA(BJ106:BT115)=0,"",INDEX(BK132:BT132,1,11-MATCH(BO11,BK11:BT11,0))))</f>
        <v>16807</v>
      </c>
      <c r="BP17" s="293">
        <f>IF(OR(BL7="Paid - Loss &amp; DCCE",BL7="Incurred - Loss &amp; DCCE"),"N/A",IF(COUNTA(BJ106:BT115)=0,"",INDEX(BK132:BT132,1,11-MATCH(BP11,BK11:BT11,0))))</f>
        <v>31847.530000000006</v>
      </c>
      <c r="BQ17" s="293">
        <f>IF(OR(BL7="Paid - Loss &amp; DCCE",BL7="Incurred - Loss &amp; DCCE"),"N/A",IF(COUNTA(BJ106:BT115)=0,"",INDEX(BK132:BT132,1,11-MATCH(BQ11,BK11:BT11,0))))</f>
        <v>30570.73</v>
      </c>
      <c r="BR17" s="293">
        <f>IF(OR(BL7="Paid - Loss &amp; DCCE",BL7="Incurred - Loss &amp; DCCE"),"N/A",IF(COUNTA(BJ106:BT115)=0,"",INDEX(BK132:BT132,1,11-MATCH(BR11,BK11:BT11,0))))</f>
        <v>58150.8473434849</v>
      </c>
      <c r="BS17" s="293">
        <f>IF(OR(BL7="Paid - Loss &amp; DCCE",BL7="Incurred - Loss &amp; DCCE"),"N/A",IF(COUNTA(BJ106:BT115)=0,"",INDEX(BK132:BT132,1,11-MATCH(BS11,BK11:BT11,0))))</f>
        <v>13598.93815220756</v>
      </c>
      <c r="BT17" s="293">
        <f>IF(OR(BL7="Paid - Loss &amp; DCCE",BL7="Incurred - Loss &amp; DCCE"),"N/A",IF(COUNTA(BJ106:BT115)=0,"",INDEX(BK132:BT132,1,11-MATCH(BT11,BK11:BT11,0))))</f>
        <v>14357.781193864585</v>
      </c>
      <c r="BU17" s="294" t="s">
        <v>206</v>
      </c>
      <c r="BV17" s="292"/>
      <c r="BW17" s="293">
        <f>IF(OR(BX7="Paid - Loss &amp; DCCE",BX7="Incurred - Loss &amp; DCCE"),"N/A",IF(COUNTA(BV106:CF115)=0,"",INDEX(BW132:CF132,1,11-MATCH(BW11,BW11:CF11,0))))</f>
        <v>4507.5200000000004</v>
      </c>
      <c r="BX17" s="293">
        <f>IF(OR(BX7="Paid - Loss &amp; DCCE",BX7="Incurred - Loss &amp; DCCE"),"N/A",IF(COUNTA(BV106:CF115)=0,"",INDEX(BW132:CF132,1,11-MATCH(BX11,BW11:CF11,0))))</f>
        <v>510.54999999999995</v>
      </c>
      <c r="BY17" s="293">
        <f>IF(OR(BX7="Paid - Loss &amp; DCCE",BX7="Incurred - Loss &amp; DCCE"),"N/A",IF(COUNTA(BV106:CF115)=0,"",INDEX(BW132:CF132,1,11-MATCH(BY11,BW11:CF11,0))))</f>
        <v>10195.769999999999</v>
      </c>
      <c r="BZ17" s="293">
        <f>IF(OR(BX7="Paid - Loss &amp; DCCE",BX7="Incurred - Loss &amp; DCCE"),"N/A",IF(COUNTA(BV106:CF115)=0,"",INDEX(BW132:CF132,1,11-MATCH(BZ11,BW11:CF11,0))))</f>
        <v>0</v>
      </c>
      <c r="CA17" s="293">
        <f>IF(OR(BX7="Paid - Loss &amp; DCCE",BX7="Incurred - Loss &amp; DCCE"),"N/A",IF(COUNTA(BV106:CF115)=0,"",INDEX(BW132:CF132,1,11-MATCH(CA11,BW11:CF11,0))))</f>
        <v>0</v>
      </c>
      <c r="CB17" s="293">
        <f>IF(OR(BX7="Paid - Loss &amp; DCCE",BX7="Incurred - Loss &amp; DCCE"),"N/A",IF(COUNTA(BV106:CF115)=0,"",INDEX(BW132:CF132,1,11-MATCH(CB11,BW11:CF11,0))))</f>
        <v>7982</v>
      </c>
      <c r="CC17" s="293">
        <f>IF(OR(BX7="Paid - Loss &amp; DCCE",BX7="Incurred - Loss &amp; DCCE"),"N/A",IF(COUNTA(BV106:CF115)=0,"",INDEX(BW132:CF132,1,11-MATCH(CC11,BW11:CF11,0))))</f>
        <v>-1.1368683772161603E-13</v>
      </c>
      <c r="CD17" s="293">
        <f>IF(OR(BX7="Paid - Loss &amp; DCCE",BX7="Incurred - Loss &amp; DCCE"),"N/A",IF(COUNTA(BV106:CF115)=0,"",INDEX(BW132:CF132,1,11-MATCH(CD11,BW11:CF11,0))))</f>
        <v>24.9</v>
      </c>
      <c r="CE17" s="293">
        <f>IF(OR(BX7="Paid - Loss &amp; DCCE",BX7="Incurred - Loss &amp; DCCE"),"N/A",IF(COUNTA(BV106:CF115)=0,"",INDEX(BW132:CF132,1,11-MATCH(CE11,BW11:CF11,0))))</f>
        <v>35</v>
      </c>
      <c r="CF17" s="293">
        <f>IF(OR(BX7="Paid - Loss &amp; DCCE",BX7="Incurred - Loss &amp; DCCE"),"N/A",IF(COUNTA(BV106:CF115)=0,"",INDEX(BW132:CF132,1,11-MATCH(CF11,BW11:CF11,0))))</f>
        <v>0</v>
      </c>
      <c r="CG17" s="294" t="s">
        <v>206</v>
      </c>
      <c r="CH17" s="292"/>
      <c r="CI17" s="293" t="str">
        <f>IF(OR(CJ7="Paid - Loss &amp; DCCE",CJ7="Incurred - Loss &amp; DCCE"),"N/A",IF(COUNTA(CH106:CR115)=0,"",INDEX(CI132:CR132,1,11-MATCH(CI11,CI11:CR11,0))))</f>
        <v/>
      </c>
      <c r="CJ17" s="293" t="str">
        <f>IF(OR(CJ7="Paid - Loss &amp; DCCE",CJ7="Incurred - Loss &amp; DCCE"),"N/A",IF(COUNTA(CH106:CR115)=0,"",INDEX(CI132:CR132,1,11-MATCH(CJ11,CI11:CR11,0))))</f>
        <v/>
      </c>
      <c r="CK17" s="293" t="str">
        <f>IF(OR(CJ7="Paid - Loss &amp; DCCE",CJ7="Incurred - Loss &amp; DCCE"),"N/A",IF(COUNTA(CH106:CR115)=0,"",INDEX(CI132:CR132,1,11-MATCH(CK11,CI11:CR11,0))))</f>
        <v/>
      </c>
      <c r="CL17" s="293" t="str">
        <f>IF(OR(CJ7="Paid - Loss &amp; DCCE",CJ7="Incurred - Loss &amp; DCCE"),"N/A",IF(COUNTA(CH106:CR115)=0,"",INDEX(CI132:CR132,1,11-MATCH(CL11,CI11:CR11,0))))</f>
        <v/>
      </c>
      <c r="CM17" s="293" t="str">
        <f>IF(OR(CJ7="Paid - Loss &amp; DCCE",CJ7="Incurred - Loss &amp; DCCE"),"N/A",IF(COUNTA(CH106:CR115)=0,"",INDEX(CI132:CR132,1,11-MATCH(CM11,CI11:CR11,0))))</f>
        <v/>
      </c>
      <c r="CN17" s="293" t="str">
        <f>IF(OR(CJ7="Paid - Loss &amp; DCCE",CJ7="Incurred - Loss &amp; DCCE"),"N/A",IF(COUNTA(CH106:CR115)=0,"",INDEX(CI132:CR132,1,11-MATCH(CN11,CI11:CR11,0))))</f>
        <v/>
      </c>
      <c r="CO17" s="293" t="str">
        <f>IF(OR(CJ7="Paid - Loss &amp; DCCE",CJ7="Incurred - Loss &amp; DCCE"),"N/A",IF(COUNTA(CH106:CR115)=0,"",INDEX(CI132:CR132,1,11-MATCH(CO11,CI11:CR11,0))))</f>
        <v/>
      </c>
      <c r="CP17" s="293" t="str">
        <f>IF(OR(CJ7="Paid - Loss &amp; DCCE",CJ7="Incurred - Loss &amp; DCCE"),"N/A",IF(COUNTA(CH106:CR115)=0,"",INDEX(CI132:CR132,1,11-MATCH(CP11,CI11:CR11,0))))</f>
        <v/>
      </c>
      <c r="CQ17" s="293" t="str">
        <f>IF(OR(CJ7="Paid - Loss &amp; DCCE",CJ7="Incurred - Loss &amp; DCCE"),"N/A",IF(COUNTA(CH106:CR115)=0,"",INDEX(CI132:CR132,1,11-MATCH(CQ11,CI11:CR11,0))))</f>
        <v/>
      </c>
      <c r="CR17" s="293" t="str">
        <f>IF(OR(CJ7="Paid - Loss &amp; DCCE",CJ7="Incurred - Loss &amp; DCCE"),"N/A",IF(COUNTA(CH106:CR115)=0,"",INDEX(CI132:CR132,1,11-MATCH(CR11,CI11:CR11,0))))</f>
        <v/>
      </c>
      <c r="CS17" s="294" t="s">
        <v>206</v>
      </c>
      <c r="CT17" s="292"/>
      <c r="CU17" s="293" t="str">
        <f>IF(OR(CV7="Paid - Loss &amp; DCCE",CV7="Incurred - Loss &amp; DCCE"),"N/A",IF(COUNTA(CT106:DD115)=0,"",INDEX(CU132:DD132,1,11-MATCH(CU11,CU11:DD11,0))))</f>
        <v/>
      </c>
      <c r="CV17" s="293" t="str">
        <f>IF(OR(CV7="Paid - Loss &amp; DCCE",CV7="Incurred - Loss &amp; DCCE"),"N/A",IF(COUNTA(CT106:DD115)=0,"",INDEX(CU132:DD132,1,11-MATCH(CV11,CU11:DD11,0))))</f>
        <v/>
      </c>
      <c r="CW17" s="293" t="str">
        <f>IF(OR(CV7="Paid - Loss &amp; DCCE",CV7="Incurred - Loss &amp; DCCE"),"N/A",IF(COUNTA(CT106:DD115)=0,"",INDEX(CU132:DD132,1,11-MATCH(CW11,CU11:DD11,0))))</f>
        <v/>
      </c>
      <c r="CX17" s="293" t="str">
        <f>IF(OR(CV7="Paid - Loss &amp; DCCE",CV7="Incurred - Loss &amp; DCCE"),"N/A",IF(COUNTA(CT106:DD115)=0,"",INDEX(CU132:DD132,1,11-MATCH(CX11,CU11:DD11,0))))</f>
        <v/>
      </c>
      <c r="CY17" s="293" t="str">
        <f>IF(OR(CV7="Paid - Loss &amp; DCCE",CV7="Incurred - Loss &amp; DCCE"),"N/A",IF(COUNTA(CT106:DD115)=0,"",INDEX(CU132:DD132,1,11-MATCH(CY11,CU11:DD11,0))))</f>
        <v/>
      </c>
      <c r="CZ17" s="293" t="str">
        <f>IF(OR(CV7="Paid - Loss &amp; DCCE",CV7="Incurred - Loss &amp; DCCE"),"N/A",IF(COUNTA(CT106:DD115)=0,"",INDEX(CU132:DD132,1,11-MATCH(CZ11,CU11:DD11,0))))</f>
        <v/>
      </c>
      <c r="DA17" s="293" t="str">
        <f>IF(OR(CV7="Paid - Loss &amp; DCCE",CV7="Incurred - Loss &amp; DCCE"),"N/A",IF(COUNTA(CT106:DD115)=0,"",INDEX(CU132:DD132,1,11-MATCH(DA11,CU11:DD11,0))))</f>
        <v/>
      </c>
      <c r="DB17" s="293" t="str">
        <f>IF(OR(CV7="Paid - Loss &amp; DCCE",CV7="Incurred - Loss &amp; DCCE"),"N/A",IF(COUNTA(CT106:DD115)=0,"",INDEX(CU132:DD132,1,11-MATCH(DB11,CU11:DD11,0))))</f>
        <v/>
      </c>
      <c r="DC17" s="293" t="str">
        <f>IF(OR(CV7="Paid - Loss &amp; DCCE",CV7="Incurred - Loss &amp; DCCE"),"N/A",IF(COUNTA(CT106:DD115)=0,"",INDEX(CU132:DD132,1,11-MATCH(DC11,CU11:DD11,0))))</f>
        <v/>
      </c>
      <c r="DD17" s="293" t="str">
        <f>IF(OR(CV7="Paid - Loss &amp; DCCE",CV7="Incurred - Loss &amp; DCCE"),"N/A",IF(COUNTA(CT106:DD115)=0,"",INDEX(CU132:DD132,1,11-MATCH(DD11,CU11:DD11,0))))</f>
        <v/>
      </c>
      <c r="DE17" s="294" t="s">
        <v>206</v>
      </c>
      <c r="DF17" s="292"/>
      <c r="DG17" s="293" t="str">
        <f>IF(OR(DH7="Paid - Loss &amp; DCCE",DH7="Incurred - Loss &amp; DCCE"),"N/A",IF(COUNTA(DF106:DP115)=0,"",INDEX(DG132:DP132,1,11-MATCH(DG11,DG11:DP11,0))))</f>
        <v/>
      </c>
      <c r="DH17" s="293" t="str">
        <f>IF(OR(DH7="Paid - Loss &amp; DCCE",DH7="Incurred - Loss &amp; DCCE"),"N/A",IF(COUNTA(DF106:DP115)=0,"",INDEX(DG132:DP132,1,11-MATCH(DH11,DG11:DP11,0))))</f>
        <v/>
      </c>
      <c r="DI17" s="293" t="str">
        <f>IF(OR(DH7="Paid - Loss &amp; DCCE",DH7="Incurred - Loss &amp; DCCE"),"N/A",IF(COUNTA(DF106:DP115)=0,"",INDEX(DG132:DP132,1,11-MATCH(DI11,DG11:DP11,0))))</f>
        <v/>
      </c>
      <c r="DJ17" s="293" t="str">
        <f>IF(OR(DH7="Paid - Loss &amp; DCCE",DH7="Incurred - Loss &amp; DCCE"),"N/A",IF(COUNTA(DF106:DP115)=0,"",INDEX(DG132:DP132,1,11-MATCH(DJ11,DG11:DP11,0))))</f>
        <v/>
      </c>
      <c r="DK17" s="293" t="str">
        <f>IF(OR(DH7="Paid - Loss &amp; DCCE",DH7="Incurred - Loss &amp; DCCE"),"N/A",IF(COUNTA(DF106:DP115)=0,"",INDEX(DG132:DP132,1,11-MATCH(DK11,DG11:DP11,0))))</f>
        <v/>
      </c>
      <c r="DL17" s="293" t="str">
        <f>IF(OR(DH7="Paid - Loss &amp; DCCE",DH7="Incurred - Loss &amp; DCCE"),"N/A",IF(COUNTA(DF106:DP115)=0,"",INDEX(DG132:DP132,1,11-MATCH(DL11,DG11:DP11,0))))</f>
        <v/>
      </c>
      <c r="DM17" s="293" t="str">
        <f>IF(OR(DH7="Paid - Loss &amp; DCCE",DH7="Incurred - Loss &amp; DCCE"),"N/A",IF(COUNTA(DF106:DP115)=0,"",INDEX(DG132:DP132,1,11-MATCH(DM11,DG11:DP11,0))))</f>
        <v/>
      </c>
      <c r="DN17" s="293" t="str">
        <f>IF(OR(DH7="Paid - Loss &amp; DCCE",DH7="Incurred - Loss &amp; DCCE"),"N/A",IF(COUNTA(DF106:DP115)=0,"",INDEX(DG132:DP132,1,11-MATCH(DN11,DG11:DP11,0))))</f>
        <v/>
      </c>
      <c r="DO17" s="293" t="str">
        <f>IF(OR(DH7="Paid - Loss &amp; DCCE",DH7="Incurred - Loss &amp; DCCE"),"N/A",IF(COUNTA(DF106:DP115)=0,"",INDEX(DG132:DP132,1,11-MATCH(DO11,DG11:DP11,0))))</f>
        <v/>
      </c>
      <c r="DP17" s="293" t="str">
        <f>IF(OR(DH7="Paid - Loss &amp; DCCE",DH7="Incurred - Loss &amp; DCCE"),"N/A",IF(COUNTA(DF106:DP115)=0,"",INDEX(DG132:DP132,1,11-MATCH(DP11,DG11:DP11,0))))</f>
        <v/>
      </c>
    </row>
    <row r="18" spans="1:120" ht="15" customHeight="1" x14ac:dyDescent="0.35">
      <c r="A18" s="287" t="s">
        <v>219</v>
      </c>
      <c r="B18" s="68"/>
      <c r="C18" s="144">
        <f>IF(OR(D7="Paid - Loss &amp; DCCE",D7="Incurred - Loss &amp; DCCE"),"N/A",IF(OR(COUNTA(B106:L115)=0,COUNTA(B71:L80)=0),"",INDEX(C169:L169,1,11-MATCH(C11,C11:L11,0))))</f>
        <v>92647018.460947365</v>
      </c>
      <c r="D18" s="144">
        <f>IF(OR(D7="Paid - Loss &amp; DCCE",D7="Incurred - Loss &amp; DCCE"),"N/A",IF(OR(COUNTA(B106:L115)=0,COUNTA(B71:L80)=0),"",INDEX(C169:L169,1,11-MATCH(D11,C11:L11,0))))</f>
        <v>94336777.836227849</v>
      </c>
      <c r="E18" s="144">
        <f>IF(OR(D7="Paid - Loss &amp; DCCE",D7="Incurred - Loss &amp; DCCE"),"N/A",IF(OR(COUNTA(B106:L115)=0,COUNTA(B71:L80)=0),"",INDEX(C169:L169,1,11-MATCH(E11,C11:L11,0))))</f>
        <v>100084144.27983885</v>
      </c>
      <c r="F18" s="144">
        <f>IF(OR(D7="Paid - Loss &amp; DCCE",D7="Incurred - Loss &amp; DCCE"),"N/A",IF(OR(COUNTA(B106:L115)=0,COUNTA(B71:L80)=0),"",INDEX(C169:L169,1,11-MATCH(F11,C11:L11,0))))</f>
        <v>124300265.57594177</v>
      </c>
      <c r="G18" s="144">
        <f>IF(OR(D7="Paid - Loss &amp; DCCE",D7="Incurred - Loss &amp; DCCE"),"N/A",IF(OR(COUNTA(B106:L115)=0,COUNTA(B71:L80)=0),"",INDEX(C169:L169,1,11-MATCH(G11,C11:L11,0))))</f>
        <v>144663586.13634348</v>
      </c>
      <c r="H18" s="144">
        <f>IF(OR(D7="Paid - Loss &amp; DCCE",D7="Incurred - Loss &amp; DCCE"),"N/A",IF(OR(COUNTA(B106:L115)=0,COUNTA(B71:L80)=0),"",INDEX(C169:L169,1,11-MATCH(H11,C11:L11,0))))</f>
        <v>142701246.66743422</v>
      </c>
      <c r="I18" s="144">
        <f>IF(OR(D7="Paid - Loss &amp; DCCE",D7="Incurred - Loss &amp; DCCE"),"N/A",IF(OR(COUNTA(B106:L115)=0,COUNTA(B71:L80)=0),"",INDEX(C169:L169,1,11-MATCH(I11,C11:L11,0))))</f>
        <v>150568631.33855602</v>
      </c>
      <c r="J18" s="144">
        <f>IF(OR(D7="Paid - Loss &amp; DCCE",D7="Incurred - Loss &amp; DCCE"),"N/A",IF(OR(COUNTA(B106:L115)=0,COUNTA(B71:L80)=0),"",INDEX(C169:L169,1,11-MATCH(J11,C11:L11,0))))</f>
        <v>138591776.67221346</v>
      </c>
      <c r="K18" s="144">
        <f>IF(OR(D7="Paid - Loss &amp; DCCE",D7="Incurred - Loss &amp; DCCE"),"N/A",IF(OR(COUNTA(B106:L115)=0,COUNTA(B71:L80)=0),"",INDEX(C169:L169,1,11-MATCH(K11,C11:L11,0))))</f>
        <v>108594116.72194989</v>
      </c>
      <c r="L18" s="144">
        <f>IF(OR(D7="Paid - Loss &amp; DCCE",D7="Incurred - Loss &amp; DCCE"),"N/A",IF(OR(COUNTA(B106:L115)=0,COUNTA(B71:L80)=0),"",INDEX(C169:L169,1,11-MATCH(L11,C11:L11,0))))</f>
        <v>110691252.30337201</v>
      </c>
      <c r="M18" s="290" t="s">
        <v>219</v>
      </c>
      <c r="N18" s="68"/>
      <c r="O18" s="144">
        <f>IF(OR(P7="Paid - Loss &amp; DCCE",P7="Incurred - Loss &amp; DCCE"),"N/A",IF(OR(COUNTA(N106:X115)=0,COUNTA(N71:X80)=0),"",INDEX(O169:X169,1,11-MATCH(O11,O11:X11,0))))</f>
        <v>875338.14999999967</v>
      </c>
      <c r="P18" s="144">
        <f>IF(OR(P7="Paid - Loss &amp; DCCE",P7="Incurred - Loss &amp; DCCE"),"N/A",IF(OR(COUNTA(N106:X115)=0,COUNTA(N71:X80)=0),"",INDEX(O169:X169,1,11-MATCH(P11,O11:X11,0))))</f>
        <v>897197.63478181569</v>
      </c>
      <c r="Q18" s="144">
        <f>IF(OR(P7="Paid - Loss &amp; DCCE",P7="Incurred - Loss &amp; DCCE"),"N/A",IF(OR(COUNTA(N106:X115)=0,COUNTA(N71:X80)=0),"",INDEX(O169:X169,1,11-MATCH(Q11,O11:X11,0))))</f>
        <v>487588.19558114425</v>
      </c>
      <c r="R18" s="144">
        <f>IF(OR(P7="Paid - Loss &amp; DCCE",P7="Incurred - Loss &amp; DCCE"),"N/A",IF(OR(COUNTA(N106:X115)=0,COUNTA(N71:X80)=0),"",INDEX(O169:X169,1,11-MATCH(R11,O11:X11,0))))</f>
        <v>272033.47881211049</v>
      </c>
      <c r="S18" s="144">
        <f>IF(OR(P7="Paid - Loss &amp; DCCE",P7="Incurred - Loss &amp; DCCE"),"N/A",IF(OR(COUNTA(N106:X115)=0,COUNTA(N71:X80)=0),"",INDEX(O169:X169,1,11-MATCH(S11,O11:X11,0))))</f>
        <v>474783.3366569191</v>
      </c>
      <c r="T18" s="144">
        <f>IF(OR(P7="Paid - Loss &amp; DCCE",P7="Incurred - Loss &amp; DCCE"),"N/A",IF(OR(COUNTA(N106:X115)=0,COUNTA(N71:X80)=0),"",INDEX(O169:X169,1,11-MATCH(T11,O11:X11,0))))</f>
        <v>359008.04070955672</v>
      </c>
      <c r="U18" s="144">
        <f>IF(OR(P7="Paid - Loss &amp; DCCE",P7="Incurred - Loss &amp; DCCE"),"N/A",IF(OR(COUNTA(N106:X115)=0,COUNTA(N71:X80)=0),"",INDEX(O169:X169,1,11-MATCH(U11,O11:X11,0))))</f>
        <v>393904.94725487963</v>
      </c>
      <c r="V18" s="144">
        <f>IF(OR(P7="Paid - Loss &amp; DCCE",P7="Incurred - Loss &amp; DCCE"),"N/A",IF(OR(COUNTA(N106:X115)=0,COUNTA(N71:X80)=0),"",INDEX(O169:X169,1,11-MATCH(V11,O11:X11,0))))</f>
        <v>336909.61669828754</v>
      </c>
      <c r="W18" s="144">
        <f>IF(OR(P7="Paid - Loss &amp; DCCE",P7="Incurred - Loss &amp; DCCE"),"N/A",IF(OR(COUNTA(N106:X115)=0,COUNTA(N71:X80)=0),"",INDEX(O169:X169,1,11-MATCH(W11,O11:X11,0))))</f>
        <v>107661.50352823472</v>
      </c>
      <c r="X18" s="144">
        <f>IF(OR(P7="Paid - Loss &amp; DCCE",P7="Incurred - Loss &amp; DCCE"),"N/A",IF(OR(COUNTA(N106:X115)=0,COUNTA(N71:X80)=0),"",INDEX(O169:X169,1,11-MATCH(X11,O11:X11,0))))</f>
        <v>307297.82752302266</v>
      </c>
      <c r="Y18" s="289" t="s">
        <v>219</v>
      </c>
      <c r="Z18" s="68"/>
      <c r="AA18" s="144">
        <f>IF(OR(AB7="Paid - Loss &amp; DCCE",AB7="Incurred - Loss &amp; DCCE"),"N/A",IF(OR(COUNTA(Z106:AJ115)=0,COUNTA(Z71:AJ80)=0),"",INDEX(AA169:AJ169,1,11-MATCH(AA11,AA11:AJ11,0))))</f>
        <v>13167249.13324175</v>
      </c>
      <c r="AB18" s="144">
        <f>IF(OR(AB7="Paid - Loss &amp; DCCE",AB7="Incurred - Loss &amp; DCCE"),"N/A",IF(OR(COUNTA(Z106:AJ115)=0,COUNTA(Z71:AJ80)=0),"",INDEX(AA169:AJ169,1,11-MATCH(AB11,AA11:AJ11,0))))</f>
        <v>13859219.551657002</v>
      </c>
      <c r="AC18" s="144">
        <f>IF(OR(AB7="Paid - Loss &amp; DCCE",AB7="Incurred - Loss &amp; DCCE"),"N/A",IF(OR(COUNTA(Z106:AJ115)=0,COUNTA(Z71:AJ80)=0),"",INDEX(AA169:AJ169,1,11-MATCH(AC11,AA11:AJ11,0))))</f>
        <v>15280226.714378618</v>
      </c>
      <c r="AD18" s="144">
        <f>IF(OR(AB7="Paid - Loss &amp; DCCE",AB7="Incurred - Loss &amp; DCCE"),"N/A",IF(OR(COUNTA(Z106:AJ115)=0,COUNTA(Z71:AJ80)=0),"",INDEX(AA169:AJ169,1,11-MATCH(AD11,AA11:AJ11,0))))</f>
        <v>17356603.239374679</v>
      </c>
      <c r="AE18" s="144">
        <f>IF(OR(AB7="Paid - Loss &amp; DCCE",AB7="Incurred - Loss &amp; DCCE"),"N/A",IF(OR(COUNTA(Z106:AJ115)=0,COUNTA(Z71:AJ80)=0),"",INDEX(AA169:AJ169,1,11-MATCH(AE11,AA11:AJ11,0))))</f>
        <v>20094153.123413526</v>
      </c>
      <c r="AF18" s="144">
        <f>IF(OR(AB7="Paid - Loss &amp; DCCE",AB7="Incurred - Loss &amp; DCCE"),"N/A",IF(OR(COUNTA(Z106:AJ115)=0,COUNTA(Z71:AJ80)=0),"",INDEX(AA169:AJ169,1,11-MATCH(AF11,AA11:AJ11,0))))</f>
        <v>23177705.962586179</v>
      </c>
      <c r="AG18" s="144">
        <f>IF(OR(AB7="Paid - Loss &amp; DCCE",AB7="Incurred - Loss &amp; DCCE"),"N/A",IF(OR(COUNTA(Z106:AJ115)=0,COUNTA(Z71:AJ80)=0),"",INDEX(AA169:AJ169,1,11-MATCH(AG11,AA11:AJ11,0))))</f>
        <v>23950196.25702842</v>
      </c>
      <c r="AH18" s="144">
        <f>IF(OR(AB7="Paid - Loss &amp; DCCE",AB7="Incurred - Loss &amp; DCCE"),"N/A",IF(OR(COUNTA(Z106:AJ115)=0,COUNTA(Z71:AJ80)=0),"",INDEX(AA169:AJ169,1,11-MATCH(AH11,AA11:AJ11,0))))</f>
        <v>23753995.087260913</v>
      </c>
      <c r="AI18" s="144">
        <f>IF(OR(AB7="Paid - Loss &amp; DCCE",AB7="Incurred - Loss &amp; DCCE"),"N/A",IF(OR(COUNTA(Z106:AJ115)=0,COUNTA(Z71:AJ80)=0),"",INDEX(AA169:AJ169,1,11-MATCH(AI11,AA11:AJ11,0))))</f>
        <v>22602598.560032036</v>
      </c>
      <c r="AJ18" s="144">
        <f>IF(OR(AB7="Paid - Loss &amp; DCCE",AB7="Incurred - Loss &amp; DCCE"),"N/A",IF(OR(COUNTA(Z106:AJ115)=0,COUNTA(Z71:AJ80)=0),"",INDEX(AA169:AJ169,1,11-MATCH(AJ11,AA11:AJ11,0))))</f>
        <v>21733626.928591885</v>
      </c>
      <c r="AK18" s="289" t="s">
        <v>219</v>
      </c>
      <c r="AL18" s="68"/>
      <c r="AM18" s="144">
        <f>IF(OR(AN7="Paid - Loss &amp; DCCE",AN7="Incurred - Loss &amp; DCCE"),"N/A",IF(OR(COUNTA(AL106:AV115)=0,COUNTA(AL71:AV80)=0),"",INDEX(AM169:AV169,1,11-MATCH(AM11,AM11:AV11,0))))</f>
        <v>1470069.7400000005</v>
      </c>
      <c r="AN18" s="144">
        <f>IF(OR(AN7="Paid - Loss &amp; DCCE",AN7="Incurred - Loss &amp; DCCE"),"N/A",IF(OR(COUNTA(AL106:AV115)=0,COUNTA(AL71:AV80)=0),"",INDEX(AM169:AV169,1,11-MATCH(AN11,AM11:AV11,0))))</f>
        <v>1139872.6800000004</v>
      </c>
      <c r="AO18" s="144">
        <f>IF(OR(AN7="Paid - Loss &amp; DCCE",AN7="Incurred - Loss &amp; DCCE"),"N/A",IF(OR(COUNTA(AL106:AV115)=0,COUNTA(AL71:AV80)=0),"",INDEX(AM169:AV169,1,11-MATCH(AO11,AM11:AV11,0))))</f>
        <v>939428.80713275308</v>
      </c>
      <c r="AP18" s="144">
        <f>IF(OR(AN7="Paid - Loss &amp; DCCE",AN7="Incurred - Loss &amp; DCCE"),"N/A",IF(OR(COUNTA(AL106:AV115)=0,COUNTA(AL71:AV80)=0),"",INDEX(AM169:AV169,1,11-MATCH(AP11,AM11:AV11,0))))</f>
        <v>1012804.2407696297</v>
      </c>
      <c r="AQ18" s="144">
        <f>IF(OR(AN7="Paid - Loss &amp; DCCE",AN7="Incurred - Loss &amp; DCCE"),"N/A",IF(OR(COUNTA(AL106:AV115)=0,COUNTA(AL71:AV80)=0),"",INDEX(AM169:AV169,1,11-MATCH(AQ11,AM11:AV11,0))))</f>
        <v>1307423.5823385757</v>
      </c>
      <c r="AR18" s="144">
        <f>IF(OR(AN7="Paid - Loss &amp; DCCE",AN7="Incurred - Loss &amp; DCCE"),"N/A",IF(OR(COUNTA(AL106:AV115)=0,COUNTA(AL71:AV80)=0),"",INDEX(AM169:AV169,1,11-MATCH(AR11,AM11:AV11,0))))</f>
        <v>1192355.1966585016</v>
      </c>
      <c r="AS18" s="144">
        <f>IF(OR(AN7="Paid - Loss &amp; DCCE",AN7="Incurred - Loss &amp; DCCE"),"N/A",IF(OR(COUNTA(AL106:AV115)=0,COUNTA(AL71:AV80)=0),"",INDEX(AM169:AV169,1,11-MATCH(AS11,AM11:AV11,0))))</f>
        <v>1468334.7014684721</v>
      </c>
      <c r="AT18" s="144">
        <f>IF(OR(AN7="Paid - Loss &amp; DCCE",AN7="Incurred - Loss &amp; DCCE"),"N/A",IF(OR(COUNTA(AL106:AV115)=0,COUNTA(AL71:AV80)=0),"",INDEX(AM169:AV169,1,11-MATCH(AT11,AM11:AV11,0))))</f>
        <v>3019377.5254331036</v>
      </c>
      <c r="AU18" s="144">
        <f>IF(OR(AN7="Paid - Loss &amp; DCCE",AN7="Incurred - Loss &amp; DCCE"),"N/A",IF(OR(COUNTA(AL106:AV115)=0,COUNTA(AL71:AV80)=0),"",INDEX(AM169:AV169,1,11-MATCH(AU11,AM11:AV11,0))))</f>
        <v>2194355.5535653313</v>
      </c>
      <c r="AV18" s="144">
        <f>IF(OR(AN7="Paid - Loss &amp; DCCE",AN7="Incurred - Loss &amp; DCCE"),"N/A",IF(OR(COUNTA(AL106:AV115)=0,COUNTA(AL71:AV80)=0),"",INDEX(AM169:AV169,1,11-MATCH(AV11,AM11:AV11,0))))</f>
        <v>2078745.8601705339</v>
      </c>
      <c r="AW18" s="289" t="s">
        <v>219</v>
      </c>
      <c r="AX18" s="68"/>
      <c r="AY18" s="144">
        <f>IF(OR(AZ7="Paid - Loss &amp; DCCE",AZ7="Incurred - Loss &amp; DCCE"),"N/A",IF(OR(COUNTA(AX106:BH115)=0,COUNTA(AX71:BH80)=0),"",INDEX(AY169:BH169,1,11-MATCH(AY11,AY11:BH11,0))))</f>
        <v>914796.4316871186</v>
      </c>
      <c r="AZ18" s="144">
        <f>IF(OR(AZ7="Paid - Loss &amp; DCCE",AZ7="Incurred - Loss &amp; DCCE"),"N/A",IF(OR(COUNTA(AX106:BH115)=0,COUNTA(AX71:BH80)=0),"",INDEX(AY169:BH169,1,11-MATCH(AZ11,AY11:BH11,0))))</f>
        <v>1092470.8412860325</v>
      </c>
      <c r="BA18" s="144">
        <f>IF(OR(AZ7="Paid - Loss &amp; DCCE",AZ7="Incurred - Loss &amp; DCCE"),"N/A",IF(OR(COUNTA(AX106:BH115)=0,COUNTA(AX71:BH80)=0),"",INDEX(AY169:BH169,1,11-MATCH(BA11,AY11:BH11,0))))</f>
        <v>1118950.1644162759</v>
      </c>
      <c r="BB18" s="144">
        <f>IF(OR(AZ7="Paid - Loss &amp; DCCE",AZ7="Incurred - Loss &amp; DCCE"),"N/A",IF(OR(COUNTA(AX106:BH115)=0,COUNTA(AX71:BH80)=0),"",INDEX(AY169:BH169,1,11-MATCH(BB11,AY11:BH11,0))))</f>
        <v>967831.88283542148</v>
      </c>
      <c r="BC18" s="144">
        <f>IF(OR(AZ7="Paid - Loss &amp; DCCE",AZ7="Incurred - Loss &amp; DCCE"),"N/A",IF(OR(COUNTA(AX106:BH115)=0,COUNTA(AX71:BH80)=0),"",INDEX(AY169:BH169,1,11-MATCH(BC11,AY11:BH11,0))))</f>
        <v>1257877.4523853578</v>
      </c>
      <c r="BD18" s="144">
        <f>IF(OR(AZ7="Paid - Loss &amp; DCCE",AZ7="Incurred - Loss &amp; DCCE"),"N/A",IF(OR(COUNTA(AX106:BH115)=0,COUNTA(AX71:BH80)=0),"",INDEX(AY169:BH169,1,11-MATCH(BD11,AY11:BH11,0))))</f>
        <v>1331476.4403960898</v>
      </c>
      <c r="BE18" s="144">
        <f>IF(OR(AZ7="Paid - Loss &amp; DCCE",AZ7="Incurred - Loss &amp; DCCE"),"N/A",IF(OR(COUNTA(AX106:BH115)=0,COUNTA(AX71:BH80)=0),"",INDEX(AY169:BH169,1,11-MATCH(BE11,AY11:BH11,0))))</f>
        <v>2728201.1852802159</v>
      </c>
      <c r="BF18" s="144">
        <f>IF(OR(AZ7="Paid - Loss &amp; DCCE",AZ7="Incurred - Loss &amp; DCCE"),"N/A",IF(OR(COUNTA(AX106:BH115)=0,COUNTA(AX71:BH80)=0),"",INDEX(AY169:BH169,1,11-MATCH(BF11,AY11:BH11,0))))</f>
        <v>3921603.771808967</v>
      </c>
      <c r="BG18" s="144">
        <f>IF(OR(AZ7="Paid - Loss &amp; DCCE",AZ7="Incurred - Loss &amp; DCCE"),"N/A",IF(OR(COUNTA(AX106:BH115)=0,COUNTA(AX71:BH80)=0),"",INDEX(AY169:BH169,1,11-MATCH(BG11,AY11:BH11,0))))</f>
        <v>3145729.1318679955</v>
      </c>
      <c r="BH18" s="144">
        <f>IF(OR(AZ7="Paid - Loss &amp; DCCE",AZ7="Incurred - Loss &amp; DCCE"),"N/A",IF(OR(COUNTA(AX106:BH115)=0,COUNTA(AX71:BH80)=0),"",INDEX(AY169:BH169,1,11-MATCH(BH11,AY11:BH11,0))))</f>
        <v>3301427.9954082798</v>
      </c>
      <c r="BI18" s="289" t="s">
        <v>219</v>
      </c>
      <c r="BJ18" s="68"/>
      <c r="BK18" s="144">
        <f>IF(OR(BL7="Paid - Loss &amp; DCCE",BL7="Incurred - Loss &amp; DCCE"),"N/A",IF(OR(COUNTA(BJ106:BT115)=0,COUNTA(BJ71:BT80)=0),"",INDEX(BK169:BT169,1,11-MATCH(BK11,BK11:BT11,0))))</f>
        <v>31949.77</v>
      </c>
      <c r="BL18" s="144">
        <f>IF(OR(BL7="Paid - Loss &amp; DCCE",BL7="Incurred - Loss &amp; DCCE"),"N/A",IF(OR(COUNTA(BJ106:BT115)=0,COUNTA(BJ71:BT80)=0),"",INDEX(BK169:BT169,1,11-MATCH(BL11,BK11:BT11,0))))</f>
        <v>10137.710000000001</v>
      </c>
      <c r="BM18" s="144">
        <f>IF(OR(BL7="Paid - Loss &amp; DCCE",BL7="Incurred - Loss &amp; DCCE"),"N/A",IF(OR(COUNTA(BJ106:BT115)=0,COUNTA(BJ71:BT80)=0),"",INDEX(BK169:BT169,1,11-MATCH(BM11,BK11:BT11,0))))</f>
        <v>19316.981839298725</v>
      </c>
      <c r="BN18" s="144">
        <f>IF(OR(BL7="Paid - Loss &amp; DCCE",BL7="Incurred - Loss &amp; DCCE"),"N/A",IF(OR(COUNTA(BJ106:BT115)=0,COUNTA(BJ71:BT80)=0),"",INDEX(BK169:BT169,1,11-MATCH(BN11,BK11:BT11,0))))</f>
        <v>7428.4022780556215</v>
      </c>
      <c r="BO18" s="144">
        <f>IF(OR(BL7="Paid - Loss &amp; DCCE",BL7="Incurred - Loss &amp; DCCE"),"N/A",IF(OR(COUNTA(BJ106:BT115)=0,COUNTA(BJ71:BT80)=0),"",INDEX(BK169:BT169,1,11-MATCH(BO11,BK11:BT11,0))))</f>
        <v>16807.1209741319</v>
      </c>
      <c r="BP18" s="144">
        <f>IF(OR(BL7="Paid - Loss &amp; DCCE",BL7="Incurred - Loss &amp; DCCE"),"N/A",IF(OR(COUNTA(BJ106:BT115)=0,COUNTA(BJ71:BT80)=0),"",INDEX(BK169:BT169,1,11-MATCH(BP11,BK11:BT11,0))))</f>
        <v>31847.991710929207</v>
      </c>
      <c r="BQ18" s="144">
        <f>IF(OR(BL7="Paid - Loss &amp; DCCE",BL7="Incurred - Loss &amp; DCCE"),"N/A",IF(OR(COUNTA(BJ106:BT115)=0,COUNTA(BJ71:BT80)=0),"",INDEX(BK169:BT169,1,11-MATCH(BQ11,BK11:BT11,0))))</f>
        <v>30592.875760579449</v>
      </c>
      <c r="BR18" s="144">
        <f>IF(OR(BL7="Paid - Loss &amp; DCCE",BL7="Incurred - Loss &amp; DCCE"),"N/A",IF(OR(COUNTA(BJ106:BT115)=0,COUNTA(BJ71:BT80)=0),"",INDEX(BK169:BT169,1,11-MATCH(BR11,BK11:BT11,0))))</f>
        <v>58129.857696178144</v>
      </c>
      <c r="BS18" s="144">
        <f>IF(OR(BL7="Paid - Loss &amp; DCCE",BL7="Incurred - Loss &amp; DCCE"),"N/A",IF(OR(COUNTA(BJ106:BT115)=0,COUNTA(BJ71:BT80)=0),"",INDEX(BK169:BT169,1,11-MATCH(BS11,BK11:BT11,0))))</f>
        <v>13555.191277356989</v>
      </c>
      <c r="BT18" s="144">
        <f>IF(OR(BL7="Paid - Loss &amp; DCCE",BL7="Incurred - Loss &amp; DCCE"),"N/A",IF(OR(COUNTA(BJ106:BT115)=0,COUNTA(BJ71:BT80)=0),"",INDEX(BK169:BT169,1,11-MATCH(BT11,BK11:BT11,0))))</f>
        <v>14273.838589857001</v>
      </c>
      <c r="BU18" s="289" t="s">
        <v>219</v>
      </c>
      <c r="BV18" s="68"/>
      <c r="BW18" s="144">
        <f>IF(OR(BX7="Paid - Loss &amp; DCCE",BX7="Incurred - Loss &amp; DCCE"),"N/A",IF(OR(COUNTA(BV106:CF115)=0,COUNTA(BV71:CF80)=0),"",INDEX(BW169:CF169,1,11-MATCH(BW11,BW11:CF11,0))))</f>
        <v>4507.5200000000004</v>
      </c>
      <c r="BX18" s="144">
        <f>IF(OR(BX7="Paid - Loss &amp; DCCE",BX7="Incurred - Loss &amp; DCCE"),"N/A",IF(OR(COUNTA(BV106:CF115)=0,COUNTA(BV71:CF80)=0),"",INDEX(BW169:CF169,1,11-MATCH(BX11,BW11:CF11,0))))</f>
        <v>510.54999999999995</v>
      </c>
      <c r="BY18" s="144">
        <f>IF(OR(BX7="Paid - Loss &amp; DCCE",BX7="Incurred - Loss &amp; DCCE"),"N/A",IF(OR(COUNTA(BV106:CF115)=0,COUNTA(BV71:CF80)=0),"",INDEX(BW169:CF169,1,11-MATCH(BY11,BW11:CF11,0))))</f>
        <v>10195.769999999999</v>
      </c>
      <c r="BZ18" s="144">
        <f>IF(OR(BX7="Paid - Loss &amp; DCCE",BX7="Incurred - Loss &amp; DCCE"),"N/A",IF(OR(COUNTA(BV106:CF115)=0,COUNTA(BV71:CF80)=0),"",INDEX(BW169:CF169,1,11-MATCH(BZ11,BW11:CF11,0))))</f>
        <v>0</v>
      </c>
      <c r="CA18" s="144">
        <f>IF(OR(BX7="Paid - Loss &amp; DCCE",BX7="Incurred - Loss &amp; DCCE"),"N/A",IF(OR(COUNTA(BV106:CF115)=0,COUNTA(BV71:CF80)=0),"",INDEX(BW169:CF169,1,11-MATCH(CA11,BW11:CF11,0))))</f>
        <v>0</v>
      </c>
      <c r="CB18" s="144">
        <f>IF(OR(BX7="Paid - Loss &amp; DCCE",BX7="Incurred - Loss &amp; DCCE"),"N/A",IF(OR(COUNTA(BV106:CF115)=0,COUNTA(BV71:CF80)=0),"",INDEX(BW169:CF169,1,11-MATCH(CB11,BW11:CF11,0))))</f>
        <v>7982</v>
      </c>
      <c r="CC18" s="144">
        <f>IF(OR(BX7="Paid - Loss &amp; DCCE",BX7="Incurred - Loss &amp; DCCE"),"N/A",IF(OR(COUNTA(BV106:CF115)=0,COUNTA(BV71:CF80)=0),"",INDEX(BW169:CF169,1,11-MATCH(CC11,BW11:CF11,0))))</f>
        <v>-1.145066676857933E-13</v>
      </c>
      <c r="CD18" s="144">
        <f>IF(OR(BX7="Paid - Loss &amp; DCCE",BX7="Incurred - Loss &amp; DCCE"),"N/A",IF(OR(COUNTA(BV106:CF115)=0,COUNTA(BV71:CF80)=0),"",INDEX(BW169:CF169,1,11-MATCH(CD11,BW11:CF11,0))))</f>
        <v>24.914785142673264</v>
      </c>
      <c r="CE18" s="144">
        <f>IF(OR(BX7="Paid - Loss &amp; DCCE",BX7="Incurred - Loss &amp; DCCE"),"N/A",IF(OR(COUNTA(BV106:CF115)=0,COUNTA(BV71:CF80)=0),"",INDEX(BW169:CF169,1,11-MATCH(CE11,BW11:CF11,0))))</f>
        <v>36.96129999935134</v>
      </c>
      <c r="CF18" s="144">
        <f>IF(OR(BX7="Paid - Loss &amp; DCCE",BX7="Incurred - Loss &amp; DCCE"),"N/A",IF(OR(COUNTA(BV106:CF115)=0,COUNTA(BV71:CF80)=0),"",INDEX(BW169:CF169,1,11-MATCH(CF11,BW11:CF11,0))))</f>
        <v>0</v>
      </c>
      <c r="CG18" s="289" t="s">
        <v>219</v>
      </c>
      <c r="CH18" s="68"/>
      <c r="CI18" s="144" t="str">
        <f>IF(OR(CJ7="Paid - Loss &amp; DCCE",CJ7="Incurred - Loss &amp; DCCE"),"N/A",IF(OR(COUNTA(CH106:CR115)=0,COUNTA(CH71:CR80)=0),"",INDEX(CI169:CR169,1,11-MATCH(CI11,CI11:CR11,0))))</f>
        <v/>
      </c>
      <c r="CJ18" s="144" t="str">
        <f>IF(OR(CJ7="Paid - Loss &amp; DCCE",CJ7="Incurred - Loss &amp; DCCE"),"N/A",IF(OR(COUNTA(CH106:CR115)=0,COUNTA(CH71:CR80)=0),"",INDEX(CI169:CR169,1,11-MATCH(CJ11,CI11:CR11,0))))</f>
        <v/>
      </c>
      <c r="CK18" s="144" t="str">
        <f>IF(OR(CJ7="Paid - Loss &amp; DCCE",CJ7="Incurred - Loss &amp; DCCE"),"N/A",IF(OR(COUNTA(CH106:CR115)=0,COUNTA(CH71:CR80)=0),"",INDEX(CI169:CR169,1,11-MATCH(CK11,CI11:CR11,0))))</f>
        <v/>
      </c>
      <c r="CL18" s="144" t="str">
        <f>IF(OR(CJ7="Paid - Loss &amp; DCCE",CJ7="Incurred - Loss &amp; DCCE"),"N/A",IF(OR(COUNTA(CH106:CR115)=0,COUNTA(CH71:CR80)=0),"",INDEX(CI169:CR169,1,11-MATCH(CL11,CI11:CR11,0))))</f>
        <v/>
      </c>
      <c r="CM18" s="144" t="str">
        <f>IF(OR(CJ7="Paid - Loss &amp; DCCE",CJ7="Incurred - Loss &amp; DCCE"),"N/A",IF(OR(COUNTA(CH106:CR115)=0,COUNTA(CH71:CR80)=0),"",INDEX(CI169:CR169,1,11-MATCH(CM11,CI11:CR11,0))))</f>
        <v/>
      </c>
      <c r="CN18" s="144" t="str">
        <f>IF(OR(CJ7="Paid - Loss &amp; DCCE",CJ7="Incurred - Loss &amp; DCCE"),"N/A",IF(OR(COUNTA(CH106:CR115)=0,COUNTA(CH71:CR80)=0),"",INDEX(CI169:CR169,1,11-MATCH(CN11,CI11:CR11,0))))</f>
        <v/>
      </c>
      <c r="CO18" s="144" t="str">
        <f>IF(OR(CJ7="Paid - Loss &amp; DCCE",CJ7="Incurred - Loss &amp; DCCE"),"N/A",IF(OR(COUNTA(CH106:CR115)=0,COUNTA(CH71:CR80)=0),"",INDEX(CI169:CR169,1,11-MATCH(CO11,CI11:CR11,0))))</f>
        <v/>
      </c>
      <c r="CP18" s="144" t="str">
        <f>IF(OR(CJ7="Paid - Loss &amp; DCCE",CJ7="Incurred - Loss &amp; DCCE"),"N/A",IF(OR(COUNTA(CH106:CR115)=0,COUNTA(CH71:CR80)=0),"",INDEX(CI169:CR169,1,11-MATCH(CP11,CI11:CR11,0))))</f>
        <v/>
      </c>
      <c r="CQ18" s="144" t="str">
        <f>IF(OR(CJ7="Paid - Loss &amp; DCCE",CJ7="Incurred - Loss &amp; DCCE"),"N/A",IF(OR(COUNTA(CH106:CR115)=0,COUNTA(CH71:CR80)=0),"",INDEX(CI169:CR169,1,11-MATCH(CQ11,CI11:CR11,0))))</f>
        <v/>
      </c>
      <c r="CR18" s="144" t="str">
        <f>IF(OR(CJ7="Paid - Loss &amp; DCCE",CJ7="Incurred - Loss &amp; DCCE"),"N/A",IF(OR(COUNTA(CH106:CR115)=0,COUNTA(CH71:CR80)=0),"",INDEX(CI169:CR169,1,11-MATCH(CR11,CI11:CR11,0))))</f>
        <v/>
      </c>
      <c r="CS18" s="289" t="s">
        <v>219</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89" t="s">
        <v>219</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7" t="s">
        <v>207</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89" t="s">
        <v>207</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89" t="s">
        <v>207</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89" t="s">
        <v>207</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89" t="s">
        <v>207</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89" t="s">
        <v>207</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89" t="s">
        <v>207</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89" t="s">
        <v>207</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89" t="s">
        <v>207</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89" t="s">
        <v>207</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7" t="s">
        <v>220</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89" t="s">
        <v>220</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89" t="s">
        <v>220</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89" t="s">
        <v>220</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89" t="s">
        <v>220</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89" t="s">
        <v>220</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89" t="s">
        <v>220</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89" t="s">
        <v>220</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89" t="s">
        <v>220</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89" t="s">
        <v>220</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2" t="s">
        <v>40</v>
      </c>
      <c r="B21" s="68"/>
      <c r="C21" s="147">
        <f>IF(OR(D7="Paid - Loss &amp; DCCE",D7="Incurred - Loss &amp; DCCE"),"N/A",IF(D8="Paid - DCCE Dollar",C17,IF(D8="Paid - DCCE (by Ratio)",C18,IF(D8="Incurred - DCCE Dollar",C19,IF(D8="Incurred - DCCE (by Ratio)",C20,"")))))</f>
        <v>92624109.800000042</v>
      </c>
      <c r="D21" s="147">
        <f>IF(OR(D7="Paid - Loss &amp; DCCE",D7="Incurred - Loss &amp; DCCE"),"N/A",IF(D8="Paid - DCCE Dollar",D17,IF(D8="Paid - DCCE (by Ratio)",D18,IF(D8="Incurred - DCCE Dollar",D19,IF(D8="Incurred - DCCE (by Ratio)",D20,"")))))</f>
        <v>94326751.416834891</v>
      </c>
      <c r="E21" s="147">
        <f>IF(OR(D7="Paid - Loss &amp; DCCE",D7="Incurred - Loss &amp; DCCE"),"N/A",IF(D8="Paid - DCCE Dollar",E17,IF(D8="Paid - DCCE (by Ratio)",E18,IF(D8="Incurred - DCCE Dollar",E19,IF(D8="Incurred - DCCE (by Ratio)",E20,"")))))</f>
        <v>100082791.07420163</v>
      </c>
      <c r="F21" s="147">
        <f>IF(OR(D7="Paid - Loss &amp; DCCE",D7="Incurred - Loss &amp; DCCE"),"N/A",IF(D8="Paid - DCCE Dollar",F17,IF(D8="Paid - DCCE (by Ratio)",F18,IF(D8="Incurred - DCCE Dollar",F19,IF(D8="Incurred - DCCE (by Ratio)",F20,"")))))</f>
        <v>124204423.81849493</v>
      </c>
      <c r="G21" s="147">
        <f>IF(OR(D7="Paid - Loss &amp; DCCE",D7="Incurred - Loss &amp; DCCE"),"N/A",IF(D8="Paid - DCCE Dollar",G17,IF(D8="Paid - DCCE (by Ratio)",G18,IF(D8="Incurred - DCCE Dollar",G19,IF(D8="Incurred - DCCE (by Ratio)",G20,"")))))</f>
        <v>144295625.69890532</v>
      </c>
      <c r="H21" s="147">
        <f>IF(OR(D7="Paid - Loss &amp; DCCE",D7="Incurred - Loss &amp; DCCE"),"N/A",IF(D8="Paid - DCCE Dollar",H17,IF(D8="Paid - DCCE (by Ratio)",H18,IF(D8="Incurred - DCCE Dollar",H19,IF(D8="Incurred - DCCE (by Ratio)",H20,"")))))</f>
        <v>141906258.20752499</v>
      </c>
      <c r="I21" s="147">
        <f>IF(OR(D7="Paid - Loss &amp; DCCE",D7="Incurred - Loss &amp; DCCE"),"N/A",IF(D8="Paid - DCCE Dollar",I17,IF(D8="Paid - DCCE (by Ratio)",I18,IF(D8="Incurred - DCCE Dollar",I19,IF(D8="Incurred - DCCE (by Ratio)",I20,"")))))</f>
        <v>147243770.80320016</v>
      </c>
      <c r="J21" s="147">
        <f>IF(OR(D7="Paid - Loss &amp; DCCE",D7="Incurred - Loss &amp; DCCE"),"N/A",IF(D8="Paid - DCCE Dollar",J17,IF(D8="Paid - DCCE (by Ratio)",J18,IF(D8="Incurred - DCCE Dollar",J19,IF(D8="Incurred - DCCE (by Ratio)",J20,"")))))</f>
        <v>133897271.28245068</v>
      </c>
      <c r="K21" s="147">
        <f>IF(OR(D7="Paid - Loss &amp; DCCE",D7="Incurred - Loss &amp; DCCE"),"N/A",IF(D8="Paid - DCCE Dollar",K17,IF(D8="Paid - DCCE (by Ratio)",K18,IF(D8="Incurred - DCCE Dollar",K19,IF(D8="Incurred - DCCE (by Ratio)",K20,"")))))</f>
        <v>103434621.23711169</v>
      </c>
      <c r="L21" s="147">
        <f>IF(OR(D7="Paid - Loss &amp; DCCE",D7="Incurred - Loss &amp; DCCE"),"N/A",IF(D8="Paid - DCCE Dollar",L17,IF(D8="Paid - DCCE (by Ratio)",L18,IF(D8="Incurred - DCCE Dollar",L19,IF(D8="Incurred - DCCE (by Ratio)",L20,"")))))</f>
        <v>106779221.50859842</v>
      </c>
      <c r="M21" s="282" t="s">
        <v>40</v>
      </c>
      <c r="N21" s="68"/>
      <c r="O21" s="147">
        <f>IF(OR(P7="Paid - Loss &amp; DCCE",P7="Incurred - Loss &amp; DCCE"),"N/A",IF(P8="Paid - DCCE Dollar",O17,IF(P8="Paid - DCCE (by Ratio)",O18,IF(P8="Incurred - DCCE Dollar",O19,IF(P8="Incurred - DCCE (by Ratio)",O20,"")))))</f>
        <v>875338.14999999967</v>
      </c>
      <c r="P21" s="147">
        <f>IF(OR(P7="Paid - Loss &amp; DCCE",P7="Incurred - Loss &amp; DCCE"),"N/A",IF(P8="Paid - DCCE Dollar",P17,IF(P8="Paid - DCCE (by Ratio)",P18,IF(P8="Incurred - DCCE Dollar",P19,IF(P8="Incurred - DCCE (by Ratio)",P20,"")))))</f>
        <v>897176.11474016379</v>
      </c>
      <c r="Q21" s="147">
        <f>IF(OR(P7="Paid - Loss &amp; DCCE",P7="Incurred - Loss &amp; DCCE"),"N/A",IF(P8="Paid - DCCE Dollar",Q17,IF(P8="Paid - DCCE (by Ratio)",Q18,IF(P8="Incurred - DCCE Dollar",Q19,IF(P8="Incurred - DCCE (by Ratio)",Q20,"")))))</f>
        <v>487543.64488744555</v>
      </c>
      <c r="R21" s="147">
        <f>IF(OR(P7="Paid - Loss &amp; DCCE",P7="Incurred - Loss &amp; DCCE"),"N/A",IF(P8="Paid - DCCE Dollar",R17,IF(P8="Paid - DCCE (by Ratio)",R18,IF(P8="Incurred - DCCE Dollar",R19,IF(P8="Incurred - DCCE (by Ratio)",R20,"")))))</f>
        <v>272015.6937749256</v>
      </c>
      <c r="S21" s="147">
        <f>IF(OR(P7="Paid - Loss &amp; DCCE",P7="Incurred - Loss &amp; DCCE"),"N/A",IF(P8="Paid - DCCE Dollar",S17,IF(P8="Paid - DCCE (by Ratio)",S18,IF(P8="Incurred - DCCE Dollar",S19,IF(P8="Incurred - DCCE (by Ratio)",S20,"")))))</f>
        <v>474447.90066192712</v>
      </c>
      <c r="T21" s="147">
        <f>IF(OR(P7="Paid - Loss &amp; DCCE",P7="Incurred - Loss &amp; DCCE"),"N/A",IF(P8="Paid - DCCE Dollar",T17,IF(P8="Paid - DCCE (by Ratio)",T18,IF(P8="Incurred - DCCE Dollar",T19,IF(P8="Incurred - DCCE (by Ratio)",T20,"")))))</f>
        <v>359044.16130897118</v>
      </c>
      <c r="U21" s="147">
        <f>IF(OR(P7="Paid - Loss &amp; DCCE",P7="Incurred - Loss &amp; DCCE"),"N/A",IF(P8="Paid - DCCE Dollar",U17,IF(P8="Paid - DCCE (by Ratio)",U18,IF(P8="Incurred - DCCE Dollar",U19,IF(P8="Incurred - DCCE (by Ratio)",U20,"")))))</f>
        <v>392840.53060259199</v>
      </c>
      <c r="V21" s="147">
        <f>IF(OR(P7="Paid - Loss &amp; DCCE",P7="Incurred - Loss &amp; DCCE"),"N/A",IF(P8="Paid - DCCE Dollar",V17,IF(P8="Paid - DCCE (by Ratio)",V18,IF(P8="Incurred - DCCE Dollar",V19,IF(P8="Incurred - DCCE (by Ratio)",V20,"")))))</f>
        <v>337355.45443909656</v>
      </c>
      <c r="W21" s="147">
        <f>IF(OR(P7="Paid - Loss &amp; DCCE",P7="Incurred - Loss &amp; DCCE"),"N/A",IF(P8="Paid - DCCE Dollar",W17,IF(P8="Paid - DCCE (by Ratio)",W18,IF(P8="Incurred - DCCE Dollar",W19,IF(P8="Incurred - DCCE (by Ratio)",W20,"")))))</f>
        <v>106268.05492371977</v>
      </c>
      <c r="X21" s="147">
        <f>IF(OR(P7="Paid - Loss &amp; DCCE",P7="Incurred - Loss &amp; DCCE"),"N/A",IF(P8="Paid - DCCE Dollar",X17,IF(P8="Paid - DCCE (by Ratio)",X18,IF(P8="Incurred - DCCE Dollar",X19,IF(P8="Incurred - DCCE (by Ratio)",X20,"")))))</f>
        <v>298181.77937177388</v>
      </c>
      <c r="Y21" s="282" t="s">
        <v>40</v>
      </c>
      <c r="Z21" s="68"/>
      <c r="AA21" s="147">
        <f>IF(OR(AB7="Paid - Loss &amp; DCCE",AB7="Incurred - Loss &amp; DCCE"),"N/A",IF(AB8="Paid - DCCE Dollar",AA17,IF(AB8="Paid - DCCE (by Ratio)",AA18,IF(AB8="Incurred - DCCE Dollar",AA19,IF(AB8="Incurred - DCCE (by Ratio)",AA20,"")))))</f>
        <v>13162226.329999996</v>
      </c>
      <c r="AB21" s="147">
        <f>IF(OR(AB7="Paid - Loss &amp; DCCE",AB7="Incurred - Loss &amp; DCCE"),"N/A",IF(AB8="Paid - DCCE Dollar",AB17,IF(AB8="Paid - DCCE (by Ratio)",AB18,IF(AB8="Incurred - DCCE Dollar",AB19,IF(AB8="Incurred - DCCE (by Ratio)",AB20,"")))))</f>
        <v>13850685.64472229</v>
      </c>
      <c r="AC21" s="147">
        <f>IF(OR(AB7="Paid - Loss &amp; DCCE",AB7="Incurred - Loss &amp; DCCE"),"N/A",IF(AB8="Paid - DCCE Dollar",AC17,IF(AB8="Paid - DCCE (by Ratio)",AC18,IF(AB8="Incurred - DCCE Dollar",AC19,IF(AB8="Incurred - DCCE (by Ratio)",AC20,"")))))</f>
        <v>15276588.750290941</v>
      </c>
      <c r="AD21" s="147">
        <f>IF(OR(AB7="Paid - Loss &amp; DCCE",AB7="Incurred - Loss &amp; DCCE"),"N/A",IF(AB8="Paid - DCCE Dollar",AD17,IF(AB8="Paid - DCCE (by Ratio)",AD18,IF(AB8="Incurred - DCCE Dollar",AD19,IF(AB8="Incurred - DCCE (by Ratio)",AD20,"")))))</f>
        <v>17397550.701954942</v>
      </c>
      <c r="AE21" s="147">
        <f>IF(OR(AB7="Paid - Loss &amp; DCCE",AB7="Incurred - Loss &amp; DCCE"),"N/A",IF(AB8="Paid - DCCE Dollar",AE17,IF(AB8="Paid - DCCE (by Ratio)",AE18,IF(AB8="Incurred - DCCE Dollar",AE19,IF(AB8="Incurred - DCCE (by Ratio)",AE20,"")))))</f>
        <v>20115492.218819864</v>
      </c>
      <c r="AF21" s="147">
        <f>IF(OR(AB7="Paid - Loss &amp; DCCE",AB7="Incurred - Loss &amp; DCCE"),"N/A",IF(AB8="Paid - DCCE Dollar",AF17,IF(AB8="Paid - DCCE (by Ratio)",AF18,IF(AB8="Incurred - DCCE Dollar",AF19,IF(AB8="Incurred - DCCE (by Ratio)",AF20,"")))))</f>
        <v>23045450.383253958</v>
      </c>
      <c r="AG21" s="147">
        <f>IF(OR(AB7="Paid - Loss &amp; DCCE",AB7="Incurred - Loss &amp; DCCE"),"N/A",IF(AB8="Paid - DCCE Dollar",AG17,IF(AB8="Paid - DCCE (by Ratio)",AG18,IF(AB8="Incurred - DCCE Dollar",AG19,IF(AB8="Incurred - DCCE (by Ratio)",AG20,"")))))</f>
        <v>23712941.2010401</v>
      </c>
      <c r="AH21" s="147">
        <f>IF(OR(AB7="Paid - Loss &amp; DCCE",AB7="Incurred - Loss &amp; DCCE"),"N/A",IF(AB8="Paid - DCCE Dollar",AH17,IF(AB8="Paid - DCCE (by Ratio)",AH18,IF(AB8="Incurred - DCCE Dollar",AH19,IF(AB8="Incurred - DCCE (by Ratio)",AH20,"")))))</f>
        <v>23384302.70742292</v>
      </c>
      <c r="AI21" s="147">
        <f>IF(OR(AB7="Paid - Loss &amp; DCCE",AB7="Incurred - Loss &amp; DCCE"),"N/A",IF(AB8="Paid - DCCE Dollar",AI17,IF(AB8="Paid - DCCE (by Ratio)",AI18,IF(AB8="Incurred - DCCE Dollar",AI19,IF(AB8="Incurred - DCCE (by Ratio)",AI20,"")))))</f>
        <v>21241532.059606031</v>
      </c>
      <c r="AJ21" s="147">
        <f>IF(OR(AB7="Paid - Loss &amp; DCCE",AB7="Incurred - Loss &amp; DCCE"),"N/A",IF(AB8="Paid - DCCE Dollar",AJ17,IF(AB8="Paid - DCCE (by Ratio)",AJ18,IF(AB8="Incurred - DCCE Dollar",AJ19,IF(AB8="Incurred - DCCE (by Ratio)",AJ20,"")))))</f>
        <v>20450114.24002368</v>
      </c>
      <c r="AK21" s="282" t="s">
        <v>40</v>
      </c>
      <c r="AL21" s="68"/>
      <c r="AM21" s="147">
        <f>IF(OR(AN7="Paid - Loss &amp; DCCE",AN7="Incurred - Loss &amp; DCCE"),"N/A",IF(AN8="Paid - DCCE Dollar",AM17,IF(AN8="Paid - DCCE (by Ratio)",AM18,IF(AN8="Incurred - DCCE Dollar",AM19,IF(AN8="Incurred - DCCE (by Ratio)",AM20,"")))))</f>
        <v>1470069.7400000005</v>
      </c>
      <c r="AN21" s="147">
        <f>IF(OR(AN7="Paid - Loss &amp; DCCE",AN7="Incurred - Loss &amp; DCCE"),"N/A",IF(AN8="Paid - DCCE Dollar",AN17,IF(AN8="Paid - DCCE (by Ratio)",AN18,IF(AN8="Incurred - DCCE Dollar",AN19,IF(AN8="Incurred - DCCE (by Ratio)",AN20,"")))))</f>
        <v>1139872.6800000004</v>
      </c>
      <c r="AO21" s="147">
        <f>IF(OR(AN7="Paid - Loss &amp; DCCE",AN7="Incurred - Loss &amp; DCCE"),"N/A",IF(AN8="Paid - DCCE Dollar",AO17,IF(AN8="Paid - DCCE (by Ratio)",AO18,IF(AN8="Incurred - DCCE Dollar",AO19,IF(AN8="Incurred - DCCE (by Ratio)",AO20,"")))))</f>
        <v>939414.26999999979</v>
      </c>
      <c r="AP21" s="147">
        <f>IF(OR(AN7="Paid - Loss &amp; DCCE",AN7="Incurred - Loss &amp; DCCE"),"N/A",IF(AN8="Paid - DCCE Dollar",AP17,IF(AN8="Paid - DCCE (by Ratio)",AP18,IF(AN8="Incurred - DCCE Dollar",AP19,IF(AN8="Incurred - DCCE (by Ratio)",AP20,"")))))</f>
        <v>1012895.8208798908</v>
      </c>
      <c r="AQ21" s="147">
        <f>IF(OR(AN7="Paid - Loss &amp; DCCE",AN7="Incurred - Loss &amp; DCCE"),"N/A",IF(AN8="Paid - DCCE Dollar",AQ17,IF(AN8="Paid - DCCE (by Ratio)",AQ18,IF(AN8="Incurred - DCCE Dollar",AQ19,IF(AN8="Incurred - DCCE (by Ratio)",AQ20,"")))))</f>
        <v>1307446.8407820796</v>
      </c>
      <c r="AR21" s="147">
        <f>IF(OR(AN7="Paid - Loss &amp; DCCE",AN7="Incurred - Loss &amp; DCCE"),"N/A",IF(AN8="Paid - DCCE Dollar",AR17,IF(AN8="Paid - DCCE (by Ratio)",AR18,IF(AN8="Incurred - DCCE Dollar",AR19,IF(AN8="Incurred - DCCE (by Ratio)",AR20,"")))))</f>
        <v>1192143.8752548252</v>
      </c>
      <c r="AS21" s="147">
        <f>IF(OR(AN7="Paid - Loss &amp; DCCE",AN7="Incurred - Loss &amp; DCCE"),"N/A",IF(AN8="Paid - DCCE Dollar",AS17,IF(AN8="Paid - DCCE (by Ratio)",AS18,IF(AN8="Incurred - DCCE Dollar",AS19,IF(AN8="Incurred - DCCE (by Ratio)",AS20,"")))))</f>
        <v>1466989.4389415034</v>
      </c>
      <c r="AT21" s="147">
        <f>IF(OR(AN7="Paid - Loss &amp; DCCE",AN7="Incurred - Loss &amp; DCCE"),"N/A",IF(AN8="Paid - DCCE Dollar",AT17,IF(AN8="Paid - DCCE (by Ratio)",AT18,IF(AN8="Incurred - DCCE Dollar",AT19,IF(AN8="Incurred - DCCE (by Ratio)",AT20,"")))))</f>
        <v>3006703.8378738374</v>
      </c>
      <c r="AU21" s="147">
        <f>IF(OR(AN7="Paid - Loss &amp; DCCE",AN7="Incurred - Loss &amp; DCCE"),"N/A",IF(AN8="Paid - DCCE Dollar",AU17,IF(AN8="Paid - DCCE (by Ratio)",AU18,IF(AN8="Incurred - DCCE Dollar",AU19,IF(AN8="Incurred - DCCE (by Ratio)",AU20,"")))))</f>
        <v>2187498.3013785006</v>
      </c>
      <c r="AV21" s="147">
        <f>IF(OR(AN7="Paid - Loss &amp; DCCE",AN7="Incurred - Loss &amp; DCCE"),"N/A",IF(AN8="Paid - DCCE Dollar",AV17,IF(AN8="Paid - DCCE (by Ratio)",AV18,IF(AN8="Incurred - DCCE Dollar",AV19,IF(AN8="Incurred - DCCE (by Ratio)",AV20,"")))))</f>
        <v>1998910.3415307403</v>
      </c>
      <c r="AW21" s="282" t="s">
        <v>40</v>
      </c>
      <c r="AX21" s="68"/>
      <c r="AY21" s="147">
        <f>IF(OR(AZ7="Paid - Loss &amp; DCCE",AZ7="Incurred - Loss &amp; DCCE"),"N/A",IF(AZ8="Paid - DCCE Dollar",AY17,IF(AZ8="Paid - DCCE (by Ratio)",AY18,IF(AZ8="Incurred - DCCE Dollar",AY19,IF(AZ8="Incurred - DCCE (by Ratio)",AY20,"")))))</f>
        <v>914788.2799999998</v>
      </c>
      <c r="AZ21" s="147">
        <f>IF(OR(AZ7="Paid - Loss &amp; DCCE",AZ7="Incurred - Loss &amp; DCCE"),"N/A",IF(AZ8="Paid - DCCE Dollar",AZ17,IF(AZ8="Paid - DCCE (by Ratio)",AZ18,IF(AZ8="Incurred - DCCE Dollar",AZ19,IF(AZ8="Incurred - DCCE (by Ratio)",AZ20,"")))))</f>
        <v>1092469.8511475916</v>
      </c>
      <c r="BA21" s="147">
        <f>IF(OR(AZ7="Paid - Loss &amp; DCCE",AZ7="Incurred - Loss &amp; DCCE"),"N/A",IF(AZ8="Paid - DCCE Dollar",BA17,IF(AZ8="Paid - DCCE (by Ratio)",BA18,IF(AZ8="Incurred - DCCE Dollar",BA19,IF(AZ8="Incurred - DCCE (by Ratio)",BA20,"")))))</f>
        <v>1118927.9624137382</v>
      </c>
      <c r="BB21" s="147">
        <f>IF(OR(AZ7="Paid - Loss &amp; DCCE",AZ7="Incurred - Loss &amp; DCCE"),"N/A",IF(AZ8="Paid - DCCE Dollar",BB17,IF(AZ8="Paid - DCCE (by Ratio)",BB18,IF(AZ8="Incurred - DCCE Dollar",BB19,IF(AZ8="Incurred - DCCE (by Ratio)",BB20,"")))))</f>
        <v>967816.65337781992</v>
      </c>
      <c r="BC21" s="147">
        <f>IF(OR(AZ7="Paid - Loss &amp; DCCE",AZ7="Incurred - Loss &amp; DCCE"),"N/A",IF(AZ8="Paid - DCCE Dollar",BC17,IF(AZ8="Paid - DCCE (by Ratio)",BC18,IF(AZ8="Incurred - DCCE Dollar",BC19,IF(AZ8="Incurred - DCCE (by Ratio)",BC20,"")))))</f>
        <v>1257783.4822807447</v>
      </c>
      <c r="BD21" s="147">
        <f>IF(OR(AZ7="Paid - Loss &amp; DCCE",AZ7="Incurred - Loss &amp; DCCE"),"N/A",IF(AZ8="Paid - DCCE Dollar",BD17,IF(AZ8="Paid - DCCE (by Ratio)",BD18,IF(AZ8="Incurred - DCCE Dollar",BD19,IF(AZ8="Incurred - DCCE (by Ratio)",BD20,"")))))</f>
        <v>1331993.8351935709</v>
      </c>
      <c r="BE21" s="147">
        <f>IF(OR(AZ7="Paid - Loss &amp; DCCE",AZ7="Incurred - Loss &amp; DCCE"),"N/A",IF(AZ8="Paid - DCCE Dollar",BE17,IF(AZ8="Paid - DCCE (by Ratio)",BE18,IF(AZ8="Incurred - DCCE Dollar",BE19,IF(AZ8="Incurred - DCCE (by Ratio)",BE20,"")))))</f>
        <v>2726608.9899912844</v>
      </c>
      <c r="BF21" s="147">
        <f>IF(OR(AZ7="Paid - Loss &amp; DCCE",AZ7="Incurred - Loss &amp; DCCE"),"N/A",IF(AZ8="Paid - DCCE Dollar",BF17,IF(AZ8="Paid - DCCE (by Ratio)",BF18,IF(AZ8="Incurred - DCCE Dollar",BF19,IF(AZ8="Incurred - DCCE (by Ratio)",BF20,"")))))</f>
        <v>3893468.6088684793</v>
      </c>
      <c r="BG21" s="147">
        <f>IF(OR(AZ7="Paid - Loss &amp; DCCE",AZ7="Incurred - Loss &amp; DCCE"),"N/A",IF(AZ8="Paid - DCCE Dollar",BG17,IF(AZ8="Paid - DCCE (by Ratio)",BG18,IF(AZ8="Incurred - DCCE Dollar",BG19,IF(AZ8="Incurred - DCCE (by Ratio)",BG20,"")))))</f>
        <v>3069241.9547883202</v>
      </c>
      <c r="BH21" s="147">
        <f>IF(OR(AZ7="Paid - Loss &amp; DCCE",AZ7="Incurred - Loss &amp; DCCE"),"N/A",IF(AZ8="Paid - DCCE Dollar",BH17,IF(AZ8="Paid - DCCE (by Ratio)",BH18,IF(AZ8="Incurred - DCCE Dollar",BH19,IF(AZ8="Incurred - DCCE (by Ratio)",BH20,"")))))</f>
        <v>3128515.1327744373</v>
      </c>
      <c r="BI21" s="282" t="s">
        <v>40</v>
      </c>
      <c r="BJ21" s="68"/>
      <c r="BK21" s="147">
        <f>IF(OR(BL7="Paid - Loss &amp; DCCE",BL7="Incurred - Loss &amp; DCCE"),"N/A",IF(BL8="Paid - DCCE Dollar",BK17,IF(BL8="Paid - DCCE (by Ratio)",BK18,IF(BL8="Incurred - DCCE Dollar",BK19,IF(BL8="Incurred - DCCE (by Ratio)",BK20,"")))))</f>
        <v>31949.77</v>
      </c>
      <c r="BL21" s="147">
        <f>IF(OR(BL7="Paid - Loss &amp; DCCE",BL7="Incurred - Loss &amp; DCCE"),"N/A",IF(BL8="Paid - DCCE Dollar",BL17,IF(BL8="Paid - DCCE (by Ratio)",BL18,IF(BL8="Incurred - DCCE Dollar",BL19,IF(BL8="Incurred - DCCE (by Ratio)",BL20,"")))))</f>
        <v>10137.710000000001</v>
      </c>
      <c r="BM21" s="147">
        <f>IF(OR(BL7="Paid - Loss &amp; DCCE",BL7="Incurred - Loss &amp; DCCE"),"N/A",IF(BL8="Paid - DCCE Dollar",BM17,IF(BL8="Paid - DCCE (by Ratio)",BM18,IF(BL8="Incurred - DCCE Dollar",BM19,IF(BL8="Incurred - DCCE (by Ratio)",BM20,"")))))</f>
        <v>19317</v>
      </c>
      <c r="BN21" s="147">
        <f>IF(OR(BL7="Paid - Loss &amp; DCCE",BL7="Incurred - Loss &amp; DCCE"),"N/A",IF(BL8="Paid - DCCE Dollar",BN17,IF(BL8="Paid - DCCE (by Ratio)",BN18,IF(BL8="Incurred - DCCE Dollar",BN19,IF(BL8="Incurred - DCCE (by Ratio)",BN20,"")))))</f>
        <v>7428.4</v>
      </c>
      <c r="BO21" s="147">
        <f>IF(OR(BL7="Paid - Loss &amp; DCCE",BL7="Incurred - Loss &amp; DCCE"),"N/A",IF(BL8="Paid - DCCE Dollar",BO17,IF(BL8="Paid - DCCE (by Ratio)",BO18,IF(BL8="Incurred - DCCE Dollar",BO19,IF(BL8="Incurred - DCCE (by Ratio)",BO20,"")))))</f>
        <v>16807</v>
      </c>
      <c r="BP21" s="147">
        <f>IF(OR(BL7="Paid - Loss &amp; DCCE",BL7="Incurred - Loss &amp; DCCE"),"N/A",IF(BL8="Paid - DCCE Dollar",BP17,IF(BL8="Paid - DCCE (by Ratio)",BP18,IF(BL8="Incurred - DCCE Dollar",BP19,IF(BL8="Incurred - DCCE (by Ratio)",BP20,"")))))</f>
        <v>31847.530000000006</v>
      </c>
      <c r="BQ21" s="147">
        <f>IF(OR(BL7="Paid - Loss &amp; DCCE",BL7="Incurred - Loss &amp; DCCE"),"N/A",IF(BL8="Paid - DCCE Dollar",BQ17,IF(BL8="Paid - DCCE (by Ratio)",BQ18,IF(BL8="Incurred - DCCE Dollar",BQ19,IF(BL8="Incurred - DCCE (by Ratio)",BQ20,"")))))</f>
        <v>30570.73</v>
      </c>
      <c r="BR21" s="147">
        <f>IF(OR(BL7="Paid - Loss &amp; DCCE",BL7="Incurred - Loss &amp; DCCE"),"N/A",IF(BL8="Paid - DCCE Dollar",BR17,IF(BL8="Paid - DCCE (by Ratio)",BR18,IF(BL8="Incurred - DCCE Dollar",BR19,IF(BL8="Incurred - DCCE (by Ratio)",BR20,"")))))</f>
        <v>58150.8473434849</v>
      </c>
      <c r="BS21" s="147">
        <f>IF(OR(BL7="Paid - Loss &amp; DCCE",BL7="Incurred - Loss &amp; DCCE"),"N/A",IF(BL8="Paid - DCCE Dollar",BS17,IF(BL8="Paid - DCCE (by Ratio)",BS18,IF(BL8="Incurred - DCCE Dollar",BS19,IF(BL8="Incurred - DCCE (by Ratio)",BS20,"")))))</f>
        <v>13598.93815220756</v>
      </c>
      <c r="BT21" s="147">
        <f>IF(OR(BL7="Paid - Loss &amp; DCCE",BL7="Incurred - Loss &amp; DCCE"),"N/A",IF(BL8="Paid - DCCE Dollar",BT17,IF(BL8="Paid - DCCE (by Ratio)",BT18,IF(BL8="Incurred - DCCE Dollar",BT19,IF(BL8="Incurred - DCCE (by Ratio)",BT20,"")))))</f>
        <v>14357.781193864585</v>
      </c>
      <c r="BU21" s="282" t="s">
        <v>40</v>
      </c>
      <c r="BV21" s="68"/>
      <c r="BW21" s="147">
        <f>IF(OR(BX7="Paid - Loss &amp; DCCE",BX7="Incurred - Loss &amp; DCCE"),"N/A",IF(BX8="Paid - DCCE Dollar",BW17,IF(BX8="Paid - DCCE (by Ratio)",BW18,IF(BX8="Incurred - DCCE Dollar",BW19,IF(BX8="Incurred - DCCE (by Ratio)",BW20,"")))))</f>
        <v>4507.5200000000004</v>
      </c>
      <c r="BX21" s="147">
        <f>IF(OR(BX7="Paid - Loss &amp; DCCE",BX7="Incurred - Loss &amp; DCCE"),"N/A",IF(BX8="Paid - DCCE Dollar",BX17,IF(BX8="Paid - DCCE (by Ratio)",BX18,IF(BX8="Incurred - DCCE Dollar",BX19,IF(BX8="Incurred - DCCE (by Ratio)",BX20,"")))))</f>
        <v>510.54999999999995</v>
      </c>
      <c r="BY21" s="147">
        <f>IF(OR(BX7="Paid - Loss &amp; DCCE",BX7="Incurred - Loss &amp; DCCE"),"N/A",IF(BX8="Paid - DCCE Dollar",BY17,IF(BX8="Paid - DCCE (by Ratio)",BY18,IF(BX8="Incurred - DCCE Dollar",BY19,IF(BX8="Incurred - DCCE (by Ratio)",BY20,"")))))</f>
        <v>10195.769999999999</v>
      </c>
      <c r="BZ21" s="147">
        <f>IF(OR(BX7="Paid - Loss &amp; DCCE",BX7="Incurred - Loss &amp; DCCE"),"N/A",IF(BX8="Paid - DCCE Dollar",BZ17,IF(BX8="Paid - DCCE (by Ratio)",BZ18,IF(BX8="Incurred - DCCE Dollar",BZ19,IF(BX8="Incurred - DCCE (by Ratio)",BZ20,"")))))</f>
        <v>0</v>
      </c>
      <c r="CA21" s="147">
        <f>IF(OR(BX7="Paid - Loss &amp; DCCE",BX7="Incurred - Loss &amp; DCCE"),"N/A",IF(BX8="Paid - DCCE Dollar",CA17,IF(BX8="Paid - DCCE (by Ratio)",CA18,IF(BX8="Incurred - DCCE Dollar",CA19,IF(BX8="Incurred - DCCE (by Ratio)",CA20,"")))))</f>
        <v>0</v>
      </c>
      <c r="CB21" s="147">
        <f>IF(OR(BX7="Paid - Loss &amp; DCCE",BX7="Incurred - Loss &amp; DCCE"),"N/A",IF(BX8="Paid - DCCE Dollar",CB17,IF(BX8="Paid - DCCE (by Ratio)",CB18,IF(BX8="Incurred - DCCE Dollar",CB19,IF(BX8="Incurred - DCCE (by Ratio)",CB20,"")))))</f>
        <v>7982</v>
      </c>
      <c r="CC21" s="147">
        <f>IF(OR(BX7="Paid - Loss &amp; DCCE",BX7="Incurred - Loss &amp; DCCE"),"N/A",IF(BX8="Paid - DCCE Dollar",CC17,IF(BX8="Paid - DCCE (by Ratio)",CC18,IF(BX8="Incurred - DCCE Dollar",CC19,IF(BX8="Incurred - DCCE (by Ratio)",CC20,"")))))</f>
        <v>-1.1368683772161603E-13</v>
      </c>
      <c r="CD21" s="147">
        <f>IF(OR(BX7="Paid - Loss &amp; DCCE",BX7="Incurred - Loss &amp; DCCE"),"N/A",IF(BX8="Paid - DCCE Dollar",CD17,IF(BX8="Paid - DCCE (by Ratio)",CD18,IF(BX8="Incurred - DCCE Dollar",CD19,IF(BX8="Incurred - DCCE (by Ratio)",CD20,"")))))</f>
        <v>24.9</v>
      </c>
      <c r="CE21" s="147">
        <f>IF(OR(BX7="Paid - Loss &amp; DCCE",BX7="Incurred - Loss &amp; DCCE"),"N/A",IF(BX8="Paid - DCCE Dollar",CE17,IF(BX8="Paid - DCCE (by Ratio)",CE18,IF(BX8="Incurred - DCCE Dollar",CE19,IF(BX8="Incurred - DCCE (by Ratio)",CE20,"")))))</f>
        <v>35</v>
      </c>
      <c r="CF21" s="147">
        <f>IF(OR(BX7="Paid - Loss &amp; DCCE",BX7="Incurred - Loss &amp; DCCE"),"N/A",IF(BX8="Paid - DCCE Dollar",CF17,IF(BX8="Paid - DCCE (by Ratio)",CF18,IF(BX8="Incurred - DCCE Dollar",CF19,IF(BX8="Incurred - DCCE (by Ratio)",CF20,"")))))</f>
        <v>0</v>
      </c>
      <c r="CG21" s="282" t="s">
        <v>40</v>
      </c>
      <c r="CH21" s="68"/>
      <c r="CI21" s="147" t="str">
        <f>IF(OR(CJ7="Paid - Loss &amp; DCCE",CJ7="Incurred - Loss &amp; DCCE"),"N/A",IF(CJ8="Paid - DCCE Dollar",CI17,IF(CJ8="Paid - DCCE (by Ratio)",CI18,IF(CJ8="Incurred - DCCE Dollar",CI19,IF(CJ8="Incurred - DCCE (by Ratio)",CI20,"")))))</f>
        <v/>
      </c>
      <c r="CJ21" s="147" t="str">
        <f>IF(OR(CJ7="Paid - Loss &amp; DCCE",CJ7="Incurred - Loss &amp; DCCE"),"N/A",IF(CJ8="Paid - DCCE Dollar",CJ17,IF(CJ8="Paid - DCCE (by Ratio)",CJ18,IF(CJ8="Incurred - DCCE Dollar",CJ19,IF(CJ8="Incurred - DCCE (by Ratio)",CJ20,"")))))</f>
        <v/>
      </c>
      <c r="CK21" s="147" t="str">
        <f>IF(OR(CJ7="Paid - Loss &amp; DCCE",CJ7="Incurred - Loss &amp; DCCE"),"N/A",IF(CJ8="Paid - DCCE Dollar",CK17,IF(CJ8="Paid - DCCE (by Ratio)",CK18,IF(CJ8="Incurred - DCCE Dollar",CK19,IF(CJ8="Incurred - DCCE (by Ratio)",CK20,"")))))</f>
        <v/>
      </c>
      <c r="CL21" s="147" t="str">
        <f>IF(OR(CJ7="Paid - Loss &amp; DCCE",CJ7="Incurred - Loss &amp; DCCE"),"N/A",IF(CJ8="Paid - DCCE Dollar",CL17,IF(CJ8="Paid - DCCE (by Ratio)",CL18,IF(CJ8="Incurred - DCCE Dollar",CL19,IF(CJ8="Incurred - DCCE (by Ratio)",CL20,"")))))</f>
        <v/>
      </c>
      <c r="CM21" s="147" t="str">
        <f>IF(OR(CJ7="Paid - Loss &amp; DCCE",CJ7="Incurred - Loss &amp; DCCE"),"N/A",IF(CJ8="Paid - DCCE Dollar",CM17,IF(CJ8="Paid - DCCE (by Ratio)",CM18,IF(CJ8="Incurred - DCCE Dollar",CM19,IF(CJ8="Incurred - DCCE (by Ratio)",CM20,"")))))</f>
        <v/>
      </c>
      <c r="CN21" s="147" t="str">
        <f>IF(OR(CJ7="Paid - Loss &amp; DCCE",CJ7="Incurred - Loss &amp; DCCE"),"N/A",IF(CJ8="Paid - DCCE Dollar",CN17,IF(CJ8="Paid - DCCE (by Ratio)",CN18,IF(CJ8="Incurred - DCCE Dollar",CN19,IF(CJ8="Incurred - DCCE (by Ratio)",CN20,"")))))</f>
        <v/>
      </c>
      <c r="CO21" s="147" t="str">
        <f>IF(OR(CJ7="Paid - Loss &amp; DCCE",CJ7="Incurred - Loss &amp; DCCE"),"N/A",IF(CJ8="Paid - DCCE Dollar",CO17,IF(CJ8="Paid - DCCE (by Ratio)",CO18,IF(CJ8="Incurred - DCCE Dollar",CO19,IF(CJ8="Incurred - DCCE (by Ratio)",CO20,"")))))</f>
        <v/>
      </c>
      <c r="CP21" s="147" t="str">
        <f>IF(OR(CJ7="Paid - Loss &amp; DCCE",CJ7="Incurred - Loss &amp; DCCE"),"N/A",IF(CJ8="Paid - DCCE Dollar",CP17,IF(CJ8="Paid - DCCE (by Ratio)",CP18,IF(CJ8="Incurred - DCCE Dollar",CP19,IF(CJ8="Incurred - DCCE (by Ratio)",CP20,"")))))</f>
        <v/>
      </c>
      <c r="CQ21" s="147" t="str">
        <f>IF(OR(CJ7="Paid - Loss &amp; DCCE",CJ7="Incurred - Loss &amp; DCCE"),"N/A",IF(CJ8="Paid - DCCE Dollar",CQ17,IF(CJ8="Paid - DCCE (by Ratio)",CQ18,IF(CJ8="Incurred - DCCE Dollar",CQ19,IF(CJ8="Incurred - DCCE (by Ratio)",CQ20,"")))))</f>
        <v/>
      </c>
      <c r="CR21" s="147" t="str">
        <f>IF(OR(CJ7="Paid - Loss &amp; DCCE",CJ7="Incurred - Loss &amp; DCCE"),"N/A",IF(CJ8="Paid - DCCE Dollar",CR17,IF(CJ8="Paid - DCCE (by Ratio)",CR18,IF(CJ8="Incurred - DCCE Dollar",CR19,IF(CJ8="Incurred - DCCE (by Ratio)",CR20,"")))))</f>
        <v/>
      </c>
      <c r="CS21" s="282"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2"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0"/>
      <c r="B22" s="68"/>
      <c r="C22" s="144"/>
      <c r="D22" s="144"/>
      <c r="E22" s="144"/>
      <c r="F22" s="144"/>
      <c r="G22" s="144"/>
      <c r="H22" s="144"/>
      <c r="I22" s="144"/>
      <c r="J22" s="144"/>
      <c r="K22" s="144"/>
      <c r="L22" s="144"/>
      <c r="M22" s="280"/>
      <c r="N22" s="68"/>
      <c r="O22" s="144"/>
      <c r="P22" s="144"/>
      <c r="Q22" s="144"/>
      <c r="R22" s="144"/>
      <c r="S22" s="144"/>
      <c r="T22" s="144"/>
      <c r="U22" s="144"/>
      <c r="V22" s="144"/>
      <c r="W22" s="144"/>
      <c r="X22" s="144"/>
      <c r="Y22" s="280"/>
      <c r="Z22" s="68"/>
      <c r="AA22" s="144"/>
      <c r="AB22" s="144"/>
      <c r="AC22" s="144"/>
      <c r="AD22" s="144"/>
      <c r="AE22" s="144"/>
      <c r="AF22" s="144"/>
      <c r="AG22" s="144"/>
      <c r="AH22" s="144"/>
      <c r="AI22" s="144"/>
      <c r="AJ22" s="144"/>
      <c r="AK22" s="280"/>
      <c r="AL22" s="68"/>
      <c r="AM22" s="144"/>
      <c r="AN22" s="144"/>
      <c r="AO22" s="144"/>
      <c r="AP22" s="144"/>
      <c r="AQ22" s="144"/>
      <c r="AR22" s="144"/>
      <c r="AS22" s="144"/>
      <c r="AT22" s="144"/>
      <c r="AU22" s="144"/>
      <c r="AV22" s="144"/>
      <c r="AW22" s="280"/>
      <c r="AX22" s="68"/>
      <c r="AY22" s="144"/>
      <c r="AZ22" s="144"/>
      <c r="BA22" s="144"/>
      <c r="BB22" s="144"/>
      <c r="BC22" s="144"/>
      <c r="BD22" s="144"/>
      <c r="BE22" s="144"/>
      <c r="BF22" s="144"/>
      <c r="BG22" s="144"/>
      <c r="BH22" s="144"/>
      <c r="BI22" s="280"/>
      <c r="BJ22" s="68"/>
      <c r="BK22" s="144"/>
      <c r="BL22" s="144"/>
      <c r="BM22" s="144"/>
      <c r="BN22" s="144"/>
      <c r="BO22" s="144"/>
      <c r="BP22" s="144"/>
      <c r="BQ22" s="144"/>
      <c r="BR22" s="144"/>
      <c r="BS22" s="144"/>
      <c r="BT22" s="144"/>
      <c r="BU22" s="280"/>
      <c r="BV22" s="68"/>
      <c r="BW22" s="144"/>
      <c r="BX22" s="144"/>
      <c r="BY22" s="144"/>
      <c r="BZ22" s="144"/>
      <c r="CA22" s="144"/>
      <c r="CB22" s="144"/>
      <c r="CC22" s="144"/>
      <c r="CD22" s="144"/>
      <c r="CE22" s="144"/>
      <c r="CF22" s="144"/>
      <c r="CG22" s="280"/>
      <c r="CH22" s="68"/>
      <c r="CI22" s="144"/>
      <c r="CJ22" s="144"/>
      <c r="CK22" s="144"/>
      <c r="CL22" s="144"/>
      <c r="CM22" s="144"/>
      <c r="CN22" s="144"/>
      <c r="CO22" s="144"/>
      <c r="CP22" s="144"/>
      <c r="CQ22" s="144"/>
      <c r="CR22" s="144"/>
      <c r="CS22" s="280"/>
      <c r="CT22" s="68"/>
      <c r="CU22" s="144"/>
      <c r="CV22" s="144"/>
      <c r="CW22" s="144"/>
      <c r="CX22" s="144"/>
      <c r="CY22" s="144"/>
      <c r="CZ22" s="144"/>
      <c r="DA22" s="144"/>
      <c r="DB22" s="144"/>
      <c r="DC22" s="144"/>
      <c r="DD22" s="144"/>
      <c r="DE22" s="280"/>
      <c r="DF22" s="68"/>
      <c r="DG22" s="144"/>
      <c r="DH22" s="144"/>
      <c r="DI22" s="144"/>
      <c r="DJ22" s="144"/>
      <c r="DK22" s="144"/>
      <c r="DL22" s="144"/>
      <c r="DM22" s="144"/>
      <c r="DN22" s="144"/>
      <c r="DO22" s="144"/>
      <c r="DP22" s="144"/>
    </row>
    <row r="23" spans="1:120" ht="15" customHeight="1" x14ac:dyDescent="0.35">
      <c r="A23" s="280"/>
      <c r="B23" s="68"/>
      <c r="C23" s="40" t="str">
        <f>$A$35</f>
        <v>Fiscal Accident Year Data Ending</v>
      </c>
      <c r="D23" s="150"/>
      <c r="E23" s="151"/>
      <c r="F23" s="19"/>
      <c r="G23" s="151"/>
      <c r="H23" s="151"/>
      <c r="I23" s="150"/>
      <c r="J23" s="151"/>
      <c r="K23" s="151"/>
      <c r="L23" s="151"/>
      <c r="M23" s="280"/>
      <c r="N23" s="68"/>
      <c r="O23" s="40" t="str">
        <f>$A$35</f>
        <v>Fiscal Accident Year Data Ending</v>
      </c>
      <c r="P23" s="150"/>
      <c r="Q23" s="151"/>
      <c r="R23" s="19"/>
      <c r="S23" s="151"/>
      <c r="T23" s="151"/>
      <c r="U23" s="150"/>
      <c r="V23" s="151"/>
      <c r="W23" s="151"/>
      <c r="X23" s="151"/>
      <c r="Y23" s="280"/>
      <c r="Z23" s="68"/>
      <c r="AA23" s="40" t="str">
        <f>$A$35</f>
        <v>Fiscal Accident Year Data Ending</v>
      </c>
      <c r="AB23" s="150"/>
      <c r="AC23" s="151"/>
      <c r="AD23" s="19"/>
      <c r="AE23" s="151"/>
      <c r="AF23" s="151"/>
      <c r="AG23" s="150"/>
      <c r="AH23" s="151"/>
      <c r="AI23" s="151"/>
      <c r="AJ23" s="151"/>
      <c r="AK23" s="280"/>
      <c r="AL23" s="68"/>
      <c r="AM23" s="40" t="str">
        <f>$A$35</f>
        <v>Fiscal Accident Year Data Ending</v>
      </c>
      <c r="AN23" s="150"/>
      <c r="AO23" s="151"/>
      <c r="AP23" s="19"/>
      <c r="AQ23" s="151"/>
      <c r="AR23" s="151"/>
      <c r="AS23" s="150"/>
      <c r="AT23" s="151"/>
      <c r="AU23" s="151"/>
      <c r="AV23" s="151"/>
      <c r="AW23" s="280"/>
      <c r="AX23" s="68"/>
      <c r="AY23" s="40" t="str">
        <f>$A$35</f>
        <v>Fiscal Accident Year Data Ending</v>
      </c>
      <c r="AZ23" s="150"/>
      <c r="BA23" s="151"/>
      <c r="BB23" s="19"/>
      <c r="BC23" s="151"/>
      <c r="BD23" s="151"/>
      <c r="BE23" s="150"/>
      <c r="BF23" s="151"/>
      <c r="BG23" s="151"/>
      <c r="BH23" s="151"/>
      <c r="BI23" s="280"/>
      <c r="BJ23" s="68"/>
      <c r="BK23" s="40" t="str">
        <f>$A$35</f>
        <v>Fiscal Accident Year Data Ending</v>
      </c>
      <c r="BL23" s="150"/>
      <c r="BM23" s="151"/>
      <c r="BN23" s="19"/>
      <c r="BO23" s="151"/>
      <c r="BP23" s="151"/>
      <c r="BQ23" s="150"/>
      <c r="BR23" s="151"/>
      <c r="BS23" s="151"/>
      <c r="BT23" s="151"/>
      <c r="BU23" s="280"/>
      <c r="BV23" s="68"/>
      <c r="BW23" s="40" t="str">
        <f>$A$35</f>
        <v>Fiscal Accident Year Data Ending</v>
      </c>
      <c r="BX23" s="150"/>
      <c r="BY23" s="151"/>
      <c r="BZ23" s="19"/>
      <c r="CA23" s="151"/>
      <c r="CB23" s="151"/>
      <c r="CC23" s="150"/>
      <c r="CD23" s="151"/>
      <c r="CE23" s="151"/>
      <c r="CF23" s="151"/>
      <c r="CG23" s="280"/>
      <c r="CH23" s="68"/>
      <c r="CI23" s="40" t="str">
        <f>$A$35</f>
        <v>Fiscal Accident Year Data Ending</v>
      </c>
      <c r="CJ23" s="150"/>
      <c r="CK23" s="151"/>
      <c r="CL23" s="19"/>
      <c r="CM23" s="151"/>
      <c r="CN23" s="151"/>
      <c r="CO23" s="150"/>
      <c r="CP23" s="151"/>
      <c r="CQ23" s="151"/>
      <c r="CR23" s="151"/>
      <c r="CS23" s="280"/>
      <c r="CT23" s="68"/>
      <c r="CU23" s="40" t="str">
        <f>$A$35</f>
        <v>Fiscal Accident Year Data Ending</v>
      </c>
      <c r="CV23" s="150"/>
      <c r="CW23" s="151"/>
      <c r="CX23" s="19"/>
      <c r="CY23" s="151"/>
      <c r="CZ23" s="151"/>
      <c r="DA23" s="150"/>
      <c r="DB23" s="151"/>
      <c r="DC23" s="151"/>
      <c r="DD23" s="151"/>
      <c r="DE23" s="280"/>
      <c r="DF23" s="68"/>
      <c r="DG23" s="40" t="str">
        <f>$A$35</f>
        <v>Fiscal Accident Year Data Ending</v>
      </c>
      <c r="DH23" s="150"/>
      <c r="DI23" s="151"/>
      <c r="DJ23" s="19"/>
      <c r="DK23" s="151"/>
      <c r="DL23" s="151"/>
      <c r="DM23" s="150"/>
      <c r="DN23" s="151"/>
      <c r="DO23" s="151"/>
      <c r="DP23" s="151"/>
    </row>
    <row r="24" spans="1:120" ht="15" customHeight="1" x14ac:dyDescent="0.25">
      <c r="A24" s="281" t="s">
        <v>56</v>
      </c>
      <c r="B24" s="145"/>
      <c r="C24" s="62">
        <f>$C$11</f>
        <v>20133</v>
      </c>
      <c r="D24" s="62">
        <f>$D$11</f>
        <v>20143</v>
      </c>
      <c r="E24" s="62">
        <f>$E$11</f>
        <v>20153</v>
      </c>
      <c r="F24" s="62">
        <f>$F$11</f>
        <v>20163</v>
      </c>
      <c r="G24" s="62">
        <f>$G$11</f>
        <v>20173</v>
      </c>
      <c r="H24" s="62">
        <f>$H$11</f>
        <v>20183</v>
      </c>
      <c r="I24" s="62">
        <f>$I$11</f>
        <v>20193</v>
      </c>
      <c r="J24" s="62">
        <f>$J$11</f>
        <v>20203</v>
      </c>
      <c r="K24" s="62">
        <f>$K$11</f>
        <v>20213</v>
      </c>
      <c r="L24" s="62">
        <f>$L$11</f>
        <v>20223</v>
      </c>
      <c r="M24" s="281" t="s">
        <v>56</v>
      </c>
      <c r="N24" s="145"/>
      <c r="O24" s="62">
        <f>$C$11</f>
        <v>20133</v>
      </c>
      <c r="P24" s="62">
        <f>$D$11</f>
        <v>20143</v>
      </c>
      <c r="Q24" s="62">
        <f>$E$11</f>
        <v>20153</v>
      </c>
      <c r="R24" s="62">
        <f>$F$11</f>
        <v>20163</v>
      </c>
      <c r="S24" s="62">
        <f>$G$11</f>
        <v>20173</v>
      </c>
      <c r="T24" s="62">
        <f>$H$11</f>
        <v>20183</v>
      </c>
      <c r="U24" s="62">
        <f>$I$11</f>
        <v>20193</v>
      </c>
      <c r="V24" s="62">
        <f>$J$11</f>
        <v>20203</v>
      </c>
      <c r="W24" s="62">
        <f>$K$11</f>
        <v>20213</v>
      </c>
      <c r="X24" s="62">
        <f>$L$11</f>
        <v>20223</v>
      </c>
      <c r="Y24" s="281" t="s">
        <v>56</v>
      </c>
      <c r="Z24" s="145"/>
      <c r="AA24" s="62">
        <f>$C$11</f>
        <v>20133</v>
      </c>
      <c r="AB24" s="62">
        <f>$D$11</f>
        <v>20143</v>
      </c>
      <c r="AC24" s="62">
        <f>$E$11</f>
        <v>20153</v>
      </c>
      <c r="AD24" s="62">
        <f>$F$11</f>
        <v>20163</v>
      </c>
      <c r="AE24" s="62">
        <f>$G$11</f>
        <v>20173</v>
      </c>
      <c r="AF24" s="62">
        <f>$H$11</f>
        <v>20183</v>
      </c>
      <c r="AG24" s="62">
        <f>$I$11</f>
        <v>20193</v>
      </c>
      <c r="AH24" s="62">
        <f>$J$11</f>
        <v>20203</v>
      </c>
      <c r="AI24" s="62">
        <f>$K$11</f>
        <v>20213</v>
      </c>
      <c r="AJ24" s="62">
        <f>$L$11</f>
        <v>20223</v>
      </c>
      <c r="AK24" s="281" t="s">
        <v>56</v>
      </c>
      <c r="AL24" s="145"/>
      <c r="AM24" s="62">
        <f>$C$11</f>
        <v>20133</v>
      </c>
      <c r="AN24" s="62">
        <f>$D$11</f>
        <v>20143</v>
      </c>
      <c r="AO24" s="62">
        <f>$E$11</f>
        <v>20153</v>
      </c>
      <c r="AP24" s="62">
        <f>$F$11</f>
        <v>20163</v>
      </c>
      <c r="AQ24" s="62">
        <f>$G$11</f>
        <v>20173</v>
      </c>
      <c r="AR24" s="62">
        <f>$H$11</f>
        <v>20183</v>
      </c>
      <c r="AS24" s="62">
        <f>$I$11</f>
        <v>20193</v>
      </c>
      <c r="AT24" s="62">
        <f>$J$11</f>
        <v>20203</v>
      </c>
      <c r="AU24" s="62">
        <f>$K$11</f>
        <v>20213</v>
      </c>
      <c r="AV24" s="62">
        <f>$L$11</f>
        <v>20223</v>
      </c>
      <c r="AW24" s="281" t="s">
        <v>56</v>
      </c>
      <c r="AX24" s="145"/>
      <c r="AY24" s="62">
        <f>$C$11</f>
        <v>20133</v>
      </c>
      <c r="AZ24" s="62">
        <f>$D$11</f>
        <v>20143</v>
      </c>
      <c r="BA24" s="62">
        <f>$E$11</f>
        <v>20153</v>
      </c>
      <c r="BB24" s="62">
        <f>$F$11</f>
        <v>20163</v>
      </c>
      <c r="BC24" s="62">
        <f>$G$11</f>
        <v>20173</v>
      </c>
      <c r="BD24" s="62">
        <f>$H$11</f>
        <v>20183</v>
      </c>
      <c r="BE24" s="62">
        <f>$I$11</f>
        <v>20193</v>
      </c>
      <c r="BF24" s="62">
        <f>$J$11</f>
        <v>20203</v>
      </c>
      <c r="BG24" s="62">
        <f>$K$11</f>
        <v>20213</v>
      </c>
      <c r="BH24" s="62">
        <f>$L$11</f>
        <v>20223</v>
      </c>
      <c r="BI24" s="281" t="s">
        <v>56</v>
      </c>
      <c r="BJ24" s="145"/>
      <c r="BK24" s="62">
        <f>$C$11</f>
        <v>20133</v>
      </c>
      <c r="BL24" s="62">
        <f>$D$11</f>
        <v>20143</v>
      </c>
      <c r="BM24" s="62">
        <f>$E$11</f>
        <v>20153</v>
      </c>
      <c r="BN24" s="62">
        <f>$F$11</f>
        <v>20163</v>
      </c>
      <c r="BO24" s="62">
        <f>$G$11</f>
        <v>20173</v>
      </c>
      <c r="BP24" s="62">
        <f>$H$11</f>
        <v>20183</v>
      </c>
      <c r="BQ24" s="62">
        <f>$I$11</f>
        <v>20193</v>
      </c>
      <c r="BR24" s="62">
        <f>$J$11</f>
        <v>20203</v>
      </c>
      <c r="BS24" s="62">
        <f>$K$11</f>
        <v>20213</v>
      </c>
      <c r="BT24" s="62">
        <f>$L$11</f>
        <v>20223</v>
      </c>
      <c r="BU24" s="281" t="s">
        <v>56</v>
      </c>
      <c r="BV24" s="145"/>
      <c r="BW24" s="62">
        <f>$C$11</f>
        <v>20133</v>
      </c>
      <c r="BX24" s="62">
        <f>$D$11</f>
        <v>20143</v>
      </c>
      <c r="BY24" s="62">
        <f>$E$11</f>
        <v>20153</v>
      </c>
      <c r="BZ24" s="62">
        <f>$F$11</f>
        <v>20163</v>
      </c>
      <c r="CA24" s="62">
        <f>$G$11</f>
        <v>20173</v>
      </c>
      <c r="CB24" s="62">
        <f>$H$11</f>
        <v>20183</v>
      </c>
      <c r="CC24" s="62">
        <f>$I$11</f>
        <v>20193</v>
      </c>
      <c r="CD24" s="62">
        <f>$J$11</f>
        <v>20203</v>
      </c>
      <c r="CE24" s="62">
        <f>$K$11</f>
        <v>20213</v>
      </c>
      <c r="CF24" s="62">
        <f>$L$11</f>
        <v>20223</v>
      </c>
      <c r="CG24" s="281" t="s">
        <v>56</v>
      </c>
      <c r="CH24" s="145"/>
      <c r="CI24" s="62">
        <f>$C$11</f>
        <v>20133</v>
      </c>
      <c r="CJ24" s="62">
        <f>$D$11</f>
        <v>20143</v>
      </c>
      <c r="CK24" s="62">
        <f>$E$11</f>
        <v>20153</v>
      </c>
      <c r="CL24" s="62">
        <f>$F$11</f>
        <v>20163</v>
      </c>
      <c r="CM24" s="62">
        <f>$G$11</f>
        <v>20173</v>
      </c>
      <c r="CN24" s="62">
        <f>$H$11</f>
        <v>20183</v>
      </c>
      <c r="CO24" s="62">
        <f>$I$11</f>
        <v>20193</v>
      </c>
      <c r="CP24" s="62">
        <f>$J$11</f>
        <v>20203</v>
      </c>
      <c r="CQ24" s="62">
        <f>$K$11</f>
        <v>20213</v>
      </c>
      <c r="CR24" s="62">
        <f>$L$11</f>
        <v>20223</v>
      </c>
      <c r="CS24" s="281" t="s">
        <v>56</v>
      </c>
      <c r="CT24" s="145"/>
      <c r="CU24" s="62">
        <f>$C$11</f>
        <v>20133</v>
      </c>
      <c r="CV24" s="62">
        <f>$D$11</f>
        <v>20143</v>
      </c>
      <c r="CW24" s="62">
        <f>$E$11</f>
        <v>20153</v>
      </c>
      <c r="CX24" s="62">
        <f>$F$11</f>
        <v>20163</v>
      </c>
      <c r="CY24" s="62">
        <f>$G$11</f>
        <v>20173</v>
      </c>
      <c r="CZ24" s="62">
        <f>$H$11</f>
        <v>20183</v>
      </c>
      <c r="DA24" s="62">
        <f>$I$11</f>
        <v>20193</v>
      </c>
      <c r="DB24" s="62">
        <f>$J$11</f>
        <v>20203</v>
      </c>
      <c r="DC24" s="62">
        <f>$K$11</f>
        <v>20213</v>
      </c>
      <c r="DD24" s="62">
        <f>$L$11</f>
        <v>20223</v>
      </c>
      <c r="DE24" s="281" t="s">
        <v>56</v>
      </c>
      <c r="DF24" s="145"/>
      <c r="DG24" s="62">
        <f>$C$11</f>
        <v>20133</v>
      </c>
      <c r="DH24" s="62">
        <f>$D$11</f>
        <v>20143</v>
      </c>
      <c r="DI24" s="62">
        <f>$E$11</f>
        <v>20153</v>
      </c>
      <c r="DJ24" s="62">
        <f>$F$11</f>
        <v>20163</v>
      </c>
      <c r="DK24" s="62">
        <f>$G$11</f>
        <v>20173</v>
      </c>
      <c r="DL24" s="62">
        <f>$H$11</f>
        <v>20183</v>
      </c>
      <c r="DM24" s="62">
        <f>$I$11</f>
        <v>20193</v>
      </c>
      <c r="DN24" s="62">
        <f>$J$11</f>
        <v>20203</v>
      </c>
      <c r="DO24" s="62">
        <f>$K$11</f>
        <v>20213</v>
      </c>
      <c r="DP24" s="62">
        <f>$L$11</f>
        <v>20223</v>
      </c>
    </row>
    <row r="25" spans="1:120" ht="15" customHeight="1" x14ac:dyDescent="0.25">
      <c r="A25" s="283"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1.0000981198346177</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1.0000903348558003</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1.0006627329621329</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1.0023439488021764</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1.0129599025847467</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1.033628136241618</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1.0785219757884481</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1.163377151552349</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1.3975617987971174</v>
      </c>
      <c r="M25" s="283" t="str">
        <f>IF(OR(P7="Paid - Loss &amp; DCCE",P7="Incurred - Loss &amp; DCCE"),"Loss &amp; DCCE","Loss")</f>
        <v>Loss</v>
      </c>
      <c r="N25" s="148"/>
      <c r="O25" s="149">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49">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0.99996832407131842</v>
      </c>
      <c r="Q25" s="149">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0.99989891193655733</v>
      </c>
      <c r="R25" s="149">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1.0005003381127071</v>
      </c>
      <c r="S25" s="149">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1.0013637936552136</v>
      </c>
      <c r="T25" s="149">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1.001847517625543</v>
      </c>
      <c r="U25" s="149">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1.0030365570135733</v>
      </c>
      <c r="V25" s="149">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1.0095502408974086</v>
      </c>
      <c r="W25" s="149">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1.0544303189102615</v>
      </c>
      <c r="X25" s="149">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1.3942162442515211</v>
      </c>
      <c r="Y25" s="283" t="str">
        <f>IF(OR(AB7="Paid - Loss &amp; DCCE",AB7="Incurred - Loss &amp; DCCE"),"Loss &amp; DCCE","Loss")</f>
        <v>Loss</v>
      </c>
      <c r="Z25" s="148"/>
      <c r="AA25" s="149">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1</v>
      </c>
      <c r="AB25" s="149">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1.0016004764112982</v>
      </c>
      <c r="AC25" s="149">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1.002210843570192</v>
      </c>
      <c r="AD25" s="149">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1.0045376191312838</v>
      </c>
      <c r="AE25" s="149">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1.0084025302311412</v>
      </c>
      <c r="AF25" s="149">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1.0215483456815679</v>
      </c>
      <c r="AG25" s="149">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1.0446698307807663</v>
      </c>
      <c r="AH25" s="149">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1.104043147293752</v>
      </c>
      <c r="AI25" s="149">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1.2813758622824882</v>
      </c>
      <c r="AJ25" s="149">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2.0095490930065942</v>
      </c>
      <c r="AK25" s="283" t="str">
        <f>IF(OR(AN7="Paid - Loss &amp; DCCE",AN7="Incurred - Loss &amp; DCCE"),"Loss &amp; DCCE","Loss")</f>
        <v>Loss</v>
      </c>
      <c r="AL25" s="148"/>
      <c r="AM25" s="149">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1</v>
      </c>
      <c r="AN25" s="149">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1.0000092425007039</v>
      </c>
      <c r="AO25" s="149">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0.99997828472661832</v>
      </c>
      <c r="AP25" s="149">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1.0000009397396554</v>
      </c>
      <c r="AQ25" s="149">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1.0000864018410176</v>
      </c>
      <c r="AR25" s="149">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1.0002173780026324</v>
      </c>
      <c r="AS25" s="149">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1.0003051755485504</v>
      </c>
      <c r="AT25" s="149">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1.0007796882976763</v>
      </c>
      <c r="AU25" s="149">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1.0009051343993212</v>
      </c>
      <c r="AV25" s="149">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1.0100095894028551</v>
      </c>
      <c r="AW25" s="283" t="str">
        <f>IF(OR(AZ7="Paid - Loss &amp; DCCE",AZ7="Incurred - Loss &amp; DCCE"),"Loss &amp; DCCE","Loss")</f>
        <v>Loss</v>
      </c>
      <c r="AX25" s="148"/>
      <c r="AY25" s="149">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1</v>
      </c>
      <c r="AZ25" s="149">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0.99983689567076439</v>
      </c>
      <c r="BA25" s="149">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0.99971229336698575</v>
      </c>
      <c r="BB25" s="149">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0.99955691244636657</v>
      </c>
      <c r="BC25" s="149">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0.99943475417339167</v>
      </c>
      <c r="BD25" s="149">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0.99916501927247658</v>
      </c>
      <c r="BE25" s="149">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0.99827333514629191</v>
      </c>
      <c r="BF25" s="149">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0.99542465813775816</v>
      </c>
      <c r="BG25" s="149">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0.98919321931460236</v>
      </c>
      <c r="BH25" s="149">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0.94566315234638454</v>
      </c>
      <c r="BI25" s="283" t="str">
        <f>IF(OR(BL7="Paid - Loss &amp; DCCE",BL7="Incurred - Loss &amp; DCCE"),"Loss &amp; DCCE","Loss")</f>
        <v>Loss</v>
      </c>
      <c r="BJ25" s="148"/>
      <c r="BK25" s="149">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1</v>
      </c>
      <c r="BL25" s="149">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0.99995142918498992</v>
      </c>
      <c r="BM25" s="149">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0.99992895940313653</v>
      </c>
      <c r="BN25" s="149">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0.99992707468433673</v>
      </c>
      <c r="BO25" s="149">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0.99992120126271189</v>
      </c>
      <c r="BP25" s="149">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0.99991431607218373</v>
      </c>
      <c r="BQ25" s="149">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0.99998987150101182</v>
      </c>
      <c r="BR25" s="149">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1.0002304326834397</v>
      </c>
      <c r="BS25" s="149">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1.000428337041994</v>
      </c>
      <c r="BT25" s="149">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0.99052870177856944</v>
      </c>
      <c r="BU25" s="283" t="str">
        <f>IF(OR(BX7="Paid - Loss &amp; DCCE",BX7="Incurred - Loss &amp; DCCE"),"Loss &amp; DCCE","Loss")</f>
        <v>Loss</v>
      </c>
      <c r="BV25" s="148"/>
      <c r="BW25" s="149">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1</v>
      </c>
      <c r="BX25" s="149">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1</v>
      </c>
      <c r="BY25" s="149">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1</v>
      </c>
      <c r="BZ25" s="149">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1</v>
      </c>
      <c r="CA25" s="149">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1</v>
      </c>
      <c r="CB25" s="149">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1</v>
      </c>
      <c r="CC25" s="149">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1.0072113006272967</v>
      </c>
      <c r="CD25" s="149">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1.0069860331387228</v>
      </c>
      <c r="CE25" s="149">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1.0334049853541087</v>
      </c>
      <c r="CF25" s="149">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1.0448779955941625</v>
      </c>
      <c r="CG25" s="283" t="str">
        <f>IF(OR(CJ7="Paid - Loss &amp; DCCE",CJ7="Incurred - Loss &amp; DCCE"),"Loss &amp; DCCE","Loss")</f>
        <v>Loss</v>
      </c>
      <c r="CH25" s="148"/>
      <c r="CI25" s="149"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49"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49"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49"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49"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49"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49"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49"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49"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49"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83"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3"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3"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1.0006020254349206</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1.0024427699590139</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1.009967677648012</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1.0332986979721643</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1.1079135033366976</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1.3289824324835542</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2.2216465172652549</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6.2136697224640303</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35.878858873612081</v>
      </c>
      <c r="M26" s="283" t="str">
        <f>IF(OR(P7="Paid - Loss &amp; DCCE",P7="Incurred - Loss &amp; DCCE"),"","DCCE")</f>
        <v>DCCE</v>
      </c>
      <c r="N26" s="148"/>
      <c r="O26" s="149">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49">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1.000005712110869</v>
      </c>
      <c r="Q26" s="149">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1.000005712110869</v>
      </c>
      <c r="R26" s="149">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1.000005712110869</v>
      </c>
      <c r="S26" s="149">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1.0020379416432381</v>
      </c>
      <c r="T26" s="149">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1.0185599688358169</v>
      </c>
      <c r="U26" s="149">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1.0504905177677755</v>
      </c>
      <c r="V26" s="149">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1.1707898653372106</v>
      </c>
      <c r="W26" s="149">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1.4304380074580096</v>
      </c>
      <c r="X26" s="149">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3.6086644629124005</v>
      </c>
      <c r="Y26" s="283" t="str">
        <f>IF(OR(AB7="Paid - Loss &amp; DCCE",AB7="Incurred - Loss &amp; DCCE"),"","DCCE")</f>
        <v>DCCE</v>
      </c>
      <c r="Z26" s="148"/>
      <c r="AA26" s="149">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1</v>
      </c>
      <c r="AB26" s="149">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1.0273114537765065</v>
      </c>
      <c r="AC26" s="149">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1.0568353185723502</v>
      </c>
      <c r="AD26" s="149">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1.09245098026331</v>
      </c>
      <c r="AE26" s="149">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1.1592276138148263</v>
      </c>
      <c r="AF26" s="149">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1.2806815357317158</v>
      </c>
      <c r="AG26" s="149">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1.5881411116912678</v>
      </c>
      <c r="AH26" s="149">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2.5346602588656202</v>
      </c>
      <c r="AI26" s="149">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6.9822240596628475</v>
      </c>
      <c r="AJ26" s="149">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43.71271038606632</v>
      </c>
      <c r="AK26" s="283" t="str">
        <f>IF(OR(AN7="Paid - Loss &amp; DCCE",AN7="Incurred - Loss &amp; DCCE"),"","DCCE")</f>
        <v>DCCE</v>
      </c>
      <c r="AL26" s="148"/>
      <c r="AM26" s="149">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1</v>
      </c>
      <c r="AN26" s="149">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1</v>
      </c>
      <c r="AO26" s="149">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1</v>
      </c>
      <c r="AP26" s="149">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1.0004543111302779</v>
      </c>
      <c r="AQ26" s="149">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1.0009593682490527</v>
      </c>
      <c r="AR26" s="149">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1.00325831534902</v>
      </c>
      <c r="AS26" s="149">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1.0402664506339656</v>
      </c>
      <c r="AT26" s="149">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1.0967173096885163</v>
      </c>
      <c r="AU26" s="149">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1.2388392398488419</v>
      </c>
      <c r="AV26" s="149">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1.8429297778984146</v>
      </c>
      <c r="AW26" s="283" t="str">
        <f>IF(OR(AZ7="Paid - Loss &amp; DCCE",AZ7="Incurred - Loss &amp; DCCE"),"","DCCE")</f>
        <v>DCCE</v>
      </c>
      <c r="AX26" s="148"/>
      <c r="AY26" s="149">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1</v>
      </c>
      <c r="AZ26" s="149">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1.0011211869220731</v>
      </c>
      <c r="BA26" s="149">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1.0011211869220731</v>
      </c>
      <c r="BB26" s="149">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1.0013883790348721</v>
      </c>
      <c r="BC26" s="149">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1.002766727199194</v>
      </c>
      <c r="BD26" s="149">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1.0121943733097356</v>
      </c>
      <c r="BE26" s="149">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1.0481494295851235</v>
      </c>
      <c r="BF26" s="149">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1.1346191656327993</v>
      </c>
      <c r="BG26" s="149">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1.3619554521467532</v>
      </c>
      <c r="BH26" s="149">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2.0648272310450553</v>
      </c>
      <c r="BI26" s="283" t="str">
        <f>IF(OR(BL7="Paid - Loss &amp; DCCE",BL7="Incurred - Loss &amp; DCCE"),"","DCCE")</f>
        <v>DCCE</v>
      </c>
      <c r="BJ26" s="148"/>
      <c r="BK26" s="149">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1</v>
      </c>
      <c r="BL26" s="149">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1</v>
      </c>
      <c r="BM26" s="149">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1</v>
      </c>
      <c r="BN26" s="149">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1</v>
      </c>
      <c r="BO26" s="149">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1</v>
      </c>
      <c r="BP26" s="149">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1</v>
      </c>
      <c r="BQ26" s="149">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1</v>
      </c>
      <c r="BR26" s="149">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1.0025933832470708</v>
      </c>
      <c r="BS26" s="149">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1.0138481712558727</v>
      </c>
      <c r="BT26" s="149">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1.088561753876105</v>
      </c>
      <c r="BU26" s="283" t="str">
        <f>IF(OR(BX7="Paid - Loss &amp; DCCE",BX7="Incurred - Loss &amp; DCCE"),"","DCCE")</f>
        <v>DCCE</v>
      </c>
      <c r="BV26" s="148"/>
      <c r="BW26" s="149">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1</v>
      </c>
      <c r="BX26" s="149">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1</v>
      </c>
      <c r="BY26" s="149">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1</v>
      </c>
      <c r="BZ26" s="149">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1</v>
      </c>
      <c r="CA26" s="149">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1</v>
      </c>
      <c r="CB26" s="149">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1</v>
      </c>
      <c r="CC26" s="149">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1</v>
      </c>
      <c r="CD26" s="149">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1</v>
      </c>
      <c r="CE26" s="149">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1</v>
      </c>
      <c r="CF26" s="149">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8.1687759109753288E-2</v>
      </c>
      <c r="CG26" s="283" t="str">
        <f>IF(OR(CJ7="Paid - Loss &amp; DCCE",CJ7="Incurred - Loss &amp; DCCE"),"","DCCE")</f>
        <v>DCCE</v>
      </c>
      <c r="CH26" s="148"/>
      <c r="CI26" s="149"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49"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49"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49"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49"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49"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49"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49"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49"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49"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83"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3"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Mutual Automobile Insurance Company</v>
      </c>
      <c r="B28" s="68"/>
      <c r="C28" s="40"/>
      <c r="D28" s="18"/>
      <c r="E28" s="18"/>
      <c r="F28" s="18"/>
      <c r="G28" s="18"/>
      <c r="H28" s="18"/>
      <c r="I28" s="18"/>
      <c r="J28" s="18"/>
      <c r="K28" s="18"/>
      <c r="L28" s="18"/>
      <c r="M28" s="137" t="str">
        <f>Co_Name</f>
        <v>State Farm Mutual Automobile Insurance Company</v>
      </c>
      <c r="N28" s="68"/>
      <c r="O28" s="40"/>
      <c r="P28" s="18"/>
      <c r="Q28" s="18"/>
      <c r="R28" s="18"/>
      <c r="S28" s="18"/>
      <c r="T28" s="18"/>
      <c r="U28" s="18"/>
      <c r="V28" s="18"/>
      <c r="W28" s="18"/>
      <c r="X28" s="18"/>
      <c r="Y28" s="137" t="str">
        <f>Co_Name</f>
        <v>State Farm Mutual Automobile Insurance Company</v>
      </c>
      <c r="Z28" s="68"/>
      <c r="AA28" s="40"/>
      <c r="AB28" s="18"/>
      <c r="AC28" s="18"/>
      <c r="AD28" s="18"/>
      <c r="AE28" s="18"/>
      <c r="AF28" s="18"/>
      <c r="AG28" s="18"/>
      <c r="AH28" s="18"/>
      <c r="AI28" s="18"/>
      <c r="AJ28" s="18"/>
      <c r="AK28" s="137" t="str">
        <f>Co_Name</f>
        <v>State Farm Mutual Automobile Insurance Company</v>
      </c>
      <c r="AL28" s="68"/>
      <c r="AM28" s="40"/>
      <c r="AN28" s="18"/>
      <c r="AO28" s="18"/>
      <c r="AP28" s="18"/>
      <c r="AQ28" s="18"/>
      <c r="AR28" s="18"/>
      <c r="AS28" s="18"/>
      <c r="AT28" s="18"/>
      <c r="AU28" s="18"/>
      <c r="AV28" s="18"/>
      <c r="AW28" s="137" t="str">
        <f>Co_Name</f>
        <v>State Farm Mutual Automobile Insurance Company</v>
      </c>
      <c r="AX28" s="68"/>
      <c r="AY28" s="40"/>
      <c r="AZ28" s="18"/>
      <c r="BA28" s="18"/>
      <c r="BB28" s="18"/>
      <c r="BC28" s="18"/>
      <c r="BD28" s="18"/>
      <c r="BE28" s="18"/>
      <c r="BF28" s="18"/>
      <c r="BG28" s="18"/>
      <c r="BH28" s="18"/>
      <c r="BI28" s="137" t="str">
        <f>Co_Name</f>
        <v>State Farm Mutual Automobile Insurance Company</v>
      </c>
      <c r="BJ28" s="68"/>
      <c r="BK28" s="40"/>
      <c r="BL28" s="18"/>
      <c r="BM28" s="18"/>
      <c r="BN28" s="18"/>
      <c r="BO28" s="18"/>
      <c r="BP28" s="18"/>
      <c r="BQ28" s="18"/>
      <c r="BR28" s="18"/>
      <c r="BS28" s="18"/>
      <c r="BT28" s="18"/>
      <c r="BU28" s="137" t="str">
        <f>Co_Name</f>
        <v>State Farm Mutual Automobile Insurance Company</v>
      </c>
      <c r="BV28" s="68"/>
      <c r="BW28" s="40"/>
      <c r="BX28" s="18"/>
      <c r="BY28" s="18"/>
      <c r="BZ28" s="18"/>
      <c r="CA28" s="18"/>
      <c r="CB28" s="18"/>
      <c r="CC28" s="18"/>
      <c r="CD28" s="18"/>
      <c r="CE28" s="18"/>
      <c r="CF28" s="18"/>
      <c r="CG28" s="137" t="str">
        <f>Co_Name</f>
        <v>State Farm Mutual Automobile Insurance Company</v>
      </c>
      <c r="CH28" s="68"/>
      <c r="CI28" s="40"/>
      <c r="CJ28" s="18"/>
      <c r="CK28" s="18"/>
      <c r="CL28" s="18"/>
      <c r="CM28" s="18"/>
      <c r="CN28" s="18"/>
      <c r="CO28" s="18"/>
      <c r="CP28" s="18"/>
      <c r="CQ28" s="18"/>
      <c r="CR28" s="18"/>
      <c r="CS28" s="137" t="str">
        <f>Co_Name</f>
        <v>State Farm Mutual Automobile Insurance Company</v>
      </c>
      <c r="CT28" s="68"/>
      <c r="CU28" s="40"/>
      <c r="CV28" s="18"/>
      <c r="CW28" s="18"/>
      <c r="CX28" s="18"/>
      <c r="CY28" s="18"/>
      <c r="CZ28" s="18"/>
      <c r="DA28" s="18"/>
      <c r="DB28" s="18"/>
      <c r="DC28" s="18"/>
      <c r="DD28" s="18"/>
      <c r="DE28" s="137" t="str">
        <f>Co_Name</f>
        <v>State Farm Mutual Automobile Insurance Company</v>
      </c>
      <c r="DF28" s="68"/>
      <c r="DG28" s="40"/>
      <c r="DH28" s="18"/>
      <c r="DI28" s="18"/>
      <c r="DJ28" s="18"/>
      <c r="DK28" s="18"/>
      <c r="DL28" s="18"/>
      <c r="DM28" s="18"/>
      <c r="DN28" s="18"/>
      <c r="DO28" s="18"/>
      <c r="DP28" s="18"/>
    </row>
    <row r="29" spans="1:120" ht="21" customHeight="1" x14ac:dyDescent="0.35">
      <c r="A29" s="137" t="str">
        <f>A$2</f>
        <v>Private Passenger Auto Liability</v>
      </c>
      <c r="B29" s="68"/>
      <c r="C29" s="40"/>
      <c r="D29" s="18"/>
      <c r="E29" s="18"/>
      <c r="F29" s="18"/>
      <c r="G29" s="18"/>
      <c r="H29" s="18"/>
      <c r="I29" s="18"/>
      <c r="J29" s="18"/>
      <c r="K29" s="18"/>
      <c r="L29" s="18"/>
      <c r="M29" s="288" t="str">
        <f>M$2</f>
        <v>Private Passenger Auto Liability</v>
      </c>
      <c r="N29" s="68"/>
      <c r="O29" s="40"/>
      <c r="P29" s="18"/>
      <c r="Q29" s="18"/>
      <c r="R29" s="18"/>
      <c r="S29" s="18"/>
      <c r="T29" s="18"/>
      <c r="U29" s="18"/>
      <c r="V29" s="18"/>
      <c r="W29" s="18"/>
      <c r="X29" s="18"/>
      <c r="Y29" s="137" t="str">
        <f>Y$2</f>
        <v>Private Passenger Auto Liability</v>
      </c>
      <c r="Z29" s="68"/>
      <c r="AA29" s="40"/>
      <c r="AB29" s="18"/>
      <c r="AC29" s="18"/>
      <c r="AD29" s="18"/>
      <c r="AE29" s="18"/>
      <c r="AF29" s="18"/>
      <c r="AG29" s="18"/>
      <c r="AH29" s="18"/>
      <c r="AI29" s="18"/>
      <c r="AJ29" s="18"/>
      <c r="AK29" s="137" t="str">
        <f>AK$2</f>
        <v>Private Passenger Auto Liability</v>
      </c>
      <c r="AL29" s="68"/>
      <c r="AM29" s="40"/>
      <c r="AN29" s="18"/>
      <c r="AO29" s="18"/>
      <c r="AP29" s="18"/>
      <c r="AQ29" s="18"/>
      <c r="AR29" s="18"/>
      <c r="AS29" s="18"/>
      <c r="AT29" s="18"/>
      <c r="AU29" s="18"/>
      <c r="AV29" s="18"/>
      <c r="AW29" s="137" t="str">
        <f>AW$2</f>
        <v>Private Passenger Auto Physical Damage</v>
      </c>
      <c r="AX29" s="68"/>
      <c r="AY29" s="40"/>
      <c r="AZ29" s="18"/>
      <c r="BA29" s="18"/>
      <c r="BB29" s="18"/>
      <c r="BC29" s="18"/>
      <c r="BD29" s="18"/>
      <c r="BE29" s="18"/>
      <c r="BF29" s="18"/>
      <c r="BG29" s="18"/>
      <c r="BH29" s="18"/>
      <c r="BI29" s="137" t="str">
        <f>BI$2</f>
        <v>Private Passenger Auto Physical Damage</v>
      </c>
      <c r="BJ29" s="68"/>
      <c r="BK29" s="40"/>
      <c r="BL29" s="18"/>
      <c r="BM29" s="18"/>
      <c r="BN29" s="18"/>
      <c r="BO29" s="18"/>
      <c r="BP29" s="18"/>
      <c r="BQ29" s="18"/>
      <c r="BR29" s="18"/>
      <c r="BS29" s="18"/>
      <c r="BT29" s="18"/>
      <c r="BU29" s="137" t="str">
        <f>BU$2</f>
        <v>Private Passenger Auto Physical Damage</v>
      </c>
      <c r="BV29" s="68"/>
      <c r="BW29" s="40"/>
      <c r="BX29" s="18"/>
      <c r="BY29" s="18"/>
      <c r="BZ29" s="18"/>
      <c r="CA29" s="18"/>
      <c r="CB29" s="18"/>
      <c r="CC29" s="18"/>
      <c r="CD29" s="18"/>
      <c r="CE29" s="18"/>
      <c r="CF29" s="18"/>
      <c r="CG29" s="137" t="str">
        <f>CG$2</f>
        <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192</v>
      </c>
      <c r="B31" s="48"/>
      <c r="C31" s="18"/>
      <c r="D31" s="18"/>
      <c r="E31" s="18"/>
      <c r="F31" s="18"/>
      <c r="G31" s="18"/>
      <c r="H31" s="18"/>
      <c r="I31" s="18"/>
      <c r="J31" s="18"/>
      <c r="K31" s="18"/>
      <c r="L31" s="18"/>
      <c r="M31" s="48" t="s">
        <v>192</v>
      </c>
      <c r="N31" s="48"/>
      <c r="O31" s="18"/>
      <c r="P31" s="18"/>
      <c r="Q31" s="18"/>
      <c r="R31" s="18"/>
      <c r="S31" s="18"/>
      <c r="T31" s="18"/>
      <c r="U31" s="18"/>
      <c r="V31" s="18"/>
      <c r="W31" s="18"/>
      <c r="X31" s="18"/>
      <c r="Y31" s="48" t="s">
        <v>192</v>
      </c>
      <c r="Z31" s="48"/>
      <c r="AA31" s="18"/>
      <c r="AB31" s="18"/>
      <c r="AC31" s="18"/>
      <c r="AD31" s="18"/>
      <c r="AE31" s="18"/>
      <c r="AF31" s="18"/>
      <c r="AG31" s="18"/>
      <c r="AH31" s="18"/>
      <c r="AI31" s="18"/>
      <c r="AJ31" s="18"/>
      <c r="AK31" s="48" t="s">
        <v>192</v>
      </c>
      <c r="AL31" s="48"/>
      <c r="AM31" s="18"/>
      <c r="AN31" s="18"/>
      <c r="AO31" s="18"/>
      <c r="AP31" s="18"/>
      <c r="AQ31" s="18"/>
      <c r="AR31" s="18"/>
      <c r="AS31" s="18"/>
      <c r="AT31" s="18"/>
      <c r="AU31" s="18"/>
      <c r="AV31" s="18"/>
      <c r="AW31" s="48" t="s">
        <v>192</v>
      </c>
      <c r="AX31" s="48"/>
      <c r="AY31" s="18"/>
      <c r="AZ31" s="18"/>
      <c r="BA31" s="18"/>
      <c r="BB31" s="18"/>
      <c r="BC31" s="18"/>
      <c r="BD31" s="18"/>
      <c r="BE31" s="18"/>
      <c r="BF31" s="18"/>
      <c r="BG31" s="18"/>
      <c r="BH31" s="18"/>
      <c r="BI31" s="48" t="s">
        <v>192</v>
      </c>
      <c r="BJ31" s="48"/>
      <c r="BK31" s="18"/>
      <c r="BL31" s="18"/>
      <c r="BM31" s="18"/>
      <c r="BN31" s="18"/>
      <c r="BO31" s="18"/>
      <c r="BP31" s="18"/>
      <c r="BQ31" s="18"/>
      <c r="BR31" s="18"/>
      <c r="BS31" s="18"/>
      <c r="BT31" s="18"/>
      <c r="BU31" s="48" t="s">
        <v>192</v>
      </c>
      <c r="BV31" s="48"/>
      <c r="BW31" s="18"/>
      <c r="BX31" s="18"/>
      <c r="BY31" s="18"/>
      <c r="BZ31" s="18"/>
      <c r="CA31" s="18"/>
      <c r="CB31" s="18"/>
      <c r="CC31" s="18"/>
      <c r="CD31" s="18"/>
      <c r="CE31" s="18"/>
      <c r="CF31" s="18"/>
      <c r="CG31" s="48" t="s">
        <v>192</v>
      </c>
      <c r="CH31" s="48"/>
      <c r="CI31" s="18"/>
      <c r="CJ31" s="18"/>
      <c r="CK31" s="18"/>
      <c r="CL31" s="18"/>
      <c r="CM31" s="18"/>
      <c r="CN31" s="18"/>
      <c r="CO31" s="18"/>
      <c r="CP31" s="18"/>
      <c r="CQ31" s="18"/>
      <c r="CR31" s="18"/>
      <c r="CS31" s="48" t="s">
        <v>192</v>
      </c>
      <c r="CT31" s="48"/>
      <c r="CU31" s="18"/>
      <c r="CV31" s="18"/>
      <c r="CW31" s="18"/>
      <c r="CX31" s="18"/>
      <c r="CY31" s="18"/>
      <c r="CZ31" s="18"/>
      <c r="DA31" s="18"/>
      <c r="DB31" s="18"/>
      <c r="DC31" s="18"/>
      <c r="DD31" s="18"/>
      <c r="DE31" s="48" t="s">
        <v>192</v>
      </c>
      <c r="DF31" s="48"/>
      <c r="DG31" s="18"/>
      <c r="DH31" s="18"/>
      <c r="DI31" s="18"/>
      <c r="DJ31" s="18"/>
      <c r="DK31" s="18"/>
      <c r="DL31" s="18"/>
      <c r="DM31" s="18"/>
      <c r="DN31" s="18"/>
      <c r="DO31" s="18"/>
      <c r="DP31" s="18"/>
    </row>
    <row r="32" spans="1:120" x14ac:dyDescent="0.25">
      <c r="A32" s="138" t="str">
        <f>A$5</f>
        <v>BIPD</v>
      </c>
      <c r="B32" s="69"/>
      <c r="C32" s="18"/>
      <c r="D32" s="18"/>
      <c r="E32" s="18"/>
      <c r="F32" s="18"/>
      <c r="G32" s="18"/>
      <c r="H32" s="18"/>
      <c r="I32" s="18"/>
      <c r="J32" s="18"/>
      <c r="K32" s="18"/>
      <c r="L32" s="18"/>
      <c r="M32" s="138" t="str">
        <f>M$5</f>
        <v>MPC</v>
      </c>
      <c r="N32" s="69"/>
      <c r="O32" s="18"/>
      <c r="P32" s="18"/>
      <c r="Q32" s="18"/>
      <c r="R32" s="18"/>
      <c r="S32" s="18"/>
      <c r="T32" s="18"/>
      <c r="U32" s="18"/>
      <c r="V32" s="18"/>
      <c r="W32" s="18"/>
      <c r="X32" s="18"/>
      <c r="Y32" s="138" t="str">
        <f>Y$5</f>
        <v>UM</v>
      </c>
      <c r="Z32" s="69"/>
      <c r="AA32" s="18"/>
      <c r="AB32" s="18"/>
      <c r="AC32" s="18"/>
      <c r="AD32" s="18"/>
      <c r="AE32" s="18"/>
      <c r="AF32" s="18"/>
      <c r="AG32" s="18"/>
      <c r="AH32" s="18"/>
      <c r="AI32" s="18"/>
      <c r="AJ32" s="18"/>
      <c r="AK32" s="138" t="str">
        <f>AK$5</f>
        <v>COMP</v>
      </c>
      <c r="AL32" s="69"/>
      <c r="AM32" s="18"/>
      <c r="AN32" s="18"/>
      <c r="AO32" s="18"/>
      <c r="AP32" s="18"/>
      <c r="AQ32" s="18"/>
      <c r="AR32" s="18"/>
      <c r="AS32" s="18"/>
      <c r="AT32" s="18"/>
      <c r="AU32" s="18"/>
      <c r="AV32" s="18"/>
      <c r="AW32" s="138" t="str">
        <f>AW$5</f>
        <v>COLL</v>
      </c>
      <c r="AX32" s="69"/>
      <c r="AY32" s="18"/>
      <c r="AZ32" s="18"/>
      <c r="BA32" s="18"/>
      <c r="BB32" s="18"/>
      <c r="BC32" s="18"/>
      <c r="BD32" s="18"/>
      <c r="BE32" s="18"/>
      <c r="BF32" s="18"/>
      <c r="BG32" s="18"/>
      <c r="BH32" s="18"/>
      <c r="BI32" s="138" t="str">
        <f>BI$5</f>
        <v>Misc. Damage</v>
      </c>
      <c r="BJ32" s="69"/>
      <c r="BK32" s="18"/>
      <c r="BL32" s="18"/>
      <c r="BM32" s="18"/>
      <c r="BN32" s="18"/>
      <c r="BO32" s="18"/>
      <c r="BP32" s="18"/>
      <c r="BQ32" s="18"/>
      <c r="BR32" s="18"/>
      <c r="BS32" s="18"/>
      <c r="BT32" s="18"/>
      <c r="BU32" s="138" t="str">
        <f>BU$5</f>
        <v>Misc. Liability</v>
      </c>
      <c r="BV32" s="69"/>
      <c r="BW32" s="18"/>
      <c r="BX32" s="18"/>
      <c r="BY32" s="18"/>
      <c r="BZ32" s="18"/>
      <c r="CA32" s="18"/>
      <c r="CB32" s="18"/>
      <c r="CC32" s="18"/>
      <c r="CD32" s="18"/>
      <c r="CE32" s="18"/>
      <c r="CF32" s="18"/>
      <c r="CG32" s="138">
        <f>CG$5</f>
        <v>0</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ht="30" x14ac:dyDescent="0.25">
      <c r="A35" s="210" t="str">
        <f>"Fiscal "&amp;AggMethod&amp;" Ending"</f>
        <v>Fiscal Accident Year Data Ending</v>
      </c>
      <c r="B35" s="98">
        <f>C35-12</f>
        <v>3</v>
      </c>
      <c r="C35" s="209" t="str">
        <f>IF(Mos_Devt=3, "15","12")</f>
        <v>15</v>
      </c>
      <c r="D35" s="20">
        <f>C35+12</f>
        <v>27</v>
      </c>
      <c r="E35" s="20">
        <f t="shared" ref="E35" si="73">D35+12</f>
        <v>39</v>
      </c>
      <c r="F35" s="20">
        <f t="shared" ref="F35" si="74">E35+12</f>
        <v>51</v>
      </c>
      <c r="G35" s="20">
        <f t="shared" ref="G35" si="75">F35+12</f>
        <v>63</v>
      </c>
      <c r="H35" s="20">
        <f t="shared" ref="H35" si="76">G35+12</f>
        <v>75</v>
      </c>
      <c r="I35" s="20">
        <f t="shared" ref="I35" si="77">H35+12</f>
        <v>87</v>
      </c>
      <c r="J35" s="20">
        <f t="shared" ref="J35" si="78">I35+12</f>
        <v>99</v>
      </c>
      <c r="K35" s="20">
        <f t="shared" ref="K35" si="79">J35+12</f>
        <v>111</v>
      </c>
      <c r="L35" s="20">
        <f t="shared" ref="L35" si="80">K35+12</f>
        <v>123</v>
      </c>
      <c r="M35" s="210" t="str">
        <f>"Fiscal "&amp;AggMethod&amp;" Ending"</f>
        <v>Fiscal Accident Year Data Ending</v>
      </c>
      <c r="N35" s="98">
        <f>O35-12</f>
        <v>3</v>
      </c>
      <c r="O35" s="209" t="str">
        <f>IF(Mos_Devt=3, "15","12")</f>
        <v>15</v>
      </c>
      <c r="P35" s="20">
        <f>O35+12</f>
        <v>27</v>
      </c>
      <c r="Q35" s="20">
        <f t="shared" ref="Q35" si="81">P35+12</f>
        <v>39</v>
      </c>
      <c r="R35" s="20">
        <f t="shared" ref="R35" si="82">Q35+12</f>
        <v>51</v>
      </c>
      <c r="S35" s="20">
        <f t="shared" ref="S35" si="83">R35+12</f>
        <v>63</v>
      </c>
      <c r="T35" s="20">
        <f t="shared" ref="T35" si="84">S35+12</f>
        <v>75</v>
      </c>
      <c r="U35" s="20">
        <f t="shared" ref="U35" si="85">T35+12</f>
        <v>87</v>
      </c>
      <c r="V35" s="20">
        <f t="shared" ref="V35" si="86">U35+12</f>
        <v>99</v>
      </c>
      <c r="W35" s="20">
        <f t="shared" ref="W35" si="87">V35+12</f>
        <v>111</v>
      </c>
      <c r="X35" s="20">
        <f t="shared" ref="X35" si="88">W35+12</f>
        <v>123</v>
      </c>
      <c r="Y35" s="210" t="str">
        <f>"Fiscal "&amp;AggMethod&amp;" Ending"</f>
        <v>Fiscal Accident Year Data Ending</v>
      </c>
      <c r="Z35" s="98">
        <f>AA35-12</f>
        <v>3</v>
      </c>
      <c r="AA35" s="209" t="str">
        <f>IF(Mos_Devt=3, "15","12")</f>
        <v>15</v>
      </c>
      <c r="AB35" s="20">
        <f>AA35+12</f>
        <v>27</v>
      </c>
      <c r="AC35" s="20">
        <f t="shared" ref="AC35" si="89">AB35+12</f>
        <v>39</v>
      </c>
      <c r="AD35" s="20">
        <f t="shared" ref="AD35" si="90">AC35+12</f>
        <v>51</v>
      </c>
      <c r="AE35" s="20">
        <f t="shared" ref="AE35" si="91">AD35+12</f>
        <v>63</v>
      </c>
      <c r="AF35" s="20">
        <f t="shared" ref="AF35" si="92">AE35+12</f>
        <v>75</v>
      </c>
      <c r="AG35" s="20">
        <f t="shared" ref="AG35" si="93">AF35+12</f>
        <v>87</v>
      </c>
      <c r="AH35" s="20">
        <f t="shared" ref="AH35" si="94">AG35+12</f>
        <v>99</v>
      </c>
      <c r="AI35" s="20">
        <f t="shared" ref="AI35" si="95">AH35+12</f>
        <v>111</v>
      </c>
      <c r="AJ35" s="20">
        <f t="shared" ref="AJ35" si="96">AI35+12</f>
        <v>123</v>
      </c>
      <c r="AK35" s="210" t="str">
        <f>"Fiscal "&amp;AggMethod&amp;" Ending"</f>
        <v>Fiscal Accident Year Data Ending</v>
      </c>
      <c r="AL35" s="98">
        <f>AM35-12</f>
        <v>3</v>
      </c>
      <c r="AM35" s="209" t="str">
        <f>IF(Mos_Devt=3, "15","12")</f>
        <v>15</v>
      </c>
      <c r="AN35" s="20">
        <f>AM35+12</f>
        <v>27</v>
      </c>
      <c r="AO35" s="20">
        <f t="shared" ref="AO35" si="97">AN35+12</f>
        <v>39</v>
      </c>
      <c r="AP35" s="20">
        <f t="shared" ref="AP35" si="98">AO35+12</f>
        <v>51</v>
      </c>
      <c r="AQ35" s="20">
        <f t="shared" ref="AQ35" si="99">AP35+12</f>
        <v>63</v>
      </c>
      <c r="AR35" s="20">
        <f t="shared" ref="AR35" si="100">AQ35+12</f>
        <v>75</v>
      </c>
      <c r="AS35" s="20">
        <f t="shared" ref="AS35" si="101">AR35+12</f>
        <v>87</v>
      </c>
      <c r="AT35" s="20">
        <f t="shared" ref="AT35" si="102">AS35+12</f>
        <v>99</v>
      </c>
      <c r="AU35" s="20">
        <f t="shared" ref="AU35" si="103">AT35+12</f>
        <v>111</v>
      </c>
      <c r="AV35" s="20">
        <f t="shared" ref="AV35" si="104">AU35+12</f>
        <v>123</v>
      </c>
      <c r="AW35" s="210" t="str">
        <f>"Fiscal "&amp;AggMethod&amp;" Ending"</f>
        <v>Fiscal Accident Year Data Ending</v>
      </c>
      <c r="AX35" s="98">
        <f>AY35-12</f>
        <v>3</v>
      </c>
      <c r="AY35" s="209" t="str">
        <f>IF(Mos_Devt=3, "15","12")</f>
        <v>15</v>
      </c>
      <c r="AZ35" s="20">
        <f>AY35+12</f>
        <v>27</v>
      </c>
      <c r="BA35" s="20">
        <f t="shared" ref="BA35" si="105">AZ35+12</f>
        <v>39</v>
      </c>
      <c r="BB35" s="20">
        <f t="shared" ref="BB35" si="106">BA35+12</f>
        <v>51</v>
      </c>
      <c r="BC35" s="20">
        <f t="shared" ref="BC35" si="107">BB35+12</f>
        <v>63</v>
      </c>
      <c r="BD35" s="20">
        <f t="shared" ref="BD35" si="108">BC35+12</f>
        <v>75</v>
      </c>
      <c r="BE35" s="20">
        <f t="shared" ref="BE35" si="109">BD35+12</f>
        <v>87</v>
      </c>
      <c r="BF35" s="20">
        <f t="shared" ref="BF35" si="110">BE35+12</f>
        <v>99</v>
      </c>
      <c r="BG35" s="20">
        <f t="shared" ref="BG35" si="111">BF35+12</f>
        <v>111</v>
      </c>
      <c r="BH35" s="20">
        <f t="shared" ref="BH35" si="112">BG35+12</f>
        <v>123</v>
      </c>
      <c r="BI35" s="210" t="str">
        <f>"Fiscal "&amp;AggMethod&amp;" Ending"</f>
        <v>Fiscal Accident Year Data Ending</v>
      </c>
      <c r="BJ35" s="98">
        <f>BK35-12</f>
        <v>3</v>
      </c>
      <c r="BK35" s="209" t="str">
        <f>IF(Mos_Devt=3, "15","12")</f>
        <v>15</v>
      </c>
      <c r="BL35" s="20">
        <f>BK35+12</f>
        <v>27</v>
      </c>
      <c r="BM35" s="20">
        <f t="shared" ref="BM35" si="113">BL35+12</f>
        <v>39</v>
      </c>
      <c r="BN35" s="20">
        <f t="shared" ref="BN35" si="114">BM35+12</f>
        <v>51</v>
      </c>
      <c r="BO35" s="20">
        <f t="shared" ref="BO35" si="115">BN35+12</f>
        <v>63</v>
      </c>
      <c r="BP35" s="20">
        <f t="shared" ref="BP35" si="116">BO35+12</f>
        <v>75</v>
      </c>
      <c r="BQ35" s="20">
        <f t="shared" ref="BQ35" si="117">BP35+12</f>
        <v>87</v>
      </c>
      <c r="BR35" s="20">
        <f t="shared" ref="BR35" si="118">BQ35+12</f>
        <v>99</v>
      </c>
      <c r="BS35" s="20">
        <f t="shared" ref="BS35" si="119">BR35+12</f>
        <v>111</v>
      </c>
      <c r="BT35" s="20">
        <f t="shared" ref="BT35" si="120">BS35+12</f>
        <v>123</v>
      </c>
      <c r="BU35" s="210" t="str">
        <f>"Fiscal "&amp;AggMethod&amp;" Ending"</f>
        <v>Fiscal Accident Year Data Ending</v>
      </c>
      <c r="BV35" s="98">
        <f>BW35-12</f>
        <v>3</v>
      </c>
      <c r="BW35" s="209" t="str">
        <f>IF(Mos_Devt=3, "15","12")</f>
        <v>15</v>
      </c>
      <c r="BX35" s="20">
        <f>BW35+12</f>
        <v>27</v>
      </c>
      <c r="BY35" s="20">
        <f t="shared" ref="BY35" si="121">BX35+12</f>
        <v>39</v>
      </c>
      <c r="BZ35" s="20">
        <f t="shared" ref="BZ35" si="122">BY35+12</f>
        <v>51</v>
      </c>
      <c r="CA35" s="20">
        <f t="shared" ref="CA35" si="123">BZ35+12</f>
        <v>63</v>
      </c>
      <c r="CB35" s="20">
        <f t="shared" ref="CB35" si="124">CA35+12</f>
        <v>75</v>
      </c>
      <c r="CC35" s="20">
        <f t="shared" ref="CC35" si="125">CB35+12</f>
        <v>87</v>
      </c>
      <c r="CD35" s="20">
        <f t="shared" ref="CD35" si="126">CC35+12</f>
        <v>99</v>
      </c>
      <c r="CE35" s="20">
        <f t="shared" ref="CE35" si="127">CD35+12</f>
        <v>111</v>
      </c>
      <c r="CF35" s="20">
        <f t="shared" ref="CF35" si="128">CE35+12</f>
        <v>123</v>
      </c>
      <c r="CG35" s="210" t="str">
        <f>"Fiscal "&amp;AggMethod&amp;" Ending"</f>
        <v>Fiscal Accident Year Data Ending</v>
      </c>
      <c r="CH35" s="98">
        <f>CI35-12</f>
        <v>3</v>
      </c>
      <c r="CI35" s="209" t="str">
        <f>IF(Mos_Devt=3, "15","12")</f>
        <v>15</v>
      </c>
      <c r="CJ35" s="20">
        <f>CI35+12</f>
        <v>27</v>
      </c>
      <c r="CK35" s="20">
        <f t="shared" ref="CK35" si="129">CJ35+12</f>
        <v>39</v>
      </c>
      <c r="CL35" s="20">
        <f t="shared" ref="CL35" si="130">CK35+12</f>
        <v>51</v>
      </c>
      <c r="CM35" s="20">
        <f t="shared" ref="CM35" si="131">CL35+12</f>
        <v>63</v>
      </c>
      <c r="CN35" s="20">
        <f t="shared" ref="CN35" si="132">CM35+12</f>
        <v>75</v>
      </c>
      <c r="CO35" s="20">
        <f t="shared" ref="CO35" si="133">CN35+12</f>
        <v>87</v>
      </c>
      <c r="CP35" s="20">
        <f t="shared" ref="CP35" si="134">CO35+12</f>
        <v>99</v>
      </c>
      <c r="CQ35" s="20">
        <f t="shared" ref="CQ35" si="135">CP35+12</f>
        <v>111</v>
      </c>
      <c r="CR35" s="20">
        <f t="shared" ref="CR35" si="136">CQ35+12</f>
        <v>123</v>
      </c>
      <c r="CS35" s="210" t="str">
        <f>"Fiscal "&amp;AggMethod&amp;" Ending"</f>
        <v>Fiscal Accident Year Data Ending</v>
      </c>
      <c r="CT35" s="98">
        <f>CU35-12</f>
        <v>3</v>
      </c>
      <c r="CU35" s="209" t="str">
        <f>IF(Mos_Devt=3, "15","12")</f>
        <v>15</v>
      </c>
      <c r="CV35" s="20">
        <f>CU35+12</f>
        <v>27</v>
      </c>
      <c r="CW35" s="20">
        <f t="shared" ref="CW35" si="137">CV35+12</f>
        <v>39</v>
      </c>
      <c r="CX35" s="20">
        <f t="shared" ref="CX35" si="138">CW35+12</f>
        <v>51</v>
      </c>
      <c r="CY35" s="20">
        <f t="shared" ref="CY35" si="139">CX35+12</f>
        <v>63</v>
      </c>
      <c r="CZ35" s="20">
        <f t="shared" ref="CZ35" si="140">CY35+12</f>
        <v>75</v>
      </c>
      <c r="DA35" s="20">
        <f t="shared" ref="DA35" si="141">CZ35+12</f>
        <v>87</v>
      </c>
      <c r="DB35" s="20">
        <f t="shared" ref="DB35" si="142">DA35+12</f>
        <v>99</v>
      </c>
      <c r="DC35" s="20">
        <f t="shared" ref="DC35" si="143">DB35+12</f>
        <v>111</v>
      </c>
      <c r="DD35" s="20">
        <f t="shared" ref="DD35" si="144">DC35+12</f>
        <v>123</v>
      </c>
      <c r="DE35" s="210" t="str">
        <f>"Fiscal "&amp;AggMethod&amp;" Ending"</f>
        <v>Fiscal Accident Year Data Ending</v>
      </c>
      <c r="DF35" s="98">
        <f>DG35-12</f>
        <v>3</v>
      </c>
      <c r="DG35" s="209" t="str">
        <f>IF(Mos_Devt=3, "15","12")</f>
        <v>15</v>
      </c>
      <c r="DH35" s="20">
        <f>DG35+12</f>
        <v>27</v>
      </c>
      <c r="DI35" s="20">
        <f t="shared" ref="DI35" si="145">DH35+12</f>
        <v>39</v>
      </c>
      <c r="DJ35" s="20">
        <f t="shared" ref="DJ35" si="146">DI35+12</f>
        <v>51</v>
      </c>
      <c r="DK35" s="20">
        <f t="shared" ref="DK35" si="147">DJ35+12</f>
        <v>63</v>
      </c>
      <c r="DL35" s="20">
        <f t="shared" ref="DL35" si="148">DK35+12</f>
        <v>75</v>
      </c>
      <c r="DM35" s="20">
        <f t="shared" ref="DM35" si="149">DL35+12</f>
        <v>87</v>
      </c>
      <c r="DN35" s="20">
        <f t="shared" ref="DN35" si="150">DM35+12</f>
        <v>99</v>
      </c>
      <c r="DO35" s="20">
        <f t="shared" ref="DO35" si="151">DN35+12</f>
        <v>111</v>
      </c>
      <c r="DP35" s="20">
        <f t="shared" ref="DP35" si="152">DO35+12</f>
        <v>123</v>
      </c>
    </row>
    <row r="36" spans="1:120" ht="15" customHeight="1" x14ac:dyDescent="0.25">
      <c r="A36" s="31">
        <f t="shared" ref="A36:A43" si="153">A37-10</f>
        <v>20133</v>
      </c>
      <c r="B36" s="21">
        <v>50299081.460000001</v>
      </c>
      <c r="C36" s="21">
        <v>505900211.02999997</v>
      </c>
      <c r="D36" s="21">
        <v>705095132.42000008</v>
      </c>
      <c r="E36" s="21">
        <v>858968004.63999999</v>
      </c>
      <c r="F36" s="21">
        <v>965904694.70000005</v>
      </c>
      <c r="G36" s="21">
        <v>1000555312.6</v>
      </c>
      <c r="H36" s="21">
        <v>1008168961.8700001</v>
      </c>
      <c r="I36" s="21">
        <v>1010973421.74</v>
      </c>
      <c r="J36" s="21">
        <v>1011670219.9400001</v>
      </c>
      <c r="K36" s="21">
        <v>1012130289.0300002</v>
      </c>
      <c r="L36" s="21">
        <v>1012454284.6000001</v>
      </c>
      <c r="M36" s="31">
        <f t="shared" ref="M36:M43" si="154">M37-10</f>
        <v>20133</v>
      </c>
      <c r="N36" s="21">
        <v>2744933.7</v>
      </c>
      <c r="O36" s="21">
        <v>51249613.740000002</v>
      </c>
      <c r="P36" s="21">
        <v>63483341.469999999</v>
      </c>
      <c r="Q36" s="21">
        <v>63921186.929999992</v>
      </c>
      <c r="R36" s="21">
        <v>63775453.950000003</v>
      </c>
      <c r="S36" s="21">
        <v>64006819.729999997</v>
      </c>
      <c r="T36" s="21">
        <v>63984492.419999994</v>
      </c>
      <c r="U36" s="21">
        <v>63990258.25999999</v>
      </c>
      <c r="V36" s="21">
        <v>64016426.329999991</v>
      </c>
      <c r="W36" s="21">
        <v>64011603.599999994</v>
      </c>
      <c r="X36" s="21">
        <v>64009608.699999996</v>
      </c>
      <c r="Y36" s="31">
        <f t="shared" ref="Y36:Y43" si="155">Y37-10</f>
        <v>20133</v>
      </c>
      <c r="Z36" s="21">
        <v>1202777.6099999999</v>
      </c>
      <c r="AA36" s="21">
        <v>38044847.350000001</v>
      </c>
      <c r="AB36" s="21">
        <v>82280087.460000023</v>
      </c>
      <c r="AC36" s="21">
        <v>109281949.09000003</v>
      </c>
      <c r="AD36" s="21">
        <v>123429153.68000004</v>
      </c>
      <c r="AE36" s="21">
        <v>129627985.83000004</v>
      </c>
      <c r="AF36" s="21">
        <v>134595943.11000007</v>
      </c>
      <c r="AG36" s="21">
        <v>137030364.86000004</v>
      </c>
      <c r="AH36" s="21">
        <v>138162990.78000006</v>
      </c>
      <c r="AI36" s="21">
        <v>138803404.93000007</v>
      </c>
      <c r="AJ36" s="21">
        <v>139535554.97000006</v>
      </c>
      <c r="AK36" s="31">
        <f t="shared" ref="AK36:AK43" si="156">AK37-10</f>
        <v>20133</v>
      </c>
      <c r="AL36" s="21">
        <v>28049130.050000001</v>
      </c>
      <c r="AM36" s="21">
        <v>171543785.66000003</v>
      </c>
      <c r="AN36" s="21">
        <v>173971761.52000001</v>
      </c>
      <c r="AO36" s="21">
        <v>174287418.62999997</v>
      </c>
      <c r="AP36" s="21">
        <v>174447264.86000001</v>
      </c>
      <c r="AQ36" s="21">
        <v>174593627.16000003</v>
      </c>
      <c r="AR36" s="21">
        <v>174591267.66000006</v>
      </c>
      <c r="AS36" s="21">
        <v>174610036.53000003</v>
      </c>
      <c r="AT36" s="21">
        <v>174616904.99000004</v>
      </c>
      <c r="AU36" s="21">
        <v>174612604.57000002</v>
      </c>
      <c r="AV36" s="21">
        <v>174614204.84000006</v>
      </c>
      <c r="AW36" s="31">
        <f t="shared" ref="AW36:AW43" si="157">AW37-10</f>
        <v>20133</v>
      </c>
      <c r="AX36" s="21">
        <v>138471538.72999999</v>
      </c>
      <c r="AY36" s="21">
        <v>627464859.70999992</v>
      </c>
      <c r="AZ36" s="21">
        <v>587250922.53999984</v>
      </c>
      <c r="BA36" s="21">
        <v>578454010.6899997</v>
      </c>
      <c r="BB36" s="21">
        <v>576842609.03999972</v>
      </c>
      <c r="BC36" s="21">
        <v>576306766.52999961</v>
      </c>
      <c r="BD36" s="21">
        <v>576028402.22999954</v>
      </c>
      <c r="BE36" s="21">
        <v>575859895.28999949</v>
      </c>
      <c r="BF36" s="21">
        <v>575696269.0199995</v>
      </c>
      <c r="BG36" s="21">
        <v>575578152.8799994</v>
      </c>
      <c r="BH36" s="21">
        <v>575484926.37999976</v>
      </c>
      <c r="BI36" s="31">
        <f t="shared" ref="BI36:BI43" si="158">BI37-10</f>
        <v>20133</v>
      </c>
      <c r="BJ36" s="21">
        <v>6585384.4100000001</v>
      </c>
      <c r="BK36" s="21">
        <v>39424643.239999995</v>
      </c>
      <c r="BL36" s="21">
        <v>38322495.479999989</v>
      </c>
      <c r="BM36" s="21">
        <v>38105271.679999977</v>
      </c>
      <c r="BN36" s="21">
        <v>38083358.499999978</v>
      </c>
      <c r="BO36" s="21">
        <v>38074266.199999988</v>
      </c>
      <c r="BP36" s="21">
        <v>38065978.489999995</v>
      </c>
      <c r="BQ36" s="21">
        <v>38062430.469999984</v>
      </c>
      <c r="BR36" s="21">
        <v>38061413.639999993</v>
      </c>
      <c r="BS36" s="21">
        <v>38059312.489999987</v>
      </c>
      <c r="BT36" s="21">
        <v>38057465.469999991</v>
      </c>
      <c r="BU36" s="31">
        <f t="shared" ref="BU36:BU43" si="159">BU37-10</f>
        <v>20133</v>
      </c>
      <c r="BV36" s="21">
        <v>30000</v>
      </c>
      <c r="BW36" s="21">
        <v>194825.87000000002</v>
      </c>
      <c r="BX36" s="21">
        <v>264256.39</v>
      </c>
      <c r="BY36" s="21">
        <v>264299.34000000003</v>
      </c>
      <c r="BZ36" s="21">
        <v>264299.34000000003</v>
      </c>
      <c r="CA36" s="21">
        <v>262757.52</v>
      </c>
      <c r="CB36" s="21">
        <v>262757.52</v>
      </c>
      <c r="CC36" s="21">
        <v>262757.52</v>
      </c>
      <c r="CD36" s="21">
        <v>262757.52</v>
      </c>
      <c r="CE36" s="21">
        <v>262757.52</v>
      </c>
      <c r="CF36" s="21">
        <v>262757.52</v>
      </c>
      <c r="CG36" s="31">
        <f t="shared" ref="CG36:CG43" si="160">CG37-10</f>
        <v>20133</v>
      </c>
      <c r="CH36" s="21"/>
      <c r="CI36" s="21"/>
      <c r="CJ36" s="21"/>
      <c r="CK36" s="21"/>
      <c r="CL36" s="21"/>
      <c r="CM36" s="21"/>
      <c r="CN36" s="21"/>
      <c r="CO36" s="21"/>
      <c r="CP36" s="21"/>
      <c r="CQ36" s="21"/>
      <c r="CR36" s="21"/>
      <c r="CS36" s="31">
        <f t="shared" ref="CS36:CS43" si="161">CS37-10</f>
        <v>20133</v>
      </c>
      <c r="CT36" s="21"/>
      <c r="CU36" s="21"/>
      <c r="CV36" s="21"/>
      <c r="CW36" s="21"/>
      <c r="CX36" s="21"/>
      <c r="CY36" s="21"/>
      <c r="CZ36" s="21"/>
      <c r="DA36" s="21"/>
      <c r="DB36" s="21"/>
      <c r="DC36" s="21"/>
      <c r="DD36" s="21"/>
      <c r="DE36" s="31">
        <f t="shared" ref="DE36:DE43" si="162">DE37-10</f>
        <v>20133</v>
      </c>
      <c r="DF36" s="21"/>
      <c r="DG36" s="21"/>
      <c r="DH36" s="21"/>
      <c r="DI36" s="21"/>
      <c r="DJ36" s="21"/>
      <c r="DK36" s="21"/>
      <c r="DL36" s="21"/>
      <c r="DM36" s="21"/>
      <c r="DN36" s="21"/>
      <c r="DO36" s="21"/>
      <c r="DP36" s="21"/>
    </row>
    <row r="37" spans="1:120" ht="15" customHeight="1" x14ac:dyDescent="0.25">
      <c r="A37" s="31">
        <f t="shared" si="153"/>
        <v>20143</v>
      </c>
      <c r="B37" s="21">
        <v>51534997.480000004</v>
      </c>
      <c r="C37" s="21">
        <v>542238401.26999998</v>
      </c>
      <c r="D37" s="21">
        <v>792920023.38</v>
      </c>
      <c r="E37" s="21">
        <v>993136553.30999994</v>
      </c>
      <c r="F37" s="21">
        <v>1093114956.4699998</v>
      </c>
      <c r="G37" s="21">
        <v>1143998553.78</v>
      </c>
      <c r="H37" s="21">
        <v>1153412917.6199999</v>
      </c>
      <c r="I37" s="21">
        <v>1155551553.2399998</v>
      </c>
      <c r="J37" s="21">
        <v>1157239059.7299995</v>
      </c>
      <c r="K37" s="21">
        <v>1158039713.8499999</v>
      </c>
      <c r="L37" s="134" t="s">
        <v>246</v>
      </c>
      <c r="M37" s="31">
        <f t="shared" si="154"/>
        <v>20143</v>
      </c>
      <c r="N37" s="21">
        <v>2737419.2699999996</v>
      </c>
      <c r="O37" s="21">
        <v>49801499.400000006</v>
      </c>
      <c r="P37" s="21">
        <v>61323858.539999999</v>
      </c>
      <c r="Q37" s="21">
        <v>62406976.019999996</v>
      </c>
      <c r="R37" s="21">
        <v>62944815.760000005</v>
      </c>
      <c r="S37" s="21">
        <v>63168046.480000004</v>
      </c>
      <c r="T37" s="21">
        <v>63215487.49000001</v>
      </c>
      <c r="U37" s="21">
        <v>63307004.530000016</v>
      </c>
      <c r="V37" s="21">
        <v>63396267.050000012</v>
      </c>
      <c r="W37" s="21">
        <v>63390869.550000012</v>
      </c>
      <c r="X37" s="134" t="s">
        <v>246</v>
      </c>
      <c r="Y37" s="31">
        <f t="shared" si="155"/>
        <v>20143</v>
      </c>
      <c r="Z37" s="21">
        <v>1391072.8099999998</v>
      </c>
      <c r="AA37" s="21">
        <v>40603156.670000002</v>
      </c>
      <c r="AB37" s="21">
        <v>94050091.950000003</v>
      </c>
      <c r="AC37" s="21">
        <v>127858977.29000001</v>
      </c>
      <c r="AD37" s="21">
        <v>142373151.65000001</v>
      </c>
      <c r="AE37" s="21">
        <v>151049824.19000003</v>
      </c>
      <c r="AF37" s="21">
        <v>155331879.36000001</v>
      </c>
      <c r="AG37" s="21">
        <v>157011091.47</v>
      </c>
      <c r="AH37" s="21">
        <v>158330249.49000007</v>
      </c>
      <c r="AI37" s="21">
        <v>159213246.83000013</v>
      </c>
      <c r="AJ37" s="134" t="s">
        <v>246</v>
      </c>
      <c r="AK37" s="31">
        <f t="shared" si="156"/>
        <v>20143</v>
      </c>
      <c r="AL37" s="21">
        <v>29163933.280000001</v>
      </c>
      <c r="AM37" s="21">
        <v>177597216.97999999</v>
      </c>
      <c r="AN37" s="21">
        <v>179813099.42000002</v>
      </c>
      <c r="AO37" s="21">
        <v>179837242.61000001</v>
      </c>
      <c r="AP37" s="21">
        <v>180014556.56999999</v>
      </c>
      <c r="AQ37" s="21">
        <v>179976220.86999995</v>
      </c>
      <c r="AR37" s="21">
        <v>180040567.55999997</v>
      </c>
      <c r="AS37" s="21">
        <v>180067874.33999997</v>
      </c>
      <c r="AT37" s="21">
        <v>180061111.60999995</v>
      </c>
      <c r="AU37" s="21">
        <v>180058932.74999994</v>
      </c>
      <c r="AV37" s="134" t="s">
        <v>246</v>
      </c>
      <c r="AW37" s="31">
        <f t="shared" si="157"/>
        <v>20143</v>
      </c>
      <c r="AX37" s="21">
        <v>147938232.64000002</v>
      </c>
      <c r="AY37" s="21">
        <v>702183161.03000009</v>
      </c>
      <c r="AZ37" s="21">
        <v>646937681.12000012</v>
      </c>
      <c r="BA37" s="21">
        <v>640883339.72000015</v>
      </c>
      <c r="BB37" s="21">
        <v>639085199.38000023</v>
      </c>
      <c r="BC37" s="21">
        <v>638676403.45000017</v>
      </c>
      <c r="BD37" s="21">
        <v>638540793.34000003</v>
      </c>
      <c r="BE37" s="21">
        <v>638477119.24000013</v>
      </c>
      <c r="BF37" s="21">
        <v>638399993.5200001</v>
      </c>
      <c r="BG37" s="21">
        <v>638362455.65999997</v>
      </c>
      <c r="BH37" s="134" t="s">
        <v>246</v>
      </c>
      <c r="BI37" s="31">
        <f t="shared" si="158"/>
        <v>20143</v>
      </c>
      <c r="BJ37" s="21">
        <v>7584458.9800000004</v>
      </c>
      <c r="BK37" s="21">
        <v>42538098.140000001</v>
      </c>
      <c r="BL37" s="21">
        <v>41143433.210000008</v>
      </c>
      <c r="BM37" s="21">
        <v>41024124.350000001</v>
      </c>
      <c r="BN37" s="21">
        <v>41022782.350000009</v>
      </c>
      <c r="BO37" s="21">
        <v>41024335.210000008</v>
      </c>
      <c r="BP37" s="21">
        <v>41023662.079999998</v>
      </c>
      <c r="BQ37" s="21">
        <v>41022955.859999992</v>
      </c>
      <c r="BR37" s="21">
        <v>41022820.769999988</v>
      </c>
      <c r="BS37" s="21">
        <v>41023320.769999988</v>
      </c>
      <c r="BT37" s="134" t="s">
        <v>246</v>
      </c>
      <c r="BU37" s="31">
        <f t="shared" si="159"/>
        <v>20143</v>
      </c>
      <c r="BV37" s="21">
        <v>30000</v>
      </c>
      <c r="BW37" s="21">
        <v>316321.42</v>
      </c>
      <c r="BX37" s="21">
        <v>344171.42</v>
      </c>
      <c r="BY37" s="21">
        <v>344171.42</v>
      </c>
      <c r="BZ37" s="21">
        <v>367111.87</v>
      </c>
      <c r="CA37" s="21">
        <v>367111.87</v>
      </c>
      <c r="CB37" s="21">
        <v>367111.87</v>
      </c>
      <c r="CC37" s="21">
        <v>367111.87</v>
      </c>
      <c r="CD37" s="21">
        <v>367111.87</v>
      </c>
      <c r="CE37" s="21">
        <v>367111.87</v>
      </c>
      <c r="CF37" s="134" t="s">
        <v>246</v>
      </c>
      <c r="CG37" s="31">
        <f t="shared" si="160"/>
        <v>20143</v>
      </c>
      <c r="CH37" s="21"/>
      <c r="CI37" s="21"/>
      <c r="CJ37" s="21"/>
      <c r="CK37" s="21"/>
      <c r="CL37" s="21"/>
      <c r="CM37" s="21"/>
      <c r="CN37" s="21"/>
      <c r="CO37" s="21"/>
      <c r="CP37" s="21"/>
      <c r="CQ37" s="21"/>
      <c r="CR37" s="134"/>
      <c r="CS37" s="31">
        <f t="shared" si="161"/>
        <v>20143</v>
      </c>
      <c r="CT37" s="21"/>
      <c r="CU37" s="21"/>
      <c r="CV37" s="21"/>
      <c r="CW37" s="21"/>
      <c r="CX37" s="21"/>
      <c r="CY37" s="21"/>
      <c r="CZ37" s="21"/>
      <c r="DA37" s="21"/>
      <c r="DB37" s="21"/>
      <c r="DC37" s="21"/>
      <c r="DD37" s="134"/>
      <c r="DE37" s="31">
        <f t="shared" si="162"/>
        <v>20143</v>
      </c>
      <c r="DF37" s="21"/>
      <c r="DG37" s="21"/>
      <c r="DH37" s="21"/>
      <c r="DI37" s="21"/>
      <c r="DJ37" s="21"/>
      <c r="DK37" s="21"/>
      <c r="DL37" s="21"/>
      <c r="DM37" s="21"/>
      <c r="DN37" s="21"/>
      <c r="DO37" s="21"/>
      <c r="DP37" s="134"/>
    </row>
    <row r="38" spans="1:120" ht="15" customHeight="1" x14ac:dyDescent="0.25">
      <c r="A38" s="31">
        <f t="shared" si="153"/>
        <v>20153</v>
      </c>
      <c r="B38" s="21">
        <v>57325417.369999997</v>
      </c>
      <c r="C38" s="21">
        <v>649975328.04999995</v>
      </c>
      <c r="D38" s="21">
        <v>922128068.22000003</v>
      </c>
      <c r="E38" s="21">
        <v>1074522998.6600001</v>
      </c>
      <c r="F38" s="21">
        <v>1168119387.9200001</v>
      </c>
      <c r="G38" s="21">
        <v>1218485379.4199996</v>
      </c>
      <c r="H38" s="21">
        <v>1230550371.3199999</v>
      </c>
      <c r="I38" s="21">
        <v>1235054370.8499999</v>
      </c>
      <c r="J38" s="21">
        <v>1239089727.3199999</v>
      </c>
      <c r="K38" s="134" t="s">
        <v>246</v>
      </c>
      <c r="L38" s="134" t="s">
        <v>246</v>
      </c>
      <c r="M38" s="31">
        <f t="shared" si="154"/>
        <v>20153</v>
      </c>
      <c r="N38" s="21">
        <v>2269080.2399999998</v>
      </c>
      <c r="O38" s="21">
        <v>48651013.020000003</v>
      </c>
      <c r="P38" s="21">
        <v>61103365.910000011</v>
      </c>
      <c r="Q38" s="21">
        <v>62651584.620000005</v>
      </c>
      <c r="R38" s="21">
        <v>63295074.750000007</v>
      </c>
      <c r="S38" s="21">
        <v>63400972.600000009</v>
      </c>
      <c r="T38" s="21">
        <v>63405266.840000011</v>
      </c>
      <c r="U38" s="21">
        <v>63442334.710000008</v>
      </c>
      <c r="V38" s="21">
        <v>63444360.580000006</v>
      </c>
      <c r="W38" s="134" t="s">
        <v>246</v>
      </c>
      <c r="X38" s="134" t="s">
        <v>246</v>
      </c>
      <c r="Y38" s="31">
        <f t="shared" si="155"/>
        <v>20153</v>
      </c>
      <c r="Z38" s="21">
        <v>1086005.4899999998</v>
      </c>
      <c r="AA38" s="21">
        <v>47655273.989999995</v>
      </c>
      <c r="AB38" s="21">
        <v>109507227.57999998</v>
      </c>
      <c r="AC38" s="21">
        <v>146760298.82999995</v>
      </c>
      <c r="AD38" s="21">
        <v>163935788.78999996</v>
      </c>
      <c r="AE38" s="21">
        <v>173819996.0099999</v>
      </c>
      <c r="AF38" s="21">
        <v>178327926.57999989</v>
      </c>
      <c r="AG38" s="21">
        <v>181056565.93999988</v>
      </c>
      <c r="AH38" s="21">
        <v>182154327.74999988</v>
      </c>
      <c r="AI38" s="134" t="s">
        <v>246</v>
      </c>
      <c r="AJ38" s="134" t="s">
        <v>246</v>
      </c>
      <c r="AK38" s="31">
        <f t="shared" si="156"/>
        <v>20153</v>
      </c>
      <c r="AL38" s="21">
        <v>28206317.029999997</v>
      </c>
      <c r="AM38" s="21">
        <v>190352773.16000003</v>
      </c>
      <c r="AN38" s="21">
        <v>193744811.84999996</v>
      </c>
      <c r="AO38" s="21">
        <v>194156240.39999998</v>
      </c>
      <c r="AP38" s="21">
        <v>194233420.30999997</v>
      </c>
      <c r="AQ38" s="21">
        <v>194269884.28</v>
      </c>
      <c r="AR38" s="21">
        <v>194291127.56999996</v>
      </c>
      <c r="AS38" s="21">
        <v>194303206.59999996</v>
      </c>
      <c r="AT38" s="21">
        <v>194311729.81999996</v>
      </c>
      <c r="AU38" s="134" t="s">
        <v>246</v>
      </c>
      <c r="AV38" s="134" t="s">
        <v>246</v>
      </c>
      <c r="AW38" s="31">
        <f t="shared" si="157"/>
        <v>20153</v>
      </c>
      <c r="AX38" s="21">
        <v>155140947.55000001</v>
      </c>
      <c r="AY38" s="21">
        <v>792181931.6700002</v>
      </c>
      <c r="AZ38" s="21">
        <v>739584064.39000022</v>
      </c>
      <c r="BA38" s="21">
        <v>733638359.99000037</v>
      </c>
      <c r="BB38" s="21">
        <v>731937613.67000055</v>
      </c>
      <c r="BC38" s="21">
        <v>731554945.75000072</v>
      </c>
      <c r="BD38" s="21">
        <v>731430035.20000088</v>
      </c>
      <c r="BE38" s="21">
        <v>731366949.68000078</v>
      </c>
      <c r="BF38" s="21">
        <v>731309296.10000086</v>
      </c>
      <c r="BG38" s="134" t="s">
        <v>246</v>
      </c>
      <c r="BH38" s="134" t="s">
        <v>246</v>
      </c>
      <c r="BI38" s="31">
        <f t="shared" si="158"/>
        <v>20153</v>
      </c>
      <c r="BJ38" s="21">
        <v>7907687.5899999999</v>
      </c>
      <c r="BK38" s="21">
        <v>45563575.799999997</v>
      </c>
      <c r="BL38" s="21">
        <v>44630187.559999987</v>
      </c>
      <c r="BM38" s="21">
        <v>44561657.189999975</v>
      </c>
      <c r="BN38" s="21">
        <v>44551978.069999978</v>
      </c>
      <c r="BO38" s="21">
        <v>44550787.00999999</v>
      </c>
      <c r="BP38" s="21">
        <v>44551074.089999996</v>
      </c>
      <c r="BQ38" s="21">
        <v>44550486.350000001</v>
      </c>
      <c r="BR38" s="21">
        <v>44551405.349999994</v>
      </c>
      <c r="BS38" s="134" t="s">
        <v>246</v>
      </c>
      <c r="BT38" s="134" t="s">
        <v>246</v>
      </c>
      <c r="BU38" s="31">
        <f t="shared" si="159"/>
        <v>20153</v>
      </c>
      <c r="BV38" s="21">
        <v>52000</v>
      </c>
      <c r="BW38" s="21">
        <v>448957.58999999997</v>
      </c>
      <c r="BX38" s="21">
        <v>501471.43</v>
      </c>
      <c r="BY38" s="21">
        <v>504144.63</v>
      </c>
      <c r="BZ38" s="21">
        <v>511667.20000000001</v>
      </c>
      <c r="CA38" s="21">
        <v>511667.20000000001</v>
      </c>
      <c r="CB38" s="21">
        <v>511667.20000000001</v>
      </c>
      <c r="CC38" s="21">
        <v>511667.20000000001</v>
      </c>
      <c r="CD38" s="21">
        <v>511667.20000000001</v>
      </c>
      <c r="CE38" s="134" t="s">
        <v>246</v>
      </c>
      <c r="CF38" s="134" t="s">
        <v>246</v>
      </c>
      <c r="CG38" s="31">
        <f t="shared" si="160"/>
        <v>20153</v>
      </c>
      <c r="CH38" s="21"/>
      <c r="CI38" s="21"/>
      <c r="CJ38" s="21"/>
      <c r="CK38" s="21"/>
      <c r="CL38" s="21"/>
      <c r="CM38" s="21"/>
      <c r="CN38" s="21"/>
      <c r="CO38" s="21"/>
      <c r="CP38" s="21"/>
      <c r="CQ38" s="134"/>
      <c r="CR38" s="134"/>
      <c r="CS38" s="31">
        <f t="shared" si="161"/>
        <v>20153</v>
      </c>
      <c r="CT38" s="21"/>
      <c r="CU38" s="21"/>
      <c r="CV38" s="21"/>
      <c r="CW38" s="21"/>
      <c r="CX38" s="21"/>
      <c r="CY38" s="21"/>
      <c r="CZ38" s="21"/>
      <c r="DA38" s="21"/>
      <c r="DB38" s="21"/>
      <c r="DC38" s="134"/>
      <c r="DD38" s="134"/>
      <c r="DE38" s="31">
        <f t="shared" si="162"/>
        <v>20153</v>
      </c>
      <c r="DF38" s="21"/>
      <c r="DG38" s="21"/>
      <c r="DH38" s="21"/>
      <c r="DI38" s="21"/>
      <c r="DJ38" s="21"/>
      <c r="DK38" s="21"/>
      <c r="DL38" s="21"/>
      <c r="DM38" s="21"/>
      <c r="DN38" s="21"/>
      <c r="DO38" s="134"/>
      <c r="DP38" s="134"/>
    </row>
    <row r="39" spans="1:120" ht="15" customHeight="1" x14ac:dyDescent="0.25">
      <c r="A39" s="31">
        <f t="shared" si="153"/>
        <v>20163</v>
      </c>
      <c r="B39" s="21">
        <v>60549938.43</v>
      </c>
      <c r="C39" s="21">
        <v>717647555.33999991</v>
      </c>
      <c r="D39" s="21">
        <v>1044422150.29</v>
      </c>
      <c r="E39" s="21">
        <v>1202679879.0599999</v>
      </c>
      <c r="F39" s="21">
        <v>1328237643.1300001</v>
      </c>
      <c r="G39" s="21">
        <v>1375728625.7600002</v>
      </c>
      <c r="H39" s="21">
        <v>1393447237.0799999</v>
      </c>
      <c r="I39" s="21">
        <v>1407066468.7299998</v>
      </c>
      <c r="J39" s="134" t="s">
        <v>246</v>
      </c>
      <c r="K39" s="134" t="s">
        <v>246</v>
      </c>
      <c r="L39" s="134" t="s">
        <v>246</v>
      </c>
      <c r="M39" s="31">
        <f t="shared" si="154"/>
        <v>20163</v>
      </c>
      <c r="N39" s="21">
        <v>2486644.4599999995</v>
      </c>
      <c r="O39" s="21">
        <v>48682000.430000007</v>
      </c>
      <c r="P39" s="21">
        <v>62856821.590000004</v>
      </c>
      <c r="Q39" s="21">
        <v>64399077.499999993</v>
      </c>
      <c r="R39" s="21">
        <v>64766722.789999999</v>
      </c>
      <c r="S39" s="21">
        <v>64834361.339999989</v>
      </c>
      <c r="T39" s="21">
        <v>64945005.219999984</v>
      </c>
      <c r="U39" s="21">
        <v>64987694.819999978</v>
      </c>
      <c r="V39" s="134" t="s">
        <v>246</v>
      </c>
      <c r="W39" s="134" t="s">
        <v>246</v>
      </c>
      <c r="X39" s="134" t="s">
        <v>246</v>
      </c>
      <c r="Y39" s="31">
        <f t="shared" si="155"/>
        <v>20163</v>
      </c>
      <c r="Z39" s="21">
        <v>1454649.1099999999</v>
      </c>
      <c r="AA39" s="21">
        <v>57827838.539999999</v>
      </c>
      <c r="AB39" s="21">
        <v>125772639.65000002</v>
      </c>
      <c r="AC39" s="21">
        <v>162846005.60000002</v>
      </c>
      <c r="AD39" s="21">
        <v>177954598.37</v>
      </c>
      <c r="AE39" s="21">
        <v>187059206.30999997</v>
      </c>
      <c r="AF39" s="21">
        <v>192456165.01000002</v>
      </c>
      <c r="AG39" s="21">
        <v>195832012.06000006</v>
      </c>
      <c r="AH39" s="134" t="s">
        <v>246</v>
      </c>
      <c r="AI39" s="134" t="s">
        <v>246</v>
      </c>
      <c r="AJ39" s="134" t="s">
        <v>246</v>
      </c>
      <c r="AK39" s="31">
        <f t="shared" si="156"/>
        <v>20163</v>
      </c>
      <c r="AL39" s="21">
        <v>31249743.029999997</v>
      </c>
      <c r="AM39" s="21">
        <v>204232947.18000001</v>
      </c>
      <c r="AN39" s="21">
        <v>208086017.81000003</v>
      </c>
      <c r="AO39" s="21">
        <v>208358680.5</v>
      </c>
      <c r="AP39" s="21">
        <v>208347369.34</v>
      </c>
      <c r="AQ39" s="21">
        <v>208307945.69000003</v>
      </c>
      <c r="AR39" s="21">
        <v>208362646.02000007</v>
      </c>
      <c r="AS39" s="21">
        <v>208375554.84000006</v>
      </c>
      <c r="AT39" s="134" t="s">
        <v>246</v>
      </c>
      <c r="AU39" s="134" t="s">
        <v>246</v>
      </c>
      <c r="AV39" s="134" t="s">
        <v>246</v>
      </c>
      <c r="AW39" s="31">
        <f t="shared" si="157"/>
        <v>20163</v>
      </c>
      <c r="AX39" s="21">
        <v>166917452.49000001</v>
      </c>
      <c r="AY39" s="21">
        <v>880245273.01999986</v>
      </c>
      <c r="AZ39" s="21">
        <v>822099399.31999981</v>
      </c>
      <c r="BA39" s="21">
        <v>815532634.66999972</v>
      </c>
      <c r="BB39" s="21">
        <v>813558350.91999984</v>
      </c>
      <c r="BC39" s="21">
        <v>812894154.43999982</v>
      </c>
      <c r="BD39" s="21">
        <v>812728383.13</v>
      </c>
      <c r="BE39" s="21">
        <v>812612795.61999989</v>
      </c>
      <c r="BF39" s="134" t="s">
        <v>246</v>
      </c>
      <c r="BG39" s="134" t="s">
        <v>246</v>
      </c>
      <c r="BH39" s="134" t="s">
        <v>246</v>
      </c>
      <c r="BI39" s="31">
        <f t="shared" si="158"/>
        <v>20163</v>
      </c>
      <c r="BJ39" s="21">
        <v>8421285.4600000009</v>
      </c>
      <c r="BK39" s="21">
        <v>50485551.499999993</v>
      </c>
      <c r="BL39" s="21">
        <v>49524186.009999983</v>
      </c>
      <c r="BM39" s="21">
        <v>49450647.389999993</v>
      </c>
      <c r="BN39" s="21">
        <v>49444894.809999987</v>
      </c>
      <c r="BO39" s="21">
        <v>49444773.79999999</v>
      </c>
      <c r="BP39" s="21">
        <v>49445000.409999989</v>
      </c>
      <c r="BQ39" s="21">
        <v>49445491.499999985</v>
      </c>
      <c r="BR39" s="134" t="s">
        <v>246</v>
      </c>
      <c r="BS39" s="134" t="s">
        <v>246</v>
      </c>
      <c r="BT39" s="134" t="s">
        <v>246</v>
      </c>
      <c r="BU39" s="31">
        <f t="shared" si="159"/>
        <v>20163</v>
      </c>
      <c r="BV39" s="21">
        <v>5850</v>
      </c>
      <c r="BW39" s="21">
        <v>204700</v>
      </c>
      <c r="BX39" s="21">
        <v>239100</v>
      </c>
      <c r="BY39" s="21">
        <v>259100</v>
      </c>
      <c r="BZ39" s="21">
        <v>267100</v>
      </c>
      <c r="CA39" s="21">
        <v>275600</v>
      </c>
      <c r="CB39" s="21">
        <v>275600</v>
      </c>
      <c r="CC39" s="21">
        <v>275600</v>
      </c>
      <c r="CD39" s="134" t="s">
        <v>246</v>
      </c>
      <c r="CE39" s="134" t="s">
        <v>246</v>
      </c>
      <c r="CF39" s="134" t="s">
        <v>246</v>
      </c>
      <c r="CG39" s="31">
        <f t="shared" si="160"/>
        <v>20163</v>
      </c>
      <c r="CH39" s="21"/>
      <c r="CI39" s="21"/>
      <c r="CJ39" s="21"/>
      <c r="CK39" s="21"/>
      <c r="CL39" s="21"/>
      <c r="CM39" s="21"/>
      <c r="CN39" s="21"/>
      <c r="CO39" s="21"/>
      <c r="CP39" s="134"/>
      <c r="CQ39" s="134"/>
      <c r="CR39" s="134"/>
      <c r="CS39" s="31">
        <f t="shared" si="161"/>
        <v>20163</v>
      </c>
      <c r="CT39" s="21"/>
      <c r="CU39" s="21"/>
      <c r="CV39" s="21"/>
      <c r="CW39" s="21"/>
      <c r="CX39" s="21"/>
      <c r="CY39" s="21"/>
      <c r="CZ39" s="21"/>
      <c r="DA39" s="21"/>
      <c r="DB39" s="134"/>
      <c r="DC39" s="134"/>
      <c r="DD39" s="134"/>
      <c r="DE39" s="31">
        <f t="shared" si="162"/>
        <v>20163</v>
      </c>
      <c r="DF39" s="21"/>
      <c r="DG39" s="21"/>
      <c r="DH39" s="21"/>
      <c r="DI39" s="21"/>
      <c r="DJ39" s="21"/>
      <c r="DK39" s="21"/>
      <c r="DL39" s="21"/>
      <c r="DM39" s="21"/>
      <c r="DN39" s="134"/>
      <c r="DO39" s="134"/>
      <c r="DP39" s="134"/>
    </row>
    <row r="40" spans="1:120" ht="15" customHeight="1" x14ac:dyDescent="0.25">
      <c r="A40" s="31">
        <f t="shared" si="153"/>
        <v>20173</v>
      </c>
      <c r="B40" s="21">
        <v>65733987.930000007</v>
      </c>
      <c r="C40" s="21">
        <v>723163922.25999987</v>
      </c>
      <c r="D40" s="21">
        <v>996168409.61000013</v>
      </c>
      <c r="E40" s="21">
        <v>1192533797.0900002</v>
      </c>
      <c r="F40" s="21">
        <v>1291644927.0400004</v>
      </c>
      <c r="G40" s="21">
        <v>1355056939.8100004</v>
      </c>
      <c r="H40" s="21">
        <v>1412560478.55</v>
      </c>
      <c r="I40" s="134" t="s">
        <v>246</v>
      </c>
      <c r="J40" s="134" t="s">
        <v>246</v>
      </c>
      <c r="K40" s="134" t="s">
        <v>246</v>
      </c>
      <c r="L40" s="134" t="s">
        <v>246</v>
      </c>
      <c r="M40" s="31">
        <f t="shared" si="154"/>
        <v>20173</v>
      </c>
      <c r="N40" s="21">
        <v>3144596.7</v>
      </c>
      <c r="O40" s="21">
        <v>51955650.11999999</v>
      </c>
      <c r="P40" s="21">
        <v>67585625.199999988</v>
      </c>
      <c r="Q40" s="21">
        <v>70377394.079999998</v>
      </c>
      <c r="R40" s="21">
        <v>70834459.729999989</v>
      </c>
      <c r="S40" s="21">
        <v>70968202.799999982</v>
      </c>
      <c r="T40" s="21">
        <v>70995948.049999982</v>
      </c>
      <c r="U40" s="134" t="s">
        <v>246</v>
      </c>
      <c r="V40" s="134" t="s">
        <v>246</v>
      </c>
      <c r="W40" s="134" t="s">
        <v>246</v>
      </c>
      <c r="X40" s="134" t="s">
        <v>246</v>
      </c>
      <c r="Y40" s="31">
        <f t="shared" si="155"/>
        <v>20173</v>
      </c>
      <c r="Z40" s="21">
        <v>1943475.61</v>
      </c>
      <c r="AA40" s="21">
        <v>66012322.789999992</v>
      </c>
      <c r="AB40" s="21">
        <v>143493150.60999998</v>
      </c>
      <c r="AC40" s="21">
        <v>184123423.59999996</v>
      </c>
      <c r="AD40" s="21">
        <v>202727050.68999997</v>
      </c>
      <c r="AE40" s="21">
        <v>212891318.06999996</v>
      </c>
      <c r="AF40" s="21">
        <v>219738605.21999994</v>
      </c>
      <c r="AG40" s="134" t="s">
        <v>246</v>
      </c>
      <c r="AH40" s="134" t="s">
        <v>246</v>
      </c>
      <c r="AI40" s="134" t="s">
        <v>246</v>
      </c>
      <c r="AJ40" s="134" t="s">
        <v>246</v>
      </c>
      <c r="AK40" s="31">
        <f t="shared" si="156"/>
        <v>20173</v>
      </c>
      <c r="AL40" s="21">
        <v>31929242.230000004</v>
      </c>
      <c r="AM40" s="21">
        <v>221296073.68000001</v>
      </c>
      <c r="AN40" s="21">
        <v>225517882.44</v>
      </c>
      <c r="AO40" s="21">
        <v>226177900.05999997</v>
      </c>
      <c r="AP40" s="21">
        <v>226491337.84999996</v>
      </c>
      <c r="AQ40" s="21">
        <v>226643563.67999992</v>
      </c>
      <c r="AR40" s="21">
        <v>226661845.55999991</v>
      </c>
      <c r="AS40" s="134" t="s">
        <v>246</v>
      </c>
      <c r="AT40" s="134" t="s">
        <v>246</v>
      </c>
      <c r="AU40" s="134" t="s">
        <v>246</v>
      </c>
      <c r="AV40" s="134" t="s">
        <v>246</v>
      </c>
      <c r="AW40" s="31">
        <f t="shared" si="157"/>
        <v>20173</v>
      </c>
      <c r="AX40" s="21">
        <v>183396218.34</v>
      </c>
      <c r="AY40" s="21">
        <v>909712909.46999991</v>
      </c>
      <c r="AZ40" s="21">
        <v>860098616.36000001</v>
      </c>
      <c r="BA40" s="21">
        <v>854034705.59000015</v>
      </c>
      <c r="BB40" s="21">
        <v>852401350.25000012</v>
      </c>
      <c r="BC40" s="21">
        <v>851714246.11999989</v>
      </c>
      <c r="BD40" s="21">
        <v>851471575.55000007</v>
      </c>
      <c r="BE40" s="134" t="s">
        <v>246</v>
      </c>
      <c r="BF40" s="134" t="s">
        <v>246</v>
      </c>
      <c r="BG40" s="134" t="s">
        <v>246</v>
      </c>
      <c r="BH40" s="134" t="s">
        <v>246</v>
      </c>
      <c r="BI40" s="31">
        <f t="shared" si="158"/>
        <v>20173</v>
      </c>
      <c r="BJ40" s="21">
        <v>8794612.5599999987</v>
      </c>
      <c r="BK40" s="21">
        <v>54907559.699999996</v>
      </c>
      <c r="BL40" s="21">
        <v>53933028.889999986</v>
      </c>
      <c r="BM40" s="21">
        <v>53901787.399999991</v>
      </c>
      <c r="BN40" s="21">
        <v>53909139.949999988</v>
      </c>
      <c r="BO40" s="21">
        <v>53916851.519999988</v>
      </c>
      <c r="BP40" s="21">
        <v>53916939.629999988</v>
      </c>
      <c r="BQ40" s="134" t="s">
        <v>246</v>
      </c>
      <c r="BR40" s="134" t="s">
        <v>246</v>
      </c>
      <c r="BS40" s="134" t="s">
        <v>246</v>
      </c>
      <c r="BT40" s="134" t="s">
        <v>246</v>
      </c>
      <c r="BU40" s="31">
        <f t="shared" si="159"/>
        <v>20173</v>
      </c>
      <c r="BV40" s="21">
        <v>41850</v>
      </c>
      <c r="BW40" s="21">
        <v>328700</v>
      </c>
      <c r="BX40" s="21">
        <v>378950</v>
      </c>
      <c r="BY40" s="21">
        <v>379934.12</v>
      </c>
      <c r="BZ40" s="21">
        <v>379934.12</v>
      </c>
      <c r="CA40" s="21">
        <v>379934.12</v>
      </c>
      <c r="CB40" s="21">
        <v>379934.12</v>
      </c>
      <c r="CC40" s="134" t="s">
        <v>246</v>
      </c>
      <c r="CD40" s="134" t="s">
        <v>246</v>
      </c>
      <c r="CE40" s="134" t="s">
        <v>246</v>
      </c>
      <c r="CF40" s="134" t="s">
        <v>246</v>
      </c>
      <c r="CG40" s="31">
        <f t="shared" si="160"/>
        <v>20173</v>
      </c>
      <c r="CH40" s="21"/>
      <c r="CI40" s="21"/>
      <c r="CJ40" s="21"/>
      <c r="CK40" s="21"/>
      <c r="CL40" s="21"/>
      <c r="CM40" s="21"/>
      <c r="CN40" s="21"/>
      <c r="CO40" s="134"/>
      <c r="CP40" s="134"/>
      <c r="CQ40" s="134"/>
      <c r="CR40" s="134"/>
      <c r="CS40" s="31">
        <f t="shared" si="161"/>
        <v>20173</v>
      </c>
      <c r="CT40" s="21"/>
      <c r="CU40" s="21"/>
      <c r="CV40" s="21"/>
      <c r="CW40" s="21"/>
      <c r="CX40" s="21"/>
      <c r="CY40" s="21"/>
      <c r="CZ40" s="21"/>
      <c r="DA40" s="134"/>
      <c r="DB40" s="134"/>
      <c r="DC40" s="134"/>
      <c r="DD40" s="134"/>
      <c r="DE40" s="31">
        <f t="shared" si="162"/>
        <v>20173</v>
      </c>
      <c r="DF40" s="21"/>
      <c r="DG40" s="21"/>
      <c r="DH40" s="21"/>
      <c r="DI40" s="21"/>
      <c r="DJ40" s="21"/>
      <c r="DK40" s="21"/>
      <c r="DL40" s="21"/>
      <c r="DM40" s="134"/>
      <c r="DN40" s="134"/>
      <c r="DO40" s="134"/>
      <c r="DP40" s="134"/>
    </row>
    <row r="41" spans="1:120" ht="15" customHeight="1" x14ac:dyDescent="0.25">
      <c r="A41" s="31">
        <f t="shared" si="153"/>
        <v>20183</v>
      </c>
      <c r="B41" s="21">
        <v>66148420.5</v>
      </c>
      <c r="C41" s="21">
        <v>681335831.25000012</v>
      </c>
      <c r="D41" s="21">
        <v>956585154.2900002</v>
      </c>
      <c r="E41" s="21">
        <v>1113201321.7800002</v>
      </c>
      <c r="F41" s="21">
        <v>1229952843.9200001</v>
      </c>
      <c r="G41" s="21">
        <v>1313917730.6200001</v>
      </c>
      <c r="H41" s="134" t="s">
        <v>246</v>
      </c>
      <c r="I41" s="134" t="s">
        <v>246</v>
      </c>
      <c r="J41" s="134" t="s">
        <v>246</v>
      </c>
      <c r="K41" s="134" t="s">
        <v>246</v>
      </c>
      <c r="L41" s="134" t="s">
        <v>246</v>
      </c>
      <c r="M41" s="31">
        <f t="shared" si="154"/>
        <v>20183</v>
      </c>
      <c r="N41" s="21">
        <v>2390176.0300000003</v>
      </c>
      <c r="O41" s="21">
        <v>49898862.749999993</v>
      </c>
      <c r="P41" s="21">
        <v>67674918.319999993</v>
      </c>
      <c r="Q41" s="21">
        <v>70555506.029999986</v>
      </c>
      <c r="R41" s="21">
        <v>71244855.979999959</v>
      </c>
      <c r="S41" s="21">
        <v>71425261.969999954</v>
      </c>
      <c r="T41" s="134" t="s">
        <v>246</v>
      </c>
      <c r="U41" s="134" t="s">
        <v>246</v>
      </c>
      <c r="V41" s="134" t="s">
        <v>246</v>
      </c>
      <c r="W41" s="134" t="s">
        <v>246</v>
      </c>
      <c r="X41" s="134" t="s">
        <v>246</v>
      </c>
      <c r="Y41" s="31">
        <f t="shared" si="155"/>
        <v>20183</v>
      </c>
      <c r="Z41" s="21">
        <v>1852525.67</v>
      </c>
      <c r="AA41" s="21">
        <v>67663449.530000001</v>
      </c>
      <c r="AB41" s="21">
        <v>144026672.22</v>
      </c>
      <c r="AC41" s="21">
        <v>183076431.26999998</v>
      </c>
      <c r="AD41" s="21">
        <v>204134638.54000002</v>
      </c>
      <c r="AE41" s="21">
        <v>216857487.50999999</v>
      </c>
      <c r="AF41" s="134" t="s">
        <v>246</v>
      </c>
      <c r="AG41" s="134" t="s">
        <v>246</v>
      </c>
      <c r="AH41" s="134" t="s">
        <v>246</v>
      </c>
      <c r="AI41" s="134" t="s">
        <v>246</v>
      </c>
      <c r="AJ41" s="134" t="s">
        <v>246</v>
      </c>
      <c r="AK41" s="31">
        <f t="shared" si="156"/>
        <v>20183</v>
      </c>
      <c r="AL41" s="21">
        <v>35834960.5</v>
      </c>
      <c r="AM41" s="21">
        <v>214900086.44999999</v>
      </c>
      <c r="AN41" s="21">
        <v>218822070.92000002</v>
      </c>
      <c r="AO41" s="21">
        <v>218890507.79000005</v>
      </c>
      <c r="AP41" s="21">
        <v>218958445.35000002</v>
      </c>
      <c r="AQ41" s="21">
        <v>219031255.16000003</v>
      </c>
      <c r="AR41" s="134" t="s">
        <v>246</v>
      </c>
      <c r="AS41" s="134" t="s">
        <v>246</v>
      </c>
      <c r="AT41" s="134" t="s">
        <v>246</v>
      </c>
      <c r="AU41" s="134" t="s">
        <v>246</v>
      </c>
      <c r="AV41" s="134" t="s">
        <v>246</v>
      </c>
      <c r="AW41" s="31">
        <f t="shared" si="157"/>
        <v>20183</v>
      </c>
      <c r="AX41" s="21">
        <v>199761360.26999998</v>
      </c>
      <c r="AY41" s="21">
        <v>884825047.11000001</v>
      </c>
      <c r="AZ41" s="21">
        <v>844237090.08000004</v>
      </c>
      <c r="BA41" s="21">
        <v>838790276.55000019</v>
      </c>
      <c r="BB41" s="21">
        <v>836446491.97000015</v>
      </c>
      <c r="BC41" s="21">
        <v>835794309.6500001</v>
      </c>
      <c r="BD41" s="134" t="s">
        <v>246</v>
      </c>
      <c r="BE41" s="134" t="s">
        <v>246</v>
      </c>
      <c r="BF41" s="134" t="s">
        <v>246</v>
      </c>
      <c r="BG41" s="134" t="s">
        <v>246</v>
      </c>
      <c r="BH41" s="134" t="s">
        <v>246</v>
      </c>
      <c r="BI41" s="31">
        <f t="shared" si="158"/>
        <v>20183</v>
      </c>
      <c r="BJ41" s="21">
        <v>9712380.7599999998</v>
      </c>
      <c r="BK41" s="21">
        <v>51684218.329999991</v>
      </c>
      <c r="BL41" s="21">
        <v>51161439.50999999</v>
      </c>
      <c r="BM41" s="21">
        <v>51148060.729999989</v>
      </c>
      <c r="BN41" s="21">
        <v>51167075.57</v>
      </c>
      <c r="BO41" s="21">
        <v>51173252.039999999</v>
      </c>
      <c r="BP41" s="134" t="s">
        <v>246</v>
      </c>
      <c r="BQ41" s="134" t="s">
        <v>246</v>
      </c>
      <c r="BR41" s="134" t="s">
        <v>246</v>
      </c>
      <c r="BS41" s="134" t="s">
        <v>246</v>
      </c>
      <c r="BT41" s="134" t="s">
        <v>246</v>
      </c>
      <c r="BU41" s="31">
        <f t="shared" si="159"/>
        <v>20183</v>
      </c>
      <c r="BV41" s="21">
        <v>35500</v>
      </c>
      <c r="BW41" s="21">
        <v>387773.42</v>
      </c>
      <c r="BX41" s="21">
        <v>517903.42</v>
      </c>
      <c r="BY41" s="21">
        <v>532903.41999999993</v>
      </c>
      <c r="BZ41" s="21">
        <v>539653.41999999993</v>
      </c>
      <c r="CA41" s="21">
        <v>539653.41999999993</v>
      </c>
      <c r="CB41" s="134" t="s">
        <v>246</v>
      </c>
      <c r="CC41" s="134" t="s">
        <v>246</v>
      </c>
      <c r="CD41" s="134" t="s">
        <v>246</v>
      </c>
      <c r="CE41" s="134" t="s">
        <v>246</v>
      </c>
      <c r="CF41" s="134" t="s">
        <v>246</v>
      </c>
      <c r="CG41" s="31">
        <f t="shared" si="160"/>
        <v>20183</v>
      </c>
      <c r="CH41" s="21"/>
      <c r="CI41" s="21"/>
      <c r="CJ41" s="21"/>
      <c r="CK41" s="21"/>
      <c r="CL41" s="21"/>
      <c r="CM41" s="21"/>
      <c r="CN41" s="134"/>
      <c r="CO41" s="134"/>
      <c r="CP41" s="134"/>
      <c r="CQ41" s="134"/>
      <c r="CR41" s="134"/>
      <c r="CS41" s="31">
        <f t="shared" si="161"/>
        <v>20183</v>
      </c>
      <c r="CT41" s="21"/>
      <c r="CU41" s="21"/>
      <c r="CV41" s="21"/>
      <c r="CW41" s="21"/>
      <c r="CX41" s="21"/>
      <c r="CY41" s="21"/>
      <c r="CZ41" s="134"/>
      <c r="DA41" s="134"/>
      <c r="DB41" s="134"/>
      <c r="DC41" s="134"/>
      <c r="DD41" s="134"/>
      <c r="DE41" s="31">
        <f t="shared" si="162"/>
        <v>20183</v>
      </c>
      <c r="DF41" s="21"/>
      <c r="DG41" s="21"/>
      <c r="DH41" s="21"/>
      <c r="DI41" s="21"/>
      <c r="DJ41" s="21"/>
      <c r="DK41" s="21"/>
      <c r="DL41" s="134"/>
      <c r="DM41" s="134"/>
      <c r="DN41" s="134"/>
      <c r="DO41" s="134"/>
      <c r="DP41" s="134"/>
    </row>
    <row r="42" spans="1:120" ht="15" customHeight="1" x14ac:dyDescent="0.25">
      <c r="A42" s="31">
        <f t="shared" si="153"/>
        <v>20193</v>
      </c>
      <c r="B42" s="21">
        <v>59487863.330000006</v>
      </c>
      <c r="C42" s="21">
        <v>637668524.43000007</v>
      </c>
      <c r="D42" s="21">
        <v>894028542.58000016</v>
      </c>
      <c r="E42" s="21">
        <v>1045013837.4700001</v>
      </c>
      <c r="F42" s="21">
        <v>1186412744.6200004</v>
      </c>
      <c r="G42" s="134" t="s">
        <v>246</v>
      </c>
      <c r="H42" s="134" t="s">
        <v>246</v>
      </c>
      <c r="I42" s="134" t="s">
        <v>246</v>
      </c>
      <c r="J42" s="134" t="s">
        <v>246</v>
      </c>
      <c r="K42" s="134" t="s">
        <v>246</v>
      </c>
      <c r="L42" s="134" t="s">
        <v>246</v>
      </c>
      <c r="M42" s="31">
        <f t="shared" si="154"/>
        <v>20193</v>
      </c>
      <c r="N42" s="21">
        <v>2583009.1800000002</v>
      </c>
      <c r="O42" s="21">
        <v>48812984.539999999</v>
      </c>
      <c r="P42" s="21">
        <v>66449599.07</v>
      </c>
      <c r="Q42" s="21">
        <v>70050311.12999998</v>
      </c>
      <c r="R42" s="21">
        <v>70944526.929999992</v>
      </c>
      <c r="S42" s="134" t="s">
        <v>246</v>
      </c>
      <c r="T42" s="134" t="s">
        <v>246</v>
      </c>
      <c r="U42" s="134" t="s">
        <v>246</v>
      </c>
      <c r="V42" s="134" t="s">
        <v>246</v>
      </c>
      <c r="W42" s="134" t="s">
        <v>246</v>
      </c>
      <c r="X42" s="134" t="s">
        <v>246</v>
      </c>
      <c r="Y42" s="31">
        <f t="shared" si="155"/>
        <v>20193</v>
      </c>
      <c r="Z42" s="21">
        <v>1573184.99</v>
      </c>
      <c r="AA42" s="21">
        <v>62902087.150000006</v>
      </c>
      <c r="AB42" s="21">
        <v>131889464.45000002</v>
      </c>
      <c r="AC42" s="21">
        <v>174546011.32000005</v>
      </c>
      <c r="AD42" s="21">
        <v>200980820.59000006</v>
      </c>
      <c r="AE42" s="134" t="s">
        <v>246</v>
      </c>
      <c r="AF42" s="134" t="s">
        <v>246</v>
      </c>
      <c r="AG42" s="134" t="s">
        <v>246</v>
      </c>
      <c r="AH42" s="134" t="s">
        <v>246</v>
      </c>
      <c r="AI42" s="134" t="s">
        <v>246</v>
      </c>
      <c r="AJ42" s="134" t="s">
        <v>246</v>
      </c>
      <c r="AK42" s="31">
        <f t="shared" si="156"/>
        <v>20193</v>
      </c>
      <c r="AL42" s="21">
        <v>38847396.789999999</v>
      </c>
      <c r="AM42" s="21">
        <v>231623163.66000003</v>
      </c>
      <c r="AN42" s="21">
        <v>234679622.52000004</v>
      </c>
      <c r="AO42" s="21">
        <v>234089260.04999998</v>
      </c>
      <c r="AP42" s="21">
        <v>234268286.24000001</v>
      </c>
      <c r="AQ42" s="134" t="s">
        <v>246</v>
      </c>
      <c r="AR42" s="134" t="s">
        <v>246</v>
      </c>
      <c r="AS42" s="134" t="s">
        <v>246</v>
      </c>
      <c r="AT42" s="134" t="s">
        <v>246</v>
      </c>
      <c r="AU42" s="134" t="s">
        <v>246</v>
      </c>
      <c r="AV42" s="134" t="s">
        <v>246</v>
      </c>
      <c r="AW42" s="31">
        <f t="shared" si="157"/>
        <v>20193</v>
      </c>
      <c r="AX42" s="21">
        <v>198109780.09</v>
      </c>
      <c r="AY42" s="21">
        <v>912667333.05000007</v>
      </c>
      <c r="AZ42" s="21">
        <v>870023682.16000009</v>
      </c>
      <c r="BA42" s="21">
        <v>865355748.71000004</v>
      </c>
      <c r="BB42" s="21">
        <v>862865767.5</v>
      </c>
      <c r="BC42" s="134" t="s">
        <v>246</v>
      </c>
      <c r="BD42" s="134" t="s">
        <v>246</v>
      </c>
      <c r="BE42" s="134" t="s">
        <v>246</v>
      </c>
      <c r="BF42" s="134" t="s">
        <v>246</v>
      </c>
      <c r="BG42" s="134" t="s">
        <v>246</v>
      </c>
      <c r="BH42" s="134" t="s">
        <v>246</v>
      </c>
      <c r="BI42" s="31">
        <f t="shared" si="158"/>
        <v>20193</v>
      </c>
      <c r="BJ42" s="21">
        <v>9391293.870000001</v>
      </c>
      <c r="BK42" s="21">
        <v>54318153.899999999</v>
      </c>
      <c r="BL42" s="21">
        <v>53518504.099999994</v>
      </c>
      <c r="BM42" s="21">
        <v>53537065</v>
      </c>
      <c r="BN42" s="21">
        <v>53553416.310000002</v>
      </c>
      <c r="BO42" s="134" t="s">
        <v>246</v>
      </c>
      <c r="BP42" s="134" t="s">
        <v>246</v>
      </c>
      <c r="BQ42" s="134" t="s">
        <v>246</v>
      </c>
      <c r="BR42" s="134" t="s">
        <v>246</v>
      </c>
      <c r="BS42" s="134" t="s">
        <v>246</v>
      </c>
      <c r="BT42" s="134" t="s">
        <v>246</v>
      </c>
      <c r="BU42" s="31">
        <f t="shared" si="159"/>
        <v>20193</v>
      </c>
      <c r="BV42" s="21">
        <v>50000</v>
      </c>
      <c r="BW42" s="21">
        <v>406548.28</v>
      </c>
      <c r="BX42" s="21">
        <v>459150</v>
      </c>
      <c r="BY42" s="21">
        <v>474150</v>
      </c>
      <c r="BZ42" s="21">
        <v>474150</v>
      </c>
      <c r="CA42" s="134" t="s">
        <v>246</v>
      </c>
      <c r="CB42" s="134" t="s">
        <v>246</v>
      </c>
      <c r="CC42" s="134" t="s">
        <v>246</v>
      </c>
      <c r="CD42" s="134" t="s">
        <v>246</v>
      </c>
      <c r="CE42" s="134" t="s">
        <v>246</v>
      </c>
      <c r="CF42" s="134" t="s">
        <v>246</v>
      </c>
      <c r="CG42" s="31">
        <f t="shared" si="160"/>
        <v>20193</v>
      </c>
      <c r="CH42" s="21"/>
      <c r="CI42" s="21"/>
      <c r="CJ42" s="21"/>
      <c r="CK42" s="21"/>
      <c r="CL42" s="21"/>
      <c r="CM42" s="134"/>
      <c r="CN42" s="134"/>
      <c r="CO42" s="134"/>
      <c r="CP42" s="134"/>
      <c r="CQ42" s="134"/>
      <c r="CR42" s="134"/>
      <c r="CS42" s="31">
        <f t="shared" si="161"/>
        <v>20193</v>
      </c>
      <c r="CT42" s="21"/>
      <c r="CU42" s="21"/>
      <c r="CV42" s="21"/>
      <c r="CW42" s="21"/>
      <c r="CX42" s="21"/>
      <c r="CY42" s="134"/>
      <c r="CZ42" s="134"/>
      <c r="DA42" s="134"/>
      <c r="DB42" s="134"/>
      <c r="DC42" s="134"/>
      <c r="DD42" s="134"/>
      <c r="DE42" s="31">
        <f t="shared" si="162"/>
        <v>20193</v>
      </c>
      <c r="DF42" s="21"/>
      <c r="DG42" s="21"/>
      <c r="DH42" s="21"/>
      <c r="DI42" s="21"/>
      <c r="DJ42" s="21"/>
      <c r="DK42" s="134"/>
      <c r="DL42" s="134"/>
      <c r="DM42" s="134"/>
      <c r="DN42" s="134"/>
      <c r="DO42" s="134"/>
      <c r="DP42" s="134"/>
    </row>
    <row r="43" spans="1:120" ht="15" customHeight="1" x14ac:dyDescent="0.25">
      <c r="A43" s="31">
        <f t="shared" si="153"/>
        <v>20203</v>
      </c>
      <c r="B43" s="21">
        <v>61217904.480000004</v>
      </c>
      <c r="C43" s="21">
        <v>496404837.51999998</v>
      </c>
      <c r="D43" s="21">
        <v>676395694.11000013</v>
      </c>
      <c r="E43" s="21">
        <v>830954345.81000018</v>
      </c>
      <c r="F43" s="134" t="s">
        <v>246</v>
      </c>
      <c r="G43" s="134" t="s">
        <v>246</v>
      </c>
      <c r="H43" s="134" t="s">
        <v>246</v>
      </c>
      <c r="I43" s="134" t="s">
        <v>246</v>
      </c>
      <c r="J43" s="134" t="s">
        <v>246</v>
      </c>
      <c r="K43" s="134" t="s">
        <v>246</v>
      </c>
      <c r="L43" s="134" t="s">
        <v>246</v>
      </c>
      <c r="M43" s="31">
        <f t="shared" si="154"/>
        <v>20203</v>
      </c>
      <c r="N43" s="21">
        <v>2758077.85</v>
      </c>
      <c r="O43" s="21">
        <v>36028146.569999993</v>
      </c>
      <c r="P43" s="21">
        <v>48919166.680000007</v>
      </c>
      <c r="Q43" s="21">
        <v>51799131.970000006</v>
      </c>
      <c r="R43" s="134" t="s">
        <v>246</v>
      </c>
      <c r="S43" s="134" t="s">
        <v>246</v>
      </c>
      <c r="T43" s="134" t="s">
        <v>246</v>
      </c>
      <c r="U43" s="134" t="s">
        <v>246</v>
      </c>
      <c r="V43" s="134" t="s">
        <v>246</v>
      </c>
      <c r="W43" s="134" t="s">
        <v>246</v>
      </c>
      <c r="X43" s="134" t="s">
        <v>246</v>
      </c>
      <c r="Y43" s="31">
        <f t="shared" si="155"/>
        <v>20203</v>
      </c>
      <c r="Z43" s="21">
        <v>1745474.94</v>
      </c>
      <c r="AA43" s="21">
        <v>50659514.170000002</v>
      </c>
      <c r="AB43" s="21">
        <v>120710680.97</v>
      </c>
      <c r="AC43" s="21">
        <v>163862138.50999999</v>
      </c>
      <c r="AD43" s="134" t="s">
        <v>246</v>
      </c>
      <c r="AE43" s="134" t="s">
        <v>246</v>
      </c>
      <c r="AF43" s="134" t="s">
        <v>246</v>
      </c>
      <c r="AG43" s="134" t="s">
        <v>246</v>
      </c>
      <c r="AH43" s="134" t="s">
        <v>246</v>
      </c>
      <c r="AI43" s="134" t="s">
        <v>246</v>
      </c>
      <c r="AJ43" s="134" t="s">
        <v>246</v>
      </c>
      <c r="AK43" s="31">
        <f t="shared" si="156"/>
        <v>20203</v>
      </c>
      <c r="AL43" s="21">
        <v>40222453.5</v>
      </c>
      <c r="AM43" s="21">
        <v>229342019.17999995</v>
      </c>
      <c r="AN43" s="21">
        <v>233818306.01999992</v>
      </c>
      <c r="AO43" s="21">
        <v>235484990.16999987</v>
      </c>
      <c r="AP43" s="134" t="s">
        <v>246</v>
      </c>
      <c r="AQ43" s="134" t="s">
        <v>246</v>
      </c>
      <c r="AR43" s="134" t="s">
        <v>246</v>
      </c>
      <c r="AS43" s="134" t="s">
        <v>246</v>
      </c>
      <c r="AT43" s="134" t="s">
        <v>246</v>
      </c>
      <c r="AU43" s="134" t="s">
        <v>246</v>
      </c>
      <c r="AV43" s="134" t="s">
        <v>246</v>
      </c>
      <c r="AW43" s="31">
        <f t="shared" si="157"/>
        <v>20203</v>
      </c>
      <c r="AX43" s="21">
        <v>205294639.28999999</v>
      </c>
      <c r="AY43" s="21">
        <v>729863623.82999992</v>
      </c>
      <c r="AZ43" s="21">
        <v>715510378.67999995</v>
      </c>
      <c r="BA43" s="21">
        <v>713178969.34000003</v>
      </c>
      <c r="BB43" s="134" t="s">
        <v>246</v>
      </c>
      <c r="BC43" s="134" t="s">
        <v>246</v>
      </c>
      <c r="BD43" s="134" t="s">
        <v>246</v>
      </c>
      <c r="BE43" s="134" t="s">
        <v>246</v>
      </c>
      <c r="BF43" s="134" t="s">
        <v>246</v>
      </c>
      <c r="BG43" s="134" t="s">
        <v>246</v>
      </c>
      <c r="BH43" s="134" t="s">
        <v>246</v>
      </c>
      <c r="BI43" s="31">
        <f t="shared" si="158"/>
        <v>20203</v>
      </c>
      <c r="BJ43" s="21">
        <v>10283734.149999999</v>
      </c>
      <c r="BK43" s="21">
        <v>45329157.049999997</v>
      </c>
      <c r="BL43" s="21">
        <v>45380840.5</v>
      </c>
      <c r="BM43" s="21">
        <v>45443593.329999991</v>
      </c>
      <c r="BN43" s="134" t="s">
        <v>246</v>
      </c>
      <c r="BO43" s="134" t="s">
        <v>246</v>
      </c>
      <c r="BP43" s="134" t="s">
        <v>246</v>
      </c>
      <c r="BQ43" s="134" t="s">
        <v>246</v>
      </c>
      <c r="BR43" s="134" t="s">
        <v>246</v>
      </c>
      <c r="BS43" s="134" t="s">
        <v>246</v>
      </c>
      <c r="BT43" s="134" t="s">
        <v>246</v>
      </c>
      <c r="BU43" s="31">
        <f t="shared" si="159"/>
        <v>20203</v>
      </c>
      <c r="BV43" s="21">
        <v>10000</v>
      </c>
      <c r="BW43" s="21">
        <v>142350</v>
      </c>
      <c r="BX43" s="21">
        <v>167374.9</v>
      </c>
      <c r="BY43" s="21">
        <v>167374.9</v>
      </c>
      <c r="BZ43" s="134" t="s">
        <v>246</v>
      </c>
      <c r="CA43" s="134" t="s">
        <v>246</v>
      </c>
      <c r="CB43" s="134" t="s">
        <v>246</v>
      </c>
      <c r="CC43" s="134" t="s">
        <v>246</v>
      </c>
      <c r="CD43" s="134" t="s">
        <v>246</v>
      </c>
      <c r="CE43" s="134" t="s">
        <v>246</v>
      </c>
      <c r="CF43" s="134" t="s">
        <v>246</v>
      </c>
      <c r="CG43" s="31">
        <f t="shared" si="160"/>
        <v>20203</v>
      </c>
      <c r="CH43" s="21"/>
      <c r="CI43" s="21"/>
      <c r="CJ43" s="21"/>
      <c r="CK43" s="21"/>
      <c r="CL43" s="134"/>
      <c r="CM43" s="134"/>
      <c r="CN43" s="134"/>
      <c r="CO43" s="134"/>
      <c r="CP43" s="134"/>
      <c r="CQ43" s="134"/>
      <c r="CR43" s="134"/>
      <c r="CS43" s="31">
        <f t="shared" si="161"/>
        <v>20203</v>
      </c>
      <c r="CT43" s="21"/>
      <c r="CU43" s="21"/>
      <c r="CV43" s="21"/>
      <c r="CW43" s="21"/>
      <c r="CX43" s="134"/>
      <c r="CY43" s="134"/>
      <c r="CZ43" s="134"/>
      <c r="DA43" s="134"/>
      <c r="DB43" s="134"/>
      <c r="DC43" s="134"/>
      <c r="DD43" s="134"/>
      <c r="DE43" s="31">
        <f t="shared" si="162"/>
        <v>20203</v>
      </c>
      <c r="DF43" s="21"/>
      <c r="DG43" s="21"/>
      <c r="DH43" s="21"/>
      <c r="DI43" s="21"/>
      <c r="DJ43" s="134"/>
      <c r="DK43" s="134"/>
      <c r="DL43" s="134"/>
      <c r="DM43" s="134"/>
      <c r="DN43" s="134"/>
      <c r="DO43" s="134"/>
      <c r="DP43" s="134"/>
    </row>
    <row r="44" spans="1:120" ht="15" customHeight="1" x14ac:dyDescent="0.25">
      <c r="A44" s="31">
        <f>A45-10</f>
        <v>20213</v>
      </c>
      <c r="B44" s="21">
        <v>40150035.510000005</v>
      </c>
      <c r="C44" s="21">
        <v>482530940.78000003</v>
      </c>
      <c r="D44" s="21">
        <v>712470936.18000007</v>
      </c>
      <c r="E44" s="134" t="s">
        <v>246</v>
      </c>
      <c r="F44" s="134" t="s">
        <v>246</v>
      </c>
      <c r="G44" s="134" t="s">
        <v>246</v>
      </c>
      <c r="H44" s="134" t="s">
        <v>246</v>
      </c>
      <c r="I44" s="134" t="s">
        <v>246</v>
      </c>
      <c r="J44" s="134" t="s">
        <v>246</v>
      </c>
      <c r="K44" s="134" t="s">
        <v>246</v>
      </c>
      <c r="L44" s="134" t="s">
        <v>246</v>
      </c>
      <c r="M44" s="31">
        <f>M45-10</f>
        <v>20213</v>
      </c>
      <c r="N44" s="21">
        <v>1892909.0299999998</v>
      </c>
      <c r="O44" s="21">
        <v>32429167.709999997</v>
      </c>
      <c r="P44" s="21">
        <v>48758067.390000001</v>
      </c>
      <c r="Q44" s="134" t="s">
        <v>246</v>
      </c>
      <c r="R44" s="134" t="s">
        <v>246</v>
      </c>
      <c r="S44" s="134" t="s">
        <v>246</v>
      </c>
      <c r="T44" s="134" t="s">
        <v>246</v>
      </c>
      <c r="U44" s="134" t="s">
        <v>246</v>
      </c>
      <c r="V44" s="134" t="s">
        <v>246</v>
      </c>
      <c r="W44" s="134" t="s">
        <v>246</v>
      </c>
      <c r="X44" s="134" t="s">
        <v>246</v>
      </c>
      <c r="Y44" s="31">
        <f>Y45-10</f>
        <v>20213</v>
      </c>
      <c r="Z44" s="21">
        <v>1656056.01</v>
      </c>
      <c r="AA44" s="21">
        <v>59777421.730000004</v>
      </c>
      <c r="AB44" s="21">
        <v>147946983.66000006</v>
      </c>
      <c r="AC44" s="134" t="s">
        <v>246</v>
      </c>
      <c r="AD44" s="134" t="s">
        <v>246</v>
      </c>
      <c r="AE44" s="134" t="s">
        <v>246</v>
      </c>
      <c r="AF44" s="134" t="s">
        <v>246</v>
      </c>
      <c r="AG44" s="134" t="s">
        <v>246</v>
      </c>
      <c r="AH44" s="134" t="s">
        <v>246</v>
      </c>
      <c r="AI44" s="134" t="s">
        <v>246</v>
      </c>
      <c r="AJ44" s="134" t="s">
        <v>246</v>
      </c>
      <c r="AK44" s="31">
        <f>AK45-10</f>
        <v>20213</v>
      </c>
      <c r="AL44" s="21">
        <v>42193684.409999996</v>
      </c>
      <c r="AM44" s="21">
        <v>277004748.06999993</v>
      </c>
      <c r="AN44" s="21">
        <v>285177878.78999996</v>
      </c>
      <c r="AO44" s="134" t="s">
        <v>246</v>
      </c>
      <c r="AP44" s="134" t="s">
        <v>246</v>
      </c>
      <c r="AQ44" s="134" t="s">
        <v>246</v>
      </c>
      <c r="AR44" s="134" t="s">
        <v>246</v>
      </c>
      <c r="AS44" s="134" t="s">
        <v>246</v>
      </c>
      <c r="AT44" s="134" t="s">
        <v>246</v>
      </c>
      <c r="AU44" s="134" t="s">
        <v>246</v>
      </c>
      <c r="AV44" s="134" t="s">
        <v>246</v>
      </c>
      <c r="AW44" s="31">
        <f>AW45-10</f>
        <v>20213</v>
      </c>
      <c r="AX44" s="21">
        <v>152030436.32999998</v>
      </c>
      <c r="AY44" s="21">
        <v>861141133.6099999</v>
      </c>
      <c r="AZ44" s="21">
        <v>830749988.53999984</v>
      </c>
      <c r="BA44" s="134" t="s">
        <v>246</v>
      </c>
      <c r="BB44" s="134" t="s">
        <v>246</v>
      </c>
      <c r="BC44" s="134" t="s">
        <v>246</v>
      </c>
      <c r="BD44" s="134" t="s">
        <v>246</v>
      </c>
      <c r="BE44" s="134" t="s">
        <v>246</v>
      </c>
      <c r="BF44" s="134" t="s">
        <v>246</v>
      </c>
      <c r="BG44" s="134" t="s">
        <v>246</v>
      </c>
      <c r="BH44" s="134" t="s">
        <v>246</v>
      </c>
      <c r="BI44" s="31">
        <f>BI45-10</f>
        <v>20213</v>
      </c>
      <c r="BJ44" s="21">
        <v>8116225.8799999999</v>
      </c>
      <c r="BK44" s="21">
        <v>52388636.669999994</v>
      </c>
      <c r="BL44" s="21">
        <v>52119007.770000003</v>
      </c>
      <c r="BM44" s="134" t="s">
        <v>246</v>
      </c>
      <c r="BN44" s="134" t="s">
        <v>246</v>
      </c>
      <c r="BO44" s="134" t="s">
        <v>246</v>
      </c>
      <c r="BP44" s="134" t="s">
        <v>246</v>
      </c>
      <c r="BQ44" s="134" t="s">
        <v>246</v>
      </c>
      <c r="BR44" s="134" t="s">
        <v>246</v>
      </c>
      <c r="BS44" s="134" t="s">
        <v>246</v>
      </c>
      <c r="BT44" s="134" t="s">
        <v>246</v>
      </c>
      <c r="BU44" s="31">
        <f>BU45-10</f>
        <v>20213</v>
      </c>
      <c r="BV44" s="21">
        <v>0</v>
      </c>
      <c r="BW44" s="21">
        <v>157360</v>
      </c>
      <c r="BX44" s="21">
        <v>202085</v>
      </c>
      <c r="BY44" s="134" t="s">
        <v>246</v>
      </c>
      <c r="BZ44" s="134" t="s">
        <v>246</v>
      </c>
      <c r="CA44" s="134" t="s">
        <v>246</v>
      </c>
      <c r="CB44" s="134" t="s">
        <v>246</v>
      </c>
      <c r="CC44" s="134" t="s">
        <v>246</v>
      </c>
      <c r="CD44" s="134" t="s">
        <v>246</v>
      </c>
      <c r="CE44" s="134" t="s">
        <v>246</v>
      </c>
      <c r="CF44" s="134" t="s">
        <v>246</v>
      </c>
      <c r="CG44" s="31">
        <f>CG45-10</f>
        <v>20213</v>
      </c>
      <c r="CH44" s="21"/>
      <c r="CI44" s="21"/>
      <c r="CJ44" s="21"/>
      <c r="CK44" s="134"/>
      <c r="CL44" s="134"/>
      <c r="CM44" s="134"/>
      <c r="CN44" s="134"/>
      <c r="CO44" s="134"/>
      <c r="CP44" s="134"/>
      <c r="CQ44" s="134"/>
      <c r="CR44" s="134"/>
      <c r="CS44" s="31">
        <f>CS45-10</f>
        <v>20213</v>
      </c>
      <c r="CT44" s="21"/>
      <c r="CU44" s="21"/>
      <c r="CV44" s="21"/>
      <c r="CW44" s="134"/>
      <c r="CX44" s="134"/>
      <c r="CY44" s="134"/>
      <c r="CZ44" s="134"/>
      <c r="DA44" s="134"/>
      <c r="DB44" s="134"/>
      <c r="DC44" s="134"/>
      <c r="DD44" s="134"/>
      <c r="DE44" s="31">
        <f>DE45-10</f>
        <v>20213</v>
      </c>
      <c r="DF44" s="21"/>
      <c r="DG44" s="21"/>
      <c r="DH44" s="21"/>
      <c r="DI44" s="134"/>
      <c r="DJ44" s="134"/>
      <c r="DK44" s="134"/>
      <c r="DL44" s="134"/>
      <c r="DM44" s="134"/>
      <c r="DN44" s="134"/>
      <c r="DO44" s="134"/>
      <c r="DP44" s="134"/>
    </row>
    <row r="45" spans="1:120" ht="15" customHeight="1" x14ac:dyDescent="0.25">
      <c r="A45" s="31">
        <f>FYQtr_LDF</f>
        <v>20223</v>
      </c>
      <c r="B45" s="21">
        <v>40823882.530000001</v>
      </c>
      <c r="C45" s="21">
        <v>668351299.25999999</v>
      </c>
      <c r="D45" s="134" t="s">
        <v>246</v>
      </c>
      <c r="E45" s="134" t="s">
        <v>246</v>
      </c>
      <c r="F45" s="134" t="s">
        <v>246</v>
      </c>
      <c r="G45" s="134" t="s">
        <v>246</v>
      </c>
      <c r="H45" s="134" t="s">
        <v>246</v>
      </c>
      <c r="I45" s="134" t="s">
        <v>246</v>
      </c>
      <c r="J45" s="134" t="s">
        <v>246</v>
      </c>
      <c r="K45" s="134" t="s">
        <v>246</v>
      </c>
      <c r="L45" s="134"/>
      <c r="M45" s="31">
        <f>FYQtr_LDF</f>
        <v>20223</v>
      </c>
      <c r="N45" s="21">
        <v>1826212.8699999999</v>
      </c>
      <c r="O45" s="21">
        <v>40282312.969999999</v>
      </c>
      <c r="P45" s="134" t="s">
        <v>246</v>
      </c>
      <c r="Q45" s="134" t="s">
        <v>246</v>
      </c>
      <c r="R45" s="134" t="s">
        <v>246</v>
      </c>
      <c r="S45" s="134" t="s">
        <v>246</v>
      </c>
      <c r="T45" s="134" t="s">
        <v>246</v>
      </c>
      <c r="U45" s="134" t="s">
        <v>246</v>
      </c>
      <c r="V45" s="134" t="s">
        <v>246</v>
      </c>
      <c r="W45" s="134" t="s">
        <v>246</v>
      </c>
      <c r="X45" s="134"/>
      <c r="Y45" s="31">
        <f>FYQtr_LDF</f>
        <v>20223</v>
      </c>
      <c r="Z45" s="21">
        <v>1380864.45</v>
      </c>
      <c r="AA45" s="21">
        <v>73521121.859999999</v>
      </c>
      <c r="AB45" s="134" t="s">
        <v>246</v>
      </c>
      <c r="AC45" s="134" t="s">
        <v>246</v>
      </c>
      <c r="AD45" s="134" t="s">
        <v>246</v>
      </c>
      <c r="AE45" s="134" t="s">
        <v>246</v>
      </c>
      <c r="AF45" s="134" t="s">
        <v>246</v>
      </c>
      <c r="AG45" s="134" t="s">
        <v>246</v>
      </c>
      <c r="AH45" s="134" t="s">
        <v>246</v>
      </c>
      <c r="AI45" s="134" t="s">
        <v>246</v>
      </c>
      <c r="AJ45" s="134"/>
      <c r="AK45" s="31">
        <f>FYQtr_LDF</f>
        <v>20223</v>
      </c>
      <c r="AL45" s="21">
        <v>47345419.700000003</v>
      </c>
      <c r="AM45" s="21">
        <v>367974091.60999995</v>
      </c>
      <c r="AN45" s="134" t="s">
        <v>246</v>
      </c>
      <c r="AO45" s="134" t="s">
        <v>246</v>
      </c>
      <c r="AP45" s="134" t="s">
        <v>246</v>
      </c>
      <c r="AQ45" s="134" t="s">
        <v>246</v>
      </c>
      <c r="AR45" s="134" t="s">
        <v>246</v>
      </c>
      <c r="AS45" s="134" t="s">
        <v>246</v>
      </c>
      <c r="AT45" s="134" t="s">
        <v>246</v>
      </c>
      <c r="AU45" s="134" t="s">
        <v>246</v>
      </c>
      <c r="AV45" s="134"/>
      <c r="AW45" s="31">
        <f>FYQtr_LDF</f>
        <v>20223</v>
      </c>
      <c r="AX45" s="21">
        <v>194302027.25999999</v>
      </c>
      <c r="AY45" s="21">
        <v>1207336440.2100003</v>
      </c>
      <c r="AZ45" s="134" t="s">
        <v>246</v>
      </c>
      <c r="BA45" s="134" t="s">
        <v>246</v>
      </c>
      <c r="BB45" s="134" t="s">
        <v>246</v>
      </c>
      <c r="BC45" s="134" t="s">
        <v>246</v>
      </c>
      <c r="BD45" s="134" t="s">
        <v>246</v>
      </c>
      <c r="BE45" s="134" t="s">
        <v>246</v>
      </c>
      <c r="BF45" s="134" t="s">
        <v>246</v>
      </c>
      <c r="BG45" s="134" t="s">
        <v>246</v>
      </c>
      <c r="BH45" s="134"/>
      <c r="BI45" s="31">
        <f>FYQtr_LDF</f>
        <v>20223</v>
      </c>
      <c r="BJ45" s="21">
        <v>10240486.49</v>
      </c>
      <c r="BK45" s="21">
        <v>68969509.660000011</v>
      </c>
      <c r="BL45" s="134" t="s">
        <v>246</v>
      </c>
      <c r="BM45" s="134" t="s">
        <v>246</v>
      </c>
      <c r="BN45" s="134" t="s">
        <v>246</v>
      </c>
      <c r="BO45" s="134" t="s">
        <v>246</v>
      </c>
      <c r="BP45" s="134" t="s">
        <v>246</v>
      </c>
      <c r="BQ45" s="134" t="s">
        <v>246</v>
      </c>
      <c r="BR45" s="134" t="s">
        <v>246</v>
      </c>
      <c r="BS45" s="134" t="s">
        <v>246</v>
      </c>
      <c r="BT45" s="134"/>
      <c r="BU45" s="31">
        <f>FYQtr_LDF</f>
        <v>20223</v>
      </c>
      <c r="BV45" s="21">
        <v>1000</v>
      </c>
      <c r="BW45" s="21">
        <v>279900</v>
      </c>
      <c r="BX45" s="134" t="s">
        <v>246</v>
      </c>
      <c r="BY45" s="134" t="s">
        <v>246</v>
      </c>
      <c r="BZ45" s="134" t="s">
        <v>246</v>
      </c>
      <c r="CA45" s="134" t="s">
        <v>246</v>
      </c>
      <c r="CB45" s="134" t="s">
        <v>246</v>
      </c>
      <c r="CC45" s="134" t="s">
        <v>246</v>
      </c>
      <c r="CD45" s="134" t="s">
        <v>246</v>
      </c>
      <c r="CE45" s="134" t="s">
        <v>246</v>
      </c>
      <c r="CF45" s="134"/>
      <c r="CG45" s="31">
        <f>FYQtr_LDF</f>
        <v>20223</v>
      </c>
      <c r="CH45" s="21"/>
      <c r="CI45" s="21"/>
      <c r="CJ45" s="134"/>
      <c r="CK45" s="134"/>
      <c r="CL45" s="134"/>
      <c r="CM45" s="134"/>
      <c r="CN45" s="134"/>
      <c r="CO45" s="134"/>
      <c r="CP45" s="134"/>
      <c r="CQ45" s="134"/>
      <c r="CR45" s="134"/>
      <c r="CS45" s="31">
        <f>FYQtr_LDF</f>
        <v>20223</v>
      </c>
      <c r="CT45" s="21"/>
      <c r="CU45" s="21"/>
      <c r="CV45" s="134"/>
      <c r="CW45" s="134"/>
      <c r="CX45" s="134"/>
      <c r="CY45" s="134"/>
      <c r="CZ45" s="134"/>
      <c r="DA45" s="134"/>
      <c r="DB45" s="134"/>
      <c r="DC45" s="134"/>
      <c r="DD45" s="134"/>
      <c r="DE45" s="31">
        <f>FYQtr_LDF</f>
        <v>20223</v>
      </c>
      <c r="DF45" s="21"/>
      <c r="DG45" s="21"/>
      <c r="DH45" s="134"/>
      <c r="DI45" s="134"/>
      <c r="DJ45" s="134"/>
      <c r="DK45" s="134"/>
      <c r="DL45" s="134"/>
      <c r="DM45" s="134"/>
      <c r="DN45" s="134"/>
      <c r="DO45" s="134"/>
      <c r="DP45" s="134"/>
    </row>
    <row r="46" spans="1:120" ht="15" customHeight="1" x14ac:dyDescent="0.25">
      <c r="F46" s="310" t="str">
        <f>IF(AND(ISNUMBER(K49),K49&gt;=1.01),"Reminder: If more than ten years of development is deemed to be required, insurers can provide this data in a supplemental exhibit.","")</f>
        <v/>
      </c>
      <c r="R46" s="310" t="str">
        <f>IF(AND(ISNUMBER(W49),W49&gt;=1.01),"Reminder: If more than ten years of development is deemed to be required, insurers can provide this data in a supplemental exhibit.","")</f>
        <v/>
      </c>
      <c r="AD46" s="310" t="str">
        <f>IF(AND(ISNUMBER(AI49),AI49&gt;=1.01),"Reminder: If more than ten years of development is deemed to be required, insurers can provide this data in a supplemental exhibit.","")</f>
        <v/>
      </c>
      <c r="AP46" s="309" t="str">
        <f>IF(AND(ISNUMBER(AU49),AU49&gt;=1.01),"Reminder: If more than ten years of development is deemed to be required, insurers can provide this data in a supplemental exhibit.","")</f>
        <v/>
      </c>
      <c r="BB46" s="310" t="str">
        <f>IF(AND(ISNUMBER(BG49),BG49&gt;=1.01),"Reminder: If more than ten years of development is deemed to be required, insurers can provide this data in a supplemental exhibit.","")</f>
        <v/>
      </c>
      <c r="BN46" s="310" t="str">
        <f>IF(AND(ISNUMBER(BS49),BS49&gt;=1.01),"Reminder: If more than ten years of development is deemed to be required, insurers can provide this data in a supplemental exhibit.","")</f>
        <v/>
      </c>
      <c r="BZ46" s="310" t="str">
        <f>IF(AND(ISNUMBER(CE49),CE49&gt;=1.01),"Reminder: If more than ten years of development is deemed to be required, insurers can provide this data in a supplemental exhibit.","")</f>
        <v/>
      </c>
      <c r="CL46" s="310" t="str">
        <f>IF(AND(ISNUMBER(CQ49),CQ49&gt;=1.01),"Reminder: If more than ten years of development is deemed to be required, insurers can provide this data in a supplemental exhibit.","")</f>
        <v/>
      </c>
      <c r="CX46" s="310" t="str">
        <f>IF(AND(ISNUMBER(DC49),DC49&gt;=1.01),"Reminder: If more than ten years of development is deemed to be required, insurers can provide this data in a supplemental exhibit.","")</f>
        <v/>
      </c>
      <c r="DJ46" s="310" t="str">
        <f>IF(AND(ISNUMBER(DO49),DO49&gt;=1.01),"Reminder: If more than ten years of development is deemed to be required, insurers can provide this data in a supplemental exhibit.","")</f>
        <v/>
      </c>
    </row>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ht="30" x14ac:dyDescent="0.25">
      <c r="A48" s="92" t="str">
        <f>$A$35</f>
        <v>Fiscal Accident Year Data Ending</v>
      </c>
      <c r="B48" s="92"/>
      <c r="C48" s="100" t="str">
        <f>$C$35&amp;"-"&amp;$D$35</f>
        <v>15-27</v>
      </c>
      <c r="D48" s="100" t="str">
        <f>$D$35&amp;"-"&amp;$E$35</f>
        <v>27-39</v>
      </c>
      <c r="E48" s="100" t="str">
        <f>$E$35&amp;"-"&amp;$F$35</f>
        <v>39-51</v>
      </c>
      <c r="F48" s="100" t="str">
        <f>$F$35&amp;"-"&amp;$G$35</f>
        <v>51-63</v>
      </c>
      <c r="G48" s="100" t="str">
        <f>$G$35&amp;"-"&amp;$H$35</f>
        <v>63-75</v>
      </c>
      <c r="H48" s="100" t="str">
        <f>$H$35&amp;"-"&amp;$I$35</f>
        <v>75-87</v>
      </c>
      <c r="I48" s="100" t="str">
        <f>$I$35&amp;"-"&amp;$J$35</f>
        <v>87-99</v>
      </c>
      <c r="J48" s="100" t="str">
        <f>$J$35&amp;"-"&amp;$K$35</f>
        <v>99-111</v>
      </c>
      <c r="K48" s="100" t="str">
        <f>$K$35&amp;"-"&amp;$L$35</f>
        <v>111-123</v>
      </c>
      <c r="L48" s="100" t="str">
        <f>$L$35&amp;"-Ult"</f>
        <v>123-Ult</v>
      </c>
      <c r="M48" s="92" t="str">
        <f>$A$35</f>
        <v>Fiscal Accident Year Data Ending</v>
      </c>
      <c r="N48" s="92"/>
      <c r="O48" s="100" t="str">
        <f>$C$35&amp;"-"&amp;$D$35</f>
        <v>15-27</v>
      </c>
      <c r="P48" s="100" t="str">
        <f>$D$35&amp;"-"&amp;$E$35</f>
        <v>27-39</v>
      </c>
      <c r="Q48" s="100" t="str">
        <f>$E$35&amp;"-"&amp;$F$35</f>
        <v>39-51</v>
      </c>
      <c r="R48" s="100" t="str">
        <f>$F$35&amp;"-"&amp;$G$35</f>
        <v>51-63</v>
      </c>
      <c r="S48" s="100" t="str">
        <f>$G$35&amp;"-"&amp;$H$35</f>
        <v>63-75</v>
      </c>
      <c r="T48" s="100" t="str">
        <f>$H$35&amp;"-"&amp;$I$35</f>
        <v>75-87</v>
      </c>
      <c r="U48" s="100" t="str">
        <f>$I$35&amp;"-"&amp;$J$35</f>
        <v>87-99</v>
      </c>
      <c r="V48" s="100" t="str">
        <f>$J$35&amp;"-"&amp;$K$35</f>
        <v>99-111</v>
      </c>
      <c r="W48" s="100" t="str">
        <f>$K$35&amp;"-"&amp;$L$35</f>
        <v>111-123</v>
      </c>
      <c r="X48" s="100" t="str">
        <f>$L$35&amp;"-Ult"</f>
        <v>123-Ult</v>
      </c>
      <c r="Y48" s="92" t="str">
        <f>$A$35</f>
        <v>Fiscal Accident Year Data Ending</v>
      </c>
      <c r="Z48" s="92"/>
      <c r="AA48" s="100" t="str">
        <f>$C$35&amp;"-"&amp;$D$35</f>
        <v>15-27</v>
      </c>
      <c r="AB48" s="100" t="str">
        <f>$D$35&amp;"-"&amp;$E$35</f>
        <v>27-39</v>
      </c>
      <c r="AC48" s="100" t="str">
        <f>$E$35&amp;"-"&amp;$F$35</f>
        <v>39-51</v>
      </c>
      <c r="AD48" s="100" t="str">
        <f>$F$35&amp;"-"&amp;$G$35</f>
        <v>51-63</v>
      </c>
      <c r="AE48" s="100" t="str">
        <f>$G$35&amp;"-"&amp;$H$35</f>
        <v>63-75</v>
      </c>
      <c r="AF48" s="100" t="str">
        <f>$H$35&amp;"-"&amp;$I$35</f>
        <v>75-87</v>
      </c>
      <c r="AG48" s="100" t="str">
        <f>$I$35&amp;"-"&amp;$J$35</f>
        <v>87-99</v>
      </c>
      <c r="AH48" s="100" t="str">
        <f>$J$35&amp;"-"&amp;$K$35</f>
        <v>99-111</v>
      </c>
      <c r="AI48" s="100" t="str">
        <f>$K$35&amp;"-"&amp;$L$35</f>
        <v>111-123</v>
      </c>
      <c r="AJ48" s="100" t="str">
        <f>$L$35&amp;"-Ult"</f>
        <v>123-Ult</v>
      </c>
      <c r="AK48" s="92" t="str">
        <f>$A$35</f>
        <v>Fiscal Accident Year Data Ending</v>
      </c>
      <c r="AL48" s="92"/>
      <c r="AM48" s="100" t="str">
        <f>$C$35&amp;"-"&amp;$D$35</f>
        <v>15-27</v>
      </c>
      <c r="AN48" s="100" t="str">
        <f>$D$35&amp;"-"&amp;$E$35</f>
        <v>27-39</v>
      </c>
      <c r="AO48" s="100" t="str">
        <f>$E$35&amp;"-"&amp;$F$35</f>
        <v>39-51</v>
      </c>
      <c r="AP48" s="100" t="str">
        <f>$F$35&amp;"-"&amp;$G$35</f>
        <v>51-63</v>
      </c>
      <c r="AQ48" s="100" t="str">
        <f>$G$35&amp;"-"&amp;$H$35</f>
        <v>63-75</v>
      </c>
      <c r="AR48" s="100" t="str">
        <f>$H$35&amp;"-"&amp;$I$35</f>
        <v>75-87</v>
      </c>
      <c r="AS48" s="100" t="str">
        <f>$I$35&amp;"-"&amp;$J$35</f>
        <v>87-99</v>
      </c>
      <c r="AT48" s="100" t="str">
        <f>$J$35&amp;"-"&amp;$K$35</f>
        <v>99-111</v>
      </c>
      <c r="AU48" s="100" t="str">
        <f>$K$35&amp;"-"&amp;$L$35</f>
        <v>111-123</v>
      </c>
      <c r="AV48" s="100" t="str">
        <f>$L$35&amp;"-Ult"</f>
        <v>123-Ult</v>
      </c>
      <c r="AW48" s="92" t="str">
        <f>$A$35</f>
        <v>Fiscal Accident Year Data Ending</v>
      </c>
      <c r="AX48" s="92"/>
      <c r="AY48" s="100" t="str">
        <f>$C$35&amp;"-"&amp;$D$35</f>
        <v>15-27</v>
      </c>
      <c r="AZ48" s="100" t="str">
        <f>$D$35&amp;"-"&amp;$E$35</f>
        <v>27-39</v>
      </c>
      <c r="BA48" s="100" t="str">
        <f>$E$35&amp;"-"&amp;$F$35</f>
        <v>39-51</v>
      </c>
      <c r="BB48" s="100" t="str">
        <f>$F$35&amp;"-"&amp;$G$35</f>
        <v>51-63</v>
      </c>
      <c r="BC48" s="100" t="str">
        <f>$G$35&amp;"-"&amp;$H$35</f>
        <v>63-75</v>
      </c>
      <c r="BD48" s="100" t="str">
        <f>$H$35&amp;"-"&amp;$I$35</f>
        <v>75-87</v>
      </c>
      <c r="BE48" s="100" t="str">
        <f>$I$35&amp;"-"&amp;$J$35</f>
        <v>87-99</v>
      </c>
      <c r="BF48" s="100" t="str">
        <f>$J$35&amp;"-"&amp;$K$35</f>
        <v>99-111</v>
      </c>
      <c r="BG48" s="100" t="str">
        <f>$K$35&amp;"-"&amp;$L$35</f>
        <v>111-123</v>
      </c>
      <c r="BH48" s="100" t="str">
        <f>$L$35&amp;"-Ult"</f>
        <v>123-Ult</v>
      </c>
      <c r="BI48" s="92" t="str">
        <f>$A$35</f>
        <v>Fiscal Accident Year Data Ending</v>
      </c>
      <c r="BJ48" s="92"/>
      <c r="BK48" s="100" t="str">
        <f>$C$35&amp;"-"&amp;$D$35</f>
        <v>15-27</v>
      </c>
      <c r="BL48" s="100" t="str">
        <f>$D$35&amp;"-"&amp;$E$35</f>
        <v>27-39</v>
      </c>
      <c r="BM48" s="100" t="str">
        <f>$E$35&amp;"-"&amp;$F$35</f>
        <v>39-51</v>
      </c>
      <c r="BN48" s="100" t="str">
        <f>$F$35&amp;"-"&amp;$G$35</f>
        <v>51-63</v>
      </c>
      <c r="BO48" s="100" t="str">
        <f>$G$35&amp;"-"&amp;$H$35</f>
        <v>63-75</v>
      </c>
      <c r="BP48" s="100" t="str">
        <f>$H$35&amp;"-"&amp;$I$35</f>
        <v>75-87</v>
      </c>
      <c r="BQ48" s="100" t="str">
        <f>$I$35&amp;"-"&amp;$J$35</f>
        <v>87-99</v>
      </c>
      <c r="BR48" s="100" t="str">
        <f>$J$35&amp;"-"&amp;$K$35</f>
        <v>99-111</v>
      </c>
      <c r="BS48" s="100" t="str">
        <f>$K$35&amp;"-"&amp;$L$35</f>
        <v>111-123</v>
      </c>
      <c r="BT48" s="100" t="str">
        <f>$L$35&amp;"-Ult"</f>
        <v>123-Ult</v>
      </c>
      <c r="BU48" s="92" t="str">
        <f>$A$35</f>
        <v>Fiscal Accident Year Data Ending</v>
      </c>
      <c r="BV48" s="92"/>
      <c r="BW48" s="100" t="str">
        <f>$C$35&amp;"-"&amp;$D$35</f>
        <v>15-27</v>
      </c>
      <c r="BX48" s="100" t="str">
        <f>$D$35&amp;"-"&amp;$E$35</f>
        <v>27-39</v>
      </c>
      <c r="BY48" s="100" t="str">
        <f>$E$35&amp;"-"&amp;$F$35</f>
        <v>39-51</v>
      </c>
      <c r="BZ48" s="100" t="str">
        <f>$F$35&amp;"-"&amp;$G$35</f>
        <v>51-63</v>
      </c>
      <c r="CA48" s="100" t="str">
        <f>$G$35&amp;"-"&amp;$H$35</f>
        <v>63-75</v>
      </c>
      <c r="CB48" s="100" t="str">
        <f>$H$35&amp;"-"&amp;$I$35</f>
        <v>75-87</v>
      </c>
      <c r="CC48" s="100" t="str">
        <f>$I$35&amp;"-"&amp;$J$35</f>
        <v>87-99</v>
      </c>
      <c r="CD48" s="100" t="str">
        <f>$J$35&amp;"-"&amp;$K$35</f>
        <v>99-111</v>
      </c>
      <c r="CE48" s="100" t="str">
        <f>$K$35&amp;"-"&amp;$L$35</f>
        <v>111-123</v>
      </c>
      <c r="CF48" s="100" t="str">
        <f>$L$35&amp;"-Ult"</f>
        <v>123-Ult</v>
      </c>
      <c r="CG48" s="92" t="str">
        <f>$A$35</f>
        <v>Fiscal Accident Year Data Ending</v>
      </c>
      <c r="CH48" s="92"/>
      <c r="CI48" s="100" t="str">
        <f>$C$35&amp;"-"&amp;$D$35</f>
        <v>15-27</v>
      </c>
      <c r="CJ48" s="100" t="str">
        <f>$D$35&amp;"-"&amp;$E$35</f>
        <v>27-39</v>
      </c>
      <c r="CK48" s="100" t="str">
        <f>$E$35&amp;"-"&amp;$F$35</f>
        <v>39-51</v>
      </c>
      <c r="CL48" s="100" t="str">
        <f>$F$35&amp;"-"&amp;$G$35</f>
        <v>51-63</v>
      </c>
      <c r="CM48" s="100" t="str">
        <f>$G$35&amp;"-"&amp;$H$35</f>
        <v>63-75</v>
      </c>
      <c r="CN48" s="100" t="str">
        <f>$H$35&amp;"-"&amp;$I$35</f>
        <v>75-87</v>
      </c>
      <c r="CO48" s="100" t="str">
        <f>$I$35&amp;"-"&amp;$J$35</f>
        <v>87-99</v>
      </c>
      <c r="CP48" s="100" t="str">
        <f>$J$35&amp;"-"&amp;$K$35</f>
        <v>99-111</v>
      </c>
      <c r="CQ48" s="100" t="str">
        <f>$K$35&amp;"-"&amp;$L$35</f>
        <v>111-123</v>
      </c>
      <c r="CR48" s="100" t="str">
        <f>$L$35&amp;"-Ult"</f>
        <v>123-Ult</v>
      </c>
      <c r="CS48" s="92" t="str">
        <f>$A$35</f>
        <v>Fiscal Accident Year Data Ending</v>
      </c>
      <c r="CT48" s="92"/>
      <c r="CU48" s="100" t="str">
        <f>$C$35&amp;"-"&amp;$D$35</f>
        <v>15-27</v>
      </c>
      <c r="CV48" s="100" t="str">
        <f>$D$35&amp;"-"&amp;$E$35</f>
        <v>27-39</v>
      </c>
      <c r="CW48" s="100" t="str">
        <f>$E$35&amp;"-"&amp;$F$35</f>
        <v>39-51</v>
      </c>
      <c r="CX48" s="100" t="str">
        <f>$F$35&amp;"-"&amp;$G$35</f>
        <v>51-63</v>
      </c>
      <c r="CY48" s="100" t="str">
        <f>$G$35&amp;"-"&amp;$H$35</f>
        <v>63-75</v>
      </c>
      <c r="CZ48" s="100" t="str">
        <f>$H$35&amp;"-"&amp;$I$35</f>
        <v>75-87</v>
      </c>
      <c r="DA48" s="100" t="str">
        <f>$I$35&amp;"-"&amp;$J$35</f>
        <v>87-99</v>
      </c>
      <c r="DB48" s="100" t="str">
        <f>$J$35&amp;"-"&amp;$K$35</f>
        <v>99-111</v>
      </c>
      <c r="DC48" s="100" t="str">
        <f>$K$35&amp;"-"&amp;$L$35</f>
        <v>111-123</v>
      </c>
      <c r="DD48" s="100" t="str">
        <f>$L$35&amp;"-Ult"</f>
        <v>123-Ult</v>
      </c>
      <c r="DE48" s="92" t="str">
        <f>$A$35</f>
        <v>Fiscal Accident Year Data Ending</v>
      </c>
      <c r="DF48" s="92"/>
      <c r="DG48" s="100" t="str">
        <f>$C$35&amp;"-"&amp;$D$35</f>
        <v>15-27</v>
      </c>
      <c r="DH48" s="100" t="str">
        <f>$D$35&amp;"-"&amp;$E$35</f>
        <v>27-39</v>
      </c>
      <c r="DI48" s="100" t="str">
        <f>$E$35&amp;"-"&amp;$F$35</f>
        <v>39-51</v>
      </c>
      <c r="DJ48" s="100" t="str">
        <f>$F$35&amp;"-"&amp;$G$35</f>
        <v>51-63</v>
      </c>
      <c r="DK48" s="100" t="str">
        <f>$G$35&amp;"-"&amp;$H$35</f>
        <v>63-75</v>
      </c>
      <c r="DL48" s="100" t="str">
        <f>$H$35&amp;"-"&amp;$I$35</f>
        <v>75-87</v>
      </c>
      <c r="DM48" s="100" t="str">
        <f>$I$35&amp;"-"&amp;$J$35</f>
        <v>87-99</v>
      </c>
      <c r="DN48" s="100" t="str">
        <f>$J$35&amp;"-"&amp;$K$35</f>
        <v>99-111</v>
      </c>
      <c r="DO48" s="100" t="str">
        <f>$K$35&amp;"-"&amp;$L$35</f>
        <v>111-123</v>
      </c>
      <c r="DP48" s="100" t="str">
        <f>$L$35&amp;"-Ult"</f>
        <v>123-Ult</v>
      </c>
    </row>
    <row r="49" spans="1:120" x14ac:dyDescent="0.25">
      <c r="A49" s="91">
        <f>$A$36</f>
        <v>20133</v>
      </c>
      <c r="B49" s="105"/>
      <c r="C49" s="90">
        <f>IFERROR(D36/C36,"")</f>
        <v>1.3937435032581709</v>
      </c>
      <c r="D49" s="90">
        <f t="shared" ref="D49:K49" si="163">IFERROR(E36/D36,"")</f>
        <v>1.2182299453577043</v>
      </c>
      <c r="E49" s="90">
        <f t="shared" si="163"/>
        <v>1.1244943810274028</v>
      </c>
      <c r="F49" s="90">
        <f t="shared" si="163"/>
        <v>1.0358737441593677</v>
      </c>
      <c r="G49" s="90">
        <f t="shared" si="163"/>
        <v>1.0076094236611624</v>
      </c>
      <c r="H49" s="90">
        <f t="shared" si="163"/>
        <v>1.0027817359748885</v>
      </c>
      <c r="I49" s="90">
        <f t="shared" si="163"/>
        <v>1.000689234934387</v>
      </c>
      <c r="J49" s="90">
        <f t="shared" si="163"/>
        <v>1.0004547619183921</v>
      </c>
      <c r="K49" s="90">
        <f t="shared" si="163"/>
        <v>1.0003201125126988</v>
      </c>
      <c r="L49" s="22"/>
      <c r="M49" s="91">
        <f>$A$36</f>
        <v>20133</v>
      </c>
      <c r="N49" s="105"/>
      <c r="O49" s="90">
        <f>IFERROR(P36/O36,"")</f>
        <v>1.2387086816315194</v>
      </c>
      <c r="P49" s="90">
        <f t="shared" ref="P49:W49" si="164">IFERROR(Q36/P36,"")</f>
        <v>1.0068970134504798</v>
      </c>
      <c r="Q49" s="90">
        <f t="shared" si="164"/>
        <v>0.99772011461302212</v>
      </c>
      <c r="R49" s="90">
        <f t="shared" si="164"/>
        <v>1.0036278186303682</v>
      </c>
      <c r="S49" s="90">
        <f t="shared" si="164"/>
        <v>0.99965117295166073</v>
      </c>
      <c r="T49" s="90">
        <f t="shared" si="164"/>
        <v>1.0000901130849356</v>
      </c>
      <c r="U49" s="90">
        <f t="shared" si="164"/>
        <v>1.0004089383401717</v>
      </c>
      <c r="V49" s="90">
        <f t="shared" si="164"/>
        <v>0.99992466417954762</v>
      </c>
      <c r="W49" s="90">
        <f t="shared" si="164"/>
        <v>0.99996883533784808</v>
      </c>
      <c r="X49" s="22"/>
      <c r="Y49" s="91">
        <f>$A$36</f>
        <v>20133</v>
      </c>
      <c r="Z49" s="105"/>
      <c r="AA49" s="90">
        <f>IFERROR(AB36/AA36,"")</f>
        <v>2.1627130397725205</v>
      </c>
      <c r="AB49" s="90">
        <f t="shared" ref="AB49:AI49" si="165">IFERROR(AC36/AB36,"")</f>
        <v>1.3281700647574883</v>
      </c>
      <c r="AC49" s="90">
        <f t="shared" si="165"/>
        <v>1.1294560053861133</v>
      </c>
      <c r="AD49" s="90">
        <f t="shared" si="165"/>
        <v>1.0502217828218361</v>
      </c>
      <c r="AE49" s="90">
        <f t="shared" si="165"/>
        <v>1.0383247278601955</v>
      </c>
      <c r="AF49" s="90">
        <f t="shared" si="165"/>
        <v>1.0180868880127421</v>
      </c>
      <c r="AG49" s="90">
        <f t="shared" si="165"/>
        <v>1.0082655105031442</v>
      </c>
      <c r="AH49" s="90">
        <f t="shared" si="165"/>
        <v>1.0046352076368972</v>
      </c>
      <c r="AI49" s="90">
        <f t="shared" si="165"/>
        <v>1.0052747268006086</v>
      </c>
      <c r="AJ49" s="22"/>
      <c r="AK49" s="91">
        <f>$A$36</f>
        <v>20133</v>
      </c>
      <c r="AL49" s="105"/>
      <c r="AM49" s="90">
        <f>IFERROR(AN36/AM36,"")</f>
        <v>1.014153680068669</v>
      </c>
      <c r="AN49" s="90">
        <f t="shared" ref="AN49:AU49" si="166">IFERROR(AO36/AN36,"")</f>
        <v>1.0018144157835849</v>
      </c>
      <c r="AO49" s="90">
        <f t="shared" si="166"/>
        <v>1.0009171415312508</v>
      </c>
      <c r="AP49" s="90">
        <f t="shared" si="166"/>
        <v>1.0008390059891021</v>
      </c>
      <c r="AQ49" s="90">
        <f t="shared" si="166"/>
        <v>0.99998648576103066</v>
      </c>
      <c r="AR49" s="90">
        <f t="shared" si="166"/>
        <v>1.0001075017682817</v>
      </c>
      <c r="AS49" s="90">
        <f t="shared" si="166"/>
        <v>1.0000393359977267</v>
      </c>
      <c r="AT49" s="90">
        <f t="shared" si="166"/>
        <v>0.99997537225848632</v>
      </c>
      <c r="AU49" s="90">
        <f t="shared" si="166"/>
        <v>1.0000091646877611</v>
      </c>
      <c r="AV49" s="22"/>
      <c r="AW49" s="91">
        <f>$A$36</f>
        <v>20133</v>
      </c>
      <c r="AX49" s="105"/>
      <c r="AY49" s="90">
        <f>IFERROR(AZ36/AY36,"")</f>
        <v>0.93591045530647554</v>
      </c>
      <c r="AZ49" s="90">
        <f t="shared" ref="AZ49:BG49" si="167">IFERROR(BA36/AZ36,"")</f>
        <v>0.9850201821532244</v>
      </c>
      <c r="BA49" s="90">
        <f t="shared" si="167"/>
        <v>0.99721429600241196</v>
      </c>
      <c r="BB49" s="90">
        <f t="shared" si="167"/>
        <v>0.99907107675195517</v>
      </c>
      <c r="BC49" s="90">
        <f t="shared" si="167"/>
        <v>0.99951698588986537</v>
      </c>
      <c r="BD49" s="90">
        <f t="shared" si="167"/>
        <v>0.99970746765376894</v>
      </c>
      <c r="BE49" s="90">
        <f t="shared" si="167"/>
        <v>0.9997158575005165</v>
      </c>
      <c r="BF49" s="90">
        <f t="shared" si="167"/>
        <v>0.99979482906811057</v>
      </c>
      <c r="BG49" s="90">
        <f t="shared" si="167"/>
        <v>0.99983802981483372</v>
      </c>
      <c r="BH49" s="22"/>
      <c r="BI49" s="91">
        <f>$A$36</f>
        <v>20133</v>
      </c>
      <c r="BJ49" s="105"/>
      <c r="BK49" s="90">
        <f>IFERROR(BL36/BK36,"")</f>
        <v>0.9720441919210121</v>
      </c>
      <c r="BL49" s="90">
        <f t="shared" ref="BL49:BS49" si="168">IFERROR(BM36/BL36,"")</f>
        <v>0.99433168959173401</v>
      </c>
      <c r="BM49" s="90">
        <f t="shared" si="168"/>
        <v>0.99942493048772829</v>
      </c>
      <c r="BN49" s="90">
        <f t="shared" si="168"/>
        <v>0.99976125267418336</v>
      </c>
      <c r="BO49" s="90">
        <f t="shared" si="168"/>
        <v>0.99978232778127729</v>
      </c>
      <c r="BP49" s="90">
        <f t="shared" si="168"/>
        <v>0.99990679288591144</v>
      </c>
      <c r="BQ49" s="90">
        <f t="shared" si="168"/>
        <v>0.99997328520571505</v>
      </c>
      <c r="BR49" s="90">
        <f t="shared" si="168"/>
        <v>0.99994479579713247</v>
      </c>
      <c r="BS49" s="90">
        <f t="shared" si="168"/>
        <v>0.99995146995888373</v>
      </c>
      <c r="BT49" s="22"/>
      <c r="BU49" s="91">
        <f>$A$36</f>
        <v>20133</v>
      </c>
      <c r="BV49" s="105"/>
      <c r="BW49" s="90">
        <f>IFERROR(BX36/BW36,"")</f>
        <v>1.356372179936884</v>
      </c>
      <c r="BX49" s="90">
        <f t="shared" ref="BX49:CE49" si="169">IFERROR(BY36/BX36,"")</f>
        <v>1.0001625315474869</v>
      </c>
      <c r="BY49" s="90">
        <f t="shared" si="169"/>
        <v>1</v>
      </c>
      <c r="BZ49" s="90">
        <f t="shared" si="169"/>
        <v>0.99416638724864015</v>
      </c>
      <c r="CA49" s="90">
        <f t="shared" si="169"/>
        <v>1</v>
      </c>
      <c r="CB49" s="90">
        <f t="shared" si="169"/>
        <v>1</v>
      </c>
      <c r="CC49" s="90">
        <f t="shared" si="169"/>
        <v>1</v>
      </c>
      <c r="CD49" s="90">
        <f t="shared" si="169"/>
        <v>1</v>
      </c>
      <c r="CE49" s="90">
        <f t="shared" si="169"/>
        <v>1</v>
      </c>
      <c r="CF49" s="22"/>
      <c r="CG49" s="91">
        <f>$A$36</f>
        <v>20133</v>
      </c>
      <c r="CH49" s="105"/>
      <c r="CI49" s="90" t="str">
        <f>IFERROR(CJ36/CI36,"")</f>
        <v/>
      </c>
      <c r="CJ49" s="90" t="str">
        <f t="shared" ref="CJ49:CQ49" si="170">IFERROR(CK36/CJ36,"")</f>
        <v/>
      </c>
      <c r="CK49" s="90" t="str">
        <f t="shared" si="170"/>
        <v/>
      </c>
      <c r="CL49" s="90" t="str">
        <f t="shared" si="170"/>
        <v/>
      </c>
      <c r="CM49" s="90" t="str">
        <f t="shared" si="170"/>
        <v/>
      </c>
      <c r="CN49" s="90" t="str">
        <f t="shared" si="170"/>
        <v/>
      </c>
      <c r="CO49" s="90" t="str">
        <f t="shared" si="170"/>
        <v/>
      </c>
      <c r="CP49" s="90" t="str">
        <f t="shared" si="170"/>
        <v/>
      </c>
      <c r="CQ49" s="90" t="str">
        <f t="shared" si="170"/>
        <v/>
      </c>
      <c r="CR49" s="22"/>
      <c r="CS49" s="91">
        <f>$A$36</f>
        <v>20133</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20133</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20143</v>
      </c>
      <c r="B50" s="105"/>
      <c r="C50" s="90">
        <f t="shared" ref="C50:J57" si="173">IFERROR(D37/C37,"")</f>
        <v>1.4623088691668973</v>
      </c>
      <c r="D50" s="90">
        <f t="shared" si="173"/>
        <v>1.252505327178562</v>
      </c>
      <c r="E50" s="90">
        <f t="shared" si="173"/>
        <v>1.100669341820905</v>
      </c>
      <c r="F50" s="90">
        <f t="shared" si="173"/>
        <v>1.0465491730845207</v>
      </c>
      <c r="G50" s="90">
        <f t="shared" si="173"/>
        <v>1.0082293494243442</v>
      </c>
      <c r="H50" s="90">
        <f t="shared" si="173"/>
        <v>1.0018541803957015</v>
      </c>
      <c r="I50" s="90">
        <f t="shared" si="173"/>
        <v>1.0014603472127819</v>
      </c>
      <c r="J50" s="90">
        <f t="shared" si="173"/>
        <v>1.0006918657932158</v>
      </c>
      <c r="K50" s="22"/>
      <c r="L50" s="22"/>
      <c r="M50" s="91">
        <f>$A$37</f>
        <v>20143</v>
      </c>
      <c r="N50" s="105"/>
      <c r="O50" s="90">
        <f t="shared" ref="O50:V57" si="174">IFERROR(P37/O37,"")</f>
        <v>1.2313657074349049</v>
      </c>
      <c r="P50" s="90">
        <f t="shared" si="174"/>
        <v>1.017662252600976</v>
      </c>
      <c r="Q50" s="90">
        <f t="shared" si="174"/>
        <v>1.0086182631221812</v>
      </c>
      <c r="R50" s="90">
        <f t="shared" si="174"/>
        <v>1.0035464512415311</v>
      </c>
      <c r="S50" s="90">
        <f t="shared" si="174"/>
        <v>1.0007510286077159</v>
      </c>
      <c r="T50" s="90">
        <f t="shared" si="174"/>
        <v>1.001447699664018</v>
      </c>
      <c r="U50" s="90">
        <f t="shared" si="174"/>
        <v>1.0014099943704917</v>
      </c>
      <c r="V50" s="90">
        <f t="shared" si="174"/>
        <v>0.99991486091766657</v>
      </c>
      <c r="W50" s="22"/>
      <c r="X50" s="22"/>
      <c r="Y50" s="91">
        <f>$A$37</f>
        <v>20143</v>
      </c>
      <c r="Z50" s="105"/>
      <c r="AA50" s="90">
        <f t="shared" ref="AA50:AH57" si="175">IFERROR(AB37/AA37,"")</f>
        <v>2.3163246324512925</v>
      </c>
      <c r="AB50" s="90">
        <f t="shared" si="175"/>
        <v>1.3594774299420556</v>
      </c>
      <c r="AC50" s="90">
        <f t="shared" si="175"/>
        <v>1.1135170534571073</v>
      </c>
      <c r="AD50" s="90">
        <f t="shared" si="175"/>
        <v>1.0609431795211652</v>
      </c>
      <c r="AE50" s="90">
        <f t="shared" si="175"/>
        <v>1.0283486273020335</v>
      </c>
      <c r="AF50" s="90">
        <f t="shared" si="175"/>
        <v>1.0108104795803585</v>
      </c>
      <c r="AG50" s="90">
        <f t="shared" si="175"/>
        <v>1.0084016868340293</v>
      </c>
      <c r="AH50" s="90">
        <f t="shared" si="175"/>
        <v>1.0055769339266774</v>
      </c>
      <c r="AI50" s="22"/>
      <c r="AJ50" s="22"/>
      <c r="AK50" s="91">
        <f>$A$37</f>
        <v>20143</v>
      </c>
      <c r="AL50" s="105"/>
      <c r="AM50" s="90">
        <f t="shared" ref="AM50:AT57" si="176">IFERROR(AN37/AM37,"")</f>
        <v>1.0124770110572712</v>
      </c>
      <c r="AN50" s="90">
        <f t="shared" si="176"/>
        <v>1.0001342682489645</v>
      </c>
      <c r="AO50" s="90">
        <f t="shared" si="176"/>
        <v>1.0009859690764082</v>
      </c>
      <c r="AP50" s="90">
        <f t="shared" si="176"/>
        <v>0.99978704111083849</v>
      </c>
      <c r="AQ50" s="90">
        <f t="shared" si="176"/>
        <v>1.0003575288429158</v>
      </c>
      <c r="AR50" s="90">
        <f t="shared" si="176"/>
        <v>1.0001516701506226</v>
      </c>
      <c r="AS50" s="90">
        <f t="shared" si="176"/>
        <v>0.99996244343959295</v>
      </c>
      <c r="AT50" s="90">
        <f t="shared" si="176"/>
        <v>0.99998789933050769</v>
      </c>
      <c r="AU50" s="22"/>
      <c r="AV50" s="22"/>
      <c r="AW50" s="91">
        <f>$A$37</f>
        <v>20143</v>
      </c>
      <c r="AX50" s="105"/>
      <c r="AY50" s="90">
        <f t="shared" ref="AY50:BF57" si="177">IFERROR(AZ37/AY37,"")</f>
        <v>0.9213232629660858</v>
      </c>
      <c r="AZ50" s="90">
        <f t="shared" si="177"/>
        <v>0.99064153847165237</v>
      </c>
      <c r="BA50" s="90">
        <f t="shared" si="177"/>
        <v>0.99719427822732054</v>
      </c>
      <c r="BB50" s="90">
        <f t="shared" si="177"/>
        <v>0.99936034204766966</v>
      </c>
      <c r="BC50" s="90">
        <f t="shared" si="177"/>
        <v>0.99978767007945246</v>
      </c>
      <c r="BD50" s="90">
        <f t="shared" si="177"/>
        <v>0.99990028186035407</v>
      </c>
      <c r="BE50" s="90">
        <f t="shared" si="177"/>
        <v>0.99987920362738791</v>
      </c>
      <c r="BF50" s="90">
        <f t="shared" si="177"/>
        <v>0.99994120009338794</v>
      </c>
      <c r="BG50" s="22"/>
      <c r="BH50" s="22"/>
      <c r="BI50" s="91">
        <f>$A$37</f>
        <v>20143</v>
      </c>
      <c r="BJ50" s="105"/>
      <c r="BK50" s="90">
        <f t="shared" ref="BK50:BR57" si="178">IFERROR(BL37/BK37,"")</f>
        <v>0.96721374506660085</v>
      </c>
      <c r="BL50" s="90">
        <f t="shared" si="178"/>
        <v>0.99710017247731753</v>
      </c>
      <c r="BM50" s="90">
        <f t="shared" si="178"/>
        <v>0.99996728754065434</v>
      </c>
      <c r="BN50" s="90">
        <f t="shared" si="178"/>
        <v>1.0000378536001471</v>
      </c>
      <c r="BO50" s="90">
        <f t="shared" si="178"/>
        <v>0.99998359193399322</v>
      </c>
      <c r="BP50" s="90">
        <f t="shared" si="178"/>
        <v>0.99998278505710614</v>
      </c>
      <c r="BQ50" s="90">
        <f t="shared" si="178"/>
        <v>0.99999670696571785</v>
      </c>
      <c r="BR50" s="90">
        <f t="shared" si="178"/>
        <v>1.0000121883378719</v>
      </c>
      <c r="BS50" s="22"/>
      <c r="BT50" s="22"/>
      <c r="BU50" s="91">
        <f>$A$37</f>
        <v>20143</v>
      </c>
      <c r="BV50" s="105"/>
      <c r="BW50" s="90">
        <f t="shared" ref="BW50:CD57" si="179">IFERROR(BX37/BW37,"")</f>
        <v>1.0880433579237221</v>
      </c>
      <c r="BX50" s="90">
        <f t="shared" si="179"/>
        <v>1</v>
      </c>
      <c r="BY50" s="90">
        <f t="shared" si="179"/>
        <v>1.0666541399631615</v>
      </c>
      <c r="BZ50" s="90">
        <f t="shared" si="179"/>
        <v>1</v>
      </c>
      <c r="CA50" s="90">
        <f t="shared" si="179"/>
        <v>1</v>
      </c>
      <c r="CB50" s="90">
        <f t="shared" si="179"/>
        <v>1</v>
      </c>
      <c r="CC50" s="90">
        <f t="shared" si="179"/>
        <v>1</v>
      </c>
      <c r="CD50" s="90">
        <f t="shared" si="179"/>
        <v>1</v>
      </c>
      <c r="CE50" s="22"/>
      <c r="CF50" s="22"/>
      <c r="CG50" s="91">
        <f>$A$37</f>
        <v>20143</v>
      </c>
      <c r="CH50" s="105"/>
      <c r="CI50" s="90" t="str">
        <f t="shared" ref="CI50:CP57" si="180">IFERROR(CJ37/CI37,"")</f>
        <v/>
      </c>
      <c r="CJ50" s="90" t="str">
        <f t="shared" si="180"/>
        <v/>
      </c>
      <c r="CK50" s="90" t="str">
        <f t="shared" si="180"/>
        <v/>
      </c>
      <c r="CL50" s="90" t="str">
        <f t="shared" si="180"/>
        <v/>
      </c>
      <c r="CM50" s="90" t="str">
        <f t="shared" si="180"/>
        <v/>
      </c>
      <c r="CN50" s="90" t="str">
        <f t="shared" si="180"/>
        <v/>
      </c>
      <c r="CO50" s="90" t="str">
        <f t="shared" si="180"/>
        <v/>
      </c>
      <c r="CP50" s="90" t="str">
        <f t="shared" si="180"/>
        <v/>
      </c>
      <c r="CQ50" s="22"/>
      <c r="CR50" s="22"/>
      <c r="CS50" s="91">
        <f>$A$37</f>
        <v>20143</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20143</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20153</v>
      </c>
      <c r="B51" s="105"/>
      <c r="C51" s="90">
        <f t="shared" si="173"/>
        <v>1.4187124163412315</v>
      </c>
      <c r="D51" s="90">
        <f t="shared" si="173"/>
        <v>1.1652643875532069</v>
      </c>
      <c r="E51" s="90">
        <f t="shared" si="173"/>
        <v>1.0871050590603653</v>
      </c>
      <c r="F51" s="90">
        <f t="shared" si="173"/>
        <v>1.043117160814943</v>
      </c>
      <c r="G51" s="90">
        <f t="shared" si="173"/>
        <v>1.0099016304206647</v>
      </c>
      <c r="H51" s="90">
        <f t="shared" si="173"/>
        <v>1.0036601504781706</v>
      </c>
      <c r="I51" s="90">
        <f t="shared" si="173"/>
        <v>1.0032673512723354</v>
      </c>
      <c r="J51" s="22"/>
      <c r="K51" s="22"/>
      <c r="L51" s="22"/>
      <c r="M51" s="91">
        <f>$A$38</f>
        <v>20153</v>
      </c>
      <c r="N51" s="105"/>
      <c r="O51" s="90">
        <f t="shared" si="174"/>
        <v>1.2559525920843817</v>
      </c>
      <c r="P51" s="90">
        <f t="shared" si="174"/>
        <v>1.0253376992730709</v>
      </c>
      <c r="Q51" s="90">
        <f t="shared" si="174"/>
        <v>1.0102709314361793</v>
      </c>
      <c r="R51" s="90">
        <f t="shared" si="174"/>
        <v>1.0016730819960047</v>
      </c>
      <c r="S51" s="90">
        <f t="shared" si="174"/>
        <v>1.0000677314530662</v>
      </c>
      <c r="T51" s="90">
        <f t="shared" si="174"/>
        <v>1.0005846181531501</v>
      </c>
      <c r="U51" s="90">
        <f t="shared" si="174"/>
        <v>1.0000319324629092</v>
      </c>
      <c r="V51" s="22"/>
      <c r="W51" s="22"/>
      <c r="X51" s="22"/>
      <c r="Y51" s="91">
        <f>$A$38</f>
        <v>20153</v>
      </c>
      <c r="Z51" s="105"/>
      <c r="AA51" s="90">
        <f t="shared" si="175"/>
        <v>2.2979036402766049</v>
      </c>
      <c r="AB51" s="90">
        <f t="shared" si="175"/>
        <v>1.3401882421211415</v>
      </c>
      <c r="AC51" s="90">
        <f t="shared" si="175"/>
        <v>1.1170309007062957</v>
      </c>
      <c r="AD51" s="90">
        <f t="shared" si="175"/>
        <v>1.0602931629082013</v>
      </c>
      <c r="AE51" s="90">
        <f t="shared" si="175"/>
        <v>1.0259344763173315</v>
      </c>
      <c r="AF51" s="90">
        <f t="shared" si="175"/>
        <v>1.0153012453648189</v>
      </c>
      <c r="AG51" s="90">
        <f t="shared" si="175"/>
        <v>1.0060630875456005</v>
      </c>
      <c r="AH51" s="22"/>
      <c r="AI51" s="22"/>
      <c r="AJ51" s="22"/>
      <c r="AK51" s="91">
        <f>$A$38</f>
        <v>20153</v>
      </c>
      <c r="AL51" s="105"/>
      <c r="AM51" s="90">
        <f t="shared" si="176"/>
        <v>1.0178197492670558</v>
      </c>
      <c r="AN51" s="90">
        <f t="shared" si="176"/>
        <v>1.0021235590572539</v>
      </c>
      <c r="AO51" s="90">
        <f t="shared" si="176"/>
        <v>1.0003975144442485</v>
      </c>
      <c r="AP51" s="90">
        <f t="shared" si="176"/>
        <v>1.0001877327287025</v>
      </c>
      <c r="AQ51" s="90">
        <f t="shared" si="176"/>
        <v>1.0001093493728002</v>
      </c>
      <c r="AR51" s="90">
        <f t="shared" si="176"/>
        <v>1.000062169745737</v>
      </c>
      <c r="AS51" s="90">
        <f t="shared" si="176"/>
        <v>1.0000438655653148</v>
      </c>
      <c r="AT51" s="22"/>
      <c r="AU51" s="22"/>
      <c r="AV51" s="22"/>
      <c r="AW51" s="91">
        <f>$A$38</f>
        <v>20153</v>
      </c>
      <c r="AX51" s="105"/>
      <c r="AY51" s="90">
        <f t="shared" si="177"/>
        <v>0.93360380339763838</v>
      </c>
      <c r="AZ51" s="90">
        <f t="shared" si="177"/>
        <v>0.99196074565924597</v>
      </c>
      <c r="BA51" s="90">
        <f t="shared" si="177"/>
        <v>0.99768176473211811</v>
      </c>
      <c r="BB51" s="90">
        <f t="shared" si="177"/>
        <v>0.99947718505941907</v>
      </c>
      <c r="BC51" s="90">
        <f t="shared" si="177"/>
        <v>0.99982925335858164</v>
      </c>
      <c r="BD51" s="90">
        <f t="shared" si="177"/>
        <v>0.99991375043823183</v>
      </c>
      <c r="BE51" s="90">
        <f t="shared" si="177"/>
        <v>0.99992117010479464</v>
      </c>
      <c r="BF51" s="22"/>
      <c r="BG51" s="22"/>
      <c r="BH51" s="22"/>
      <c r="BI51" s="91">
        <f>$A$38</f>
        <v>20153</v>
      </c>
      <c r="BJ51" s="105"/>
      <c r="BK51" s="90">
        <f t="shared" si="178"/>
        <v>0.9795145963939027</v>
      </c>
      <c r="BL51" s="90">
        <f t="shared" si="178"/>
        <v>0.99846448393460407</v>
      </c>
      <c r="BM51" s="90">
        <f t="shared" si="178"/>
        <v>0.99978279263810299</v>
      </c>
      <c r="BN51" s="90">
        <f t="shared" si="178"/>
        <v>0.99997326583349189</v>
      </c>
      <c r="BO51" s="90">
        <f t="shared" si="178"/>
        <v>1.0000064438816747</v>
      </c>
      <c r="BP51" s="90">
        <f t="shared" si="178"/>
        <v>0.99998680750100866</v>
      </c>
      <c r="BQ51" s="90">
        <f t="shared" si="178"/>
        <v>1.0000206282820971</v>
      </c>
      <c r="BR51" s="22"/>
      <c r="BS51" s="22"/>
      <c r="BT51" s="22"/>
      <c r="BU51" s="91">
        <f>$A$38</f>
        <v>20153</v>
      </c>
      <c r="BV51" s="105"/>
      <c r="BW51" s="90">
        <f t="shared" si="179"/>
        <v>1.1169683755652733</v>
      </c>
      <c r="BX51" s="90">
        <f t="shared" si="179"/>
        <v>1.0053307124595314</v>
      </c>
      <c r="BY51" s="90">
        <f t="shared" si="179"/>
        <v>1.0149214522031109</v>
      </c>
      <c r="BZ51" s="90">
        <f t="shared" si="179"/>
        <v>1</v>
      </c>
      <c r="CA51" s="90">
        <f t="shared" si="179"/>
        <v>1</v>
      </c>
      <c r="CB51" s="90">
        <f t="shared" si="179"/>
        <v>1</v>
      </c>
      <c r="CC51" s="90">
        <f t="shared" si="179"/>
        <v>1</v>
      </c>
      <c r="CD51" s="22"/>
      <c r="CE51" s="22"/>
      <c r="CF51" s="22"/>
      <c r="CG51" s="91">
        <f>$A$38</f>
        <v>20153</v>
      </c>
      <c r="CH51" s="105"/>
      <c r="CI51" s="90" t="str">
        <f t="shared" si="180"/>
        <v/>
      </c>
      <c r="CJ51" s="90" t="str">
        <f t="shared" si="180"/>
        <v/>
      </c>
      <c r="CK51" s="90" t="str">
        <f t="shared" si="180"/>
        <v/>
      </c>
      <c r="CL51" s="90" t="str">
        <f t="shared" si="180"/>
        <v/>
      </c>
      <c r="CM51" s="90" t="str">
        <f t="shared" si="180"/>
        <v/>
      </c>
      <c r="CN51" s="90" t="str">
        <f t="shared" si="180"/>
        <v/>
      </c>
      <c r="CO51" s="90" t="str">
        <f t="shared" si="180"/>
        <v/>
      </c>
      <c r="CP51" s="22"/>
      <c r="CQ51" s="22"/>
      <c r="CR51" s="22"/>
      <c r="CS51" s="91">
        <f>$A$38</f>
        <v>20153</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20153</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20163</v>
      </c>
      <c r="B52" s="105"/>
      <c r="C52" s="90">
        <f t="shared" si="173"/>
        <v>1.4553413336650802</v>
      </c>
      <c r="D52" s="90">
        <f t="shared" si="173"/>
        <v>1.1515265917388455</v>
      </c>
      <c r="E52" s="90">
        <f t="shared" si="173"/>
        <v>1.1043983243222915</v>
      </c>
      <c r="F52" s="90">
        <f t="shared" si="173"/>
        <v>1.0357548838309441</v>
      </c>
      <c r="G52" s="90">
        <f t="shared" si="173"/>
        <v>1.0128794378398656</v>
      </c>
      <c r="H52" s="90">
        <f t="shared" si="173"/>
        <v>1.0097737691730182</v>
      </c>
      <c r="I52" s="22"/>
      <c r="J52" s="22"/>
      <c r="K52" s="22"/>
      <c r="L52" s="22"/>
      <c r="M52" s="91">
        <f>$A$39</f>
        <v>20163</v>
      </c>
      <c r="N52" s="105"/>
      <c r="O52" s="90">
        <f t="shared" si="174"/>
        <v>1.2911717068895312</v>
      </c>
      <c r="P52" s="90">
        <f t="shared" si="174"/>
        <v>1.0245360148825176</v>
      </c>
      <c r="Q52" s="90">
        <f t="shared" si="174"/>
        <v>1.0057088595717851</v>
      </c>
      <c r="R52" s="90">
        <f t="shared" si="174"/>
        <v>1.0010443410919416</v>
      </c>
      <c r="S52" s="90">
        <f t="shared" si="174"/>
        <v>1.001706562349242</v>
      </c>
      <c r="T52" s="90">
        <f t="shared" si="174"/>
        <v>1.0006573192173192</v>
      </c>
      <c r="U52" s="22"/>
      <c r="V52" s="22"/>
      <c r="W52" s="22"/>
      <c r="X52" s="22"/>
      <c r="Y52" s="91">
        <f>$A$39</f>
        <v>20163</v>
      </c>
      <c r="Z52" s="105"/>
      <c r="AA52" s="90">
        <f t="shared" si="175"/>
        <v>2.1749496924911353</v>
      </c>
      <c r="AB52" s="90">
        <f t="shared" si="175"/>
        <v>1.2947649508920838</v>
      </c>
      <c r="AC52" s="90">
        <f t="shared" si="175"/>
        <v>1.0927784056743237</v>
      </c>
      <c r="AD52" s="90">
        <f t="shared" si="175"/>
        <v>1.0511625325976115</v>
      </c>
      <c r="AE52" s="90">
        <f t="shared" si="175"/>
        <v>1.0288516069669196</v>
      </c>
      <c r="AF52" s="90">
        <f t="shared" si="175"/>
        <v>1.0175408620961799</v>
      </c>
      <c r="AG52" s="22"/>
      <c r="AH52" s="22"/>
      <c r="AI52" s="22"/>
      <c r="AJ52" s="22"/>
      <c r="AK52" s="91">
        <f>$A$39</f>
        <v>20163</v>
      </c>
      <c r="AL52" s="105"/>
      <c r="AM52" s="90">
        <f t="shared" si="176"/>
        <v>1.018866058014646</v>
      </c>
      <c r="AN52" s="90">
        <f t="shared" si="176"/>
        <v>1.0013103364313931</v>
      </c>
      <c r="AO52" s="90">
        <f t="shared" si="176"/>
        <v>0.99994571303689939</v>
      </c>
      <c r="AP52" s="90">
        <f t="shared" si="176"/>
        <v>0.99981077922833939</v>
      </c>
      <c r="AQ52" s="90">
        <f t="shared" si="176"/>
        <v>1.000262593583835</v>
      </c>
      <c r="AR52" s="90">
        <f t="shared" si="176"/>
        <v>1.0000619536190702</v>
      </c>
      <c r="AS52" s="22"/>
      <c r="AT52" s="22"/>
      <c r="AU52" s="22"/>
      <c r="AV52" s="22"/>
      <c r="AW52" s="91">
        <f>$A$39</f>
        <v>20163</v>
      </c>
      <c r="AX52" s="105"/>
      <c r="AY52" s="90">
        <f t="shared" si="177"/>
        <v>0.93394355473161517</v>
      </c>
      <c r="AZ52" s="90">
        <f t="shared" si="177"/>
        <v>0.99201220113354682</v>
      </c>
      <c r="BA52" s="90">
        <f t="shared" si="177"/>
        <v>0.99757914807321135</v>
      </c>
      <c r="BB52" s="90">
        <f t="shared" si="177"/>
        <v>0.99918359085215103</v>
      </c>
      <c r="BC52" s="90">
        <f t="shared" si="177"/>
        <v>0.99979607270012416</v>
      </c>
      <c r="BD52" s="90">
        <f t="shared" si="177"/>
        <v>0.99985777842585621</v>
      </c>
      <c r="BE52" s="22"/>
      <c r="BF52" s="22"/>
      <c r="BG52" s="22"/>
      <c r="BH52" s="22"/>
      <c r="BI52" s="91">
        <f>$A$39</f>
        <v>20163</v>
      </c>
      <c r="BJ52" s="105"/>
      <c r="BK52" s="90">
        <f t="shared" si="178"/>
        <v>0.98095761140689908</v>
      </c>
      <c r="BL52" s="90">
        <f t="shared" si="178"/>
        <v>0.99851509684611195</v>
      </c>
      <c r="BM52" s="90">
        <f t="shared" si="178"/>
        <v>0.99988367027928604</v>
      </c>
      <c r="BN52" s="90">
        <f t="shared" si="178"/>
        <v>0.99999755262903356</v>
      </c>
      <c r="BO52" s="90">
        <f t="shared" si="178"/>
        <v>1.0000045830930668</v>
      </c>
      <c r="BP52" s="90">
        <f t="shared" si="178"/>
        <v>1.0000099320456248</v>
      </c>
      <c r="BQ52" s="22"/>
      <c r="BR52" s="22"/>
      <c r="BS52" s="22"/>
      <c r="BT52" s="22"/>
      <c r="BU52" s="91">
        <f>$A$39</f>
        <v>20163</v>
      </c>
      <c r="BV52" s="105"/>
      <c r="BW52" s="90">
        <f t="shared" si="179"/>
        <v>1.1680508060576453</v>
      </c>
      <c r="BX52" s="90">
        <f t="shared" si="179"/>
        <v>1.0836470096194062</v>
      </c>
      <c r="BY52" s="90">
        <f t="shared" si="179"/>
        <v>1.0308761096101891</v>
      </c>
      <c r="BZ52" s="90">
        <f t="shared" si="179"/>
        <v>1.0318232871583677</v>
      </c>
      <c r="CA52" s="90">
        <f t="shared" si="179"/>
        <v>1</v>
      </c>
      <c r="CB52" s="90">
        <f t="shared" si="179"/>
        <v>1</v>
      </c>
      <c r="CC52" s="22"/>
      <c r="CD52" s="22"/>
      <c r="CE52" s="22"/>
      <c r="CF52" s="22"/>
      <c r="CG52" s="91">
        <f>$A$39</f>
        <v>20163</v>
      </c>
      <c r="CH52" s="105"/>
      <c r="CI52" s="90" t="str">
        <f t="shared" si="180"/>
        <v/>
      </c>
      <c r="CJ52" s="90" t="str">
        <f t="shared" si="180"/>
        <v/>
      </c>
      <c r="CK52" s="90" t="str">
        <f t="shared" si="180"/>
        <v/>
      </c>
      <c r="CL52" s="90" t="str">
        <f t="shared" si="180"/>
        <v/>
      </c>
      <c r="CM52" s="90" t="str">
        <f t="shared" si="180"/>
        <v/>
      </c>
      <c r="CN52" s="90" t="str">
        <f t="shared" si="180"/>
        <v/>
      </c>
      <c r="CO52" s="22"/>
      <c r="CP52" s="22"/>
      <c r="CQ52" s="22"/>
      <c r="CR52" s="22"/>
      <c r="CS52" s="91">
        <f>$A$39</f>
        <v>20163</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20163</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20173</v>
      </c>
      <c r="B53" s="105"/>
      <c r="C53" s="90">
        <f>IFERROR(D40/C40,"")</f>
        <v>1.3775139756651835</v>
      </c>
      <c r="D53" s="90">
        <f t="shared" ref="D53:G53" si="183">IFERROR(E40/D40,"")</f>
        <v>1.1971206731569384</v>
      </c>
      <c r="E53" s="90">
        <f t="shared" si="183"/>
        <v>1.0831097032149943</v>
      </c>
      <c r="F53" s="90">
        <f t="shared" si="183"/>
        <v>1.0490939974620721</v>
      </c>
      <c r="G53" s="90">
        <f t="shared" si="183"/>
        <v>1.0424362527142679</v>
      </c>
      <c r="H53" s="22"/>
      <c r="I53" s="22"/>
      <c r="J53" s="22"/>
      <c r="K53" s="22"/>
      <c r="L53" s="22"/>
      <c r="M53" s="91">
        <f>$A$40</f>
        <v>20173</v>
      </c>
      <c r="N53" s="105"/>
      <c r="O53" s="90">
        <f t="shared" si="174"/>
        <v>1.3008330190056334</v>
      </c>
      <c r="P53" s="90">
        <f t="shared" si="174"/>
        <v>1.0413071399685745</v>
      </c>
      <c r="Q53" s="90">
        <f t="shared" si="174"/>
        <v>1.0064944952278345</v>
      </c>
      <c r="R53" s="90">
        <f t="shared" si="174"/>
        <v>1.0018881074340058</v>
      </c>
      <c r="S53" s="90">
        <f t="shared" si="174"/>
        <v>1.000390953256604</v>
      </c>
      <c r="T53" s="22"/>
      <c r="U53" s="22"/>
      <c r="V53" s="22"/>
      <c r="W53" s="22"/>
      <c r="X53" s="22"/>
      <c r="Y53" s="91">
        <f>$A$40</f>
        <v>20173</v>
      </c>
      <c r="Z53" s="105"/>
      <c r="AA53" s="90">
        <f t="shared" si="175"/>
        <v>2.1737327902622647</v>
      </c>
      <c r="AB53" s="90">
        <f t="shared" si="175"/>
        <v>1.2831513059492923</v>
      </c>
      <c r="AC53" s="90">
        <f t="shared" si="175"/>
        <v>1.1010388940541078</v>
      </c>
      <c r="AD53" s="90">
        <f t="shared" si="175"/>
        <v>1.050137696698122</v>
      </c>
      <c r="AE53" s="90">
        <f t="shared" si="175"/>
        <v>1.0321632991522396</v>
      </c>
      <c r="AF53" s="22"/>
      <c r="AG53" s="22"/>
      <c r="AH53" s="22"/>
      <c r="AI53" s="22"/>
      <c r="AJ53" s="22"/>
      <c r="AK53" s="91">
        <f>$A$40</f>
        <v>20173</v>
      </c>
      <c r="AL53" s="105"/>
      <c r="AM53" s="90">
        <f t="shared" si="176"/>
        <v>1.0190776487345403</v>
      </c>
      <c r="AN53" s="90">
        <f t="shared" si="176"/>
        <v>1.0029266753166484</v>
      </c>
      <c r="AO53" s="90">
        <f t="shared" si="176"/>
        <v>1.0013858020165403</v>
      </c>
      <c r="AP53" s="90">
        <f t="shared" si="176"/>
        <v>1.000672104423264</v>
      </c>
      <c r="AQ53" s="90">
        <f t="shared" si="176"/>
        <v>1.0000806635745711</v>
      </c>
      <c r="AR53" s="22"/>
      <c r="AS53" s="22"/>
      <c r="AT53" s="22"/>
      <c r="AU53" s="22"/>
      <c r="AV53" s="22"/>
      <c r="AW53" s="91">
        <f>$A$40</f>
        <v>20173</v>
      </c>
      <c r="AX53" s="105"/>
      <c r="AY53" s="90">
        <f t="shared" si="177"/>
        <v>0.94546159277996256</v>
      </c>
      <c r="AZ53" s="90">
        <f t="shared" si="177"/>
        <v>0.99294974941866232</v>
      </c>
      <c r="BA53" s="90">
        <f t="shared" si="177"/>
        <v>0.99808748364755073</v>
      </c>
      <c r="BB53" s="90">
        <f t="shared" si="177"/>
        <v>0.99919391947255987</v>
      </c>
      <c r="BC53" s="90">
        <f t="shared" si="177"/>
        <v>0.99971507982741237</v>
      </c>
      <c r="BD53" s="22"/>
      <c r="BE53" s="22"/>
      <c r="BF53" s="22"/>
      <c r="BG53" s="22"/>
      <c r="BH53" s="22"/>
      <c r="BI53" s="91">
        <f>$A$40</f>
        <v>20173</v>
      </c>
      <c r="BJ53" s="105"/>
      <c r="BK53" s="90">
        <f t="shared" si="178"/>
        <v>0.98225142739315707</v>
      </c>
      <c r="BL53" s="90">
        <f t="shared" si="178"/>
        <v>0.99942073548170796</v>
      </c>
      <c r="BM53" s="90">
        <f t="shared" si="178"/>
        <v>1.0001364064227674</v>
      </c>
      <c r="BN53" s="90">
        <f t="shared" si="178"/>
        <v>1.00014304754272</v>
      </c>
      <c r="BO53" s="90">
        <f t="shared" si="178"/>
        <v>1.0000016341829598</v>
      </c>
      <c r="BP53" s="22"/>
      <c r="BQ53" s="22"/>
      <c r="BR53" s="22"/>
      <c r="BS53" s="22"/>
      <c r="BT53" s="22"/>
      <c r="BU53" s="91">
        <f>$A$40</f>
        <v>20173</v>
      </c>
      <c r="BV53" s="105"/>
      <c r="BW53" s="90">
        <f t="shared" si="179"/>
        <v>1.1528749619714025</v>
      </c>
      <c r="BX53" s="90">
        <f t="shared" si="179"/>
        <v>1.002596965298852</v>
      </c>
      <c r="BY53" s="90">
        <f t="shared" si="179"/>
        <v>1</v>
      </c>
      <c r="BZ53" s="90">
        <f t="shared" si="179"/>
        <v>1</v>
      </c>
      <c r="CA53" s="90">
        <f t="shared" si="179"/>
        <v>1</v>
      </c>
      <c r="CB53" s="22"/>
      <c r="CC53" s="22"/>
      <c r="CD53" s="22"/>
      <c r="CE53" s="22"/>
      <c r="CF53" s="22"/>
      <c r="CG53" s="91">
        <f>$A$40</f>
        <v>20173</v>
      </c>
      <c r="CH53" s="105"/>
      <c r="CI53" s="90" t="str">
        <f t="shared" si="180"/>
        <v/>
      </c>
      <c r="CJ53" s="90" t="str">
        <f t="shared" si="180"/>
        <v/>
      </c>
      <c r="CK53" s="90" t="str">
        <f t="shared" si="180"/>
        <v/>
      </c>
      <c r="CL53" s="90" t="str">
        <f t="shared" si="180"/>
        <v/>
      </c>
      <c r="CM53" s="90" t="str">
        <f t="shared" si="180"/>
        <v/>
      </c>
      <c r="CN53" s="22"/>
      <c r="CO53" s="22"/>
      <c r="CP53" s="22"/>
      <c r="CQ53" s="22"/>
      <c r="CR53" s="22"/>
      <c r="CS53" s="91">
        <f>$A$40</f>
        <v>20173</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20173</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20183</v>
      </c>
      <c r="B54" s="105"/>
      <c r="C54" s="90">
        <f t="shared" si="173"/>
        <v>1.4039848051657859</v>
      </c>
      <c r="D54" s="90">
        <f t="shared" si="173"/>
        <v>1.1637242296596628</v>
      </c>
      <c r="E54" s="90">
        <f t="shared" si="173"/>
        <v>1.1048790725053355</v>
      </c>
      <c r="F54" s="90">
        <f t="shared" si="173"/>
        <v>1.0682667527580931</v>
      </c>
      <c r="G54" s="22"/>
      <c r="H54" s="22"/>
      <c r="I54" s="22"/>
      <c r="J54" s="22"/>
      <c r="K54" s="22"/>
      <c r="L54" s="22"/>
      <c r="M54" s="91">
        <f>$A$41</f>
        <v>20183</v>
      </c>
      <c r="N54" s="105"/>
      <c r="O54" s="90">
        <f t="shared" si="174"/>
        <v>1.356241697512435</v>
      </c>
      <c r="P54" s="90">
        <f t="shared" si="174"/>
        <v>1.0425650711003325</v>
      </c>
      <c r="Q54" s="90">
        <f t="shared" si="174"/>
        <v>1.0097703211101181</v>
      </c>
      <c r="R54" s="90">
        <f t="shared" si="174"/>
        <v>1.0025321967111651</v>
      </c>
      <c r="S54" s="22"/>
      <c r="T54" s="22"/>
      <c r="U54" s="22"/>
      <c r="V54" s="22"/>
      <c r="W54" s="22"/>
      <c r="X54" s="22"/>
      <c r="Y54" s="91">
        <f>$A$41</f>
        <v>20183</v>
      </c>
      <c r="Z54" s="105"/>
      <c r="AA54" s="90">
        <f t="shared" si="175"/>
        <v>2.1285741891734733</v>
      </c>
      <c r="AB54" s="90">
        <f t="shared" si="175"/>
        <v>1.2711286628240057</v>
      </c>
      <c r="AC54" s="90">
        <f t="shared" si="175"/>
        <v>1.1150241302166499</v>
      </c>
      <c r="AD54" s="90">
        <f t="shared" si="175"/>
        <v>1.0623257721521226</v>
      </c>
      <c r="AE54" s="22"/>
      <c r="AF54" s="22"/>
      <c r="AG54" s="22"/>
      <c r="AH54" s="22"/>
      <c r="AI54" s="22"/>
      <c r="AJ54" s="22"/>
      <c r="AK54" s="91">
        <f>$A$41</f>
        <v>20183</v>
      </c>
      <c r="AL54" s="105"/>
      <c r="AM54" s="90">
        <f t="shared" si="176"/>
        <v>1.0182502693916438</v>
      </c>
      <c r="AN54" s="90">
        <f t="shared" si="176"/>
        <v>1.000312751221631</v>
      </c>
      <c r="AO54" s="90">
        <f t="shared" si="176"/>
        <v>1.0003103723440816</v>
      </c>
      <c r="AP54" s="90">
        <f t="shared" si="176"/>
        <v>1.0003325279821182</v>
      </c>
      <c r="AQ54" s="22"/>
      <c r="AR54" s="22"/>
      <c r="AS54" s="22"/>
      <c r="AT54" s="22"/>
      <c r="AU54" s="22"/>
      <c r="AV54" s="22"/>
      <c r="AW54" s="91">
        <f>$A$41</f>
        <v>20183</v>
      </c>
      <c r="AX54" s="105"/>
      <c r="AY54" s="90">
        <f t="shared" si="177"/>
        <v>0.95412883353317401</v>
      </c>
      <c r="AZ54" s="90">
        <f t="shared" si="177"/>
        <v>0.99354824184580226</v>
      </c>
      <c r="BA54" s="90">
        <f t="shared" si="177"/>
        <v>0.99720575614009244</v>
      </c>
      <c r="BB54" s="90">
        <f t="shared" si="177"/>
        <v>0.99922029403403434</v>
      </c>
      <c r="BC54" s="22"/>
      <c r="BD54" s="22"/>
      <c r="BE54" s="22"/>
      <c r="BF54" s="22"/>
      <c r="BG54" s="22"/>
      <c r="BH54" s="22"/>
      <c r="BI54" s="91">
        <f>$A$41</f>
        <v>20183</v>
      </c>
      <c r="BJ54" s="105"/>
      <c r="BK54" s="90">
        <f t="shared" si="178"/>
        <v>0.98988513637447129</v>
      </c>
      <c r="BL54" s="90">
        <f t="shared" si="178"/>
        <v>0.99973849875749909</v>
      </c>
      <c r="BM54" s="90">
        <f t="shared" si="178"/>
        <v>1.0003717607222762</v>
      </c>
      <c r="BN54" s="90">
        <f t="shared" si="178"/>
        <v>1.0001207118040496</v>
      </c>
      <c r="BO54" s="22"/>
      <c r="BP54" s="22"/>
      <c r="BQ54" s="22"/>
      <c r="BR54" s="22"/>
      <c r="BS54" s="22"/>
      <c r="BT54" s="22"/>
      <c r="BU54" s="91">
        <f>$A$41</f>
        <v>20183</v>
      </c>
      <c r="BV54" s="105"/>
      <c r="BW54" s="90">
        <f t="shared" si="179"/>
        <v>1.3355825677788848</v>
      </c>
      <c r="BX54" s="90">
        <f t="shared" si="179"/>
        <v>1.0289629290341429</v>
      </c>
      <c r="BY54" s="90">
        <f t="shared" si="179"/>
        <v>1.0126664602752973</v>
      </c>
      <c r="BZ54" s="90">
        <f t="shared" si="179"/>
        <v>1</v>
      </c>
      <c r="CA54" s="22"/>
      <c r="CB54" s="22"/>
      <c r="CC54" s="22"/>
      <c r="CD54" s="22"/>
      <c r="CE54" s="22"/>
      <c r="CF54" s="22"/>
      <c r="CG54" s="91">
        <f>$A$41</f>
        <v>20183</v>
      </c>
      <c r="CH54" s="105"/>
      <c r="CI54" s="90" t="str">
        <f t="shared" si="180"/>
        <v/>
      </c>
      <c r="CJ54" s="90" t="str">
        <f t="shared" si="180"/>
        <v/>
      </c>
      <c r="CK54" s="90" t="str">
        <f t="shared" si="180"/>
        <v/>
      </c>
      <c r="CL54" s="90" t="str">
        <f t="shared" si="180"/>
        <v/>
      </c>
      <c r="CM54" s="22"/>
      <c r="CN54" s="22"/>
      <c r="CO54" s="22"/>
      <c r="CP54" s="22"/>
      <c r="CQ54" s="22"/>
      <c r="CR54" s="22"/>
      <c r="CS54" s="91">
        <f>$A$41</f>
        <v>20183</v>
      </c>
      <c r="CT54" s="105"/>
      <c r="CU54" s="90" t="str">
        <f t="shared" si="181"/>
        <v/>
      </c>
      <c r="CV54" s="90" t="str">
        <f t="shared" si="181"/>
        <v/>
      </c>
      <c r="CW54" s="90" t="str">
        <f t="shared" si="181"/>
        <v/>
      </c>
      <c r="CX54" s="90" t="str">
        <f t="shared" si="181"/>
        <v/>
      </c>
      <c r="CY54" s="22"/>
      <c r="CZ54" s="22"/>
      <c r="DA54" s="22"/>
      <c r="DB54" s="22"/>
      <c r="DC54" s="22"/>
      <c r="DD54" s="22"/>
      <c r="DE54" s="91">
        <f>$A$41</f>
        <v>20183</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20193</v>
      </c>
      <c r="B55" s="105"/>
      <c r="C55" s="90">
        <f t="shared" si="173"/>
        <v>1.4020270851209968</v>
      </c>
      <c r="D55" s="90">
        <f t="shared" si="173"/>
        <v>1.1688819625985145</v>
      </c>
      <c r="E55" s="90">
        <f t="shared" si="173"/>
        <v>1.1353081672988463</v>
      </c>
      <c r="F55" s="22"/>
      <c r="G55" s="22"/>
      <c r="H55" s="22"/>
      <c r="I55" s="22"/>
      <c r="J55" s="22"/>
      <c r="K55" s="22"/>
      <c r="L55" s="22"/>
      <c r="M55" s="91">
        <f>$A$42</f>
        <v>20193</v>
      </c>
      <c r="N55" s="105"/>
      <c r="O55" s="90">
        <f t="shared" si="174"/>
        <v>1.3613098993270449</v>
      </c>
      <c r="P55" s="90">
        <f t="shared" si="174"/>
        <v>1.054187114902031</v>
      </c>
      <c r="Q55" s="90">
        <f t="shared" si="174"/>
        <v>1.0127653365927314</v>
      </c>
      <c r="R55" s="22"/>
      <c r="S55" s="22"/>
      <c r="T55" s="22"/>
      <c r="U55" s="22"/>
      <c r="V55" s="22"/>
      <c r="W55" s="22"/>
      <c r="X55" s="22"/>
      <c r="Y55" s="91">
        <f>$A$42</f>
        <v>20193</v>
      </c>
      <c r="Z55" s="105"/>
      <c r="AA55" s="90">
        <f t="shared" si="175"/>
        <v>2.0967422612780506</v>
      </c>
      <c r="AB55" s="90">
        <f t="shared" si="175"/>
        <v>1.3234264923880357</v>
      </c>
      <c r="AC55" s="90">
        <f t="shared" si="175"/>
        <v>1.1514489450093268</v>
      </c>
      <c r="AD55" s="22"/>
      <c r="AE55" s="22"/>
      <c r="AF55" s="22"/>
      <c r="AG55" s="22"/>
      <c r="AH55" s="22"/>
      <c r="AI55" s="22"/>
      <c r="AJ55" s="22"/>
      <c r="AK55" s="91">
        <f>$A$42</f>
        <v>20193</v>
      </c>
      <c r="AL55" s="105"/>
      <c r="AM55" s="90">
        <f t="shared" si="176"/>
        <v>1.0131958255456981</v>
      </c>
      <c r="AN55" s="90">
        <f t="shared" si="176"/>
        <v>0.99748438972391074</v>
      </c>
      <c r="AO55" s="90">
        <f t="shared" si="176"/>
        <v>1.0007647774612205</v>
      </c>
      <c r="AP55" s="22"/>
      <c r="AQ55" s="22"/>
      <c r="AR55" s="22"/>
      <c r="AS55" s="22"/>
      <c r="AT55" s="22"/>
      <c r="AU55" s="22"/>
      <c r="AV55" s="22"/>
      <c r="AW55" s="91">
        <f>$A$42</f>
        <v>20193</v>
      </c>
      <c r="AX55" s="105"/>
      <c r="AY55" s="90">
        <f t="shared" si="177"/>
        <v>0.95327580012369773</v>
      </c>
      <c r="AZ55" s="90">
        <f t="shared" si="177"/>
        <v>0.99463470530088216</v>
      </c>
      <c r="BA55" s="90">
        <f t="shared" si="177"/>
        <v>0.99712259239773715</v>
      </c>
      <c r="BB55" s="22"/>
      <c r="BC55" s="22"/>
      <c r="BD55" s="22"/>
      <c r="BE55" s="22"/>
      <c r="BF55" s="22"/>
      <c r="BG55" s="22"/>
      <c r="BH55" s="22"/>
      <c r="BI55" s="91">
        <f>$A$42</f>
        <v>20193</v>
      </c>
      <c r="BJ55" s="105"/>
      <c r="BK55" s="90">
        <f t="shared" si="178"/>
        <v>0.98527840615731965</v>
      </c>
      <c r="BL55" s="90">
        <f t="shared" si="178"/>
        <v>1.0003468127577955</v>
      </c>
      <c r="BM55" s="90">
        <f t="shared" si="178"/>
        <v>1.0003054203662454</v>
      </c>
      <c r="BN55" s="22"/>
      <c r="BO55" s="22"/>
      <c r="BP55" s="22"/>
      <c r="BQ55" s="22"/>
      <c r="BR55" s="22"/>
      <c r="BS55" s="22"/>
      <c r="BT55" s="22"/>
      <c r="BU55" s="91">
        <f>$A$42</f>
        <v>20193</v>
      </c>
      <c r="BV55" s="105"/>
      <c r="BW55" s="90">
        <f t="shared" si="179"/>
        <v>1.1293861580228552</v>
      </c>
      <c r="BX55" s="90">
        <f t="shared" si="179"/>
        <v>1.0326690623979091</v>
      </c>
      <c r="BY55" s="90">
        <f t="shared" si="179"/>
        <v>1</v>
      </c>
      <c r="BZ55" s="22"/>
      <c r="CA55" s="22"/>
      <c r="CB55" s="22"/>
      <c r="CC55" s="22"/>
      <c r="CD55" s="22"/>
      <c r="CE55" s="22"/>
      <c r="CF55" s="22"/>
      <c r="CG55" s="91">
        <f>$A$42</f>
        <v>20193</v>
      </c>
      <c r="CH55" s="105"/>
      <c r="CI55" s="90" t="str">
        <f t="shared" si="180"/>
        <v/>
      </c>
      <c r="CJ55" s="90" t="str">
        <f t="shared" si="180"/>
        <v/>
      </c>
      <c r="CK55" s="90" t="str">
        <f t="shared" si="180"/>
        <v/>
      </c>
      <c r="CL55" s="22"/>
      <c r="CM55" s="22"/>
      <c r="CN55" s="22"/>
      <c r="CO55" s="22"/>
      <c r="CP55" s="22"/>
      <c r="CQ55" s="22"/>
      <c r="CR55" s="22"/>
      <c r="CS55" s="91">
        <f>$A$42</f>
        <v>20193</v>
      </c>
      <c r="CT55" s="105"/>
      <c r="CU55" s="90" t="str">
        <f t="shared" si="181"/>
        <v/>
      </c>
      <c r="CV55" s="90" t="str">
        <f t="shared" si="181"/>
        <v/>
      </c>
      <c r="CW55" s="90" t="str">
        <f t="shared" si="181"/>
        <v/>
      </c>
      <c r="CX55" s="22"/>
      <c r="CY55" s="22"/>
      <c r="CZ55" s="22"/>
      <c r="DA55" s="22"/>
      <c r="DB55" s="22"/>
      <c r="DC55" s="22"/>
      <c r="DD55" s="22"/>
      <c r="DE55" s="91">
        <f>$A$42</f>
        <v>20193</v>
      </c>
      <c r="DF55" s="105"/>
      <c r="DG55" s="90" t="str">
        <f t="shared" si="182"/>
        <v/>
      </c>
      <c r="DH55" s="90" t="str">
        <f t="shared" si="182"/>
        <v/>
      </c>
      <c r="DI55" s="90" t="str">
        <f t="shared" si="182"/>
        <v/>
      </c>
      <c r="DJ55" s="22"/>
      <c r="DK55" s="22"/>
      <c r="DL55" s="22"/>
      <c r="DM55" s="22"/>
      <c r="DN55" s="22"/>
      <c r="DO55" s="22"/>
      <c r="DP55" s="22"/>
    </row>
    <row r="56" spans="1:120" x14ac:dyDescent="0.25">
      <c r="A56" s="91">
        <f>$A$43</f>
        <v>20203</v>
      </c>
      <c r="B56" s="105"/>
      <c r="C56" s="90">
        <f t="shared" si="173"/>
        <v>1.3625888448009904</v>
      </c>
      <c r="D56" s="90">
        <f t="shared" si="173"/>
        <v>1.2285033051598118</v>
      </c>
      <c r="E56" s="22"/>
      <c r="F56" s="22"/>
      <c r="G56" s="22"/>
      <c r="H56" s="22"/>
      <c r="I56" s="22"/>
      <c r="J56" s="22"/>
      <c r="K56" s="22"/>
      <c r="L56" s="22"/>
      <c r="M56" s="91">
        <f>$A$43</f>
        <v>20203</v>
      </c>
      <c r="N56" s="105"/>
      <c r="O56" s="90">
        <f t="shared" si="174"/>
        <v>1.3578041430733532</v>
      </c>
      <c r="P56" s="90">
        <f t="shared" si="174"/>
        <v>1.0588719204650197</v>
      </c>
      <c r="Q56" s="22"/>
      <c r="R56" s="22"/>
      <c r="S56" s="22"/>
      <c r="T56" s="22"/>
      <c r="U56" s="22"/>
      <c r="V56" s="22"/>
      <c r="W56" s="22"/>
      <c r="X56" s="22"/>
      <c r="Y56" s="91">
        <f>$A$43</f>
        <v>20203</v>
      </c>
      <c r="Z56" s="105"/>
      <c r="AA56" s="90">
        <f t="shared" si="175"/>
        <v>2.3827840228575172</v>
      </c>
      <c r="AB56" s="90">
        <f t="shared" si="175"/>
        <v>1.3574783705405848</v>
      </c>
      <c r="AC56" s="22"/>
      <c r="AD56" s="22"/>
      <c r="AE56" s="22"/>
      <c r="AF56" s="22"/>
      <c r="AG56" s="22"/>
      <c r="AH56" s="22"/>
      <c r="AI56" s="22"/>
      <c r="AJ56" s="22"/>
      <c r="AK56" s="91">
        <f>$A$43</f>
        <v>20203</v>
      </c>
      <c r="AL56" s="105"/>
      <c r="AM56" s="90">
        <f t="shared" si="176"/>
        <v>1.0195179533868441</v>
      </c>
      <c r="AN56" s="90">
        <f t="shared" si="176"/>
        <v>1.007128116606308</v>
      </c>
      <c r="AO56" s="22"/>
      <c r="AP56" s="22"/>
      <c r="AQ56" s="22"/>
      <c r="AR56" s="22"/>
      <c r="AS56" s="22"/>
      <c r="AT56" s="22"/>
      <c r="AU56" s="22"/>
      <c r="AV56" s="22"/>
      <c r="AW56" s="91">
        <f>$A$43</f>
        <v>20203</v>
      </c>
      <c r="AX56" s="105"/>
      <c r="AY56" s="90">
        <f t="shared" si="177"/>
        <v>0.98033434647053574</v>
      </c>
      <c r="AZ56" s="90">
        <f t="shared" si="177"/>
        <v>0.99674161352585688</v>
      </c>
      <c r="BA56" s="22"/>
      <c r="BB56" s="22"/>
      <c r="BC56" s="22"/>
      <c r="BD56" s="22"/>
      <c r="BE56" s="22"/>
      <c r="BF56" s="22"/>
      <c r="BG56" s="22"/>
      <c r="BH56" s="22"/>
      <c r="BI56" s="91">
        <f>$A$43</f>
        <v>20203</v>
      </c>
      <c r="BJ56" s="105"/>
      <c r="BK56" s="90">
        <f t="shared" si="178"/>
        <v>1.0011401811408713</v>
      </c>
      <c r="BL56" s="90">
        <f t="shared" si="178"/>
        <v>1.0013828044899256</v>
      </c>
      <c r="BM56" s="22"/>
      <c r="BN56" s="22"/>
      <c r="BO56" s="22"/>
      <c r="BP56" s="22"/>
      <c r="BQ56" s="22"/>
      <c r="BR56" s="22"/>
      <c r="BS56" s="22"/>
      <c r="BT56" s="22"/>
      <c r="BU56" s="91">
        <f>$A$43</f>
        <v>20203</v>
      </c>
      <c r="BV56" s="105"/>
      <c r="BW56" s="90">
        <f t="shared" si="179"/>
        <v>1.1757983842641377</v>
      </c>
      <c r="BX56" s="90">
        <f t="shared" si="179"/>
        <v>1</v>
      </c>
      <c r="BY56" s="22"/>
      <c r="BZ56" s="22"/>
      <c r="CA56" s="22"/>
      <c r="CB56" s="22"/>
      <c r="CC56" s="22"/>
      <c r="CD56" s="22"/>
      <c r="CE56" s="22"/>
      <c r="CF56" s="22"/>
      <c r="CG56" s="91">
        <f>$A$43</f>
        <v>20203</v>
      </c>
      <c r="CH56" s="105"/>
      <c r="CI56" s="90" t="str">
        <f t="shared" si="180"/>
        <v/>
      </c>
      <c r="CJ56" s="90" t="str">
        <f t="shared" si="180"/>
        <v/>
      </c>
      <c r="CK56" s="22"/>
      <c r="CL56" s="22"/>
      <c r="CM56" s="22"/>
      <c r="CN56" s="22"/>
      <c r="CO56" s="22"/>
      <c r="CP56" s="22"/>
      <c r="CQ56" s="22"/>
      <c r="CR56" s="22"/>
      <c r="CS56" s="91">
        <f>$A$43</f>
        <v>20203</v>
      </c>
      <c r="CT56" s="105"/>
      <c r="CU56" s="90" t="str">
        <f t="shared" si="181"/>
        <v/>
      </c>
      <c r="CV56" s="90" t="str">
        <f t="shared" si="181"/>
        <v/>
      </c>
      <c r="CW56" s="22"/>
      <c r="CX56" s="22"/>
      <c r="CY56" s="22"/>
      <c r="CZ56" s="22"/>
      <c r="DA56" s="22"/>
      <c r="DB56" s="22"/>
      <c r="DC56" s="22"/>
      <c r="DD56" s="22"/>
      <c r="DE56" s="91">
        <f>$A$43</f>
        <v>20203</v>
      </c>
      <c r="DF56" s="105"/>
      <c r="DG56" s="90" t="str">
        <f t="shared" si="182"/>
        <v/>
      </c>
      <c r="DH56" s="90" t="str">
        <f t="shared" si="182"/>
        <v/>
      </c>
      <c r="DI56" s="22"/>
      <c r="DJ56" s="22"/>
      <c r="DK56" s="22"/>
      <c r="DL56" s="22"/>
      <c r="DM56" s="22"/>
      <c r="DN56" s="22"/>
      <c r="DO56" s="22"/>
      <c r="DP56" s="22"/>
    </row>
    <row r="57" spans="1:120" x14ac:dyDescent="0.25">
      <c r="A57" s="91">
        <f>$A$44</f>
        <v>20213</v>
      </c>
      <c r="B57" s="105"/>
      <c r="C57" s="90">
        <f t="shared" si="173"/>
        <v>1.4765290180735506</v>
      </c>
      <c r="D57" s="22"/>
      <c r="E57" s="22"/>
      <c r="F57" s="22"/>
      <c r="G57" s="22"/>
      <c r="H57" s="22"/>
      <c r="I57" s="22"/>
      <c r="J57" s="22"/>
      <c r="K57" s="22"/>
      <c r="L57" s="22"/>
      <c r="M57" s="91">
        <f>$A$44</f>
        <v>20213</v>
      </c>
      <c r="N57" s="105"/>
      <c r="O57" s="90">
        <f t="shared" si="174"/>
        <v>1.503525092781359</v>
      </c>
      <c r="P57" s="22"/>
      <c r="Q57" s="22"/>
      <c r="R57" s="22"/>
      <c r="S57" s="22"/>
      <c r="T57" s="22"/>
      <c r="U57" s="22"/>
      <c r="V57" s="22"/>
      <c r="W57" s="22"/>
      <c r="X57" s="22"/>
      <c r="Y57" s="91">
        <f>$A$44</f>
        <v>20213</v>
      </c>
      <c r="Z57" s="105"/>
      <c r="AA57" s="90">
        <f t="shared" si="175"/>
        <v>2.4749642821371656</v>
      </c>
      <c r="AB57" s="22"/>
      <c r="AC57" s="22"/>
      <c r="AD57" s="22"/>
      <c r="AE57" s="22"/>
      <c r="AF57" s="22"/>
      <c r="AG57" s="22"/>
      <c r="AH57" s="22"/>
      <c r="AI57" s="22"/>
      <c r="AJ57" s="22"/>
      <c r="AK57" s="91">
        <f>$A$44</f>
        <v>20213</v>
      </c>
      <c r="AL57" s="105"/>
      <c r="AM57" s="90">
        <f t="shared" si="176"/>
        <v>1.0295053813226864</v>
      </c>
      <c r="AN57" s="22"/>
      <c r="AO57" s="22"/>
      <c r="AP57" s="22"/>
      <c r="AQ57" s="22"/>
      <c r="AR57" s="22"/>
      <c r="AS57" s="22"/>
      <c r="AT57" s="22"/>
      <c r="AU57" s="22"/>
      <c r="AV57" s="22"/>
      <c r="AW57" s="91">
        <f>$A$44</f>
        <v>20213</v>
      </c>
      <c r="AX57" s="105"/>
      <c r="AY57" s="90">
        <f t="shared" si="177"/>
        <v>0.96470828777787332</v>
      </c>
      <c r="AZ57" s="22"/>
      <c r="BA57" s="22"/>
      <c r="BB57" s="22"/>
      <c r="BC57" s="22"/>
      <c r="BD57" s="22"/>
      <c r="BE57" s="22"/>
      <c r="BF57" s="22"/>
      <c r="BG57" s="22"/>
      <c r="BH57" s="22"/>
      <c r="BI57" s="91">
        <f>$A$44</f>
        <v>20213</v>
      </c>
      <c r="BJ57" s="105"/>
      <c r="BK57" s="90">
        <f t="shared" si="178"/>
        <v>0.99485329420388613</v>
      </c>
      <c r="BL57" s="22"/>
      <c r="BM57" s="22"/>
      <c r="BN57" s="22"/>
      <c r="BO57" s="22"/>
      <c r="BP57" s="22"/>
      <c r="BQ57" s="22"/>
      <c r="BR57" s="22"/>
      <c r="BS57" s="22"/>
      <c r="BT57" s="22"/>
      <c r="BU57" s="91">
        <f>$A$44</f>
        <v>20213</v>
      </c>
      <c r="BV57" s="105"/>
      <c r="BW57" s="90">
        <f t="shared" si="179"/>
        <v>1.2842208947635994</v>
      </c>
      <c r="BX57" s="22"/>
      <c r="BY57" s="22"/>
      <c r="BZ57" s="22"/>
      <c r="CA57" s="22"/>
      <c r="CB57" s="22"/>
      <c r="CC57" s="22"/>
      <c r="CD57" s="22"/>
      <c r="CE57" s="22"/>
      <c r="CF57" s="22"/>
      <c r="CG57" s="91">
        <f>$A$44</f>
        <v>20213</v>
      </c>
      <c r="CH57" s="105"/>
      <c r="CI57" s="90" t="str">
        <f t="shared" si="180"/>
        <v/>
      </c>
      <c r="CJ57" s="22"/>
      <c r="CK57" s="22"/>
      <c r="CL57" s="22"/>
      <c r="CM57" s="22"/>
      <c r="CN57" s="22"/>
      <c r="CO57" s="22"/>
      <c r="CP57" s="22"/>
      <c r="CQ57" s="22"/>
      <c r="CR57" s="22"/>
      <c r="CS57" s="91">
        <f>$A$44</f>
        <v>20213</v>
      </c>
      <c r="CT57" s="105"/>
      <c r="CU57" s="90" t="str">
        <f t="shared" si="181"/>
        <v/>
      </c>
      <c r="CV57" s="22"/>
      <c r="CW57" s="22"/>
      <c r="CX57" s="22"/>
      <c r="CY57" s="22"/>
      <c r="CZ57" s="22"/>
      <c r="DA57" s="22"/>
      <c r="DB57" s="22"/>
      <c r="DC57" s="22"/>
      <c r="DD57" s="22"/>
      <c r="DE57" s="91">
        <f>$A$44</f>
        <v>20213</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1.4121545816838532</v>
      </c>
      <c r="D59" s="93">
        <f>IFERROR(SUM(E41:E43)/SUM(D41:D43),1)</f>
        <v>1.1828881664348583</v>
      </c>
      <c r="E59" s="93">
        <f>IFERROR(SUM(F40:F42)/SUM(E40:E42),1)</f>
        <v>1.1066214043173901</v>
      </c>
      <c r="F59" s="93">
        <f>IFERROR(SUM(G39:G41)/SUM(F39:F41),1)</f>
        <v>1.050617198176006</v>
      </c>
      <c r="G59" s="93">
        <f>IFERROR(SUM(H38:H40)/SUM(G38:G40),1)</f>
        <v>1.0221020900251807</v>
      </c>
      <c r="H59" s="93">
        <f>IFERROR(SUM(I37:I39)/SUM(H37:H39),1)</f>
        <v>1.0053639567795001</v>
      </c>
      <c r="I59" s="93">
        <f>IFERROR(SUM(J36:J38)/SUM(I36:I38),1)</f>
        <v>1.0018872589780599</v>
      </c>
      <c r="J59" s="93">
        <f>IFERROR(SUM(K36:K37)/SUM(J36:J37),1)</f>
        <v>1.0005812706053765</v>
      </c>
      <c r="K59" s="93">
        <f>IFERROR(SUM(L36:L36)/SUM(K36:K36),1)</f>
        <v>1.0003201125126988</v>
      </c>
      <c r="L59" s="93">
        <v>1</v>
      </c>
      <c r="M59" s="285" t="s">
        <v>37</v>
      </c>
      <c r="N59" s="107"/>
      <c r="O59" s="93">
        <f>IFERROR(SUM(P42:P44)/SUM(O42:O44),1)</f>
        <v>1.3995601170243528</v>
      </c>
      <c r="P59" s="93">
        <f>IFERROR(SUM(Q41:Q43)/SUM(P41:P43),1)</f>
        <v>1.0511422456751909</v>
      </c>
      <c r="Q59" s="93">
        <f>IFERROR(SUM(R40:R42)/SUM(Q40:Q42),1)</f>
        <v>1.009672008440893</v>
      </c>
      <c r="R59" s="93">
        <f>IFERROR(SUM(S39:S41)/SUM(R39:R41),1)</f>
        <v>1.0018457574182646</v>
      </c>
      <c r="S59" s="93">
        <f>IFERROR(SUM(T38:T40)/SUM(S38:S40),1)</f>
        <v>1.0007162692607523</v>
      </c>
      <c r="T59" s="93">
        <f>IFERROR(SUM(U37:U39)/SUM(T37:T39),1)</f>
        <v>1.0008940768454777</v>
      </c>
      <c r="U59" s="93">
        <f>IFERROR(SUM(V36:V38)/SUM(U36:U38),1)</f>
        <v>1.0006157948403975</v>
      </c>
      <c r="V59" s="93">
        <f>IFERROR(SUM(W36:W37)/SUM(V36:V37),1)</f>
        <v>0.9999197864064493</v>
      </c>
      <c r="W59" s="93">
        <f>IFERROR(SUM(X36:X36)/SUM(W36:W36),1)</f>
        <v>0.99996883533784808</v>
      </c>
      <c r="X59" s="93">
        <v>1</v>
      </c>
      <c r="Y59" s="285" t="s">
        <v>37</v>
      </c>
      <c r="Z59" s="107"/>
      <c r="AA59" s="93">
        <f>IFERROR(SUM(AB42:AB44)/SUM(AA42:AA44),1)</f>
        <v>2.3107729698260808</v>
      </c>
      <c r="AB59" s="93">
        <f>IFERROR(SUM(AC41:AC43)/SUM(AB41:AB43),1)</f>
        <v>1.3147990955400493</v>
      </c>
      <c r="AC59" s="93">
        <f>IFERROR(SUM(AD40:AD42)/SUM(AC40:AC42),1)</f>
        <v>1.1220067337012567</v>
      </c>
      <c r="AD59" s="93">
        <f>IFERROR(SUM(AE39:AE41)/SUM(AD39:AD41),1)</f>
        <v>1.0547038873032919</v>
      </c>
      <c r="AE59" s="93">
        <f>IFERROR(SUM(AF38:AF40)/SUM(AE38:AE40),1)</f>
        <v>1.0291966488773479</v>
      </c>
      <c r="AF59" s="93">
        <f>IFERROR(SUM(AG37:AG39)/SUM(AF37:AF39),1)</f>
        <v>1.0147946440514723</v>
      </c>
      <c r="AG59" s="93">
        <f>IFERROR(SUM(AH36:AH38)/SUM(AG36:AG38),1)</f>
        <v>1.0074711861207934</v>
      </c>
      <c r="AH59" s="93">
        <f>IFERROR(SUM(AI36:AI37)/SUM(AH36:AH37),1)</f>
        <v>1.0051380985570291</v>
      </c>
      <c r="AI59" s="93">
        <f>IFERROR(SUM(AJ36:AJ36)/SUM(AI36:AI36),1)</f>
        <v>1.0052747268006086</v>
      </c>
      <c r="AJ59" s="93">
        <v>1</v>
      </c>
      <c r="AK59" s="285" t="s">
        <v>37</v>
      </c>
      <c r="AL59" s="107"/>
      <c r="AM59" s="93">
        <f>IFERROR(SUM(AN42:AN44)/SUM(AM42:AM44),1)</f>
        <v>1.0212825425022847</v>
      </c>
      <c r="AN59" s="93">
        <f>IFERROR(SUM(AO41:AO43)/SUM(AN41:AN43),1)</f>
        <v>1.001665539415264</v>
      </c>
      <c r="AO59" s="93">
        <f>IFERROR(SUM(AP40:AP42)/SUM(AO40:AO42),1)</f>
        <v>1.0008251420347396</v>
      </c>
      <c r="AP59" s="93">
        <f>IFERROR(SUM(AQ39:AQ41)/SUM(AP39:AP41),1)</f>
        <v>1.0002838984374265</v>
      </c>
      <c r="AQ59" s="93">
        <f>IFERROR(SUM(AR38:AR40)/SUM(AQ38:AQ40),1)</f>
        <v>1.0001497493584148</v>
      </c>
      <c r="AR59" s="93">
        <f>IFERROR(SUM(AS37:AS39)/SUM(AR37:AR39),1)</f>
        <v>1.0000897462465428</v>
      </c>
      <c r="AS59" s="93">
        <f>IFERROR(SUM(AT36:AT38)/SUM(AS36:AS38),1)</f>
        <v>1.0000157181180287</v>
      </c>
      <c r="AT59" s="93">
        <f>IFERROR(SUM(AU36:AU37)/SUM(AT36:AT37),1)</f>
        <v>0.99998173193799211</v>
      </c>
      <c r="AU59" s="93">
        <f>IFERROR(SUM(AV36:AV36)/SUM(AU36:AU36),1)</f>
        <v>1.0000091646877611</v>
      </c>
      <c r="AV59" s="93">
        <v>1</v>
      </c>
      <c r="AW59" s="285" t="s">
        <v>37</v>
      </c>
      <c r="AX59" s="107"/>
      <c r="AY59" s="93">
        <f>IFERROR(SUM(AZ42:AZ44)/SUM(AY42:AY44),1)</f>
        <v>0.96509605173858981</v>
      </c>
      <c r="AZ59" s="93">
        <f>IFERROR(SUM(BA41:BA43)/SUM(AZ41:AZ43),1)</f>
        <v>0.99487764256510858</v>
      </c>
      <c r="BA59" s="93">
        <f>IFERROR(SUM(BB40:BB42)/SUM(BA40:BA42),1)</f>
        <v>0.99747198426912886</v>
      </c>
      <c r="BB59" s="93">
        <f>IFERROR(SUM(BC39:BC41)/SUM(BB39:BB41),1)</f>
        <v>0.99919937740903431</v>
      </c>
      <c r="BC59" s="93">
        <f>IFERROR(SUM(BD38:BD40)/SUM(BC38:BC40),1)</f>
        <v>0.99977741399357412</v>
      </c>
      <c r="BD59" s="93">
        <f>IFERROR(SUM(BE37:BE39)/SUM(BD37:BD39),1)</f>
        <v>0.99988896906696789</v>
      </c>
      <c r="BE59" s="93">
        <f>IFERROR(SUM(BF36:BF38)/SUM(BE36:BE38),1)</f>
        <v>0.99984663362182058</v>
      </c>
      <c r="BF59" s="93">
        <f>IFERROR(SUM(BG36:BG37)/SUM(BF36:BF37),1)</f>
        <v>0.99987179435041307</v>
      </c>
      <c r="BG59" s="93">
        <f>IFERROR(SUM(BH36:BH36)/SUM(BG36:BG36),1)</f>
        <v>0.99983802981483372</v>
      </c>
      <c r="BH59" s="93">
        <v>1</v>
      </c>
      <c r="BI59" s="285" t="s">
        <v>37</v>
      </c>
      <c r="BJ59" s="107"/>
      <c r="BK59" s="93">
        <f>IFERROR(SUM(BL42:BL44)/SUM(BK42:BK44),1)</f>
        <v>0.99330687731467715</v>
      </c>
      <c r="BL59" s="93">
        <f>IFERROR(SUM(BM41:BM43)/SUM(BL41:BL43),1)</f>
        <v>1.0004527162136523</v>
      </c>
      <c r="BM59" s="93">
        <f>IFERROR(SUM(BN40:BN42)/SUM(BM40:BM42),1)</f>
        <v>1.000269370903039</v>
      </c>
      <c r="BN59" s="93">
        <f>IFERROR(SUM(BO39:BO41)/SUM(BN39:BN41),1)</f>
        <v>1.0000890948166927</v>
      </c>
      <c r="BO59" s="93">
        <f>IFERROR(SUM(BP38:BP40)/SUM(BO38:BO40),1)</f>
        <v>1.000004068624063</v>
      </c>
      <c r="BP59" s="93">
        <f>IFERROR(SUM(BQ37:BQ39)/SUM(BP37:BP39),1)</f>
        <v>0.99999405368414762</v>
      </c>
      <c r="BQ59" s="93">
        <f>IFERROR(SUM(BR36:BR38)/SUM(BQ36:BQ38),1)</f>
        <v>0.99999811608075428</v>
      </c>
      <c r="BR59" s="93">
        <f>IFERROR(SUM(BS36:BS37)/SUM(BR36:BR37),1)</f>
        <v>0.99997975386609039</v>
      </c>
      <c r="BS59" s="93">
        <f>IFERROR(SUM(BT36:BT36)/SUM(BS36:BS36),1)</f>
        <v>0.99995146995888373</v>
      </c>
      <c r="BT59" s="93">
        <v>1</v>
      </c>
      <c r="BU59" s="285" t="s">
        <v>37</v>
      </c>
      <c r="BV59" s="107"/>
      <c r="BW59" s="93">
        <f>IFERROR(SUM(BX42:BX44)/SUM(BW42:BW44),1)</f>
        <v>1.1732392008204138</v>
      </c>
      <c r="BX59" s="93">
        <f>IFERROR(SUM(BY41:BY43)/SUM(BX41:BX43),1)</f>
        <v>1.0262139615699128</v>
      </c>
      <c r="BY59" s="93">
        <f>IFERROR(SUM(BZ40:BZ42)/SUM(BY40:BY42),1)</f>
        <v>1.0048666623205569</v>
      </c>
      <c r="BZ59" s="93">
        <f>IFERROR(SUM(CA39:CA41)/SUM(BZ39:BZ41),1)</f>
        <v>1.0071627953555491</v>
      </c>
      <c r="CA59" s="93">
        <f>IFERROR(SUM(CB38:CB40)/SUM(CA38:CA40),1)</f>
        <v>1</v>
      </c>
      <c r="CB59" s="93">
        <f>IFERROR(SUM(CC37:CC39)/SUM(CB37:CB39),1)</f>
        <v>1</v>
      </c>
      <c r="CC59" s="93">
        <f>IFERROR(SUM(CD36:CD38)/SUM(CC36:CC38),1)</f>
        <v>1</v>
      </c>
      <c r="CD59" s="93">
        <f>IFERROR(SUM(CE36:CE37)/SUM(CD36:CD37),1)</f>
        <v>1</v>
      </c>
      <c r="CE59" s="93">
        <f>IFERROR(SUM(CF36:CF36)/SUM(CE36:CE36),1)</f>
        <v>1</v>
      </c>
      <c r="CF59" s="93">
        <v>1</v>
      </c>
      <c r="CG59" s="285" t="s">
        <v>37</v>
      </c>
      <c r="CH59" s="107"/>
      <c r="CI59" s="93">
        <f>IFERROR(SUM(CJ42:CJ44)/SUM(CI42:CI44),1)</f>
        <v>1</v>
      </c>
      <c r="CJ59" s="93">
        <f>IFERROR(SUM(CK41:CK43)/SUM(CJ41:CJ43),1)</f>
        <v>1</v>
      </c>
      <c r="CK59" s="93">
        <f>IFERROR(SUM(CL40:CL42)/SUM(CK40:CK42),1)</f>
        <v>1</v>
      </c>
      <c r="CL59" s="93">
        <f>IFERROR(SUM(CM39:CM41)/SUM(CL39:CL41),1)</f>
        <v>1</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5"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5"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1.4121545816838532</v>
      </c>
      <c r="D60" s="93">
        <f t="shared" ref="D60:K60" si="184">IF(D59=0,1,D59)</f>
        <v>1.1828881664348583</v>
      </c>
      <c r="E60" s="93">
        <f t="shared" si="184"/>
        <v>1.1066214043173901</v>
      </c>
      <c r="F60" s="93">
        <f t="shared" si="184"/>
        <v>1.050617198176006</v>
      </c>
      <c r="G60" s="93">
        <f t="shared" si="184"/>
        <v>1.0221020900251807</v>
      </c>
      <c r="H60" s="93">
        <f t="shared" si="184"/>
        <v>1.0053639567795001</v>
      </c>
      <c r="I60" s="93">
        <f t="shared" si="184"/>
        <v>1.0018872589780599</v>
      </c>
      <c r="J60" s="93">
        <f t="shared" si="184"/>
        <v>1.0005812706053765</v>
      </c>
      <c r="K60" s="93">
        <f t="shared" si="184"/>
        <v>1.0003201125126988</v>
      </c>
      <c r="L60" s="93">
        <f>IF(L59=0,1,L59)</f>
        <v>1</v>
      </c>
      <c r="M60" s="285" t="s">
        <v>40</v>
      </c>
      <c r="N60" s="107"/>
      <c r="O60" s="93">
        <f>IF(O59=0,1,O59)</f>
        <v>1.3995601170243528</v>
      </c>
      <c r="P60" s="93">
        <f t="shared" ref="P60:W60" si="185">IF(P59=0,1,P59)</f>
        <v>1.0511422456751909</v>
      </c>
      <c r="Q60" s="93">
        <f t="shared" si="185"/>
        <v>1.009672008440893</v>
      </c>
      <c r="R60" s="93">
        <f t="shared" si="185"/>
        <v>1.0018457574182646</v>
      </c>
      <c r="S60" s="93">
        <f t="shared" si="185"/>
        <v>1.0007162692607523</v>
      </c>
      <c r="T60" s="93">
        <f t="shared" si="185"/>
        <v>1.0008940768454777</v>
      </c>
      <c r="U60" s="93">
        <f t="shared" si="185"/>
        <v>1.0006157948403975</v>
      </c>
      <c r="V60" s="93">
        <f t="shared" si="185"/>
        <v>0.9999197864064493</v>
      </c>
      <c r="W60" s="93">
        <f t="shared" si="185"/>
        <v>0.99996883533784808</v>
      </c>
      <c r="X60" s="93">
        <f>IF(X59=0,1,X59)</f>
        <v>1</v>
      </c>
      <c r="Y60" s="285" t="s">
        <v>40</v>
      </c>
      <c r="Z60" s="107"/>
      <c r="AA60" s="93">
        <f>IF(AA59=0,1,AA59)</f>
        <v>2.3107729698260808</v>
      </c>
      <c r="AB60" s="93">
        <f t="shared" ref="AB60:AI60" si="186">IF(AB59=0,1,AB59)</f>
        <v>1.3147990955400493</v>
      </c>
      <c r="AC60" s="93">
        <f t="shared" si="186"/>
        <v>1.1220067337012567</v>
      </c>
      <c r="AD60" s="93">
        <f t="shared" si="186"/>
        <v>1.0547038873032919</v>
      </c>
      <c r="AE60" s="93">
        <f t="shared" si="186"/>
        <v>1.0291966488773479</v>
      </c>
      <c r="AF60" s="93">
        <f t="shared" si="186"/>
        <v>1.0147946440514723</v>
      </c>
      <c r="AG60" s="93">
        <f t="shared" si="186"/>
        <v>1.0074711861207934</v>
      </c>
      <c r="AH60" s="93">
        <f t="shared" si="186"/>
        <v>1.0051380985570291</v>
      </c>
      <c r="AI60" s="93">
        <f t="shared" si="186"/>
        <v>1.0052747268006086</v>
      </c>
      <c r="AJ60" s="93">
        <f>IF(AJ59=0,1,AJ59)</f>
        <v>1</v>
      </c>
      <c r="AK60" s="285" t="s">
        <v>40</v>
      </c>
      <c r="AL60" s="107"/>
      <c r="AM60" s="93">
        <f>IF(AM59=0,1,AM59)</f>
        <v>1.0212825425022847</v>
      </c>
      <c r="AN60" s="93">
        <f t="shared" ref="AN60:AU60" si="187">IF(AN59=0,1,AN59)</f>
        <v>1.001665539415264</v>
      </c>
      <c r="AO60" s="93">
        <f t="shared" si="187"/>
        <v>1.0008251420347396</v>
      </c>
      <c r="AP60" s="93">
        <f t="shared" si="187"/>
        <v>1.0002838984374265</v>
      </c>
      <c r="AQ60" s="93">
        <f t="shared" si="187"/>
        <v>1.0001497493584148</v>
      </c>
      <c r="AR60" s="93">
        <f t="shared" si="187"/>
        <v>1.0000897462465428</v>
      </c>
      <c r="AS60" s="93">
        <f t="shared" si="187"/>
        <v>1.0000157181180287</v>
      </c>
      <c r="AT60" s="93">
        <f t="shared" si="187"/>
        <v>0.99998173193799211</v>
      </c>
      <c r="AU60" s="93">
        <f t="shared" si="187"/>
        <v>1.0000091646877611</v>
      </c>
      <c r="AV60" s="93">
        <f>IF(AV59=0,1,AV59)</f>
        <v>1</v>
      </c>
      <c r="AW60" s="285" t="s">
        <v>40</v>
      </c>
      <c r="AX60" s="107"/>
      <c r="AY60" s="93">
        <f>IF(AY59=0,1,AY59)</f>
        <v>0.96509605173858981</v>
      </c>
      <c r="AZ60" s="93">
        <f t="shared" ref="AZ60:BG60" si="188">IF(AZ59=0,1,AZ59)</f>
        <v>0.99487764256510858</v>
      </c>
      <c r="BA60" s="93">
        <f t="shared" si="188"/>
        <v>0.99747198426912886</v>
      </c>
      <c r="BB60" s="93">
        <f t="shared" si="188"/>
        <v>0.99919937740903431</v>
      </c>
      <c r="BC60" s="93">
        <f t="shared" si="188"/>
        <v>0.99977741399357412</v>
      </c>
      <c r="BD60" s="93">
        <f t="shared" si="188"/>
        <v>0.99988896906696789</v>
      </c>
      <c r="BE60" s="93">
        <f t="shared" si="188"/>
        <v>0.99984663362182058</v>
      </c>
      <c r="BF60" s="93">
        <f t="shared" si="188"/>
        <v>0.99987179435041307</v>
      </c>
      <c r="BG60" s="93">
        <f t="shared" si="188"/>
        <v>0.99983802981483372</v>
      </c>
      <c r="BH60" s="93">
        <f>IF(BH59=0,1,BH59)</f>
        <v>1</v>
      </c>
      <c r="BI60" s="285" t="s">
        <v>40</v>
      </c>
      <c r="BJ60" s="107"/>
      <c r="BK60" s="93">
        <f>IF(BK59=0,1,BK59)</f>
        <v>0.99330687731467715</v>
      </c>
      <c r="BL60" s="93">
        <f t="shared" ref="BL60:BS60" si="189">IF(BL59=0,1,BL59)</f>
        <v>1.0004527162136523</v>
      </c>
      <c r="BM60" s="93">
        <f t="shared" si="189"/>
        <v>1.000269370903039</v>
      </c>
      <c r="BN60" s="93">
        <f t="shared" si="189"/>
        <v>1.0000890948166927</v>
      </c>
      <c r="BO60" s="93">
        <f t="shared" si="189"/>
        <v>1.000004068624063</v>
      </c>
      <c r="BP60" s="93">
        <f t="shared" si="189"/>
        <v>0.99999405368414762</v>
      </c>
      <c r="BQ60" s="93">
        <f t="shared" si="189"/>
        <v>0.99999811608075428</v>
      </c>
      <c r="BR60" s="93">
        <f t="shared" si="189"/>
        <v>0.99997975386609039</v>
      </c>
      <c r="BS60" s="93">
        <f t="shared" si="189"/>
        <v>0.99995146995888373</v>
      </c>
      <c r="BT60" s="93">
        <f>IF(BT59=0,1,BT59)</f>
        <v>1</v>
      </c>
      <c r="BU60" s="285" t="s">
        <v>40</v>
      </c>
      <c r="BV60" s="107"/>
      <c r="BW60" s="93">
        <f>IF(BW59=0,1,BW59)</f>
        <v>1.1732392008204138</v>
      </c>
      <c r="BX60" s="93">
        <f t="shared" ref="BX60:CE60" si="190">IF(BX59=0,1,BX59)</f>
        <v>1.0262139615699128</v>
      </c>
      <c r="BY60" s="93">
        <f t="shared" si="190"/>
        <v>1.0048666623205569</v>
      </c>
      <c r="BZ60" s="93">
        <f t="shared" si="190"/>
        <v>1.0071627953555491</v>
      </c>
      <c r="CA60" s="93">
        <f t="shared" si="190"/>
        <v>1</v>
      </c>
      <c r="CB60" s="93">
        <f t="shared" si="190"/>
        <v>1</v>
      </c>
      <c r="CC60" s="93">
        <f t="shared" si="190"/>
        <v>1</v>
      </c>
      <c r="CD60" s="93">
        <f t="shared" si="190"/>
        <v>1</v>
      </c>
      <c r="CE60" s="93">
        <f t="shared" si="190"/>
        <v>1</v>
      </c>
      <c r="CF60" s="93">
        <f>IF(CF59=0,1,CF59)</f>
        <v>1</v>
      </c>
      <c r="CG60" s="285" t="s">
        <v>40</v>
      </c>
      <c r="CH60" s="107"/>
      <c r="CI60" s="93">
        <f>IF(CI59=0,1,CI59)</f>
        <v>1</v>
      </c>
      <c r="CJ60" s="93">
        <f t="shared" ref="CJ60:CQ60" si="191">IF(CJ59=0,1,CJ59)</f>
        <v>1</v>
      </c>
      <c r="CK60" s="93">
        <f t="shared" si="191"/>
        <v>1</v>
      </c>
      <c r="CL60" s="93">
        <f t="shared" si="191"/>
        <v>1</v>
      </c>
      <c r="CM60" s="93">
        <f t="shared" si="191"/>
        <v>1</v>
      </c>
      <c r="CN60" s="93">
        <f t="shared" si="191"/>
        <v>1</v>
      </c>
      <c r="CO60" s="93">
        <f t="shared" si="191"/>
        <v>1</v>
      </c>
      <c r="CP60" s="93">
        <f t="shared" si="191"/>
        <v>1</v>
      </c>
      <c r="CQ60" s="93">
        <f t="shared" si="191"/>
        <v>1</v>
      </c>
      <c r="CR60" s="93">
        <f>IF(CR59=0,1,CR59)</f>
        <v>1</v>
      </c>
      <c r="CS60" s="285"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5"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2.001231406569381</v>
      </c>
      <c r="D61" s="113">
        <f>PRODUCT(D60:L60)</f>
        <v>1.4171475506478282</v>
      </c>
      <c r="E61" s="113">
        <f>PRODUCT(E60:L60)</f>
        <v>1.1980401789959665</v>
      </c>
      <c r="F61" s="113">
        <f>PRODUCT(F60:L60)</f>
        <v>1.0826107052709391</v>
      </c>
      <c r="G61" s="113">
        <f>PRODUCT(G60:L60)</f>
        <v>1.0304521067715982</v>
      </c>
      <c r="H61" s="113">
        <f>PRODUCT(H60:L60)</f>
        <v>1.00816945472268</v>
      </c>
      <c r="I61" s="113">
        <f>PRODUCT(I60:L60)</f>
        <v>1.0027905296626776</v>
      </c>
      <c r="J61" s="113">
        <f>PRODUCT(J60:L60)</f>
        <v>1.0009015691900693</v>
      </c>
      <c r="K61" s="113">
        <f>PRODUCT(K60:L60)</f>
        <v>1.0003201125126988</v>
      </c>
      <c r="L61" s="114">
        <f>PRODUCT(L60:L60)</f>
        <v>1</v>
      </c>
      <c r="M61" s="111" t="s">
        <v>39</v>
      </c>
      <c r="N61" s="115"/>
      <c r="O61" s="113">
        <f>PRODUCT(O60:X60)</f>
        <v>1.4912562935607496</v>
      </c>
      <c r="P61" s="113">
        <f>PRODUCT(P60:X60)</f>
        <v>1.0655178548038042</v>
      </c>
      <c r="Q61" s="113">
        <f>PRODUCT(Q60:X60)</f>
        <v>1.0136761786406743</v>
      </c>
      <c r="R61" s="113">
        <f>PRODUCT(R60:X60)</f>
        <v>1.0039658128246662</v>
      </c>
      <c r="S61" s="113">
        <f>PRODUCT(S60:X60)</f>
        <v>1.0021161495077497</v>
      </c>
      <c r="T61" s="113">
        <f>PRODUCT(T60:X60)</f>
        <v>1.0013988782734904</v>
      </c>
      <c r="U61" s="113">
        <f>PRODUCT(U60:X60)</f>
        <v>1.0005043504999085</v>
      </c>
      <c r="V61" s="113">
        <f>PRODUCT(V60:X60)</f>
        <v>0.99988862424412694</v>
      </c>
      <c r="W61" s="113">
        <f>PRODUCT(W60:X60)</f>
        <v>0.99996883533784808</v>
      </c>
      <c r="X61" s="114">
        <f>PRODUCT(X60:X60)</f>
        <v>1</v>
      </c>
      <c r="Y61" s="111" t="s">
        <v>39</v>
      </c>
      <c r="Z61" s="115"/>
      <c r="AA61" s="113">
        <f>PRODUCT(AA60:AJ60)</f>
        <v>3.8226307441208944</v>
      </c>
      <c r="AB61" s="113">
        <f>PRODUCT(AB60:AJ60)</f>
        <v>1.654264955509066</v>
      </c>
      <c r="AC61" s="113">
        <f>PRODUCT(AC60:AJ60)</f>
        <v>1.2581883887207745</v>
      </c>
      <c r="AD61" s="113">
        <f>PRODUCT(AD60:AJ60)</f>
        <v>1.121373295657758</v>
      </c>
      <c r="AE61" s="113">
        <f>PRODUCT(AE60:AJ60)</f>
        <v>1.0632114939150634</v>
      </c>
      <c r="AF61" s="113">
        <f>PRODUCT(AF60:AJ60)</f>
        <v>1.033049898748523</v>
      </c>
      <c r="AG61" s="113">
        <f>PRODUCT(AG60:AJ60)</f>
        <v>1.0179891121854647</v>
      </c>
      <c r="AH61" s="113">
        <f>PRODUCT(AH60:AJ60)</f>
        <v>1.0104399274238005</v>
      </c>
      <c r="AI61" s="113">
        <f>PRODUCT(AI60:AJ60)</f>
        <v>1.0052747268006086</v>
      </c>
      <c r="AJ61" s="114">
        <f>PRODUCT(AJ60:AJ60)</f>
        <v>1</v>
      </c>
      <c r="AK61" s="111" t="s">
        <v>39</v>
      </c>
      <c r="AL61" s="115"/>
      <c r="AM61" s="113">
        <f>PRODUCT(AM60:AV60)</f>
        <v>1.0243703597869771</v>
      </c>
      <c r="AN61" s="113">
        <f>PRODUCT(AN60:AV60)</f>
        <v>1.0030234701526637</v>
      </c>
      <c r="AO61" s="113">
        <f>PRODUCT(AO60:AV60)</f>
        <v>1.0013556728108992</v>
      </c>
      <c r="AP61" s="113">
        <f>PRODUCT(AP60:AV60)</f>
        <v>1.0005300933738344</v>
      </c>
      <c r="AQ61" s="113">
        <f>PRODUCT(AQ60:AV60)</f>
        <v>1.0002461250618875</v>
      </c>
      <c r="AR61" s="113">
        <f>PRODUCT(AR60:AV60)</f>
        <v>1.0000963612734335</v>
      </c>
      <c r="AS61" s="113">
        <f>PRODUCT(AS60:AV60)</f>
        <v>1.0000066144332704</v>
      </c>
      <c r="AT61" s="113">
        <f>PRODUCT(AT60:AV60)</f>
        <v>0.99999089645833217</v>
      </c>
      <c r="AU61" s="113">
        <f>PRODUCT(AU60:AV60)</f>
        <v>1.0000091646877611</v>
      </c>
      <c r="AV61" s="114">
        <f>PRODUCT(AV60:AV60)</f>
        <v>1</v>
      </c>
      <c r="AW61" s="111" t="s">
        <v>39</v>
      </c>
      <c r="AX61" s="115"/>
      <c r="AY61" s="113">
        <f>PRODUCT(AY60:BH60)</f>
        <v>0.95621494646139593</v>
      </c>
      <c r="AZ61" s="113">
        <f>PRODUCT(AZ60:BH60)</f>
        <v>0.99079769805171736</v>
      </c>
      <c r="BA61" s="113">
        <f>PRODUCT(BA60:BH60)</f>
        <v>0.99589904894950521</v>
      </c>
      <c r="BB61" s="113">
        <f>PRODUCT(BB60:BH60)</f>
        <v>0.99842307819725262</v>
      </c>
      <c r="BC61" s="113">
        <f>PRODUCT(BC60:BH60)</f>
        <v>0.99922307876752814</v>
      </c>
      <c r="BD61" s="113">
        <f>PRODUCT(BD60:BH60)</f>
        <v>0.99944554135921937</v>
      </c>
      <c r="BE61" s="113">
        <f>PRODUCT(BE60:BH60)</f>
        <v>0.99955652305259224</v>
      </c>
      <c r="BF61" s="113">
        <f>PRODUCT(BF60:BH60)</f>
        <v>0.99970984493073956</v>
      </c>
      <c r="BG61" s="113">
        <f>PRODUCT(BG60:BH60)</f>
        <v>0.99983802981483372</v>
      </c>
      <c r="BH61" s="114">
        <f>PRODUCT(BH60:BH60)</f>
        <v>1</v>
      </c>
      <c r="BI61" s="111" t="s">
        <v>39</v>
      </c>
      <c r="BJ61" s="115"/>
      <c r="BK61" s="113">
        <f>PRODUCT(BK60:BT60)</f>
        <v>0.99404070542535339</v>
      </c>
      <c r="BL61" s="113">
        <f>PRODUCT(BL60:BT60)</f>
        <v>1.0007387728077148</v>
      </c>
      <c r="BM61" s="113">
        <f>PRODUCT(BM60:BT60)</f>
        <v>1.0002859271502058</v>
      </c>
      <c r="BN61" s="113">
        <f>PRODUCT(BN60:BT60)</f>
        <v>1.0000165517885968</v>
      </c>
      <c r="BO61" s="113">
        <f>PRODUCT(BO60:BT60)</f>
        <v>0.99992746343453587</v>
      </c>
      <c r="BP61" s="113">
        <f>PRODUCT(BP60:BT60)</f>
        <v>0.99992339512214923</v>
      </c>
      <c r="BQ61" s="113">
        <f>PRODUCT(BQ60:BT60)</f>
        <v>0.99992934101784103</v>
      </c>
      <c r="BR61" s="113">
        <f>PRODUCT(BR60:BT60)</f>
        <v>0.99993122480751984</v>
      </c>
      <c r="BS61" s="113">
        <f>PRODUCT(BS60:BT60)</f>
        <v>0.99995146995888373</v>
      </c>
      <c r="BT61" s="114">
        <f>PRODUCT(BT60:BT60)</f>
        <v>1</v>
      </c>
      <c r="BU61" s="111" t="s">
        <v>39</v>
      </c>
      <c r="BV61" s="115"/>
      <c r="BW61" s="113">
        <f>PRODUCT(BW60:CF60)</f>
        <v>1.2185198183288521</v>
      </c>
      <c r="BX61" s="113">
        <f>PRODUCT(BX60:CF60)</f>
        <v>1.038594531683543</v>
      </c>
      <c r="BY61" s="113">
        <f>PRODUCT(BY60:CF60)</f>
        <v>1.0120643165823726</v>
      </c>
      <c r="BZ61" s="113">
        <f>PRODUCT(BZ60:CF60)</f>
        <v>1.0071627953555491</v>
      </c>
      <c r="CA61" s="113">
        <f>PRODUCT(CA60:CF60)</f>
        <v>1</v>
      </c>
      <c r="CB61" s="113">
        <f>PRODUCT(CB60:CF60)</f>
        <v>1</v>
      </c>
      <c r="CC61" s="113">
        <f>PRODUCT(CC60:CF60)</f>
        <v>1</v>
      </c>
      <c r="CD61" s="113">
        <f>PRODUCT(CD60:CF60)</f>
        <v>1</v>
      </c>
      <c r="CE61" s="113">
        <f>PRODUCT(CE60:CF60)</f>
        <v>1</v>
      </c>
      <c r="CF61" s="114">
        <f>PRODUCT(CF60:CF60)</f>
        <v>1</v>
      </c>
      <c r="CG61" s="111" t="s">
        <v>39</v>
      </c>
      <c r="CH61" s="115"/>
      <c r="CI61" s="113">
        <f>PRODUCT(CI60:CR60)</f>
        <v>1</v>
      </c>
      <c r="CJ61" s="113">
        <f>PRODUCT(CJ60:CR60)</f>
        <v>1</v>
      </c>
      <c r="CK61" s="113">
        <f>PRODUCT(CK60:CR60)</f>
        <v>1</v>
      </c>
      <c r="CL61" s="113">
        <f>PRODUCT(CL60:CR60)</f>
        <v>1</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1337525610.7005632</v>
      </c>
      <c r="D62" s="99">
        <f>D61*D44</f>
        <v>1009676442.1152521</v>
      </c>
      <c r="E62" s="99">
        <f>E61*E43</f>
        <v>995516693.1916889</v>
      </c>
      <c r="F62" s="99">
        <f>F61*F42</f>
        <v>1284423138.1954892</v>
      </c>
      <c r="G62" s="99">
        <f>G61*G41</f>
        <v>1353929293.6419363</v>
      </c>
      <c r="H62" s="99">
        <f>H61*H40</f>
        <v>1424100327.4225614</v>
      </c>
      <c r="I62" s="99">
        <f>I61*I39</f>
        <v>1410992929.4483497</v>
      </c>
      <c r="J62" s="99">
        <f>J61*J38</f>
        <v>1240206852.4418831</v>
      </c>
      <c r="K62" s="99">
        <f>K61*K37</f>
        <v>1158410416.8526053</v>
      </c>
      <c r="L62" s="99">
        <f>L61*L36</f>
        <v>1012454284.6000001</v>
      </c>
      <c r="M62" s="95" t="s">
        <v>41</v>
      </c>
      <c r="N62" s="106"/>
      <c r="O62" s="99">
        <f>O61*O45</f>
        <v>60071252.735696308</v>
      </c>
      <c r="P62" s="99">
        <f>P61*P44</f>
        <v>51952591.369772121</v>
      </c>
      <c r="Q62" s="99">
        <f>Q61*Q43</f>
        <v>52507546.152253591</v>
      </c>
      <c r="R62" s="99">
        <f>R61*R42</f>
        <v>71225879.644738868</v>
      </c>
      <c r="S62" s="99">
        <f>S61*S41</f>
        <v>71576408.50295867</v>
      </c>
      <c r="T62" s="99">
        <f>T61*T40</f>
        <v>71095262.739232972</v>
      </c>
      <c r="U62" s="99">
        <f>U61*U39</f>
        <v>65020471.396370344</v>
      </c>
      <c r="V62" s="99">
        <f>V61*V38</f>
        <v>63437294.416384526</v>
      </c>
      <c r="W62" s="99">
        <f>W61*W37</f>
        <v>63388893.994966969</v>
      </c>
      <c r="X62" s="99">
        <f>X61*X36</f>
        <v>64009608.699999996</v>
      </c>
      <c r="Y62" s="95" t="s">
        <v>41</v>
      </c>
      <c r="Z62" s="106"/>
      <c r="AA62" s="99">
        <f>AA61*AA45</f>
        <v>281044100.76429474</v>
      </c>
      <c r="AB62" s="99">
        <f>AB61*AB44</f>
        <v>244743510.34201053</v>
      </c>
      <c r="AC62" s="99">
        <f>AC61*AC43</f>
        <v>206169440.02423728</v>
      </c>
      <c r="AD62" s="99">
        <f>AD61*AD42</f>
        <v>225374525.14900896</v>
      </c>
      <c r="AE62" s="99">
        <f>AE61*AE41</f>
        <v>230565373.26217431</v>
      </c>
      <c r="AF62" s="99">
        <f>AF61*AF40</f>
        <v>227000943.87366262</v>
      </c>
      <c r="AG62" s="99">
        <f>AG61*AG39</f>
        <v>199354856.09445268</v>
      </c>
      <c r="AH62" s="99">
        <f>AH61*AH38</f>
        <v>184056005.71164104</v>
      </c>
      <c r="AI62" s="99">
        <f>AI61*AI37</f>
        <v>160053053.21006626</v>
      </c>
      <c r="AJ62" s="99">
        <f>AJ61*AJ36</f>
        <v>139535554.97000006</v>
      </c>
      <c r="AK62" s="95" t="s">
        <v>41</v>
      </c>
      <c r="AL62" s="106"/>
      <c r="AM62" s="99">
        <f>AM61*AM45</f>
        <v>376941752.61482173</v>
      </c>
      <c r="AN62" s="99">
        <f>AN61*AN44</f>
        <v>286040105.5947215</v>
      </c>
      <c r="AO62" s="99">
        <f>AO61*AO43</f>
        <v>235804230.76854819</v>
      </c>
      <c r="AP62" s="99">
        <f>AP61*AP42</f>
        <v>234392470.30623537</v>
      </c>
      <c r="AQ62" s="99">
        <f>AQ61*AQ41</f>
        <v>219085164.24123156</v>
      </c>
      <c r="AR62" s="99">
        <f>AR61*AR40</f>
        <v>226683686.98407686</v>
      </c>
      <c r="AS62" s="99">
        <f>AS61*AS39</f>
        <v>208376933.12620273</v>
      </c>
      <c r="AT62" s="99">
        <f>AT61*AT38</f>
        <v>194309960.895071</v>
      </c>
      <c r="AU62" s="99">
        <f>AU61*AU37</f>
        <v>180060582.9338972</v>
      </c>
      <c r="AV62" s="99">
        <f>AV61*AV36</f>
        <v>174614204.84000006</v>
      </c>
      <c r="AW62" s="95" t="s">
        <v>41</v>
      </c>
      <c r="AX62" s="106"/>
      <c r="AY62" s="99">
        <f>AY61*AY45</f>
        <v>1154473149.5362978</v>
      </c>
      <c r="AZ62" s="99">
        <f>AZ61*AZ44</f>
        <v>823105176.30192244</v>
      </c>
      <c r="BA62" s="99">
        <f>BA61*BA43</f>
        <v>710254257.29649436</v>
      </c>
      <c r="BB62" s="99">
        <f>BB61*BB42</f>
        <v>861505095.65838492</v>
      </c>
      <c r="BC62" s="99">
        <f>BC61*BC41</f>
        <v>835144963.3048538</v>
      </c>
      <c r="BD62" s="99">
        <f>BD61*BD40</f>
        <v>850999469.77755725</v>
      </c>
      <c r="BE62" s="99">
        <f>BE61*BE39</f>
        <v>812252420.57797384</v>
      </c>
      <c r="BF62" s="99">
        <f>BF61*BF38</f>
        <v>731097103.00054014</v>
      </c>
      <c r="BG62" s="99">
        <f>BG61*BG37</f>
        <v>638259059.97485352</v>
      </c>
      <c r="BH62" s="99">
        <f>BH61*BH36</f>
        <v>575484926.37999976</v>
      </c>
      <c r="BI62" s="95" t="s">
        <v>41</v>
      </c>
      <c r="BJ62" s="106"/>
      <c r="BK62" s="99">
        <f>BK61*BK45</f>
        <v>68558500.03526713</v>
      </c>
      <c r="BL62" s="99">
        <f>BL61*BL44</f>
        <v>52157511.875705555</v>
      </c>
      <c r="BM62" s="99">
        <f>BM61*BM43</f>
        <v>45456586.887135953</v>
      </c>
      <c r="BN62" s="99">
        <f>BN61*BN42</f>
        <v>53554302.714825407</v>
      </c>
      <c r="BO62" s="99">
        <f>BO61*BO41</f>
        <v>51169540.108053386</v>
      </c>
      <c r="BP62" s="99">
        <f>BP61*BP40</f>
        <v>53912809.329425544</v>
      </c>
      <c r="BQ62" s="99">
        <f>BQ61*BQ39</f>
        <v>49441997.731898248</v>
      </c>
      <c r="BR62" s="99">
        <f>BR61*BR38</f>
        <v>44548341.318521783</v>
      </c>
      <c r="BS62" s="99">
        <f>BS61*BS37</f>
        <v>41021329.906556293</v>
      </c>
      <c r="BT62" s="99">
        <f>BT61*BT36</f>
        <v>38057465.469999991</v>
      </c>
      <c r="BU62" s="95" t="s">
        <v>41</v>
      </c>
      <c r="BV62" s="106"/>
      <c r="BW62" s="99">
        <f>BW61*BW45</f>
        <v>341063.69715024572</v>
      </c>
      <c r="BX62" s="99">
        <f>BX61*BX44</f>
        <v>209884.37593526879</v>
      </c>
      <c r="BY62" s="99">
        <f>BY61*BY43</f>
        <v>169394.16378154294</v>
      </c>
      <c r="BZ62" s="99">
        <f>BZ61*BZ42</f>
        <v>477546.23941783363</v>
      </c>
      <c r="CA62" s="99">
        <f>CA61*CA41</f>
        <v>539653.41999999993</v>
      </c>
      <c r="CB62" s="99">
        <f>CB61*CB40</f>
        <v>379934.12</v>
      </c>
      <c r="CC62" s="99">
        <f>CC61*CC39</f>
        <v>275600</v>
      </c>
      <c r="CD62" s="99">
        <f>CD61*CD38</f>
        <v>511667.20000000001</v>
      </c>
      <c r="CE62" s="99">
        <f>CE61*CE37</f>
        <v>367111.87</v>
      </c>
      <c r="CF62" s="99">
        <f>CF61*CF36</f>
        <v>262757.52</v>
      </c>
      <c r="CG62" s="95" t="s">
        <v>41</v>
      </c>
      <c r="CH62" s="106"/>
      <c r="CI62" s="99">
        <f>CI61*CI45</f>
        <v>0</v>
      </c>
      <c r="CJ62" s="99">
        <f>CJ61*CJ44</f>
        <v>0</v>
      </c>
      <c r="CK62" s="99">
        <f>CK61*CK43</f>
        <v>0</v>
      </c>
      <c r="CL62" s="99">
        <f>CL61*CL42</f>
        <v>0</v>
      </c>
      <c r="CM62" s="99">
        <f>CM61*CM41</f>
        <v>0</v>
      </c>
      <c r="CN62" s="99">
        <f>CN61*CN40</f>
        <v>0</v>
      </c>
      <c r="CO62" s="99">
        <f>CO61*CO39</f>
        <v>0</v>
      </c>
      <c r="CP62" s="99">
        <f>CP61*CP38</f>
        <v>0</v>
      </c>
      <c r="CQ62" s="99">
        <f>CQ61*CQ37</f>
        <v>0</v>
      </c>
      <c r="CR62" s="99">
        <f>CR61*CR36</f>
        <v>0</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Mutual Automobile Insurance Company</v>
      </c>
      <c r="B63" s="68"/>
      <c r="C63" s="40"/>
      <c r="D63" s="18"/>
      <c r="E63" s="18"/>
      <c r="F63" s="18"/>
      <c r="G63" s="18"/>
      <c r="H63" s="18"/>
      <c r="I63" s="18"/>
      <c r="J63" s="18"/>
      <c r="K63" s="18"/>
      <c r="L63" s="18"/>
      <c r="M63" s="137" t="str">
        <f>Co_Name</f>
        <v>State Farm Mutual Automobile Insurance Company</v>
      </c>
      <c r="N63" s="68"/>
      <c r="O63" s="40"/>
      <c r="P63" s="18"/>
      <c r="Q63" s="18"/>
      <c r="R63" s="18"/>
      <c r="S63" s="18"/>
      <c r="T63" s="18"/>
      <c r="U63" s="18"/>
      <c r="V63" s="18"/>
      <c r="W63" s="18"/>
      <c r="X63" s="18"/>
      <c r="Y63" s="137" t="str">
        <f>Co_Name</f>
        <v>State Farm Mutual Automobile Insurance Company</v>
      </c>
      <c r="Z63" s="68"/>
      <c r="AA63" s="40"/>
      <c r="AB63" s="18"/>
      <c r="AC63" s="18"/>
      <c r="AD63" s="18"/>
      <c r="AE63" s="18"/>
      <c r="AF63" s="18"/>
      <c r="AG63" s="18"/>
      <c r="AH63" s="18"/>
      <c r="AI63" s="18"/>
      <c r="AJ63" s="18"/>
      <c r="AK63" s="137" t="str">
        <f>Co_Name</f>
        <v>State Farm Mutual Automobile Insurance Company</v>
      </c>
      <c r="AL63" s="68"/>
      <c r="AM63" s="40"/>
      <c r="AN63" s="18"/>
      <c r="AO63" s="18"/>
      <c r="AP63" s="18"/>
      <c r="AQ63" s="18"/>
      <c r="AR63" s="18"/>
      <c r="AS63" s="18"/>
      <c r="AT63" s="18"/>
      <c r="AU63" s="18"/>
      <c r="AV63" s="18"/>
      <c r="AW63" s="137" t="str">
        <f>Co_Name</f>
        <v>State Farm Mutual Automobile Insurance Company</v>
      </c>
      <c r="AX63" s="68"/>
      <c r="AY63" s="40"/>
      <c r="AZ63" s="18"/>
      <c r="BA63" s="18"/>
      <c r="BB63" s="18"/>
      <c r="BC63" s="18"/>
      <c r="BD63" s="18"/>
      <c r="BE63" s="18"/>
      <c r="BF63" s="18"/>
      <c r="BG63" s="18"/>
      <c r="BH63" s="18"/>
      <c r="BI63" s="137" t="str">
        <f>Co_Name</f>
        <v>State Farm Mutual Automobile Insurance Company</v>
      </c>
      <c r="BJ63" s="68"/>
      <c r="BK63" s="40"/>
      <c r="BL63" s="18"/>
      <c r="BM63" s="18"/>
      <c r="BN63" s="18"/>
      <c r="BO63" s="18"/>
      <c r="BP63" s="18"/>
      <c r="BQ63" s="18"/>
      <c r="BR63" s="18"/>
      <c r="BS63" s="18"/>
      <c r="BT63" s="18"/>
      <c r="BU63" s="137" t="str">
        <f>Co_Name</f>
        <v>State Farm Mutual Automobile Insurance Company</v>
      </c>
      <c r="BV63" s="68"/>
      <c r="BW63" s="40"/>
      <c r="BX63" s="18"/>
      <c r="BY63" s="18"/>
      <c r="BZ63" s="18"/>
      <c r="CA63" s="18"/>
      <c r="CB63" s="18"/>
      <c r="CC63" s="18"/>
      <c r="CD63" s="18"/>
      <c r="CE63" s="18"/>
      <c r="CF63" s="18"/>
      <c r="CG63" s="137" t="str">
        <f>Co_Name</f>
        <v>State Farm Mutual Automobile Insurance Company</v>
      </c>
      <c r="CH63" s="68"/>
      <c r="CI63" s="40"/>
      <c r="CJ63" s="18"/>
      <c r="CK63" s="18"/>
      <c r="CL63" s="18"/>
      <c r="CM63" s="18"/>
      <c r="CN63" s="18"/>
      <c r="CO63" s="18"/>
      <c r="CP63" s="18"/>
      <c r="CQ63" s="18"/>
      <c r="CR63" s="18"/>
      <c r="CS63" s="137" t="str">
        <f>Co_Name</f>
        <v>State Farm Mutual Automobile Insurance Company</v>
      </c>
      <c r="CT63" s="68"/>
      <c r="CU63" s="40"/>
      <c r="CV63" s="18"/>
      <c r="CW63" s="18"/>
      <c r="CX63" s="18"/>
      <c r="CY63" s="18"/>
      <c r="CZ63" s="18"/>
      <c r="DA63" s="18"/>
      <c r="DB63" s="18"/>
      <c r="DC63" s="18"/>
      <c r="DD63" s="18"/>
      <c r="DE63" s="137" t="str">
        <f>Co_Name</f>
        <v>State Farm Mutual Automobile Insurance Company</v>
      </c>
      <c r="DF63" s="68"/>
      <c r="DG63" s="40"/>
      <c r="DH63" s="18"/>
      <c r="DI63" s="18"/>
      <c r="DJ63" s="18"/>
      <c r="DK63" s="18"/>
      <c r="DL63" s="18"/>
      <c r="DM63" s="18"/>
      <c r="DN63" s="18"/>
      <c r="DO63" s="18"/>
      <c r="DP63" s="18"/>
    </row>
    <row r="64" spans="1:120" ht="21" x14ac:dyDescent="0.35">
      <c r="A64" s="137" t="str">
        <f>A$2</f>
        <v>Private Passenger Auto Liability</v>
      </c>
      <c r="B64" s="68"/>
      <c r="C64" s="40"/>
      <c r="D64" s="18"/>
      <c r="E64" s="18"/>
      <c r="F64" s="18"/>
      <c r="G64" s="18"/>
      <c r="H64" s="18"/>
      <c r="I64" s="18"/>
      <c r="J64" s="18"/>
      <c r="K64" s="18"/>
      <c r="L64" s="18"/>
      <c r="M64" s="137" t="str">
        <f>M$2</f>
        <v>Private Passenger Auto Liability</v>
      </c>
      <c r="N64" s="68"/>
      <c r="O64" s="40"/>
      <c r="P64" s="18"/>
      <c r="Q64" s="18"/>
      <c r="R64" s="18"/>
      <c r="S64" s="18"/>
      <c r="T64" s="18"/>
      <c r="U64" s="18"/>
      <c r="V64" s="18"/>
      <c r="W64" s="18"/>
      <c r="X64" s="18"/>
      <c r="Y64" s="137" t="str">
        <f>Y$2</f>
        <v>Private Passenger Auto Liability</v>
      </c>
      <c r="Z64" s="68"/>
      <c r="AA64" s="40"/>
      <c r="AB64" s="18"/>
      <c r="AC64" s="18"/>
      <c r="AD64" s="18"/>
      <c r="AE64" s="18"/>
      <c r="AF64" s="18"/>
      <c r="AG64" s="18"/>
      <c r="AH64" s="18"/>
      <c r="AI64" s="18"/>
      <c r="AJ64" s="18"/>
      <c r="AK64" s="137" t="str">
        <f>AK$2</f>
        <v>Private Passenger Auto Liability</v>
      </c>
      <c r="AL64" s="68"/>
      <c r="AM64" s="40"/>
      <c r="AN64" s="18"/>
      <c r="AO64" s="18"/>
      <c r="AP64" s="18"/>
      <c r="AQ64" s="18"/>
      <c r="AR64" s="18"/>
      <c r="AS64" s="18"/>
      <c r="AT64" s="18"/>
      <c r="AU64" s="18"/>
      <c r="AV64" s="18"/>
      <c r="AW64" s="137" t="str">
        <f>AW$2</f>
        <v>Private Passenger Auto Physical Damage</v>
      </c>
      <c r="AX64" s="68"/>
      <c r="AY64" s="40"/>
      <c r="AZ64" s="18"/>
      <c r="BA64" s="18"/>
      <c r="BB64" s="18"/>
      <c r="BC64" s="18"/>
      <c r="BD64" s="18"/>
      <c r="BE64" s="18"/>
      <c r="BF64" s="18"/>
      <c r="BG64" s="18"/>
      <c r="BH64" s="18"/>
      <c r="BI64" s="137" t="str">
        <f>BI$2</f>
        <v>Private Passenger Auto Physical Damage</v>
      </c>
      <c r="BJ64" s="68"/>
      <c r="BK64" s="40"/>
      <c r="BL64" s="18"/>
      <c r="BM64" s="18"/>
      <c r="BN64" s="18"/>
      <c r="BO64" s="18"/>
      <c r="BP64" s="18"/>
      <c r="BQ64" s="18"/>
      <c r="BR64" s="18"/>
      <c r="BS64" s="18"/>
      <c r="BT64" s="18"/>
      <c r="BU64" s="137" t="str">
        <f>BU$2</f>
        <v>Private Passenger Auto Physical Damage</v>
      </c>
      <c r="BV64" s="68"/>
      <c r="BW64" s="40"/>
      <c r="BX64" s="18"/>
      <c r="BY64" s="18"/>
      <c r="BZ64" s="18"/>
      <c r="CA64" s="18"/>
      <c r="CB64" s="18"/>
      <c r="CC64" s="18"/>
      <c r="CD64" s="18"/>
      <c r="CE64" s="18"/>
      <c r="CF64" s="18"/>
      <c r="CG64" s="137" t="str">
        <f>CG$2</f>
        <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198</v>
      </c>
      <c r="B66" s="48"/>
      <c r="C66" s="18"/>
      <c r="D66" s="18"/>
      <c r="E66" s="18"/>
      <c r="F66" s="18"/>
      <c r="G66" s="18"/>
      <c r="H66" s="18"/>
      <c r="I66" s="18"/>
      <c r="J66" s="18"/>
      <c r="K66" s="18"/>
      <c r="L66" s="18"/>
      <c r="M66" s="48" t="s">
        <v>198</v>
      </c>
      <c r="N66" s="48"/>
      <c r="O66" s="18"/>
      <c r="P66" s="18"/>
      <c r="Q66" s="18"/>
      <c r="R66" s="18"/>
      <c r="S66" s="18"/>
      <c r="T66" s="18"/>
      <c r="U66" s="18"/>
      <c r="V66" s="18"/>
      <c r="W66" s="18"/>
      <c r="X66" s="18"/>
      <c r="Y66" s="48" t="s">
        <v>198</v>
      </c>
      <c r="Z66" s="48"/>
      <c r="AA66" s="18"/>
      <c r="AB66" s="18"/>
      <c r="AC66" s="18"/>
      <c r="AD66" s="18"/>
      <c r="AE66" s="18"/>
      <c r="AF66" s="18"/>
      <c r="AG66" s="18"/>
      <c r="AH66" s="18"/>
      <c r="AI66" s="18"/>
      <c r="AJ66" s="18"/>
      <c r="AK66" s="48" t="s">
        <v>198</v>
      </c>
      <c r="AL66" s="48"/>
      <c r="AM66" s="18"/>
      <c r="AN66" s="18"/>
      <c r="AO66" s="18"/>
      <c r="AP66" s="18"/>
      <c r="AQ66" s="18"/>
      <c r="AR66" s="18"/>
      <c r="AS66" s="18"/>
      <c r="AT66" s="18"/>
      <c r="AU66" s="18"/>
      <c r="AV66" s="18"/>
      <c r="AW66" s="48" t="s">
        <v>198</v>
      </c>
      <c r="AX66" s="48"/>
      <c r="AY66" s="18"/>
      <c r="AZ66" s="18"/>
      <c r="BA66" s="18"/>
      <c r="BB66" s="18"/>
      <c r="BC66" s="18"/>
      <c r="BD66" s="18"/>
      <c r="BE66" s="18"/>
      <c r="BF66" s="18"/>
      <c r="BG66" s="18"/>
      <c r="BH66" s="18"/>
      <c r="BI66" s="48" t="s">
        <v>198</v>
      </c>
      <c r="BJ66" s="48"/>
      <c r="BK66" s="18"/>
      <c r="BL66" s="18"/>
      <c r="BM66" s="18"/>
      <c r="BN66" s="18"/>
      <c r="BO66" s="18"/>
      <c r="BP66" s="18"/>
      <c r="BQ66" s="18"/>
      <c r="BR66" s="18"/>
      <c r="BS66" s="18"/>
      <c r="BT66" s="18"/>
      <c r="BU66" s="48" t="s">
        <v>198</v>
      </c>
      <c r="BV66" s="48"/>
      <c r="BW66" s="18"/>
      <c r="BX66" s="18"/>
      <c r="BY66" s="18"/>
      <c r="BZ66" s="18"/>
      <c r="CA66" s="18"/>
      <c r="CB66" s="18"/>
      <c r="CC66" s="18"/>
      <c r="CD66" s="18"/>
      <c r="CE66" s="18"/>
      <c r="CF66" s="18"/>
      <c r="CG66" s="48" t="s">
        <v>198</v>
      </c>
      <c r="CH66" s="48"/>
      <c r="CI66" s="18"/>
      <c r="CJ66" s="18"/>
      <c r="CK66" s="18"/>
      <c r="CL66" s="18"/>
      <c r="CM66" s="18"/>
      <c r="CN66" s="18"/>
      <c r="CO66" s="18"/>
      <c r="CP66" s="18"/>
      <c r="CQ66" s="18"/>
      <c r="CR66" s="18"/>
      <c r="CS66" s="48" t="s">
        <v>198</v>
      </c>
      <c r="CT66" s="48"/>
      <c r="CU66" s="18"/>
      <c r="CV66" s="18"/>
      <c r="CW66" s="18"/>
      <c r="CX66" s="18"/>
      <c r="CY66" s="18"/>
      <c r="CZ66" s="18"/>
      <c r="DA66" s="18"/>
      <c r="DB66" s="18"/>
      <c r="DC66" s="18"/>
      <c r="DD66" s="18"/>
      <c r="DE66" s="48" t="s">
        <v>198</v>
      </c>
      <c r="DF66" s="48"/>
      <c r="DG66" s="18"/>
      <c r="DH66" s="18"/>
      <c r="DI66" s="18"/>
      <c r="DJ66" s="18"/>
      <c r="DK66" s="18"/>
      <c r="DL66" s="18"/>
      <c r="DM66" s="18"/>
      <c r="DN66" s="18"/>
      <c r="DO66" s="18"/>
      <c r="DP66" s="18"/>
    </row>
    <row r="67" spans="1:120" x14ac:dyDescent="0.25">
      <c r="A67" s="138" t="str">
        <f>A$5</f>
        <v>BIPD</v>
      </c>
      <c r="B67" s="69"/>
      <c r="C67" s="18"/>
      <c r="D67" s="18"/>
      <c r="E67" s="18"/>
      <c r="F67" s="18"/>
      <c r="G67" s="18"/>
      <c r="H67" s="18"/>
      <c r="I67" s="18"/>
      <c r="J67" s="18"/>
      <c r="K67" s="18"/>
      <c r="L67" s="18"/>
      <c r="M67" s="138" t="str">
        <f>M$5</f>
        <v>MPC</v>
      </c>
      <c r="N67" s="69"/>
      <c r="O67" s="18"/>
      <c r="P67" s="18"/>
      <c r="Q67" s="18"/>
      <c r="R67" s="18"/>
      <c r="S67" s="18"/>
      <c r="T67" s="18"/>
      <c r="U67" s="18"/>
      <c r="V67" s="18"/>
      <c r="W67" s="18"/>
      <c r="X67" s="18"/>
      <c r="Y67" s="138" t="str">
        <f>Y$5</f>
        <v>UM</v>
      </c>
      <c r="Z67" s="69"/>
      <c r="AA67" s="18"/>
      <c r="AB67" s="18"/>
      <c r="AC67" s="18"/>
      <c r="AD67" s="18"/>
      <c r="AE67" s="18"/>
      <c r="AF67" s="18"/>
      <c r="AG67" s="18"/>
      <c r="AH67" s="18"/>
      <c r="AI67" s="18"/>
      <c r="AJ67" s="18"/>
      <c r="AK67" s="138" t="str">
        <f>AK$5</f>
        <v>COMP</v>
      </c>
      <c r="AL67" s="69"/>
      <c r="AM67" s="18"/>
      <c r="AN67" s="18"/>
      <c r="AO67" s="18"/>
      <c r="AP67" s="18"/>
      <c r="AQ67" s="18"/>
      <c r="AR67" s="18"/>
      <c r="AS67" s="18"/>
      <c r="AT67" s="18"/>
      <c r="AU67" s="18"/>
      <c r="AV67" s="18"/>
      <c r="AW67" s="138" t="str">
        <f>AW$5</f>
        <v>COLL</v>
      </c>
      <c r="AX67" s="69"/>
      <c r="AY67" s="18"/>
      <c r="AZ67" s="18"/>
      <c r="BA67" s="18"/>
      <c r="BB67" s="18"/>
      <c r="BC67" s="18"/>
      <c r="BD67" s="18"/>
      <c r="BE67" s="18"/>
      <c r="BF67" s="18"/>
      <c r="BG67" s="18"/>
      <c r="BH67" s="18"/>
      <c r="BI67" s="138" t="str">
        <f>BI$5</f>
        <v>Misc. Damage</v>
      </c>
      <c r="BJ67" s="69"/>
      <c r="BK67" s="18"/>
      <c r="BL67" s="18"/>
      <c r="BM67" s="18"/>
      <c r="BN67" s="18"/>
      <c r="BO67" s="18"/>
      <c r="BP67" s="18"/>
      <c r="BQ67" s="18"/>
      <c r="BR67" s="18"/>
      <c r="BS67" s="18"/>
      <c r="BT67" s="18"/>
      <c r="BU67" s="138" t="str">
        <f>BU$5</f>
        <v>Misc. Liability</v>
      </c>
      <c r="BV67" s="69"/>
      <c r="BW67" s="18"/>
      <c r="BX67" s="18"/>
      <c r="BY67" s="18"/>
      <c r="BZ67" s="18"/>
      <c r="CA67" s="18"/>
      <c r="CB67" s="18"/>
      <c r="CC67" s="18"/>
      <c r="CD67" s="18"/>
      <c r="CE67" s="18"/>
      <c r="CF67" s="18"/>
      <c r="CG67" s="138">
        <f>CG$5</f>
        <v>0</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ht="30" x14ac:dyDescent="0.25">
      <c r="A70" s="92" t="str">
        <f>$A$35</f>
        <v>Fiscal Accident Year Data Ending</v>
      </c>
      <c r="B70" s="98">
        <f>$B$35</f>
        <v>3</v>
      </c>
      <c r="C70" s="98" t="str">
        <f>$C$35</f>
        <v>15</v>
      </c>
      <c r="D70" s="98">
        <f>$D$35</f>
        <v>27</v>
      </c>
      <c r="E70" s="98">
        <f>$E$35</f>
        <v>39</v>
      </c>
      <c r="F70" s="98">
        <f>$F$35</f>
        <v>51</v>
      </c>
      <c r="G70" s="98">
        <f>$G$35</f>
        <v>63</v>
      </c>
      <c r="H70" s="98">
        <f>$H$35</f>
        <v>75</v>
      </c>
      <c r="I70" s="98">
        <f>$I$35</f>
        <v>87</v>
      </c>
      <c r="J70" s="98">
        <f>$J$35</f>
        <v>99</v>
      </c>
      <c r="K70" s="98">
        <f>$K$35</f>
        <v>111</v>
      </c>
      <c r="L70" s="98">
        <f>$L$35</f>
        <v>123</v>
      </c>
      <c r="M70" s="92" t="str">
        <f>$A$35</f>
        <v>Fiscal Accident Year Data Ending</v>
      </c>
      <c r="N70" s="98">
        <f>$B$35</f>
        <v>3</v>
      </c>
      <c r="O70" s="98" t="str">
        <f>$C$35</f>
        <v>15</v>
      </c>
      <c r="P70" s="98">
        <f>$D$35</f>
        <v>27</v>
      </c>
      <c r="Q70" s="98">
        <f>$E$35</f>
        <v>39</v>
      </c>
      <c r="R70" s="98">
        <f>$F$35</f>
        <v>51</v>
      </c>
      <c r="S70" s="98">
        <f>$G$35</f>
        <v>63</v>
      </c>
      <c r="T70" s="98">
        <f>$H$35</f>
        <v>75</v>
      </c>
      <c r="U70" s="98">
        <f>$I$35</f>
        <v>87</v>
      </c>
      <c r="V70" s="98">
        <f>$J$35</f>
        <v>99</v>
      </c>
      <c r="W70" s="98">
        <f>$K$35</f>
        <v>111</v>
      </c>
      <c r="X70" s="98">
        <f>$L$35</f>
        <v>123</v>
      </c>
      <c r="Y70" s="92" t="str">
        <f>$A$35</f>
        <v>Fiscal Accident Year Data Ending</v>
      </c>
      <c r="Z70" s="98">
        <f>$B$35</f>
        <v>3</v>
      </c>
      <c r="AA70" s="98" t="str">
        <f>$C$35</f>
        <v>15</v>
      </c>
      <c r="AB70" s="98">
        <f>$D$35</f>
        <v>27</v>
      </c>
      <c r="AC70" s="98">
        <f>$E$35</f>
        <v>39</v>
      </c>
      <c r="AD70" s="98">
        <f>$F$35</f>
        <v>51</v>
      </c>
      <c r="AE70" s="98">
        <f>$G$35</f>
        <v>63</v>
      </c>
      <c r="AF70" s="98">
        <f>$H$35</f>
        <v>75</v>
      </c>
      <c r="AG70" s="98">
        <f>$I$35</f>
        <v>87</v>
      </c>
      <c r="AH70" s="98">
        <f>$J$35</f>
        <v>99</v>
      </c>
      <c r="AI70" s="98">
        <f>$K$35</f>
        <v>111</v>
      </c>
      <c r="AJ70" s="98">
        <f>$L$35</f>
        <v>123</v>
      </c>
      <c r="AK70" s="92" t="str">
        <f>$A$35</f>
        <v>Fiscal Accident Year Data Ending</v>
      </c>
      <c r="AL70" s="98">
        <f>$B$35</f>
        <v>3</v>
      </c>
      <c r="AM70" s="98" t="str">
        <f>$C$35</f>
        <v>15</v>
      </c>
      <c r="AN70" s="98">
        <f>$D$35</f>
        <v>27</v>
      </c>
      <c r="AO70" s="98">
        <f>$E$35</f>
        <v>39</v>
      </c>
      <c r="AP70" s="98">
        <f>$F$35</f>
        <v>51</v>
      </c>
      <c r="AQ70" s="98">
        <f>$G$35</f>
        <v>63</v>
      </c>
      <c r="AR70" s="98">
        <f>$H$35</f>
        <v>75</v>
      </c>
      <c r="AS70" s="98">
        <f>$I$35</f>
        <v>87</v>
      </c>
      <c r="AT70" s="98">
        <f>$J$35</f>
        <v>99</v>
      </c>
      <c r="AU70" s="98">
        <f>$K$35</f>
        <v>111</v>
      </c>
      <c r="AV70" s="98">
        <f>$L$35</f>
        <v>123</v>
      </c>
      <c r="AW70" s="92" t="str">
        <f>$A$35</f>
        <v>Fiscal Accident Year Data Ending</v>
      </c>
      <c r="AX70" s="98">
        <f>$B$35</f>
        <v>3</v>
      </c>
      <c r="AY70" s="98" t="str">
        <f>$C$35</f>
        <v>15</v>
      </c>
      <c r="AZ70" s="98">
        <f>$D$35</f>
        <v>27</v>
      </c>
      <c r="BA70" s="98">
        <f>$E$35</f>
        <v>39</v>
      </c>
      <c r="BB70" s="98">
        <f>$F$35</f>
        <v>51</v>
      </c>
      <c r="BC70" s="98">
        <f>$G$35</f>
        <v>63</v>
      </c>
      <c r="BD70" s="98">
        <f>$H$35</f>
        <v>75</v>
      </c>
      <c r="BE70" s="98">
        <f>$I$35</f>
        <v>87</v>
      </c>
      <c r="BF70" s="98">
        <f>$J$35</f>
        <v>99</v>
      </c>
      <c r="BG70" s="98">
        <f>$K$35</f>
        <v>111</v>
      </c>
      <c r="BH70" s="98">
        <f>$L$35</f>
        <v>123</v>
      </c>
      <c r="BI70" s="92" t="str">
        <f>$A$35</f>
        <v>Fiscal Accident Year Data Ending</v>
      </c>
      <c r="BJ70" s="98">
        <f>$B$35</f>
        <v>3</v>
      </c>
      <c r="BK70" s="98" t="str">
        <f>$C$35</f>
        <v>15</v>
      </c>
      <c r="BL70" s="98">
        <f>$D$35</f>
        <v>27</v>
      </c>
      <c r="BM70" s="98">
        <f>$E$35</f>
        <v>39</v>
      </c>
      <c r="BN70" s="98">
        <f>$F$35</f>
        <v>51</v>
      </c>
      <c r="BO70" s="98">
        <f>$G$35</f>
        <v>63</v>
      </c>
      <c r="BP70" s="98">
        <f>$H$35</f>
        <v>75</v>
      </c>
      <c r="BQ70" s="98">
        <f>$I$35</f>
        <v>87</v>
      </c>
      <c r="BR70" s="98">
        <f>$J$35</f>
        <v>99</v>
      </c>
      <c r="BS70" s="98">
        <f>$K$35</f>
        <v>111</v>
      </c>
      <c r="BT70" s="98">
        <f>$L$35</f>
        <v>123</v>
      </c>
      <c r="BU70" s="92" t="str">
        <f>$A$35</f>
        <v>Fiscal Accident Year Data Ending</v>
      </c>
      <c r="BV70" s="98">
        <f>$B$35</f>
        <v>3</v>
      </c>
      <c r="BW70" s="98" t="str">
        <f>$C$35</f>
        <v>15</v>
      </c>
      <c r="BX70" s="98">
        <f>$D$35</f>
        <v>27</v>
      </c>
      <c r="BY70" s="98">
        <f>$E$35</f>
        <v>39</v>
      </c>
      <c r="BZ70" s="98">
        <f>$F$35</f>
        <v>51</v>
      </c>
      <c r="CA70" s="98">
        <f>$G$35</f>
        <v>63</v>
      </c>
      <c r="CB70" s="98">
        <f>$H$35</f>
        <v>75</v>
      </c>
      <c r="CC70" s="98">
        <f>$I$35</f>
        <v>87</v>
      </c>
      <c r="CD70" s="98">
        <f>$J$35</f>
        <v>99</v>
      </c>
      <c r="CE70" s="98">
        <f>$K$35</f>
        <v>111</v>
      </c>
      <c r="CF70" s="98">
        <f>$L$35</f>
        <v>123</v>
      </c>
      <c r="CG70" s="92" t="str">
        <f>$A$35</f>
        <v>Fiscal Accident Year Data Ending</v>
      </c>
      <c r="CH70" s="98">
        <f>$B$35</f>
        <v>3</v>
      </c>
      <c r="CI70" s="98" t="str">
        <f>$C$35</f>
        <v>15</v>
      </c>
      <c r="CJ70" s="98">
        <f>$D$35</f>
        <v>27</v>
      </c>
      <c r="CK70" s="98">
        <f>$E$35</f>
        <v>39</v>
      </c>
      <c r="CL70" s="98">
        <f>$F$35</f>
        <v>51</v>
      </c>
      <c r="CM70" s="98">
        <f>$G$35</f>
        <v>63</v>
      </c>
      <c r="CN70" s="98">
        <f>$H$35</f>
        <v>75</v>
      </c>
      <c r="CO70" s="98">
        <f>$I$35</f>
        <v>87</v>
      </c>
      <c r="CP70" s="98">
        <f>$J$35</f>
        <v>99</v>
      </c>
      <c r="CQ70" s="98">
        <f>$K$35</f>
        <v>111</v>
      </c>
      <c r="CR70" s="98">
        <f>$L$35</f>
        <v>123</v>
      </c>
      <c r="CS70" s="92" t="str">
        <f>$A$35</f>
        <v>Fiscal Accident Year Data Ending</v>
      </c>
      <c r="CT70" s="98">
        <f>$B$35</f>
        <v>3</v>
      </c>
      <c r="CU70" s="98" t="str">
        <f>$C$35</f>
        <v>15</v>
      </c>
      <c r="CV70" s="98">
        <f>$D$35</f>
        <v>27</v>
      </c>
      <c r="CW70" s="98">
        <f>$E$35</f>
        <v>39</v>
      </c>
      <c r="CX70" s="98">
        <f>$F$35</f>
        <v>51</v>
      </c>
      <c r="CY70" s="98">
        <f>$G$35</f>
        <v>63</v>
      </c>
      <c r="CZ70" s="98">
        <f>$H$35</f>
        <v>75</v>
      </c>
      <c r="DA70" s="98">
        <f>$I$35</f>
        <v>87</v>
      </c>
      <c r="DB70" s="98">
        <f>$J$35</f>
        <v>99</v>
      </c>
      <c r="DC70" s="98">
        <f>$K$35</f>
        <v>111</v>
      </c>
      <c r="DD70" s="98">
        <f>$L$35</f>
        <v>123</v>
      </c>
      <c r="DE70" s="92" t="str">
        <f>$A$35</f>
        <v>Fiscal Accident Year Data Ending</v>
      </c>
      <c r="DF70" s="98">
        <f>$B$35</f>
        <v>3</v>
      </c>
      <c r="DG70" s="98" t="str">
        <f>$C$35</f>
        <v>15</v>
      </c>
      <c r="DH70" s="98">
        <f>$D$35</f>
        <v>27</v>
      </c>
      <c r="DI70" s="98">
        <f>$E$35</f>
        <v>39</v>
      </c>
      <c r="DJ70" s="98">
        <f>$F$35</f>
        <v>51</v>
      </c>
      <c r="DK70" s="98">
        <f>$G$35</f>
        <v>63</v>
      </c>
      <c r="DL70" s="98">
        <f>$H$35</f>
        <v>75</v>
      </c>
      <c r="DM70" s="98">
        <f>$I$35</f>
        <v>87</v>
      </c>
      <c r="DN70" s="98">
        <f>$J$35</f>
        <v>99</v>
      </c>
      <c r="DO70" s="98">
        <f>$K$35</f>
        <v>111</v>
      </c>
      <c r="DP70" s="98">
        <f>$L$35</f>
        <v>123</v>
      </c>
    </row>
    <row r="71" spans="1:120" ht="15" customHeight="1" x14ac:dyDescent="0.25">
      <c r="A71" s="31">
        <f>$A$36</f>
        <v>20133</v>
      </c>
      <c r="B71" s="21">
        <v>50273017.689999998</v>
      </c>
      <c r="C71" s="21">
        <v>502918821.17000002</v>
      </c>
      <c r="D71" s="21">
        <v>687602082.47000003</v>
      </c>
      <c r="E71" s="21">
        <v>809408555.18000007</v>
      </c>
      <c r="F71" s="21">
        <v>888260042.30999994</v>
      </c>
      <c r="G71" s="21">
        <v>912519443.20000005</v>
      </c>
      <c r="H71" s="21">
        <v>917153933.24000001</v>
      </c>
      <c r="I71" s="21">
        <v>918756083.22000003</v>
      </c>
      <c r="J71" s="21">
        <v>919221810.09000003</v>
      </c>
      <c r="K71" s="21">
        <v>919561907.75</v>
      </c>
      <c r="L71" s="21">
        <v>919830174.80000019</v>
      </c>
      <c r="M71" s="31">
        <f>$A$36</f>
        <v>20133</v>
      </c>
      <c r="N71" s="21">
        <v>2744888.2</v>
      </c>
      <c r="O71" s="21">
        <v>51054148.469999999</v>
      </c>
      <c r="P71" s="21">
        <v>62800547.530000001</v>
      </c>
      <c r="Q71" s="21">
        <v>63162486.519999996</v>
      </c>
      <c r="R71" s="21">
        <v>62959643.240000002</v>
      </c>
      <c r="S71" s="21">
        <v>63140416.229999997</v>
      </c>
      <c r="T71" s="21">
        <v>63112173.419999994</v>
      </c>
      <c r="U71" s="21">
        <v>63114925.109999992</v>
      </c>
      <c r="V71" s="21">
        <v>63141093.179999992</v>
      </c>
      <c r="W71" s="21">
        <v>63136270.449999996</v>
      </c>
      <c r="X71" s="21">
        <v>63134270.549999997</v>
      </c>
      <c r="Y71" s="31">
        <f>$A$36</f>
        <v>20133</v>
      </c>
      <c r="Z71" s="21">
        <v>1197785.21</v>
      </c>
      <c r="AA71" s="21">
        <v>37554085.25</v>
      </c>
      <c r="AB71" s="21">
        <v>79891409.26000002</v>
      </c>
      <c r="AC71" s="21">
        <v>104077240.17000003</v>
      </c>
      <c r="AD71" s="21">
        <v>115413499.86000004</v>
      </c>
      <c r="AE71" s="21">
        <v>119639208.02000004</v>
      </c>
      <c r="AF71" s="21">
        <v>123406850.73000006</v>
      </c>
      <c r="AG71" s="21">
        <v>125111336.57000005</v>
      </c>
      <c r="AH71" s="21">
        <v>125722545.27000007</v>
      </c>
      <c r="AI71" s="21">
        <v>125991101.24000008</v>
      </c>
      <c r="AJ71" s="21">
        <v>126373328.64000006</v>
      </c>
      <c r="AK71" s="31">
        <f>$A$36</f>
        <v>20133</v>
      </c>
      <c r="AL71" s="21">
        <v>28011331.780000001</v>
      </c>
      <c r="AM71" s="21">
        <v>170728770.86000001</v>
      </c>
      <c r="AN71" s="21">
        <v>172862164.75</v>
      </c>
      <c r="AO71" s="21">
        <v>172978808.73999998</v>
      </c>
      <c r="AP71" s="21">
        <v>173009193.26000002</v>
      </c>
      <c r="AQ71" s="21">
        <v>173105212.94000003</v>
      </c>
      <c r="AR71" s="21">
        <v>173122809.70000005</v>
      </c>
      <c r="AS71" s="21">
        <v>173141578.57000002</v>
      </c>
      <c r="AT71" s="21">
        <v>173146835.25000003</v>
      </c>
      <c r="AU71" s="21">
        <v>173142534.83000001</v>
      </c>
      <c r="AV71" s="21">
        <v>173144135.10000005</v>
      </c>
      <c r="AW71" s="31">
        <f>$A$36</f>
        <v>20133</v>
      </c>
      <c r="AX71" s="21">
        <v>138439181.69</v>
      </c>
      <c r="AY71" s="21">
        <v>627117202.0999999</v>
      </c>
      <c r="AZ71" s="21">
        <v>586785805.04999983</v>
      </c>
      <c r="BA71" s="21">
        <v>577820752.92999971</v>
      </c>
      <c r="BB71" s="21">
        <v>575951468.70999968</v>
      </c>
      <c r="BC71" s="21">
        <v>575399439.27999961</v>
      </c>
      <c r="BD71" s="21">
        <v>575120854.94999957</v>
      </c>
      <c r="BE71" s="21">
        <v>574946131.50999951</v>
      </c>
      <c r="BF71" s="21">
        <v>574782505.23999953</v>
      </c>
      <c r="BG71" s="21">
        <v>574664389.09999943</v>
      </c>
      <c r="BH71" s="21">
        <v>574570138.09999979</v>
      </c>
      <c r="BI71" s="31">
        <f>$A$36</f>
        <v>20133</v>
      </c>
      <c r="BJ71" s="21">
        <v>6584352.4100000001</v>
      </c>
      <c r="BK71" s="21">
        <v>39420256.739999995</v>
      </c>
      <c r="BL71" s="21">
        <v>38306631.11999999</v>
      </c>
      <c r="BM71" s="21">
        <v>38080184.859999977</v>
      </c>
      <c r="BN71" s="21">
        <v>38051408.729999974</v>
      </c>
      <c r="BO71" s="21">
        <v>38042316.429999985</v>
      </c>
      <c r="BP71" s="21">
        <v>38034028.719999991</v>
      </c>
      <c r="BQ71" s="21">
        <v>38030480.699999981</v>
      </c>
      <c r="BR71" s="21">
        <v>38029463.86999999</v>
      </c>
      <c r="BS71" s="21">
        <v>38027362.719999984</v>
      </c>
      <c r="BT71" s="21">
        <v>38025515.699999988</v>
      </c>
      <c r="BU71" s="31">
        <f>$A$36</f>
        <v>20133</v>
      </c>
      <c r="BV71" s="21">
        <v>30000</v>
      </c>
      <c r="BW71" s="21">
        <v>190692.95</v>
      </c>
      <c r="BX71" s="21">
        <v>260000</v>
      </c>
      <c r="BY71" s="21">
        <v>260000</v>
      </c>
      <c r="BZ71" s="21">
        <v>260000</v>
      </c>
      <c r="CA71" s="21">
        <v>258250</v>
      </c>
      <c r="CB71" s="21">
        <v>258250</v>
      </c>
      <c r="CC71" s="21">
        <v>258250</v>
      </c>
      <c r="CD71" s="21">
        <v>258250</v>
      </c>
      <c r="CE71" s="21">
        <v>258250</v>
      </c>
      <c r="CF71" s="21">
        <v>258250</v>
      </c>
      <c r="CG71" s="31">
        <f>$A$36</f>
        <v>20133</v>
      </c>
      <c r="CH71" s="21"/>
      <c r="CI71" s="21"/>
      <c r="CJ71" s="21"/>
      <c r="CK71" s="21"/>
      <c r="CL71" s="21"/>
      <c r="CM71" s="21"/>
      <c r="CN71" s="21"/>
      <c r="CO71" s="21"/>
      <c r="CP71" s="21"/>
      <c r="CQ71" s="21"/>
      <c r="CR71" s="21"/>
      <c r="CS71" s="31">
        <f>$A$36</f>
        <v>20133</v>
      </c>
      <c r="CT71" s="21"/>
      <c r="CU71" s="21"/>
      <c r="CV71" s="21"/>
      <c r="CW71" s="21"/>
      <c r="CX71" s="21"/>
      <c r="CY71" s="21"/>
      <c r="CZ71" s="21"/>
      <c r="DA71" s="21"/>
      <c r="DB71" s="21"/>
      <c r="DC71" s="21"/>
      <c r="DD71" s="21"/>
      <c r="DE71" s="31">
        <f>$A$36</f>
        <v>20133</v>
      </c>
      <c r="DF71" s="21"/>
      <c r="DG71" s="21"/>
      <c r="DH71" s="21"/>
      <c r="DI71" s="21"/>
      <c r="DJ71" s="21"/>
      <c r="DK71" s="21"/>
      <c r="DL71" s="21"/>
      <c r="DM71" s="21"/>
      <c r="DN71" s="21"/>
      <c r="DO71" s="21"/>
      <c r="DP71" s="21"/>
    </row>
    <row r="72" spans="1:120" ht="15" customHeight="1" x14ac:dyDescent="0.25">
      <c r="A72" s="31">
        <f>$A$37</f>
        <v>20143</v>
      </c>
      <c r="B72" s="21">
        <v>51515611.170000002</v>
      </c>
      <c r="C72" s="21">
        <v>539443961.63999999</v>
      </c>
      <c r="D72" s="21">
        <v>775690237.79999995</v>
      </c>
      <c r="E72" s="21">
        <v>944972892.43999994</v>
      </c>
      <c r="F72" s="21">
        <v>1016045495.7499999</v>
      </c>
      <c r="G72" s="21">
        <v>1054513967.9400001</v>
      </c>
      <c r="H72" s="21">
        <v>1060658117.9499998</v>
      </c>
      <c r="I72" s="21">
        <v>1061955620.9799998</v>
      </c>
      <c r="J72" s="21">
        <v>1063192173.4699998</v>
      </c>
      <c r="K72" s="21">
        <v>1063769715.3699999</v>
      </c>
      <c r="L72" s="134" t="s">
        <v>246</v>
      </c>
      <c r="M72" s="31">
        <f>$A$37</f>
        <v>20143</v>
      </c>
      <c r="N72" s="21">
        <v>2737220.9699999997</v>
      </c>
      <c r="O72" s="21">
        <v>49588483.400000006</v>
      </c>
      <c r="P72" s="21">
        <v>60749094.979999997</v>
      </c>
      <c r="Q72" s="21">
        <v>61680231.709999993</v>
      </c>
      <c r="R72" s="21">
        <v>62084634.080000006</v>
      </c>
      <c r="S72" s="21">
        <v>62274659.630000003</v>
      </c>
      <c r="T72" s="21">
        <v>62320003.500000007</v>
      </c>
      <c r="U72" s="21">
        <v>62409833.540000014</v>
      </c>
      <c r="V72" s="21">
        <v>62499096.06000001</v>
      </c>
      <c r="W72" s="21">
        <v>62493698.56000001</v>
      </c>
      <c r="X72" s="134" t="s">
        <v>246</v>
      </c>
      <c r="Y72" s="31">
        <f>$A$37</f>
        <v>20143</v>
      </c>
      <c r="Z72" s="21">
        <v>1388588.9</v>
      </c>
      <c r="AA72" s="21">
        <v>40195099.140000001</v>
      </c>
      <c r="AB72" s="21">
        <v>91643375.560000002</v>
      </c>
      <c r="AC72" s="21">
        <v>122332439.41000001</v>
      </c>
      <c r="AD72" s="21">
        <v>133518528.73</v>
      </c>
      <c r="AE72" s="21">
        <v>140133353.82000002</v>
      </c>
      <c r="AF72" s="21">
        <v>143367927.27000001</v>
      </c>
      <c r="AG72" s="21">
        <v>144360665.15000001</v>
      </c>
      <c r="AH72" s="21">
        <v>145210504.59000006</v>
      </c>
      <c r="AI72" s="21">
        <v>145730786.77000013</v>
      </c>
      <c r="AJ72" s="134" t="s">
        <v>246</v>
      </c>
      <c r="AK72" s="31">
        <f>$A$37</f>
        <v>20143</v>
      </c>
      <c r="AL72" s="21">
        <v>29123584.530000001</v>
      </c>
      <c r="AM72" s="21">
        <v>176931822.78999999</v>
      </c>
      <c r="AN72" s="21">
        <v>178904476.44000003</v>
      </c>
      <c r="AO72" s="21">
        <v>178810143.62</v>
      </c>
      <c r="AP72" s="21">
        <v>178899529.94999999</v>
      </c>
      <c r="AQ72" s="21">
        <v>178833734.18999994</v>
      </c>
      <c r="AR72" s="21">
        <v>178900694.87999997</v>
      </c>
      <c r="AS72" s="21">
        <v>178928001.65999997</v>
      </c>
      <c r="AT72" s="21">
        <v>178921238.92999995</v>
      </c>
      <c r="AU72" s="21">
        <v>178919060.06999993</v>
      </c>
      <c r="AV72" s="134" t="s">
        <v>246</v>
      </c>
      <c r="AW72" s="31">
        <f>$A$37</f>
        <v>20143</v>
      </c>
      <c r="AX72" s="21">
        <v>147897741.15000001</v>
      </c>
      <c r="AY72" s="21">
        <v>701733014.0200001</v>
      </c>
      <c r="AZ72" s="21">
        <v>646101991.56000018</v>
      </c>
      <c r="BA72" s="21">
        <v>639823647.81000018</v>
      </c>
      <c r="BB72" s="21">
        <v>638001398.7900002</v>
      </c>
      <c r="BC72" s="21">
        <v>637591108.68000019</v>
      </c>
      <c r="BD72" s="21">
        <v>637450492.57000005</v>
      </c>
      <c r="BE72" s="21">
        <v>637386492.88000011</v>
      </c>
      <c r="BF72" s="21">
        <v>637308747.16000009</v>
      </c>
      <c r="BG72" s="21">
        <v>637271209.29999995</v>
      </c>
      <c r="BH72" s="134" t="s">
        <v>246</v>
      </c>
      <c r="BI72" s="31">
        <f>$A$37</f>
        <v>20143</v>
      </c>
      <c r="BJ72" s="21">
        <v>7584458.9800000004</v>
      </c>
      <c r="BK72" s="21">
        <v>42531940.960000001</v>
      </c>
      <c r="BL72" s="21">
        <v>41133295.500000007</v>
      </c>
      <c r="BM72" s="21">
        <v>41013986.640000001</v>
      </c>
      <c r="BN72" s="21">
        <v>41012644.640000008</v>
      </c>
      <c r="BO72" s="21">
        <v>41014197.500000007</v>
      </c>
      <c r="BP72" s="21">
        <v>41013524.369999997</v>
      </c>
      <c r="BQ72" s="21">
        <v>41012818.149999991</v>
      </c>
      <c r="BR72" s="21">
        <v>41012683.059999987</v>
      </c>
      <c r="BS72" s="21">
        <v>41013183.059999987</v>
      </c>
      <c r="BT72" s="134" t="s">
        <v>246</v>
      </c>
      <c r="BU72" s="31">
        <f>$A$37</f>
        <v>20143</v>
      </c>
      <c r="BV72" s="21">
        <v>30000</v>
      </c>
      <c r="BW72" s="21">
        <v>316251.32</v>
      </c>
      <c r="BX72" s="21">
        <v>344101.32</v>
      </c>
      <c r="BY72" s="21">
        <v>344101.32</v>
      </c>
      <c r="BZ72" s="21">
        <v>366601.32</v>
      </c>
      <c r="CA72" s="21">
        <v>366601.32</v>
      </c>
      <c r="CB72" s="21">
        <v>366601.32</v>
      </c>
      <c r="CC72" s="21">
        <v>366601.32</v>
      </c>
      <c r="CD72" s="21">
        <v>366601.32</v>
      </c>
      <c r="CE72" s="21">
        <v>366601.32</v>
      </c>
      <c r="CF72" s="134" t="s">
        <v>246</v>
      </c>
      <c r="CG72" s="31">
        <f>$A$37</f>
        <v>20143</v>
      </c>
      <c r="CH72" s="21"/>
      <c r="CI72" s="21"/>
      <c r="CJ72" s="21"/>
      <c r="CK72" s="21"/>
      <c r="CL72" s="21"/>
      <c r="CM72" s="21"/>
      <c r="CN72" s="21"/>
      <c r="CO72" s="21"/>
      <c r="CP72" s="21"/>
      <c r="CQ72" s="21"/>
      <c r="CR72" s="134"/>
      <c r="CS72" s="31">
        <f>$A$37</f>
        <v>20143</v>
      </c>
      <c r="CT72" s="21"/>
      <c r="CU72" s="21"/>
      <c r="CV72" s="21"/>
      <c r="CW72" s="21"/>
      <c r="CX72" s="21"/>
      <c r="CY72" s="21"/>
      <c r="CZ72" s="21"/>
      <c r="DA72" s="21"/>
      <c r="DB72" s="21"/>
      <c r="DC72" s="21"/>
      <c r="DD72" s="134"/>
      <c r="DE72" s="31">
        <f>$A$37</f>
        <v>20143</v>
      </c>
      <c r="DF72" s="21"/>
      <c r="DG72" s="21"/>
      <c r="DH72" s="21"/>
      <c r="DI72" s="21"/>
      <c r="DJ72" s="21"/>
      <c r="DK72" s="21"/>
      <c r="DL72" s="21"/>
      <c r="DM72" s="21"/>
      <c r="DN72" s="21"/>
      <c r="DO72" s="21"/>
      <c r="DP72" s="134"/>
    </row>
    <row r="73" spans="1:120" ht="15" customHeight="1" x14ac:dyDescent="0.25">
      <c r="A73" s="31">
        <f>$A$38</f>
        <v>20153</v>
      </c>
      <c r="B73" s="21">
        <v>57299439.32</v>
      </c>
      <c r="C73" s="21">
        <v>647442010.44999993</v>
      </c>
      <c r="D73" s="21">
        <v>907276813.97000003</v>
      </c>
      <c r="E73" s="21">
        <v>1030776692.3700001</v>
      </c>
      <c r="F73" s="21">
        <v>1092794682.3800001</v>
      </c>
      <c r="G73" s="21">
        <v>1126413221.1499996</v>
      </c>
      <c r="H73" s="21">
        <v>1133948764.7599998</v>
      </c>
      <c r="I73" s="21">
        <v>1136666811.5999999</v>
      </c>
      <c r="J73" s="21">
        <v>1139250819.73</v>
      </c>
      <c r="K73" s="134" t="s">
        <v>246</v>
      </c>
      <c r="L73" s="134" t="s">
        <v>246</v>
      </c>
      <c r="M73" s="31">
        <f>$A$38</f>
        <v>20153</v>
      </c>
      <c r="N73" s="21">
        <v>2268400.19</v>
      </c>
      <c r="O73" s="21">
        <v>48511714.850000001</v>
      </c>
      <c r="P73" s="21">
        <v>60819658.370000012</v>
      </c>
      <c r="Q73" s="21">
        <v>62263398.680000007</v>
      </c>
      <c r="R73" s="21">
        <v>62821543.220000006</v>
      </c>
      <c r="S73" s="21">
        <v>62921852.030000009</v>
      </c>
      <c r="T73" s="21">
        <v>62917725.980000012</v>
      </c>
      <c r="U73" s="21">
        <v>62954793.850000009</v>
      </c>
      <c r="V73" s="21">
        <v>62956819.720000006</v>
      </c>
      <c r="W73" s="134" t="s">
        <v>246</v>
      </c>
      <c r="X73" s="134" t="s">
        <v>246</v>
      </c>
      <c r="Y73" s="31">
        <f>$A$38</f>
        <v>20153</v>
      </c>
      <c r="Z73" s="21">
        <v>1081831.7799999998</v>
      </c>
      <c r="AA73" s="21">
        <v>47369964.639999993</v>
      </c>
      <c r="AB73" s="21">
        <v>107854329.37999998</v>
      </c>
      <c r="AC73" s="21">
        <v>141528033.68999997</v>
      </c>
      <c r="AD73" s="21">
        <v>154598977.64999995</v>
      </c>
      <c r="AE73" s="21">
        <v>161688840.68999991</v>
      </c>
      <c r="AF73" s="21">
        <v>165077115.2299999</v>
      </c>
      <c r="AG73" s="21">
        <v>166915358.47999987</v>
      </c>
      <c r="AH73" s="21">
        <v>167699295.36999989</v>
      </c>
      <c r="AI73" s="134" t="s">
        <v>246</v>
      </c>
      <c r="AJ73" s="134" t="s">
        <v>246</v>
      </c>
      <c r="AK73" s="31">
        <f>$A$38</f>
        <v>20153</v>
      </c>
      <c r="AL73" s="21">
        <v>28190384.439999998</v>
      </c>
      <c r="AM73" s="21">
        <v>189907741.97000003</v>
      </c>
      <c r="AN73" s="21">
        <v>192958453.49999997</v>
      </c>
      <c r="AO73" s="21">
        <v>193256573.21999997</v>
      </c>
      <c r="AP73" s="21">
        <v>193286755.56999996</v>
      </c>
      <c r="AQ73" s="21">
        <v>193331485.00999999</v>
      </c>
      <c r="AR73" s="21">
        <v>193351863.29999995</v>
      </c>
      <c r="AS73" s="21">
        <v>193363792.32999995</v>
      </c>
      <c r="AT73" s="21">
        <v>193372315.54999995</v>
      </c>
      <c r="AU73" s="134" t="s">
        <v>246</v>
      </c>
      <c r="AV73" s="134" t="s">
        <v>246</v>
      </c>
      <c r="AW73" s="31">
        <f>$A$38</f>
        <v>20153</v>
      </c>
      <c r="AX73" s="21">
        <v>155098193.24000001</v>
      </c>
      <c r="AY73" s="21">
        <v>791650724.98000014</v>
      </c>
      <c r="AZ73" s="21">
        <v>738865153.59000027</v>
      </c>
      <c r="BA73" s="21">
        <v>732757715.27000034</v>
      </c>
      <c r="BB73" s="21">
        <v>730878267.32000053</v>
      </c>
      <c r="BC73" s="21">
        <v>730447632.90000069</v>
      </c>
      <c r="BD73" s="21">
        <v>730313562.5600009</v>
      </c>
      <c r="BE73" s="21">
        <v>730249488.0400008</v>
      </c>
      <c r="BF73" s="21">
        <v>730191621.26000082</v>
      </c>
      <c r="BG73" s="134" t="s">
        <v>246</v>
      </c>
      <c r="BH73" s="134" t="s">
        <v>246</v>
      </c>
      <c r="BI73" s="31">
        <f>$A$38</f>
        <v>20153</v>
      </c>
      <c r="BJ73" s="21">
        <v>7907677.5899999999</v>
      </c>
      <c r="BK73" s="21">
        <v>45552970.459999993</v>
      </c>
      <c r="BL73" s="21">
        <v>44610710.36999999</v>
      </c>
      <c r="BM73" s="21">
        <v>44541979.999999978</v>
      </c>
      <c r="BN73" s="21">
        <v>44532286.069999978</v>
      </c>
      <c r="BO73" s="21">
        <v>44531470.00999999</v>
      </c>
      <c r="BP73" s="21">
        <v>44531757.089999996</v>
      </c>
      <c r="BQ73" s="21">
        <v>44531169.350000001</v>
      </c>
      <c r="BR73" s="21">
        <v>44532088.349999994</v>
      </c>
      <c r="BS73" s="134" t="s">
        <v>246</v>
      </c>
      <c r="BT73" s="134" t="s">
        <v>246</v>
      </c>
      <c r="BU73" s="31">
        <f>$A$38</f>
        <v>20153</v>
      </c>
      <c r="BV73" s="21">
        <v>52000</v>
      </c>
      <c r="BW73" s="21">
        <v>448957.58999999997</v>
      </c>
      <c r="BX73" s="21">
        <v>501471.43</v>
      </c>
      <c r="BY73" s="21">
        <v>501471.43</v>
      </c>
      <c r="BZ73" s="21">
        <v>501471.43</v>
      </c>
      <c r="CA73" s="21">
        <v>501471.43</v>
      </c>
      <c r="CB73" s="21">
        <v>501471.43</v>
      </c>
      <c r="CC73" s="21">
        <v>501471.43</v>
      </c>
      <c r="CD73" s="21">
        <v>501471.43</v>
      </c>
      <c r="CE73" s="134" t="s">
        <v>246</v>
      </c>
      <c r="CF73" s="134" t="s">
        <v>246</v>
      </c>
      <c r="CG73" s="31">
        <f>$A$38</f>
        <v>20153</v>
      </c>
      <c r="CH73" s="21"/>
      <c r="CI73" s="21"/>
      <c r="CJ73" s="21"/>
      <c r="CK73" s="21"/>
      <c r="CL73" s="21"/>
      <c r="CM73" s="21"/>
      <c r="CN73" s="21"/>
      <c r="CO73" s="21"/>
      <c r="CP73" s="21"/>
      <c r="CQ73" s="134"/>
      <c r="CR73" s="134"/>
      <c r="CS73" s="31">
        <f>$A$38</f>
        <v>20153</v>
      </c>
      <c r="CT73" s="21"/>
      <c r="CU73" s="21"/>
      <c r="CV73" s="21"/>
      <c r="CW73" s="21"/>
      <c r="CX73" s="21"/>
      <c r="CY73" s="21"/>
      <c r="CZ73" s="21"/>
      <c r="DA73" s="21"/>
      <c r="DB73" s="21"/>
      <c r="DC73" s="134"/>
      <c r="DD73" s="134"/>
      <c r="DE73" s="31">
        <f>$A$38</f>
        <v>20153</v>
      </c>
      <c r="DF73" s="21"/>
      <c r="DG73" s="21"/>
      <c r="DH73" s="21"/>
      <c r="DI73" s="21"/>
      <c r="DJ73" s="21"/>
      <c r="DK73" s="21"/>
      <c r="DL73" s="21"/>
      <c r="DM73" s="21"/>
      <c r="DN73" s="21"/>
      <c r="DO73" s="134"/>
      <c r="DP73" s="134"/>
    </row>
    <row r="74" spans="1:120" ht="15" customHeight="1" x14ac:dyDescent="0.25">
      <c r="A74" s="31">
        <f>$A$39</f>
        <v>20163</v>
      </c>
      <c r="B74" s="21">
        <v>60518785.129999995</v>
      </c>
      <c r="C74" s="21">
        <v>714819640.9799999</v>
      </c>
      <c r="D74" s="21">
        <v>1027335379.4699999</v>
      </c>
      <c r="E74" s="21">
        <v>1148788482.8599999</v>
      </c>
      <c r="F74" s="21">
        <v>1231170296.4499998</v>
      </c>
      <c r="G74" s="21">
        <v>1263063762.4900002</v>
      </c>
      <c r="H74" s="21">
        <v>1274953120.02</v>
      </c>
      <c r="I74" s="21">
        <v>1284087856.0799999</v>
      </c>
      <c r="J74" s="134" t="s">
        <v>246</v>
      </c>
      <c r="K74" s="134" t="s">
        <v>246</v>
      </c>
      <c r="L74" s="134" t="s">
        <v>246</v>
      </c>
      <c r="M74" s="31">
        <f>$A$39</f>
        <v>20163</v>
      </c>
      <c r="N74" s="21">
        <v>2486545.6799999997</v>
      </c>
      <c r="O74" s="21">
        <v>48623013.410000004</v>
      </c>
      <c r="P74" s="21">
        <v>62712786.560000002</v>
      </c>
      <c r="Q74" s="21">
        <v>64191115.219999991</v>
      </c>
      <c r="R74" s="21">
        <v>64510426.509999998</v>
      </c>
      <c r="S74" s="21">
        <v>64567180.699999988</v>
      </c>
      <c r="T74" s="21">
        <v>64674664.079999983</v>
      </c>
      <c r="U74" s="21">
        <v>64715680.679999977</v>
      </c>
      <c r="V74" s="134" t="s">
        <v>246</v>
      </c>
      <c r="W74" s="134" t="s">
        <v>246</v>
      </c>
      <c r="X74" s="134" t="s">
        <v>246</v>
      </c>
      <c r="Y74" s="31">
        <f>$A$39</f>
        <v>20163</v>
      </c>
      <c r="Z74" s="21">
        <v>1449092.68</v>
      </c>
      <c r="AA74" s="21">
        <v>57471350.920000002</v>
      </c>
      <c r="AB74" s="21">
        <v>123574135.55000003</v>
      </c>
      <c r="AC74" s="21">
        <v>156139695.88000003</v>
      </c>
      <c r="AD74" s="21">
        <v>167433954.43000001</v>
      </c>
      <c r="AE74" s="21">
        <v>173543871.48999998</v>
      </c>
      <c r="AF74" s="21">
        <v>177414729.64000002</v>
      </c>
      <c r="AG74" s="21">
        <v>179906765.97000006</v>
      </c>
      <c r="AH74" s="134" t="s">
        <v>246</v>
      </c>
      <c r="AI74" s="134" t="s">
        <v>246</v>
      </c>
      <c r="AJ74" s="134" t="s">
        <v>246</v>
      </c>
      <c r="AK74" s="31">
        <f>$A$39</f>
        <v>20163</v>
      </c>
      <c r="AL74" s="21">
        <v>31238220.379999999</v>
      </c>
      <c r="AM74" s="21">
        <v>203628418.36000001</v>
      </c>
      <c r="AN74" s="21">
        <v>207149054.61000004</v>
      </c>
      <c r="AO74" s="21">
        <v>207378982.81</v>
      </c>
      <c r="AP74" s="21">
        <v>207360331.64000002</v>
      </c>
      <c r="AQ74" s="21">
        <v>207304137.31000003</v>
      </c>
      <c r="AR74" s="21">
        <v>207351620.16000006</v>
      </c>
      <c r="AS74" s="21">
        <v>207363118.98000005</v>
      </c>
      <c r="AT74" s="134" t="s">
        <v>246</v>
      </c>
      <c r="AU74" s="134" t="s">
        <v>246</v>
      </c>
      <c r="AV74" s="134" t="s">
        <v>246</v>
      </c>
      <c r="AW74" s="31">
        <f>$A$39</f>
        <v>20163</v>
      </c>
      <c r="AX74" s="21">
        <v>166872982.37</v>
      </c>
      <c r="AY74" s="21">
        <v>879782258.88999987</v>
      </c>
      <c r="AZ74" s="21">
        <v>821477456.27999985</v>
      </c>
      <c r="BA74" s="21">
        <v>814746517.95999968</v>
      </c>
      <c r="BB74" s="21">
        <v>812639296.26999986</v>
      </c>
      <c r="BC74" s="21">
        <v>811934086.18999982</v>
      </c>
      <c r="BD74" s="21">
        <v>811764957.29999995</v>
      </c>
      <c r="BE74" s="21">
        <v>811646320.79999983</v>
      </c>
      <c r="BF74" s="134" t="s">
        <v>246</v>
      </c>
      <c r="BG74" s="134" t="s">
        <v>246</v>
      </c>
      <c r="BH74" s="134" t="s">
        <v>246</v>
      </c>
      <c r="BI74" s="31">
        <f>$A$39</f>
        <v>20163</v>
      </c>
      <c r="BJ74" s="21">
        <v>8420715.4600000009</v>
      </c>
      <c r="BK74" s="21">
        <v>50478805.349999994</v>
      </c>
      <c r="BL74" s="21">
        <v>49517039.859999985</v>
      </c>
      <c r="BM74" s="21">
        <v>49443325.789999992</v>
      </c>
      <c r="BN74" s="21">
        <v>49437466.409999989</v>
      </c>
      <c r="BO74" s="21">
        <v>49437345.399999991</v>
      </c>
      <c r="BP74" s="21">
        <v>49437572.00999999</v>
      </c>
      <c r="BQ74" s="21">
        <v>49438063.099999987</v>
      </c>
      <c r="BR74" s="134" t="s">
        <v>246</v>
      </c>
      <c r="BS74" s="134" t="s">
        <v>246</v>
      </c>
      <c r="BT74" s="134" t="s">
        <v>246</v>
      </c>
      <c r="BU74" s="31">
        <f>$A$39</f>
        <v>20163</v>
      </c>
      <c r="BV74" s="21">
        <v>5850</v>
      </c>
      <c r="BW74" s="21">
        <v>204700</v>
      </c>
      <c r="BX74" s="21">
        <v>239100</v>
      </c>
      <c r="BY74" s="21">
        <v>259100</v>
      </c>
      <c r="BZ74" s="21">
        <v>267100</v>
      </c>
      <c r="CA74" s="21">
        <v>275600</v>
      </c>
      <c r="CB74" s="21">
        <v>275600</v>
      </c>
      <c r="CC74" s="21">
        <v>275600</v>
      </c>
      <c r="CD74" s="134" t="s">
        <v>246</v>
      </c>
      <c r="CE74" s="134" t="s">
        <v>246</v>
      </c>
      <c r="CF74" s="134" t="s">
        <v>246</v>
      </c>
      <c r="CG74" s="31">
        <f>$A$39</f>
        <v>20163</v>
      </c>
      <c r="CH74" s="21"/>
      <c r="CI74" s="21"/>
      <c r="CJ74" s="21"/>
      <c r="CK74" s="21"/>
      <c r="CL74" s="21"/>
      <c r="CM74" s="21"/>
      <c r="CN74" s="21"/>
      <c r="CO74" s="21"/>
      <c r="CP74" s="134"/>
      <c r="CQ74" s="134"/>
      <c r="CR74" s="134"/>
      <c r="CS74" s="31">
        <f>$A$39</f>
        <v>20163</v>
      </c>
      <c r="CT74" s="21"/>
      <c r="CU74" s="21"/>
      <c r="CV74" s="21"/>
      <c r="CW74" s="21"/>
      <c r="CX74" s="21"/>
      <c r="CY74" s="21"/>
      <c r="CZ74" s="21"/>
      <c r="DA74" s="21"/>
      <c r="DB74" s="134"/>
      <c r="DC74" s="134"/>
      <c r="DD74" s="134"/>
      <c r="DE74" s="31">
        <f>$A$39</f>
        <v>20163</v>
      </c>
      <c r="DF74" s="21"/>
      <c r="DG74" s="21"/>
      <c r="DH74" s="21"/>
      <c r="DI74" s="21"/>
      <c r="DJ74" s="21"/>
      <c r="DK74" s="21"/>
      <c r="DL74" s="21"/>
      <c r="DM74" s="21"/>
      <c r="DN74" s="134"/>
      <c r="DO74" s="134"/>
      <c r="DP74" s="134"/>
    </row>
    <row r="75" spans="1:120" ht="15" customHeight="1" x14ac:dyDescent="0.25">
      <c r="A75" s="31">
        <f>$A$40</f>
        <v>20173</v>
      </c>
      <c r="B75" s="21">
        <v>65679412.280000001</v>
      </c>
      <c r="C75" s="21">
        <v>719476301.69999993</v>
      </c>
      <c r="D75" s="21">
        <v>973484558.66000021</v>
      </c>
      <c r="E75" s="21">
        <v>1127456503.2800002</v>
      </c>
      <c r="F75" s="21">
        <v>1186382684.9200003</v>
      </c>
      <c r="G75" s="21">
        <v>1228943443.0100002</v>
      </c>
      <c r="H75" s="21">
        <v>1272914869.8</v>
      </c>
      <c r="I75" s="134" t="s">
        <v>246</v>
      </c>
      <c r="J75" s="134" t="s">
        <v>246</v>
      </c>
      <c r="K75" s="134" t="s">
        <v>246</v>
      </c>
      <c r="L75" s="134" t="s">
        <v>246</v>
      </c>
      <c r="M75" s="31">
        <f>$A$40</f>
        <v>20173</v>
      </c>
      <c r="N75" s="21">
        <v>3144184.7</v>
      </c>
      <c r="O75" s="21">
        <v>51871622.219999991</v>
      </c>
      <c r="P75" s="21">
        <v>67350643.049999982</v>
      </c>
      <c r="Q75" s="21">
        <v>69989715.539999992</v>
      </c>
      <c r="R75" s="21">
        <v>70375138.379999995</v>
      </c>
      <c r="S75" s="21">
        <v>70503112.969999984</v>
      </c>
      <c r="T75" s="21">
        <v>70522465.079999983</v>
      </c>
      <c r="U75" s="134" t="s">
        <v>246</v>
      </c>
      <c r="V75" s="134" t="s">
        <v>246</v>
      </c>
      <c r="W75" s="134" t="s">
        <v>246</v>
      </c>
      <c r="X75" s="134" t="s">
        <v>246</v>
      </c>
      <c r="Y75" s="31">
        <f>$A$40</f>
        <v>20173</v>
      </c>
      <c r="Z75" s="21">
        <v>1933011.37</v>
      </c>
      <c r="AA75" s="21">
        <v>65540185.959999993</v>
      </c>
      <c r="AB75" s="21">
        <v>140198573.25999999</v>
      </c>
      <c r="AC75" s="21">
        <v>175608024.88999996</v>
      </c>
      <c r="AD75" s="21">
        <v>189834207.35999995</v>
      </c>
      <c r="AE75" s="21">
        <v>197221802.31999996</v>
      </c>
      <c r="AF75" s="21">
        <v>202386109.48999995</v>
      </c>
      <c r="AG75" s="134" t="s">
        <v>246</v>
      </c>
      <c r="AH75" s="134" t="s">
        <v>246</v>
      </c>
      <c r="AI75" s="134" t="s">
        <v>246</v>
      </c>
      <c r="AJ75" s="134" t="s">
        <v>246</v>
      </c>
      <c r="AK75" s="31">
        <f>$A$40</f>
        <v>20173</v>
      </c>
      <c r="AL75" s="21">
        <v>31912760.560000002</v>
      </c>
      <c r="AM75" s="21">
        <v>220650317.11000001</v>
      </c>
      <c r="AN75" s="21">
        <v>224443619.40000001</v>
      </c>
      <c r="AO75" s="21">
        <v>224983137.06999996</v>
      </c>
      <c r="AP75" s="21">
        <v>225201522.58999997</v>
      </c>
      <c r="AQ75" s="21">
        <v>225336749.64999992</v>
      </c>
      <c r="AR75" s="21">
        <v>225355651.83999991</v>
      </c>
      <c r="AS75" s="134" t="s">
        <v>246</v>
      </c>
      <c r="AT75" s="134" t="s">
        <v>246</v>
      </c>
      <c r="AU75" s="134" t="s">
        <v>246</v>
      </c>
      <c r="AV75" s="134" t="s">
        <v>246</v>
      </c>
      <c r="AW75" s="31">
        <f>$A$40</f>
        <v>20173</v>
      </c>
      <c r="AX75" s="21">
        <v>183325735.92000002</v>
      </c>
      <c r="AY75" s="21">
        <v>909067618.68999994</v>
      </c>
      <c r="AZ75" s="21">
        <v>859230503.31000006</v>
      </c>
      <c r="BA75" s="21">
        <v>853037852.95000017</v>
      </c>
      <c r="BB75" s="21">
        <v>851213108.6400001</v>
      </c>
      <c r="BC75" s="21">
        <v>850478470.67999983</v>
      </c>
      <c r="BD75" s="21">
        <v>850217262.41000009</v>
      </c>
      <c r="BE75" s="134" t="s">
        <v>246</v>
      </c>
      <c r="BF75" s="134" t="s">
        <v>246</v>
      </c>
      <c r="BG75" s="134" t="s">
        <v>246</v>
      </c>
      <c r="BH75" s="134" t="s">
        <v>246</v>
      </c>
      <c r="BI75" s="31">
        <f>$A$40</f>
        <v>20173</v>
      </c>
      <c r="BJ75" s="21">
        <v>8794042.5599999987</v>
      </c>
      <c r="BK75" s="21">
        <v>54890902.699999996</v>
      </c>
      <c r="BL75" s="21">
        <v>53916221.889999986</v>
      </c>
      <c r="BM75" s="21">
        <v>53884980.399999991</v>
      </c>
      <c r="BN75" s="21">
        <v>53892332.949999988</v>
      </c>
      <c r="BO75" s="21">
        <v>53900044.519999988</v>
      </c>
      <c r="BP75" s="21">
        <v>53900132.629999988</v>
      </c>
      <c r="BQ75" s="134" t="s">
        <v>246</v>
      </c>
      <c r="BR75" s="134" t="s">
        <v>246</v>
      </c>
      <c r="BS75" s="134" t="s">
        <v>246</v>
      </c>
      <c r="BT75" s="134" t="s">
        <v>246</v>
      </c>
      <c r="BU75" s="31">
        <f>$A$40</f>
        <v>20173</v>
      </c>
      <c r="BV75" s="21">
        <v>41850</v>
      </c>
      <c r="BW75" s="21">
        <v>328700</v>
      </c>
      <c r="BX75" s="21">
        <v>378950</v>
      </c>
      <c r="BY75" s="21">
        <v>379934.12</v>
      </c>
      <c r="BZ75" s="21">
        <v>379934.12</v>
      </c>
      <c r="CA75" s="21">
        <v>379934.12</v>
      </c>
      <c r="CB75" s="21">
        <v>379934.12</v>
      </c>
      <c r="CC75" s="134" t="s">
        <v>246</v>
      </c>
      <c r="CD75" s="134" t="s">
        <v>246</v>
      </c>
      <c r="CE75" s="134" t="s">
        <v>246</v>
      </c>
      <c r="CF75" s="134" t="s">
        <v>246</v>
      </c>
      <c r="CG75" s="31">
        <f>$A$40</f>
        <v>20173</v>
      </c>
      <c r="CH75" s="21"/>
      <c r="CI75" s="21"/>
      <c r="CJ75" s="21"/>
      <c r="CK75" s="21"/>
      <c r="CL75" s="21"/>
      <c r="CM75" s="21"/>
      <c r="CN75" s="21"/>
      <c r="CO75" s="134"/>
      <c r="CP75" s="134"/>
      <c r="CQ75" s="134"/>
      <c r="CR75" s="134"/>
      <c r="CS75" s="31">
        <f>$A$40</f>
        <v>20173</v>
      </c>
      <c r="CT75" s="21"/>
      <c r="CU75" s="21"/>
      <c r="CV75" s="21"/>
      <c r="CW75" s="21"/>
      <c r="CX75" s="21"/>
      <c r="CY75" s="21"/>
      <c r="CZ75" s="21"/>
      <c r="DA75" s="134"/>
      <c r="DB75" s="134"/>
      <c r="DC75" s="134"/>
      <c r="DD75" s="134"/>
      <c r="DE75" s="31">
        <f>$A$40</f>
        <v>20173</v>
      </c>
      <c r="DF75" s="21"/>
      <c r="DG75" s="21"/>
      <c r="DH75" s="21"/>
      <c r="DI75" s="21"/>
      <c r="DJ75" s="21"/>
      <c r="DK75" s="21"/>
      <c r="DL75" s="21"/>
      <c r="DM75" s="134"/>
      <c r="DN75" s="134"/>
      <c r="DO75" s="134"/>
      <c r="DP75" s="134"/>
    </row>
    <row r="76" spans="1:120" ht="15" customHeight="1" x14ac:dyDescent="0.25">
      <c r="A76" s="31">
        <f>$A$41</f>
        <v>20183</v>
      </c>
      <c r="B76" s="21">
        <v>66096895.730000004</v>
      </c>
      <c r="C76" s="21">
        <v>677514379.18000007</v>
      </c>
      <c r="D76" s="21">
        <v>934021111.09000015</v>
      </c>
      <c r="E76" s="21">
        <v>1050420102.1300001</v>
      </c>
      <c r="F76" s="21">
        <v>1126445412.0800002</v>
      </c>
      <c r="G76" s="21">
        <v>1185833491.3900003</v>
      </c>
      <c r="H76" s="134" t="s">
        <v>246</v>
      </c>
      <c r="I76" s="134" t="s">
        <v>246</v>
      </c>
      <c r="J76" s="134" t="s">
        <v>246</v>
      </c>
      <c r="K76" s="134" t="s">
        <v>246</v>
      </c>
      <c r="L76" s="134" t="s">
        <v>246</v>
      </c>
      <c r="M76" s="31">
        <f>$A$41</f>
        <v>20183</v>
      </c>
      <c r="N76" s="21">
        <v>2390176.0300000003</v>
      </c>
      <c r="O76" s="21">
        <v>49817896.249999993</v>
      </c>
      <c r="P76" s="21">
        <v>67378497.579999998</v>
      </c>
      <c r="Q76" s="21">
        <v>70247788.779999986</v>
      </c>
      <c r="R76" s="21">
        <v>70908673.969999954</v>
      </c>
      <c r="S76" s="21">
        <v>71072760.229999959</v>
      </c>
      <c r="T76" s="134" t="s">
        <v>246</v>
      </c>
      <c r="U76" s="134" t="s">
        <v>246</v>
      </c>
      <c r="V76" s="134" t="s">
        <v>246</v>
      </c>
      <c r="W76" s="134" t="s">
        <v>246</v>
      </c>
      <c r="X76" s="134" t="s">
        <v>246</v>
      </c>
      <c r="Y76" s="31">
        <f>$A$41</f>
        <v>20183</v>
      </c>
      <c r="Z76" s="21">
        <v>1844460.41</v>
      </c>
      <c r="AA76" s="21">
        <v>67193584.909999996</v>
      </c>
      <c r="AB76" s="21">
        <v>140946753.97999999</v>
      </c>
      <c r="AC76" s="21">
        <v>173916531.66</v>
      </c>
      <c r="AD76" s="21">
        <v>189502419.93000001</v>
      </c>
      <c r="AE76" s="21">
        <v>198862810.66</v>
      </c>
      <c r="AF76" s="134" t="s">
        <v>246</v>
      </c>
      <c r="AG76" s="134" t="s">
        <v>246</v>
      </c>
      <c r="AH76" s="134" t="s">
        <v>246</v>
      </c>
      <c r="AI76" s="134" t="s">
        <v>246</v>
      </c>
      <c r="AJ76" s="134" t="s">
        <v>246</v>
      </c>
      <c r="AK76" s="31">
        <f>$A$41</f>
        <v>20183</v>
      </c>
      <c r="AL76" s="21">
        <v>35819137.049999997</v>
      </c>
      <c r="AM76" s="21">
        <v>214304648.19</v>
      </c>
      <c r="AN76" s="21">
        <v>217900885.59</v>
      </c>
      <c r="AO76" s="21">
        <v>217872977.93000004</v>
      </c>
      <c r="AP76" s="21">
        <v>217860879.17000002</v>
      </c>
      <c r="AQ76" s="21">
        <v>217842983.05000001</v>
      </c>
      <c r="AR76" s="134" t="s">
        <v>246</v>
      </c>
      <c r="AS76" s="134" t="s">
        <v>246</v>
      </c>
      <c r="AT76" s="134" t="s">
        <v>246</v>
      </c>
      <c r="AU76" s="134" t="s">
        <v>246</v>
      </c>
      <c r="AV76" s="134" t="s">
        <v>246</v>
      </c>
      <c r="AW76" s="31">
        <f>$A$41</f>
        <v>20183</v>
      </c>
      <c r="AX76" s="21">
        <v>199654250.45999998</v>
      </c>
      <c r="AY76" s="21">
        <v>884059488.73000002</v>
      </c>
      <c r="AZ76" s="21">
        <v>843177274.68000007</v>
      </c>
      <c r="BA76" s="21">
        <v>837491326.88000023</v>
      </c>
      <c r="BB76" s="21">
        <v>835162464.09000015</v>
      </c>
      <c r="BC76" s="21">
        <v>834478362.96000004</v>
      </c>
      <c r="BD76" s="134" t="s">
        <v>246</v>
      </c>
      <c r="BE76" s="134" t="s">
        <v>246</v>
      </c>
      <c r="BF76" s="134" t="s">
        <v>246</v>
      </c>
      <c r="BG76" s="134" t="s">
        <v>246</v>
      </c>
      <c r="BH76" s="134" t="s">
        <v>246</v>
      </c>
      <c r="BI76" s="31">
        <f>$A$41</f>
        <v>20183</v>
      </c>
      <c r="BJ76" s="21">
        <v>9703825.7599999998</v>
      </c>
      <c r="BK76" s="21">
        <v>51659085.829999991</v>
      </c>
      <c r="BL76" s="21">
        <v>51129881.909999989</v>
      </c>
      <c r="BM76" s="21">
        <v>51116418.129999988</v>
      </c>
      <c r="BN76" s="21">
        <v>51135228.039999999</v>
      </c>
      <c r="BO76" s="21">
        <v>51141404.509999998</v>
      </c>
      <c r="BP76" s="134" t="s">
        <v>246</v>
      </c>
      <c r="BQ76" s="134" t="s">
        <v>246</v>
      </c>
      <c r="BR76" s="134" t="s">
        <v>246</v>
      </c>
      <c r="BS76" s="134" t="s">
        <v>246</v>
      </c>
      <c r="BT76" s="134" t="s">
        <v>246</v>
      </c>
      <c r="BU76" s="31">
        <f>$A$41</f>
        <v>20183</v>
      </c>
      <c r="BV76" s="21">
        <v>35500</v>
      </c>
      <c r="BW76" s="21">
        <v>387773.42</v>
      </c>
      <c r="BX76" s="21">
        <v>509921.42</v>
      </c>
      <c r="BY76" s="21">
        <v>524921.41999999993</v>
      </c>
      <c r="BZ76" s="21">
        <v>531671.41999999993</v>
      </c>
      <c r="CA76" s="21">
        <v>531671.41999999993</v>
      </c>
      <c r="CB76" s="134" t="s">
        <v>246</v>
      </c>
      <c r="CC76" s="134" t="s">
        <v>246</v>
      </c>
      <c r="CD76" s="134" t="s">
        <v>246</v>
      </c>
      <c r="CE76" s="134" t="s">
        <v>246</v>
      </c>
      <c r="CF76" s="134" t="s">
        <v>246</v>
      </c>
      <c r="CG76" s="31">
        <f>$A$41</f>
        <v>20183</v>
      </c>
      <c r="CH76" s="21"/>
      <c r="CI76" s="21"/>
      <c r="CJ76" s="21"/>
      <c r="CK76" s="21"/>
      <c r="CL76" s="21"/>
      <c r="CM76" s="21"/>
      <c r="CN76" s="134"/>
      <c r="CO76" s="134"/>
      <c r="CP76" s="134"/>
      <c r="CQ76" s="134"/>
      <c r="CR76" s="134"/>
      <c r="CS76" s="31">
        <f>$A$41</f>
        <v>20183</v>
      </c>
      <c r="CT76" s="21"/>
      <c r="CU76" s="21"/>
      <c r="CV76" s="21"/>
      <c r="CW76" s="21"/>
      <c r="CX76" s="21"/>
      <c r="CY76" s="21"/>
      <c r="CZ76" s="134"/>
      <c r="DA76" s="134"/>
      <c r="DB76" s="134"/>
      <c r="DC76" s="134"/>
      <c r="DD76" s="134"/>
      <c r="DE76" s="31">
        <f>$A$41</f>
        <v>20183</v>
      </c>
      <c r="DF76" s="21"/>
      <c r="DG76" s="21"/>
      <c r="DH76" s="21"/>
      <c r="DI76" s="21"/>
      <c r="DJ76" s="21"/>
      <c r="DK76" s="21"/>
      <c r="DL76" s="134"/>
      <c r="DM76" s="134"/>
      <c r="DN76" s="134"/>
      <c r="DO76" s="134"/>
      <c r="DP76" s="134"/>
    </row>
    <row r="77" spans="1:120" ht="15" customHeight="1" x14ac:dyDescent="0.25">
      <c r="A77" s="31">
        <f>$A$42</f>
        <v>20193</v>
      </c>
      <c r="B77" s="21">
        <v>59447489.450000003</v>
      </c>
      <c r="C77" s="21">
        <v>633953790.17000008</v>
      </c>
      <c r="D77" s="21">
        <v>871428000.97000015</v>
      </c>
      <c r="E77" s="21">
        <v>981710077.08000016</v>
      </c>
      <c r="F77" s="21">
        <v>1075618375.0300002</v>
      </c>
      <c r="G77" s="134" t="s">
        <v>246</v>
      </c>
      <c r="H77" s="134" t="s">
        <v>246</v>
      </c>
      <c r="I77" s="134" t="s">
        <v>246</v>
      </c>
      <c r="J77" s="134" t="s">
        <v>246</v>
      </c>
      <c r="K77" s="134" t="s">
        <v>246</v>
      </c>
      <c r="L77" s="134" t="s">
        <v>246</v>
      </c>
      <c r="M77" s="31">
        <f>$A$42</f>
        <v>20193</v>
      </c>
      <c r="N77" s="21">
        <v>2583009.1800000002</v>
      </c>
      <c r="O77" s="21">
        <v>48720673.920000002</v>
      </c>
      <c r="P77" s="21">
        <v>66197066.789999999</v>
      </c>
      <c r="Q77" s="21">
        <v>69696407.37999998</v>
      </c>
      <c r="R77" s="21">
        <v>70570567.789999992</v>
      </c>
      <c r="S77" s="134" t="s">
        <v>246</v>
      </c>
      <c r="T77" s="134" t="s">
        <v>246</v>
      </c>
      <c r="U77" s="134" t="s">
        <v>246</v>
      </c>
      <c r="V77" s="134" t="s">
        <v>246</v>
      </c>
      <c r="W77" s="134" t="s">
        <v>246</v>
      </c>
      <c r="X77" s="134" t="s">
        <v>246</v>
      </c>
      <c r="Y77" s="31">
        <f>$A$42</f>
        <v>20193</v>
      </c>
      <c r="Z77" s="21">
        <v>1568934.34</v>
      </c>
      <c r="AA77" s="21">
        <v>62354203.860000007</v>
      </c>
      <c r="AB77" s="21">
        <v>128457374.28000002</v>
      </c>
      <c r="AC77" s="21">
        <v>165619470.82000005</v>
      </c>
      <c r="AD77" s="21">
        <v>186049564.78000006</v>
      </c>
      <c r="AE77" s="134" t="s">
        <v>246</v>
      </c>
      <c r="AF77" s="134" t="s">
        <v>246</v>
      </c>
      <c r="AG77" s="134" t="s">
        <v>246</v>
      </c>
      <c r="AH77" s="134" t="s">
        <v>246</v>
      </c>
      <c r="AI77" s="134" t="s">
        <v>246</v>
      </c>
      <c r="AJ77" s="134" t="s">
        <v>246</v>
      </c>
      <c r="AK77" s="31">
        <f>$A$42</f>
        <v>20193</v>
      </c>
      <c r="AL77" s="21">
        <v>38835385.609999999</v>
      </c>
      <c r="AM77" s="21">
        <v>230943892.67000002</v>
      </c>
      <c r="AN77" s="21">
        <v>233473512.52000004</v>
      </c>
      <c r="AO77" s="21">
        <v>232699437.54999998</v>
      </c>
      <c r="AP77" s="21">
        <v>232858080.77000001</v>
      </c>
      <c r="AQ77" s="134" t="s">
        <v>246</v>
      </c>
      <c r="AR77" s="134" t="s">
        <v>246</v>
      </c>
      <c r="AS77" s="134" t="s">
        <v>246</v>
      </c>
      <c r="AT77" s="134" t="s">
        <v>246</v>
      </c>
      <c r="AU77" s="134" t="s">
        <v>246</v>
      </c>
      <c r="AV77" s="134" t="s">
        <v>246</v>
      </c>
      <c r="AW77" s="31">
        <f>$A$42</f>
        <v>20193</v>
      </c>
      <c r="AX77" s="21">
        <v>198034121.63</v>
      </c>
      <c r="AY77" s="21">
        <v>911647086.61000001</v>
      </c>
      <c r="AZ77" s="21">
        <v>868201170.98000014</v>
      </c>
      <c r="BA77" s="21">
        <v>862964589.08000004</v>
      </c>
      <c r="BB77" s="21">
        <v>860264412.27999997</v>
      </c>
      <c r="BC77" s="134" t="s">
        <v>246</v>
      </c>
      <c r="BD77" s="134" t="s">
        <v>246</v>
      </c>
      <c r="BE77" s="134" t="s">
        <v>246</v>
      </c>
      <c r="BF77" s="134" t="s">
        <v>246</v>
      </c>
      <c r="BG77" s="134" t="s">
        <v>246</v>
      </c>
      <c r="BH77" s="134" t="s">
        <v>246</v>
      </c>
      <c r="BI77" s="31">
        <f>$A$42</f>
        <v>20193</v>
      </c>
      <c r="BJ77" s="21">
        <v>9389560.870000001</v>
      </c>
      <c r="BK77" s="21">
        <v>54290414.5</v>
      </c>
      <c r="BL77" s="21">
        <v>53487933.369999997</v>
      </c>
      <c r="BM77" s="21">
        <v>53506494.270000003</v>
      </c>
      <c r="BN77" s="21">
        <v>53522845.580000006</v>
      </c>
      <c r="BO77" s="134" t="s">
        <v>246</v>
      </c>
      <c r="BP77" s="134" t="s">
        <v>246</v>
      </c>
      <c r="BQ77" s="134" t="s">
        <v>246</v>
      </c>
      <c r="BR77" s="134" t="s">
        <v>246</v>
      </c>
      <c r="BS77" s="134" t="s">
        <v>246</v>
      </c>
      <c r="BT77" s="134" t="s">
        <v>246</v>
      </c>
      <c r="BU77" s="31">
        <f>$A$42</f>
        <v>20193</v>
      </c>
      <c r="BV77" s="21">
        <v>50000</v>
      </c>
      <c r="BW77" s="21">
        <v>405850</v>
      </c>
      <c r="BX77" s="21">
        <v>459150</v>
      </c>
      <c r="BY77" s="21">
        <v>474150</v>
      </c>
      <c r="BZ77" s="21">
        <v>474150</v>
      </c>
      <c r="CA77" s="134" t="s">
        <v>246</v>
      </c>
      <c r="CB77" s="134" t="s">
        <v>246</v>
      </c>
      <c r="CC77" s="134" t="s">
        <v>246</v>
      </c>
      <c r="CD77" s="134" t="s">
        <v>246</v>
      </c>
      <c r="CE77" s="134" t="s">
        <v>246</v>
      </c>
      <c r="CF77" s="134" t="s">
        <v>246</v>
      </c>
      <c r="CG77" s="31">
        <f>$A$42</f>
        <v>20193</v>
      </c>
      <c r="CH77" s="21"/>
      <c r="CI77" s="21"/>
      <c r="CJ77" s="21"/>
      <c r="CK77" s="21"/>
      <c r="CL77" s="21"/>
      <c r="CM77" s="134"/>
      <c r="CN77" s="134"/>
      <c r="CO77" s="134"/>
      <c r="CP77" s="134"/>
      <c r="CQ77" s="134"/>
      <c r="CR77" s="134"/>
      <c r="CS77" s="31">
        <f>$A$42</f>
        <v>20193</v>
      </c>
      <c r="CT77" s="21"/>
      <c r="CU77" s="21"/>
      <c r="CV77" s="21"/>
      <c r="CW77" s="21"/>
      <c r="CX77" s="21"/>
      <c r="CY77" s="134"/>
      <c r="CZ77" s="134"/>
      <c r="DA77" s="134"/>
      <c r="DB77" s="134"/>
      <c r="DC77" s="134"/>
      <c r="DD77" s="134"/>
      <c r="DE77" s="31">
        <f>$A$42</f>
        <v>20193</v>
      </c>
      <c r="DF77" s="21"/>
      <c r="DG77" s="21"/>
      <c r="DH77" s="21"/>
      <c r="DI77" s="21"/>
      <c r="DJ77" s="21"/>
      <c r="DK77" s="134"/>
      <c r="DL77" s="134"/>
      <c r="DM77" s="134"/>
      <c r="DN77" s="134"/>
      <c r="DO77" s="134"/>
      <c r="DP77" s="134"/>
    </row>
    <row r="78" spans="1:120" ht="15" customHeight="1" x14ac:dyDescent="0.25">
      <c r="A78" s="31">
        <f>$A$43</f>
        <v>20203</v>
      </c>
      <c r="B78" s="21">
        <v>61184156.220000006</v>
      </c>
      <c r="C78" s="21">
        <v>492618406.55000001</v>
      </c>
      <c r="D78" s="21">
        <v>654930807.68000019</v>
      </c>
      <c r="E78" s="21">
        <v>770684959.91000009</v>
      </c>
      <c r="F78" s="134" t="s">
        <v>246</v>
      </c>
      <c r="G78" s="134" t="s">
        <v>246</v>
      </c>
      <c r="H78" s="134" t="s">
        <v>246</v>
      </c>
      <c r="I78" s="134" t="s">
        <v>246</v>
      </c>
      <c r="J78" s="134" t="s">
        <v>246</v>
      </c>
      <c r="K78" s="134" t="s">
        <v>246</v>
      </c>
      <c r="L78" s="134" t="s">
        <v>246</v>
      </c>
      <c r="M78" s="31">
        <f>$A$43</f>
        <v>20203</v>
      </c>
      <c r="N78" s="21">
        <v>2757732.85</v>
      </c>
      <c r="O78" s="21">
        <v>35925727.769999996</v>
      </c>
      <c r="P78" s="21">
        <v>48690753.180000007</v>
      </c>
      <c r="Q78" s="21">
        <v>51510988.500000007</v>
      </c>
      <c r="R78" s="134" t="s">
        <v>246</v>
      </c>
      <c r="S78" s="134" t="s">
        <v>246</v>
      </c>
      <c r="T78" s="134" t="s">
        <v>246</v>
      </c>
      <c r="U78" s="134" t="s">
        <v>246</v>
      </c>
      <c r="V78" s="134" t="s">
        <v>246</v>
      </c>
      <c r="W78" s="134" t="s">
        <v>246</v>
      </c>
      <c r="X78" s="134" t="s">
        <v>246</v>
      </c>
      <c r="Y78" s="31">
        <f>$A$43</f>
        <v>20203</v>
      </c>
      <c r="Z78" s="21">
        <v>1736665.65</v>
      </c>
      <c r="AA78" s="21">
        <v>50087049.399999999</v>
      </c>
      <c r="AB78" s="21">
        <v>117307899.61</v>
      </c>
      <c r="AC78" s="21">
        <v>154636325.06</v>
      </c>
      <c r="AD78" s="134" t="s">
        <v>246</v>
      </c>
      <c r="AE78" s="134" t="s">
        <v>246</v>
      </c>
      <c r="AF78" s="134" t="s">
        <v>246</v>
      </c>
      <c r="AG78" s="134" t="s">
        <v>246</v>
      </c>
      <c r="AH78" s="134" t="s">
        <v>246</v>
      </c>
      <c r="AI78" s="134" t="s">
        <v>246</v>
      </c>
      <c r="AJ78" s="134" t="s">
        <v>246</v>
      </c>
      <c r="AK78" s="31">
        <f>$A$43</f>
        <v>20203</v>
      </c>
      <c r="AL78" s="21">
        <v>40178720.18</v>
      </c>
      <c r="AM78" s="21">
        <v>227729226.29999995</v>
      </c>
      <c r="AN78" s="21">
        <v>231387391.80999991</v>
      </c>
      <c r="AO78" s="21">
        <v>232743441.53999987</v>
      </c>
      <c r="AP78" s="134" t="s">
        <v>246</v>
      </c>
      <c r="AQ78" s="134" t="s">
        <v>246</v>
      </c>
      <c r="AR78" s="134" t="s">
        <v>246</v>
      </c>
      <c r="AS78" s="134" t="s">
        <v>246</v>
      </c>
      <c r="AT78" s="134" t="s">
        <v>246</v>
      </c>
      <c r="AU78" s="134" t="s">
        <v>246</v>
      </c>
      <c r="AV78" s="134" t="s">
        <v>246</v>
      </c>
      <c r="AW78" s="31">
        <f>$A$43</f>
        <v>20203</v>
      </c>
      <c r="AX78" s="21">
        <v>205173098.53999999</v>
      </c>
      <c r="AY78" s="21">
        <v>727819820.40999997</v>
      </c>
      <c r="AZ78" s="21">
        <v>712459811.25</v>
      </c>
      <c r="BA78" s="21">
        <v>709747449.12</v>
      </c>
      <c r="BB78" s="134" t="s">
        <v>246</v>
      </c>
      <c r="BC78" s="134" t="s">
        <v>246</v>
      </c>
      <c r="BD78" s="134" t="s">
        <v>246</v>
      </c>
      <c r="BE78" s="134" t="s">
        <v>246</v>
      </c>
      <c r="BF78" s="134" t="s">
        <v>246</v>
      </c>
      <c r="BG78" s="134" t="s">
        <v>246</v>
      </c>
      <c r="BH78" s="134" t="s">
        <v>246</v>
      </c>
      <c r="BI78" s="31">
        <f>$A$43</f>
        <v>20203</v>
      </c>
      <c r="BJ78" s="21">
        <v>10272514.149999999</v>
      </c>
      <c r="BK78" s="21">
        <v>45276018.739999995</v>
      </c>
      <c r="BL78" s="21">
        <v>45324089.57</v>
      </c>
      <c r="BM78" s="21">
        <v>45385592.899999991</v>
      </c>
      <c r="BN78" s="134" t="s">
        <v>246</v>
      </c>
      <c r="BO78" s="134" t="s">
        <v>246</v>
      </c>
      <c r="BP78" s="134" t="s">
        <v>246</v>
      </c>
      <c r="BQ78" s="134" t="s">
        <v>246</v>
      </c>
      <c r="BR78" s="134" t="s">
        <v>246</v>
      </c>
      <c r="BS78" s="134" t="s">
        <v>246</v>
      </c>
      <c r="BT78" s="134" t="s">
        <v>246</v>
      </c>
      <c r="BU78" s="31">
        <f>$A$43</f>
        <v>20203</v>
      </c>
      <c r="BV78" s="21">
        <v>10000</v>
      </c>
      <c r="BW78" s="21">
        <v>142350</v>
      </c>
      <c r="BX78" s="21">
        <v>167350</v>
      </c>
      <c r="BY78" s="21">
        <v>167350</v>
      </c>
      <c r="BZ78" s="134" t="s">
        <v>246</v>
      </c>
      <c r="CA78" s="134" t="s">
        <v>246</v>
      </c>
      <c r="CB78" s="134" t="s">
        <v>246</v>
      </c>
      <c r="CC78" s="134" t="s">
        <v>246</v>
      </c>
      <c r="CD78" s="134" t="s">
        <v>246</v>
      </c>
      <c r="CE78" s="134" t="s">
        <v>246</v>
      </c>
      <c r="CF78" s="134" t="s">
        <v>246</v>
      </c>
      <c r="CG78" s="31">
        <f>$A$43</f>
        <v>20203</v>
      </c>
      <c r="CH78" s="21"/>
      <c r="CI78" s="21"/>
      <c r="CJ78" s="21"/>
      <c r="CK78" s="21"/>
      <c r="CL78" s="134"/>
      <c r="CM78" s="134"/>
      <c r="CN78" s="134"/>
      <c r="CO78" s="134"/>
      <c r="CP78" s="134"/>
      <c r="CQ78" s="134"/>
      <c r="CR78" s="134"/>
      <c r="CS78" s="31">
        <f>$A$43</f>
        <v>20203</v>
      </c>
      <c r="CT78" s="21"/>
      <c r="CU78" s="21"/>
      <c r="CV78" s="21"/>
      <c r="CW78" s="21"/>
      <c r="CX78" s="134"/>
      <c r="CY78" s="134"/>
      <c r="CZ78" s="134"/>
      <c r="DA78" s="134"/>
      <c r="DB78" s="134"/>
      <c r="DC78" s="134"/>
      <c r="DD78" s="134"/>
      <c r="DE78" s="31">
        <f>$A$43</f>
        <v>20203</v>
      </c>
      <c r="DF78" s="21"/>
      <c r="DG78" s="21"/>
      <c r="DH78" s="21"/>
      <c r="DI78" s="21"/>
      <c r="DJ78" s="134"/>
      <c r="DK78" s="134"/>
      <c r="DL78" s="134"/>
      <c r="DM78" s="134"/>
      <c r="DN78" s="134"/>
      <c r="DO78" s="134"/>
      <c r="DP78" s="134"/>
    </row>
    <row r="79" spans="1:120" ht="15" customHeight="1" x14ac:dyDescent="0.25">
      <c r="A79" s="31">
        <f>$A$44</f>
        <v>20213</v>
      </c>
      <c r="B79" s="21">
        <v>40114022.75</v>
      </c>
      <c r="C79" s="21">
        <v>479517762.76999998</v>
      </c>
      <c r="D79" s="21">
        <v>695824634.42000008</v>
      </c>
      <c r="E79" s="134" t="s">
        <v>246</v>
      </c>
      <c r="F79" s="134" t="s">
        <v>246</v>
      </c>
      <c r="G79" s="134" t="s">
        <v>246</v>
      </c>
      <c r="H79" s="134" t="s">
        <v>246</v>
      </c>
      <c r="I79" s="134" t="s">
        <v>246</v>
      </c>
      <c r="J79" s="134" t="s">
        <v>246</v>
      </c>
      <c r="K79" s="134" t="s">
        <v>246</v>
      </c>
      <c r="L79" s="134" t="s">
        <v>246</v>
      </c>
      <c r="M79" s="31">
        <f>$A$44</f>
        <v>20213</v>
      </c>
      <c r="N79" s="21">
        <v>1892909.0299999998</v>
      </c>
      <c r="O79" s="21">
        <v>32403807.069999997</v>
      </c>
      <c r="P79" s="21">
        <v>48683776.82</v>
      </c>
      <c r="Q79" s="134" t="s">
        <v>246</v>
      </c>
      <c r="R79" s="134" t="s">
        <v>246</v>
      </c>
      <c r="S79" s="134" t="s">
        <v>246</v>
      </c>
      <c r="T79" s="134" t="s">
        <v>246</v>
      </c>
      <c r="U79" s="134" t="s">
        <v>246</v>
      </c>
      <c r="V79" s="134" t="s">
        <v>246</v>
      </c>
      <c r="W79" s="134" t="s">
        <v>246</v>
      </c>
      <c r="X79" s="134" t="s">
        <v>246</v>
      </c>
      <c r="Y79" s="31">
        <f>$A$44</f>
        <v>20213</v>
      </c>
      <c r="Z79" s="21">
        <v>1651471.78</v>
      </c>
      <c r="AA79" s="21">
        <v>59320101.970000006</v>
      </c>
      <c r="AB79" s="21">
        <v>144904753.58000004</v>
      </c>
      <c r="AC79" s="134" t="s">
        <v>246</v>
      </c>
      <c r="AD79" s="134" t="s">
        <v>246</v>
      </c>
      <c r="AE79" s="134" t="s">
        <v>246</v>
      </c>
      <c r="AF79" s="134" t="s">
        <v>246</v>
      </c>
      <c r="AG79" s="134" t="s">
        <v>246</v>
      </c>
      <c r="AH79" s="134" t="s">
        <v>246</v>
      </c>
      <c r="AI79" s="134" t="s">
        <v>246</v>
      </c>
      <c r="AJ79" s="134" t="s">
        <v>246</v>
      </c>
      <c r="AK79" s="31">
        <f>$A$44</f>
        <v>20213</v>
      </c>
      <c r="AL79" s="21">
        <v>42157499.069999993</v>
      </c>
      <c r="AM79" s="21">
        <v>275664993.35999995</v>
      </c>
      <c r="AN79" s="21">
        <v>283412114.32999998</v>
      </c>
      <c r="AO79" s="134" t="s">
        <v>246</v>
      </c>
      <c r="AP79" s="134" t="s">
        <v>246</v>
      </c>
      <c r="AQ79" s="134" t="s">
        <v>246</v>
      </c>
      <c r="AR79" s="134" t="s">
        <v>246</v>
      </c>
      <c r="AS79" s="134" t="s">
        <v>246</v>
      </c>
      <c r="AT79" s="134" t="s">
        <v>246</v>
      </c>
      <c r="AU79" s="134" t="s">
        <v>246</v>
      </c>
      <c r="AV79" s="134" t="s">
        <v>246</v>
      </c>
      <c r="AW79" s="31">
        <f>$A$44</f>
        <v>20213</v>
      </c>
      <c r="AX79" s="21">
        <v>151960061.56999999</v>
      </c>
      <c r="AY79" s="21">
        <v>859504471.56999993</v>
      </c>
      <c r="AZ79" s="21">
        <v>828496433.21999979</v>
      </c>
      <c r="BA79" s="134" t="s">
        <v>246</v>
      </c>
      <c r="BB79" s="134" t="s">
        <v>246</v>
      </c>
      <c r="BC79" s="134" t="s">
        <v>246</v>
      </c>
      <c r="BD79" s="134" t="s">
        <v>246</v>
      </c>
      <c r="BE79" s="134" t="s">
        <v>246</v>
      </c>
      <c r="BF79" s="134" t="s">
        <v>246</v>
      </c>
      <c r="BG79" s="134" t="s">
        <v>246</v>
      </c>
      <c r="BH79" s="134" t="s">
        <v>246</v>
      </c>
      <c r="BI79" s="31">
        <f>$A$44</f>
        <v>20213</v>
      </c>
      <c r="BJ79" s="21">
        <v>8115525.8799999999</v>
      </c>
      <c r="BK79" s="21">
        <v>52375693.479999997</v>
      </c>
      <c r="BL79" s="21">
        <v>52105594.580000006</v>
      </c>
      <c r="BM79" s="134" t="s">
        <v>246</v>
      </c>
      <c r="BN79" s="134" t="s">
        <v>246</v>
      </c>
      <c r="BO79" s="134" t="s">
        <v>246</v>
      </c>
      <c r="BP79" s="134" t="s">
        <v>246</v>
      </c>
      <c r="BQ79" s="134" t="s">
        <v>246</v>
      </c>
      <c r="BR79" s="134" t="s">
        <v>246</v>
      </c>
      <c r="BS79" s="134" t="s">
        <v>246</v>
      </c>
      <c r="BT79" s="134" t="s">
        <v>246</v>
      </c>
      <c r="BU79" s="31">
        <f>$A$44</f>
        <v>20213</v>
      </c>
      <c r="BV79" s="21">
        <v>0</v>
      </c>
      <c r="BW79" s="21">
        <v>157325</v>
      </c>
      <c r="BX79" s="21">
        <v>202050</v>
      </c>
      <c r="BY79" s="134" t="s">
        <v>246</v>
      </c>
      <c r="BZ79" s="134" t="s">
        <v>246</v>
      </c>
      <c r="CA79" s="134" t="s">
        <v>246</v>
      </c>
      <c r="CB79" s="134" t="s">
        <v>246</v>
      </c>
      <c r="CC79" s="134" t="s">
        <v>246</v>
      </c>
      <c r="CD79" s="134" t="s">
        <v>246</v>
      </c>
      <c r="CE79" s="134" t="s">
        <v>246</v>
      </c>
      <c r="CF79" s="134" t="s">
        <v>246</v>
      </c>
      <c r="CG79" s="31">
        <f>$A$44</f>
        <v>20213</v>
      </c>
      <c r="CH79" s="21"/>
      <c r="CI79" s="21"/>
      <c r="CJ79" s="21"/>
      <c r="CK79" s="134"/>
      <c r="CL79" s="134"/>
      <c r="CM79" s="134"/>
      <c r="CN79" s="134"/>
      <c r="CO79" s="134"/>
      <c r="CP79" s="134"/>
      <c r="CQ79" s="134"/>
      <c r="CR79" s="134"/>
      <c r="CS79" s="31">
        <f>$A$44</f>
        <v>20213</v>
      </c>
      <c r="CT79" s="21"/>
      <c r="CU79" s="21"/>
      <c r="CV79" s="21"/>
      <c r="CW79" s="134"/>
      <c r="CX79" s="134"/>
      <c r="CY79" s="134"/>
      <c r="CZ79" s="134"/>
      <c r="DA79" s="134"/>
      <c r="DB79" s="134"/>
      <c r="DC79" s="134"/>
      <c r="DD79" s="134"/>
      <c r="DE79" s="31">
        <f>$A$44</f>
        <v>20213</v>
      </c>
      <c r="DF79" s="21"/>
      <c r="DG79" s="21"/>
      <c r="DH79" s="21"/>
      <c r="DI79" s="134"/>
      <c r="DJ79" s="134"/>
      <c r="DK79" s="134"/>
      <c r="DL79" s="134"/>
      <c r="DM79" s="134"/>
      <c r="DN79" s="134"/>
      <c r="DO79" s="134"/>
      <c r="DP79" s="134"/>
    </row>
    <row r="80" spans="1:120" ht="15" customHeight="1" x14ac:dyDescent="0.25">
      <c r="A80" s="31">
        <f>$A$45</f>
        <v>20223</v>
      </c>
      <c r="B80" s="21">
        <v>40802764.18</v>
      </c>
      <c r="C80" s="21">
        <v>665375195.08999991</v>
      </c>
      <c r="D80" s="134" t="s">
        <v>246</v>
      </c>
      <c r="E80" s="134" t="s">
        <v>246</v>
      </c>
      <c r="F80" s="134" t="s">
        <v>246</v>
      </c>
      <c r="G80" s="134" t="s">
        <v>246</v>
      </c>
      <c r="H80" s="134" t="s">
        <v>246</v>
      </c>
      <c r="I80" s="134" t="s">
        <v>246</v>
      </c>
      <c r="J80" s="134" t="s">
        <v>246</v>
      </c>
      <c r="K80" s="134" t="s">
        <v>246</v>
      </c>
      <c r="L80" s="134"/>
      <c r="M80" s="31">
        <f>$A$45</f>
        <v>20223</v>
      </c>
      <c r="N80" s="21">
        <v>1826212.8699999999</v>
      </c>
      <c r="O80" s="21">
        <v>40199683.57</v>
      </c>
      <c r="P80" s="134" t="s">
        <v>246</v>
      </c>
      <c r="Q80" s="134" t="s">
        <v>246</v>
      </c>
      <c r="R80" s="134" t="s">
        <v>246</v>
      </c>
      <c r="S80" s="134" t="s">
        <v>246</v>
      </c>
      <c r="T80" s="134" t="s">
        <v>246</v>
      </c>
      <c r="U80" s="134" t="s">
        <v>246</v>
      </c>
      <c r="V80" s="134" t="s">
        <v>246</v>
      </c>
      <c r="W80" s="134" t="s">
        <v>246</v>
      </c>
      <c r="X80" s="134" t="s">
        <v>246</v>
      </c>
      <c r="Y80" s="31">
        <f>$A$45</f>
        <v>20223</v>
      </c>
      <c r="Z80" s="21">
        <v>1377689.71</v>
      </c>
      <c r="AA80" s="21">
        <v>73053291.929999992</v>
      </c>
      <c r="AB80" s="134" t="s">
        <v>246</v>
      </c>
      <c r="AC80" s="134" t="s">
        <v>246</v>
      </c>
      <c r="AD80" s="134" t="s">
        <v>246</v>
      </c>
      <c r="AE80" s="134" t="s">
        <v>246</v>
      </c>
      <c r="AF80" s="134" t="s">
        <v>246</v>
      </c>
      <c r="AG80" s="134" t="s">
        <v>246</v>
      </c>
      <c r="AH80" s="134" t="s">
        <v>246</v>
      </c>
      <c r="AI80" s="134" t="s">
        <v>246</v>
      </c>
      <c r="AJ80" s="134" t="s">
        <v>246</v>
      </c>
      <c r="AK80" s="31">
        <f>$A$45</f>
        <v>20223</v>
      </c>
      <c r="AL80" s="21">
        <v>47317624.920000002</v>
      </c>
      <c r="AM80" s="21">
        <v>366889454.32999998</v>
      </c>
      <c r="AN80" s="134" t="s">
        <v>246</v>
      </c>
      <c r="AO80" s="134" t="s">
        <v>246</v>
      </c>
      <c r="AP80" s="134" t="s">
        <v>246</v>
      </c>
      <c r="AQ80" s="134" t="s">
        <v>246</v>
      </c>
      <c r="AR80" s="134" t="s">
        <v>246</v>
      </c>
      <c r="AS80" s="134" t="s">
        <v>246</v>
      </c>
      <c r="AT80" s="134" t="s">
        <v>246</v>
      </c>
      <c r="AU80" s="134" t="s">
        <v>246</v>
      </c>
      <c r="AV80" s="134" t="s">
        <v>246</v>
      </c>
      <c r="AW80" s="31">
        <f>$A$45</f>
        <v>20223</v>
      </c>
      <c r="AX80" s="21">
        <v>194220800.53999999</v>
      </c>
      <c r="AY80" s="21">
        <v>1205821294.0100002</v>
      </c>
      <c r="AZ80" s="134" t="s">
        <v>246</v>
      </c>
      <c r="BA80" s="134" t="s">
        <v>246</v>
      </c>
      <c r="BB80" s="134" t="s">
        <v>246</v>
      </c>
      <c r="BC80" s="134" t="s">
        <v>246</v>
      </c>
      <c r="BD80" s="134" t="s">
        <v>246</v>
      </c>
      <c r="BE80" s="134" t="s">
        <v>246</v>
      </c>
      <c r="BF80" s="134" t="s">
        <v>246</v>
      </c>
      <c r="BG80" s="134" t="s">
        <v>246</v>
      </c>
      <c r="BH80" s="134" t="s">
        <v>246</v>
      </c>
      <c r="BI80" s="31">
        <f>$A$45</f>
        <v>20223</v>
      </c>
      <c r="BJ80" s="21">
        <v>10238276.49</v>
      </c>
      <c r="BK80" s="21">
        <v>68956319.980000004</v>
      </c>
      <c r="BL80" s="134" t="s">
        <v>246</v>
      </c>
      <c r="BM80" s="134" t="s">
        <v>246</v>
      </c>
      <c r="BN80" s="134" t="s">
        <v>246</v>
      </c>
      <c r="BO80" s="134" t="s">
        <v>246</v>
      </c>
      <c r="BP80" s="134" t="s">
        <v>246</v>
      </c>
      <c r="BQ80" s="134" t="s">
        <v>246</v>
      </c>
      <c r="BR80" s="134" t="s">
        <v>246</v>
      </c>
      <c r="BS80" s="134" t="s">
        <v>246</v>
      </c>
      <c r="BT80" s="134" t="s">
        <v>246</v>
      </c>
      <c r="BU80" s="31">
        <f>$A$45</f>
        <v>20223</v>
      </c>
      <c r="BV80" s="21">
        <v>1000</v>
      </c>
      <c r="BW80" s="21">
        <v>279900</v>
      </c>
      <c r="BX80" s="134" t="s">
        <v>246</v>
      </c>
      <c r="BY80" s="134" t="s">
        <v>246</v>
      </c>
      <c r="BZ80" s="134" t="s">
        <v>246</v>
      </c>
      <c r="CA80" s="134" t="s">
        <v>246</v>
      </c>
      <c r="CB80" s="134" t="s">
        <v>246</v>
      </c>
      <c r="CC80" s="134" t="s">
        <v>246</v>
      </c>
      <c r="CD80" s="134" t="s">
        <v>246</v>
      </c>
      <c r="CE80" s="134" t="s">
        <v>246</v>
      </c>
      <c r="CF80" s="134" t="s">
        <v>246</v>
      </c>
      <c r="CG80" s="31">
        <f>$A$45</f>
        <v>20223</v>
      </c>
      <c r="CH80" s="21"/>
      <c r="CI80" s="21"/>
      <c r="CJ80" s="134"/>
      <c r="CK80" s="134"/>
      <c r="CL80" s="134"/>
      <c r="CM80" s="134"/>
      <c r="CN80" s="134"/>
      <c r="CO80" s="134"/>
      <c r="CP80" s="134"/>
      <c r="CQ80" s="134"/>
      <c r="CR80" s="134"/>
      <c r="CS80" s="31">
        <f>$A$45</f>
        <v>20223</v>
      </c>
      <c r="CT80" s="21"/>
      <c r="CU80" s="21"/>
      <c r="CV80" s="134"/>
      <c r="CW80" s="134"/>
      <c r="CX80" s="134"/>
      <c r="CY80" s="134"/>
      <c r="CZ80" s="134"/>
      <c r="DA80" s="134"/>
      <c r="DB80" s="134"/>
      <c r="DC80" s="134"/>
      <c r="DD80" s="134"/>
      <c r="DE80" s="31">
        <f>$A$45</f>
        <v>20223</v>
      </c>
      <c r="DF80" s="21"/>
      <c r="DG80" s="21"/>
      <c r="DH80" s="134"/>
      <c r="DI80" s="134"/>
      <c r="DJ80" s="134"/>
      <c r="DK80" s="134"/>
      <c r="DL80" s="134"/>
      <c r="DM80" s="134"/>
      <c r="DN80" s="134"/>
      <c r="DO80" s="134"/>
      <c r="DP80" s="134"/>
    </row>
    <row r="81" spans="1:120" ht="15" customHeight="1" x14ac:dyDescent="0.25">
      <c r="F81" s="310" t="str">
        <f>IF(AND(ISNUMBER(K84),K84&gt;=1.01),"Reminder: If more than ten years of development is deemed to be required, insurers can provide this data in a supplemental exhibit.","")</f>
        <v/>
      </c>
      <c r="R81" s="310" t="str">
        <f>IF(AND(ISNUMBER(W84),W84&gt;=1.01),"Reminder: If more than ten years of development is deemed to be required, insurers can provide this data in a supplemental exhibit.","")</f>
        <v/>
      </c>
      <c r="AD81" s="310" t="str">
        <f>IF(AND(ISNUMBER(AI84),AI84&gt;=1.01),"Reminder: If more than ten years of development is deemed to be required, insurers can provide this data in a supplemental exhibit.","")</f>
        <v/>
      </c>
      <c r="AP81" s="309" t="str">
        <f>IF(AND(ISNUMBER(AU84),AU84&gt;=1.01),"Reminder: If more than ten years of development is deemed to be required, insurers can provide this data in a supplemental exhibit.","")</f>
        <v/>
      </c>
      <c r="BB81" s="310" t="str">
        <f>IF(AND(ISNUMBER(BG84),BG84&gt;=1.01),"Reminder: If more than ten years of development is deemed to be required, insurers can provide this data in a supplemental exhibit.","")</f>
        <v/>
      </c>
      <c r="BN81" s="310" t="str">
        <f>IF(AND(ISNUMBER(BS84),BS84&gt;=1.01),"Reminder: If more than ten years of development is deemed to be required, insurers can provide this data in a supplemental exhibit.","")</f>
        <v/>
      </c>
      <c r="BZ81" s="310" t="str">
        <f>IF(AND(ISNUMBER(CE84),CE84&gt;=1.01),"Reminder: If more than ten years of development is deemed to be required, insurers can provide this data in a supplemental exhibit.","")</f>
        <v/>
      </c>
      <c r="CL81" s="310" t="str">
        <f>IF(AND(ISNUMBER(CQ84),CQ84&gt;=1.01),"Reminder: If more than ten years of development is deemed to be required, insurers can provide this data in a supplemental exhibit.","")</f>
        <v/>
      </c>
      <c r="CX81" s="310" t="str">
        <f>IF(AND(ISNUMBER(DC84),DC84&gt;=1.01),"Reminder: If more than ten years of development is deemed to be required, insurers can provide this data in a supplemental exhibit.","")</f>
        <v/>
      </c>
      <c r="DJ81" s="310" t="str">
        <f>IF(AND(ISNUMBER(DO84),DO84&gt;=1.01),"Reminder: If more than ten years of development is deemed to be required, insurers can provide this data in a supplemental exhibit.","")</f>
        <v/>
      </c>
    </row>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ht="30" x14ac:dyDescent="0.25">
      <c r="A83" s="92" t="str">
        <f>$A$35</f>
        <v>Fiscal Accident Year Data Ending</v>
      </c>
      <c r="B83" s="92"/>
      <c r="C83" s="100" t="str">
        <f>$C$35&amp;"-"&amp;$D$35</f>
        <v>15-27</v>
      </c>
      <c r="D83" s="100" t="str">
        <f>$D$35&amp;"-"&amp;$E$35</f>
        <v>27-39</v>
      </c>
      <c r="E83" s="100" t="str">
        <f>$E$35&amp;"-"&amp;$F$35</f>
        <v>39-51</v>
      </c>
      <c r="F83" s="100" t="str">
        <f>$F$35&amp;"-"&amp;$G$35</f>
        <v>51-63</v>
      </c>
      <c r="G83" s="100" t="str">
        <f>$G$35&amp;"-"&amp;$H$35</f>
        <v>63-75</v>
      </c>
      <c r="H83" s="100" t="str">
        <f>$H$35&amp;"-"&amp;$I$35</f>
        <v>75-87</v>
      </c>
      <c r="I83" s="100" t="str">
        <f>$I$35&amp;"-"&amp;$J$35</f>
        <v>87-99</v>
      </c>
      <c r="J83" s="100" t="str">
        <f>$J$35&amp;"-"&amp;$K$35</f>
        <v>99-111</v>
      </c>
      <c r="K83" s="100" t="str">
        <f>$K$35&amp;"-"&amp;$L$35</f>
        <v>111-123</v>
      </c>
      <c r="L83" s="100" t="str">
        <f>$L$35&amp;"-Ult"</f>
        <v>123-Ult</v>
      </c>
      <c r="M83" s="92" t="str">
        <f>$A$35</f>
        <v>Fiscal Accident Year Data Ending</v>
      </c>
      <c r="N83" s="92"/>
      <c r="O83" s="100" t="str">
        <f>$C$35&amp;"-"&amp;$D$35</f>
        <v>15-27</v>
      </c>
      <c r="P83" s="100" t="str">
        <f>$D$35&amp;"-"&amp;$E$35</f>
        <v>27-39</v>
      </c>
      <c r="Q83" s="100" t="str">
        <f>$E$35&amp;"-"&amp;$F$35</f>
        <v>39-51</v>
      </c>
      <c r="R83" s="100" t="str">
        <f>$F$35&amp;"-"&amp;$G$35</f>
        <v>51-63</v>
      </c>
      <c r="S83" s="100" t="str">
        <f>$G$35&amp;"-"&amp;$H$35</f>
        <v>63-75</v>
      </c>
      <c r="T83" s="100" t="str">
        <f>$H$35&amp;"-"&amp;$I$35</f>
        <v>75-87</v>
      </c>
      <c r="U83" s="100" t="str">
        <f>$I$35&amp;"-"&amp;$J$35</f>
        <v>87-99</v>
      </c>
      <c r="V83" s="100" t="str">
        <f>$J$35&amp;"-"&amp;$K$35</f>
        <v>99-111</v>
      </c>
      <c r="W83" s="100" t="str">
        <f>$K$35&amp;"-"&amp;$L$35</f>
        <v>111-123</v>
      </c>
      <c r="X83" s="100" t="str">
        <f>$L$35&amp;"-Ult"</f>
        <v>123-Ult</v>
      </c>
      <c r="Y83" s="92" t="str">
        <f>$A$35</f>
        <v>Fiscal Accident Year Data Ending</v>
      </c>
      <c r="Z83" s="92"/>
      <c r="AA83" s="100" t="str">
        <f>$C$35&amp;"-"&amp;$D$35</f>
        <v>15-27</v>
      </c>
      <c r="AB83" s="100" t="str">
        <f>$D$35&amp;"-"&amp;$E$35</f>
        <v>27-39</v>
      </c>
      <c r="AC83" s="100" t="str">
        <f>$E$35&amp;"-"&amp;$F$35</f>
        <v>39-51</v>
      </c>
      <c r="AD83" s="100" t="str">
        <f>$F$35&amp;"-"&amp;$G$35</f>
        <v>51-63</v>
      </c>
      <c r="AE83" s="100" t="str">
        <f>$G$35&amp;"-"&amp;$H$35</f>
        <v>63-75</v>
      </c>
      <c r="AF83" s="100" t="str">
        <f>$H$35&amp;"-"&amp;$I$35</f>
        <v>75-87</v>
      </c>
      <c r="AG83" s="100" t="str">
        <f>$I$35&amp;"-"&amp;$J$35</f>
        <v>87-99</v>
      </c>
      <c r="AH83" s="100" t="str">
        <f>$J$35&amp;"-"&amp;$K$35</f>
        <v>99-111</v>
      </c>
      <c r="AI83" s="100" t="str">
        <f>$K$35&amp;"-"&amp;$L$35</f>
        <v>111-123</v>
      </c>
      <c r="AJ83" s="100" t="str">
        <f>$L$35&amp;"-Ult"</f>
        <v>123-Ult</v>
      </c>
      <c r="AK83" s="92" t="str">
        <f>$A$35</f>
        <v>Fiscal Accident Year Data Ending</v>
      </c>
      <c r="AL83" s="92"/>
      <c r="AM83" s="100" t="str">
        <f>$C$35&amp;"-"&amp;$D$35</f>
        <v>15-27</v>
      </c>
      <c r="AN83" s="100" t="str">
        <f>$D$35&amp;"-"&amp;$E$35</f>
        <v>27-39</v>
      </c>
      <c r="AO83" s="100" t="str">
        <f>$E$35&amp;"-"&amp;$F$35</f>
        <v>39-51</v>
      </c>
      <c r="AP83" s="100" t="str">
        <f>$F$35&amp;"-"&amp;$G$35</f>
        <v>51-63</v>
      </c>
      <c r="AQ83" s="100" t="str">
        <f>$G$35&amp;"-"&amp;$H$35</f>
        <v>63-75</v>
      </c>
      <c r="AR83" s="100" t="str">
        <f>$H$35&amp;"-"&amp;$I$35</f>
        <v>75-87</v>
      </c>
      <c r="AS83" s="100" t="str">
        <f>$I$35&amp;"-"&amp;$J$35</f>
        <v>87-99</v>
      </c>
      <c r="AT83" s="100" t="str">
        <f>$J$35&amp;"-"&amp;$K$35</f>
        <v>99-111</v>
      </c>
      <c r="AU83" s="100" t="str">
        <f>$K$35&amp;"-"&amp;$L$35</f>
        <v>111-123</v>
      </c>
      <c r="AV83" s="100" t="str">
        <f>$L$35&amp;"-Ult"</f>
        <v>123-Ult</v>
      </c>
      <c r="AW83" s="92" t="str">
        <f>$A$35</f>
        <v>Fiscal Accident Year Data Ending</v>
      </c>
      <c r="AX83" s="92"/>
      <c r="AY83" s="100" t="str">
        <f>$C$35&amp;"-"&amp;$D$35</f>
        <v>15-27</v>
      </c>
      <c r="AZ83" s="100" t="str">
        <f>$D$35&amp;"-"&amp;$E$35</f>
        <v>27-39</v>
      </c>
      <c r="BA83" s="100" t="str">
        <f>$E$35&amp;"-"&amp;$F$35</f>
        <v>39-51</v>
      </c>
      <c r="BB83" s="100" t="str">
        <f>$F$35&amp;"-"&amp;$G$35</f>
        <v>51-63</v>
      </c>
      <c r="BC83" s="100" t="str">
        <f>$G$35&amp;"-"&amp;$H$35</f>
        <v>63-75</v>
      </c>
      <c r="BD83" s="100" t="str">
        <f>$H$35&amp;"-"&amp;$I$35</f>
        <v>75-87</v>
      </c>
      <c r="BE83" s="100" t="str">
        <f>$I$35&amp;"-"&amp;$J$35</f>
        <v>87-99</v>
      </c>
      <c r="BF83" s="100" t="str">
        <f>$J$35&amp;"-"&amp;$K$35</f>
        <v>99-111</v>
      </c>
      <c r="BG83" s="100" t="str">
        <f>$K$35&amp;"-"&amp;$L$35</f>
        <v>111-123</v>
      </c>
      <c r="BH83" s="100" t="str">
        <f>$L$35&amp;"-Ult"</f>
        <v>123-Ult</v>
      </c>
      <c r="BI83" s="92" t="str">
        <f>$A$35</f>
        <v>Fiscal Accident Year Data Ending</v>
      </c>
      <c r="BJ83" s="92"/>
      <c r="BK83" s="100" t="str">
        <f>$C$35&amp;"-"&amp;$D$35</f>
        <v>15-27</v>
      </c>
      <c r="BL83" s="100" t="str">
        <f>$D$35&amp;"-"&amp;$E$35</f>
        <v>27-39</v>
      </c>
      <c r="BM83" s="100" t="str">
        <f>$E$35&amp;"-"&amp;$F$35</f>
        <v>39-51</v>
      </c>
      <c r="BN83" s="100" t="str">
        <f>$F$35&amp;"-"&amp;$G$35</f>
        <v>51-63</v>
      </c>
      <c r="BO83" s="100" t="str">
        <f>$G$35&amp;"-"&amp;$H$35</f>
        <v>63-75</v>
      </c>
      <c r="BP83" s="100" t="str">
        <f>$H$35&amp;"-"&amp;$I$35</f>
        <v>75-87</v>
      </c>
      <c r="BQ83" s="100" t="str">
        <f>$I$35&amp;"-"&amp;$J$35</f>
        <v>87-99</v>
      </c>
      <c r="BR83" s="100" t="str">
        <f>$J$35&amp;"-"&amp;$K$35</f>
        <v>99-111</v>
      </c>
      <c r="BS83" s="100" t="str">
        <f>$K$35&amp;"-"&amp;$L$35</f>
        <v>111-123</v>
      </c>
      <c r="BT83" s="100" t="str">
        <f>$L$35&amp;"-Ult"</f>
        <v>123-Ult</v>
      </c>
      <c r="BU83" s="92" t="str">
        <f>$A$35</f>
        <v>Fiscal Accident Year Data Ending</v>
      </c>
      <c r="BV83" s="92"/>
      <c r="BW83" s="100" t="str">
        <f>$C$35&amp;"-"&amp;$D$35</f>
        <v>15-27</v>
      </c>
      <c r="BX83" s="100" t="str">
        <f>$D$35&amp;"-"&amp;$E$35</f>
        <v>27-39</v>
      </c>
      <c r="BY83" s="100" t="str">
        <f>$E$35&amp;"-"&amp;$F$35</f>
        <v>39-51</v>
      </c>
      <c r="BZ83" s="100" t="str">
        <f>$F$35&amp;"-"&amp;$G$35</f>
        <v>51-63</v>
      </c>
      <c r="CA83" s="100" t="str">
        <f>$G$35&amp;"-"&amp;$H$35</f>
        <v>63-75</v>
      </c>
      <c r="CB83" s="100" t="str">
        <f>$H$35&amp;"-"&amp;$I$35</f>
        <v>75-87</v>
      </c>
      <c r="CC83" s="100" t="str">
        <f>$I$35&amp;"-"&amp;$J$35</f>
        <v>87-99</v>
      </c>
      <c r="CD83" s="100" t="str">
        <f>$J$35&amp;"-"&amp;$K$35</f>
        <v>99-111</v>
      </c>
      <c r="CE83" s="100" t="str">
        <f>$K$35&amp;"-"&amp;$L$35</f>
        <v>111-123</v>
      </c>
      <c r="CF83" s="100" t="str">
        <f>$L$35&amp;"-Ult"</f>
        <v>123-Ult</v>
      </c>
      <c r="CG83" s="92" t="str">
        <f>$A$35</f>
        <v>Fiscal Accident Year Data Ending</v>
      </c>
      <c r="CH83" s="92"/>
      <c r="CI83" s="100" t="str">
        <f>$C$35&amp;"-"&amp;$D$35</f>
        <v>15-27</v>
      </c>
      <c r="CJ83" s="100" t="str">
        <f>$D$35&amp;"-"&amp;$E$35</f>
        <v>27-39</v>
      </c>
      <c r="CK83" s="100" t="str">
        <f>$E$35&amp;"-"&amp;$F$35</f>
        <v>39-51</v>
      </c>
      <c r="CL83" s="100" t="str">
        <f>$F$35&amp;"-"&amp;$G$35</f>
        <v>51-63</v>
      </c>
      <c r="CM83" s="100" t="str">
        <f>$G$35&amp;"-"&amp;$H$35</f>
        <v>63-75</v>
      </c>
      <c r="CN83" s="100" t="str">
        <f>$H$35&amp;"-"&amp;$I$35</f>
        <v>75-87</v>
      </c>
      <c r="CO83" s="100" t="str">
        <f>$I$35&amp;"-"&amp;$J$35</f>
        <v>87-99</v>
      </c>
      <c r="CP83" s="100" t="str">
        <f>$J$35&amp;"-"&amp;$K$35</f>
        <v>99-111</v>
      </c>
      <c r="CQ83" s="100" t="str">
        <f>$K$35&amp;"-"&amp;$L$35</f>
        <v>111-123</v>
      </c>
      <c r="CR83" s="100" t="str">
        <f>$L$35&amp;"-Ult"</f>
        <v>123-Ult</v>
      </c>
      <c r="CS83" s="92" t="str">
        <f>$A$35</f>
        <v>Fiscal Accident Year Data Ending</v>
      </c>
      <c r="CT83" s="92"/>
      <c r="CU83" s="100" t="str">
        <f>$C$35&amp;"-"&amp;$D$35</f>
        <v>15-27</v>
      </c>
      <c r="CV83" s="100" t="str">
        <f>$D$35&amp;"-"&amp;$E$35</f>
        <v>27-39</v>
      </c>
      <c r="CW83" s="100" t="str">
        <f>$E$35&amp;"-"&amp;$F$35</f>
        <v>39-51</v>
      </c>
      <c r="CX83" s="100" t="str">
        <f>$F$35&amp;"-"&amp;$G$35</f>
        <v>51-63</v>
      </c>
      <c r="CY83" s="100" t="str">
        <f>$G$35&amp;"-"&amp;$H$35</f>
        <v>63-75</v>
      </c>
      <c r="CZ83" s="100" t="str">
        <f>$H$35&amp;"-"&amp;$I$35</f>
        <v>75-87</v>
      </c>
      <c r="DA83" s="100" t="str">
        <f>$I$35&amp;"-"&amp;$J$35</f>
        <v>87-99</v>
      </c>
      <c r="DB83" s="100" t="str">
        <f>$J$35&amp;"-"&amp;$K$35</f>
        <v>99-111</v>
      </c>
      <c r="DC83" s="100" t="str">
        <f>$K$35&amp;"-"&amp;$L$35</f>
        <v>111-123</v>
      </c>
      <c r="DD83" s="100" t="str">
        <f>$L$35&amp;"-Ult"</f>
        <v>123-Ult</v>
      </c>
      <c r="DE83" s="92" t="str">
        <f>$A$35</f>
        <v>Fiscal Accident Year Data Ending</v>
      </c>
      <c r="DF83" s="92"/>
      <c r="DG83" s="100" t="str">
        <f>$C$35&amp;"-"&amp;$D$35</f>
        <v>15-27</v>
      </c>
      <c r="DH83" s="100" t="str">
        <f>$D$35&amp;"-"&amp;$E$35</f>
        <v>27-39</v>
      </c>
      <c r="DI83" s="100" t="str">
        <f>$E$35&amp;"-"&amp;$F$35</f>
        <v>39-51</v>
      </c>
      <c r="DJ83" s="100" t="str">
        <f>$F$35&amp;"-"&amp;$G$35</f>
        <v>51-63</v>
      </c>
      <c r="DK83" s="100" t="str">
        <f>$G$35&amp;"-"&amp;$H$35</f>
        <v>63-75</v>
      </c>
      <c r="DL83" s="100" t="str">
        <f>$H$35&amp;"-"&amp;$I$35</f>
        <v>75-87</v>
      </c>
      <c r="DM83" s="100" t="str">
        <f>$I$35&amp;"-"&amp;$J$35</f>
        <v>87-99</v>
      </c>
      <c r="DN83" s="100" t="str">
        <f>$J$35&amp;"-"&amp;$K$35</f>
        <v>99-111</v>
      </c>
      <c r="DO83" s="100" t="str">
        <f>$K$35&amp;"-"&amp;$L$35</f>
        <v>111-123</v>
      </c>
      <c r="DP83" s="100" t="str">
        <f>$L$35&amp;"-Ult"</f>
        <v>123-Ult</v>
      </c>
    </row>
    <row r="84" spans="1:120" x14ac:dyDescent="0.25">
      <c r="A84" s="91">
        <f>$A$36</f>
        <v>20133</v>
      </c>
      <c r="B84" s="105"/>
      <c r="C84" s="90">
        <f>IFERROR(D71/C71,"")</f>
        <v>1.3672228071925192</v>
      </c>
      <c r="D84" s="90">
        <f t="shared" ref="D84:K84" si="194">IFERROR(E71/D71,"")</f>
        <v>1.1771467478289879</v>
      </c>
      <c r="E84" s="90">
        <f t="shared" si="194"/>
        <v>1.0974186480058448</v>
      </c>
      <c r="F84" s="90">
        <f t="shared" si="194"/>
        <v>1.0273111473380152</v>
      </c>
      <c r="G84" s="90">
        <f t="shared" si="194"/>
        <v>1.0050787849777183</v>
      </c>
      <c r="H84" s="90">
        <f t="shared" si="194"/>
        <v>1.0017468714050435</v>
      </c>
      <c r="I84" s="90">
        <f t="shared" si="194"/>
        <v>1.0005069102436501</v>
      </c>
      <c r="J84" s="90">
        <f t="shared" si="194"/>
        <v>1.0003699843239866</v>
      </c>
      <c r="K84" s="90">
        <f t="shared" si="194"/>
        <v>1.0002917335393509</v>
      </c>
      <c r="L84" s="22"/>
      <c r="M84" s="91">
        <f>$A$36</f>
        <v>20133</v>
      </c>
      <c r="N84" s="105"/>
      <c r="O84" s="90">
        <f>IFERROR(P71/O71,"")</f>
        <v>1.2300772691743613</v>
      </c>
      <c r="P84" s="90">
        <f t="shared" ref="P84:W84" si="195">IFERROR(Q71/P71,"")</f>
        <v>1.0057633094652096</v>
      </c>
      <c r="Q84" s="90">
        <f t="shared" si="195"/>
        <v>0.99678854821626184</v>
      </c>
      <c r="R84" s="90">
        <f t="shared" si="195"/>
        <v>1.0028712518161975</v>
      </c>
      <c r="S84" s="90">
        <f t="shared" si="195"/>
        <v>0.99955269838739857</v>
      </c>
      <c r="T84" s="90">
        <f t="shared" si="195"/>
        <v>1.0000435999879402</v>
      </c>
      <c r="U84" s="90">
        <f t="shared" si="195"/>
        <v>1.0004146098558209</v>
      </c>
      <c r="V84" s="90">
        <f t="shared" si="195"/>
        <v>0.99992361978931454</v>
      </c>
      <c r="W84" s="90">
        <f t="shared" si="195"/>
        <v>0.99996832407131842</v>
      </c>
      <c r="X84" s="22"/>
      <c r="Y84" s="91">
        <f>$A$36</f>
        <v>20133</v>
      </c>
      <c r="Z84" s="105"/>
      <c r="AA84" s="90">
        <f>IFERROR(AB71/AA71,"")</f>
        <v>2.1273693322086715</v>
      </c>
      <c r="AB84" s="90">
        <f t="shared" ref="AB84:AI84" si="196">IFERROR(AC71/AB71,"")</f>
        <v>1.3027338124840082</v>
      </c>
      <c r="AC84" s="90">
        <f t="shared" si="196"/>
        <v>1.1089216016055319</v>
      </c>
      <c r="AD84" s="90">
        <f t="shared" si="196"/>
        <v>1.0366136384835907</v>
      </c>
      <c r="AE84" s="90">
        <f t="shared" si="196"/>
        <v>1.0314917055399613</v>
      </c>
      <c r="AF84" s="90">
        <f t="shared" si="196"/>
        <v>1.0138119223521003</v>
      </c>
      <c r="AG84" s="90">
        <f t="shared" si="196"/>
        <v>1.0048853182833519</v>
      </c>
      <c r="AH84" s="90">
        <f t="shared" si="196"/>
        <v>1.0021361003265028</v>
      </c>
      <c r="AI84" s="90">
        <f t="shared" si="196"/>
        <v>1.0030337650535484</v>
      </c>
      <c r="AJ84" s="22"/>
      <c r="AK84" s="91">
        <f>$A$36</f>
        <v>20133</v>
      </c>
      <c r="AL84" s="105"/>
      <c r="AM84" s="90">
        <f>IFERROR(AN71/AM71,"")</f>
        <v>1.0124958077027884</v>
      </c>
      <c r="AN84" s="90">
        <f t="shared" ref="AN84:AU84" si="197">IFERROR(AO71/AN71,"")</f>
        <v>1.0006747803382463</v>
      </c>
      <c r="AO84" s="90">
        <f t="shared" si="197"/>
        <v>1.0001756545800111</v>
      </c>
      <c r="AP84" s="90">
        <f t="shared" si="197"/>
        <v>1.0005549975593246</v>
      </c>
      <c r="AQ84" s="90">
        <f t="shared" si="197"/>
        <v>1.0001016535533573</v>
      </c>
      <c r="AR84" s="90">
        <f t="shared" si="197"/>
        <v>1.0001084136170877</v>
      </c>
      <c r="AS84" s="90">
        <f t="shared" si="197"/>
        <v>1.000030360587234</v>
      </c>
      <c r="AT84" s="90">
        <f t="shared" si="197"/>
        <v>0.99997516316140689</v>
      </c>
      <c r="AU84" s="90">
        <f t="shared" si="197"/>
        <v>1.0000092425007039</v>
      </c>
      <c r="AV84" s="22"/>
      <c r="AW84" s="91">
        <f>$A$36</f>
        <v>20133</v>
      </c>
      <c r="AX84" s="105"/>
      <c r="AY84" s="90">
        <f>IFERROR(AZ71/AY71,"")</f>
        <v>0.93568762439469988</v>
      </c>
      <c r="AZ84" s="90">
        <f t="shared" ref="AZ84:BG84" si="198">IFERROR(BA71/AZ71,"")</f>
        <v>0.9847217638142487</v>
      </c>
      <c r="BA84" s="90">
        <f t="shared" si="198"/>
        <v>0.99676494101237922</v>
      </c>
      <c r="BB84" s="90">
        <f t="shared" si="198"/>
        <v>0.99904153481675029</v>
      </c>
      <c r="BC84" s="90">
        <f t="shared" si="198"/>
        <v>0.99951584184658115</v>
      </c>
      <c r="BD84" s="90">
        <f t="shared" si="198"/>
        <v>0.99969619700190626</v>
      </c>
      <c r="BE84" s="90">
        <f t="shared" si="198"/>
        <v>0.99971540591190644</v>
      </c>
      <c r="BF84" s="90">
        <f t="shared" si="198"/>
        <v>0.99979450289644645</v>
      </c>
      <c r="BG84" s="90">
        <f t="shared" si="198"/>
        <v>0.99983598948919172</v>
      </c>
      <c r="BH84" s="22"/>
      <c r="BI84" s="91">
        <f>$A$36</f>
        <v>20133</v>
      </c>
      <c r="BJ84" s="105"/>
      <c r="BK84" s="90">
        <f>IFERROR(BL71/BK71,"")</f>
        <v>0.97174991458465054</v>
      </c>
      <c r="BL84" s="90">
        <f t="shared" ref="BL84:BS84" si="199">IFERROR(BM71/BL71,"")</f>
        <v>0.99408858849292581</v>
      </c>
      <c r="BM84" s="90">
        <f t="shared" si="199"/>
        <v>0.99924432798564933</v>
      </c>
      <c r="BN84" s="90">
        <f t="shared" si="199"/>
        <v>0.99976105221058953</v>
      </c>
      <c r="BO84" s="90">
        <f t="shared" si="199"/>
        <v>0.99978214496966178</v>
      </c>
      <c r="BP84" s="90">
        <f t="shared" si="199"/>
        <v>0.99990671458902947</v>
      </c>
      <c r="BQ84" s="90">
        <f t="shared" si="199"/>
        <v>0.99997326276236131</v>
      </c>
      <c r="BR84" s="90">
        <f t="shared" si="199"/>
        <v>0.99994474941831446</v>
      </c>
      <c r="BS84" s="90">
        <f t="shared" si="199"/>
        <v>0.99995142918498992</v>
      </c>
      <c r="BT84" s="22"/>
      <c r="BU84" s="91">
        <f>$A$36</f>
        <v>20133</v>
      </c>
      <c r="BV84" s="105"/>
      <c r="BW84" s="90">
        <f>IFERROR(BX71/BW71,"")</f>
        <v>1.3634484127493962</v>
      </c>
      <c r="BX84" s="90">
        <f t="shared" ref="BX84:CE84" si="200">IFERROR(BY71/BX71,"")</f>
        <v>1</v>
      </c>
      <c r="BY84" s="90">
        <f t="shared" si="200"/>
        <v>1</v>
      </c>
      <c r="BZ84" s="90">
        <f t="shared" si="200"/>
        <v>0.99326923076923079</v>
      </c>
      <c r="CA84" s="90">
        <f t="shared" si="200"/>
        <v>1</v>
      </c>
      <c r="CB84" s="90">
        <f t="shared" si="200"/>
        <v>1</v>
      </c>
      <c r="CC84" s="90">
        <f t="shared" si="200"/>
        <v>1</v>
      </c>
      <c r="CD84" s="90">
        <f t="shared" si="200"/>
        <v>1</v>
      </c>
      <c r="CE84" s="90">
        <f t="shared" si="200"/>
        <v>1</v>
      </c>
      <c r="CF84" s="22"/>
      <c r="CG84" s="91">
        <f>$A$36</f>
        <v>20133</v>
      </c>
      <c r="CH84" s="105"/>
      <c r="CI84" s="90" t="str">
        <f>IFERROR(CJ71/CI71,"")</f>
        <v/>
      </c>
      <c r="CJ84" s="90" t="str">
        <f t="shared" ref="CJ84:CQ84" si="201">IFERROR(CK71/CJ71,"")</f>
        <v/>
      </c>
      <c r="CK84" s="90" t="str">
        <f t="shared" si="201"/>
        <v/>
      </c>
      <c r="CL84" s="90" t="str">
        <f t="shared" si="201"/>
        <v/>
      </c>
      <c r="CM84" s="90" t="str">
        <f t="shared" si="201"/>
        <v/>
      </c>
      <c r="CN84" s="90" t="str">
        <f t="shared" si="201"/>
        <v/>
      </c>
      <c r="CO84" s="90" t="str">
        <f t="shared" si="201"/>
        <v/>
      </c>
      <c r="CP84" s="90" t="str">
        <f t="shared" si="201"/>
        <v/>
      </c>
      <c r="CQ84" s="90" t="str">
        <f t="shared" si="201"/>
        <v/>
      </c>
      <c r="CR84" s="22"/>
      <c r="CS84" s="91">
        <f>$A$36</f>
        <v>20133</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20133</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20143</v>
      </c>
      <c r="B85" s="105"/>
      <c r="C85" s="90">
        <f t="shared" ref="C85:J92" si="204">IFERROR(D72/C72,"")</f>
        <v>1.4379440552856904</v>
      </c>
      <c r="D85" s="90">
        <f t="shared" si="204"/>
        <v>1.2182348654020922</v>
      </c>
      <c r="E85" s="90">
        <f t="shared" si="204"/>
        <v>1.075211261485485</v>
      </c>
      <c r="F85" s="90">
        <f t="shared" si="204"/>
        <v>1.03786097409113</v>
      </c>
      <c r="G85" s="90">
        <f t="shared" si="204"/>
        <v>1.0058265231156704</v>
      </c>
      <c r="H85" s="90">
        <f t="shared" si="204"/>
        <v>1.0012232999569246</v>
      </c>
      <c r="I85" s="90">
        <f t="shared" si="204"/>
        <v>1.0011644107018887</v>
      </c>
      <c r="J85" s="90">
        <f t="shared" si="204"/>
        <v>1.0005432149656588</v>
      </c>
      <c r="K85" s="22"/>
      <c r="L85" s="22"/>
      <c r="M85" s="91">
        <f>$A$37</f>
        <v>20143</v>
      </c>
      <c r="N85" s="105"/>
      <c r="O85" s="90">
        <f t="shared" ref="O85:V92" si="205">IFERROR(P72/O72,"")</f>
        <v>1.2250645878796929</v>
      </c>
      <c r="P85" s="90">
        <f t="shared" si="205"/>
        <v>1.0153275819221101</v>
      </c>
      <c r="Q85" s="90">
        <f t="shared" si="205"/>
        <v>1.006556434027378</v>
      </c>
      <c r="R85" s="90">
        <f t="shared" si="205"/>
        <v>1.0030607501005022</v>
      </c>
      <c r="S85" s="90">
        <f t="shared" si="205"/>
        <v>1.0007281271430373</v>
      </c>
      <c r="T85" s="90">
        <f t="shared" si="205"/>
        <v>1.0014414318831033</v>
      </c>
      <c r="U85" s="90">
        <f t="shared" si="205"/>
        <v>1.0014302637090482</v>
      </c>
      <c r="V85" s="90">
        <f t="shared" si="205"/>
        <v>0.99991363875095385</v>
      </c>
      <c r="W85" s="22"/>
      <c r="X85" s="22"/>
      <c r="Y85" s="91">
        <f>$A$37</f>
        <v>20143</v>
      </c>
      <c r="Z85" s="105"/>
      <c r="AA85" s="90">
        <f t="shared" ref="AA85:AH92" si="206">IFERROR(AB72/AA72,"")</f>
        <v>2.2799639140285501</v>
      </c>
      <c r="AB85" s="90">
        <f t="shared" si="206"/>
        <v>1.3348748740699485</v>
      </c>
      <c r="AC85" s="90">
        <f t="shared" si="206"/>
        <v>1.0914400904122377</v>
      </c>
      <c r="AD85" s="90">
        <f t="shared" si="206"/>
        <v>1.0495423755258453</v>
      </c>
      <c r="AE85" s="90">
        <f t="shared" si="206"/>
        <v>1.0230821097320968</v>
      </c>
      <c r="AF85" s="90">
        <f t="shared" si="206"/>
        <v>1.0069244070058319</v>
      </c>
      <c r="AG85" s="90">
        <f t="shared" si="206"/>
        <v>1.0058869182898058</v>
      </c>
      <c r="AH85" s="90">
        <f t="shared" si="206"/>
        <v>1.0035829513950736</v>
      </c>
      <c r="AI85" s="22"/>
      <c r="AJ85" s="22"/>
      <c r="AK85" s="91">
        <f>$A$37</f>
        <v>20143</v>
      </c>
      <c r="AL85" s="105"/>
      <c r="AM85" s="90">
        <f t="shared" ref="AM85:AT92" si="207">IFERROR(AN72/AM72,"")</f>
        <v>1.0111492303583023</v>
      </c>
      <c r="AN85" s="90">
        <f t="shared" si="207"/>
        <v>0.99947271962179407</v>
      </c>
      <c r="AO85" s="90">
        <f t="shared" si="207"/>
        <v>1.0004998951859798</v>
      </c>
      <c r="AP85" s="90">
        <f t="shared" si="207"/>
        <v>0.99963221949203307</v>
      </c>
      <c r="AQ85" s="90">
        <f t="shared" si="207"/>
        <v>1.0003744298596868</v>
      </c>
      <c r="AR85" s="90">
        <f t="shared" si="207"/>
        <v>1.0001526365228393</v>
      </c>
      <c r="AS85" s="90">
        <f t="shared" si="207"/>
        <v>0.99996220418303861</v>
      </c>
      <c r="AT85" s="90">
        <f t="shared" si="207"/>
        <v>0.99998782223947791</v>
      </c>
      <c r="AU85" s="22"/>
      <c r="AV85" s="22"/>
      <c r="AW85" s="91">
        <f>$A$37</f>
        <v>20143</v>
      </c>
      <c r="AX85" s="105"/>
      <c r="AY85" s="90">
        <f t="shared" ref="AY85:BF92" si="208">IFERROR(AZ72/AY72,"")</f>
        <v>0.92072337862329168</v>
      </c>
      <c r="AZ85" s="90">
        <f t="shared" si="208"/>
        <v>0.99028273580330395</v>
      </c>
      <c r="BA85" s="90">
        <f t="shared" si="208"/>
        <v>0.99715195112553712</v>
      </c>
      <c r="BB85" s="90">
        <f t="shared" si="208"/>
        <v>0.99935691346323352</v>
      </c>
      <c r="BC85" s="90">
        <f t="shared" si="208"/>
        <v>0.99977945722880102</v>
      </c>
      <c r="BD85" s="90">
        <f t="shared" si="208"/>
        <v>0.99989960053251836</v>
      </c>
      <c r="BE85" s="90">
        <f t="shared" si="208"/>
        <v>0.99987802421157568</v>
      </c>
      <c r="BF85" s="90">
        <f t="shared" si="208"/>
        <v>0.99994109941191389</v>
      </c>
      <c r="BG85" s="22"/>
      <c r="BH85" s="22"/>
      <c r="BI85" s="91">
        <f>$A$37</f>
        <v>20143</v>
      </c>
      <c r="BJ85" s="105"/>
      <c r="BK85" s="90">
        <f t="shared" ref="BK85:BR92" si="209">IFERROR(BL72/BK72,"")</f>
        <v>0.96711540953855413</v>
      </c>
      <c r="BL85" s="90">
        <f t="shared" si="209"/>
        <v>0.99709945778596787</v>
      </c>
      <c r="BM85" s="90">
        <f t="shared" si="209"/>
        <v>0.99996727945489006</v>
      </c>
      <c r="BN85" s="90">
        <f t="shared" si="209"/>
        <v>1.0000378629569888</v>
      </c>
      <c r="BO85" s="90">
        <f t="shared" si="209"/>
        <v>0.9999835878783192</v>
      </c>
      <c r="BP85" s="90">
        <f t="shared" si="209"/>
        <v>0.99998278080192193</v>
      </c>
      <c r="BQ85" s="90">
        <f t="shared" si="209"/>
        <v>0.99999670615173264</v>
      </c>
      <c r="BR85" s="90">
        <f t="shared" si="209"/>
        <v>1.0000121913506432</v>
      </c>
      <c r="BS85" s="22"/>
      <c r="BT85" s="22"/>
      <c r="BU85" s="91">
        <f>$A$37</f>
        <v>20143</v>
      </c>
      <c r="BV85" s="105"/>
      <c r="BW85" s="90">
        <f t="shared" ref="BW85:CD92" si="210">IFERROR(BX72/BW72,"")</f>
        <v>1.0880628735399429</v>
      </c>
      <c r="BX85" s="90">
        <f t="shared" si="210"/>
        <v>1</v>
      </c>
      <c r="BY85" s="90">
        <f t="shared" si="210"/>
        <v>1.0653877177803328</v>
      </c>
      <c r="BZ85" s="90">
        <f t="shared" si="210"/>
        <v>1</v>
      </c>
      <c r="CA85" s="90">
        <f t="shared" si="210"/>
        <v>1</v>
      </c>
      <c r="CB85" s="90">
        <f t="shared" si="210"/>
        <v>1</v>
      </c>
      <c r="CC85" s="90">
        <f t="shared" si="210"/>
        <v>1</v>
      </c>
      <c r="CD85" s="90">
        <f t="shared" si="210"/>
        <v>1</v>
      </c>
      <c r="CE85" s="22"/>
      <c r="CF85" s="22"/>
      <c r="CG85" s="91">
        <f>$A$37</f>
        <v>20143</v>
      </c>
      <c r="CH85" s="105"/>
      <c r="CI85" s="90" t="str">
        <f t="shared" ref="CI85:CP87" si="211">IFERROR(CJ72/CI72,"")</f>
        <v/>
      </c>
      <c r="CJ85" s="90" t="str">
        <f t="shared" si="211"/>
        <v/>
      </c>
      <c r="CK85" s="90" t="str">
        <f t="shared" si="211"/>
        <v/>
      </c>
      <c r="CL85" s="90" t="str">
        <f t="shared" si="211"/>
        <v/>
      </c>
      <c r="CM85" s="90" t="str">
        <f t="shared" si="211"/>
        <v/>
      </c>
      <c r="CN85" s="90" t="str">
        <f t="shared" si="211"/>
        <v/>
      </c>
      <c r="CO85" s="90" t="str">
        <f t="shared" si="211"/>
        <v/>
      </c>
      <c r="CP85" s="90" t="str">
        <f t="shared" si="211"/>
        <v/>
      </c>
      <c r="CQ85" s="22"/>
      <c r="CR85" s="22"/>
      <c r="CS85" s="91">
        <f>$A$37</f>
        <v>20143</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20143</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20153</v>
      </c>
      <c r="B86" s="105"/>
      <c r="C86" s="90">
        <f t="shared" si="204"/>
        <v>1.401325214190849</v>
      </c>
      <c r="D86" s="90">
        <f t="shared" si="204"/>
        <v>1.1361214973185501</v>
      </c>
      <c r="E86" s="90">
        <f t="shared" si="204"/>
        <v>1.0601662711905193</v>
      </c>
      <c r="F86" s="90">
        <f t="shared" si="204"/>
        <v>1.0307638198758267</v>
      </c>
      <c r="G86" s="90">
        <f t="shared" si="204"/>
        <v>1.0066898572109326</v>
      </c>
      <c r="H86" s="90">
        <f t="shared" si="204"/>
        <v>1.002396974999638</v>
      </c>
      <c r="I86" s="90">
        <f t="shared" si="204"/>
        <v>1.0022733206456189</v>
      </c>
      <c r="J86" s="22"/>
      <c r="K86" s="22"/>
      <c r="L86" s="22"/>
      <c r="M86" s="91">
        <f>$A$38</f>
        <v>20153</v>
      </c>
      <c r="N86" s="105"/>
      <c r="O86" s="90">
        <f t="shared" si="205"/>
        <v>1.2537107492088586</v>
      </c>
      <c r="P86" s="90">
        <f t="shared" si="205"/>
        <v>1.0237380535947262</v>
      </c>
      <c r="Q86" s="90">
        <f t="shared" si="205"/>
        <v>1.0089642478861227</v>
      </c>
      <c r="R86" s="90">
        <f t="shared" si="205"/>
        <v>1.0015967262957663</v>
      </c>
      <c r="S86" s="90">
        <f t="shared" si="205"/>
        <v>0.99993442580173852</v>
      </c>
      <c r="T86" s="90">
        <f t="shared" si="205"/>
        <v>1.0005891482793223</v>
      </c>
      <c r="U86" s="90">
        <f t="shared" si="205"/>
        <v>1.0000321797575069</v>
      </c>
      <c r="V86" s="22"/>
      <c r="W86" s="22"/>
      <c r="X86" s="22"/>
      <c r="Y86" s="91">
        <f>$A$38</f>
        <v>20153</v>
      </c>
      <c r="Z86" s="105"/>
      <c r="AA86" s="90">
        <f t="shared" si="206"/>
        <v>2.2768505359813163</v>
      </c>
      <c r="AB86" s="90">
        <f t="shared" si="206"/>
        <v>1.3122146742144993</v>
      </c>
      <c r="AC86" s="90">
        <f t="shared" si="206"/>
        <v>1.0923558649068092</v>
      </c>
      <c r="AD86" s="90">
        <f t="shared" si="206"/>
        <v>1.0458597019706746</v>
      </c>
      <c r="AE86" s="90">
        <f t="shared" si="206"/>
        <v>1.0209555249795885</v>
      </c>
      <c r="AF86" s="90">
        <f t="shared" si="206"/>
        <v>1.0111356637619864</v>
      </c>
      <c r="AG86" s="90">
        <f t="shared" si="206"/>
        <v>1.0046966132843549</v>
      </c>
      <c r="AH86" s="22"/>
      <c r="AI86" s="22"/>
      <c r="AJ86" s="22"/>
      <c r="AK86" s="91">
        <f>$A$38</f>
        <v>20153</v>
      </c>
      <c r="AL86" s="105"/>
      <c r="AM86" s="90">
        <f t="shared" si="207"/>
        <v>1.0160641767331522</v>
      </c>
      <c r="AN86" s="90">
        <f t="shared" si="207"/>
        <v>1.0015449943477082</v>
      </c>
      <c r="AO86" s="90">
        <f t="shared" si="207"/>
        <v>1.0001561776114369</v>
      </c>
      <c r="AP86" s="90">
        <f t="shared" si="207"/>
        <v>1.000231414924774</v>
      </c>
      <c r="AQ86" s="90">
        <f t="shared" si="207"/>
        <v>1.0001054059559875</v>
      </c>
      <c r="AR86" s="90">
        <f t="shared" si="207"/>
        <v>1.0000616959660817</v>
      </c>
      <c r="AS86" s="90">
        <f t="shared" si="207"/>
        <v>1.000044078676247</v>
      </c>
      <c r="AT86" s="22"/>
      <c r="AU86" s="22"/>
      <c r="AV86" s="22"/>
      <c r="AW86" s="91">
        <f>$A$38</f>
        <v>20153</v>
      </c>
      <c r="AX86" s="105"/>
      <c r="AY86" s="90">
        <f t="shared" si="208"/>
        <v>0.93332214608742581</v>
      </c>
      <c r="AZ86" s="90">
        <f t="shared" si="208"/>
        <v>0.9917340284755275</v>
      </c>
      <c r="BA86" s="90">
        <f t="shared" si="208"/>
        <v>0.99743510315779171</v>
      </c>
      <c r="BB86" s="90">
        <f t="shared" si="208"/>
        <v>0.99941079870717886</v>
      </c>
      <c r="BC86" s="90">
        <f t="shared" si="208"/>
        <v>0.99981645454929124</v>
      </c>
      <c r="BD86" s="90">
        <f t="shared" si="208"/>
        <v>0.99991226437069647</v>
      </c>
      <c r="BE86" s="90">
        <f t="shared" si="208"/>
        <v>0.99992075752061771</v>
      </c>
      <c r="BF86" s="22"/>
      <c r="BG86" s="22"/>
      <c r="BH86" s="22"/>
      <c r="BI86" s="91">
        <f>$A$38</f>
        <v>20153</v>
      </c>
      <c r="BJ86" s="105"/>
      <c r="BK86" s="90">
        <f t="shared" si="209"/>
        <v>0.97931506813968583</v>
      </c>
      <c r="BL86" s="90">
        <f t="shared" si="209"/>
        <v>0.99845933029467671</v>
      </c>
      <c r="BM86" s="90">
        <f t="shared" si="209"/>
        <v>0.99978236418767197</v>
      </c>
      <c r="BN86" s="90">
        <f t="shared" si="209"/>
        <v>0.99998167486846046</v>
      </c>
      <c r="BO86" s="90">
        <f t="shared" si="209"/>
        <v>1.0000064466769218</v>
      </c>
      <c r="BP86" s="90">
        <f t="shared" si="209"/>
        <v>0.99998680177836219</v>
      </c>
      <c r="BQ86" s="90">
        <f t="shared" si="209"/>
        <v>1.0000206372303582</v>
      </c>
      <c r="BR86" s="22"/>
      <c r="BS86" s="22"/>
      <c r="BT86" s="22"/>
      <c r="BU86" s="91">
        <f>$A$38</f>
        <v>20153</v>
      </c>
      <c r="BV86" s="105"/>
      <c r="BW86" s="90">
        <f t="shared" si="210"/>
        <v>1.1169683755652733</v>
      </c>
      <c r="BX86" s="90">
        <f t="shared" si="210"/>
        <v>1</v>
      </c>
      <c r="BY86" s="90">
        <f t="shared" si="210"/>
        <v>1</v>
      </c>
      <c r="BZ86" s="90">
        <f t="shared" si="210"/>
        <v>1</v>
      </c>
      <c r="CA86" s="90">
        <f t="shared" si="210"/>
        <v>1</v>
      </c>
      <c r="CB86" s="90">
        <f t="shared" si="210"/>
        <v>1</v>
      </c>
      <c r="CC86" s="90">
        <f t="shared" si="210"/>
        <v>1</v>
      </c>
      <c r="CD86" s="22"/>
      <c r="CE86" s="22"/>
      <c r="CF86" s="22"/>
      <c r="CG86" s="91">
        <f>$A$38</f>
        <v>20153</v>
      </c>
      <c r="CH86" s="105"/>
      <c r="CI86" s="90" t="str">
        <f t="shared" si="211"/>
        <v/>
      </c>
      <c r="CJ86" s="90" t="str">
        <f t="shared" si="211"/>
        <v/>
      </c>
      <c r="CK86" s="90" t="str">
        <f t="shared" si="211"/>
        <v/>
      </c>
      <c r="CL86" s="90" t="str">
        <f t="shared" si="211"/>
        <v/>
      </c>
      <c r="CM86" s="90" t="str">
        <f t="shared" si="211"/>
        <v/>
      </c>
      <c r="CN86" s="90" t="str">
        <f t="shared" si="211"/>
        <v/>
      </c>
      <c r="CO86" s="90" t="str">
        <f t="shared" si="211"/>
        <v/>
      </c>
      <c r="CP86" s="22"/>
      <c r="CQ86" s="22"/>
      <c r="CR86" s="22"/>
      <c r="CS86" s="91">
        <f>$A$38</f>
        <v>20153</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20153</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20163</v>
      </c>
      <c r="B87" s="105"/>
      <c r="C87" s="90">
        <f t="shared" si="204"/>
        <v>1.4371952315993286</v>
      </c>
      <c r="D87" s="90">
        <f t="shared" si="204"/>
        <v>1.1182214745224266</v>
      </c>
      <c r="E87" s="90">
        <f t="shared" si="204"/>
        <v>1.0717119076480501</v>
      </c>
      <c r="F87" s="90">
        <f t="shared" si="204"/>
        <v>1.025904999602381</v>
      </c>
      <c r="G87" s="90">
        <f t="shared" si="204"/>
        <v>1.0094131095223262</v>
      </c>
      <c r="H87" s="90">
        <f t="shared" si="204"/>
        <v>1.0071647623089519</v>
      </c>
      <c r="I87" s="22"/>
      <c r="J87" s="22"/>
      <c r="K87" s="22"/>
      <c r="L87" s="22"/>
      <c r="M87" s="91">
        <f>$A$39</f>
        <v>20163</v>
      </c>
      <c r="N87" s="105"/>
      <c r="O87" s="90">
        <f t="shared" si="205"/>
        <v>1.2897758111203828</v>
      </c>
      <c r="P87" s="90">
        <f t="shared" si="205"/>
        <v>1.0235730022710059</v>
      </c>
      <c r="Q87" s="90">
        <f t="shared" si="205"/>
        <v>1.0049743845219956</v>
      </c>
      <c r="R87" s="90">
        <f t="shared" si="205"/>
        <v>1.0008797677068713</v>
      </c>
      <c r="S87" s="90">
        <f t="shared" si="205"/>
        <v>1.0016646751311538</v>
      </c>
      <c r="T87" s="90">
        <f t="shared" si="205"/>
        <v>1.0006341988873613</v>
      </c>
      <c r="U87" s="22"/>
      <c r="V87" s="22"/>
      <c r="W87" s="22"/>
      <c r="X87" s="22"/>
      <c r="Y87" s="91">
        <f>$A$39</f>
        <v>20163</v>
      </c>
      <c r="Z87" s="105"/>
      <c r="AA87" s="90">
        <f t="shared" si="206"/>
        <v>2.1501867203715981</v>
      </c>
      <c r="AB87" s="90">
        <f t="shared" si="206"/>
        <v>1.2635305534208934</v>
      </c>
      <c r="AC87" s="90">
        <f t="shared" si="206"/>
        <v>1.0723343188696877</v>
      </c>
      <c r="AD87" s="90">
        <f t="shared" si="206"/>
        <v>1.0364915054464319</v>
      </c>
      <c r="AE87" s="90">
        <f t="shared" si="206"/>
        <v>1.0223047815907638</v>
      </c>
      <c r="AF87" s="90">
        <f t="shared" si="206"/>
        <v>1.014046389130467</v>
      </c>
      <c r="AG87" s="22"/>
      <c r="AH87" s="22"/>
      <c r="AI87" s="22"/>
      <c r="AJ87" s="22"/>
      <c r="AK87" s="91">
        <f>$A$39</f>
        <v>20163</v>
      </c>
      <c r="AL87" s="105"/>
      <c r="AM87" s="90">
        <f t="shared" si="207"/>
        <v>1.017289513312311</v>
      </c>
      <c r="AN87" s="90">
        <f t="shared" si="207"/>
        <v>1.0011099649980679</v>
      </c>
      <c r="AO87" s="90">
        <f t="shared" si="207"/>
        <v>0.99991006239037694</v>
      </c>
      <c r="AP87" s="90">
        <f t="shared" si="207"/>
        <v>0.99972900154260202</v>
      </c>
      <c r="AQ87" s="90">
        <f t="shared" si="207"/>
        <v>1.0002290492154</v>
      </c>
      <c r="AR87" s="90">
        <f t="shared" si="207"/>
        <v>1.0000554556554277</v>
      </c>
      <c r="AS87" s="22"/>
      <c r="AT87" s="22"/>
      <c r="AU87" s="22"/>
      <c r="AV87" s="22"/>
      <c r="AW87" s="91">
        <f>$A$39</f>
        <v>20163</v>
      </c>
      <c r="AX87" s="105"/>
      <c r="AY87" s="90">
        <f t="shared" si="208"/>
        <v>0.93372814463937726</v>
      </c>
      <c r="AZ87" s="90">
        <f t="shared" si="208"/>
        <v>0.99180630184243801</v>
      </c>
      <c r="BA87" s="90">
        <f t="shared" si="208"/>
        <v>0.99741364750440908</v>
      </c>
      <c r="BB87" s="90">
        <f t="shared" si="208"/>
        <v>0.99913219790965446</v>
      </c>
      <c r="BC87" s="90">
        <f t="shared" si="208"/>
        <v>0.99979169628067532</v>
      </c>
      <c r="BD87" s="90">
        <f t="shared" si="208"/>
        <v>0.99985385363222046</v>
      </c>
      <c r="BE87" s="22"/>
      <c r="BF87" s="22"/>
      <c r="BG87" s="22"/>
      <c r="BH87" s="22"/>
      <c r="BI87" s="91">
        <f>$A$39</f>
        <v>20163</v>
      </c>
      <c r="BJ87" s="105"/>
      <c r="BK87" s="90">
        <f t="shared" si="209"/>
        <v>0.9809471424030044</v>
      </c>
      <c r="BL87" s="90">
        <f t="shared" si="209"/>
        <v>0.99851133932463643</v>
      </c>
      <c r="BM87" s="90">
        <f t="shared" si="209"/>
        <v>0.99988149300423501</v>
      </c>
      <c r="BN87" s="90">
        <f t="shared" si="209"/>
        <v>0.99999755226129527</v>
      </c>
      <c r="BO87" s="90">
        <f t="shared" si="209"/>
        <v>1.0000045837817173</v>
      </c>
      <c r="BP87" s="90">
        <f t="shared" si="209"/>
        <v>1.0000099335379962</v>
      </c>
      <c r="BQ87" s="22"/>
      <c r="BR87" s="22"/>
      <c r="BS87" s="22"/>
      <c r="BT87" s="22"/>
      <c r="BU87" s="91">
        <f>$A$39</f>
        <v>20163</v>
      </c>
      <c r="BV87" s="105"/>
      <c r="BW87" s="90">
        <f t="shared" si="210"/>
        <v>1.1680508060576453</v>
      </c>
      <c r="BX87" s="90">
        <f t="shared" si="210"/>
        <v>1.0836470096194062</v>
      </c>
      <c r="BY87" s="90">
        <f t="shared" si="210"/>
        <v>1.0308761096101891</v>
      </c>
      <c r="BZ87" s="90">
        <f t="shared" si="210"/>
        <v>1.0318232871583677</v>
      </c>
      <c r="CA87" s="90">
        <f t="shared" si="210"/>
        <v>1</v>
      </c>
      <c r="CB87" s="90">
        <f t="shared" si="210"/>
        <v>1</v>
      </c>
      <c r="CC87" s="22"/>
      <c r="CD87" s="22"/>
      <c r="CE87" s="22"/>
      <c r="CF87" s="22"/>
      <c r="CG87" s="91">
        <f>$A$39</f>
        <v>20163</v>
      </c>
      <c r="CH87" s="105"/>
      <c r="CI87" s="90" t="str">
        <f t="shared" si="211"/>
        <v/>
      </c>
      <c r="CJ87" s="90" t="str">
        <f t="shared" si="211"/>
        <v/>
      </c>
      <c r="CK87" s="90" t="str">
        <f t="shared" si="211"/>
        <v/>
      </c>
      <c r="CL87" s="90" t="str">
        <f t="shared" si="211"/>
        <v/>
      </c>
      <c r="CM87" s="90" t="str">
        <f t="shared" si="211"/>
        <v/>
      </c>
      <c r="CN87" s="90" t="str">
        <f t="shared" si="211"/>
        <v/>
      </c>
      <c r="CO87" s="22"/>
      <c r="CP87" s="22"/>
      <c r="CQ87" s="22"/>
      <c r="CR87" s="22"/>
      <c r="CS87" s="91">
        <f>$A$39</f>
        <v>20163</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20163</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20173</v>
      </c>
      <c r="B88" s="105"/>
      <c r="C88" s="90">
        <f t="shared" si="204"/>
        <v>1.3530460369018715</v>
      </c>
      <c r="D88" s="90">
        <f t="shared" si="204"/>
        <v>1.1581657800838074</v>
      </c>
      <c r="E88" s="90">
        <f t="shared" si="204"/>
        <v>1.0522647050849163</v>
      </c>
      <c r="F88" s="90">
        <f t="shared" si="204"/>
        <v>1.0358743924966081</v>
      </c>
      <c r="G88" s="90">
        <f t="shared" si="204"/>
        <v>1.0357798619945457</v>
      </c>
      <c r="H88" s="22"/>
      <c r="I88" s="22"/>
      <c r="J88" s="22"/>
      <c r="K88" s="22"/>
      <c r="L88" s="22"/>
      <c r="M88" s="91">
        <f>$A$40</f>
        <v>20173</v>
      </c>
      <c r="N88" s="105"/>
      <c r="O88" s="90">
        <f t="shared" si="205"/>
        <v>1.2984101936189647</v>
      </c>
      <c r="P88" s="90">
        <f t="shared" si="205"/>
        <v>1.0391840726456139</v>
      </c>
      <c r="Q88" s="90">
        <f t="shared" si="205"/>
        <v>1.0055068496424981</v>
      </c>
      <c r="R88" s="90">
        <f t="shared" si="205"/>
        <v>1.0018184630672977</v>
      </c>
      <c r="S88" s="90">
        <f t="shared" si="205"/>
        <v>1.0002744858940942</v>
      </c>
      <c r="T88" s="22"/>
      <c r="U88" s="22"/>
      <c r="V88" s="22"/>
      <c r="W88" s="22"/>
      <c r="X88" s="22"/>
      <c r="Y88" s="91">
        <f>$A$40</f>
        <v>20173</v>
      </c>
      <c r="Z88" s="105"/>
      <c r="AA88" s="90">
        <f t="shared" si="206"/>
        <v>2.1391238246648392</v>
      </c>
      <c r="AB88" s="90">
        <f t="shared" si="206"/>
        <v>1.2525664192340438</v>
      </c>
      <c r="AC88" s="90">
        <f t="shared" si="206"/>
        <v>1.0810110043599159</v>
      </c>
      <c r="AD88" s="90">
        <f t="shared" si="206"/>
        <v>1.0389160365918153</v>
      </c>
      <c r="AE88" s="90">
        <f t="shared" si="206"/>
        <v>1.026185275204111</v>
      </c>
      <c r="AF88" s="22"/>
      <c r="AG88" s="22"/>
      <c r="AH88" s="22"/>
      <c r="AI88" s="22"/>
      <c r="AJ88" s="22"/>
      <c r="AK88" s="91">
        <f>$A$40</f>
        <v>20173</v>
      </c>
      <c r="AL88" s="105"/>
      <c r="AM88" s="90">
        <f t="shared" si="207"/>
        <v>1.0171914653905025</v>
      </c>
      <c r="AN88" s="90">
        <f t="shared" si="207"/>
        <v>1.0024038004352374</v>
      </c>
      <c r="AO88" s="90">
        <f t="shared" si="207"/>
        <v>1.0009706750596694</v>
      </c>
      <c r="AP88" s="90">
        <f t="shared" si="207"/>
        <v>1.0006004713398235</v>
      </c>
      <c r="AQ88" s="90">
        <f t="shared" si="207"/>
        <v>1.0000838841867976</v>
      </c>
      <c r="AR88" s="22"/>
      <c r="AS88" s="22"/>
      <c r="AT88" s="22"/>
      <c r="AU88" s="22"/>
      <c r="AV88" s="22"/>
      <c r="AW88" s="91">
        <f>$A$40</f>
        <v>20173</v>
      </c>
      <c r="AX88" s="105"/>
      <c r="AY88" s="90">
        <f t="shared" si="208"/>
        <v>0.94517776856707647</v>
      </c>
      <c r="AZ88" s="90">
        <f t="shared" si="208"/>
        <v>0.99279279502282092</v>
      </c>
      <c r="BA88" s="90">
        <f t="shared" si="208"/>
        <v>0.99786088705947851</v>
      </c>
      <c r="BB88" s="90">
        <f t="shared" si="208"/>
        <v>0.99913695177794659</v>
      </c>
      <c r="BC88" s="90">
        <f t="shared" si="208"/>
        <v>0.99969286903901178</v>
      </c>
      <c r="BD88" s="22"/>
      <c r="BE88" s="22"/>
      <c r="BF88" s="22"/>
      <c r="BG88" s="22"/>
      <c r="BH88" s="22"/>
      <c r="BI88" s="91">
        <f>$A$40</f>
        <v>20173</v>
      </c>
      <c r="BJ88" s="105"/>
      <c r="BK88" s="90">
        <f t="shared" si="209"/>
        <v>0.98224330878056387</v>
      </c>
      <c r="BL88" s="90">
        <f t="shared" si="209"/>
        <v>0.99942055491084425</v>
      </c>
      <c r="BM88" s="90">
        <f t="shared" si="209"/>
        <v>1.0001364489686257</v>
      </c>
      <c r="BN88" s="90">
        <f t="shared" si="209"/>
        <v>1.0001430921538905</v>
      </c>
      <c r="BO88" s="90">
        <f t="shared" si="209"/>
        <v>1.0000016346925273</v>
      </c>
      <c r="BP88" s="22"/>
      <c r="BQ88" s="22"/>
      <c r="BR88" s="22"/>
      <c r="BS88" s="22"/>
      <c r="BT88" s="22"/>
      <c r="BU88" s="91">
        <f>$A$40</f>
        <v>20173</v>
      </c>
      <c r="BV88" s="105"/>
      <c r="BW88" s="90">
        <f t="shared" si="210"/>
        <v>1.1528749619714025</v>
      </c>
      <c r="BX88" s="90">
        <f t="shared" si="210"/>
        <v>1.002596965298852</v>
      </c>
      <c r="BY88" s="90">
        <f t="shared" si="210"/>
        <v>1</v>
      </c>
      <c r="BZ88" s="90">
        <f t="shared" si="210"/>
        <v>1</v>
      </c>
      <c r="CA88" s="90">
        <f t="shared" si="210"/>
        <v>1</v>
      </c>
      <c r="CB88" s="22"/>
      <c r="CC88" s="22"/>
      <c r="CD88" s="22"/>
      <c r="CE88" s="22"/>
      <c r="CF88" s="22"/>
      <c r="CG88" s="91">
        <f>$A$40</f>
        <v>20173</v>
      </c>
      <c r="CH88" s="105"/>
      <c r="CI88" s="90" t="str">
        <f t="shared" ref="CI88:CM88" si="214">IFERROR(CJ75/CI75,"")</f>
        <v/>
      </c>
      <c r="CJ88" s="90" t="str">
        <f t="shared" si="214"/>
        <v/>
      </c>
      <c r="CK88" s="90" t="str">
        <f t="shared" si="214"/>
        <v/>
      </c>
      <c r="CL88" s="90" t="str">
        <f t="shared" si="214"/>
        <v/>
      </c>
      <c r="CM88" s="90" t="str">
        <f t="shared" si="214"/>
        <v/>
      </c>
      <c r="CN88" s="22"/>
      <c r="CO88" s="22"/>
      <c r="CP88" s="22"/>
      <c r="CQ88" s="22"/>
      <c r="CR88" s="22"/>
      <c r="CS88" s="91">
        <f>$A$40</f>
        <v>20173</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20173</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20183</v>
      </c>
      <c r="B89" s="105"/>
      <c r="C89" s="90">
        <f t="shared" si="204"/>
        <v>1.378599687021332</v>
      </c>
      <c r="D89" s="90">
        <f t="shared" si="204"/>
        <v>1.1246213706070975</v>
      </c>
      <c r="E89" s="90">
        <f t="shared" si="204"/>
        <v>1.07237609961561</v>
      </c>
      <c r="F89" s="90">
        <f t="shared" si="204"/>
        <v>1.0527216664679198</v>
      </c>
      <c r="G89" s="22"/>
      <c r="H89" s="22"/>
      <c r="I89" s="22"/>
      <c r="J89" s="22"/>
      <c r="K89" s="22"/>
      <c r="L89" s="22"/>
      <c r="M89" s="91">
        <f>$A$41</f>
        <v>20183</v>
      </c>
      <c r="N89" s="105"/>
      <c r="O89" s="90">
        <f t="shared" si="205"/>
        <v>1.3524958428970193</v>
      </c>
      <c r="P89" s="90">
        <f t="shared" si="205"/>
        <v>1.0425846717136014</v>
      </c>
      <c r="Q89" s="90">
        <f t="shared" si="205"/>
        <v>1.0094079144906569</v>
      </c>
      <c r="R89" s="90">
        <f t="shared" si="205"/>
        <v>1.0023140506064099</v>
      </c>
      <c r="S89" s="22"/>
      <c r="T89" s="22"/>
      <c r="U89" s="22"/>
      <c r="V89" s="22"/>
      <c r="W89" s="22"/>
      <c r="X89" s="22"/>
      <c r="Y89" s="91">
        <f>$A$41</f>
        <v>20183</v>
      </c>
      <c r="Z89" s="105"/>
      <c r="AA89" s="90">
        <f t="shared" si="206"/>
        <v>2.09762217879558</v>
      </c>
      <c r="AB89" s="90">
        <f t="shared" si="206"/>
        <v>1.233916544716442</v>
      </c>
      <c r="AC89" s="90">
        <f t="shared" si="206"/>
        <v>1.0896170600990929</v>
      </c>
      <c r="AD89" s="90">
        <f t="shared" si="206"/>
        <v>1.0493945709688437</v>
      </c>
      <c r="AE89" s="22"/>
      <c r="AF89" s="22"/>
      <c r="AG89" s="22"/>
      <c r="AH89" s="22"/>
      <c r="AI89" s="22"/>
      <c r="AJ89" s="22"/>
      <c r="AK89" s="91">
        <f>$A$41</f>
        <v>20183</v>
      </c>
      <c r="AL89" s="105"/>
      <c r="AM89" s="90">
        <f t="shared" si="207"/>
        <v>1.0167809584643803</v>
      </c>
      <c r="AN89" s="90">
        <f t="shared" si="207"/>
        <v>0.99987192498128497</v>
      </c>
      <c r="AO89" s="90">
        <f t="shared" si="207"/>
        <v>0.99994446874451814</v>
      </c>
      <c r="AP89" s="90">
        <f t="shared" si="207"/>
        <v>0.9999178552842154</v>
      </c>
      <c r="AQ89" s="22"/>
      <c r="AR89" s="22"/>
      <c r="AS89" s="22"/>
      <c r="AT89" s="22"/>
      <c r="AU89" s="22"/>
      <c r="AV89" s="22"/>
      <c r="AW89" s="91">
        <f>$A$41</f>
        <v>20183</v>
      </c>
      <c r="AX89" s="105"/>
      <c r="AY89" s="90">
        <f t="shared" si="208"/>
        <v>0.95375626349678178</v>
      </c>
      <c r="AZ89" s="90">
        <f t="shared" si="208"/>
        <v>0.99325652152786292</v>
      </c>
      <c r="BA89" s="90">
        <f t="shared" si="208"/>
        <v>0.99721923951299163</v>
      </c>
      <c r="BB89" s="90">
        <f t="shared" si="208"/>
        <v>0.99918087658459898</v>
      </c>
      <c r="BC89" s="22"/>
      <c r="BD89" s="22"/>
      <c r="BE89" s="22"/>
      <c r="BF89" s="22"/>
      <c r="BG89" s="22"/>
      <c r="BH89" s="22"/>
      <c r="BI89" s="91">
        <f>$A$41</f>
        <v>20183</v>
      </c>
      <c r="BJ89" s="105"/>
      <c r="BK89" s="90">
        <f t="shared" si="209"/>
        <v>0.98975584040063136</v>
      </c>
      <c r="BL89" s="90">
        <f t="shared" si="209"/>
        <v>0.9997366749247788</v>
      </c>
      <c r="BM89" s="90">
        <f t="shared" si="209"/>
        <v>1.0003679817696181</v>
      </c>
      <c r="BN89" s="90">
        <f t="shared" si="209"/>
        <v>1.000120786984565</v>
      </c>
      <c r="BO89" s="22"/>
      <c r="BP89" s="22"/>
      <c r="BQ89" s="22"/>
      <c r="BR89" s="22"/>
      <c r="BS89" s="22"/>
      <c r="BT89" s="22"/>
      <c r="BU89" s="91">
        <f>$A$41</f>
        <v>20183</v>
      </c>
      <c r="BV89" s="105"/>
      <c r="BW89" s="90">
        <f t="shared" si="210"/>
        <v>1.3149983823027376</v>
      </c>
      <c r="BX89" s="90">
        <f t="shared" si="210"/>
        <v>1.0294162971227998</v>
      </c>
      <c r="BY89" s="90">
        <f t="shared" si="210"/>
        <v>1.0128590675533873</v>
      </c>
      <c r="BZ89" s="90">
        <f t="shared" si="210"/>
        <v>1</v>
      </c>
      <c r="CA89" s="22"/>
      <c r="CB89" s="22"/>
      <c r="CC89" s="22"/>
      <c r="CD89" s="22"/>
      <c r="CE89" s="22"/>
      <c r="CF89" s="22"/>
      <c r="CG89" s="91">
        <f>$A$41</f>
        <v>20183</v>
      </c>
      <c r="CH89" s="105"/>
      <c r="CI89" s="90" t="str">
        <f t="shared" ref="CI89:CL89" si="215">IFERROR(CJ76/CI76,"")</f>
        <v/>
      </c>
      <c r="CJ89" s="90" t="str">
        <f t="shared" si="215"/>
        <v/>
      </c>
      <c r="CK89" s="90" t="str">
        <f t="shared" si="215"/>
        <v/>
      </c>
      <c r="CL89" s="90" t="str">
        <f t="shared" si="215"/>
        <v/>
      </c>
      <c r="CM89" s="22"/>
      <c r="CN89" s="22"/>
      <c r="CO89" s="22"/>
      <c r="CP89" s="22"/>
      <c r="CQ89" s="22"/>
      <c r="CR89" s="22"/>
      <c r="CS89" s="91">
        <f>$A$41</f>
        <v>20183</v>
      </c>
      <c r="CT89" s="105"/>
      <c r="CU89" s="90" t="str">
        <f t="shared" si="212"/>
        <v/>
      </c>
      <c r="CV89" s="90" t="str">
        <f t="shared" si="212"/>
        <v/>
      </c>
      <c r="CW89" s="90" t="str">
        <f t="shared" si="212"/>
        <v/>
      </c>
      <c r="CX89" s="90" t="str">
        <f t="shared" si="212"/>
        <v/>
      </c>
      <c r="CY89" s="22"/>
      <c r="CZ89" s="22"/>
      <c r="DA89" s="22"/>
      <c r="DB89" s="22"/>
      <c r="DC89" s="22"/>
      <c r="DD89" s="22"/>
      <c r="DE89" s="91">
        <f>$A$41</f>
        <v>20183</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20193</v>
      </c>
      <c r="B90" s="105"/>
      <c r="C90" s="90">
        <f t="shared" si="204"/>
        <v>1.3745923038591179</v>
      </c>
      <c r="D90" s="90">
        <f t="shared" si="204"/>
        <v>1.1265532849383348</v>
      </c>
      <c r="E90" s="90">
        <f t="shared" si="204"/>
        <v>1.0956578730752373</v>
      </c>
      <c r="F90" s="22"/>
      <c r="G90" s="22"/>
      <c r="H90" s="22"/>
      <c r="I90" s="22"/>
      <c r="J90" s="22"/>
      <c r="K90" s="22"/>
      <c r="L90" s="22"/>
      <c r="M90" s="91">
        <f>$A$42</f>
        <v>20193</v>
      </c>
      <c r="N90" s="105"/>
      <c r="O90" s="90">
        <f t="shared" si="205"/>
        <v>1.3587058934918772</v>
      </c>
      <c r="P90" s="90">
        <f t="shared" si="205"/>
        <v>1.0528624720050075</v>
      </c>
      <c r="Q90" s="90">
        <f t="shared" si="205"/>
        <v>1.0125424027272152</v>
      </c>
      <c r="R90" s="22"/>
      <c r="S90" s="22"/>
      <c r="T90" s="22"/>
      <c r="U90" s="22"/>
      <c r="V90" s="22"/>
      <c r="W90" s="22"/>
      <c r="X90" s="22"/>
      <c r="Y90" s="91">
        <f>$A$42</f>
        <v>20193</v>
      </c>
      <c r="Z90" s="105"/>
      <c r="AA90" s="90">
        <f t="shared" si="206"/>
        <v>2.060123717855773</v>
      </c>
      <c r="AB90" s="90">
        <f t="shared" si="206"/>
        <v>1.289295159178619</v>
      </c>
      <c r="AC90" s="90">
        <f t="shared" si="206"/>
        <v>1.1233556287726822</v>
      </c>
      <c r="AD90" s="22"/>
      <c r="AE90" s="22"/>
      <c r="AF90" s="22"/>
      <c r="AG90" s="22"/>
      <c r="AH90" s="22"/>
      <c r="AI90" s="22"/>
      <c r="AJ90" s="22"/>
      <c r="AK90" s="91">
        <f>$A$42</f>
        <v>20193</v>
      </c>
      <c r="AL90" s="105"/>
      <c r="AM90" s="90">
        <f t="shared" si="207"/>
        <v>1.0109533957393479</v>
      </c>
      <c r="AN90" s="90">
        <f t="shared" si="207"/>
        <v>0.99668452767234683</v>
      </c>
      <c r="AO90" s="90">
        <f t="shared" si="207"/>
        <v>1.0006817516263482</v>
      </c>
      <c r="AP90" s="22"/>
      <c r="AQ90" s="22"/>
      <c r="AR90" s="22"/>
      <c r="AS90" s="22"/>
      <c r="AT90" s="22"/>
      <c r="AU90" s="22"/>
      <c r="AV90" s="22"/>
      <c r="AW90" s="91">
        <f>$A$42</f>
        <v>20193</v>
      </c>
      <c r="AX90" s="105"/>
      <c r="AY90" s="90">
        <f t="shared" si="208"/>
        <v>0.95234349314760014</v>
      </c>
      <c r="AZ90" s="90">
        <f t="shared" si="208"/>
        <v>0.99396846943423356</v>
      </c>
      <c r="BA90" s="90">
        <f t="shared" si="208"/>
        <v>0.99687104565567553</v>
      </c>
      <c r="BB90" s="22"/>
      <c r="BC90" s="22"/>
      <c r="BD90" s="22"/>
      <c r="BE90" s="22"/>
      <c r="BF90" s="22"/>
      <c r="BG90" s="22"/>
      <c r="BH90" s="22"/>
      <c r="BI90" s="91">
        <f>$A$42</f>
        <v>20193</v>
      </c>
      <c r="BJ90" s="105"/>
      <c r="BK90" s="90">
        <f t="shared" si="209"/>
        <v>0.98521873267333404</v>
      </c>
      <c r="BL90" s="90">
        <f t="shared" si="209"/>
        <v>1.0003470109766928</v>
      </c>
      <c r="BM90" s="90">
        <f t="shared" si="209"/>
        <v>1.0003055948669985</v>
      </c>
      <c r="BN90" s="22"/>
      <c r="BO90" s="22"/>
      <c r="BP90" s="22"/>
      <c r="BQ90" s="22"/>
      <c r="BR90" s="22"/>
      <c r="BS90" s="22"/>
      <c r="BT90" s="22"/>
      <c r="BU90" s="91">
        <f>$A$42</f>
        <v>20193</v>
      </c>
      <c r="BV90" s="105"/>
      <c r="BW90" s="90">
        <f t="shared" si="210"/>
        <v>1.1313293088579524</v>
      </c>
      <c r="BX90" s="90">
        <f t="shared" si="210"/>
        <v>1.0326690623979091</v>
      </c>
      <c r="BY90" s="90">
        <f t="shared" si="210"/>
        <v>1</v>
      </c>
      <c r="BZ90" s="22"/>
      <c r="CA90" s="22"/>
      <c r="CB90" s="22"/>
      <c r="CC90" s="22"/>
      <c r="CD90" s="22"/>
      <c r="CE90" s="22"/>
      <c r="CF90" s="22"/>
      <c r="CG90" s="91">
        <f>$A$42</f>
        <v>20193</v>
      </c>
      <c r="CH90" s="105"/>
      <c r="CI90" s="90" t="str">
        <f t="shared" ref="CI90:CK90" si="216">IFERROR(CJ77/CI77,"")</f>
        <v/>
      </c>
      <c r="CJ90" s="90" t="str">
        <f t="shared" si="216"/>
        <v/>
      </c>
      <c r="CK90" s="90" t="str">
        <f t="shared" si="216"/>
        <v/>
      </c>
      <c r="CL90" s="22"/>
      <c r="CM90" s="22"/>
      <c r="CN90" s="22"/>
      <c r="CO90" s="22"/>
      <c r="CP90" s="22"/>
      <c r="CQ90" s="22"/>
      <c r="CR90" s="22"/>
      <c r="CS90" s="91">
        <f>$A$42</f>
        <v>20193</v>
      </c>
      <c r="CT90" s="105"/>
      <c r="CU90" s="90" t="str">
        <f t="shared" si="212"/>
        <v/>
      </c>
      <c r="CV90" s="90" t="str">
        <f t="shared" si="212"/>
        <v/>
      </c>
      <c r="CW90" s="90" t="str">
        <f t="shared" si="212"/>
        <v/>
      </c>
      <c r="CX90" s="22"/>
      <c r="CY90" s="22"/>
      <c r="CZ90" s="22"/>
      <c r="DA90" s="22"/>
      <c r="DB90" s="22"/>
      <c r="DC90" s="22"/>
      <c r="DD90" s="22"/>
      <c r="DE90" s="91">
        <f>$A$42</f>
        <v>20193</v>
      </c>
      <c r="DF90" s="105"/>
      <c r="DG90" s="90" t="str">
        <f t="shared" si="213"/>
        <v/>
      </c>
      <c r="DH90" s="90" t="str">
        <f t="shared" si="213"/>
        <v/>
      </c>
      <c r="DI90" s="90" t="str">
        <f t="shared" si="213"/>
        <v/>
      </c>
      <c r="DJ90" s="22"/>
      <c r="DK90" s="22"/>
      <c r="DL90" s="22"/>
      <c r="DM90" s="22"/>
      <c r="DN90" s="22"/>
      <c r="DO90" s="22"/>
      <c r="DP90" s="22"/>
    </row>
    <row r="91" spans="1:120" x14ac:dyDescent="0.25">
      <c r="A91" s="91">
        <f>$A$43</f>
        <v>20203</v>
      </c>
      <c r="B91" s="105"/>
      <c r="C91" s="90">
        <f>IFERROR(D78/C78,"")</f>
        <v>1.3294891115960072</v>
      </c>
      <c r="D91" s="90">
        <f>IFERROR(E78/D78,"")</f>
        <v>1.176742567111849</v>
      </c>
      <c r="E91" s="22"/>
      <c r="F91" s="22"/>
      <c r="G91" s="22"/>
      <c r="H91" s="22"/>
      <c r="I91" s="22"/>
      <c r="J91" s="22"/>
      <c r="K91" s="22"/>
      <c r="L91" s="22"/>
      <c r="M91" s="91">
        <f>$A$43</f>
        <v>20203</v>
      </c>
      <c r="N91" s="105"/>
      <c r="O91" s="90">
        <f t="shared" si="205"/>
        <v>1.3553171000939201</v>
      </c>
      <c r="P91" s="90">
        <f t="shared" si="205"/>
        <v>1.0579213738915509</v>
      </c>
      <c r="Q91" s="22"/>
      <c r="R91" s="22"/>
      <c r="S91" s="22"/>
      <c r="T91" s="22"/>
      <c r="U91" s="22"/>
      <c r="V91" s="22"/>
      <c r="W91" s="22"/>
      <c r="X91" s="22"/>
      <c r="Y91" s="91">
        <f>$A$43</f>
        <v>20203</v>
      </c>
      <c r="Z91" s="105"/>
      <c r="AA91" s="90">
        <f t="shared" si="206"/>
        <v>2.3420804582271919</v>
      </c>
      <c r="AB91" s="90">
        <f t="shared" si="206"/>
        <v>1.3182089660977778</v>
      </c>
      <c r="AC91" s="22"/>
      <c r="AD91" s="22"/>
      <c r="AE91" s="22"/>
      <c r="AF91" s="22"/>
      <c r="AG91" s="22"/>
      <c r="AH91" s="22"/>
      <c r="AI91" s="22"/>
      <c r="AJ91" s="22"/>
      <c r="AK91" s="91">
        <f>$A$43</f>
        <v>20203</v>
      </c>
      <c r="AL91" s="105"/>
      <c r="AM91" s="90">
        <f t="shared" si="207"/>
        <v>1.0160636628395727</v>
      </c>
      <c r="AN91" s="90">
        <f t="shared" si="207"/>
        <v>1.0058605169425716</v>
      </c>
      <c r="AO91" s="22"/>
      <c r="AP91" s="22"/>
      <c r="AQ91" s="22"/>
      <c r="AR91" s="22"/>
      <c r="AS91" s="22"/>
      <c r="AT91" s="22"/>
      <c r="AU91" s="22"/>
      <c r="AV91" s="22"/>
      <c r="AW91" s="91">
        <f>$A$43</f>
        <v>20203</v>
      </c>
      <c r="AX91" s="105"/>
      <c r="AY91" s="90">
        <f t="shared" si="208"/>
        <v>0.97889586305667342</v>
      </c>
      <c r="AZ91" s="90">
        <f t="shared" si="208"/>
        <v>0.99619296122087053</v>
      </c>
      <c r="BA91" s="22"/>
      <c r="BB91" s="22"/>
      <c r="BC91" s="22"/>
      <c r="BD91" s="22"/>
      <c r="BE91" s="22"/>
      <c r="BF91" s="22"/>
      <c r="BG91" s="22"/>
      <c r="BH91" s="22"/>
      <c r="BI91" s="91">
        <f>$A$43</f>
        <v>20203</v>
      </c>
      <c r="BJ91" s="105"/>
      <c r="BK91" s="90">
        <f t="shared" si="209"/>
        <v>1.0010617282909979</v>
      </c>
      <c r="BL91" s="90">
        <f t="shared" si="209"/>
        <v>1.0013569677975551</v>
      </c>
      <c r="BM91" s="22"/>
      <c r="BN91" s="22"/>
      <c r="BO91" s="22"/>
      <c r="BP91" s="22"/>
      <c r="BQ91" s="22"/>
      <c r="BR91" s="22"/>
      <c r="BS91" s="22"/>
      <c r="BT91" s="22"/>
      <c r="BU91" s="91">
        <f>$A$43</f>
        <v>20203</v>
      </c>
      <c r="BV91" s="105"/>
      <c r="BW91" s="90">
        <f t="shared" si="210"/>
        <v>1.1756234632946962</v>
      </c>
      <c r="BX91" s="90">
        <f t="shared" si="210"/>
        <v>1</v>
      </c>
      <c r="BY91" s="22"/>
      <c r="BZ91" s="22"/>
      <c r="CA91" s="22"/>
      <c r="CB91" s="22"/>
      <c r="CC91" s="22"/>
      <c r="CD91" s="22"/>
      <c r="CE91" s="22"/>
      <c r="CF91" s="22"/>
      <c r="CG91" s="91">
        <f>$A$43</f>
        <v>20203</v>
      </c>
      <c r="CH91" s="105"/>
      <c r="CI91" s="90" t="str">
        <f t="shared" ref="CI91:CJ91" si="217">IFERROR(CJ78/CI78,"")</f>
        <v/>
      </c>
      <c r="CJ91" s="90" t="str">
        <f t="shared" si="217"/>
        <v/>
      </c>
      <c r="CK91" s="22"/>
      <c r="CL91" s="22"/>
      <c r="CM91" s="22"/>
      <c r="CN91" s="22"/>
      <c r="CO91" s="22"/>
      <c r="CP91" s="22"/>
      <c r="CQ91" s="22"/>
      <c r="CR91" s="22"/>
      <c r="CS91" s="91">
        <f>$A$43</f>
        <v>20203</v>
      </c>
      <c r="CT91" s="105"/>
      <c r="CU91" s="90" t="str">
        <f t="shared" si="212"/>
        <v/>
      </c>
      <c r="CV91" s="90" t="str">
        <f t="shared" si="212"/>
        <v/>
      </c>
      <c r="CW91" s="22"/>
      <c r="CX91" s="22"/>
      <c r="CY91" s="22"/>
      <c r="CZ91" s="22"/>
      <c r="DA91" s="22"/>
      <c r="DB91" s="22"/>
      <c r="DC91" s="22"/>
      <c r="DD91" s="22"/>
      <c r="DE91" s="91">
        <f>$A$43</f>
        <v>20203</v>
      </c>
      <c r="DF91" s="105"/>
      <c r="DG91" s="90" t="str">
        <f t="shared" si="213"/>
        <v/>
      </c>
      <c r="DH91" s="90" t="str">
        <f t="shared" si="213"/>
        <v/>
      </c>
      <c r="DI91" s="22"/>
      <c r="DJ91" s="22"/>
      <c r="DK91" s="22"/>
      <c r="DL91" s="22"/>
      <c r="DM91" s="22"/>
      <c r="DN91" s="22"/>
      <c r="DO91" s="22"/>
      <c r="DP91" s="22"/>
    </row>
    <row r="92" spans="1:120" x14ac:dyDescent="0.25">
      <c r="A92" s="91">
        <f>$A$44</f>
        <v>20213</v>
      </c>
      <c r="B92" s="105"/>
      <c r="C92" s="90">
        <f t="shared" si="204"/>
        <v>1.4510925109436486</v>
      </c>
      <c r="D92" s="22"/>
      <c r="E92" s="22"/>
      <c r="F92" s="22"/>
      <c r="G92" s="22"/>
      <c r="H92" s="22"/>
      <c r="I92" s="22"/>
      <c r="J92" s="22"/>
      <c r="K92" s="22"/>
      <c r="L92" s="22"/>
      <c r="M92" s="91">
        <f>$A$44</f>
        <v>20213</v>
      </c>
      <c r="N92" s="105"/>
      <c r="O92" s="90">
        <f t="shared" si="205"/>
        <v>1.5024091679978024</v>
      </c>
      <c r="P92" s="22"/>
      <c r="Q92" s="22"/>
      <c r="R92" s="22"/>
      <c r="S92" s="22"/>
      <c r="T92" s="22"/>
      <c r="U92" s="22"/>
      <c r="V92" s="22"/>
      <c r="W92" s="22"/>
      <c r="X92" s="22"/>
      <c r="Y92" s="91">
        <f>$A$44</f>
        <v>20213</v>
      </c>
      <c r="Z92" s="105"/>
      <c r="AA92" s="90">
        <f t="shared" si="206"/>
        <v>2.4427596846223025</v>
      </c>
      <c r="AB92" s="22"/>
      <c r="AC92" s="22"/>
      <c r="AD92" s="22"/>
      <c r="AE92" s="22"/>
      <c r="AF92" s="22"/>
      <c r="AG92" s="22"/>
      <c r="AH92" s="22"/>
      <c r="AI92" s="22"/>
      <c r="AJ92" s="22"/>
      <c r="AK92" s="91">
        <f>$A$44</f>
        <v>20213</v>
      </c>
      <c r="AL92" s="105"/>
      <c r="AM92" s="90">
        <f t="shared" si="207"/>
        <v>1.0281033905523245</v>
      </c>
      <c r="AN92" s="22"/>
      <c r="AO92" s="22"/>
      <c r="AP92" s="22"/>
      <c r="AQ92" s="22"/>
      <c r="AR92" s="22"/>
      <c r="AS92" s="22"/>
      <c r="AT92" s="22"/>
      <c r="AU92" s="22"/>
      <c r="AV92" s="22"/>
      <c r="AW92" s="91">
        <f>$A$44</f>
        <v>20213</v>
      </c>
      <c r="AX92" s="105"/>
      <c r="AY92" s="90">
        <f t="shared" si="208"/>
        <v>0.96392335423996134</v>
      </c>
      <c r="AZ92" s="22"/>
      <c r="BA92" s="22"/>
      <c r="BB92" s="22"/>
      <c r="BC92" s="22"/>
      <c r="BD92" s="22"/>
      <c r="BE92" s="22"/>
      <c r="BF92" s="22"/>
      <c r="BG92" s="22"/>
      <c r="BH92" s="22"/>
      <c r="BI92" s="91">
        <f>$A$44</f>
        <v>20213</v>
      </c>
      <c r="BJ92" s="105"/>
      <c r="BK92" s="90">
        <f t="shared" si="209"/>
        <v>0.99484304871107565</v>
      </c>
      <c r="BL92" s="22"/>
      <c r="BM92" s="22"/>
      <c r="BN92" s="22"/>
      <c r="BO92" s="22"/>
      <c r="BP92" s="22"/>
      <c r="BQ92" s="22"/>
      <c r="BR92" s="22"/>
      <c r="BS92" s="22"/>
      <c r="BT92" s="22"/>
      <c r="BU92" s="91">
        <f>$A$44</f>
        <v>20213</v>
      </c>
      <c r="BV92" s="105"/>
      <c r="BW92" s="90">
        <f t="shared" si="210"/>
        <v>1.2842841252184967</v>
      </c>
      <c r="BX92" s="22"/>
      <c r="BY92" s="22"/>
      <c r="BZ92" s="22"/>
      <c r="CA92" s="22"/>
      <c r="CB92" s="22"/>
      <c r="CC92" s="22"/>
      <c r="CD92" s="22"/>
      <c r="CE92" s="22"/>
      <c r="CF92" s="22"/>
      <c r="CG92" s="91">
        <f>$A$44</f>
        <v>20213</v>
      </c>
      <c r="CH92" s="105"/>
      <c r="CI92" s="90" t="str">
        <f t="shared" ref="CI92" si="218">IFERROR(CJ79/CI79,"")</f>
        <v/>
      </c>
      <c r="CJ92" s="22"/>
      <c r="CK92" s="22"/>
      <c r="CL92" s="22"/>
      <c r="CM92" s="22"/>
      <c r="CN92" s="22"/>
      <c r="CO92" s="22"/>
      <c r="CP92" s="22"/>
      <c r="CQ92" s="22"/>
      <c r="CR92" s="22"/>
      <c r="CS92" s="91">
        <f>$A$44</f>
        <v>20213</v>
      </c>
      <c r="CT92" s="105"/>
      <c r="CU92" s="90" t="str">
        <f t="shared" si="212"/>
        <v/>
      </c>
      <c r="CV92" s="22"/>
      <c r="CW92" s="22"/>
      <c r="CX92" s="22"/>
      <c r="CY92" s="22"/>
      <c r="CZ92" s="22"/>
      <c r="DA92" s="22"/>
      <c r="DB92" s="22"/>
      <c r="DC92" s="22"/>
      <c r="DD92" s="22"/>
      <c r="DE92" s="91">
        <f>$A$44</f>
        <v>20213</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1.3835983656703985</v>
      </c>
      <c r="D94" s="93">
        <f>IFERROR(SUM(E76:E78)/SUM(D76:D78),1)</f>
        <v>1.1391798139110916</v>
      </c>
      <c r="E94" s="93">
        <f>IFERROR(SUM(F75:F77)/SUM(E75:E77),1)</f>
        <v>1.0724334580875119</v>
      </c>
      <c r="F94" s="93">
        <f>IFERROR(SUM(G74:G76)/SUM(F74:F76),1)</f>
        <v>1.0377659040950378</v>
      </c>
      <c r="G94" s="93">
        <f>IFERROR(SUM(H73:H75)/SUM(G73:G75),1)</f>
        <v>1.0175204427498474</v>
      </c>
      <c r="H94" s="93">
        <f>IFERROR(SUM(I72:I74)/SUM(H72:H74),1)</f>
        <v>1.003790188358078</v>
      </c>
      <c r="I94" s="93">
        <f>IFERROR(SUM(J71:J73)/SUM(I71:I73),1)</f>
        <v>1.0013749653653785</v>
      </c>
      <c r="J94" s="93">
        <f>IFERROR(SUM(K71:K72)/SUM(J71:J72),1)</f>
        <v>1.0004628899753583</v>
      </c>
      <c r="K94" s="93">
        <f>IFERROR(SUM(L71:L71)/SUM(K71:K71),1)</f>
        <v>1.0002917335393509</v>
      </c>
      <c r="L94" s="93">
        <v>1</v>
      </c>
      <c r="M94" s="285" t="s">
        <v>37</v>
      </c>
      <c r="N94" s="107"/>
      <c r="O94" s="93">
        <f>IFERROR(SUM(P77:P79)/SUM(O77:O79),1)</f>
        <v>1.3974481423214509</v>
      </c>
      <c r="P94" s="93">
        <f>IFERROR(SUM(Q76:Q78)/SUM(P76:P78),1)</f>
        <v>1.0504145101163809</v>
      </c>
      <c r="Q94" s="93">
        <f>IFERROR(SUM(R75:R77)/SUM(Q75:Q77),1)</f>
        <v>1.0091479667312842</v>
      </c>
      <c r="R94" s="93">
        <f>IFERROR(SUM(S74:S76)/SUM(R74:R76),1)</f>
        <v>1.0016949698977591</v>
      </c>
      <c r="S94" s="93">
        <f>IFERROR(SUM(T73:T75)/SUM(S73:S75),1)</f>
        <v>1.0006197692315832</v>
      </c>
      <c r="T94" s="93">
        <f>IFERROR(SUM(U72:U74)/SUM(T72:T74),1)</f>
        <v>1.0008841682570175</v>
      </c>
      <c r="U94" s="93">
        <f>IFERROR(SUM(V71:V73)/SUM(U71:U73),1)</f>
        <v>1.0006231787928295</v>
      </c>
      <c r="V94" s="93">
        <f>IFERROR(SUM(W71:W72)/SUM(V71:V72),1)</f>
        <v>0.99991865477072406</v>
      </c>
      <c r="W94" s="93">
        <f>IFERROR(SUM(X71:X71)/SUM(W71:W71),1)</f>
        <v>0.99996832407131842</v>
      </c>
      <c r="X94" s="93">
        <v>1</v>
      </c>
      <c r="Y94" s="285" t="s">
        <v>37</v>
      </c>
      <c r="Z94" s="107"/>
      <c r="AA94" s="93">
        <f>IFERROR(SUM(AB77:AB79)/SUM(AA77:AA79),1)</f>
        <v>2.2744931591094315</v>
      </c>
      <c r="AB94" s="93">
        <f>IFERROR(SUM(AC76:AC78)/SUM(AB76:AB78),1)</f>
        <v>1.2778819688176979</v>
      </c>
      <c r="AC94" s="93">
        <f>IFERROR(SUM(AD75:AD77)/SUM(AC75:AC77),1)</f>
        <v>1.0975303255606104</v>
      </c>
      <c r="AD94" s="93">
        <f>IFERROR(SUM(AE74:AE76)/SUM(AD74:AD76),1)</f>
        <v>1.0418052900324206</v>
      </c>
      <c r="AE94" s="93">
        <f>IFERROR(SUM(AF73:AF75)/SUM(AE73:AE75),1)</f>
        <v>1.0233323965177874</v>
      </c>
      <c r="AF94" s="93">
        <f>IFERROR(SUM(AG72:AG74)/SUM(AF72:AF74),1)</f>
        <v>1.0109558719721834</v>
      </c>
      <c r="AG94" s="93">
        <f>IFERROR(SUM(AH71:AH73)/SUM(AG71:AG73),1)</f>
        <v>1.0051444776699563</v>
      </c>
      <c r="AH94" s="93">
        <f>IFERROR(SUM(AI71:AI72)/SUM(AH71:AH72),1)</f>
        <v>1.0029115611787034</v>
      </c>
      <c r="AI94" s="93">
        <f>IFERROR(SUM(AJ71:AJ71)/SUM(AI71:AI71),1)</f>
        <v>1.0030337650535484</v>
      </c>
      <c r="AJ94" s="93">
        <v>1</v>
      </c>
      <c r="AK94" s="285" t="s">
        <v>37</v>
      </c>
      <c r="AL94" s="107"/>
      <c r="AM94" s="93">
        <f>IFERROR(SUM(AN77:AN79)/SUM(AM77:AM79),1)</f>
        <v>1.0189761447704049</v>
      </c>
      <c r="AN94" s="93">
        <f>IFERROR(SUM(AO76:AO78)/SUM(AN76:AN78),1)</f>
        <v>1.0008115086523293</v>
      </c>
      <c r="AO94" s="93">
        <f>IFERROR(SUM(AP75:AP77)/SUM(AO75:AO77),1)</f>
        <v>1.0005401924070085</v>
      </c>
      <c r="AP94" s="93">
        <f>IFERROR(SUM(AQ74:AQ76)/SUM(AP74:AP76),1)</f>
        <v>1.0000939951924501</v>
      </c>
      <c r="AQ94" s="93">
        <f>IFERROR(SUM(AR73:AR75)/SUM(AQ73:AQ75),1)</f>
        <v>1.0001386056859456</v>
      </c>
      <c r="AR94" s="93">
        <f>IFERROR(SUM(AS72:AS74)/SUM(AR72:AR74),1)</f>
        <v>1.000087533237157</v>
      </c>
      <c r="AS94" s="93">
        <f>IFERROR(SUM(AT71:AT73)/SUM(AS71:AS73),1)</f>
        <v>1.0000128653110589</v>
      </c>
      <c r="AT94" s="93">
        <f>IFERROR(SUM(AU71:AU72)/SUM(AT71:AT72),1)</f>
        <v>0.99998159651364282</v>
      </c>
      <c r="AU94" s="93">
        <f>IFERROR(SUM(AV71:AV71)/SUM(AU71:AU71),1)</f>
        <v>1.0000092425007039</v>
      </c>
      <c r="AV94" s="93">
        <v>1</v>
      </c>
      <c r="AW94" s="285" t="s">
        <v>37</v>
      </c>
      <c r="AX94" s="107"/>
      <c r="AY94" s="93">
        <f>IFERROR(SUM(AZ77:AZ79)/SUM(AY77:AY79),1)</f>
        <v>0.96405962712919258</v>
      </c>
      <c r="AZ94" s="93">
        <f>IFERROR(SUM(BA76:BA78)/SUM(AZ76:AZ78),1)</f>
        <v>0.99437466927047258</v>
      </c>
      <c r="BA94" s="93">
        <f>IFERROR(SUM(BB75:BB77)/SUM(BA75:BA77),1)</f>
        <v>0.99731591908175055</v>
      </c>
      <c r="BB94" s="93">
        <f>IFERROR(SUM(BC74:BC76)/SUM(BB74:BB76),1)</f>
        <v>0.99915008542112038</v>
      </c>
      <c r="BC94" s="93">
        <f>IFERROR(SUM(BD73:BD75)/SUM(BC73:BC75),1)</f>
        <v>0.9997641285092993</v>
      </c>
      <c r="BD94" s="93">
        <f>IFERROR(SUM(BE72:BE74)/SUM(BD72:BD74),1)</f>
        <v>0.99988680549394227</v>
      </c>
      <c r="BE94" s="93">
        <f>IFERROR(SUM(BF71:BF73)/SUM(BE71:BE73),1)</f>
        <v>0.99984595823873534</v>
      </c>
      <c r="BF94" s="93">
        <f>IFERROR(SUM(BG71:BG72)/SUM(BF71:BF72),1)</f>
        <v>0.99987158227592843</v>
      </c>
      <c r="BG94" s="93">
        <f>IFERROR(SUM(BH71:BH71)/SUM(BG71:BG71),1)</f>
        <v>0.99983598948919172</v>
      </c>
      <c r="BH94" s="93">
        <v>1</v>
      </c>
      <c r="BI94" s="285" t="s">
        <v>37</v>
      </c>
      <c r="BJ94" s="107"/>
      <c r="BK94" s="93">
        <f>IFERROR(SUM(BL77:BL79)/SUM(BK77:BK79),1)</f>
        <v>0.99325724062104281</v>
      </c>
      <c r="BL94" s="93">
        <f>IFERROR(SUM(BM76:BM78)/SUM(BL76:BL78),1)</f>
        <v>1.0004441750294331</v>
      </c>
      <c r="BM94" s="93">
        <f>IFERROR(SUM(BN75:BN77)/SUM(BM75:BM77),1)</f>
        <v>1.0002682123221061</v>
      </c>
      <c r="BN94" s="93">
        <f>IFERROR(SUM(BO74:BO76)/SUM(BN74:BN76),1)</f>
        <v>1.0000891271651049</v>
      </c>
      <c r="BO94" s="93">
        <f>IFERROR(SUM(BP73:BP75)/SUM(BO73:BO75),1)</f>
        <v>1.0000040698224109</v>
      </c>
      <c r="BP94" s="93">
        <f>IFERROR(SUM(BQ72:BQ74)/SUM(BP72:BP74),1)</f>
        <v>0.9999940520593591</v>
      </c>
      <c r="BQ94" s="93">
        <f>IFERROR(SUM(BR71:BR73)/SUM(BQ71:BQ73),1)</f>
        <v>0.99999811514463</v>
      </c>
      <c r="BR94" s="93">
        <f>IFERROR(SUM(BS71:BS72)/SUM(BR71:BR72),1)</f>
        <v>0.99997974308565496</v>
      </c>
      <c r="BS94" s="93">
        <f>IFERROR(SUM(BT71:BT71)/SUM(BS71:BS71),1)</f>
        <v>0.99995142918498992</v>
      </c>
      <c r="BT94" s="93">
        <v>1</v>
      </c>
      <c r="BU94" s="285" t="s">
        <v>37</v>
      </c>
      <c r="BV94" s="107"/>
      <c r="BW94" s="93">
        <f>IFERROR(SUM(BX77:BX79)/SUM(BW77:BW79),1)</f>
        <v>1.1743736933489246</v>
      </c>
      <c r="BX94" s="93">
        <f>IFERROR(SUM(BY76:BY78)/SUM(BX76:BX78),1)</f>
        <v>1.0263986576388184</v>
      </c>
      <c r="BY94" s="93">
        <f>IFERROR(SUM(BZ75:BZ77)/SUM(BY75:BY77),1)</f>
        <v>1.0048948316770359</v>
      </c>
      <c r="BZ94" s="93">
        <f>IFERROR(SUM(CA74:CA76)/SUM(BZ74:BZ76),1)</f>
        <v>1.0072113006272967</v>
      </c>
      <c r="CA94" s="93">
        <f>IFERROR(SUM(CB73:CB75)/SUM(CA73:CA75),1)</f>
        <v>1</v>
      </c>
      <c r="CB94" s="93">
        <f>IFERROR(SUM(CC72:CC74)/SUM(CB72:CB74),1)</f>
        <v>1</v>
      </c>
      <c r="CC94" s="93">
        <f>IFERROR(SUM(CD71:CD73)/SUM(CC71:CC73),1)</f>
        <v>1</v>
      </c>
      <c r="CD94" s="93">
        <f>IFERROR(SUM(CE71:CE72)/SUM(CD71:CD72),1)</f>
        <v>1</v>
      </c>
      <c r="CE94" s="93">
        <f>IFERROR(SUM(CF71:CF71)/SUM(CE71:CE71),1)</f>
        <v>1</v>
      </c>
      <c r="CF94" s="93">
        <v>1</v>
      </c>
      <c r="CG94" s="285" t="s">
        <v>37</v>
      </c>
      <c r="CH94" s="107"/>
      <c r="CI94" s="93">
        <f>IFERROR(SUM(CJ77:CJ79)/SUM(CI77:CI79),1)</f>
        <v>1</v>
      </c>
      <c r="CJ94" s="93">
        <f>IFERROR(SUM(CK76:CK78)/SUM(CJ76:CJ78),1)</f>
        <v>1</v>
      </c>
      <c r="CK94" s="93">
        <f>IFERROR(SUM(CL75:CL77)/SUM(CK75:CK77),1)</f>
        <v>1</v>
      </c>
      <c r="CL94" s="93">
        <f>IFERROR(SUM(CM74:CM76)/SUM(CL74:CL76),1)</f>
        <v>1</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5"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5"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1.3835983656703985</v>
      </c>
      <c r="D95" s="93">
        <f t="shared" ref="D95:K95" si="219">IF(D94=0,1,D94)</f>
        <v>1.1391798139110916</v>
      </c>
      <c r="E95" s="93">
        <f t="shared" si="219"/>
        <v>1.0724334580875119</v>
      </c>
      <c r="F95" s="93">
        <f t="shared" si="219"/>
        <v>1.0377659040950378</v>
      </c>
      <c r="G95" s="93">
        <f t="shared" si="219"/>
        <v>1.0175204427498474</v>
      </c>
      <c r="H95" s="93">
        <f t="shared" si="219"/>
        <v>1.003790188358078</v>
      </c>
      <c r="I95" s="93">
        <f t="shared" si="219"/>
        <v>1.0013749653653785</v>
      </c>
      <c r="J95" s="93">
        <f t="shared" si="219"/>
        <v>1.0004628899753583</v>
      </c>
      <c r="K95" s="93">
        <f t="shared" si="219"/>
        <v>1.0002917335393509</v>
      </c>
      <c r="L95" s="93">
        <f>IF(L94=0,1,L94)</f>
        <v>1</v>
      </c>
      <c r="M95" s="285" t="s">
        <v>40</v>
      </c>
      <c r="N95" s="107"/>
      <c r="O95" s="93">
        <f>IF(O94=0,1,O94)</f>
        <v>1.3974481423214509</v>
      </c>
      <c r="P95" s="93">
        <f t="shared" ref="P95:W95" si="220">IF(P94=0,1,P94)</f>
        <v>1.0504145101163809</v>
      </c>
      <c r="Q95" s="93">
        <f t="shared" si="220"/>
        <v>1.0091479667312842</v>
      </c>
      <c r="R95" s="93">
        <f t="shared" si="220"/>
        <v>1.0016949698977591</v>
      </c>
      <c r="S95" s="93">
        <f t="shared" si="220"/>
        <v>1.0006197692315832</v>
      </c>
      <c r="T95" s="93">
        <f t="shared" si="220"/>
        <v>1.0008841682570175</v>
      </c>
      <c r="U95" s="93">
        <f t="shared" si="220"/>
        <v>1.0006231787928295</v>
      </c>
      <c r="V95" s="93">
        <f t="shared" si="220"/>
        <v>0.99991865477072406</v>
      </c>
      <c r="W95" s="93">
        <f t="shared" si="220"/>
        <v>0.99996832407131842</v>
      </c>
      <c r="X95" s="93">
        <f>IF(X94=0,1,X94)</f>
        <v>1</v>
      </c>
      <c r="Y95" s="285" t="s">
        <v>40</v>
      </c>
      <c r="Z95" s="107"/>
      <c r="AA95" s="93">
        <f>IF(AA94=0,1,AA94)</f>
        <v>2.2744931591094315</v>
      </c>
      <c r="AB95" s="93">
        <f t="shared" ref="AB95:AI95" si="221">IF(AB94=0,1,AB94)</f>
        <v>1.2778819688176979</v>
      </c>
      <c r="AC95" s="93">
        <f t="shared" si="221"/>
        <v>1.0975303255606104</v>
      </c>
      <c r="AD95" s="93">
        <f t="shared" si="221"/>
        <v>1.0418052900324206</v>
      </c>
      <c r="AE95" s="93">
        <f t="shared" si="221"/>
        <v>1.0233323965177874</v>
      </c>
      <c r="AF95" s="93">
        <f t="shared" si="221"/>
        <v>1.0109558719721834</v>
      </c>
      <c r="AG95" s="93">
        <f t="shared" si="221"/>
        <v>1.0051444776699563</v>
      </c>
      <c r="AH95" s="93">
        <f t="shared" si="221"/>
        <v>1.0029115611787034</v>
      </c>
      <c r="AI95" s="93">
        <f t="shared" si="221"/>
        <v>1.0030337650535484</v>
      </c>
      <c r="AJ95" s="93">
        <f>IF(AJ94=0,1,AJ94)</f>
        <v>1</v>
      </c>
      <c r="AK95" s="285" t="s">
        <v>40</v>
      </c>
      <c r="AL95" s="107"/>
      <c r="AM95" s="93">
        <f>IF(AM94=0,1,AM94)</f>
        <v>1.0189761447704049</v>
      </c>
      <c r="AN95" s="93">
        <f t="shared" ref="AN95:AU95" si="222">IF(AN94=0,1,AN94)</f>
        <v>1.0008115086523293</v>
      </c>
      <c r="AO95" s="93">
        <f t="shared" si="222"/>
        <v>1.0005401924070085</v>
      </c>
      <c r="AP95" s="93">
        <f t="shared" si="222"/>
        <v>1.0000939951924501</v>
      </c>
      <c r="AQ95" s="93">
        <f t="shared" si="222"/>
        <v>1.0001386056859456</v>
      </c>
      <c r="AR95" s="93">
        <f t="shared" si="222"/>
        <v>1.000087533237157</v>
      </c>
      <c r="AS95" s="93">
        <f t="shared" si="222"/>
        <v>1.0000128653110589</v>
      </c>
      <c r="AT95" s="93">
        <f t="shared" si="222"/>
        <v>0.99998159651364282</v>
      </c>
      <c r="AU95" s="93">
        <f t="shared" si="222"/>
        <v>1.0000092425007039</v>
      </c>
      <c r="AV95" s="93">
        <f>IF(AV94=0,1,AV94)</f>
        <v>1</v>
      </c>
      <c r="AW95" s="285" t="s">
        <v>40</v>
      </c>
      <c r="AX95" s="107"/>
      <c r="AY95" s="93">
        <f>IF(AY94=0,1,AY94)</f>
        <v>0.96405962712919258</v>
      </c>
      <c r="AZ95" s="93">
        <f t="shared" ref="AZ95:BG95" si="223">IF(AZ94=0,1,AZ94)</f>
        <v>0.99437466927047258</v>
      </c>
      <c r="BA95" s="93">
        <f t="shared" si="223"/>
        <v>0.99731591908175055</v>
      </c>
      <c r="BB95" s="93">
        <f t="shared" si="223"/>
        <v>0.99915008542112038</v>
      </c>
      <c r="BC95" s="93">
        <f t="shared" si="223"/>
        <v>0.9997641285092993</v>
      </c>
      <c r="BD95" s="93">
        <f t="shared" si="223"/>
        <v>0.99988680549394227</v>
      </c>
      <c r="BE95" s="93">
        <f t="shared" si="223"/>
        <v>0.99984595823873534</v>
      </c>
      <c r="BF95" s="93">
        <f t="shared" si="223"/>
        <v>0.99987158227592843</v>
      </c>
      <c r="BG95" s="93">
        <f t="shared" si="223"/>
        <v>0.99983598948919172</v>
      </c>
      <c r="BH95" s="93">
        <f>IF(BH94=0,1,BH94)</f>
        <v>1</v>
      </c>
      <c r="BI95" s="285" t="s">
        <v>40</v>
      </c>
      <c r="BJ95" s="107"/>
      <c r="BK95" s="93">
        <f>IF(BK94=0,1,BK94)</f>
        <v>0.99325724062104281</v>
      </c>
      <c r="BL95" s="93">
        <f t="shared" ref="BL95:BS95" si="224">IF(BL94=0,1,BL94)</f>
        <v>1.0004441750294331</v>
      </c>
      <c r="BM95" s="93">
        <f t="shared" si="224"/>
        <v>1.0002682123221061</v>
      </c>
      <c r="BN95" s="93">
        <f t="shared" si="224"/>
        <v>1.0000891271651049</v>
      </c>
      <c r="BO95" s="93">
        <f t="shared" si="224"/>
        <v>1.0000040698224109</v>
      </c>
      <c r="BP95" s="93">
        <f t="shared" si="224"/>
        <v>0.9999940520593591</v>
      </c>
      <c r="BQ95" s="93">
        <f t="shared" si="224"/>
        <v>0.99999811514463</v>
      </c>
      <c r="BR95" s="93">
        <f t="shared" si="224"/>
        <v>0.99997974308565496</v>
      </c>
      <c r="BS95" s="93">
        <f t="shared" si="224"/>
        <v>0.99995142918498992</v>
      </c>
      <c r="BT95" s="93">
        <f>IF(BT94=0,1,BT94)</f>
        <v>1</v>
      </c>
      <c r="BU95" s="285" t="s">
        <v>40</v>
      </c>
      <c r="BV95" s="107"/>
      <c r="BW95" s="93">
        <f>IF(BW94=0,1,BW94)</f>
        <v>1.1743736933489246</v>
      </c>
      <c r="BX95" s="93">
        <f t="shared" ref="BX95:CE95" si="225">IF(BX94=0,1,BX94)</f>
        <v>1.0263986576388184</v>
      </c>
      <c r="BY95" s="93">
        <f t="shared" si="225"/>
        <v>1.0048948316770359</v>
      </c>
      <c r="BZ95" s="93">
        <f t="shared" si="225"/>
        <v>1.0072113006272967</v>
      </c>
      <c r="CA95" s="93">
        <f t="shared" si="225"/>
        <v>1</v>
      </c>
      <c r="CB95" s="93">
        <f t="shared" si="225"/>
        <v>1</v>
      </c>
      <c r="CC95" s="93">
        <f t="shared" si="225"/>
        <v>1</v>
      </c>
      <c r="CD95" s="93">
        <f t="shared" si="225"/>
        <v>1</v>
      </c>
      <c r="CE95" s="93">
        <f t="shared" si="225"/>
        <v>1</v>
      </c>
      <c r="CF95" s="93">
        <f>IF(CF94=0,1,CF94)</f>
        <v>1</v>
      </c>
      <c r="CG95" s="285" t="s">
        <v>40</v>
      </c>
      <c r="CH95" s="107"/>
      <c r="CI95" s="93">
        <f>IF(CI94=0,1,CI94)</f>
        <v>1</v>
      </c>
      <c r="CJ95" s="93">
        <f t="shared" ref="CJ95:CQ95" si="226">IF(CJ94=0,1,CJ94)</f>
        <v>1</v>
      </c>
      <c r="CK95" s="93">
        <f t="shared" si="226"/>
        <v>1</v>
      </c>
      <c r="CL95" s="93">
        <f t="shared" si="226"/>
        <v>1</v>
      </c>
      <c r="CM95" s="93">
        <f t="shared" si="226"/>
        <v>1</v>
      </c>
      <c r="CN95" s="93">
        <f t="shared" si="226"/>
        <v>1</v>
      </c>
      <c r="CO95" s="93">
        <f t="shared" si="226"/>
        <v>1</v>
      </c>
      <c r="CP95" s="93">
        <f t="shared" si="226"/>
        <v>1</v>
      </c>
      <c r="CQ95" s="93">
        <f t="shared" si="226"/>
        <v>1</v>
      </c>
      <c r="CR95" s="93">
        <f>IF(CR94=0,1,CR94)</f>
        <v>1</v>
      </c>
      <c r="CS95" s="285"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5"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1.7954882063433588</v>
      </c>
      <c r="D96" s="113">
        <f>PRODUCT(D95:L95)</f>
        <v>1.2976946568402361</v>
      </c>
      <c r="E96" s="113">
        <f>PRODUCT(E95:L95)</f>
        <v>1.1391482196168163</v>
      </c>
      <c r="F96" s="113">
        <f>PRODUCT(F95:L95)</f>
        <v>1.0622087655193801</v>
      </c>
      <c r="G96" s="113">
        <f>PRODUCT(G95:L95)</f>
        <v>1.0235533479447443</v>
      </c>
      <c r="H96" s="113">
        <f>PRODUCT(H95:L95)</f>
        <v>1.005929026033711</v>
      </c>
      <c r="I96" s="113">
        <f>PRODUCT(I95:L95)</f>
        <v>1.0021307616874913</v>
      </c>
      <c r="J96" s="113">
        <f>PRODUCT(J95:L95)</f>
        <v>1.0007547585552399</v>
      </c>
      <c r="K96" s="113">
        <f>PRODUCT(K95:L95)</f>
        <v>1.0002917335393509</v>
      </c>
      <c r="L96" s="114">
        <f>PRODUCT(L95:L95)</f>
        <v>1</v>
      </c>
      <c r="M96" s="111" t="s">
        <v>39</v>
      </c>
      <c r="N96" s="115"/>
      <c r="O96" s="113">
        <f>PRODUCT(O95:X95)</f>
        <v>1.4868293548400284</v>
      </c>
      <c r="P96" s="113">
        <f>PRODUCT(P95:X95)</f>
        <v>1.0639603072283577</v>
      </c>
      <c r="Q96" s="113">
        <f>PRODUCT(Q95:X95)</f>
        <v>1.0128956683114323</v>
      </c>
      <c r="R96" s="113">
        <f>PRODUCT(R95:X95)</f>
        <v>1.0037137285152418</v>
      </c>
      <c r="S96" s="113">
        <f>PRODUCT(S95:X95)</f>
        <v>1.0020153426723193</v>
      </c>
      <c r="T96" s="113">
        <f>PRODUCT(T95:X95)</f>
        <v>1.0013947090429844</v>
      </c>
      <c r="U96" s="113">
        <f>PRODUCT(U95:X95)</f>
        <v>1.0005100897807746</v>
      </c>
      <c r="V96" s="113">
        <f>PRODUCT(V95:X95)</f>
        <v>0.99988698141872812</v>
      </c>
      <c r="W96" s="113">
        <f>PRODUCT(W95:X95)</f>
        <v>0.99996832407131842</v>
      </c>
      <c r="X96" s="114">
        <f>PRODUCT(X95:X95)</f>
        <v>1</v>
      </c>
      <c r="Y96" s="111" t="s">
        <v>39</v>
      </c>
      <c r="Z96" s="115"/>
      <c r="AA96" s="113">
        <f>PRODUCT(AA95:AJ95)</f>
        <v>3.4764346371971269</v>
      </c>
      <c r="AB96" s="113">
        <f>PRODUCT(AB95:AJ95)</f>
        <v>1.5284436549188438</v>
      </c>
      <c r="AC96" s="113">
        <f>PRODUCT(AC95:AJ95)</f>
        <v>1.1960757661624779</v>
      </c>
      <c r="AD96" s="113">
        <f>PRODUCT(AD95:AJ95)</f>
        <v>1.0897883532753694</v>
      </c>
      <c r="AE96" s="113">
        <f>PRODUCT(AE95:AJ95)</f>
        <v>1.0460576114385594</v>
      </c>
      <c r="AF96" s="113">
        <f>PRODUCT(AF95:AJ95)</f>
        <v>1.0222070707407502</v>
      </c>
      <c r="AG96" s="113">
        <f>PRODUCT(AG95:AJ95)</f>
        <v>1.0111292679339385</v>
      </c>
      <c r="AH96" s="113">
        <f>PRODUCT(AH95:AJ95)</f>
        <v>1.0059541592248069</v>
      </c>
      <c r="AI96" s="113">
        <f>PRODUCT(AI95:AJ95)</f>
        <v>1.0030337650535484</v>
      </c>
      <c r="AJ96" s="114">
        <f>PRODUCT(AJ95:AJ95)</f>
        <v>1</v>
      </c>
      <c r="AK96" s="111" t="s">
        <v>39</v>
      </c>
      <c r="AL96" s="115"/>
      <c r="AM96" s="113">
        <f>PRODUCT(AM95:AV95)</f>
        <v>1.0206844074096899</v>
      </c>
      <c r="AN96" s="113">
        <f>PRODUCT(AN95:AV95)</f>
        <v>1.0016764500798687</v>
      </c>
      <c r="AO96" s="113">
        <f>PRODUCT(AO95:AV95)</f>
        <v>1.0008642400892291</v>
      </c>
      <c r="AP96" s="113">
        <f>PRODUCT(AP95:AV95)</f>
        <v>1.0003238727286319</v>
      </c>
      <c r="AQ96" s="113">
        <f>PRODUCT(AQ95:AV95)</f>
        <v>1.0002298559308296</v>
      </c>
      <c r="AR96" s="113">
        <f>PRODUCT(AR95:AV95)</f>
        <v>1.0000912375988336</v>
      </c>
      <c r="AS96" s="113">
        <f>PRODUCT(AS95:AV95)</f>
        <v>1.0000037040374503</v>
      </c>
      <c r="AT96" s="113">
        <f>PRODUCT(AT95:AV95)</f>
        <v>0.99999083884425244</v>
      </c>
      <c r="AU96" s="113">
        <f>PRODUCT(AU95:AV95)</f>
        <v>1.0000092425007039</v>
      </c>
      <c r="AV96" s="114">
        <f>PRODUCT(AV95:AV95)</f>
        <v>1</v>
      </c>
      <c r="AW96" s="111" t="s">
        <v>39</v>
      </c>
      <c r="AX96" s="115"/>
      <c r="AY96" s="113">
        <f>PRODUCT(AY95:BH95)</f>
        <v>0.95449114384800215</v>
      </c>
      <c r="AZ96" s="113">
        <f>PRODUCT(AZ95:BH95)</f>
        <v>0.99007480137957482</v>
      </c>
      <c r="BA96" s="113">
        <f>PRODUCT(BA95:BH95)</f>
        <v>0.99567580709386683</v>
      </c>
      <c r="BB96" s="113">
        <f>PRODUCT(BB95:BH95)</f>
        <v>0.99835547397118285</v>
      </c>
      <c r="BC96" s="113">
        <f>PRODUCT(BC95:BH95)</f>
        <v>0.99920471262372701</v>
      </c>
      <c r="BD96" s="113">
        <f>PRODUCT(BD95:BH95)</f>
        <v>0.99944045213303823</v>
      </c>
      <c r="BE96" s="113">
        <f>PRODUCT(BE95:BH95)</f>
        <v>0.99955359610862793</v>
      </c>
      <c r="BF96" s="113">
        <f>PRODUCT(BF95:BH95)</f>
        <v>0.99970759282697663</v>
      </c>
      <c r="BG96" s="113">
        <f>PRODUCT(BG95:BH95)</f>
        <v>0.99983598948919172</v>
      </c>
      <c r="BH96" s="114">
        <f>PRODUCT(BH95:BH95)</f>
        <v>1</v>
      </c>
      <c r="BI96" s="111" t="s">
        <v>39</v>
      </c>
      <c r="BJ96" s="115"/>
      <c r="BK96" s="113">
        <f>PRODUCT(BK95:BT95)</f>
        <v>0.99398137429386735</v>
      </c>
      <c r="BL96" s="113">
        <f>PRODUCT(BL95:BT95)</f>
        <v>1.0007290494780301</v>
      </c>
      <c r="BM96" s="113">
        <f>PRODUCT(BM95:BT95)</f>
        <v>1.0002847479706594</v>
      </c>
      <c r="BN96" s="113">
        <f>PRODUCT(BN95:BT95)</f>
        <v>1.0000165312146776</v>
      </c>
      <c r="BO96" s="113">
        <f>PRODUCT(BO95:BT95)</f>
        <v>0.99992741051926737</v>
      </c>
      <c r="BP96" s="113">
        <f>PRODUCT(BP95:BT95)</f>
        <v>0.99992334100884495</v>
      </c>
      <c r="BQ96" s="113">
        <f>PRODUCT(BQ95:BT95)</f>
        <v>0.99992928852889817</v>
      </c>
      <c r="BR96" s="113">
        <f>PRODUCT(BR95:BT95)</f>
        <v>0.99993117325453973</v>
      </c>
      <c r="BS96" s="113">
        <f>PRODUCT(BS95:BT95)</f>
        <v>0.99995142918498992</v>
      </c>
      <c r="BT96" s="114">
        <f>PRODUCT(BT95:BT95)</f>
        <v>1</v>
      </c>
      <c r="BU96" s="111" t="s">
        <v>39</v>
      </c>
      <c r="BV96" s="115"/>
      <c r="BW96" s="113">
        <f>PRODUCT(BW95:CF95)</f>
        <v>1.2200105661680145</v>
      </c>
      <c r="BX96" s="113">
        <f>PRODUCT(BX95:CF95)</f>
        <v>1.0388606055104561</v>
      </c>
      <c r="BY96" s="113">
        <f>PRODUCT(BY95:CF95)</f>
        <v>1.0121414304070757</v>
      </c>
      <c r="BZ96" s="113">
        <f>PRODUCT(BZ95:CF95)</f>
        <v>1.0072113006272967</v>
      </c>
      <c r="CA96" s="113">
        <f>PRODUCT(CA95:CF95)</f>
        <v>1</v>
      </c>
      <c r="CB96" s="113">
        <f>PRODUCT(CB95:CF95)</f>
        <v>1</v>
      </c>
      <c r="CC96" s="113">
        <f>PRODUCT(CC95:CF95)</f>
        <v>1</v>
      </c>
      <c r="CD96" s="113">
        <f>PRODUCT(CD95:CF95)</f>
        <v>1</v>
      </c>
      <c r="CE96" s="113">
        <f>PRODUCT(CE95:CF95)</f>
        <v>1</v>
      </c>
      <c r="CF96" s="114">
        <f>PRODUCT(CF95:CF95)</f>
        <v>1</v>
      </c>
      <c r="CG96" s="111" t="s">
        <v>39</v>
      </c>
      <c r="CH96" s="115"/>
      <c r="CI96" s="113">
        <f>PRODUCT(CI95:CR95)</f>
        <v>1</v>
      </c>
      <c r="CJ96" s="113">
        <f>PRODUCT(CJ95:CR95)</f>
        <v>1</v>
      </c>
      <c r="CK96" s="113">
        <f>PRODUCT(CK95:CR95)</f>
        <v>1</v>
      </c>
      <c r="CL96" s="113">
        <f>PRODUCT(CL95:CR95)</f>
        <v>1</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1194673315.5775063</v>
      </c>
      <c r="D97" s="99">
        <f>D96*D79</f>
        <v>902967910.1846447</v>
      </c>
      <c r="E97" s="99">
        <f>E96*E78</f>
        <v>877924399.96693408</v>
      </c>
      <c r="F97" s="99">
        <f>F96*F77</f>
        <v>1142531266.3105781</v>
      </c>
      <c r="G97" s="99">
        <f>G96*G76</f>
        <v>1213763840.2172399</v>
      </c>
      <c r="H97" s="99">
        <f>H96*H75</f>
        <v>1280462015.2017419</v>
      </c>
      <c r="I97" s="99">
        <f>I96*I74</f>
        <v>1286823941.2871079</v>
      </c>
      <c r="J97" s="99">
        <f>J96*J73</f>
        <v>1140110679.0327554</v>
      </c>
      <c r="K97" s="99">
        <f>K96*K72</f>
        <v>1064080052.674119</v>
      </c>
      <c r="L97" s="99">
        <f>L96*L71</f>
        <v>919830174.80000019</v>
      </c>
      <c r="M97" s="95" t="s">
        <v>41</v>
      </c>
      <c r="N97" s="106"/>
      <c r="O97" s="99">
        <f>O96*O80</f>
        <v>59770069.587156393</v>
      </c>
      <c r="P97" s="99">
        <f>P96*P79</f>
        <v>51797606.142444</v>
      </c>
      <c r="Q97" s="99">
        <f>Q96*Q78</f>
        <v>52175257.122090012</v>
      </c>
      <c r="R97" s="99">
        <f>R96*R77</f>
        <v>70832647.719938517</v>
      </c>
      <c r="S97" s="99">
        <f>S96*S76</f>
        <v>71215996.196530998</v>
      </c>
      <c r="T97" s="99">
        <f>T96*T75</f>
        <v>70620823.399780616</v>
      </c>
      <c r="U97" s="99">
        <f>U96*U74</f>
        <v>64748691.487370715</v>
      </c>
      <c r="V97" s="99">
        <f>V96*V73</f>
        <v>62949704.429553859</v>
      </c>
      <c r="W97" s="99">
        <f>W96*W72</f>
        <v>62491719.014061376</v>
      </c>
      <c r="X97" s="99">
        <f>X96*X71</f>
        <v>63134270.549999997</v>
      </c>
      <c r="Y97" s="95" t="s">
        <v>41</v>
      </c>
      <c r="Z97" s="106"/>
      <c r="AA97" s="99">
        <f>AA96*AA80</f>
        <v>253964994.42672533</v>
      </c>
      <c r="AB97" s="99">
        <f>AB96*AB79</f>
        <v>221478751.17692968</v>
      </c>
      <c r="AC97" s="99">
        <f>AC96*AC78</f>
        <v>184956760.97268948</v>
      </c>
      <c r="AD97" s="99">
        <f>AD96*AD77</f>
        <v>202754648.82919544</v>
      </c>
      <c r="AE97" s="99">
        <f>AE96*AE76</f>
        <v>208021956.72295809</v>
      </c>
      <c r="AF97" s="99">
        <f>AF96*AF75</f>
        <v>206880512.14038959</v>
      </c>
      <c r="AG97" s="99">
        <f>AG96*AG74</f>
        <v>181908996.57160857</v>
      </c>
      <c r="AH97" s="99">
        <f>AH96*AH73</f>
        <v>168697803.67652079</v>
      </c>
      <c r="AI97" s="99">
        <f>AI96*AI72</f>
        <v>146172899.73812905</v>
      </c>
      <c r="AJ97" s="99">
        <f>AJ96*AJ71</f>
        <v>126373328.64000006</v>
      </c>
      <c r="AK97" s="95" t="s">
        <v>41</v>
      </c>
      <c r="AL97" s="106"/>
      <c r="AM97" s="99">
        <f>AM96*AM80</f>
        <v>374478345.27768052</v>
      </c>
      <c r="AN97" s="99">
        <f>AN96*AN79</f>
        <v>283887240.59170425</v>
      </c>
      <c r="AO97" s="99">
        <f>AO96*AO78</f>
        <v>232944587.75268391</v>
      </c>
      <c r="AP97" s="99">
        <f>AP96*AP77</f>
        <v>232933497.15200296</v>
      </c>
      <c r="AQ97" s="99">
        <f>AQ96*AQ76</f>
        <v>217893055.55164367</v>
      </c>
      <c r="AR97" s="99">
        <f>AR96*AR75</f>
        <v>225376212.74855736</v>
      </c>
      <c r="AS97" s="99">
        <f>AS96*AS74</f>
        <v>207363887.06075856</v>
      </c>
      <c r="AT97" s="99">
        <f>AT96*AT73</f>
        <v>193370544.03609994</v>
      </c>
      <c r="AU97" s="99">
        <f>AU96*AU72</f>
        <v>178920713.72953856</v>
      </c>
      <c r="AV97" s="99">
        <f>AV96*AV71</f>
        <v>173144135.10000005</v>
      </c>
      <c r="AW97" s="95" t="s">
        <v>41</v>
      </c>
      <c r="AX97" s="106"/>
      <c r="AY97" s="99">
        <f>AY96*AY80</f>
        <v>1150945746.1958833</v>
      </c>
      <c r="AZ97" s="99">
        <f>AZ96*AZ79</f>
        <v>820273441.56397748</v>
      </c>
      <c r="BA97" s="99">
        <f>BA96*BA78</f>
        <v>706678364.23536921</v>
      </c>
      <c r="BB97" s="99">
        <f>BB96*BB77</f>
        <v>858849685.06234038</v>
      </c>
      <c r="BC97" s="99">
        <f>BC96*BC76</f>
        <v>833814712.85216498</v>
      </c>
      <c r="BD97" s="99">
        <f>BD96*BD75</f>
        <v>849741525.15436447</v>
      </c>
      <c r="BE97" s="99">
        <f>BE96*BE74</f>
        <v>811283998.72397685</v>
      </c>
      <c r="BF97" s="99">
        <f>BF96*BF73</f>
        <v>729978107.99226284</v>
      </c>
      <c r="BG97" s="99">
        <f>BG96*BG72</f>
        <v>637166690.12343919</v>
      </c>
      <c r="BH97" s="99">
        <f>BH96*BH71</f>
        <v>574570138.09999979</v>
      </c>
      <c r="BI97" s="95" t="s">
        <v>41</v>
      </c>
      <c r="BJ97" s="106"/>
      <c r="BK97" s="99">
        <f>BK96*BK80</f>
        <v>68541297.69996807</v>
      </c>
      <c r="BL97" s="99">
        <f>BL96*BL79</f>
        <v>52143582.136531003</v>
      </c>
      <c r="BM97" s="99">
        <f>BM96*BM78</f>
        <v>45398516.355475441</v>
      </c>
      <c r="BN97" s="99">
        <f>BN96*BN77</f>
        <v>53523730.377650447</v>
      </c>
      <c r="BO97" s="99">
        <f>BO96*BO76</f>
        <v>51137692.182002679</v>
      </c>
      <c r="BP97" s="99">
        <f>BP96*BP75</f>
        <v>53896000.700209446</v>
      </c>
      <c r="BQ97" s="99">
        <f>BQ96*BQ74</f>
        <v>49434567.261829764</v>
      </c>
      <c r="BR97" s="99">
        <f>BR96*BR73</f>
        <v>44529023.351290315</v>
      </c>
      <c r="BS97" s="99">
        <f>BS96*BS72</f>
        <v>41011191.016272604</v>
      </c>
      <c r="BT97" s="99">
        <f>BT96*BT71</f>
        <v>38025515.699999988</v>
      </c>
      <c r="BU97" s="95" t="s">
        <v>41</v>
      </c>
      <c r="BV97" s="106"/>
      <c r="BW97" s="99">
        <f>BW96*BW80</f>
        <v>341480.95747042727</v>
      </c>
      <c r="BX97" s="99">
        <f>BX96*BX79</f>
        <v>209901.78534338766</v>
      </c>
      <c r="BY97" s="99">
        <f>BY96*BY78</f>
        <v>169381.86837862412</v>
      </c>
      <c r="BZ97" s="99">
        <f>BZ96*BZ77</f>
        <v>477569.23819243273</v>
      </c>
      <c r="CA97" s="99">
        <f>CA96*CA76</f>
        <v>531671.41999999993</v>
      </c>
      <c r="CB97" s="99">
        <f>CB96*CB75</f>
        <v>379934.12</v>
      </c>
      <c r="CC97" s="99">
        <f>CC96*CC74</f>
        <v>275600</v>
      </c>
      <c r="CD97" s="99">
        <f>CD96*CD73</f>
        <v>501471.43</v>
      </c>
      <c r="CE97" s="99">
        <f>CE96*CE72</f>
        <v>366601.32</v>
      </c>
      <c r="CF97" s="99">
        <f>CF96*CF71</f>
        <v>258250</v>
      </c>
      <c r="CG97" s="95" t="s">
        <v>41</v>
      </c>
      <c r="CH97" s="106"/>
      <c r="CI97" s="99">
        <f>CI96*CI80</f>
        <v>0</v>
      </c>
      <c r="CJ97" s="99">
        <f>CJ96*CJ79</f>
        <v>0</v>
      </c>
      <c r="CK97" s="99">
        <f>CK96*CK78</f>
        <v>0</v>
      </c>
      <c r="CL97" s="99">
        <f>CL96*CL77</f>
        <v>0</v>
      </c>
      <c r="CM97" s="99">
        <f>CM96*CM76</f>
        <v>0</v>
      </c>
      <c r="CN97" s="99">
        <f>CN96*CN75</f>
        <v>0</v>
      </c>
      <c r="CO97" s="99">
        <f>CO96*CO74</f>
        <v>0</v>
      </c>
      <c r="CP97" s="99">
        <f>CP96*CP73</f>
        <v>0</v>
      </c>
      <c r="CQ97" s="99">
        <f>CQ96*CQ72</f>
        <v>0</v>
      </c>
      <c r="CR97" s="99">
        <f>CR96*CR71</f>
        <v>0</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Mutual Automobile Insurance Company</v>
      </c>
      <c r="B98" s="68"/>
      <c r="C98" s="40"/>
      <c r="D98" s="18"/>
      <c r="E98" s="18"/>
      <c r="F98" s="18"/>
      <c r="G98" s="18"/>
      <c r="H98" s="18"/>
      <c r="I98" s="18"/>
      <c r="J98" s="18"/>
      <c r="K98" s="18"/>
      <c r="L98" s="18"/>
      <c r="M98" s="137" t="str">
        <f>Co_Name</f>
        <v>State Farm Mutual Automobile Insurance Company</v>
      </c>
      <c r="N98" s="68"/>
      <c r="O98" s="40"/>
      <c r="P98" s="18"/>
      <c r="Q98" s="18"/>
      <c r="R98" s="18"/>
      <c r="S98" s="18"/>
      <c r="T98" s="18"/>
      <c r="U98" s="18"/>
      <c r="V98" s="18"/>
      <c r="W98" s="18"/>
      <c r="X98" s="18"/>
      <c r="Y98" s="137" t="str">
        <f>Co_Name</f>
        <v>State Farm Mutual Automobile Insurance Company</v>
      </c>
      <c r="Z98" s="68"/>
      <c r="AA98" s="40"/>
      <c r="AB98" s="18"/>
      <c r="AC98" s="18"/>
      <c r="AD98" s="18"/>
      <c r="AE98" s="18"/>
      <c r="AF98" s="18"/>
      <c r="AG98" s="18"/>
      <c r="AH98" s="18"/>
      <c r="AI98" s="18"/>
      <c r="AJ98" s="18"/>
      <c r="AK98" s="137" t="str">
        <f>Co_Name</f>
        <v>State Farm Mutual Automobile Insurance Company</v>
      </c>
      <c r="AL98" s="68"/>
      <c r="AM98" s="40"/>
      <c r="AN98" s="18"/>
      <c r="AO98" s="18"/>
      <c r="AP98" s="18"/>
      <c r="AQ98" s="18"/>
      <c r="AR98" s="18"/>
      <c r="AS98" s="18"/>
      <c r="AT98" s="18"/>
      <c r="AU98" s="18"/>
      <c r="AV98" s="18"/>
      <c r="AW98" s="137" t="str">
        <f>Co_Name</f>
        <v>State Farm Mutual Automobile Insurance Company</v>
      </c>
      <c r="AX98" s="68"/>
      <c r="AY98" s="40"/>
      <c r="AZ98" s="18"/>
      <c r="BA98" s="18"/>
      <c r="BB98" s="18"/>
      <c r="BC98" s="18"/>
      <c r="BD98" s="18"/>
      <c r="BE98" s="18"/>
      <c r="BF98" s="18"/>
      <c r="BG98" s="18"/>
      <c r="BH98" s="18"/>
      <c r="BI98" s="137" t="str">
        <f>Co_Name</f>
        <v>State Farm Mutual Automobile Insurance Company</v>
      </c>
      <c r="BJ98" s="68"/>
      <c r="BK98" s="40"/>
      <c r="BL98" s="18"/>
      <c r="BM98" s="18"/>
      <c r="BN98" s="18"/>
      <c r="BO98" s="18"/>
      <c r="BP98" s="18"/>
      <c r="BQ98" s="18"/>
      <c r="BR98" s="18"/>
      <c r="BS98" s="18"/>
      <c r="BT98" s="18"/>
      <c r="BU98" s="137" t="str">
        <f>Co_Name</f>
        <v>State Farm Mutual Automobile Insurance Company</v>
      </c>
      <c r="BV98" s="68"/>
      <c r="BW98" s="40"/>
      <c r="BX98" s="18"/>
      <c r="BY98" s="18"/>
      <c r="BZ98" s="18"/>
      <c r="CA98" s="18"/>
      <c r="CB98" s="18"/>
      <c r="CC98" s="18"/>
      <c r="CD98" s="18"/>
      <c r="CE98" s="18"/>
      <c r="CF98" s="18"/>
      <c r="CG98" s="137" t="str">
        <f>Co_Name</f>
        <v>State Farm Mutual Automobile Insurance Company</v>
      </c>
      <c r="CH98" s="68"/>
      <c r="CI98" s="40"/>
      <c r="CJ98" s="18"/>
      <c r="CK98" s="18"/>
      <c r="CL98" s="18"/>
      <c r="CM98" s="18"/>
      <c r="CN98" s="18"/>
      <c r="CO98" s="18"/>
      <c r="CP98" s="18"/>
      <c r="CQ98" s="18"/>
      <c r="CR98" s="18"/>
      <c r="CS98" s="137" t="str">
        <f>Co_Name</f>
        <v>State Farm Mutual Automobile Insurance Company</v>
      </c>
      <c r="CT98" s="68"/>
      <c r="CU98" s="40"/>
      <c r="CV98" s="18"/>
      <c r="CW98" s="18"/>
      <c r="CX98" s="18"/>
      <c r="CY98" s="18"/>
      <c r="CZ98" s="18"/>
      <c r="DA98" s="18"/>
      <c r="DB98" s="18"/>
      <c r="DC98" s="18"/>
      <c r="DD98" s="18"/>
      <c r="DE98" s="137" t="str">
        <f>Co_Name</f>
        <v>State Farm Mutual Automobile Insurance Company</v>
      </c>
      <c r="DF98" s="68"/>
      <c r="DG98" s="40"/>
      <c r="DH98" s="18"/>
      <c r="DI98" s="18"/>
      <c r="DJ98" s="18"/>
      <c r="DK98" s="18"/>
      <c r="DL98" s="18"/>
      <c r="DM98" s="18"/>
      <c r="DN98" s="18"/>
      <c r="DO98" s="18"/>
      <c r="DP98" s="18"/>
    </row>
    <row r="99" spans="1:120" ht="21" x14ac:dyDescent="0.35">
      <c r="A99" s="137" t="str">
        <f>A$2</f>
        <v>Private Passenger Auto Liability</v>
      </c>
      <c r="B99" s="68"/>
      <c r="C99" s="40"/>
      <c r="D99" s="18"/>
      <c r="E99" s="18"/>
      <c r="F99" s="18"/>
      <c r="G99" s="18"/>
      <c r="H99" s="18"/>
      <c r="I99" s="18"/>
      <c r="J99" s="18"/>
      <c r="K99" s="18"/>
      <c r="L99" s="18"/>
      <c r="M99" s="137" t="str">
        <f>M$2</f>
        <v>Private Passenger Auto Liability</v>
      </c>
      <c r="N99" s="68"/>
      <c r="O99" s="40"/>
      <c r="P99" s="18"/>
      <c r="Q99" s="18"/>
      <c r="R99" s="18"/>
      <c r="S99" s="18"/>
      <c r="T99" s="18"/>
      <c r="U99" s="18"/>
      <c r="V99" s="18"/>
      <c r="W99" s="18"/>
      <c r="X99" s="18"/>
      <c r="Y99" s="137" t="str">
        <f>Y$2</f>
        <v>Private Passenger Auto Liability</v>
      </c>
      <c r="Z99" s="68"/>
      <c r="AA99" s="40"/>
      <c r="AB99" s="18"/>
      <c r="AC99" s="18"/>
      <c r="AD99" s="18"/>
      <c r="AE99" s="18"/>
      <c r="AF99" s="18"/>
      <c r="AG99" s="18"/>
      <c r="AH99" s="18"/>
      <c r="AI99" s="18"/>
      <c r="AJ99" s="18"/>
      <c r="AK99" s="137" t="str">
        <f>AK$2</f>
        <v>Private Passenger Auto Liability</v>
      </c>
      <c r="AL99" s="68"/>
      <c r="AM99" s="40"/>
      <c r="AN99" s="18"/>
      <c r="AO99" s="18"/>
      <c r="AP99" s="18"/>
      <c r="AQ99" s="18"/>
      <c r="AR99" s="18"/>
      <c r="AS99" s="18"/>
      <c r="AT99" s="18"/>
      <c r="AU99" s="18"/>
      <c r="AV99" s="18"/>
      <c r="AW99" s="137" t="str">
        <f>AW$2</f>
        <v>Private Passenger Auto Physical Damage</v>
      </c>
      <c r="AX99" s="68"/>
      <c r="AY99" s="40"/>
      <c r="AZ99" s="18"/>
      <c r="BA99" s="18"/>
      <c r="BB99" s="18"/>
      <c r="BC99" s="18"/>
      <c r="BD99" s="18"/>
      <c r="BE99" s="18"/>
      <c r="BF99" s="18"/>
      <c r="BG99" s="18"/>
      <c r="BH99" s="18"/>
      <c r="BI99" s="137" t="str">
        <f>BI$2</f>
        <v>Private Passenger Auto Physical Damage</v>
      </c>
      <c r="BJ99" s="68"/>
      <c r="BK99" s="40"/>
      <c r="BL99" s="18"/>
      <c r="BM99" s="18"/>
      <c r="BN99" s="18"/>
      <c r="BO99" s="18"/>
      <c r="BP99" s="18"/>
      <c r="BQ99" s="18"/>
      <c r="BR99" s="18"/>
      <c r="BS99" s="18"/>
      <c r="BT99" s="18"/>
      <c r="BU99" s="137" t="str">
        <f>BU$2</f>
        <v>Private Passenger Auto Physical Damage</v>
      </c>
      <c r="BV99" s="68"/>
      <c r="BW99" s="40"/>
      <c r="BX99" s="18"/>
      <c r="BY99" s="18"/>
      <c r="BZ99" s="18"/>
      <c r="CA99" s="18"/>
      <c r="CB99" s="18"/>
      <c r="CC99" s="18"/>
      <c r="CD99" s="18"/>
      <c r="CE99" s="18"/>
      <c r="CF99" s="18"/>
      <c r="CG99" s="137" t="str">
        <f>CG$2</f>
        <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197</v>
      </c>
      <c r="B101" s="48"/>
      <c r="C101" s="18"/>
      <c r="D101" s="18"/>
      <c r="E101" s="18"/>
      <c r="F101" s="18"/>
      <c r="G101" s="18"/>
      <c r="H101" s="18"/>
      <c r="I101" s="18"/>
      <c r="J101" s="18"/>
      <c r="K101" s="18"/>
      <c r="L101" s="18"/>
      <c r="M101" s="48" t="s">
        <v>197</v>
      </c>
      <c r="N101" s="48"/>
      <c r="O101" s="18"/>
      <c r="P101" s="18"/>
      <c r="Q101" s="18"/>
      <c r="R101" s="18"/>
      <c r="S101" s="18"/>
      <c r="T101" s="18"/>
      <c r="U101" s="18"/>
      <c r="V101" s="18"/>
      <c r="W101" s="18"/>
      <c r="X101" s="18"/>
      <c r="Y101" s="48" t="s">
        <v>197</v>
      </c>
      <c r="Z101" s="48"/>
      <c r="AA101" s="18"/>
      <c r="AB101" s="18"/>
      <c r="AC101" s="18"/>
      <c r="AD101" s="18"/>
      <c r="AE101" s="18"/>
      <c r="AF101" s="18"/>
      <c r="AG101" s="18"/>
      <c r="AH101" s="18"/>
      <c r="AI101" s="18"/>
      <c r="AJ101" s="18"/>
      <c r="AK101" s="48" t="s">
        <v>197</v>
      </c>
      <c r="AL101" s="48"/>
      <c r="AM101" s="18"/>
      <c r="AN101" s="18"/>
      <c r="AO101" s="18"/>
      <c r="AP101" s="18"/>
      <c r="AQ101" s="18"/>
      <c r="AR101" s="18"/>
      <c r="AS101" s="18"/>
      <c r="AT101" s="18"/>
      <c r="AU101" s="18"/>
      <c r="AV101" s="18"/>
      <c r="AW101" s="48" t="s">
        <v>197</v>
      </c>
      <c r="AX101" s="48"/>
      <c r="AY101" s="18"/>
      <c r="AZ101" s="18"/>
      <c r="BA101" s="18"/>
      <c r="BB101" s="18"/>
      <c r="BC101" s="18"/>
      <c r="BD101" s="18"/>
      <c r="BE101" s="18"/>
      <c r="BF101" s="18"/>
      <c r="BG101" s="18"/>
      <c r="BH101" s="18"/>
      <c r="BI101" s="48" t="s">
        <v>197</v>
      </c>
      <c r="BJ101" s="48"/>
      <c r="BK101" s="18"/>
      <c r="BL101" s="18"/>
      <c r="BM101" s="18"/>
      <c r="BN101" s="18"/>
      <c r="BO101" s="18"/>
      <c r="BP101" s="18"/>
      <c r="BQ101" s="18"/>
      <c r="BR101" s="18"/>
      <c r="BS101" s="18"/>
      <c r="BT101" s="18"/>
      <c r="BU101" s="48" t="s">
        <v>197</v>
      </c>
      <c r="BV101" s="48"/>
      <c r="BW101" s="18"/>
      <c r="BX101" s="18"/>
      <c r="BY101" s="18"/>
      <c r="BZ101" s="18"/>
      <c r="CA101" s="18"/>
      <c r="CB101" s="18"/>
      <c r="CC101" s="18"/>
      <c r="CD101" s="18"/>
      <c r="CE101" s="18"/>
      <c r="CF101" s="18"/>
      <c r="CG101" s="48" t="s">
        <v>197</v>
      </c>
      <c r="CH101" s="48"/>
      <c r="CI101" s="18"/>
      <c r="CJ101" s="18"/>
      <c r="CK101" s="18"/>
      <c r="CL101" s="18"/>
      <c r="CM101" s="18"/>
      <c r="CN101" s="18"/>
      <c r="CO101" s="18"/>
      <c r="CP101" s="18"/>
      <c r="CQ101" s="18"/>
      <c r="CR101" s="18"/>
      <c r="CS101" s="48" t="s">
        <v>197</v>
      </c>
      <c r="CT101" s="48"/>
      <c r="CU101" s="18"/>
      <c r="CV101" s="18"/>
      <c r="CW101" s="18"/>
      <c r="CX101" s="18"/>
      <c r="CY101" s="18"/>
      <c r="CZ101" s="18"/>
      <c r="DA101" s="18"/>
      <c r="DB101" s="18"/>
      <c r="DC101" s="18"/>
      <c r="DD101" s="18"/>
      <c r="DE101" s="48" t="s">
        <v>197</v>
      </c>
      <c r="DF101" s="48"/>
      <c r="DG101" s="18"/>
      <c r="DH101" s="18"/>
      <c r="DI101" s="18"/>
      <c r="DJ101" s="18"/>
      <c r="DK101" s="18"/>
      <c r="DL101" s="18"/>
      <c r="DM101" s="18"/>
      <c r="DN101" s="18"/>
      <c r="DO101" s="18"/>
      <c r="DP101" s="18"/>
    </row>
    <row r="102" spans="1:120" x14ac:dyDescent="0.25">
      <c r="A102" s="138" t="str">
        <f>A$5</f>
        <v>BIPD</v>
      </c>
      <c r="B102" s="69"/>
      <c r="C102" s="18"/>
      <c r="D102" s="18"/>
      <c r="E102" s="18"/>
      <c r="F102" s="18"/>
      <c r="G102" s="18"/>
      <c r="H102" s="18"/>
      <c r="I102" s="18"/>
      <c r="J102" s="18"/>
      <c r="K102" s="18"/>
      <c r="L102" s="18"/>
      <c r="M102" s="138" t="str">
        <f>M$5</f>
        <v>MPC</v>
      </c>
      <c r="N102" s="69"/>
      <c r="O102" s="18"/>
      <c r="P102" s="18"/>
      <c r="Q102" s="18"/>
      <c r="R102" s="18"/>
      <c r="S102" s="18"/>
      <c r="T102" s="18"/>
      <c r="U102" s="18"/>
      <c r="V102" s="18"/>
      <c r="W102" s="18"/>
      <c r="X102" s="18"/>
      <c r="Y102" s="138" t="str">
        <f>Y$5</f>
        <v>UM</v>
      </c>
      <c r="Z102" s="69"/>
      <c r="AA102" s="18"/>
      <c r="AB102" s="18"/>
      <c r="AC102" s="18"/>
      <c r="AD102" s="18"/>
      <c r="AE102" s="18"/>
      <c r="AF102" s="18"/>
      <c r="AG102" s="18"/>
      <c r="AH102" s="18"/>
      <c r="AI102" s="18"/>
      <c r="AJ102" s="18"/>
      <c r="AK102" s="138" t="str">
        <f>AK$5</f>
        <v>COMP</v>
      </c>
      <c r="AL102" s="69"/>
      <c r="AM102" s="18"/>
      <c r="AN102" s="18"/>
      <c r="AO102" s="18"/>
      <c r="AP102" s="18"/>
      <c r="AQ102" s="18"/>
      <c r="AR102" s="18"/>
      <c r="AS102" s="18"/>
      <c r="AT102" s="18"/>
      <c r="AU102" s="18"/>
      <c r="AV102" s="18"/>
      <c r="AW102" s="138" t="str">
        <f>AW$5</f>
        <v>COLL</v>
      </c>
      <c r="AX102" s="69"/>
      <c r="AY102" s="18"/>
      <c r="AZ102" s="18"/>
      <c r="BA102" s="18"/>
      <c r="BB102" s="18"/>
      <c r="BC102" s="18"/>
      <c r="BD102" s="18"/>
      <c r="BE102" s="18"/>
      <c r="BF102" s="18"/>
      <c r="BG102" s="18"/>
      <c r="BH102" s="18"/>
      <c r="BI102" s="138" t="str">
        <f>BI$5</f>
        <v>Misc. Damage</v>
      </c>
      <c r="BJ102" s="69"/>
      <c r="BK102" s="18"/>
      <c r="BL102" s="18"/>
      <c r="BM102" s="18"/>
      <c r="BN102" s="18"/>
      <c r="BO102" s="18"/>
      <c r="BP102" s="18"/>
      <c r="BQ102" s="18"/>
      <c r="BR102" s="18"/>
      <c r="BS102" s="18"/>
      <c r="BT102" s="18"/>
      <c r="BU102" s="138" t="str">
        <f>BU$5</f>
        <v>Misc. Liability</v>
      </c>
      <c r="BV102" s="69"/>
      <c r="BW102" s="18"/>
      <c r="BX102" s="18"/>
      <c r="BY102" s="18"/>
      <c r="BZ102" s="18"/>
      <c r="CA102" s="18"/>
      <c r="CB102" s="18"/>
      <c r="CC102" s="18"/>
      <c r="CD102" s="18"/>
      <c r="CE102" s="18"/>
      <c r="CF102" s="18"/>
      <c r="CG102" s="138">
        <f>CG$5</f>
        <v>0</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ht="30" x14ac:dyDescent="0.25">
      <c r="A105" s="92" t="str">
        <f>$A$35</f>
        <v>Fiscal Accident Year Data Ending</v>
      </c>
      <c r="B105" s="98">
        <f>$B$35</f>
        <v>3</v>
      </c>
      <c r="C105" s="98" t="str">
        <f>$C$35</f>
        <v>15</v>
      </c>
      <c r="D105" s="98">
        <f>$D$35</f>
        <v>27</v>
      </c>
      <c r="E105" s="98">
        <f>$E$35</f>
        <v>39</v>
      </c>
      <c r="F105" s="98">
        <f>$F$35</f>
        <v>51</v>
      </c>
      <c r="G105" s="98">
        <f>$G$35</f>
        <v>63</v>
      </c>
      <c r="H105" s="98">
        <f>$H$35</f>
        <v>75</v>
      </c>
      <c r="I105" s="98">
        <f>$I$35</f>
        <v>87</v>
      </c>
      <c r="J105" s="98">
        <f>$J$35</f>
        <v>99</v>
      </c>
      <c r="K105" s="98">
        <f>$K$35</f>
        <v>111</v>
      </c>
      <c r="L105" s="98">
        <f>$L$35</f>
        <v>123</v>
      </c>
      <c r="M105" s="92" t="str">
        <f>$A$35</f>
        <v>Fiscal Accident Year Data Ending</v>
      </c>
      <c r="N105" s="98">
        <f>$B$35</f>
        <v>3</v>
      </c>
      <c r="O105" s="98" t="str">
        <f>$C$35</f>
        <v>15</v>
      </c>
      <c r="P105" s="98">
        <f>$D$35</f>
        <v>27</v>
      </c>
      <c r="Q105" s="98">
        <f>$E$35</f>
        <v>39</v>
      </c>
      <c r="R105" s="98">
        <f>$F$35</f>
        <v>51</v>
      </c>
      <c r="S105" s="98">
        <f>$G$35</f>
        <v>63</v>
      </c>
      <c r="T105" s="98">
        <f>$H$35</f>
        <v>75</v>
      </c>
      <c r="U105" s="98">
        <f>$I$35</f>
        <v>87</v>
      </c>
      <c r="V105" s="98">
        <f>$J$35</f>
        <v>99</v>
      </c>
      <c r="W105" s="98">
        <f>$K$35</f>
        <v>111</v>
      </c>
      <c r="X105" s="98">
        <f>$L$35</f>
        <v>123</v>
      </c>
      <c r="Y105" s="92" t="str">
        <f>$A$35</f>
        <v>Fiscal Accident Year Data Ending</v>
      </c>
      <c r="Z105" s="98">
        <f>$B$35</f>
        <v>3</v>
      </c>
      <c r="AA105" s="98" t="str">
        <f>$C$35</f>
        <v>15</v>
      </c>
      <c r="AB105" s="98">
        <f>$D$35</f>
        <v>27</v>
      </c>
      <c r="AC105" s="98">
        <f>$E$35</f>
        <v>39</v>
      </c>
      <c r="AD105" s="98">
        <f>$F$35</f>
        <v>51</v>
      </c>
      <c r="AE105" s="98">
        <f>$G$35</f>
        <v>63</v>
      </c>
      <c r="AF105" s="98">
        <f>$H$35</f>
        <v>75</v>
      </c>
      <c r="AG105" s="98">
        <f>$I$35</f>
        <v>87</v>
      </c>
      <c r="AH105" s="98">
        <f>$J$35</f>
        <v>99</v>
      </c>
      <c r="AI105" s="98">
        <f>$K$35</f>
        <v>111</v>
      </c>
      <c r="AJ105" s="98">
        <f>$L$35</f>
        <v>123</v>
      </c>
      <c r="AK105" s="92" t="str">
        <f>$A$35</f>
        <v>Fiscal Accident Year Data Ending</v>
      </c>
      <c r="AL105" s="98">
        <f>$B$35</f>
        <v>3</v>
      </c>
      <c r="AM105" s="98" t="str">
        <f>$C$35</f>
        <v>15</v>
      </c>
      <c r="AN105" s="98">
        <f>$D$35</f>
        <v>27</v>
      </c>
      <c r="AO105" s="98">
        <f>$E$35</f>
        <v>39</v>
      </c>
      <c r="AP105" s="98">
        <f>$F$35</f>
        <v>51</v>
      </c>
      <c r="AQ105" s="98">
        <f>$G$35</f>
        <v>63</v>
      </c>
      <c r="AR105" s="98">
        <f>$H$35</f>
        <v>75</v>
      </c>
      <c r="AS105" s="98">
        <f>$I$35</f>
        <v>87</v>
      </c>
      <c r="AT105" s="98">
        <f>$J$35</f>
        <v>99</v>
      </c>
      <c r="AU105" s="98">
        <f>$K$35</f>
        <v>111</v>
      </c>
      <c r="AV105" s="98">
        <f>$L$35</f>
        <v>123</v>
      </c>
      <c r="AW105" s="92" t="str">
        <f>$A$35</f>
        <v>Fiscal Accident Year Data Ending</v>
      </c>
      <c r="AX105" s="98">
        <f>$B$35</f>
        <v>3</v>
      </c>
      <c r="AY105" s="98" t="str">
        <f>$C$35</f>
        <v>15</v>
      </c>
      <c r="AZ105" s="98">
        <f>$D$35</f>
        <v>27</v>
      </c>
      <c r="BA105" s="98">
        <f>$E$35</f>
        <v>39</v>
      </c>
      <c r="BB105" s="98">
        <f>$F$35</f>
        <v>51</v>
      </c>
      <c r="BC105" s="98">
        <f>$G$35</f>
        <v>63</v>
      </c>
      <c r="BD105" s="98">
        <f>$H$35</f>
        <v>75</v>
      </c>
      <c r="BE105" s="98">
        <f>$I$35</f>
        <v>87</v>
      </c>
      <c r="BF105" s="98">
        <f>$J$35</f>
        <v>99</v>
      </c>
      <c r="BG105" s="98">
        <f>$K$35</f>
        <v>111</v>
      </c>
      <c r="BH105" s="98">
        <f>$L$35</f>
        <v>123</v>
      </c>
      <c r="BI105" s="92" t="str">
        <f>$A$35</f>
        <v>Fiscal Accident Year Data Ending</v>
      </c>
      <c r="BJ105" s="98">
        <f>$B$35</f>
        <v>3</v>
      </c>
      <c r="BK105" s="98" t="str">
        <f>$C$35</f>
        <v>15</v>
      </c>
      <c r="BL105" s="98">
        <f>$D$35</f>
        <v>27</v>
      </c>
      <c r="BM105" s="98">
        <f>$E$35</f>
        <v>39</v>
      </c>
      <c r="BN105" s="98">
        <f>$F$35</f>
        <v>51</v>
      </c>
      <c r="BO105" s="98">
        <f>$G$35</f>
        <v>63</v>
      </c>
      <c r="BP105" s="98">
        <f>$H$35</f>
        <v>75</v>
      </c>
      <c r="BQ105" s="98">
        <f>$I$35</f>
        <v>87</v>
      </c>
      <c r="BR105" s="98">
        <f>$J$35</f>
        <v>99</v>
      </c>
      <c r="BS105" s="98">
        <f>$K$35</f>
        <v>111</v>
      </c>
      <c r="BT105" s="98">
        <f>$L$35</f>
        <v>123</v>
      </c>
      <c r="BU105" s="92" t="str">
        <f>$A$35</f>
        <v>Fiscal Accident Year Data Ending</v>
      </c>
      <c r="BV105" s="98">
        <f>$B$35</f>
        <v>3</v>
      </c>
      <c r="BW105" s="98" t="str">
        <f>$C$35</f>
        <v>15</v>
      </c>
      <c r="BX105" s="98">
        <f>$D$35</f>
        <v>27</v>
      </c>
      <c r="BY105" s="98">
        <f>$E$35</f>
        <v>39</v>
      </c>
      <c r="BZ105" s="98">
        <f>$F$35</f>
        <v>51</v>
      </c>
      <c r="CA105" s="98">
        <f>$G$35</f>
        <v>63</v>
      </c>
      <c r="CB105" s="98">
        <f>$H$35</f>
        <v>75</v>
      </c>
      <c r="CC105" s="98">
        <f>$I$35</f>
        <v>87</v>
      </c>
      <c r="CD105" s="98">
        <f>$J$35</f>
        <v>99</v>
      </c>
      <c r="CE105" s="98">
        <f>$K$35</f>
        <v>111</v>
      </c>
      <c r="CF105" s="98">
        <f>$L$35</f>
        <v>123</v>
      </c>
      <c r="CG105" s="92" t="str">
        <f>$A$35</f>
        <v>Fiscal Accident Year Data Ending</v>
      </c>
      <c r="CH105" s="98">
        <f>$B$35</f>
        <v>3</v>
      </c>
      <c r="CI105" s="98" t="str">
        <f>$C$35</f>
        <v>15</v>
      </c>
      <c r="CJ105" s="98">
        <f>$D$35</f>
        <v>27</v>
      </c>
      <c r="CK105" s="98">
        <f>$E$35</f>
        <v>39</v>
      </c>
      <c r="CL105" s="98">
        <f>$F$35</f>
        <v>51</v>
      </c>
      <c r="CM105" s="98">
        <f>$G$35</f>
        <v>63</v>
      </c>
      <c r="CN105" s="98">
        <f>$H$35</f>
        <v>75</v>
      </c>
      <c r="CO105" s="98">
        <f>$I$35</f>
        <v>87</v>
      </c>
      <c r="CP105" s="98">
        <f>$J$35</f>
        <v>99</v>
      </c>
      <c r="CQ105" s="98">
        <f>$K$35</f>
        <v>111</v>
      </c>
      <c r="CR105" s="98">
        <f>$L$35</f>
        <v>123</v>
      </c>
      <c r="CS105" s="92" t="str">
        <f>$A$35</f>
        <v>Fiscal Accident Year Data Ending</v>
      </c>
      <c r="CT105" s="98">
        <f>$B$35</f>
        <v>3</v>
      </c>
      <c r="CU105" s="98" t="str">
        <f>$C$35</f>
        <v>15</v>
      </c>
      <c r="CV105" s="98">
        <f>$D$35</f>
        <v>27</v>
      </c>
      <c r="CW105" s="98">
        <f>$E$35</f>
        <v>39</v>
      </c>
      <c r="CX105" s="98">
        <f>$F$35</f>
        <v>51</v>
      </c>
      <c r="CY105" s="98">
        <f>$G$35</f>
        <v>63</v>
      </c>
      <c r="CZ105" s="98">
        <f>$H$35</f>
        <v>75</v>
      </c>
      <c r="DA105" s="98">
        <f>$I$35</f>
        <v>87</v>
      </c>
      <c r="DB105" s="98">
        <f>$J$35</f>
        <v>99</v>
      </c>
      <c r="DC105" s="98">
        <f>$K$35</f>
        <v>111</v>
      </c>
      <c r="DD105" s="98">
        <f>$L$35</f>
        <v>123</v>
      </c>
      <c r="DE105" s="92" t="str">
        <f>$A$35</f>
        <v>Fiscal Accident Year Data Ending</v>
      </c>
      <c r="DF105" s="98">
        <f>$B$35</f>
        <v>3</v>
      </c>
      <c r="DG105" s="98" t="str">
        <f>$C$35</f>
        <v>15</v>
      </c>
      <c r="DH105" s="98">
        <f>$D$35</f>
        <v>27</v>
      </c>
      <c r="DI105" s="98">
        <f>$E$35</f>
        <v>39</v>
      </c>
      <c r="DJ105" s="98">
        <f>$F$35</f>
        <v>51</v>
      </c>
      <c r="DK105" s="98">
        <f>$G$35</f>
        <v>63</v>
      </c>
      <c r="DL105" s="98">
        <f>$H$35</f>
        <v>75</v>
      </c>
      <c r="DM105" s="98">
        <f>$I$35</f>
        <v>87</v>
      </c>
      <c r="DN105" s="98">
        <f>$J$35</f>
        <v>99</v>
      </c>
      <c r="DO105" s="98">
        <f>$K$35</f>
        <v>111</v>
      </c>
      <c r="DP105" s="98">
        <f>$L$35</f>
        <v>123</v>
      </c>
    </row>
    <row r="106" spans="1:120" ht="15" customHeight="1" x14ac:dyDescent="0.25">
      <c r="A106" s="31">
        <f>$A$36</f>
        <v>20133</v>
      </c>
      <c r="B106" s="21">
        <v>26063.77</v>
      </c>
      <c r="C106" s="21">
        <v>2981389.86</v>
      </c>
      <c r="D106" s="21">
        <v>17493049.949999999</v>
      </c>
      <c r="E106" s="21">
        <v>49559449.460000001</v>
      </c>
      <c r="F106" s="21">
        <v>77644652.390000001</v>
      </c>
      <c r="G106" s="21">
        <v>88035869.400000006</v>
      </c>
      <c r="H106" s="21">
        <v>91015028.630000025</v>
      </c>
      <c r="I106" s="21">
        <v>92217338.520000026</v>
      </c>
      <c r="J106" s="21">
        <v>92448409.850000024</v>
      </c>
      <c r="K106" s="21">
        <v>92568381.280000046</v>
      </c>
      <c r="L106" s="21">
        <v>92624109.800000042</v>
      </c>
      <c r="M106" s="31">
        <f>$A$36</f>
        <v>20133</v>
      </c>
      <c r="N106" s="21">
        <v>45.5</v>
      </c>
      <c r="O106" s="21">
        <v>195465.27</v>
      </c>
      <c r="P106" s="21">
        <v>682793.94</v>
      </c>
      <c r="Q106" s="21">
        <v>758700.4099999998</v>
      </c>
      <c r="R106" s="21">
        <v>815810.70999999985</v>
      </c>
      <c r="S106" s="21">
        <v>866403.49999999965</v>
      </c>
      <c r="T106" s="21">
        <v>872318.99999999965</v>
      </c>
      <c r="U106" s="21">
        <v>875333.14999999967</v>
      </c>
      <c r="V106" s="21">
        <v>875333.14999999967</v>
      </c>
      <c r="W106" s="21">
        <v>875333.14999999967</v>
      </c>
      <c r="X106" s="21">
        <v>875338.14999999967</v>
      </c>
      <c r="Y106" s="31">
        <f>$A$36</f>
        <v>20133</v>
      </c>
      <c r="Z106" s="21">
        <v>4992.3999999999996</v>
      </c>
      <c r="AA106" s="21">
        <v>490762.1</v>
      </c>
      <c r="AB106" s="21">
        <v>2388678.1999999997</v>
      </c>
      <c r="AC106" s="21">
        <v>5204708.92</v>
      </c>
      <c r="AD106" s="21">
        <v>8015653.8199999984</v>
      </c>
      <c r="AE106" s="21">
        <v>9988777.8100000005</v>
      </c>
      <c r="AF106" s="21">
        <v>11189092.380000001</v>
      </c>
      <c r="AG106" s="21">
        <v>11919028.289999999</v>
      </c>
      <c r="AH106" s="21">
        <v>12440445.509999998</v>
      </c>
      <c r="AI106" s="21">
        <v>12812303.689999998</v>
      </c>
      <c r="AJ106" s="21">
        <v>13162226.329999996</v>
      </c>
      <c r="AK106" s="31">
        <f>$A$36</f>
        <v>20133</v>
      </c>
      <c r="AL106" s="21">
        <v>37798.270000000004</v>
      </c>
      <c r="AM106" s="21">
        <v>815014.8</v>
      </c>
      <c r="AN106" s="21">
        <v>1109596.7700000003</v>
      </c>
      <c r="AO106" s="21">
        <v>1308609.8900000001</v>
      </c>
      <c r="AP106" s="21">
        <v>1438071.6000000003</v>
      </c>
      <c r="AQ106" s="21">
        <v>1488414.2200000004</v>
      </c>
      <c r="AR106" s="21">
        <v>1468457.9600000004</v>
      </c>
      <c r="AS106" s="21">
        <v>1468457.9600000004</v>
      </c>
      <c r="AT106" s="21">
        <v>1470069.7400000005</v>
      </c>
      <c r="AU106" s="21">
        <v>1470069.7400000005</v>
      </c>
      <c r="AV106" s="21">
        <v>1470069.7400000005</v>
      </c>
      <c r="AW106" s="31">
        <f>$A$36</f>
        <v>20133</v>
      </c>
      <c r="AX106" s="21">
        <v>32357.040000000001</v>
      </c>
      <c r="AY106" s="21">
        <v>347657.61</v>
      </c>
      <c r="AZ106" s="21">
        <v>465117.48999999993</v>
      </c>
      <c r="BA106" s="21">
        <v>633257.75999999978</v>
      </c>
      <c r="BB106" s="21">
        <v>891140.32999999973</v>
      </c>
      <c r="BC106" s="21">
        <v>907327.24999999977</v>
      </c>
      <c r="BD106" s="21">
        <v>907547.2799999998</v>
      </c>
      <c r="BE106" s="21">
        <v>913763.7799999998</v>
      </c>
      <c r="BF106" s="21">
        <v>913763.7799999998</v>
      </c>
      <c r="BG106" s="21">
        <v>913763.7799999998</v>
      </c>
      <c r="BH106" s="21">
        <v>914788.2799999998</v>
      </c>
      <c r="BI106" s="31">
        <f>$A$36</f>
        <v>20133</v>
      </c>
      <c r="BJ106" s="21">
        <v>1032</v>
      </c>
      <c r="BK106" s="21">
        <v>4386.5</v>
      </c>
      <c r="BL106" s="21">
        <v>15864.36</v>
      </c>
      <c r="BM106" s="21">
        <v>25086.819999999996</v>
      </c>
      <c r="BN106" s="21">
        <v>31949.77</v>
      </c>
      <c r="BO106" s="21">
        <v>31949.77</v>
      </c>
      <c r="BP106" s="21">
        <v>31949.77</v>
      </c>
      <c r="BQ106" s="21">
        <v>31949.77</v>
      </c>
      <c r="BR106" s="21">
        <v>31949.77</v>
      </c>
      <c r="BS106" s="21">
        <v>31949.77</v>
      </c>
      <c r="BT106" s="21">
        <v>31949.77</v>
      </c>
      <c r="BU106" s="31">
        <f>$A$36</f>
        <v>20133</v>
      </c>
      <c r="BV106" s="21">
        <v>0</v>
      </c>
      <c r="BW106" s="21">
        <v>4132.92</v>
      </c>
      <c r="BX106" s="21">
        <v>4256.3900000000003</v>
      </c>
      <c r="BY106" s="21">
        <v>4299.34</v>
      </c>
      <c r="BZ106" s="21">
        <v>4299.34</v>
      </c>
      <c r="CA106" s="21">
        <v>4507.5200000000004</v>
      </c>
      <c r="CB106" s="21">
        <v>4507.5200000000004</v>
      </c>
      <c r="CC106" s="21">
        <v>4507.5200000000004</v>
      </c>
      <c r="CD106" s="21">
        <v>4507.5200000000004</v>
      </c>
      <c r="CE106" s="21">
        <v>4507.5200000000004</v>
      </c>
      <c r="CF106" s="21">
        <v>4507.5200000000004</v>
      </c>
      <c r="CG106" s="31">
        <f>$A$36</f>
        <v>20133</v>
      </c>
      <c r="CH106" s="21"/>
      <c r="CI106" s="21"/>
      <c r="CJ106" s="21"/>
      <c r="CK106" s="21"/>
      <c r="CL106" s="21"/>
      <c r="CM106" s="21"/>
      <c r="CN106" s="21"/>
      <c r="CO106" s="21"/>
      <c r="CP106" s="21"/>
      <c r="CQ106" s="21"/>
      <c r="CR106" s="21"/>
      <c r="CS106" s="31">
        <f>$A$36</f>
        <v>20133</v>
      </c>
      <c r="CT106" s="21"/>
      <c r="CU106" s="21"/>
      <c r="CV106" s="21"/>
      <c r="CW106" s="21"/>
      <c r="CX106" s="21"/>
      <c r="CY106" s="21"/>
      <c r="CZ106" s="21"/>
      <c r="DA106" s="21"/>
      <c r="DB106" s="21"/>
      <c r="DC106" s="21"/>
      <c r="DD106" s="21"/>
      <c r="DE106" s="31">
        <f>$A$36</f>
        <v>20133</v>
      </c>
      <c r="DF106" s="21"/>
      <c r="DG106" s="21"/>
      <c r="DH106" s="21"/>
      <c r="DI106" s="21"/>
      <c r="DJ106" s="21"/>
      <c r="DK106" s="21"/>
      <c r="DL106" s="21"/>
      <c r="DM106" s="21"/>
      <c r="DN106" s="21"/>
      <c r="DO106" s="21"/>
      <c r="DP106" s="21"/>
    </row>
    <row r="107" spans="1:120" ht="15" customHeight="1" x14ac:dyDescent="0.25">
      <c r="A107" s="31">
        <f>$A$37</f>
        <v>20143</v>
      </c>
      <c r="B107" s="21">
        <v>19386.310000000001</v>
      </c>
      <c r="C107" s="21">
        <v>2794439.63</v>
      </c>
      <c r="D107" s="21">
        <v>17229785.580000002</v>
      </c>
      <c r="E107" s="21">
        <v>48163660.870000005</v>
      </c>
      <c r="F107" s="21">
        <v>77069460.719999984</v>
      </c>
      <c r="G107" s="21">
        <v>89484585.839999989</v>
      </c>
      <c r="H107" s="21">
        <v>92754799.669999987</v>
      </c>
      <c r="I107" s="21">
        <v>93595932.25999999</v>
      </c>
      <c r="J107" s="21">
        <v>94046886.260000005</v>
      </c>
      <c r="K107" s="21">
        <v>94269998.480000004</v>
      </c>
      <c r="L107" s="134" t="s">
        <v>246</v>
      </c>
      <c r="M107" s="31">
        <f>$A$37</f>
        <v>20143</v>
      </c>
      <c r="N107" s="21">
        <v>198.3</v>
      </c>
      <c r="O107" s="21">
        <v>213016</v>
      </c>
      <c r="P107" s="21">
        <v>574763.56000000006</v>
      </c>
      <c r="Q107" s="21">
        <v>726744.31000000017</v>
      </c>
      <c r="R107" s="21">
        <v>860181.6800000004</v>
      </c>
      <c r="S107" s="21">
        <v>893386.85000000044</v>
      </c>
      <c r="T107" s="21">
        <v>895483.99000000046</v>
      </c>
      <c r="U107" s="21">
        <v>897170.99000000046</v>
      </c>
      <c r="V107" s="21">
        <v>897170.99000000046</v>
      </c>
      <c r="W107" s="21">
        <v>897170.99000000046</v>
      </c>
      <c r="X107" s="134" t="s">
        <v>246</v>
      </c>
      <c r="Y107" s="31">
        <f>$A$37</f>
        <v>20143</v>
      </c>
      <c r="Z107" s="21">
        <v>2483.91</v>
      </c>
      <c r="AA107" s="21">
        <v>408057.53</v>
      </c>
      <c r="AB107" s="21">
        <v>2406716.3899999997</v>
      </c>
      <c r="AC107" s="21">
        <v>5526537.879999999</v>
      </c>
      <c r="AD107" s="21">
        <v>8854622.9199999999</v>
      </c>
      <c r="AE107" s="21">
        <v>10916470.370000001</v>
      </c>
      <c r="AF107" s="21">
        <v>11963952.09</v>
      </c>
      <c r="AG107" s="21">
        <v>12650426.320000002</v>
      </c>
      <c r="AH107" s="21">
        <v>13119744.900000002</v>
      </c>
      <c r="AI107" s="21">
        <v>13482460.060000006</v>
      </c>
      <c r="AJ107" s="134" t="s">
        <v>246</v>
      </c>
      <c r="AK107" s="31">
        <f>$A$37</f>
        <v>20143</v>
      </c>
      <c r="AL107" s="21">
        <v>40348.75</v>
      </c>
      <c r="AM107" s="21">
        <v>665394.19000000006</v>
      </c>
      <c r="AN107" s="21">
        <v>908622.9800000001</v>
      </c>
      <c r="AO107" s="21">
        <v>1027098.9900000002</v>
      </c>
      <c r="AP107" s="21">
        <v>1115026.6200000001</v>
      </c>
      <c r="AQ107" s="21">
        <v>1142486.6800000004</v>
      </c>
      <c r="AR107" s="21">
        <v>1139872.6800000004</v>
      </c>
      <c r="AS107" s="21">
        <v>1139872.6800000004</v>
      </c>
      <c r="AT107" s="21">
        <v>1139872.6800000004</v>
      </c>
      <c r="AU107" s="21">
        <v>1139872.6800000004</v>
      </c>
      <c r="AV107" s="134" t="s">
        <v>246</v>
      </c>
      <c r="AW107" s="31">
        <f>$A$37</f>
        <v>20143</v>
      </c>
      <c r="AX107" s="21">
        <v>40491.490000000005</v>
      </c>
      <c r="AY107" s="21">
        <v>450147.01</v>
      </c>
      <c r="AZ107" s="21">
        <v>835689.55999999994</v>
      </c>
      <c r="BA107" s="21">
        <v>1059691.9099999999</v>
      </c>
      <c r="BB107" s="21">
        <v>1083800.5899999999</v>
      </c>
      <c r="BC107" s="21">
        <v>1085294.7699999998</v>
      </c>
      <c r="BD107" s="21">
        <v>1090300.7699999998</v>
      </c>
      <c r="BE107" s="21">
        <v>1090626.3599999996</v>
      </c>
      <c r="BF107" s="21">
        <v>1091246.3599999996</v>
      </c>
      <c r="BG107" s="21">
        <v>1091246.3599999996</v>
      </c>
      <c r="BH107" s="134" t="s">
        <v>246</v>
      </c>
      <c r="BI107" s="31">
        <f>$A$37</f>
        <v>20143</v>
      </c>
      <c r="BJ107" s="21">
        <v>0</v>
      </c>
      <c r="BK107" s="21">
        <v>6157.18</v>
      </c>
      <c r="BL107" s="21">
        <v>10137.710000000001</v>
      </c>
      <c r="BM107" s="21">
        <v>10137.710000000001</v>
      </c>
      <c r="BN107" s="21">
        <v>10137.710000000001</v>
      </c>
      <c r="BO107" s="21">
        <v>10137.710000000001</v>
      </c>
      <c r="BP107" s="21">
        <v>10137.710000000001</v>
      </c>
      <c r="BQ107" s="21">
        <v>10137.710000000001</v>
      </c>
      <c r="BR107" s="21">
        <v>10137.710000000001</v>
      </c>
      <c r="BS107" s="21">
        <v>10137.710000000001</v>
      </c>
      <c r="BT107" s="134" t="s">
        <v>246</v>
      </c>
      <c r="BU107" s="31">
        <f>$A$37</f>
        <v>20143</v>
      </c>
      <c r="BV107" s="21">
        <v>0</v>
      </c>
      <c r="BW107" s="21">
        <v>70.099999999999994</v>
      </c>
      <c r="BX107" s="21">
        <v>70.099999999999994</v>
      </c>
      <c r="BY107" s="21">
        <v>70.099999999999994</v>
      </c>
      <c r="BZ107" s="21">
        <v>510.54999999999995</v>
      </c>
      <c r="CA107" s="21">
        <v>510.54999999999995</v>
      </c>
      <c r="CB107" s="21">
        <v>510.54999999999995</v>
      </c>
      <c r="CC107" s="21">
        <v>510.54999999999995</v>
      </c>
      <c r="CD107" s="21">
        <v>510.54999999999995</v>
      </c>
      <c r="CE107" s="21">
        <v>510.54999999999995</v>
      </c>
      <c r="CF107" s="134" t="s">
        <v>246</v>
      </c>
      <c r="CG107" s="31">
        <f>$A$37</f>
        <v>20143</v>
      </c>
      <c r="CH107" s="21"/>
      <c r="CI107" s="21"/>
      <c r="CJ107" s="21"/>
      <c r="CK107" s="21"/>
      <c r="CL107" s="21"/>
      <c r="CM107" s="21"/>
      <c r="CN107" s="21"/>
      <c r="CO107" s="21"/>
      <c r="CP107" s="21"/>
      <c r="CQ107" s="21"/>
      <c r="CR107" s="134"/>
      <c r="CS107" s="31">
        <f>$A$37</f>
        <v>20143</v>
      </c>
      <c r="CT107" s="21"/>
      <c r="CU107" s="21"/>
      <c r="CV107" s="21"/>
      <c r="CW107" s="21"/>
      <c r="CX107" s="21"/>
      <c r="CY107" s="21"/>
      <c r="CZ107" s="21"/>
      <c r="DA107" s="21"/>
      <c r="DB107" s="21"/>
      <c r="DC107" s="21"/>
      <c r="DD107" s="134"/>
      <c r="DE107" s="31">
        <f>$A$37</f>
        <v>20143</v>
      </c>
      <c r="DF107" s="21"/>
      <c r="DG107" s="21"/>
      <c r="DH107" s="21"/>
      <c r="DI107" s="21"/>
      <c r="DJ107" s="21"/>
      <c r="DK107" s="21"/>
      <c r="DL107" s="21"/>
      <c r="DM107" s="21"/>
      <c r="DN107" s="21"/>
      <c r="DO107" s="21"/>
      <c r="DP107" s="134"/>
    </row>
    <row r="108" spans="1:120" ht="15" customHeight="1" x14ac:dyDescent="0.25">
      <c r="A108" s="31">
        <f>$A$38</f>
        <v>20153</v>
      </c>
      <c r="B108" s="21">
        <v>25978.050000000003</v>
      </c>
      <c r="C108" s="21">
        <v>2533317.5999999996</v>
      </c>
      <c r="D108" s="21">
        <v>14851254.25</v>
      </c>
      <c r="E108" s="21">
        <v>43746306.289999999</v>
      </c>
      <c r="F108" s="21">
        <v>75324705.540000007</v>
      </c>
      <c r="G108" s="21">
        <v>92072158.270000011</v>
      </c>
      <c r="H108" s="21">
        <v>96601606.560000017</v>
      </c>
      <c r="I108" s="21">
        <v>98387559.25000003</v>
      </c>
      <c r="J108" s="21">
        <v>99838907.590000004</v>
      </c>
      <c r="K108" s="134" t="s">
        <v>246</v>
      </c>
      <c r="L108" s="134" t="s">
        <v>246</v>
      </c>
      <c r="M108" s="31">
        <f>$A$38</f>
        <v>20153</v>
      </c>
      <c r="N108" s="21">
        <v>680.05</v>
      </c>
      <c r="O108" s="21">
        <v>139298.16999999998</v>
      </c>
      <c r="P108" s="21">
        <v>283707.53999999998</v>
      </c>
      <c r="Q108" s="21">
        <v>388185.94</v>
      </c>
      <c r="R108" s="21">
        <v>473531.53</v>
      </c>
      <c r="S108" s="21">
        <v>479120.57000000007</v>
      </c>
      <c r="T108" s="21">
        <v>487540.8600000001</v>
      </c>
      <c r="U108" s="21">
        <v>487540.8600000001</v>
      </c>
      <c r="V108" s="21">
        <v>487540.8600000001</v>
      </c>
      <c r="W108" s="134" t="s">
        <v>246</v>
      </c>
      <c r="X108" s="134" t="s">
        <v>246</v>
      </c>
      <c r="Y108" s="31">
        <f>$A$38</f>
        <v>20153</v>
      </c>
      <c r="Z108" s="21">
        <v>4173.71</v>
      </c>
      <c r="AA108" s="21">
        <v>285309.34999999998</v>
      </c>
      <c r="AB108" s="21">
        <v>1652898.2</v>
      </c>
      <c r="AC108" s="21">
        <v>5232265.1399999997</v>
      </c>
      <c r="AD108" s="21">
        <v>9336811.1400000006</v>
      </c>
      <c r="AE108" s="21">
        <v>12131155.32</v>
      </c>
      <c r="AF108" s="21">
        <v>13250811.350000001</v>
      </c>
      <c r="AG108" s="21">
        <v>14141207.460000001</v>
      </c>
      <c r="AH108" s="21">
        <v>14455032.380000003</v>
      </c>
      <c r="AI108" s="134" t="s">
        <v>246</v>
      </c>
      <c r="AJ108" s="134" t="s">
        <v>246</v>
      </c>
      <c r="AK108" s="31">
        <f>$A$38</f>
        <v>20153</v>
      </c>
      <c r="AL108" s="21">
        <v>15932.59</v>
      </c>
      <c r="AM108" s="21">
        <v>445031.19000000006</v>
      </c>
      <c r="AN108" s="21">
        <v>786358.34999999986</v>
      </c>
      <c r="AO108" s="21">
        <v>899667.17999999982</v>
      </c>
      <c r="AP108" s="21">
        <v>946664.73999999976</v>
      </c>
      <c r="AQ108" s="21">
        <v>938399.26999999979</v>
      </c>
      <c r="AR108" s="21">
        <v>939264.26999999979</v>
      </c>
      <c r="AS108" s="21">
        <v>939414.26999999979</v>
      </c>
      <c r="AT108" s="21">
        <v>939414.26999999979</v>
      </c>
      <c r="AU108" s="134" t="s">
        <v>246</v>
      </c>
      <c r="AV108" s="134" t="s">
        <v>246</v>
      </c>
      <c r="AW108" s="31">
        <f>$A$38</f>
        <v>20153</v>
      </c>
      <c r="AX108" s="21">
        <v>42754.31</v>
      </c>
      <c r="AY108" s="21">
        <v>531206.69000000006</v>
      </c>
      <c r="AZ108" s="21">
        <v>718910.8</v>
      </c>
      <c r="BA108" s="21">
        <v>880644.72</v>
      </c>
      <c r="BB108" s="21">
        <v>1059346.3500000001</v>
      </c>
      <c r="BC108" s="21">
        <v>1107312.8499999999</v>
      </c>
      <c r="BD108" s="21">
        <v>1116472.6400000001</v>
      </c>
      <c r="BE108" s="21">
        <v>1117461.6400000001</v>
      </c>
      <c r="BF108" s="21">
        <v>1117674.8400000001</v>
      </c>
      <c r="BG108" s="134" t="s">
        <v>246</v>
      </c>
      <c r="BH108" s="134" t="s">
        <v>246</v>
      </c>
      <c r="BI108" s="31">
        <f>$A$38</f>
        <v>20153</v>
      </c>
      <c r="BJ108" s="21">
        <v>10</v>
      </c>
      <c r="BK108" s="21">
        <v>10605.34</v>
      </c>
      <c r="BL108" s="21">
        <v>19477.189999999999</v>
      </c>
      <c r="BM108" s="21">
        <v>19677.189999999999</v>
      </c>
      <c r="BN108" s="21">
        <v>19692</v>
      </c>
      <c r="BO108" s="21">
        <v>19317</v>
      </c>
      <c r="BP108" s="21">
        <v>19317</v>
      </c>
      <c r="BQ108" s="21">
        <v>19317</v>
      </c>
      <c r="BR108" s="21">
        <v>19317</v>
      </c>
      <c r="BS108" s="134" t="s">
        <v>246</v>
      </c>
      <c r="BT108" s="134" t="s">
        <v>246</v>
      </c>
      <c r="BU108" s="31">
        <f>$A$38</f>
        <v>20153</v>
      </c>
      <c r="BV108" s="21">
        <v>0</v>
      </c>
      <c r="BW108" s="21">
        <v>0</v>
      </c>
      <c r="BX108" s="21">
        <v>0</v>
      </c>
      <c r="BY108" s="21">
        <v>2673.2</v>
      </c>
      <c r="BZ108" s="21">
        <v>10195.769999999999</v>
      </c>
      <c r="CA108" s="21">
        <v>10195.769999999999</v>
      </c>
      <c r="CB108" s="21">
        <v>10195.769999999999</v>
      </c>
      <c r="CC108" s="21">
        <v>10195.769999999999</v>
      </c>
      <c r="CD108" s="21">
        <v>10195.769999999999</v>
      </c>
      <c r="CE108" s="134" t="s">
        <v>246</v>
      </c>
      <c r="CF108" s="134" t="s">
        <v>246</v>
      </c>
      <c r="CG108" s="31">
        <f>$A$38</f>
        <v>20153</v>
      </c>
      <c r="CH108" s="21"/>
      <c r="CI108" s="21"/>
      <c r="CJ108" s="21"/>
      <c r="CK108" s="21"/>
      <c r="CL108" s="21"/>
      <c r="CM108" s="21"/>
      <c r="CN108" s="21"/>
      <c r="CO108" s="21"/>
      <c r="CP108" s="21"/>
      <c r="CQ108" s="134"/>
      <c r="CR108" s="134"/>
      <c r="CS108" s="31">
        <f>$A$38</f>
        <v>20153</v>
      </c>
      <c r="CT108" s="21"/>
      <c r="CU108" s="21"/>
      <c r="CV108" s="21"/>
      <c r="CW108" s="21"/>
      <c r="CX108" s="21"/>
      <c r="CY108" s="21"/>
      <c r="CZ108" s="21"/>
      <c r="DA108" s="21"/>
      <c r="DB108" s="21"/>
      <c r="DC108" s="134"/>
      <c r="DD108" s="134"/>
      <c r="DE108" s="31">
        <f>$A$38</f>
        <v>20153</v>
      </c>
      <c r="DF108" s="21"/>
      <c r="DG108" s="21"/>
      <c r="DH108" s="21"/>
      <c r="DI108" s="21"/>
      <c r="DJ108" s="21"/>
      <c r="DK108" s="21"/>
      <c r="DL108" s="21"/>
      <c r="DM108" s="21"/>
      <c r="DN108" s="21"/>
      <c r="DO108" s="134"/>
      <c r="DP108" s="134"/>
    </row>
    <row r="109" spans="1:120" ht="15" customHeight="1" x14ac:dyDescent="0.25">
      <c r="A109" s="31">
        <f>$A$39</f>
        <v>20163</v>
      </c>
      <c r="B109" s="21">
        <v>31153.3</v>
      </c>
      <c r="C109" s="21">
        <v>2827914.36</v>
      </c>
      <c r="D109" s="21">
        <v>17086770.819999997</v>
      </c>
      <c r="E109" s="21">
        <v>53891396.200000003</v>
      </c>
      <c r="F109" s="21">
        <v>97067346.680000007</v>
      </c>
      <c r="G109" s="21">
        <v>112664863.27000001</v>
      </c>
      <c r="H109" s="21">
        <v>118494117.06</v>
      </c>
      <c r="I109" s="21">
        <v>122978612.65000001</v>
      </c>
      <c r="J109" s="134" t="s">
        <v>246</v>
      </c>
      <c r="K109" s="134" t="s">
        <v>246</v>
      </c>
      <c r="L109" s="134" t="s">
        <v>246</v>
      </c>
      <c r="M109" s="31">
        <f>$A$39</f>
        <v>20163</v>
      </c>
      <c r="N109" s="21">
        <v>98.78</v>
      </c>
      <c r="O109" s="21">
        <v>58987.020000000004</v>
      </c>
      <c r="P109" s="21">
        <v>144035.03</v>
      </c>
      <c r="Q109" s="21">
        <v>207962.28</v>
      </c>
      <c r="R109" s="21">
        <v>256296.28000000003</v>
      </c>
      <c r="S109" s="21">
        <v>267180.64</v>
      </c>
      <c r="T109" s="21">
        <v>270341.14</v>
      </c>
      <c r="U109" s="21">
        <v>272014.14</v>
      </c>
      <c r="V109" s="134" t="s">
        <v>246</v>
      </c>
      <c r="W109" s="134" t="s">
        <v>246</v>
      </c>
      <c r="X109" s="134" t="s">
        <v>246</v>
      </c>
      <c r="Y109" s="31">
        <f>$A$39</f>
        <v>20163</v>
      </c>
      <c r="Z109" s="21">
        <v>5556.43</v>
      </c>
      <c r="AA109" s="21">
        <v>356487.62</v>
      </c>
      <c r="AB109" s="21">
        <v>2198504.1</v>
      </c>
      <c r="AC109" s="21">
        <v>6706309.7199999988</v>
      </c>
      <c r="AD109" s="21">
        <v>10520643.939999998</v>
      </c>
      <c r="AE109" s="21">
        <v>13515334.819999998</v>
      </c>
      <c r="AF109" s="21">
        <v>15041435.369999999</v>
      </c>
      <c r="AG109" s="21">
        <v>15925246.089999998</v>
      </c>
      <c r="AH109" s="134" t="s">
        <v>246</v>
      </c>
      <c r="AI109" s="134" t="s">
        <v>246</v>
      </c>
      <c r="AJ109" s="134" t="s">
        <v>246</v>
      </c>
      <c r="AK109" s="31">
        <f>$A$39</f>
        <v>20163</v>
      </c>
      <c r="AL109" s="21">
        <v>11522.65</v>
      </c>
      <c r="AM109" s="21">
        <v>604528.82000000007</v>
      </c>
      <c r="AN109" s="21">
        <v>936963.20000000019</v>
      </c>
      <c r="AO109" s="21">
        <v>979697.69000000018</v>
      </c>
      <c r="AP109" s="21">
        <v>987037.70000000019</v>
      </c>
      <c r="AQ109" s="21">
        <v>1003808.3800000002</v>
      </c>
      <c r="AR109" s="21">
        <v>1011025.8600000003</v>
      </c>
      <c r="AS109" s="21">
        <v>1012435.8600000003</v>
      </c>
      <c r="AT109" s="134" t="s">
        <v>246</v>
      </c>
      <c r="AU109" s="134" t="s">
        <v>246</v>
      </c>
      <c r="AV109" s="134" t="s">
        <v>246</v>
      </c>
      <c r="AW109" s="31">
        <f>$A$39</f>
        <v>20163</v>
      </c>
      <c r="AX109" s="21">
        <v>44470.119999999995</v>
      </c>
      <c r="AY109" s="21">
        <v>463014.12999999995</v>
      </c>
      <c r="AZ109" s="21">
        <v>621943.04000000004</v>
      </c>
      <c r="BA109" s="21">
        <v>786116.71000000008</v>
      </c>
      <c r="BB109" s="21">
        <v>919054.65000000014</v>
      </c>
      <c r="BC109" s="21">
        <v>960068.25000000012</v>
      </c>
      <c r="BD109" s="21">
        <v>963425.83000000019</v>
      </c>
      <c r="BE109" s="21">
        <v>966474.82000000018</v>
      </c>
      <c r="BF109" s="134" t="s">
        <v>246</v>
      </c>
      <c r="BG109" s="134" t="s">
        <v>246</v>
      </c>
      <c r="BH109" s="134" t="s">
        <v>246</v>
      </c>
      <c r="BI109" s="31">
        <f>$A$39</f>
        <v>20163</v>
      </c>
      <c r="BJ109" s="21">
        <v>570</v>
      </c>
      <c r="BK109" s="21">
        <v>6746.15</v>
      </c>
      <c r="BL109" s="21">
        <v>7146.15</v>
      </c>
      <c r="BM109" s="21">
        <v>7321.5999999999995</v>
      </c>
      <c r="BN109" s="21">
        <v>7428.4</v>
      </c>
      <c r="BO109" s="21">
        <v>7428.4</v>
      </c>
      <c r="BP109" s="21">
        <v>7428.4</v>
      </c>
      <c r="BQ109" s="21">
        <v>7428.4</v>
      </c>
      <c r="BR109" s="134" t="s">
        <v>246</v>
      </c>
      <c r="BS109" s="134" t="s">
        <v>246</v>
      </c>
      <c r="BT109" s="134" t="s">
        <v>246</v>
      </c>
      <c r="BU109" s="31">
        <f>$A$39</f>
        <v>20163</v>
      </c>
      <c r="BV109" s="21">
        <v>0</v>
      </c>
      <c r="BW109" s="21">
        <v>0</v>
      </c>
      <c r="BX109" s="21">
        <v>0</v>
      </c>
      <c r="BY109" s="21">
        <v>0</v>
      </c>
      <c r="BZ109" s="21">
        <v>0</v>
      </c>
      <c r="CA109" s="21">
        <v>0</v>
      </c>
      <c r="CB109" s="21">
        <v>0</v>
      </c>
      <c r="CC109" s="21">
        <v>0</v>
      </c>
      <c r="CD109" s="134" t="s">
        <v>246</v>
      </c>
      <c r="CE109" s="134" t="s">
        <v>246</v>
      </c>
      <c r="CF109" s="134" t="s">
        <v>246</v>
      </c>
      <c r="CG109" s="31">
        <f>$A$39</f>
        <v>20163</v>
      </c>
      <c r="CH109" s="21"/>
      <c r="CI109" s="21"/>
      <c r="CJ109" s="21"/>
      <c r="CK109" s="21"/>
      <c r="CL109" s="21"/>
      <c r="CM109" s="21"/>
      <c r="CN109" s="21"/>
      <c r="CO109" s="21"/>
      <c r="CP109" s="134"/>
      <c r="CQ109" s="134"/>
      <c r="CR109" s="134"/>
      <c r="CS109" s="31">
        <f>$A$39</f>
        <v>20163</v>
      </c>
      <c r="CT109" s="21"/>
      <c r="CU109" s="21"/>
      <c r="CV109" s="21"/>
      <c r="CW109" s="21"/>
      <c r="CX109" s="21"/>
      <c r="CY109" s="21"/>
      <c r="CZ109" s="21"/>
      <c r="DA109" s="21"/>
      <c r="DB109" s="134"/>
      <c r="DC109" s="134"/>
      <c r="DD109" s="134"/>
      <c r="DE109" s="31">
        <f>$A$39</f>
        <v>20163</v>
      </c>
      <c r="DF109" s="21"/>
      <c r="DG109" s="21"/>
      <c r="DH109" s="21"/>
      <c r="DI109" s="21"/>
      <c r="DJ109" s="21"/>
      <c r="DK109" s="21"/>
      <c r="DL109" s="21"/>
      <c r="DM109" s="21"/>
      <c r="DN109" s="134"/>
      <c r="DO109" s="134"/>
      <c r="DP109" s="134"/>
    </row>
    <row r="110" spans="1:120" ht="15" customHeight="1" x14ac:dyDescent="0.25">
      <c r="A110" s="31">
        <f>$A$40</f>
        <v>20173</v>
      </c>
      <c r="B110" s="21">
        <v>54575.65</v>
      </c>
      <c r="C110" s="21">
        <v>3687620.56</v>
      </c>
      <c r="D110" s="21">
        <v>22683850.950000003</v>
      </c>
      <c r="E110" s="21">
        <v>65077293.81000001</v>
      </c>
      <c r="F110" s="21">
        <v>105262242.12000003</v>
      </c>
      <c r="G110" s="21">
        <v>126113496.80000004</v>
      </c>
      <c r="H110" s="21">
        <v>139645608.75000003</v>
      </c>
      <c r="I110" s="134" t="s">
        <v>246</v>
      </c>
      <c r="J110" s="134" t="s">
        <v>246</v>
      </c>
      <c r="K110" s="134" t="s">
        <v>246</v>
      </c>
      <c r="L110" s="134" t="s">
        <v>246</v>
      </c>
      <c r="M110" s="31">
        <f>$A$40</f>
        <v>20173</v>
      </c>
      <c r="N110" s="21">
        <v>412</v>
      </c>
      <c r="O110" s="21">
        <v>84027.9</v>
      </c>
      <c r="P110" s="21">
        <v>234982.15</v>
      </c>
      <c r="Q110" s="21">
        <v>387678.54</v>
      </c>
      <c r="R110" s="21">
        <v>459321.35000000003</v>
      </c>
      <c r="S110" s="21">
        <v>465089.83000000007</v>
      </c>
      <c r="T110" s="21">
        <v>473482.97000000009</v>
      </c>
      <c r="U110" s="134" t="s">
        <v>246</v>
      </c>
      <c r="V110" s="134" t="s">
        <v>246</v>
      </c>
      <c r="W110" s="134" t="s">
        <v>246</v>
      </c>
      <c r="X110" s="134" t="s">
        <v>246</v>
      </c>
      <c r="Y110" s="31">
        <f>$A$40</f>
        <v>20173</v>
      </c>
      <c r="Z110" s="21">
        <v>10464.24</v>
      </c>
      <c r="AA110" s="21">
        <v>472136.83</v>
      </c>
      <c r="AB110" s="21">
        <v>3294577.3500000006</v>
      </c>
      <c r="AC110" s="21">
        <v>8515398.709999999</v>
      </c>
      <c r="AD110" s="21">
        <v>12892843.33</v>
      </c>
      <c r="AE110" s="21">
        <v>15669515.749999998</v>
      </c>
      <c r="AF110" s="21">
        <v>17352495.73</v>
      </c>
      <c r="AG110" s="134" t="s">
        <v>246</v>
      </c>
      <c r="AH110" s="134" t="s">
        <v>246</v>
      </c>
      <c r="AI110" s="134" t="s">
        <v>246</v>
      </c>
      <c r="AJ110" s="134" t="s">
        <v>246</v>
      </c>
      <c r="AK110" s="31">
        <f>$A$40</f>
        <v>20173</v>
      </c>
      <c r="AL110" s="21">
        <v>16481.669999999998</v>
      </c>
      <c r="AM110" s="21">
        <v>645756.57000000007</v>
      </c>
      <c r="AN110" s="21">
        <v>1074263.0399999998</v>
      </c>
      <c r="AO110" s="21">
        <v>1194762.9899999995</v>
      </c>
      <c r="AP110" s="21">
        <v>1289815.2599999998</v>
      </c>
      <c r="AQ110" s="21">
        <v>1306814.0299999996</v>
      </c>
      <c r="AR110" s="21">
        <v>1306193.7199999995</v>
      </c>
      <c r="AS110" s="134" t="s">
        <v>246</v>
      </c>
      <c r="AT110" s="134" t="s">
        <v>246</v>
      </c>
      <c r="AU110" s="134" t="s">
        <v>246</v>
      </c>
      <c r="AV110" s="134" t="s">
        <v>246</v>
      </c>
      <c r="AW110" s="31">
        <f>$A$40</f>
        <v>20173</v>
      </c>
      <c r="AX110" s="21">
        <v>70482.42</v>
      </c>
      <c r="AY110" s="21">
        <v>645290.78000000014</v>
      </c>
      <c r="AZ110" s="21">
        <v>868113.05000000028</v>
      </c>
      <c r="BA110" s="21">
        <v>996852.64000000025</v>
      </c>
      <c r="BB110" s="21">
        <v>1188241.6100000001</v>
      </c>
      <c r="BC110" s="21">
        <v>1235775.4400000004</v>
      </c>
      <c r="BD110" s="21">
        <v>1254313.1400000004</v>
      </c>
      <c r="BE110" s="134" t="s">
        <v>246</v>
      </c>
      <c r="BF110" s="134" t="s">
        <v>246</v>
      </c>
      <c r="BG110" s="134" t="s">
        <v>246</v>
      </c>
      <c r="BH110" s="134" t="s">
        <v>246</v>
      </c>
      <c r="BI110" s="31">
        <f>$A$40</f>
        <v>20173</v>
      </c>
      <c r="BJ110" s="21">
        <v>570</v>
      </c>
      <c r="BK110" s="21">
        <v>16657</v>
      </c>
      <c r="BL110" s="21">
        <v>16807</v>
      </c>
      <c r="BM110" s="21">
        <v>16807</v>
      </c>
      <c r="BN110" s="21">
        <v>16807</v>
      </c>
      <c r="BO110" s="21">
        <v>16807</v>
      </c>
      <c r="BP110" s="21">
        <v>16807</v>
      </c>
      <c r="BQ110" s="134" t="s">
        <v>246</v>
      </c>
      <c r="BR110" s="134" t="s">
        <v>246</v>
      </c>
      <c r="BS110" s="134" t="s">
        <v>246</v>
      </c>
      <c r="BT110" s="134" t="s">
        <v>246</v>
      </c>
      <c r="BU110" s="31">
        <f>$A$40</f>
        <v>20173</v>
      </c>
      <c r="BV110" s="21">
        <v>0</v>
      </c>
      <c r="BW110" s="21">
        <v>0</v>
      </c>
      <c r="BX110" s="21">
        <v>0</v>
      </c>
      <c r="BY110" s="21">
        <v>0</v>
      </c>
      <c r="BZ110" s="21">
        <v>0</v>
      </c>
      <c r="CA110" s="21">
        <v>0</v>
      </c>
      <c r="CB110" s="21">
        <v>0</v>
      </c>
      <c r="CC110" s="134" t="s">
        <v>246</v>
      </c>
      <c r="CD110" s="134" t="s">
        <v>246</v>
      </c>
      <c r="CE110" s="134" t="s">
        <v>246</v>
      </c>
      <c r="CF110" s="134" t="s">
        <v>246</v>
      </c>
      <c r="CG110" s="31">
        <f>$A$40</f>
        <v>20173</v>
      </c>
      <c r="CH110" s="21"/>
      <c r="CI110" s="21"/>
      <c r="CJ110" s="21"/>
      <c r="CK110" s="21"/>
      <c r="CL110" s="21"/>
      <c r="CM110" s="21"/>
      <c r="CN110" s="21"/>
      <c r="CO110" s="134"/>
      <c r="CP110" s="134"/>
      <c r="CQ110" s="134"/>
      <c r="CR110" s="134"/>
      <c r="CS110" s="31">
        <f>$A$40</f>
        <v>20173</v>
      </c>
      <c r="CT110" s="21"/>
      <c r="CU110" s="21"/>
      <c r="CV110" s="21"/>
      <c r="CW110" s="21"/>
      <c r="CX110" s="21"/>
      <c r="CY110" s="21"/>
      <c r="CZ110" s="21"/>
      <c r="DA110" s="134"/>
      <c r="DB110" s="134"/>
      <c r="DC110" s="134"/>
      <c r="DD110" s="134"/>
      <c r="DE110" s="31">
        <f>$A$40</f>
        <v>20173</v>
      </c>
      <c r="DF110" s="21"/>
      <c r="DG110" s="21"/>
      <c r="DH110" s="21"/>
      <c r="DI110" s="21"/>
      <c r="DJ110" s="21"/>
      <c r="DK110" s="21"/>
      <c r="DL110" s="21"/>
      <c r="DM110" s="134"/>
      <c r="DN110" s="134"/>
      <c r="DO110" s="134"/>
      <c r="DP110" s="134"/>
    </row>
    <row r="111" spans="1:120" ht="15" customHeight="1" x14ac:dyDescent="0.25">
      <c r="A111" s="31">
        <f>$A$41</f>
        <v>20183</v>
      </c>
      <c r="B111" s="21">
        <v>51524.77</v>
      </c>
      <c r="C111" s="21">
        <v>3821452.07</v>
      </c>
      <c r="D111" s="21">
        <v>22564043.199999999</v>
      </c>
      <c r="E111" s="21">
        <v>62781219.650000006</v>
      </c>
      <c r="F111" s="21">
        <v>103507431.84000002</v>
      </c>
      <c r="G111" s="21">
        <v>128084239.23</v>
      </c>
      <c r="H111" s="134" t="s">
        <v>246</v>
      </c>
      <c r="I111" s="134" t="s">
        <v>246</v>
      </c>
      <c r="J111" s="134" t="s">
        <v>246</v>
      </c>
      <c r="K111" s="134" t="s">
        <v>246</v>
      </c>
      <c r="L111" s="134" t="s">
        <v>246</v>
      </c>
      <c r="M111" s="31">
        <f>$A$41</f>
        <v>20183</v>
      </c>
      <c r="N111" s="21">
        <v>0</v>
      </c>
      <c r="O111" s="21">
        <v>80966.5</v>
      </c>
      <c r="P111" s="21">
        <v>296420.74</v>
      </c>
      <c r="Q111" s="21">
        <v>307717.24999999994</v>
      </c>
      <c r="R111" s="21">
        <v>336182.00999999989</v>
      </c>
      <c r="S111" s="21">
        <v>352501.73999999993</v>
      </c>
      <c r="T111" s="134" t="s">
        <v>246</v>
      </c>
      <c r="U111" s="134" t="s">
        <v>246</v>
      </c>
      <c r="V111" s="134" t="s">
        <v>246</v>
      </c>
      <c r="W111" s="134" t="s">
        <v>246</v>
      </c>
      <c r="X111" s="134" t="s">
        <v>246</v>
      </c>
      <c r="Y111" s="31">
        <f>$A$41</f>
        <v>20183</v>
      </c>
      <c r="Z111" s="21">
        <v>8065.26</v>
      </c>
      <c r="AA111" s="21">
        <v>469864.62</v>
      </c>
      <c r="AB111" s="21">
        <v>3079918.24</v>
      </c>
      <c r="AC111" s="21">
        <v>9159899.6099999994</v>
      </c>
      <c r="AD111" s="21">
        <v>14632218.610000001</v>
      </c>
      <c r="AE111" s="21">
        <v>17994676.850000001</v>
      </c>
      <c r="AF111" s="134" t="s">
        <v>246</v>
      </c>
      <c r="AG111" s="134" t="s">
        <v>246</v>
      </c>
      <c r="AH111" s="134" t="s">
        <v>246</v>
      </c>
      <c r="AI111" s="134" t="s">
        <v>246</v>
      </c>
      <c r="AJ111" s="134" t="s">
        <v>246</v>
      </c>
      <c r="AK111" s="31">
        <f>$A$41</f>
        <v>20183</v>
      </c>
      <c r="AL111" s="21">
        <v>15823.45</v>
      </c>
      <c r="AM111" s="21">
        <v>595438.26</v>
      </c>
      <c r="AN111" s="21">
        <v>921185.33</v>
      </c>
      <c r="AO111" s="21">
        <v>1017529.86</v>
      </c>
      <c r="AP111" s="21">
        <v>1097566.18</v>
      </c>
      <c r="AQ111" s="21">
        <v>1188272.1099999999</v>
      </c>
      <c r="AR111" s="134" t="s">
        <v>246</v>
      </c>
      <c r="AS111" s="134" t="s">
        <v>246</v>
      </c>
      <c r="AT111" s="134" t="s">
        <v>246</v>
      </c>
      <c r="AU111" s="134" t="s">
        <v>246</v>
      </c>
      <c r="AV111" s="134" t="s">
        <v>246</v>
      </c>
      <c r="AW111" s="31">
        <f>$A$41</f>
        <v>20183</v>
      </c>
      <c r="AX111" s="21">
        <v>107109.81</v>
      </c>
      <c r="AY111" s="21">
        <v>765558.37999999989</v>
      </c>
      <c r="AZ111" s="21">
        <v>1059815.3999999999</v>
      </c>
      <c r="BA111" s="21">
        <v>1298949.67</v>
      </c>
      <c r="BB111" s="21">
        <v>1284027.8799999999</v>
      </c>
      <c r="BC111" s="21">
        <v>1315946.69</v>
      </c>
      <c r="BD111" s="134" t="s">
        <v>246</v>
      </c>
      <c r="BE111" s="134" t="s">
        <v>246</v>
      </c>
      <c r="BF111" s="134" t="s">
        <v>246</v>
      </c>
      <c r="BG111" s="134" t="s">
        <v>246</v>
      </c>
      <c r="BH111" s="134" t="s">
        <v>246</v>
      </c>
      <c r="BI111" s="31">
        <f>$A$41</f>
        <v>20183</v>
      </c>
      <c r="BJ111" s="21">
        <v>8555</v>
      </c>
      <c r="BK111" s="21">
        <v>25132.500000000004</v>
      </c>
      <c r="BL111" s="21">
        <v>31557.600000000006</v>
      </c>
      <c r="BM111" s="21">
        <v>31642.600000000006</v>
      </c>
      <c r="BN111" s="21">
        <v>31847.530000000006</v>
      </c>
      <c r="BO111" s="21">
        <v>31847.530000000006</v>
      </c>
      <c r="BP111" s="134" t="s">
        <v>246</v>
      </c>
      <c r="BQ111" s="134" t="s">
        <v>246</v>
      </c>
      <c r="BR111" s="134" t="s">
        <v>246</v>
      </c>
      <c r="BS111" s="134" t="s">
        <v>246</v>
      </c>
      <c r="BT111" s="134" t="s">
        <v>246</v>
      </c>
      <c r="BU111" s="31">
        <f>$A$41</f>
        <v>20183</v>
      </c>
      <c r="BV111" s="21">
        <v>0</v>
      </c>
      <c r="BW111" s="21">
        <v>0</v>
      </c>
      <c r="BX111" s="21">
        <v>7982</v>
      </c>
      <c r="BY111" s="21">
        <v>7982</v>
      </c>
      <c r="BZ111" s="21">
        <v>7982</v>
      </c>
      <c r="CA111" s="21">
        <v>7982</v>
      </c>
      <c r="CB111" s="134" t="s">
        <v>246</v>
      </c>
      <c r="CC111" s="134" t="s">
        <v>246</v>
      </c>
      <c r="CD111" s="134" t="s">
        <v>246</v>
      </c>
      <c r="CE111" s="134" t="s">
        <v>246</v>
      </c>
      <c r="CF111" s="134" t="s">
        <v>246</v>
      </c>
      <c r="CG111" s="31">
        <f>$A$41</f>
        <v>20183</v>
      </c>
      <c r="CH111" s="21"/>
      <c r="CI111" s="21"/>
      <c r="CJ111" s="21"/>
      <c r="CK111" s="21"/>
      <c r="CL111" s="21"/>
      <c r="CM111" s="21"/>
      <c r="CN111" s="134"/>
      <c r="CO111" s="134"/>
      <c r="CP111" s="134"/>
      <c r="CQ111" s="134"/>
      <c r="CR111" s="134"/>
      <c r="CS111" s="31">
        <f>$A$41</f>
        <v>20183</v>
      </c>
      <c r="CT111" s="21"/>
      <c r="CU111" s="21"/>
      <c r="CV111" s="21"/>
      <c r="CW111" s="21"/>
      <c r="CX111" s="21"/>
      <c r="CY111" s="21"/>
      <c r="CZ111" s="134"/>
      <c r="DA111" s="134"/>
      <c r="DB111" s="134"/>
      <c r="DC111" s="134"/>
      <c r="DD111" s="134"/>
      <c r="DE111" s="31">
        <f>$A$41</f>
        <v>20183</v>
      </c>
      <c r="DF111" s="21"/>
      <c r="DG111" s="21"/>
      <c r="DH111" s="21"/>
      <c r="DI111" s="21"/>
      <c r="DJ111" s="21"/>
      <c r="DK111" s="21"/>
      <c r="DL111" s="134"/>
      <c r="DM111" s="134"/>
      <c r="DN111" s="134"/>
      <c r="DO111" s="134"/>
      <c r="DP111" s="134"/>
    </row>
    <row r="112" spans="1:120" ht="15" customHeight="1" x14ac:dyDescent="0.25">
      <c r="A112" s="31">
        <f>$A$42</f>
        <v>20193</v>
      </c>
      <c r="B112" s="21">
        <v>40373.880000000005</v>
      </c>
      <c r="C112" s="21">
        <v>3714734.2600000002</v>
      </c>
      <c r="D112" s="21">
        <v>22600541.610000003</v>
      </c>
      <c r="E112" s="21">
        <v>63303760.389999993</v>
      </c>
      <c r="F112" s="21">
        <v>110794369.59000003</v>
      </c>
      <c r="G112" s="134" t="s">
        <v>246</v>
      </c>
      <c r="H112" s="134" t="s">
        <v>246</v>
      </c>
      <c r="I112" s="134" t="s">
        <v>246</v>
      </c>
      <c r="J112" s="134" t="s">
        <v>246</v>
      </c>
      <c r="K112" s="134" t="s">
        <v>246</v>
      </c>
      <c r="L112" s="134" t="s">
        <v>246</v>
      </c>
      <c r="M112" s="31">
        <f>$A$42</f>
        <v>20193</v>
      </c>
      <c r="N112" s="21">
        <v>0</v>
      </c>
      <c r="O112" s="21">
        <v>92310.62</v>
      </c>
      <c r="P112" s="21">
        <v>252532.27999999997</v>
      </c>
      <c r="Q112" s="21">
        <v>353903.75</v>
      </c>
      <c r="R112" s="21">
        <v>373959.13999999996</v>
      </c>
      <c r="S112" s="134" t="s">
        <v>246</v>
      </c>
      <c r="T112" s="134" t="s">
        <v>246</v>
      </c>
      <c r="U112" s="134" t="s">
        <v>246</v>
      </c>
      <c r="V112" s="134" t="s">
        <v>246</v>
      </c>
      <c r="W112" s="134" t="s">
        <v>246</v>
      </c>
      <c r="X112" s="134" t="s">
        <v>246</v>
      </c>
      <c r="Y112" s="31">
        <f>$A$42</f>
        <v>20193</v>
      </c>
      <c r="Z112" s="21">
        <v>4250.6499999999996</v>
      </c>
      <c r="AA112" s="21">
        <v>547883.29</v>
      </c>
      <c r="AB112" s="21">
        <v>3432090.17</v>
      </c>
      <c r="AC112" s="21">
        <v>8926540.4999999981</v>
      </c>
      <c r="AD112" s="21">
        <v>14931255.809999999</v>
      </c>
      <c r="AE112" s="134" t="s">
        <v>246</v>
      </c>
      <c r="AF112" s="134" t="s">
        <v>246</v>
      </c>
      <c r="AG112" s="134" t="s">
        <v>246</v>
      </c>
      <c r="AH112" s="134" t="s">
        <v>246</v>
      </c>
      <c r="AI112" s="134" t="s">
        <v>246</v>
      </c>
      <c r="AJ112" s="134" t="s">
        <v>246</v>
      </c>
      <c r="AK112" s="31">
        <f>$A$42</f>
        <v>20193</v>
      </c>
      <c r="AL112" s="21">
        <v>12011.18</v>
      </c>
      <c r="AM112" s="21">
        <v>679270.99</v>
      </c>
      <c r="AN112" s="21">
        <v>1206110</v>
      </c>
      <c r="AO112" s="21">
        <v>1389822.5000000002</v>
      </c>
      <c r="AP112" s="21">
        <v>1410205.4700000002</v>
      </c>
      <c r="AQ112" s="134" t="s">
        <v>246</v>
      </c>
      <c r="AR112" s="134" t="s">
        <v>246</v>
      </c>
      <c r="AS112" s="134" t="s">
        <v>246</v>
      </c>
      <c r="AT112" s="134" t="s">
        <v>246</v>
      </c>
      <c r="AU112" s="134" t="s">
        <v>246</v>
      </c>
      <c r="AV112" s="134" t="s">
        <v>246</v>
      </c>
      <c r="AW112" s="31">
        <f>$A$42</f>
        <v>20193</v>
      </c>
      <c r="AX112" s="21">
        <v>75658.459999999992</v>
      </c>
      <c r="AY112" s="21">
        <v>1020246.4400000001</v>
      </c>
      <c r="AZ112" s="21">
        <v>1822511.18</v>
      </c>
      <c r="BA112" s="21">
        <v>2391159.6300000008</v>
      </c>
      <c r="BB112" s="21">
        <v>2601355.2200000011</v>
      </c>
      <c r="BC112" s="134" t="s">
        <v>246</v>
      </c>
      <c r="BD112" s="134" t="s">
        <v>246</v>
      </c>
      <c r="BE112" s="134" t="s">
        <v>246</v>
      </c>
      <c r="BF112" s="134" t="s">
        <v>246</v>
      </c>
      <c r="BG112" s="134" t="s">
        <v>246</v>
      </c>
      <c r="BH112" s="134" t="s">
        <v>246</v>
      </c>
      <c r="BI112" s="31">
        <f>$A$42</f>
        <v>20193</v>
      </c>
      <c r="BJ112" s="21">
        <v>1733</v>
      </c>
      <c r="BK112" s="21">
        <v>27739.399999999998</v>
      </c>
      <c r="BL112" s="21">
        <v>30570.73</v>
      </c>
      <c r="BM112" s="21">
        <v>30570.73</v>
      </c>
      <c r="BN112" s="21">
        <v>30570.73</v>
      </c>
      <c r="BO112" s="134" t="s">
        <v>246</v>
      </c>
      <c r="BP112" s="134" t="s">
        <v>246</v>
      </c>
      <c r="BQ112" s="134" t="s">
        <v>246</v>
      </c>
      <c r="BR112" s="134" t="s">
        <v>246</v>
      </c>
      <c r="BS112" s="134" t="s">
        <v>246</v>
      </c>
      <c r="BT112" s="134" t="s">
        <v>246</v>
      </c>
      <c r="BU112" s="31">
        <f>$A$42</f>
        <v>20193</v>
      </c>
      <c r="BV112" s="21">
        <v>0</v>
      </c>
      <c r="BW112" s="21">
        <v>698.27999999999986</v>
      </c>
      <c r="BX112" s="21">
        <v>-1.1368683772161603E-13</v>
      </c>
      <c r="BY112" s="21">
        <v>-1.1368683772161603E-13</v>
      </c>
      <c r="BZ112" s="21">
        <v>-1.1368683772161603E-13</v>
      </c>
      <c r="CA112" s="134" t="s">
        <v>246</v>
      </c>
      <c r="CB112" s="134" t="s">
        <v>246</v>
      </c>
      <c r="CC112" s="134" t="s">
        <v>246</v>
      </c>
      <c r="CD112" s="134" t="s">
        <v>246</v>
      </c>
      <c r="CE112" s="134" t="s">
        <v>246</v>
      </c>
      <c r="CF112" s="134" t="s">
        <v>246</v>
      </c>
      <c r="CG112" s="31">
        <f>$A$42</f>
        <v>20193</v>
      </c>
      <c r="CH112" s="21"/>
      <c r="CI112" s="21"/>
      <c r="CJ112" s="21"/>
      <c r="CK112" s="21"/>
      <c r="CL112" s="21"/>
      <c r="CM112" s="134"/>
      <c r="CN112" s="134"/>
      <c r="CO112" s="134"/>
      <c r="CP112" s="134"/>
      <c r="CQ112" s="134"/>
      <c r="CR112" s="134"/>
      <c r="CS112" s="31">
        <f>$A$42</f>
        <v>20193</v>
      </c>
      <c r="CT112" s="21"/>
      <c r="CU112" s="21"/>
      <c r="CV112" s="21"/>
      <c r="CW112" s="21"/>
      <c r="CX112" s="21"/>
      <c r="CY112" s="134"/>
      <c r="CZ112" s="134"/>
      <c r="DA112" s="134"/>
      <c r="DB112" s="134"/>
      <c r="DC112" s="134"/>
      <c r="DD112" s="134"/>
      <c r="DE112" s="31">
        <f>$A$42</f>
        <v>20193</v>
      </c>
      <c r="DF112" s="21"/>
      <c r="DG112" s="21"/>
      <c r="DH112" s="21"/>
      <c r="DI112" s="21"/>
      <c r="DJ112" s="21"/>
      <c r="DK112" s="134"/>
      <c r="DL112" s="134"/>
      <c r="DM112" s="134"/>
      <c r="DN112" s="134"/>
      <c r="DO112" s="134"/>
      <c r="DP112" s="134"/>
    </row>
    <row r="113" spans="1:120" ht="15" customHeight="1" x14ac:dyDescent="0.25">
      <c r="A113" s="31">
        <f>$A$43</f>
        <v>20203</v>
      </c>
      <c r="B113" s="21">
        <v>33748.26</v>
      </c>
      <c r="C113" s="21">
        <v>3786430.9699999997</v>
      </c>
      <c r="D113" s="21">
        <v>21464886.429999996</v>
      </c>
      <c r="E113" s="21">
        <v>60269385.900000006</v>
      </c>
      <c r="F113" s="134" t="s">
        <v>246</v>
      </c>
      <c r="G113" s="134" t="s">
        <v>246</v>
      </c>
      <c r="H113" s="134" t="s">
        <v>246</v>
      </c>
      <c r="I113" s="134" t="s">
        <v>246</v>
      </c>
      <c r="J113" s="134" t="s">
        <v>246</v>
      </c>
      <c r="K113" s="134" t="s">
        <v>246</v>
      </c>
      <c r="L113" s="134" t="s">
        <v>246</v>
      </c>
      <c r="M113" s="31">
        <f>$A$43</f>
        <v>20203</v>
      </c>
      <c r="N113" s="21">
        <v>345</v>
      </c>
      <c r="O113" s="21">
        <v>102418.8</v>
      </c>
      <c r="P113" s="21">
        <v>228413.49999999997</v>
      </c>
      <c r="Q113" s="21">
        <v>288143.46999999997</v>
      </c>
      <c r="R113" s="134" t="s">
        <v>246</v>
      </c>
      <c r="S113" s="134" t="s">
        <v>246</v>
      </c>
      <c r="T113" s="134" t="s">
        <v>246</v>
      </c>
      <c r="U113" s="134" t="s">
        <v>246</v>
      </c>
      <c r="V113" s="134" t="s">
        <v>246</v>
      </c>
      <c r="W113" s="134" t="s">
        <v>246</v>
      </c>
      <c r="X113" s="134" t="s">
        <v>246</v>
      </c>
      <c r="Y113" s="31">
        <f>$A$43</f>
        <v>20203</v>
      </c>
      <c r="Z113" s="21">
        <v>8809.2900000000009</v>
      </c>
      <c r="AA113" s="21">
        <v>572464.77</v>
      </c>
      <c r="AB113" s="21">
        <v>3402781.36</v>
      </c>
      <c r="AC113" s="21">
        <v>9225813.4499999993</v>
      </c>
      <c r="AD113" s="134" t="s">
        <v>246</v>
      </c>
      <c r="AE113" s="134" t="s">
        <v>246</v>
      </c>
      <c r="AF113" s="134" t="s">
        <v>246</v>
      </c>
      <c r="AG113" s="134" t="s">
        <v>246</v>
      </c>
      <c r="AH113" s="134" t="s">
        <v>246</v>
      </c>
      <c r="AI113" s="134" t="s">
        <v>246</v>
      </c>
      <c r="AJ113" s="134" t="s">
        <v>246</v>
      </c>
      <c r="AK113" s="31">
        <f>$A$43</f>
        <v>20203</v>
      </c>
      <c r="AL113" s="21">
        <v>43733.32</v>
      </c>
      <c r="AM113" s="21">
        <v>1612792.88</v>
      </c>
      <c r="AN113" s="21">
        <v>2430914.2099999995</v>
      </c>
      <c r="AO113" s="21">
        <v>2741548.63</v>
      </c>
      <c r="AP113" s="134" t="s">
        <v>246</v>
      </c>
      <c r="AQ113" s="134" t="s">
        <v>246</v>
      </c>
      <c r="AR113" s="134" t="s">
        <v>246</v>
      </c>
      <c r="AS113" s="134" t="s">
        <v>246</v>
      </c>
      <c r="AT113" s="134" t="s">
        <v>246</v>
      </c>
      <c r="AU113" s="134" t="s">
        <v>246</v>
      </c>
      <c r="AV113" s="134" t="s">
        <v>246</v>
      </c>
      <c r="AW113" s="31">
        <f>$A$43</f>
        <v>20203</v>
      </c>
      <c r="AX113" s="21">
        <v>121540.75</v>
      </c>
      <c r="AY113" s="21">
        <v>2043803.42</v>
      </c>
      <c r="AZ113" s="21">
        <v>3050567.4299999997</v>
      </c>
      <c r="BA113" s="21">
        <v>3431520.2199999993</v>
      </c>
      <c r="BB113" s="134" t="s">
        <v>246</v>
      </c>
      <c r="BC113" s="134" t="s">
        <v>246</v>
      </c>
      <c r="BD113" s="134" t="s">
        <v>246</v>
      </c>
      <c r="BE113" s="134" t="s">
        <v>246</v>
      </c>
      <c r="BF113" s="134" t="s">
        <v>246</v>
      </c>
      <c r="BG113" s="134" t="s">
        <v>246</v>
      </c>
      <c r="BH113" s="134" t="s">
        <v>246</v>
      </c>
      <c r="BI113" s="31">
        <f>$A$43</f>
        <v>20203</v>
      </c>
      <c r="BJ113" s="21">
        <v>11220</v>
      </c>
      <c r="BK113" s="21">
        <v>53138.31</v>
      </c>
      <c r="BL113" s="21">
        <v>56750.93</v>
      </c>
      <c r="BM113" s="21">
        <v>58000.43</v>
      </c>
      <c r="BN113" s="134" t="s">
        <v>246</v>
      </c>
      <c r="BO113" s="134" t="s">
        <v>246</v>
      </c>
      <c r="BP113" s="134" t="s">
        <v>246</v>
      </c>
      <c r="BQ113" s="134" t="s">
        <v>246</v>
      </c>
      <c r="BR113" s="134" t="s">
        <v>246</v>
      </c>
      <c r="BS113" s="134" t="s">
        <v>246</v>
      </c>
      <c r="BT113" s="134" t="s">
        <v>246</v>
      </c>
      <c r="BU113" s="31">
        <f>$A$43</f>
        <v>20203</v>
      </c>
      <c r="BV113" s="21">
        <v>0</v>
      </c>
      <c r="BW113" s="21">
        <v>0</v>
      </c>
      <c r="BX113" s="21">
        <v>24.9</v>
      </c>
      <c r="BY113" s="21">
        <v>24.9</v>
      </c>
      <c r="BZ113" s="134" t="s">
        <v>246</v>
      </c>
      <c r="CA113" s="134" t="s">
        <v>246</v>
      </c>
      <c r="CB113" s="134" t="s">
        <v>246</v>
      </c>
      <c r="CC113" s="134" t="s">
        <v>246</v>
      </c>
      <c r="CD113" s="134" t="s">
        <v>246</v>
      </c>
      <c r="CE113" s="134" t="s">
        <v>246</v>
      </c>
      <c r="CF113" s="134" t="s">
        <v>246</v>
      </c>
      <c r="CG113" s="31">
        <f>$A$43</f>
        <v>20203</v>
      </c>
      <c r="CH113" s="21"/>
      <c r="CI113" s="21"/>
      <c r="CJ113" s="21"/>
      <c r="CK113" s="21"/>
      <c r="CL113" s="134"/>
      <c r="CM113" s="134"/>
      <c r="CN113" s="134"/>
      <c r="CO113" s="134"/>
      <c r="CP113" s="134"/>
      <c r="CQ113" s="134"/>
      <c r="CR113" s="134"/>
      <c r="CS113" s="31">
        <f>$A$43</f>
        <v>20203</v>
      </c>
      <c r="CT113" s="21"/>
      <c r="CU113" s="21"/>
      <c r="CV113" s="21"/>
      <c r="CW113" s="21"/>
      <c r="CX113" s="134"/>
      <c r="CY113" s="134"/>
      <c r="CZ113" s="134"/>
      <c r="DA113" s="134"/>
      <c r="DB113" s="134"/>
      <c r="DC113" s="134"/>
      <c r="DD113" s="134"/>
      <c r="DE113" s="31">
        <f>$A$43</f>
        <v>20203</v>
      </c>
      <c r="DF113" s="21"/>
      <c r="DG113" s="21"/>
      <c r="DH113" s="21"/>
      <c r="DI113" s="21"/>
      <c r="DJ113" s="134"/>
      <c r="DK113" s="134"/>
      <c r="DL113" s="134"/>
      <c r="DM113" s="134"/>
      <c r="DN113" s="134"/>
      <c r="DO113" s="134"/>
      <c r="DP113" s="134"/>
    </row>
    <row r="114" spans="1:120" ht="15" customHeight="1" x14ac:dyDescent="0.25">
      <c r="A114" s="31">
        <f>$A$44</f>
        <v>20213</v>
      </c>
      <c r="B114" s="21">
        <v>36012.76</v>
      </c>
      <c r="C114" s="21">
        <v>3013178.01</v>
      </c>
      <c r="D114" s="21">
        <v>16646301.759999998</v>
      </c>
      <c r="E114" s="134" t="s">
        <v>246</v>
      </c>
      <c r="F114" s="134" t="s">
        <v>246</v>
      </c>
      <c r="G114" s="134" t="s">
        <v>246</v>
      </c>
      <c r="H114" s="134" t="s">
        <v>246</v>
      </c>
      <c r="I114" s="134" t="s">
        <v>246</v>
      </c>
      <c r="J114" s="134" t="s">
        <v>246</v>
      </c>
      <c r="K114" s="134" t="s">
        <v>246</v>
      </c>
      <c r="L114" s="134" t="s">
        <v>246</v>
      </c>
      <c r="M114" s="31">
        <f>$A$44</f>
        <v>20213</v>
      </c>
      <c r="N114" s="21">
        <v>0</v>
      </c>
      <c r="O114" s="21">
        <v>25360.639999999999</v>
      </c>
      <c r="P114" s="21">
        <v>74290.569999999992</v>
      </c>
      <c r="Q114" s="134" t="s">
        <v>246</v>
      </c>
      <c r="R114" s="134" t="s">
        <v>246</v>
      </c>
      <c r="S114" s="134" t="s">
        <v>246</v>
      </c>
      <c r="T114" s="134" t="s">
        <v>246</v>
      </c>
      <c r="U114" s="134" t="s">
        <v>246</v>
      </c>
      <c r="V114" s="134" t="s">
        <v>246</v>
      </c>
      <c r="W114" s="134" t="s">
        <v>246</v>
      </c>
      <c r="X114" s="134" t="s">
        <v>246</v>
      </c>
      <c r="Y114" s="31">
        <f>$A$44</f>
        <v>20213</v>
      </c>
      <c r="Z114" s="21">
        <v>4584.2299999999996</v>
      </c>
      <c r="AA114" s="21">
        <v>457319.76</v>
      </c>
      <c r="AB114" s="21">
        <v>3042230.08</v>
      </c>
      <c r="AC114" s="134" t="s">
        <v>246</v>
      </c>
      <c r="AD114" s="134" t="s">
        <v>246</v>
      </c>
      <c r="AE114" s="134" t="s">
        <v>246</v>
      </c>
      <c r="AF114" s="134" t="s">
        <v>246</v>
      </c>
      <c r="AG114" s="134" t="s">
        <v>246</v>
      </c>
      <c r="AH114" s="134" t="s">
        <v>246</v>
      </c>
      <c r="AI114" s="134" t="s">
        <v>246</v>
      </c>
      <c r="AJ114" s="134" t="s">
        <v>246</v>
      </c>
      <c r="AK114" s="31">
        <f>$A$44</f>
        <v>20213</v>
      </c>
      <c r="AL114" s="21">
        <v>36185.339999999997</v>
      </c>
      <c r="AM114" s="21">
        <v>1339754.71</v>
      </c>
      <c r="AN114" s="21">
        <v>1765764.46</v>
      </c>
      <c r="AO114" s="134" t="s">
        <v>246</v>
      </c>
      <c r="AP114" s="134" t="s">
        <v>246</v>
      </c>
      <c r="AQ114" s="134" t="s">
        <v>246</v>
      </c>
      <c r="AR114" s="134" t="s">
        <v>246</v>
      </c>
      <c r="AS114" s="134" t="s">
        <v>246</v>
      </c>
      <c r="AT114" s="134" t="s">
        <v>246</v>
      </c>
      <c r="AU114" s="134" t="s">
        <v>246</v>
      </c>
      <c r="AV114" s="134" t="s">
        <v>246</v>
      </c>
      <c r="AW114" s="31">
        <f>$A$44</f>
        <v>20213</v>
      </c>
      <c r="AX114" s="21">
        <v>70374.760000000009</v>
      </c>
      <c r="AY114" s="21">
        <v>1636662.0399999998</v>
      </c>
      <c r="AZ114" s="21">
        <v>2253555.3199999994</v>
      </c>
      <c r="BA114" s="134" t="s">
        <v>246</v>
      </c>
      <c r="BB114" s="134" t="s">
        <v>246</v>
      </c>
      <c r="BC114" s="134" t="s">
        <v>246</v>
      </c>
      <c r="BD114" s="134" t="s">
        <v>246</v>
      </c>
      <c r="BE114" s="134" t="s">
        <v>246</v>
      </c>
      <c r="BF114" s="134" t="s">
        <v>246</v>
      </c>
      <c r="BG114" s="134" t="s">
        <v>246</v>
      </c>
      <c r="BH114" s="134" t="s">
        <v>246</v>
      </c>
      <c r="BI114" s="31">
        <f>$A$44</f>
        <v>20213</v>
      </c>
      <c r="BJ114" s="21">
        <v>700</v>
      </c>
      <c r="BK114" s="21">
        <v>12943.19</v>
      </c>
      <c r="BL114" s="21">
        <v>13413.19</v>
      </c>
      <c r="BM114" s="134" t="s">
        <v>246</v>
      </c>
      <c r="BN114" s="134" t="s">
        <v>246</v>
      </c>
      <c r="BO114" s="134" t="s">
        <v>246</v>
      </c>
      <c r="BP114" s="134" t="s">
        <v>246</v>
      </c>
      <c r="BQ114" s="134" t="s">
        <v>246</v>
      </c>
      <c r="BR114" s="134" t="s">
        <v>246</v>
      </c>
      <c r="BS114" s="134" t="s">
        <v>246</v>
      </c>
      <c r="BT114" s="134" t="s">
        <v>246</v>
      </c>
      <c r="BU114" s="31">
        <f>$A$44</f>
        <v>20213</v>
      </c>
      <c r="BV114" s="21">
        <v>0</v>
      </c>
      <c r="BW114" s="21">
        <v>35</v>
      </c>
      <c r="BX114" s="21">
        <v>35</v>
      </c>
      <c r="BY114" s="134" t="s">
        <v>246</v>
      </c>
      <c r="BZ114" s="134" t="s">
        <v>246</v>
      </c>
      <c r="CA114" s="134" t="s">
        <v>246</v>
      </c>
      <c r="CB114" s="134" t="s">
        <v>246</v>
      </c>
      <c r="CC114" s="134" t="s">
        <v>246</v>
      </c>
      <c r="CD114" s="134" t="s">
        <v>246</v>
      </c>
      <c r="CE114" s="134" t="s">
        <v>246</v>
      </c>
      <c r="CF114" s="134" t="s">
        <v>246</v>
      </c>
      <c r="CG114" s="31">
        <f>$A$44</f>
        <v>20213</v>
      </c>
      <c r="CH114" s="21"/>
      <c r="CI114" s="21"/>
      <c r="CJ114" s="21"/>
      <c r="CK114" s="134"/>
      <c r="CL114" s="134"/>
      <c r="CM114" s="134"/>
      <c r="CN114" s="134"/>
      <c r="CO114" s="134"/>
      <c r="CP114" s="134"/>
      <c r="CQ114" s="134"/>
      <c r="CR114" s="134"/>
      <c r="CS114" s="31">
        <f>$A$44</f>
        <v>20213</v>
      </c>
      <c r="CT114" s="21"/>
      <c r="CU114" s="21"/>
      <c r="CV114" s="21"/>
      <c r="CW114" s="134"/>
      <c r="CX114" s="134"/>
      <c r="CY114" s="134"/>
      <c r="CZ114" s="134"/>
      <c r="DA114" s="134"/>
      <c r="DB114" s="134"/>
      <c r="DC114" s="134"/>
      <c r="DD114" s="134"/>
      <c r="DE114" s="31">
        <f>$A$44</f>
        <v>20213</v>
      </c>
      <c r="DF114" s="21"/>
      <c r="DG114" s="21"/>
      <c r="DH114" s="21"/>
      <c r="DI114" s="134"/>
      <c r="DJ114" s="134"/>
      <c r="DK114" s="134"/>
      <c r="DL114" s="134"/>
      <c r="DM114" s="134"/>
      <c r="DN114" s="134"/>
      <c r="DO114" s="134"/>
      <c r="DP114" s="134"/>
    </row>
    <row r="115" spans="1:120" ht="15" customHeight="1" x14ac:dyDescent="0.25">
      <c r="A115" s="31">
        <f>$A$45</f>
        <v>20223</v>
      </c>
      <c r="B115" s="21">
        <v>21118.35</v>
      </c>
      <c r="C115" s="21">
        <v>2976104.17</v>
      </c>
      <c r="D115" s="134" t="s">
        <v>246</v>
      </c>
      <c r="E115" s="134" t="s">
        <v>246</v>
      </c>
      <c r="F115" s="134" t="s">
        <v>246</v>
      </c>
      <c r="G115" s="134" t="s">
        <v>246</v>
      </c>
      <c r="H115" s="134" t="s">
        <v>246</v>
      </c>
      <c r="I115" s="134" t="s">
        <v>246</v>
      </c>
      <c r="J115" s="134" t="s">
        <v>246</v>
      </c>
      <c r="K115" s="134" t="s">
        <v>246</v>
      </c>
      <c r="L115" s="134"/>
      <c r="M115" s="31">
        <f>$A$45</f>
        <v>20223</v>
      </c>
      <c r="N115" s="21">
        <v>0</v>
      </c>
      <c r="O115" s="21">
        <v>82629.399999999994</v>
      </c>
      <c r="P115" s="134" t="s">
        <v>246</v>
      </c>
      <c r="Q115" s="134" t="s">
        <v>246</v>
      </c>
      <c r="R115" s="134" t="s">
        <v>246</v>
      </c>
      <c r="S115" s="134" t="s">
        <v>246</v>
      </c>
      <c r="T115" s="134" t="s">
        <v>246</v>
      </c>
      <c r="U115" s="134" t="s">
        <v>246</v>
      </c>
      <c r="V115" s="134" t="s">
        <v>246</v>
      </c>
      <c r="W115" s="134" t="s">
        <v>246</v>
      </c>
      <c r="X115" s="134" t="s">
        <v>246</v>
      </c>
      <c r="Y115" s="31">
        <f>$A$45</f>
        <v>20223</v>
      </c>
      <c r="Z115" s="21">
        <v>3174.74</v>
      </c>
      <c r="AA115" s="21">
        <v>467829.93</v>
      </c>
      <c r="AB115" s="134" t="s">
        <v>246</v>
      </c>
      <c r="AC115" s="134" t="s">
        <v>246</v>
      </c>
      <c r="AD115" s="134" t="s">
        <v>246</v>
      </c>
      <c r="AE115" s="134" t="s">
        <v>246</v>
      </c>
      <c r="AF115" s="134" t="s">
        <v>246</v>
      </c>
      <c r="AG115" s="134" t="s">
        <v>246</v>
      </c>
      <c r="AH115" s="134" t="s">
        <v>246</v>
      </c>
      <c r="AI115" s="134" t="s">
        <v>246</v>
      </c>
      <c r="AJ115" s="134" t="s">
        <v>246</v>
      </c>
      <c r="AK115" s="31">
        <f>$A$45</f>
        <v>20223</v>
      </c>
      <c r="AL115" s="21">
        <v>27794.78</v>
      </c>
      <c r="AM115" s="21">
        <v>1084637.2799999998</v>
      </c>
      <c r="AN115" s="134" t="s">
        <v>246</v>
      </c>
      <c r="AO115" s="134" t="s">
        <v>246</v>
      </c>
      <c r="AP115" s="134" t="s">
        <v>246</v>
      </c>
      <c r="AQ115" s="134" t="s">
        <v>246</v>
      </c>
      <c r="AR115" s="134" t="s">
        <v>246</v>
      </c>
      <c r="AS115" s="134" t="s">
        <v>246</v>
      </c>
      <c r="AT115" s="134" t="s">
        <v>246</v>
      </c>
      <c r="AU115" s="134" t="s">
        <v>246</v>
      </c>
      <c r="AV115" s="134" t="s">
        <v>246</v>
      </c>
      <c r="AW115" s="31">
        <f>$A$45</f>
        <v>20223</v>
      </c>
      <c r="AX115" s="21">
        <v>81226.720000000001</v>
      </c>
      <c r="AY115" s="21">
        <v>1515146.2</v>
      </c>
      <c r="AZ115" s="134" t="s">
        <v>246</v>
      </c>
      <c r="BA115" s="134" t="s">
        <v>246</v>
      </c>
      <c r="BB115" s="134" t="s">
        <v>246</v>
      </c>
      <c r="BC115" s="134" t="s">
        <v>246</v>
      </c>
      <c r="BD115" s="134" t="s">
        <v>246</v>
      </c>
      <c r="BE115" s="134" t="s">
        <v>246</v>
      </c>
      <c r="BF115" s="134" t="s">
        <v>246</v>
      </c>
      <c r="BG115" s="134" t="s">
        <v>246</v>
      </c>
      <c r="BH115" s="134" t="s">
        <v>246</v>
      </c>
      <c r="BI115" s="31">
        <f>$A$45</f>
        <v>20223</v>
      </c>
      <c r="BJ115" s="21">
        <v>2210</v>
      </c>
      <c r="BK115" s="21">
        <v>13189.68</v>
      </c>
      <c r="BL115" s="134" t="s">
        <v>246</v>
      </c>
      <c r="BM115" s="134" t="s">
        <v>246</v>
      </c>
      <c r="BN115" s="134" t="s">
        <v>246</v>
      </c>
      <c r="BO115" s="134" t="s">
        <v>246</v>
      </c>
      <c r="BP115" s="134" t="s">
        <v>246</v>
      </c>
      <c r="BQ115" s="134" t="s">
        <v>246</v>
      </c>
      <c r="BR115" s="134" t="s">
        <v>246</v>
      </c>
      <c r="BS115" s="134" t="s">
        <v>246</v>
      </c>
      <c r="BT115" s="134" t="s">
        <v>246</v>
      </c>
      <c r="BU115" s="31">
        <f>$A$45</f>
        <v>20223</v>
      </c>
      <c r="BV115" s="21">
        <v>0</v>
      </c>
      <c r="BW115" s="21">
        <v>0</v>
      </c>
      <c r="BX115" s="134" t="s">
        <v>246</v>
      </c>
      <c r="BY115" s="134" t="s">
        <v>246</v>
      </c>
      <c r="BZ115" s="134" t="s">
        <v>246</v>
      </c>
      <c r="CA115" s="134" t="s">
        <v>246</v>
      </c>
      <c r="CB115" s="134" t="s">
        <v>246</v>
      </c>
      <c r="CC115" s="134" t="s">
        <v>246</v>
      </c>
      <c r="CD115" s="134" t="s">
        <v>246</v>
      </c>
      <c r="CE115" s="134" t="s">
        <v>246</v>
      </c>
      <c r="CF115" s="134" t="s">
        <v>246</v>
      </c>
      <c r="CG115" s="31">
        <f>$A$45</f>
        <v>20223</v>
      </c>
      <c r="CH115" s="21"/>
      <c r="CI115" s="21"/>
      <c r="CJ115" s="134"/>
      <c r="CK115" s="134"/>
      <c r="CL115" s="134"/>
      <c r="CM115" s="134"/>
      <c r="CN115" s="134"/>
      <c r="CO115" s="134"/>
      <c r="CP115" s="134"/>
      <c r="CQ115" s="134"/>
      <c r="CR115" s="134"/>
      <c r="CS115" s="31">
        <f>$A$45</f>
        <v>20223</v>
      </c>
      <c r="CT115" s="21"/>
      <c r="CU115" s="21"/>
      <c r="CV115" s="134"/>
      <c r="CW115" s="134"/>
      <c r="CX115" s="134"/>
      <c r="CY115" s="134"/>
      <c r="CZ115" s="134"/>
      <c r="DA115" s="134"/>
      <c r="DB115" s="134"/>
      <c r="DC115" s="134"/>
      <c r="DD115" s="134"/>
      <c r="DE115" s="31">
        <f>$A$45</f>
        <v>20223</v>
      </c>
      <c r="DF115" s="21"/>
      <c r="DG115" s="21"/>
      <c r="DH115" s="134"/>
      <c r="DI115" s="134"/>
      <c r="DJ115" s="134"/>
      <c r="DK115" s="134"/>
      <c r="DL115" s="134"/>
      <c r="DM115" s="134"/>
      <c r="DN115" s="134"/>
      <c r="DO115" s="134"/>
      <c r="DP115" s="134"/>
    </row>
    <row r="116" spans="1:120" ht="15" customHeight="1" x14ac:dyDescent="0.25">
      <c r="F116" s="310" t="str">
        <f>IF(AND(ISNUMBER(K119),K119&gt;=1.01),"Reminder: If more than ten years of development is deemed to be required, insurers can provide this data in a supplemental exhibit.","")</f>
        <v/>
      </c>
      <c r="R116" s="310" t="str">
        <f>IF(AND(ISNUMBER(W119),W119&gt;=1.01),"Reminder: If more than ten years of development is deemed to be required, insurers can provide this data in a supplemental exhibit.","")</f>
        <v/>
      </c>
      <c r="AD116" s="310" t="str">
        <f>IF(AND(ISNUMBER(AI119),AI119&gt;=1.01),"Reminder: If more than ten years of development is deemed to be required, insurers can provide this data in a supplemental exhibit.","")</f>
        <v>Reminder: If more than ten years of development is deemed to be required, insurers can provide this data in a supplemental exhibit.</v>
      </c>
      <c r="AP116" s="309" t="str">
        <f>IF(AND(ISNUMBER(AU119),AU119&gt;=1.01),"Reminder: If more than ten years of development is deemed to be required, insurers can provide this data in a supplemental exhibit.","")</f>
        <v/>
      </c>
      <c r="BB116" s="310" t="str">
        <f>IF(AND(ISNUMBER(BG119),BG119&gt;=1.01),"Reminder: If more than ten years of development is deemed to be required, insurers can provide this data in a supplemental exhibit.","")</f>
        <v/>
      </c>
      <c r="BN116" s="310" t="str">
        <f>IF(AND(ISNUMBER(BS119),BS119&gt;=1.01),"Reminder: If more than ten years of development is deemed to be required, insurers can provide this data in a supplemental exhibit.","")</f>
        <v/>
      </c>
      <c r="BZ116" s="310" t="str">
        <f>IF(AND(ISNUMBER(CE119),CE119&gt;=1.01),"Reminder: If more than ten years of development is deemed to be required, insurers can provide this data in a supplemental exhibit.","")</f>
        <v/>
      </c>
      <c r="CL116" s="310" t="str">
        <f>IF(AND(ISNUMBER(CQ119),CQ119&gt;=1.01),"Reminder: If more than ten years of development is deemed to be required, insurers can provide this data in a supplemental exhibit.","")</f>
        <v/>
      </c>
      <c r="CX116" s="310" t="str">
        <f>IF(AND(ISNUMBER(DC119),DC119&gt;=1.01),"Reminder: If more than ten years of development is deemed to be required, insurers can provide this data in a supplemental exhibit.","")</f>
        <v/>
      </c>
      <c r="DJ116" s="310" t="str">
        <f>IF(AND(ISNUMBER(DO119),DO119&gt;=1.01),"Reminder: If more than ten years of development is deemed to be required, insurers can provide this data in a supplemental exhibit.","")</f>
        <v/>
      </c>
    </row>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ht="30" x14ac:dyDescent="0.25">
      <c r="A118" s="92" t="str">
        <f>$A$35</f>
        <v>Fiscal Accident Year Data Ending</v>
      </c>
      <c r="B118" s="92"/>
      <c r="C118" s="100" t="str">
        <f>$C$35&amp;"-"&amp;$D$35</f>
        <v>15-27</v>
      </c>
      <c r="D118" s="100" t="str">
        <f>$D$35&amp;"-"&amp;$E$35</f>
        <v>27-39</v>
      </c>
      <c r="E118" s="100" t="str">
        <f>$E$35&amp;"-"&amp;$F$35</f>
        <v>39-51</v>
      </c>
      <c r="F118" s="100" t="str">
        <f>$F$35&amp;"-"&amp;$G$35</f>
        <v>51-63</v>
      </c>
      <c r="G118" s="100" t="str">
        <f>$G$35&amp;"-"&amp;$H$35</f>
        <v>63-75</v>
      </c>
      <c r="H118" s="100" t="str">
        <f>$H$35&amp;"-"&amp;$I$35</f>
        <v>75-87</v>
      </c>
      <c r="I118" s="100" t="str">
        <f>$I$35&amp;"-"&amp;$J$35</f>
        <v>87-99</v>
      </c>
      <c r="J118" s="100" t="str">
        <f>$J$35&amp;"-"&amp;$K$35</f>
        <v>99-111</v>
      </c>
      <c r="K118" s="100" t="str">
        <f>$K$35&amp;"-"&amp;$L$35</f>
        <v>111-123</v>
      </c>
      <c r="L118" s="100" t="str">
        <f>$L$35&amp;"-Ult"</f>
        <v>123-Ult</v>
      </c>
      <c r="M118" s="92" t="str">
        <f>$A$35</f>
        <v>Fiscal Accident Year Data Ending</v>
      </c>
      <c r="N118" s="92"/>
      <c r="O118" s="100" t="str">
        <f>$C$35&amp;"-"&amp;$D$35</f>
        <v>15-27</v>
      </c>
      <c r="P118" s="100" t="str">
        <f>$D$35&amp;"-"&amp;$E$35</f>
        <v>27-39</v>
      </c>
      <c r="Q118" s="100" t="str">
        <f>$E$35&amp;"-"&amp;$F$35</f>
        <v>39-51</v>
      </c>
      <c r="R118" s="100" t="str">
        <f>$F$35&amp;"-"&amp;$G$35</f>
        <v>51-63</v>
      </c>
      <c r="S118" s="100" t="str">
        <f>$G$35&amp;"-"&amp;$H$35</f>
        <v>63-75</v>
      </c>
      <c r="T118" s="100" t="str">
        <f>$H$35&amp;"-"&amp;$I$35</f>
        <v>75-87</v>
      </c>
      <c r="U118" s="100" t="str">
        <f>$I$35&amp;"-"&amp;$J$35</f>
        <v>87-99</v>
      </c>
      <c r="V118" s="100" t="str">
        <f>$J$35&amp;"-"&amp;$K$35</f>
        <v>99-111</v>
      </c>
      <c r="W118" s="100" t="str">
        <f>$K$35&amp;"-"&amp;$L$35</f>
        <v>111-123</v>
      </c>
      <c r="X118" s="100" t="str">
        <f>$L$35&amp;"-Ult"</f>
        <v>123-Ult</v>
      </c>
      <c r="Y118" s="92" t="str">
        <f>$A$35</f>
        <v>Fiscal Accident Year Data Ending</v>
      </c>
      <c r="Z118" s="92"/>
      <c r="AA118" s="100" t="str">
        <f>$C$35&amp;"-"&amp;$D$35</f>
        <v>15-27</v>
      </c>
      <c r="AB118" s="100" t="str">
        <f>$D$35&amp;"-"&amp;$E$35</f>
        <v>27-39</v>
      </c>
      <c r="AC118" s="100" t="str">
        <f>$E$35&amp;"-"&amp;$F$35</f>
        <v>39-51</v>
      </c>
      <c r="AD118" s="100" t="str">
        <f>$F$35&amp;"-"&amp;$G$35</f>
        <v>51-63</v>
      </c>
      <c r="AE118" s="100" t="str">
        <f>$G$35&amp;"-"&amp;$H$35</f>
        <v>63-75</v>
      </c>
      <c r="AF118" s="100" t="str">
        <f>$H$35&amp;"-"&amp;$I$35</f>
        <v>75-87</v>
      </c>
      <c r="AG118" s="100" t="str">
        <f>$I$35&amp;"-"&amp;$J$35</f>
        <v>87-99</v>
      </c>
      <c r="AH118" s="100" t="str">
        <f>$J$35&amp;"-"&amp;$K$35</f>
        <v>99-111</v>
      </c>
      <c r="AI118" s="100" t="str">
        <f>$K$35&amp;"-"&amp;$L$35</f>
        <v>111-123</v>
      </c>
      <c r="AJ118" s="100" t="str">
        <f>$L$35&amp;"-Ult"</f>
        <v>123-Ult</v>
      </c>
      <c r="AK118" s="92" t="str">
        <f>$A$35</f>
        <v>Fiscal Accident Year Data Ending</v>
      </c>
      <c r="AL118" s="92"/>
      <c r="AM118" s="100" t="str">
        <f>$C$35&amp;"-"&amp;$D$35</f>
        <v>15-27</v>
      </c>
      <c r="AN118" s="100" t="str">
        <f>$D$35&amp;"-"&amp;$E$35</f>
        <v>27-39</v>
      </c>
      <c r="AO118" s="100" t="str">
        <f>$E$35&amp;"-"&amp;$F$35</f>
        <v>39-51</v>
      </c>
      <c r="AP118" s="100" t="str">
        <f>$F$35&amp;"-"&amp;$G$35</f>
        <v>51-63</v>
      </c>
      <c r="AQ118" s="100" t="str">
        <f>$G$35&amp;"-"&amp;$H$35</f>
        <v>63-75</v>
      </c>
      <c r="AR118" s="100" t="str">
        <f>$H$35&amp;"-"&amp;$I$35</f>
        <v>75-87</v>
      </c>
      <c r="AS118" s="100" t="str">
        <f>$I$35&amp;"-"&amp;$J$35</f>
        <v>87-99</v>
      </c>
      <c r="AT118" s="100" t="str">
        <f>$J$35&amp;"-"&amp;$K$35</f>
        <v>99-111</v>
      </c>
      <c r="AU118" s="100" t="str">
        <f>$K$35&amp;"-"&amp;$L$35</f>
        <v>111-123</v>
      </c>
      <c r="AV118" s="100" t="str">
        <f>$L$35&amp;"-Ult"</f>
        <v>123-Ult</v>
      </c>
      <c r="AW118" s="92" t="str">
        <f>$A$35</f>
        <v>Fiscal Accident Year Data Ending</v>
      </c>
      <c r="AX118" s="92"/>
      <c r="AY118" s="100" t="str">
        <f>$C$35&amp;"-"&amp;$D$35</f>
        <v>15-27</v>
      </c>
      <c r="AZ118" s="100" t="str">
        <f>$D$35&amp;"-"&amp;$E$35</f>
        <v>27-39</v>
      </c>
      <c r="BA118" s="100" t="str">
        <f>$E$35&amp;"-"&amp;$F$35</f>
        <v>39-51</v>
      </c>
      <c r="BB118" s="100" t="str">
        <f>$F$35&amp;"-"&amp;$G$35</f>
        <v>51-63</v>
      </c>
      <c r="BC118" s="100" t="str">
        <f>$G$35&amp;"-"&amp;$H$35</f>
        <v>63-75</v>
      </c>
      <c r="BD118" s="100" t="str">
        <f>$H$35&amp;"-"&amp;$I$35</f>
        <v>75-87</v>
      </c>
      <c r="BE118" s="100" t="str">
        <f>$I$35&amp;"-"&amp;$J$35</f>
        <v>87-99</v>
      </c>
      <c r="BF118" s="100" t="str">
        <f>$J$35&amp;"-"&amp;$K$35</f>
        <v>99-111</v>
      </c>
      <c r="BG118" s="100" t="str">
        <f>$K$35&amp;"-"&amp;$L$35</f>
        <v>111-123</v>
      </c>
      <c r="BH118" s="100" t="str">
        <f>$L$35&amp;"-Ult"</f>
        <v>123-Ult</v>
      </c>
      <c r="BI118" s="92" t="str">
        <f>$A$35</f>
        <v>Fiscal Accident Year Data Ending</v>
      </c>
      <c r="BJ118" s="92"/>
      <c r="BK118" s="100" t="str">
        <f>$C$35&amp;"-"&amp;$D$35</f>
        <v>15-27</v>
      </c>
      <c r="BL118" s="100" t="str">
        <f>$D$35&amp;"-"&amp;$E$35</f>
        <v>27-39</v>
      </c>
      <c r="BM118" s="100" t="str">
        <f>$E$35&amp;"-"&amp;$F$35</f>
        <v>39-51</v>
      </c>
      <c r="BN118" s="100" t="str">
        <f>$F$35&amp;"-"&amp;$G$35</f>
        <v>51-63</v>
      </c>
      <c r="BO118" s="100" t="str">
        <f>$G$35&amp;"-"&amp;$H$35</f>
        <v>63-75</v>
      </c>
      <c r="BP118" s="100" t="str">
        <f>$H$35&amp;"-"&amp;$I$35</f>
        <v>75-87</v>
      </c>
      <c r="BQ118" s="100" t="str">
        <f>$I$35&amp;"-"&amp;$J$35</f>
        <v>87-99</v>
      </c>
      <c r="BR118" s="100" t="str">
        <f>$J$35&amp;"-"&amp;$K$35</f>
        <v>99-111</v>
      </c>
      <c r="BS118" s="100" t="str">
        <f>$K$35&amp;"-"&amp;$L$35</f>
        <v>111-123</v>
      </c>
      <c r="BT118" s="100" t="str">
        <f>$L$35&amp;"-Ult"</f>
        <v>123-Ult</v>
      </c>
      <c r="BU118" s="92" t="str">
        <f>$A$35</f>
        <v>Fiscal Accident Year Data Ending</v>
      </c>
      <c r="BV118" s="92"/>
      <c r="BW118" s="100" t="str">
        <f>$C$35&amp;"-"&amp;$D$35</f>
        <v>15-27</v>
      </c>
      <c r="BX118" s="100" t="str">
        <f>$D$35&amp;"-"&amp;$E$35</f>
        <v>27-39</v>
      </c>
      <c r="BY118" s="100" t="str">
        <f>$E$35&amp;"-"&amp;$F$35</f>
        <v>39-51</v>
      </c>
      <c r="BZ118" s="100" t="str">
        <f>$F$35&amp;"-"&amp;$G$35</f>
        <v>51-63</v>
      </c>
      <c r="CA118" s="100" t="str">
        <f>$G$35&amp;"-"&amp;$H$35</f>
        <v>63-75</v>
      </c>
      <c r="CB118" s="100" t="str">
        <f>$H$35&amp;"-"&amp;$I$35</f>
        <v>75-87</v>
      </c>
      <c r="CC118" s="100" t="str">
        <f>$I$35&amp;"-"&amp;$J$35</f>
        <v>87-99</v>
      </c>
      <c r="CD118" s="100" t="str">
        <f>$J$35&amp;"-"&amp;$K$35</f>
        <v>99-111</v>
      </c>
      <c r="CE118" s="100" t="str">
        <f>$K$35&amp;"-"&amp;$L$35</f>
        <v>111-123</v>
      </c>
      <c r="CF118" s="100" t="str">
        <f>$L$35&amp;"-Ult"</f>
        <v>123-Ult</v>
      </c>
      <c r="CG118" s="92" t="str">
        <f>$A$35</f>
        <v>Fiscal Accident Year Data Ending</v>
      </c>
      <c r="CH118" s="92"/>
      <c r="CI118" s="100" t="str">
        <f>$C$35&amp;"-"&amp;$D$35</f>
        <v>15-27</v>
      </c>
      <c r="CJ118" s="100" t="str">
        <f>$D$35&amp;"-"&amp;$E$35</f>
        <v>27-39</v>
      </c>
      <c r="CK118" s="100" t="str">
        <f>$E$35&amp;"-"&amp;$F$35</f>
        <v>39-51</v>
      </c>
      <c r="CL118" s="100" t="str">
        <f>$F$35&amp;"-"&amp;$G$35</f>
        <v>51-63</v>
      </c>
      <c r="CM118" s="100" t="str">
        <f>$G$35&amp;"-"&amp;$H$35</f>
        <v>63-75</v>
      </c>
      <c r="CN118" s="100" t="str">
        <f>$H$35&amp;"-"&amp;$I$35</f>
        <v>75-87</v>
      </c>
      <c r="CO118" s="100" t="str">
        <f>$I$35&amp;"-"&amp;$J$35</f>
        <v>87-99</v>
      </c>
      <c r="CP118" s="100" t="str">
        <f>$J$35&amp;"-"&amp;$K$35</f>
        <v>99-111</v>
      </c>
      <c r="CQ118" s="100" t="str">
        <f>$K$35&amp;"-"&amp;$L$35</f>
        <v>111-123</v>
      </c>
      <c r="CR118" s="100" t="str">
        <f>$L$35&amp;"-Ult"</f>
        <v>123-Ult</v>
      </c>
      <c r="CS118" s="92" t="str">
        <f>$A$35</f>
        <v>Fiscal Accident Year Data Ending</v>
      </c>
      <c r="CT118" s="92"/>
      <c r="CU118" s="100" t="str">
        <f>$C$35&amp;"-"&amp;$D$35</f>
        <v>15-27</v>
      </c>
      <c r="CV118" s="100" t="str">
        <f>$D$35&amp;"-"&amp;$E$35</f>
        <v>27-39</v>
      </c>
      <c r="CW118" s="100" t="str">
        <f>$E$35&amp;"-"&amp;$F$35</f>
        <v>39-51</v>
      </c>
      <c r="CX118" s="100" t="str">
        <f>$F$35&amp;"-"&amp;$G$35</f>
        <v>51-63</v>
      </c>
      <c r="CY118" s="100" t="str">
        <f>$G$35&amp;"-"&amp;$H$35</f>
        <v>63-75</v>
      </c>
      <c r="CZ118" s="100" t="str">
        <f>$H$35&amp;"-"&amp;$I$35</f>
        <v>75-87</v>
      </c>
      <c r="DA118" s="100" t="str">
        <f>$I$35&amp;"-"&amp;$J$35</f>
        <v>87-99</v>
      </c>
      <c r="DB118" s="100" t="str">
        <f>$J$35&amp;"-"&amp;$K$35</f>
        <v>99-111</v>
      </c>
      <c r="DC118" s="100" t="str">
        <f>$K$35&amp;"-"&amp;$L$35</f>
        <v>111-123</v>
      </c>
      <c r="DD118" s="100" t="str">
        <f>$L$35&amp;"-Ult"</f>
        <v>123-Ult</v>
      </c>
      <c r="DE118" s="92" t="str">
        <f>$A$35</f>
        <v>Fiscal Accident Year Data Ending</v>
      </c>
      <c r="DF118" s="92"/>
      <c r="DG118" s="100" t="str">
        <f>$C$35&amp;"-"&amp;$D$35</f>
        <v>15-27</v>
      </c>
      <c r="DH118" s="100" t="str">
        <f>$D$35&amp;"-"&amp;$E$35</f>
        <v>27-39</v>
      </c>
      <c r="DI118" s="100" t="str">
        <f>$E$35&amp;"-"&amp;$F$35</f>
        <v>39-51</v>
      </c>
      <c r="DJ118" s="100" t="str">
        <f>$F$35&amp;"-"&amp;$G$35</f>
        <v>51-63</v>
      </c>
      <c r="DK118" s="100" t="str">
        <f>$G$35&amp;"-"&amp;$H$35</f>
        <v>63-75</v>
      </c>
      <c r="DL118" s="100" t="str">
        <f>$H$35&amp;"-"&amp;$I$35</f>
        <v>75-87</v>
      </c>
      <c r="DM118" s="100" t="str">
        <f>$I$35&amp;"-"&amp;$J$35</f>
        <v>87-99</v>
      </c>
      <c r="DN118" s="100" t="str">
        <f>$J$35&amp;"-"&amp;$K$35</f>
        <v>99-111</v>
      </c>
      <c r="DO118" s="100" t="str">
        <f>$K$35&amp;"-"&amp;$L$35</f>
        <v>111-123</v>
      </c>
      <c r="DP118" s="100" t="str">
        <f>$L$35&amp;"-Ult"</f>
        <v>123-Ult</v>
      </c>
    </row>
    <row r="119" spans="1:120" x14ac:dyDescent="0.25">
      <c r="A119" s="91">
        <f>$A$36</f>
        <v>20133</v>
      </c>
      <c r="B119" s="105"/>
      <c r="C119" s="90">
        <f>IFERROR(D106/C106,"")</f>
        <v>5.8674144514598972</v>
      </c>
      <c r="D119" s="90">
        <f t="shared" ref="D119:K119" si="229">IFERROR(E106/D106,"")</f>
        <v>2.8330936915892133</v>
      </c>
      <c r="E119" s="90">
        <f t="shared" si="229"/>
        <v>1.5666972340495406</v>
      </c>
      <c r="F119" s="90">
        <f t="shared" si="229"/>
        <v>1.1338304273397495</v>
      </c>
      <c r="G119" s="90">
        <f t="shared" si="229"/>
        <v>1.0338402886267177</v>
      </c>
      <c r="H119" s="90">
        <f t="shared" si="229"/>
        <v>1.0132100149623389</v>
      </c>
      <c r="I119" s="90">
        <f t="shared" si="229"/>
        <v>1.0025057254276524</v>
      </c>
      <c r="J119" s="90">
        <f t="shared" si="229"/>
        <v>1.0012977122072158</v>
      </c>
      <c r="K119" s="90">
        <f t="shared" si="229"/>
        <v>1.0006020254349206</v>
      </c>
      <c r="L119" s="22"/>
      <c r="M119" s="91">
        <f>$A$36</f>
        <v>20133</v>
      </c>
      <c r="N119" s="105"/>
      <c r="O119" s="90">
        <f>IFERROR(P106/O106,"")</f>
        <v>3.4931726746137559</v>
      </c>
      <c r="P119" s="90">
        <f t="shared" ref="P119:W119" si="230">IFERROR(Q106/P106,"")</f>
        <v>1.1111703920512239</v>
      </c>
      <c r="Q119" s="90">
        <f t="shared" si="230"/>
        <v>1.0752738488700699</v>
      </c>
      <c r="R119" s="90">
        <f t="shared" si="230"/>
        <v>1.0620153540274064</v>
      </c>
      <c r="S119" s="90">
        <f t="shared" si="230"/>
        <v>1.0068276501653097</v>
      </c>
      <c r="T119" s="90">
        <f t="shared" si="230"/>
        <v>1.0034553299882267</v>
      </c>
      <c r="U119" s="90">
        <f t="shared" si="230"/>
        <v>1</v>
      </c>
      <c r="V119" s="90">
        <f t="shared" si="230"/>
        <v>1</v>
      </c>
      <c r="W119" s="90">
        <f t="shared" si="230"/>
        <v>1.000005712110869</v>
      </c>
      <c r="X119" s="22"/>
      <c r="Y119" s="91">
        <f>$A$36</f>
        <v>20133</v>
      </c>
      <c r="Z119" s="105"/>
      <c r="AA119" s="90">
        <f>IFERROR(AB106/AA106,"")</f>
        <v>4.8672833537879141</v>
      </c>
      <c r="AB119" s="90">
        <f t="shared" ref="AB119:AI119" si="231">IFERROR(AC106/AB106,"")</f>
        <v>2.1789075313702786</v>
      </c>
      <c r="AC119" s="90">
        <f t="shared" si="231"/>
        <v>1.5400772537342968</v>
      </c>
      <c r="AD119" s="90">
        <f t="shared" si="231"/>
        <v>1.2461588329921167</v>
      </c>
      <c r="AE119" s="90">
        <f t="shared" si="231"/>
        <v>1.1201663099161479</v>
      </c>
      <c r="AF119" s="90">
        <f t="shared" si="231"/>
        <v>1.0652363824705502</v>
      </c>
      <c r="AG119" s="90">
        <f t="shared" si="231"/>
        <v>1.043746621562889</v>
      </c>
      <c r="AH119" s="90">
        <f t="shared" si="231"/>
        <v>1.029891066176134</v>
      </c>
      <c r="AI119" s="90">
        <f t="shared" si="231"/>
        <v>1.0273114537765065</v>
      </c>
      <c r="AJ119" s="22"/>
      <c r="AK119" s="91">
        <f>$A$36</f>
        <v>20133</v>
      </c>
      <c r="AL119" s="105"/>
      <c r="AM119" s="90">
        <f>IFERROR(AN106/AM106,"")</f>
        <v>1.3614437062983398</v>
      </c>
      <c r="AN119" s="90">
        <f t="shared" ref="AN119:AU119" si="232">IFERROR(AO106/AN106,"")</f>
        <v>1.1793562538939257</v>
      </c>
      <c r="AO119" s="90">
        <f t="shared" si="232"/>
        <v>1.098930713415287</v>
      </c>
      <c r="AP119" s="90">
        <f t="shared" si="232"/>
        <v>1.0350070330295098</v>
      </c>
      <c r="AQ119" s="90">
        <f t="shared" si="232"/>
        <v>0.98659226730580418</v>
      </c>
      <c r="AR119" s="90">
        <f t="shared" si="232"/>
        <v>1</v>
      </c>
      <c r="AS119" s="90">
        <f t="shared" si="232"/>
        <v>1.0010976003698464</v>
      </c>
      <c r="AT119" s="90">
        <f t="shared" si="232"/>
        <v>1</v>
      </c>
      <c r="AU119" s="90">
        <f t="shared" si="232"/>
        <v>1</v>
      </c>
      <c r="AV119" s="22"/>
      <c r="AW119" s="91">
        <f>$A$36</f>
        <v>20133</v>
      </c>
      <c r="AX119" s="105"/>
      <c r="AY119" s="90">
        <f>IFERROR(AZ106/AY106,"")</f>
        <v>1.337860805060473</v>
      </c>
      <c r="AZ119" s="90">
        <f t="shared" ref="AZ119:BG119" si="233">IFERROR(BA106/AZ106,"")</f>
        <v>1.3615006393330853</v>
      </c>
      <c r="BA119" s="90">
        <f t="shared" si="233"/>
        <v>1.407231598709505</v>
      </c>
      <c r="BB119" s="90">
        <f t="shared" si="233"/>
        <v>1.0181642772244412</v>
      </c>
      <c r="BC119" s="90">
        <f t="shared" si="233"/>
        <v>1.0002425034627804</v>
      </c>
      <c r="BD119" s="90">
        <f t="shared" si="233"/>
        <v>1.0068497808731243</v>
      </c>
      <c r="BE119" s="90">
        <f t="shared" si="233"/>
        <v>1</v>
      </c>
      <c r="BF119" s="90">
        <f t="shared" si="233"/>
        <v>1</v>
      </c>
      <c r="BG119" s="90">
        <f t="shared" si="233"/>
        <v>1.0011211869220731</v>
      </c>
      <c r="BH119" s="22"/>
      <c r="BI119" s="91">
        <f>$A$36</f>
        <v>20133</v>
      </c>
      <c r="BJ119" s="105"/>
      <c r="BK119" s="90">
        <f>IFERROR(BL106/BK106,"")</f>
        <v>3.6166328507922034</v>
      </c>
      <c r="BL119" s="90">
        <f t="shared" ref="BL119:BS119" si="234">IFERROR(BM106/BL106,"")</f>
        <v>1.5813319919618563</v>
      </c>
      <c r="BM119" s="90">
        <f t="shared" si="234"/>
        <v>1.2735679532120854</v>
      </c>
      <c r="BN119" s="90">
        <f t="shared" si="234"/>
        <v>1</v>
      </c>
      <c r="BO119" s="90">
        <f t="shared" si="234"/>
        <v>1</v>
      </c>
      <c r="BP119" s="90">
        <f t="shared" si="234"/>
        <v>1</v>
      </c>
      <c r="BQ119" s="90">
        <f t="shared" si="234"/>
        <v>1</v>
      </c>
      <c r="BR119" s="90">
        <f t="shared" si="234"/>
        <v>1</v>
      </c>
      <c r="BS119" s="90">
        <f t="shared" si="234"/>
        <v>1</v>
      </c>
      <c r="BT119" s="22"/>
      <c r="BU119" s="91">
        <f>$A$36</f>
        <v>20133</v>
      </c>
      <c r="BV119" s="105"/>
      <c r="BW119" s="90">
        <f>IFERROR(BX106/BW106,"")</f>
        <v>1.0298747616697155</v>
      </c>
      <c r="BX119" s="90">
        <f t="shared" ref="BX119:CE119" si="235">IFERROR(BY106/BX106,"")</f>
        <v>1.0100907106726591</v>
      </c>
      <c r="BY119" s="90">
        <f t="shared" si="235"/>
        <v>1</v>
      </c>
      <c r="BZ119" s="90">
        <f t="shared" si="235"/>
        <v>1.0484213856080236</v>
      </c>
      <c r="CA119" s="90">
        <f t="shared" si="235"/>
        <v>1</v>
      </c>
      <c r="CB119" s="90">
        <f t="shared" si="235"/>
        <v>1</v>
      </c>
      <c r="CC119" s="90">
        <f t="shared" si="235"/>
        <v>1</v>
      </c>
      <c r="CD119" s="90">
        <f t="shared" si="235"/>
        <v>1</v>
      </c>
      <c r="CE119" s="90">
        <f t="shared" si="235"/>
        <v>1</v>
      </c>
      <c r="CF119" s="22"/>
      <c r="CG119" s="91">
        <f>$A$36</f>
        <v>20133</v>
      </c>
      <c r="CH119" s="105"/>
      <c r="CI119" s="90" t="str">
        <f>IFERROR(CJ106/CI106,"")</f>
        <v/>
      </c>
      <c r="CJ119" s="90" t="str">
        <f t="shared" ref="CJ119:CQ119" si="236">IFERROR(CK106/CJ106,"")</f>
        <v/>
      </c>
      <c r="CK119" s="90" t="str">
        <f t="shared" si="236"/>
        <v/>
      </c>
      <c r="CL119" s="90" t="str">
        <f t="shared" si="236"/>
        <v/>
      </c>
      <c r="CM119" s="90" t="str">
        <f t="shared" si="236"/>
        <v/>
      </c>
      <c r="CN119" s="90" t="str">
        <f t="shared" si="236"/>
        <v/>
      </c>
      <c r="CO119" s="90" t="str">
        <f t="shared" si="236"/>
        <v/>
      </c>
      <c r="CP119" s="90" t="str">
        <f t="shared" si="236"/>
        <v/>
      </c>
      <c r="CQ119" s="90" t="str">
        <f t="shared" si="236"/>
        <v/>
      </c>
      <c r="CR119" s="22"/>
      <c r="CS119" s="91">
        <f>$A$36</f>
        <v>20133</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20133</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20143</v>
      </c>
      <c r="B120" s="105"/>
      <c r="C120" s="90">
        <f t="shared" ref="C120:J127" si="239">IFERROR(D107/C107,"")</f>
        <v>6.1657390608935794</v>
      </c>
      <c r="D120" s="90">
        <f t="shared" si="239"/>
        <v>2.7953720402595978</v>
      </c>
      <c r="E120" s="90">
        <f t="shared" si="239"/>
        <v>1.600157864411937</v>
      </c>
      <c r="F120" s="90">
        <f t="shared" si="239"/>
        <v>1.1610900738634364</v>
      </c>
      <c r="G120" s="90">
        <f t="shared" si="239"/>
        <v>1.0365449959822934</v>
      </c>
      <c r="H120" s="90">
        <f t="shared" si="239"/>
        <v>1.0090683457135647</v>
      </c>
      <c r="I120" s="90">
        <f t="shared" si="239"/>
        <v>1.004818094003779</v>
      </c>
      <c r="J120" s="90">
        <f t="shared" si="239"/>
        <v>1.0023723509503886</v>
      </c>
      <c r="K120" s="22"/>
      <c r="L120" s="22"/>
      <c r="M120" s="91">
        <f>$A$37</f>
        <v>20143</v>
      </c>
      <c r="N120" s="105"/>
      <c r="O120" s="90">
        <f t="shared" ref="O120:V127" si="240">IFERROR(P107/O107,"")</f>
        <v>2.6982177864573558</v>
      </c>
      <c r="P120" s="90">
        <f t="shared" si="240"/>
        <v>1.2644230785960058</v>
      </c>
      <c r="Q120" s="90">
        <f t="shared" si="240"/>
        <v>1.1836097898035145</v>
      </c>
      <c r="R120" s="90">
        <f t="shared" si="240"/>
        <v>1.0386025077864947</v>
      </c>
      <c r="S120" s="90">
        <f t="shared" si="240"/>
        <v>1.0023474041508447</v>
      </c>
      <c r="T120" s="90">
        <f t="shared" si="240"/>
        <v>1.0018838974441073</v>
      </c>
      <c r="U120" s="90">
        <f t="shared" si="240"/>
        <v>1</v>
      </c>
      <c r="V120" s="90">
        <f t="shared" si="240"/>
        <v>1</v>
      </c>
      <c r="W120" s="22"/>
      <c r="X120" s="22"/>
      <c r="Y120" s="91">
        <f>$A$37</f>
        <v>20143</v>
      </c>
      <c r="Z120" s="105"/>
      <c r="AA120" s="90">
        <f t="shared" ref="AA120:AH127" si="241">IFERROR(AB107/AA107,"")</f>
        <v>5.8979830368526702</v>
      </c>
      <c r="AB120" s="90">
        <f t="shared" si="241"/>
        <v>2.2962979364593932</v>
      </c>
      <c r="AC120" s="90">
        <f t="shared" si="241"/>
        <v>1.6022007108725367</v>
      </c>
      <c r="AD120" s="90">
        <f t="shared" si="241"/>
        <v>1.2328554777124265</v>
      </c>
      <c r="AE120" s="90">
        <f t="shared" si="241"/>
        <v>1.0959542493587144</v>
      </c>
      <c r="AF120" s="90">
        <f t="shared" si="241"/>
        <v>1.0573785505689033</v>
      </c>
      <c r="AG120" s="90">
        <f t="shared" si="241"/>
        <v>1.0370990327225589</v>
      </c>
      <c r="AH120" s="90">
        <f t="shared" si="241"/>
        <v>1.0276465101085923</v>
      </c>
      <c r="AI120" s="22"/>
      <c r="AJ120" s="22"/>
      <c r="AK120" s="91">
        <f>$A$37</f>
        <v>20143</v>
      </c>
      <c r="AL120" s="105"/>
      <c r="AM120" s="90">
        <f t="shared" ref="AM120:AT127" si="242">IFERROR(AN107/AM107,"")</f>
        <v>1.3655408983958817</v>
      </c>
      <c r="AN120" s="90">
        <f t="shared" si="242"/>
        <v>1.1303907259752555</v>
      </c>
      <c r="AO120" s="90">
        <f t="shared" si="242"/>
        <v>1.0856077465327854</v>
      </c>
      <c r="AP120" s="90">
        <f t="shared" si="242"/>
        <v>1.0246272685400106</v>
      </c>
      <c r="AQ120" s="90">
        <f t="shared" si="242"/>
        <v>0.99771200833606222</v>
      </c>
      <c r="AR120" s="90">
        <f t="shared" si="242"/>
        <v>1</v>
      </c>
      <c r="AS120" s="90">
        <f t="shared" si="242"/>
        <v>1</v>
      </c>
      <c r="AT120" s="90">
        <f t="shared" si="242"/>
        <v>1</v>
      </c>
      <c r="AU120" s="22"/>
      <c r="AV120" s="22"/>
      <c r="AW120" s="91">
        <f>$A$37</f>
        <v>20143</v>
      </c>
      <c r="AX120" s="105"/>
      <c r="AY120" s="90">
        <f t="shared" ref="AY120:BF127" si="243">IFERROR(AZ107/AY107,"")</f>
        <v>1.8564814192590104</v>
      </c>
      <c r="AZ120" s="90">
        <f t="shared" si="243"/>
        <v>1.2680449304643699</v>
      </c>
      <c r="BA120" s="90">
        <f t="shared" si="243"/>
        <v>1.0227506502338024</v>
      </c>
      <c r="BB120" s="90">
        <f t="shared" si="243"/>
        <v>1.0013786484467591</v>
      </c>
      <c r="BC120" s="90">
        <f t="shared" si="243"/>
        <v>1.0046125717532022</v>
      </c>
      <c r="BD120" s="90">
        <f t="shared" si="243"/>
        <v>1.0002986240209661</v>
      </c>
      <c r="BE120" s="90">
        <f t="shared" si="243"/>
        <v>1.0005684806664676</v>
      </c>
      <c r="BF120" s="90">
        <f t="shared" si="243"/>
        <v>1</v>
      </c>
      <c r="BG120" s="22"/>
      <c r="BH120" s="22"/>
      <c r="BI120" s="91">
        <f>$A$37</f>
        <v>20143</v>
      </c>
      <c r="BJ120" s="105"/>
      <c r="BK120" s="90">
        <f t="shared" ref="BK120:BR127" si="244">IFERROR(BL107/BK107,"")</f>
        <v>1.6464858912684055</v>
      </c>
      <c r="BL120" s="90">
        <f t="shared" si="244"/>
        <v>1</v>
      </c>
      <c r="BM120" s="90">
        <f t="shared" si="244"/>
        <v>1</v>
      </c>
      <c r="BN120" s="90">
        <f t="shared" si="244"/>
        <v>1</v>
      </c>
      <c r="BO120" s="90">
        <f t="shared" si="244"/>
        <v>1</v>
      </c>
      <c r="BP120" s="90">
        <f t="shared" si="244"/>
        <v>1</v>
      </c>
      <c r="BQ120" s="90">
        <f t="shared" si="244"/>
        <v>1</v>
      </c>
      <c r="BR120" s="90">
        <f t="shared" si="244"/>
        <v>1</v>
      </c>
      <c r="BS120" s="22"/>
      <c r="BT120" s="22"/>
      <c r="BU120" s="91">
        <f>$A$37</f>
        <v>20143</v>
      </c>
      <c r="BV120" s="105"/>
      <c r="BW120" s="90">
        <f t="shared" ref="BW120:CD127" si="245">IFERROR(BX107/BW107,"")</f>
        <v>1</v>
      </c>
      <c r="BX120" s="90">
        <f t="shared" si="245"/>
        <v>1</v>
      </c>
      <c r="BY120" s="90">
        <f t="shared" si="245"/>
        <v>7.283166904422254</v>
      </c>
      <c r="BZ120" s="90">
        <f t="shared" si="245"/>
        <v>1</v>
      </c>
      <c r="CA120" s="90">
        <f t="shared" si="245"/>
        <v>1</v>
      </c>
      <c r="CB120" s="90">
        <f t="shared" si="245"/>
        <v>1</v>
      </c>
      <c r="CC120" s="90">
        <f t="shared" si="245"/>
        <v>1</v>
      </c>
      <c r="CD120" s="90">
        <f t="shared" si="245"/>
        <v>1</v>
      </c>
      <c r="CE120" s="22"/>
      <c r="CF120" s="22"/>
      <c r="CG120" s="91">
        <f>$A$37</f>
        <v>20143</v>
      </c>
      <c r="CH120" s="105"/>
      <c r="CI120" s="90" t="str">
        <f t="shared" ref="CI120:CP127" si="246">IFERROR(CJ107/CI107,"")</f>
        <v/>
      </c>
      <c r="CJ120" s="90" t="str">
        <f t="shared" si="246"/>
        <v/>
      </c>
      <c r="CK120" s="90" t="str">
        <f t="shared" si="246"/>
        <v/>
      </c>
      <c r="CL120" s="90" t="str">
        <f t="shared" si="246"/>
        <v/>
      </c>
      <c r="CM120" s="90" t="str">
        <f t="shared" si="246"/>
        <v/>
      </c>
      <c r="CN120" s="90" t="str">
        <f t="shared" si="246"/>
        <v/>
      </c>
      <c r="CO120" s="90" t="str">
        <f t="shared" si="246"/>
        <v/>
      </c>
      <c r="CP120" s="90" t="str">
        <f t="shared" si="246"/>
        <v/>
      </c>
      <c r="CQ120" s="22"/>
      <c r="CR120" s="22"/>
      <c r="CS120" s="91">
        <f>$A$37</f>
        <v>20143</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20143</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20153</v>
      </c>
      <c r="B121" s="105"/>
      <c r="C121" s="90">
        <f t="shared" si="239"/>
        <v>5.862373612372962</v>
      </c>
      <c r="D121" s="90">
        <f t="shared" si="239"/>
        <v>2.9456304197337406</v>
      </c>
      <c r="E121" s="90">
        <f t="shared" si="239"/>
        <v>1.721852927208589</v>
      </c>
      <c r="F121" s="90">
        <f t="shared" si="239"/>
        <v>1.2223367832630494</v>
      </c>
      <c r="G121" s="90">
        <f t="shared" si="239"/>
        <v>1.0491945488745629</v>
      </c>
      <c r="H121" s="90">
        <f t="shared" si="239"/>
        <v>1.0184878156129913</v>
      </c>
      <c r="I121" s="90">
        <f t="shared" si="239"/>
        <v>1.0147513400176149</v>
      </c>
      <c r="J121" s="22"/>
      <c r="K121" s="22"/>
      <c r="L121" s="22"/>
      <c r="M121" s="91">
        <f>$A$38</f>
        <v>20153</v>
      </c>
      <c r="N121" s="105"/>
      <c r="O121" s="90">
        <f t="shared" si="240"/>
        <v>2.0366925136202436</v>
      </c>
      <c r="P121" s="90">
        <f t="shared" si="240"/>
        <v>1.3682609210879628</v>
      </c>
      <c r="Q121" s="90">
        <f t="shared" si="240"/>
        <v>1.2198574992180296</v>
      </c>
      <c r="R121" s="90">
        <f t="shared" si="240"/>
        <v>1.0118028888171398</v>
      </c>
      <c r="S121" s="90">
        <f t="shared" si="240"/>
        <v>1.0175744698249962</v>
      </c>
      <c r="T121" s="90">
        <f t="shared" si="240"/>
        <v>1</v>
      </c>
      <c r="U121" s="90">
        <f t="shared" si="240"/>
        <v>1</v>
      </c>
      <c r="V121" s="22"/>
      <c r="W121" s="22"/>
      <c r="X121" s="22"/>
      <c r="Y121" s="91">
        <f>$A$38</f>
        <v>20153</v>
      </c>
      <c r="Z121" s="105"/>
      <c r="AA121" s="90">
        <f t="shared" si="241"/>
        <v>5.7933544764656331</v>
      </c>
      <c r="AB121" s="90">
        <f t="shared" si="241"/>
        <v>3.165509612146713</v>
      </c>
      <c r="AC121" s="90">
        <f t="shared" si="241"/>
        <v>1.7844682733337174</v>
      </c>
      <c r="AD121" s="90">
        <f t="shared" si="241"/>
        <v>1.2992824999992449</v>
      </c>
      <c r="AE121" s="90">
        <f t="shared" si="241"/>
        <v>1.0922959108564114</v>
      </c>
      <c r="AF121" s="90">
        <f t="shared" si="241"/>
        <v>1.067195591762764</v>
      </c>
      <c r="AG121" s="90">
        <f t="shared" si="241"/>
        <v>1.0221922294038674</v>
      </c>
      <c r="AH121" s="22"/>
      <c r="AI121" s="22"/>
      <c r="AJ121" s="22"/>
      <c r="AK121" s="91">
        <f>$A$38</f>
        <v>20153</v>
      </c>
      <c r="AL121" s="105"/>
      <c r="AM121" s="90">
        <f t="shared" si="242"/>
        <v>1.7669735687514392</v>
      </c>
      <c r="AN121" s="90">
        <f t="shared" si="242"/>
        <v>1.1440931224294877</v>
      </c>
      <c r="AO121" s="90">
        <f t="shared" si="242"/>
        <v>1.0522388290300864</v>
      </c>
      <c r="AP121" s="90">
        <f t="shared" si="242"/>
        <v>0.99126885194857894</v>
      </c>
      <c r="AQ121" s="90">
        <f t="shared" si="242"/>
        <v>1.0009217824732537</v>
      </c>
      <c r="AR121" s="90">
        <f t="shared" si="242"/>
        <v>1.000159699463496</v>
      </c>
      <c r="AS121" s="90">
        <f t="shared" si="242"/>
        <v>1</v>
      </c>
      <c r="AT121" s="22"/>
      <c r="AU121" s="22"/>
      <c r="AV121" s="22"/>
      <c r="AW121" s="91">
        <f>$A$38</f>
        <v>20153</v>
      </c>
      <c r="AX121" s="105"/>
      <c r="AY121" s="90">
        <f t="shared" si="243"/>
        <v>1.3533541906258748</v>
      </c>
      <c r="AZ121" s="90">
        <f t="shared" si="243"/>
        <v>1.2249707752338677</v>
      </c>
      <c r="BA121" s="90">
        <f t="shared" si="243"/>
        <v>1.2029213665188387</v>
      </c>
      <c r="BB121" s="90">
        <f t="shared" si="243"/>
        <v>1.0452793366399948</v>
      </c>
      <c r="BC121" s="90">
        <f t="shared" si="243"/>
        <v>1.0082720885971839</v>
      </c>
      <c r="BD121" s="90">
        <f t="shared" si="243"/>
        <v>1.0008858255586093</v>
      </c>
      <c r="BE121" s="90">
        <f t="shared" si="243"/>
        <v>1.0001907895469235</v>
      </c>
      <c r="BF121" s="22"/>
      <c r="BG121" s="22"/>
      <c r="BH121" s="22"/>
      <c r="BI121" s="91">
        <f>$A$38</f>
        <v>20153</v>
      </c>
      <c r="BJ121" s="105"/>
      <c r="BK121" s="90">
        <f t="shared" si="244"/>
        <v>1.8365455515806186</v>
      </c>
      <c r="BL121" s="90">
        <f t="shared" si="244"/>
        <v>1.0102684216768436</v>
      </c>
      <c r="BM121" s="90">
        <f t="shared" si="244"/>
        <v>1.0007526481169313</v>
      </c>
      <c r="BN121" s="90">
        <f t="shared" si="244"/>
        <v>0.98095673369896408</v>
      </c>
      <c r="BO121" s="90">
        <f t="shared" si="244"/>
        <v>1</v>
      </c>
      <c r="BP121" s="90">
        <f t="shared" si="244"/>
        <v>1</v>
      </c>
      <c r="BQ121" s="90">
        <f t="shared" si="244"/>
        <v>1</v>
      </c>
      <c r="BR121" s="22"/>
      <c r="BS121" s="22"/>
      <c r="BT121" s="22"/>
      <c r="BU121" s="91">
        <f>$A$38</f>
        <v>20153</v>
      </c>
      <c r="BV121" s="105"/>
      <c r="BW121" s="90" t="str">
        <f t="shared" si="245"/>
        <v/>
      </c>
      <c r="BX121" s="90" t="str">
        <f t="shared" si="245"/>
        <v/>
      </c>
      <c r="BY121" s="90">
        <f t="shared" si="245"/>
        <v>3.8140692802633547</v>
      </c>
      <c r="BZ121" s="90">
        <f t="shared" si="245"/>
        <v>1</v>
      </c>
      <c r="CA121" s="90">
        <f t="shared" si="245"/>
        <v>1</v>
      </c>
      <c r="CB121" s="90">
        <f t="shared" si="245"/>
        <v>1</v>
      </c>
      <c r="CC121" s="90">
        <f t="shared" si="245"/>
        <v>1</v>
      </c>
      <c r="CD121" s="22"/>
      <c r="CE121" s="22"/>
      <c r="CF121" s="22"/>
      <c r="CG121" s="91">
        <f>$A$38</f>
        <v>20153</v>
      </c>
      <c r="CH121" s="105"/>
      <c r="CI121" s="90" t="str">
        <f t="shared" si="246"/>
        <v/>
      </c>
      <c r="CJ121" s="90" t="str">
        <f t="shared" si="246"/>
        <v/>
      </c>
      <c r="CK121" s="90" t="str">
        <f t="shared" si="246"/>
        <v/>
      </c>
      <c r="CL121" s="90" t="str">
        <f t="shared" si="246"/>
        <v/>
      </c>
      <c r="CM121" s="90" t="str">
        <f t="shared" si="246"/>
        <v/>
      </c>
      <c r="CN121" s="90" t="str">
        <f t="shared" si="246"/>
        <v/>
      </c>
      <c r="CO121" s="90" t="str">
        <f t="shared" si="246"/>
        <v/>
      </c>
      <c r="CP121" s="22"/>
      <c r="CQ121" s="22"/>
      <c r="CR121" s="22"/>
      <c r="CS121" s="91">
        <f>$A$38</f>
        <v>20153</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20153</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20163</v>
      </c>
      <c r="B122" s="105"/>
      <c r="C122" s="90">
        <f t="shared" si="239"/>
        <v>6.0421811429961396</v>
      </c>
      <c r="D122" s="90">
        <f t="shared" si="239"/>
        <v>3.1539836735517248</v>
      </c>
      <c r="E122" s="90">
        <f t="shared" si="239"/>
        <v>1.8011659285977082</v>
      </c>
      <c r="F122" s="90">
        <f t="shared" si="239"/>
        <v>1.1606875754152426</v>
      </c>
      <c r="G122" s="90">
        <f t="shared" si="239"/>
        <v>1.051739767136008</v>
      </c>
      <c r="H122" s="90">
        <f t="shared" si="239"/>
        <v>1.0378457234946885</v>
      </c>
      <c r="I122" s="22"/>
      <c r="J122" s="22"/>
      <c r="K122" s="22"/>
      <c r="L122" s="22"/>
      <c r="M122" s="91">
        <f>$A$39</f>
        <v>20163</v>
      </c>
      <c r="N122" s="105"/>
      <c r="O122" s="90">
        <f t="shared" si="240"/>
        <v>2.4418088928716859</v>
      </c>
      <c r="P122" s="90">
        <f t="shared" si="240"/>
        <v>1.4438312679908492</v>
      </c>
      <c r="Q122" s="90">
        <f t="shared" si="240"/>
        <v>1.2324171479558699</v>
      </c>
      <c r="R122" s="90">
        <f t="shared" si="240"/>
        <v>1.0424678813129866</v>
      </c>
      <c r="S122" s="90">
        <f t="shared" si="240"/>
        <v>1.0118290756396122</v>
      </c>
      <c r="T122" s="90">
        <f t="shared" si="240"/>
        <v>1.0061884772698673</v>
      </c>
      <c r="U122" s="22"/>
      <c r="V122" s="22"/>
      <c r="W122" s="22"/>
      <c r="X122" s="22"/>
      <c r="Y122" s="91">
        <f>$A$39</f>
        <v>20163</v>
      </c>
      <c r="Z122" s="105"/>
      <c r="AA122" s="90">
        <f t="shared" si="241"/>
        <v>6.1671260842101621</v>
      </c>
      <c r="AB122" s="90">
        <f t="shared" si="241"/>
        <v>3.050396731122766</v>
      </c>
      <c r="AC122" s="90">
        <f t="shared" si="241"/>
        <v>1.568767978106445</v>
      </c>
      <c r="AD122" s="90">
        <f t="shared" si="241"/>
        <v>1.284649009801961</v>
      </c>
      <c r="AE122" s="90">
        <f t="shared" si="241"/>
        <v>1.1129162222264501</v>
      </c>
      <c r="AF122" s="90">
        <f t="shared" si="241"/>
        <v>1.058758402922287</v>
      </c>
      <c r="AG122" s="22"/>
      <c r="AH122" s="22"/>
      <c r="AI122" s="22"/>
      <c r="AJ122" s="22"/>
      <c r="AK122" s="91">
        <f>$A$39</f>
        <v>20163</v>
      </c>
      <c r="AL122" s="105"/>
      <c r="AM122" s="90">
        <f t="shared" si="242"/>
        <v>1.5499065867529691</v>
      </c>
      <c r="AN122" s="90">
        <f t="shared" si="242"/>
        <v>1.0456095714324747</v>
      </c>
      <c r="AO122" s="90">
        <f t="shared" si="242"/>
        <v>1.0074921172877318</v>
      </c>
      <c r="AP122" s="90">
        <f t="shared" si="242"/>
        <v>1.016990921420732</v>
      </c>
      <c r="AQ122" s="90">
        <f t="shared" si="242"/>
        <v>1.0071900973769516</v>
      </c>
      <c r="AR122" s="90">
        <f t="shared" si="242"/>
        <v>1.0013946230811543</v>
      </c>
      <c r="AS122" s="22"/>
      <c r="AT122" s="22"/>
      <c r="AU122" s="22"/>
      <c r="AV122" s="22"/>
      <c r="AW122" s="91">
        <f>$A$39</f>
        <v>20163</v>
      </c>
      <c r="AX122" s="105"/>
      <c r="AY122" s="90">
        <f t="shared" si="243"/>
        <v>1.3432485095001314</v>
      </c>
      <c r="AZ122" s="90">
        <f t="shared" si="243"/>
        <v>1.2639689801818508</v>
      </c>
      <c r="BA122" s="90">
        <f t="shared" si="243"/>
        <v>1.1691071291437121</v>
      </c>
      <c r="BB122" s="90">
        <f t="shared" si="243"/>
        <v>1.044625855491836</v>
      </c>
      <c r="BC122" s="90">
        <f t="shared" si="243"/>
        <v>1.0034972305354333</v>
      </c>
      <c r="BD122" s="90">
        <f t="shared" si="243"/>
        <v>1.0031647376529234</v>
      </c>
      <c r="BE122" s="22"/>
      <c r="BF122" s="22"/>
      <c r="BG122" s="22"/>
      <c r="BH122" s="22"/>
      <c r="BI122" s="91">
        <f>$A$39</f>
        <v>20163</v>
      </c>
      <c r="BJ122" s="105"/>
      <c r="BK122" s="90">
        <f t="shared" si="244"/>
        <v>1.0592930782742749</v>
      </c>
      <c r="BL122" s="90">
        <f t="shared" si="244"/>
        <v>1.024551681674748</v>
      </c>
      <c r="BM122" s="90">
        <f t="shared" si="244"/>
        <v>1.0145869755244756</v>
      </c>
      <c r="BN122" s="90">
        <f t="shared" si="244"/>
        <v>1</v>
      </c>
      <c r="BO122" s="90">
        <f t="shared" si="244"/>
        <v>1</v>
      </c>
      <c r="BP122" s="90">
        <f t="shared" si="244"/>
        <v>1</v>
      </c>
      <c r="BQ122" s="22"/>
      <c r="BR122" s="22"/>
      <c r="BS122" s="22"/>
      <c r="BT122" s="22"/>
      <c r="BU122" s="91">
        <f>$A$39</f>
        <v>20163</v>
      </c>
      <c r="BV122" s="105"/>
      <c r="BW122" s="90" t="str">
        <f t="shared" si="245"/>
        <v/>
      </c>
      <c r="BX122" s="90" t="str">
        <f t="shared" si="245"/>
        <v/>
      </c>
      <c r="BY122" s="90" t="str">
        <f t="shared" si="245"/>
        <v/>
      </c>
      <c r="BZ122" s="90" t="str">
        <f t="shared" si="245"/>
        <v/>
      </c>
      <c r="CA122" s="90" t="str">
        <f t="shared" si="245"/>
        <v/>
      </c>
      <c r="CB122" s="90" t="str">
        <f t="shared" si="245"/>
        <v/>
      </c>
      <c r="CC122" s="22"/>
      <c r="CD122" s="22"/>
      <c r="CE122" s="22"/>
      <c r="CF122" s="22"/>
      <c r="CG122" s="91">
        <f>$A$39</f>
        <v>20163</v>
      </c>
      <c r="CH122" s="105"/>
      <c r="CI122" s="90" t="str">
        <f t="shared" si="246"/>
        <v/>
      </c>
      <c r="CJ122" s="90" t="str">
        <f t="shared" si="246"/>
        <v/>
      </c>
      <c r="CK122" s="90" t="str">
        <f t="shared" si="246"/>
        <v/>
      </c>
      <c r="CL122" s="90" t="str">
        <f t="shared" si="246"/>
        <v/>
      </c>
      <c r="CM122" s="90" t="str">
        <f t="shared" si="246"/>
        <v/>
      </c>
      <c r="CN122" s="90" t="str">
        <f t="shared" si="246"/>
        <v/>
      </c>
      <c r="CO122" s="22"/>
      <c r="CP122" s="22"/>
      <c r="CQ122" s="22"/>
      <c r="CR122" s="22"/>
      <c r="CS122" s="91">
        <f>$A$39</f>
        <v>20163</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20163</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20173</v>
      </c>
      <c r="B123" s="105"/>
      <c r="C123" s="90">
        <f t="shared" si="239"/>
        <v>6.1513516862483275</v>
      </c>
      <c r="D123" s="90">
        <f t="shared" si="239"/>
        <v>2.868882093849237</v>
      </c>
      <c r="E123" s="90">
        <f t="shared" si="239"/>
        <v>1.6174956879326328</v>
      </c>
      <c r="F123" s="90">
        <f t="shared" si="239"/>
        <v>1.1980886428034601</v>
      </c>
      <c r="G123" s="90">
        <f t="shared" si="239"/>
        <v>1.1073010604999733</v>
      </c>
      <c r="H123" s="22"/>
      <c r="I123" s="22"/>
      <c r="J123" s="22"/>
      <c r="K123" s="22"/>
      <c r="L123" s="22"/>
      <c r="M123" s="91">
        <f>$A$40</f>
        <v>20173</v>
      </c>
      <c r="N123" s="105"/>
      <c r="O123" s="90">
        <f t="shared" si="240"/>
        <v>2.7964777175200144</v>
      </c>
      <c r="P123" s="90">
        <f t="shared" si="240"/>
        <v>1.6498212311020219</v>
      </c>
      <c r="Q123" s="90">
        <f t="shared" si="240"/>
        <v>1.1847995248847152</v>
      </c>
      <c r="R123" s="90">
        <f t="shared" si="240"/>
        <v>1.0125587020938609</v>
      </c>
      <c r="S123" s="90">
        <f t="shared" si="240"/>
        <v>1.0180462772105767</v>
      </c>
      <c r="T123" s="22"/>
      <c r="U123" s="22"/>
      <c r="V123" s="22"/>
      <c r="W123" s="22"/>
      <c r="X123" s="22"/>
      <c r="Y123" s="91">
        <f>$A$40</f>
        <v>20173</v>
      </c>
      <c r="Z123" s="105"/>
      <c r="AA123" s="90">
        <f t="shared" si="241"/>
        <v>6.9780138736476047</v>
      </c>
      <c r="AB123" s="90">
        <f t="shared" si="241"/>
        <v>2.58467105348126</v>
      </c>
      <c r="AC123" s="90">
        <f t="shared" si="241"/>
        <v>1.5140622029664188</v>
      </c>
      <c r="AD123" s="90">
        <f t="shared" si="241"/>
        <v>1.2153654045837226</v>
      </c>
      <c r="AE123" s="90">
        <f t="shared" si="241"/>
        <v>1.1074047218083305</v>
      </c>
      <c r="AF123" s="22"/>
      <c r="AG123" s="22"/>
      <c r="AH123" s="22"/>
      <c r="AI123" s="22"/>
      <c r="AJ123" s="22"/>
      <c r="AK123" s="91">
        <f>$A$40</f>
        <v>20173</v>
      </c>
      <c r="AL123" s="105"/>
      <c r="AM123" s="90">
        <f t="shared" si="242"/>
        <v>1.6635727608625022</v>
      </c>
      <c r="AN123" s="90">
        <f t="shared" si="242"/>
        <v>1.1121698741492585</v>
      </c>
      <c r="AO123" s="90">
        <f t="shared" si="242"/>
        <v>1.0795574275363184</v>
      </c>
      <c r="AP123" s="90">
        <f t="shared" si="242"/>
        <v>1.013179228473386</v>
      </c>
      <c r="AQ123" s="90">
        <f t="shared" si="242"/>
        <v>0.99952532649194159</v>
      </c>
      <c r="AR123" s="22"/>
      <c r="AS123" s="22"/>
      <c r="AT123" s="22"/>
      <c r="AU123" s="22"/>
      <c r="AV123" s="22"/>
      <c r="AW123" s="91">
        <f>$A$40</f>
        <v>20173</v>
      </c>
      <c r="AX123" s="105"/>
      <c r="AY123" s="90">
        <f t="shared" si="243"/>
        <v>1.3453052126360772</v>
      </c>
      <c r="AZ123" s="90">
        <f t="shared" si="243"/>
        <v>1.1482981853573102</v>
      </c>
      <c r="BA123" s="90">
        <f t="shared" si="243"/>
        <v>1.1919932418496677</v>
      </c>
      <c r="BB123" s="90">
        <f t="shared" si="243"/>
        <v>1.0400035056843366</v>
      </c>
      <c r="BC123" s="90">
        <f t="shared" si="243"/>
        <v>1.0150008645583699</v>
      </c>
      <c r="BD123" s="22"/>
      <c r="BE123" s="22"/>
      <c r="BF123" s="22"/>
      <c r="BG123" s="22"/>
      <c r="BH123" s="22"/>
      <c r="BI123" s="91">
        <f>$A$40</f>
        <v>20173</v>
      </c>
      <c r="BJ123" s="105"/>
      <c r="BK123" s="90">
        <f t="shared" si="244"/>
        <v>1.0090052230293571</v>
      </c>
      <c r="BL123" s="90">
        <f t="shared" si="244"/>
        <v>1</v>
      </c>
      <c r="BM123" s="90">
        <f t="shared" si="244"/>
        <v>1</v>
      </c>
      <c r="BN123" s="90">
        <f t="shared" si="244"/>
        <v>1</v>
      </c>
      <c r="BO123" s="90">
        <f t="shared" si="244"/>
        <v>1</v>
      </c>
      <c r="BP123" s="22"/>
      <c r="BQ123" s="22"/>
      <c r="BR123" s="22"/>
      <c r="BS123" s="22"/>
      <c r="BT123" s="22"/>
      <c r="BU123" s="91">
        <f>$A$40</f>
        <v>20173</v>
      </c>
      <c r="BV123" s="105"/>
      <c r="BW123" s="90" t="str">
        <f t="shared" si="245"/>
        <v/>
      </c>
      <c r="BX123" s="90" t="str">
        <f t="shared" si="245"/>
        <v/>
      </c>
      <c r="BY123" s="90" t="str">
        <f t="shared" si="245"/>
        <v/>
      </c>
      <c r="BZ123" s="90" t="str">
        <f t="shared" si="245"/>
        <v/>
      </c>
      <c r="CA123" s="90" t="str">
        <f t="shared" si="245"/>
        <v/>
      </c>
      <c r="CB123" s="22"/>
      <c r="CC123" s="22"/>
      <c r="CD123" s="22"/>
      <c r="CE123" s="22"/>
      <c r="CF123" s="22"/>
      <c r="CG123" s="91">
        <f>$A$40</f>
        <v>20173</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20173</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20173</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20183</v>
      </c>
      <c r="B124" s="105"/>
      <c r="C124" s="90">
        <f t="shared" si="239"/>
        <v>5.9045731273557491</v>
      </c>
      <c r="D124" s="90">
        <f t="shared" si="239"/>
        <v>2.7823568273437806</v>
      </c>
      <c r="E124" s="90">
        <f t="shared" si="239"/>
        <v>1.6487005575400606</v>
      </c>
      <c r="F124" s="90">
        <f t="shared" si="239"/>
        <v>1.2374400267991421</v>
      </c>
      <c r="G124" s="22"/>
      <c r="H124" s="22"/>
      <c r="I124" s="22"/>
      <c r="J124" s="22"/>
      <c r="K124" s="22"/>
      <c r="L124" s="22"/>
      <c r="M124" s="91">
        <f>$A$41</f>
        <v>20183</v>
      </c>
      <c r="N124" s="105"/>
      <c r="O124" s="90">
        <f t="shared" si="240"/>
        <v>3.6610294381009427</v>
      </c>
      <c r="P124" s="90">
        <f t="shared" si="240"/>
        <v>1.0381097152648628</v>
      </c>
      <c r="Q124" s="90">
        <f t="shared" si="240"/>
        <v>1.0925029714778745</v>
      </c>
      <c r="R124" s="90">
        <f t="shared" si="240"/>
        <v>1.0485443287105103</v>
      </c>
      <c r="S124" s="22"/>
      <c r="T124" s="22"/>
      <c r="U124" s="22"/>
      <c r="V124" s="22"/>
      <c r="W124" s="22"/>
      <c r="X124" s="22"/>
      <c r="Y124" s="91">
        <f>$A$41</f>
        <v>20183</v>
      </c>
      <c r="Z124" s="105"/>
      <c r="AA124" s="90">
        <f t="shared" si="241"/>
        <v>6.5549056236666647</v>
      </c>
      <c r="AB124" s="90">
        <f t="shared" si="241"/>
        <v>2.9740723279719266</v>
      </c>
      <c r="AC124" s="90">
        <f t="shared" si="241"/>
        <v>1.5974212854937613</v>
      </c>
      <c r="AD124" s="90">
        <f t="shared" si="241"/>
        <v>1.2297982506700671</v>
      </c>
      <c r="AE124" s="22"/>
      <c r="AF124" s="22"/>
      <c r="AG124" s="22"/>
      <c r="AH124" s="22"/>
      <c r="AI124" s="22"/>
      <c r="AJ124" s="22"/>
      <c r="AK124" s="91">
        <f>$A$41</f>
        <v>20183</v>
      </c>
      <c r="AL124" s="105"/>
      <c r="AM124" s="90">
        <f t="shared" si="242"/>
        <v>1.5470711102776633</v>
      </c>
      <c r="AN124" s="90">
        <f t="shared" si="242"/>
        <v>1.1045875643720902</v>
      </c>
      <c r="AO124" s="90">
        <f t="shared" si="242"/>
        <v>1.0786574656393866</v>
      </c>
      <c r="AP124" s="90">
        <f t="shared" si="242"/>
        <v>1.0826427887929273</v>
      </c>
      <c r="AQ124" s="22"/>
      <c r="AR124" s="22"/>
      <c r="AS124" s="22"/>
      <c r="AT124" s="22"/>
      <c r="AU124" s="22"/>
      <c r="AV124" s="22"/>
      <c r="AW124" s="91">
        <f>$A$41</f>
        <v>20183</v>
      </c>
      <c r="AX124" s="105"/>
      <c r="AY124" s="90">
        <f t="shared" si="243"/>
        <v>1.3843691450415578</v>
      </c>
      <c r="AZ124" s="90">
        <f t="shared" si="243"/>
        <v>1.2256376629363945</v>
      </c>
      <c r="BA124" s="90">
        <f t="shared" si="243"/>
        <v>0.98851241865283357</v>
      </c>
      <c r="BB124" s="90">
        <f t="shared" si="243"/>
        <v>1.0248583465337218</v>
      </c>
      <c r="BC124" s="22"/>
      <c r="BD124" s="22"/>
      <c r="BE124" s="22"/>
      <c r="BF124" s="22"/>
      <c r="BG124" s="22"/>
      <c r="BH124" s="22"/>
      <c r="BI124" s="91">
        <f>$A$41</f>
        <v>20183</v>
      </c>
      <c r="BJ124" s="105"/>
      <c r="BK124" s="90">
        <f t="shared" si="244"/>
        <v>1.2556490599820949</v>
      </c>
      <c r="BL124" s="90">
        <f t="shared" si="244"/>
        <v>1.0026934874641924</v>
      </c>
      <c r="BM124" s="90">
        <f t="shared" si="244"/>
        <v>1.0064763957449767</v>
      </c>
      <c r="BN124" s="90">
        <f t="shared" si="244"/>
        <v>1</v>
      </c>
      <c r="BO124" s="22"/>
      <c r="BP124" s="22"/>
      <c r="BQ124" s="22"/>
      <c r="BR124" s="22"/>
      <c r="BS124" s="22"/>
      <c r="BT124" s="22"/>
      <c r="BU124" s="91">
        <f>$A$41</f>
        <v>20183</v>
      </c>
      <c r="BV124" s="105"/>
      <c r="BW124" s="90" t="str">
        <f t="shared" si="245"/>
        <v/>
      </c>
      <c r="BX124" s="90">
        <f t="shared" si="245"/>
        <v>1</v>
      </c>
      <c r="BY124" s="90">
        <f t="shared" si="245"/>
        <v>1</v>
      </c>
      <c r="BZ124" s="90">
        <f t="shared" si="245"/>
        <v>1</v>
      </c>
      <c r="CA124" s="22"/>
      <c r="CB124" s="22"/>
      <c r="CC124" s="22"/>
      <c r="CD124" s="22"/>
      <c r="CE124" s="22"/>
      <c r="CF124" s="22"/>
      <c r="CG124" s="91">
        <f>$A$41</f>
        <v>20183</v>
      </c>
      <c r="CH124" s="105"/>
      <c r="CI124" s="90" t="str">
        <f t="shared" si="246"/>
        <v/>
      </c>
      <c r="CJ124" s="90" t="str">
        <f t="shared" si="246"/>
        <v/>
      </c>
      <c r="CK124" s="90" t="str">
        <f t="shared" si="246"/>
        <v/>
      </c>
      <c r="CL124" s="90" t="str">
        <f t="shared" si="246"/>
        <v/>
      </c>
      <c r="CM124" s="22"/>
      <c r="CN124" s="22"/>
      <c r="CO124" s="22"/>
      <c r="CP124" s="22"/>
      <c r="CQ124" s="22"/>
      <c r="CR124" s="22"/>
      <c r="CS124" s="91">
        <f>$A$41</f>
        <v>20183</v>
      </c>
      <c r="CT124" s="105"/>
      <c r="CU124" s="90" t="str">
        <f t="shared" si="247"/>
        <v/>
      </c>
      <c r="CV124" s="90" t="str">
        <f t="shared" si="247"/>
        <v/>
      </c>
      <c r="CW124" s="90" t="str">
        <f t="shared" si="247"/>
        <v/>
      </c>
      <c r="CX124" s="90" t="str">
        <f t="shared" si="247"/>
        <v/>
      </c>
      <c r="CY124" s="22"/>
      <c r="CZ124" s="22"/>
      <c r="DA124" s="22"/>
      <c r="DB124" s="22"/>
      <c r="DC124" s="22"/>
      <c r="DD124" s="22"/>
      <c r="DE124" s="91">
        <f>$A$41</f>
        <v>20183</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20193</v>
      </c>
      <c r="B125" s="105"/>
      <c r="C125" s="90">
        <f t="shared" si="239"/>
        <v>6.0840264816143277</v>
      </c>
      <c r="D125" s="90">
        <f t="shared" si="239"/>
        <v>2.8009842189795195</v>
      </c>
      <c r="E125" s="90">
        <f t="shared" si="239"/>
        <v>1.7502020244519638</v>
      </c>
      <c r="F125" s="22"/>
      <c r="G125" s="22"/>
      <c r="H125" s="22"/>
      <c r="I125" s="22"/>
      <c r="J125" s="22"/>
      <c r="K125" s="22"/>
      <c r="L125" s="22"/>
      <c r="M125" s="91">
        <f>$A$42</f>
        <v>20193</v>
      </c>
      <c r="N125" s="105"/>
      <c r="O125" s="90">
        <f t="shared" si="240"/>
        <v>2.7356796000286856</v>
      </c>
      <c r="P125" s="90">
        <f t="shared" si="240"/>
        <v>1.4014198501672739</v>
      </c>
      <c r="Q125" s="90">
        <f t="shared" si="240"/>
        <v>1.0566690519668129</v>
      </c>
      <c r="R125" s="22"/>
      <c r="S125" s="22"/>
      <c r="T125" s="22"/>
      <c r="U125" s="22"/>
      <c r="V125" s="22"/>
      <c r="W125" s="22"/>
      <c r="X125" s="22"/>
      <c r="Y125" s="91">
        <f>$A$42</f>
        <v>20193</v>
      </c>
      <c r="Z125" s="105"/>
      <c r="AA125" s="90">
        <f t="shared" si="241"/>
        <v>6.2642723964076357</v>
      </c>
      <c r="AB125" s="90">
        <f t="shared" si="241"/>
        <v>2.600905004777307</v>
      </c>
      <c r="AC125" s="90">
        <f t="shared" si="241"/>
        <v>1.6726811254595217</v>
      </c>
      <c r="AD125" s="22"/>
      <c r="AE125" s="22"/>
      <c r="AF125" s="22"/>
      <c r="AG125" s="22"/>
      <c r="AH125" s="22"/>
      <c r="AI125" s="22"/>
      <c r="AJ125" s="22"/>
      <c r="AK125" s="91">
        <f>$A$42</f>
        <v>20193</v>
      </c>
      <c r="AL125" s="105"/>
      <c r="AM125" s="90">
        <f t="shared" si="242"/>
        <v>1.7755947445952314</v>
      </c>
      <c r="AN125" s="90">
        <f t="shared" si="242"/>
        <v>1.1523181965160725</v>
      </c>
      <c r="AO125" s="90">
        <f t="shared" si="242"/>
        <v>1.0146658799954671</v>
      </c>
      <c r="AP125" s="22"/>
      <c r="AQ125" s="22"/>
      <c r="AR125" s="22"/>
      <c r="AS125" s="22"/>
      <c r="AT125" s="22"/>
      <c r="AU125" s="22"/>
      <c r="AV125" s="22"/>
      <c r="AW125" s="91">
        <f>$A$42</f>
        <v>20193</v>
      </c>
      <c r="AX125" s="105"/>
      <c r="AY125" s="90">
        <f t="shared" si="243"/>
        <v>1.7863440719283468</v>
      </c>
      <c r="AZ125" s="90">
        <f t="shared" si="243"/>
        <v>1.312013696398834</v>
      </c>
      <c r="BA125" s="90">
        <f t="shared" si="243"/>
        <v>1.087905293884541</v>
      </c>
      <c r="BB125" s="22"/>
      <c r="BC125" s="22"/>
      <c r="BD125" s="22"/>
      <c r="BE125" s="22"/>
      <c r="BF125" s="22"/>
      <c r="BG125" s="22"/>
      <c r="BH125" s="22"/>
      <c r="BI125" s="91">
        <f>$A$42</f>
        <v>20193</v>
      </c>
      <c r="BJ125" s="105"/>
      <c r="BK125" s="90">
        <f t="shared" si="244"/>
        <v>1.1020688983900158</v>
      </c>
      <c r="BL125" s="90">
        <f t="shared" si="244"/>
        <v>1</v>
      </c>
      <c r="BM125" s="90">
        <f t="shared" si="244"/>
        <v>1</v>
      </c>
      <c r="BN125" s="22"/>
      <c r="BO125" s="22"/>
      <c r="BP125" s="22"/>
      <c r="BQ125" s="22"/>
      <c r="BR125" s="22"/>
      <c r="BS125" s="22"/>
      <c r="BT125" s="22"/>
      <c r="BU125" s="91">
        <f>$A$42</f>
        <v>20193</v>
      </c>
      <c r="BV125" s="105"/>
      <c r="BW125" s="90">
        <f t="shared" si="245"/>
        <v>-1.6280981514810113E-16</v>
      </c>
      <c r="BX125" s="90">
        <f t="shared" si="245"/>
        <v>1</v>
      </c>
      <c r="BY125" s="90">
        <f t="shared" si="245"/>
        <v>1</v>
      </c>
      <c r="BZ125" s="22"/>
      <c r="CA125" s="22"/>
      <c r="CB125" s="22"/>
      <c r="CC125" s="22"/>
      <c r="CD125" s="22"/>
      <c r="CE125" s="22"/>
      <c r="CF125" s="22"/>
      <c r="CG125" s="91">
        <f>$A$42</f>
        <v>20193</v>
      </c>
      <c r="CH125" s="105"/>
      <c r="CI125" s="90" t="str">
        <f t="shared" si="246"/>
        <v/>
      </c>
      <c r="CJ125" s="90" t="str">
        <f t="shared" si="246"/>
        <v/>
      </c>
      <c r="CK125" s="90" t="str">
        <f t="shared" si="246"/>
        <v/>
      </c>
      <c r="CL125" s="22"/>
      <c r="CM125" s="22"/>
      <c r="CN125" s="22"/>
      <c r="CO125" s="22"/>
      <c r="CP125" s="22"/>
      <c r="CQ125" s="22"/>
      <c r="CR125" s="22"/>
      <c r="CS125" s="91">
        <f>$A$42</f>
        <v>20193</v>
      </c>
      <c r="CT125" s="105"/>
      <c r="CU125" s="90" t="str">
        <f t="shared" si="247"/>
        <v/>
      </c>
      <c r="CV125" s="90" t="str">
        <f t="shared" si="247"/>
        <v/>
      </c>
      <c r="CW125" s="90" t="str">
        <f t="shared" si="247"/>
        <v/>
      </c>
      <c r="CX125" s="22"/>
      <c r="CY125" s="22"/>
      <c r="CZ125" s="22"/>
      <c r="DA125" s="22"/>
      <c r="DB125" s="22"/>
      <c r="DC125" s="22"/>
      <c r="DD125" s="22"/>
      <c r="DE125" s="91">
        <f>$A$42</f>
        <v>20193</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20203</v>
      </c>
      <c r="B126" s="105"/>
      <c r="C126" s="90">
        <f t="shared" si="239"/>
        <v>5.6688968054790649</v>
      </c>
      <c r="D126" s="90">
        <f t="shared" si="239"/>
        <v>2.8078129412213255</v>
      </c>
      <c r="E126" s="22"/>
      <c r="F126" s="22"/>
      <c r="G126" s="22"/>
      <c r="H126" s="22"/>
      <c r="I126" s="22"/>
      <c r="J126" s="22"/>
      <c r="K126" s="22"/>
      <c r="L126" s="22"/>
      <c r="M126" s="91">
        <f>$A$43</f>
        <v>20203</v>
      </c>
      <c r="N126" s="105"/>
      <c r="O126" s="90">
        <f t="shared" si="240"/>
        <v>2.230191136783481</v>
      </c>
      <c r="P126" s="90">
        <f t="shared" si="240"/>
        <v>1.2614992984215032</v>
      </c>
      <c r="Q126" s="22"/>
      <c r="R126" s="22"/>
      <c r="S126" s="22"/>
      <c r="T126" s="22"/>
      <c r="U126" s="22"/>
      <c r="V126" s="22"/>
      <c r="W126" s="22"/>
      <c r="X126" s="22"/>
      <c r="Y126" s="91">
        <f>$A$43</f>
        <v>20203</v>
      </c>
      <c r="Z126" s="105"/>
      <c r="AA126" s="90">
        <f t="shared" si="241"/>
        <v>5.9440886816493528</v>
      </c>
      <c r="AB126" s="90">
        <f t="shared" si="241"/>
        <v>2.711256608623247</v>
      </c>
      <c r="AC126" s="22"/>
      <c r="AD126" s="22"/>
      <c r="AE126" s="22"/>
      <c r="AF126" s="22"/>
      <c r="AG126" s="22"/>
      <c r="AH126" s="22"/>
      <c r="AI126" s="22"/>
      <c r="AJ126" s="22"/>
      <c r="AK126" s="91">
        <f>$A$43</f>
        <v>20203</v>
      </c>
      <c r="AL126" s="105"/>
      <c r="AM126" s="90">
        <f t="shared" si="242"/>
        <v>1.5072699291678417</v>
      </c>
      <c r="AN126" s="90">
        <f t="shared" si="242"/>
        <v>1.1277850196120252</v>
      </c>
      <c r="AO126" s="22"/>
      <c r="AP126" s="22"/>
      <c r="AQ126" s="22"/>
      <c r="AR126" s="22"/>
      <c r="AS126" s="22"/>
      <c r="AT126" s="22"/>
      <c r="AU126" s="22"/>
      <c r="AV126" s="22"/>
      <c r="AW126" s="91">
        <f>$A$43</f>
        <v>20203</v>
      </c>
      <c r="AX126" s="105"/>
      <c r="AY126" s="90">
        <f t="shared" si="243"/>
        <v>1.4925933679081522</v>
      </c>
      <c r="AZ126" s="90">
        <f t="shared" si="243"/>
        <v>1.1248793212218882</v>
      </c>
      <c r="BA126" s="22"/>
      <c r="BB126" s="22"/>
      <c r="BC126" s="22"/>
      <c r="BD126" s="22"/>
      <c r="BE126" s="22"/>
      <c r="BF126" s="22"/>
      <c r="BG126" s="22"/>
      <c r="BH126" s="22"/>
      <c r="BI126" s="91">
        <f>$A$43</f>
        <v>20203</v>
      </c>
      <c r="BJ126" s="105"/>
      <c r="BK126" s="90">
        <f t="shared" si="244"/>
        <v>1.0679852257250937</v>
      </c>
      <c r="BL126" s="90">
        <f t="shared" si="244"/>
        <v>1.0220172603338835</v>
      </c>
      <c r="BM126" s="22"/>
      <c r="BN126" s="22"/>
      <c r="BO126" s="22"/>
      <c r="BP126" s="22"/>
      <c r="BQ126" s="22"/>
      <c r="BR126" s="22"/>
      <c r="BS126" s="22"/>
      <c r="BT126" s="22"/>
      <c r="BU126" s="91">
        <f>$A$43</f>
        <v>20203</v>
      </c>
      <c r="BV126" s="105"/>
      <c r="BW126" s="90" t="str">
        <f t="shared" si="245"/>
        <v/>
      </c>
      <c r="BX126" s="90">
        <f t="shared" si="245"/>
        <v>1</v>
      </c>
      <c r="BY126" s="22"/>
      <c r="BZ126" s="22"/>
      <c r="CA126" s="22"/>
      <c r="CB126" s="22"/>
      <c r="CC126" s="22"/>
      <c r="CD126" s="22"/>
      <c r="CE126" s="22"/>
      <c r="CF126" s="22"/>
      <c r="CG126" s="91">
        <f>$A$43</f>
        <v>20203</v>
      </c>
      <c r="CH126" s="105"/>
      <c r="CI126" s="90" t="str">
        <f t="shared" si="246"/>
        <v/>
      </c>
      <c r="CJ126" s="90" t="str">
        <f t="shared" si="246"/>
        <v/>
      </c>
      <c r="CK126" s="22"/>
      <c r="CL126" s="22"/>
      <c r="CM126" s="22"/>
      <c r="CN126" s="22"/>
      <c r="CO126" s="22"/>
      <c r="CP126" s="22"/>
      <c r="CQ126" s="22"/>
      <c r="CR126" s="22"/>
      <c r="CS126" s="91">
        <f>$A$43</f>
        <v>20203</v>
      </c>
      <c r="CT126" s="105"/>
      <c r="CU126" s="90" t="str">
        <f t="shared" si="247"/>
        <v/>
      </c>
      <c r="CV126" s="90" t="str">
        <f t="shared" si="247"/>
        <v/>
      </c>
      <c r="CW126" s="22"/>
      <c r="CX126" s="22"/>
      <c r="CY126" s="22"/>
      <c r="CZ126" s="22"/>
      <c r="DA126" s="22"/>
      <c r="DB126" s="22"/>
      <c r="DC126" s="22"/>
      <c r="DD126" s="22"/>
      <c r="DE126" s="91">
        <f>$A$43</f>
        <v>20203</v>
      </c>
      <c r="DF126" s="105"/>
      <c r="DG126" s="90" t="str">
        <f t="shared" si="248"/>
        <v/>
      </c>
      <c r="DH126" s="90" t="str">
        <f t="shared" si="248"/>
        <v/>
      </c>
      <c r="DI126" s="22"/>
      <c r="DJ126" s="22"/>
      <c r="DK126" s="22"/>
      <c r="DL126" s="22"/>
      <c r="DM126" s="22"/>
      <c r="DN126" s="22"/>
      <c r="DO126" s="22"/>
      <c r="DP126" s="22"/>
    </row>
    <row r="127" spans="1:120" x14ac:dyDescent="0.25">
      <c r="A127" s="91">
        <f>$A$44</f>
        <v>20213</v>
      </c>
      <c r="B127" s="105"/>
      <c r="C127" s="90">
        <f t="shared" si="239"/>
        <v>5.5244999481461097</v>
      </c>
      <c r="D127" s="22"/>
      <c r="E127" s="22"/>
      <c r="F127" s="22"/>
      <c r="G127" s="22"/>
      <c r="H127" s="22"/>
      <c r="I127" s="22"/>
      <c r="J127" s="22"/>
      <c r="K127" s="22"/>
      <c r="L127" s="22"/>
      <c r="M127" s="91">
        <f>$A$44</f>
        <v>20213</v>
      </c>
      <c r="N127" s="105"/>
      <c r="O127" s="90">
        <f t="shared" si="240"/>
        <v>2.9293649529349413</v>
      </c>
      <c r="P127" s="22"/>
      <c r="Q127" s="22"/>
      <c r="R127" s="22"/>
      <c r="S127" s="22"/>
      <c r="T127" s="22"/>
      <c r="U127" s="22"/>
      <c r="V127" s="22"/>
      <c r="W127" s="22"/>
      <c r="X127" s="22"/>
      <c r="Y127" s="91">
        <f>$A$44</f>
        <v>20213</v>
      </c>
      <c r="Z127" s="105"/>
      <c r="AA127" s="90">
        <f t="shared" si="241"/>
        <v>6.6523040246500607</v>
      </c>
      <c r="AB127" s="22"/>
      <c r="AC127" s="22"/>
      <c r="AD127" s="22"/>
      <c r="AE127" s="22"/>
      <c r="AF127" s="22"/>
      <c r="AG127" s="22"/>
      <c r="AH127" s="22"/>
      <c r="AI127" s="22"/>
      <c r="AJ127" s="22"/>
      <c r="AK127" s="91">
        <f>$A$44</f>
        <v>20213</v>
      </c>
      <c r="AL127" s="105"/>
      <c r="AM127" s="90">
        <f t="shared" si="242"/>
        <v>1.3179759300864857</v>
      </c>
      <c r="AN127" s="22"/>
      <c r="AO127" s="22"/>
      <c r="AP127" s="22"/>
      <c r="AQ127" s="22"/>
      <c r="AR127" s="22"/>
      <c r="AS127" s="22"/>
      <c r="AT127" s="22"/>
      <c r="AU127" s="22"/>
      <c r="AV127" s="22"/>
      <c r="AW127" s="91">
        <f>$A$44</f>
        <v>20213</v>
      </c>
      <c r="AX127" s="105"/>
      <c r="AY127" s="90">
        <f t="shared" si="243"/>
        <v>1.376921603191823</v>
      </c>
      <c r="AZ127" s="22"/>
      <c r="BA127" s="22"/>
      <c r="BB127" s="22"/>
      <c r="BC127" s="22"/>
      <c r="BD127" s="22"/>
      <c r="BE127" s="22"/>
      <c r="BF127" s="22"/>
      <c r="BG127" s="22"/>
      <c r="BH127" s="22"/>
      <c r="BI127" s="91">
        <f>$A$44</f>
        <v>20213</v>
      </c>
      <c r="BJ127" s="105"/>
      <c r="BK127" s="90">
        <f t="shared" si="244"/>
        <v>1.0363125319183293</v>
      </c>
      <c r="BL127" s="22"/>
      <c r="BM127" s="22"/>
      <c r="BN127" s="22"/>
      <c r="BO127" s="22"/>
      <c r="BP127" s="22"/>
      <c r="BQ127" s="22"/>
      <c r="BR127" s="22"/>
      <c r="BS127" s="22"/>
      <c r="BT127" s="22"/>
      <c r="BU127" s="91">
        <f>$A$44</f>
        <v>20213</v>
      </c>
      <c r="BV127" s="105"/>
      <c r="BW127" s="90">
        <f t="shared" si="245"/>
        <v>1</v>
      </c>
      <c r="BX127" s="22"/>
      <c r="BY127" s="22"/>
      <c r="BZ127" s="22"/>
      <c r="CA127" s="22"/>
      <c r="CB127" s="22"/>
      <c r="CC127" s="22"/>
      <c r="CD127" s="22"/>
      <c r="CE127" s="22"/>
      <c r="CF127" s="22"/>
      <c r="CG127" s="91">
        <f>$A$44</f>
        <v>20213</v>
      </c>
      <c r="CH127" s="105"/>
      <c r="CI127" s="90" t="str">
        <f t="shared" si="246"/>
        <v/>
      </c>
      <c r="CJ127" s="22"/>
      <c r="CK127" s="22"/>
      <c r="CL127" s="22"/>
      <c r="CM127" s="22"/>
      <c r="CN127" s="22"/>
      <c r="CO127" s="22"/>
      <c r="CP127" s="22"/>
      <c r="CQ127" s="22"/>
      <c r="CR127" s="22"/>
      <c r="CS127" s="91">
        <f>$A$44</f>
        <v>20213</v>
      </c>
      <c r="CT127" s="105"/>
      <c r="CU127" s="90" t="str">
        <f t="shared" si="247"/>
        <v/>
      </c>
      <c r="CV127" s="22"/>
      <c r="CW127" s="22"/>
      <c r="CX127" s="22"/>
      <c r="CY127" s="22"/>
      <c r="CZ127" s="22"/>
      <c r="DA127" s="22"/>
      <c r="DB127" s="22"/>
      <c r="DC127" s="22"/>
      <c r="DD127" s="22"/>
      <c r="DE127" s="91">
        <f>$A$44</f>
        <v>20213</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5.7741818403866372</v>
      </c>
      <c r="D129" s="93">
        <f>IFERROR(SUM(E111:E113)/SUM(D111:D113),1)</f>
        <v>2.796875954016651</v>
      </c>
      <c r="E129" s="93">
        <f>IFERROR(SUM(F110:F112)/SUM(E110:E112),1)</f>
        <v>1.671689905722473</v>
      </c>
      <c r="F129" s="93">
        <f>IFERROR(SUM(G109:G111)/SUM(F109:F111),1)</f>
        <v>1.1995362710907163</v>
      </c>
      <c r="G129" s="93">
        <f>IFERROR(SUM(H108:H110)/SUM(G108:G110),1)</f>
        <v>1.0722102965105482</v>
      </c>
      <c r="H129" s="93">
        <f>IFERROR(SUM(I107:I109)/SUM(H107:H109),1)</f>
        <v>1.0231007594010186</v>
      </c>
      <c r="I129" s="93">
        <f>IFERROR(SUM(J106:J108)/SUM(I106:I108),1)</f>
        <v>1.0075065708631983</v>
      </c>
      <c r="J129" s="93">
        <f>IFERROR(SUM(K106:K107)/SUM(J106:J107),1)</f>
        <v>1.0018396370158187</v>
      </c>
      <c r="K129" s="93">
        <f>IFERROR(SUM(L106:L106)/SUM(K106:K106),1)</f>
        <v>1.0006020254349206</v>
      </c>
      <c r="L129" s="93">
        <v>1</v>
      </c>
      <c r="M129" s="285" t="s">
        <v>37</v>
      </c>
      <c r="N129" s="107"/>
      <c r="O129" s="93">
        <f>IFERROR(SUM(P112:P114)/SUM(O112:O114),1)</f>
        <v>2.5227688610744159</v>
      </c>
      <c r="P129" s="93">
        <f>IFERROR(SUM(Q111:Q113)/SUM(P111:P113),1)</f>
        <v>1.2217717711845886</v>
      </c>
      <c r="Q129" s="93">
        <f>IFERROR(SUM(R110:R112)/SUM(Q110:Q112),1)</f>
        <v>1.1145173093280873</v>
      </c>
      <c r="R129" s="93">
        <f>IFERROR(SUM(S109:S111)/SUM(R109:R111),1)</f>
        <v>1.0313487177082508</v>
      </c>
      <c r="S129" s="93">
        <f>IFERROR(SUM(T108:T110)/SUM(S108:S110),1)</f>
        <v>1.0164884247451593</v>
      </c>
      <c r="T129" s="93">
        <f>IFERROR(SUM(U107:U109)/SUM(T107:T109),1)</f>
        <v>1.002032217924115</v>
      </c>
      <c r="U129" s="93">
        <f>IFERROR(SUM(V106:V108)/SUM(U106:U108),1)</f>
        <v>1</v>
      </c>
      <c r="V129" s="93">
        <f>IFERROR(SUM(W106:W107)/SUM(V106:V107),1)</f>
        <v>1</v>
      </c>
      <c r="W129" s="93">
        <f>IFERROR(SUM(X106:X106)/SUM(W106:W106),1)</f>
        <v>1.000005712110869</v>
      </c>
      <c r="X129" s="93">
        <v>1</v>
      </c>
      <c r="Y129" s="285" t="s">
        <v>37</v>
      </c>
      <c r="Z129" s="107"/>
      <c r="AA129" s="93">
        <f>IFERROR(SUM(AB112:AB114)/SUM(AA112:AA114),1)</f>
        <v>6.2605711321411111</v>
      </c>
      <c r="AB129" s="93">
        <f>IFERROR(SUM(AC111:AC113)/SUM(AB111:AB113),1)</f>
        <v>2.7546982027436373</v>
      </c>
      <c r="AC129" s="93">
        <f>IFERROR(SUM(AD110:AD112)/SUM(AC110:AC112),1)</f>
        <v>1.5959918424165536</v>
      </c>
      <c r="AD129" s="93">
        <f>IFERROR(SUM(AE109:AE111)/SUM(AD109:AD111),1)</f>
        <v>1.2400749658531505</v>
      </c>
      <c r="AE129" s="93">
        <f>IFERROR(SUM(AF108:AF110)/SUM(AE108:AE110),1)</f>
        <v>1.1047714188908981</v>
      </c>
      <c r="AF129" s="93">
        <f>IFERROR(SUM(AG107:AG109)/SUM(AF107:AF109),1)</f>
        <v>1.0611255193669389</v>
      </c>
      <c r="AG129" s="93">
        <f>IFERROR(SUM(AH106:AH108)/SUM(AG106:AG108),1)</f>
        <v>1.0337002947053964</v>
      </c>
      <c r="AH129" s="93">
        <f>IFERROR(SUM(AI106:AI107)/SUM(AH106:AH107),1)</f>
        <v>1.0287389619645639</v>
      </c>
      <c r="AI129" s="93">
        <f>IFERROR(SUM(AJ106:AJ106)/SUM(AI106:AI106),1)</f>
        <v>1.0273114537765065</v>
      </c>
      <c r="AJ129" s="93">
        <v>1</v>
      </c>
      <c r="AK129" s="285" t="s">
        <v>37</v>
      </c>
      <c r="AL129" s="107"/>
      <c r="AM129" s="93">
        <f>IFERROR(SUM(AN112:AN114)/SUM(AM112:AM114),1)</f>
        <v>1.4876262541726408</v>
      </c>
      <c r="AN129" s="93">
        <f>IFERROR(SUM(AO111:AO113)/SUM(AN111:AN113),1)</f>
        <v>1.1295884809191992</v>
      </c>
      <c r="AO129" s="93">
        <f>IFERROR(SUM(AP110:AP112)/SUM(AO110:AO112),1)</f>
        <v>1.054265769140347</v>
      </c>
      <c r="AP129" s="93">
        <f>IFERROR(SUM(AQ109:AQ111)/SUM(AP109:AP111),1)</f>
        <v>1.0368879427349385</v>
      </c>
      <c r="AQ129" s="93">
        <f>IFERROR(SUM(AR108:AR110)/SUM(AQ108:AQ110),1)</f>
        <v>1.0022967436770074</v>
      </c>
      <c r="AR129" s="93">
        <f>IFERROR(SUM(AS107:AS109)/SUM(AR107:AR109),1)</f>
        <v>1.0005048277699</v>
      </c>
      <c r="AS129" s="93">
        <f>IFERROR(SUM(AT106:AT108)/SUM(AS106:AS108),1)</f>
        <v>1.0004543111302779</v>
      </c>
      <c r="AT129" s="93">
        <f>IFERROR(SUM(AU106:AU107)/SUM(AT106:AT107),1)</f>
        <v>1</v>
      </c>
      <c r="AU129" s="93">
        <f>IFERROR(SUM(AV106:AV106)/SUM(AU106:AU106),1)</f>
        <v>1</v>
      </c>
      <c r="AV129" s="93">
        <v>1</v>
      </c>
      <c r="AW129" s="285" t="s">
        <v>37</v>
      </c>
      <c r="AX129" s="107"/>
      <c r="AY129" s="93">
        <f>IFERROR(SUM(AZ112:AZ114)/SUM(AY112:AY114),1)</f>
        <v>1.5160754544434003</v>
      </c>
      <c r="AZ129" s="93">
        <f>IFERROR(SUM(BA111:BA113)/SUM(AZ111:AZ113),1)</f>
        <v>1.2003635170283449</v>
      </c>
      <c r="BA129" s="93">
        <f>IFERROR(SUM(BB110:BB112)/SUM(BA110:BA112),1)</f>
        <v>1.0824975271721535</v>
      </c>
      <c r="BB129" s="93">
        <f>IFERROR(SUM(BC109:BC111)/SUM(BB109:BB111),1)</f>
        <v>1.0355218890990467</v>
      </c>
      <c r="BC129" s="93">
        <f>IFERROR(SUM(BD108:BD110)/SUM(BC108:BC110),1)</f>
        <v>1.0094016343530603</v>
      </c>
      <c r="BD129" s="93">
        <f>IFERROR(SUM(BE107:BE109)/SUM(BD107:BD109),1)</f>
        <v>1.0013764371478431</v>
      </c>
      <c r="BE129" s="93">
        <f>IFERROR(SUM(BF106:BF108)/SUM(BE106:BE108),1)</f>
        <v>1.0002668928759968</v>
      </c>
      <c r="BF129" s="93">
        <f>IFERROR(SUM(BG106:BG107)/SUM(BF106:BF107),1)</f>
        <v>1</v>
      </c>
      <c r="BG129" s="93">
        <f>IFERROR(SUM(BH106:BH106)/SUM(BG106:BG106),1)</f>
        <v>1.0011211869220731</v>
      </c>
      <c r="BH129" s="93">
        <v>1</v>
      </c>
      <c r="BI129" s="285" t="s">
        <v>37</v>
      </c>
      <c r="BJ129" s="107"/>
      <c r="BK129" s="93">
        <f>IFERROR(SUM(BL112:BL114)/SUM(BK112:BK114),1)</f>
        <v>1.0736930683888133</v>
      </c>
      <c r="BL129" s="93">
        <f>IFERROR(SUM(BM111:BM113)/SUM(BL111:BL113),1)</f>
        <v>1.0112256755299454</v>
      </c>
      <c r="BM129" s="93">
        <f>IFERROR(SUM(BN110:BN112)/SUM(BM110:BM112),1)</f>
        <v>1.0025933832470708</v>
      </c>
      <c r="BN129" s="93">
        <f>IFERROR(SUM(BO109:BO111)/SUM(BN109:BN111),1)</f>
        <v>1</v>
      </c>
      <c r="BO129" s="93">
        <f>IFERROR(SUM(BP108:BP110)/SUM(BO108:BO110),1)</f>
        <v>1</v>
      </c>
      <c r="BP129" s="93">
        <f>IFERROR(SUM(BQ107:BQ109)/SUM(BP107:BP109),1)</f>
        <v>1</v>
      </c>
      <c r="BQ129" s="93">
        <f>IFERROR(SUM(BR106:BR108)/SUM(BQ106:BQ108),1)</f>
        <v>1</v>
      </c>
      <c r="BR129" s="93">
        <f>IFERROR(SUM(BS106:BS107)/SUM(BR106:BR107),1)</f>
        <v>1</v>
      </c>
      <c r="BS129" s="93">
        <f>IFERROR(SUM(BT106:BT106)/SUM(BS106:BS106),1)</f>
        <v>1</v>
      </c>
      <c r="BT129" s="93">
        <v>1</v>
      </c>
      <c r="BU129" s="285" t="s">
        <v>37</v>
      </c>
      <c r="BV129" s="107"/>
      <c r="BW129" s="93">
        <f>IFERROR(SUM(BX112:BX114)/SUM(BW112:BW114),1)</f>
        <v>8.1687759109753288E-2</v>
      </c>
      <c r="BX129" s="93">
        <f>IFERROR(SUM(BY111:BY113)/SUM(BX111:BX113),1)</f>
        <v>1</v>
      </c>
      <c r="BY129" s="93">
        <f>IFERROR(SUM(BZ110:BZ112)/SUM(BY110:BY112),1)</f>
        <v>1</v>
      </c>
      <c r="BZ129" s="93">
        <f>IFERROR(SUM(CA109:CA111)/SUM(BZ109:BZ111),1)</f>
        <v>1</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5" t="s">
        <v>37</v>
      </c>
      <c r="CH129" s="107"/>
      <c r="CI129" s="93">
        <f>IFERROR(SUM(CJ112:CJ114)/SUM(CI112:CI114),1)</f>
        <v>1</v>
      </c>
      <c r="CJ129" s="93">
        <f>IFERROR(SUM(CK111:CK113)/SUM(CJ111:CJ113),1)</f>
        <v>1</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5"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5"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5.7741818403866372</v>
      </c>
      <c r="D130" s="93">
        <f t="shared" ref="D130:K130" si="249">IF(D129=0,1,D129)</f>
        <v>2.796875954016651</v>
      </c>
      <c r="E130" s="93">
        <f t="shared" si="249"/>
        <v>1.671689905722473</v>
      </c>
      <c r="F130" s="93">
        <f t="shared" si="249"/>
        <v>1.1995362710907163</v>
      </c>
      <c r="G130" s="93">
        <f t="shared" si="249"/>
        <v>1.0722102965105482</v>
      </c>
      <c r="H130" s="93">
        <f t="shared" si="249"/>
        <v>1.0231007594010186</v>
      </c>
      <c r="I130" s="93">
        <f t="shared" si="249"/>
        <v>1.0075065708631983</v>
      </c>
      <c r="J130" s="93">
        <f t="shared" si="249"/>
        <v>1.0018396370158187</v>
      </c>
      <c r="K130" s="93">
        <f t="shared" si="249"/>
        <v>1.0006020254349206</v>
      </c>
      <c r="L130" s="93">
        <f>IF(L129=0,1,L129)</f>
        <v>1</v>
      </c>
      <c r="M130" s="285" t="s">
        <v>40</v>
      </c>
      <c r="N130" s="107"/>
      <c r="O130" s="93">
        <f>IF(O129=0,1,O129)</f>
        <v>2.5227688610744159</v>
      </c>
      <c r="P130" s="93">
        <f t="shared" ref="P130:W130" si="250">IF(P129=0,1,P129)</f>
        <v>1.2217717711845886</v>
      </c>
      <c r="Q130" s="93">
        <f t="shared" si="250"/>
        <v>1.1145173093280873</v>
      </c>
      <c r="R130" s="93">
        <f t="shared" si="250"/>
        <v>1.0313487177082508</v>
      </c>
      <c r="S130" s="93">
        <f t="shared" si="250"/>
        <v>1.0164884247451593</v>
      </c>
      <c r="T130" s="93">
        <f t="shared" si="250"/>
        <v>1.002032217924115</v>
      </c>
      <c r="U130" s="93">
        <f t="shared" si="250"/>
        <v>1</v>
      </c>
      <c r="V130" s="93">
        <f t="shared" si="250"/>
        <v>1</v>
      </c>
      <c r="W130" s="93">
        <f t="shared" si="250"/>
        <v>1.000005712110869</v>
      </c>
      <c r="X130" s="93">
        <f>IF(X129=0,1,X129)</f>
        <v>1</v>
      </c>
      <c r="Y130" s="285" t="s">
        <v>40</v>
      </c>
      <c r="Z130" s="107"/>
      <c r="AA130" s="93">
        <f>IF(AA129=0,1,AA129)</f>
        <v>6.2605711321411111</v>
      </c>
      <c r="AB130" s="93">
        <f t="shared" ref="AB130:AI130" si="251">IF(AB129=0,1,AB129)</f>
        <v>2.7546982027436373</v>
      </c>
      <c r="AC130" s="93">
        <f t="shared" si="251"/>
        <v>1.5959918424165536</v>
      </c>
      <c r="AD130" s="93">
        <f t="shared" si="251"/>
        <v>1.2400749658531505</v>
      </c>
      <c r="AE130" s="93">
        <f t="shared" si="251"/>
        <v>1.1047714188908981</v>
      </c>
      <c r="AF130" s="93">
        <f t="shared" si="251"/>
        <v>1.0611255193669389</v>
      </c>
      <c r="AG130" s="93">
        <f t="shared" si="251"/>
        <v>1.0337002947053964</v>
      </c>
      <c r="AH130" s="93">
        <f t="shared" si="251"/>
        <v>1.0287389619645639</v>
      </c>
      <c r="AI130" s="93">
        <f t="shared" si="251"/>
        <v>1.0273114537765065</v>
      </c>
      <c r="AJ130" s="93">
        <f>IF(AJ129=0,1,AJ129)</f>
        <v>1</v>
      </c>
      <c r="AK130" s="285" t="s">
        <v>40</v>
      </c>
      <c r="AL130" s="107"/>
      <c r="AM130" s="93">
        <f>IF(AM129=0,1,AM129)</f>
        <v>1.4876262541726408</v>
      </c>
      <c r="AN130" s="93">
        <f t="shared" ref="AN130:AU130" si="252">IF(AN129=0,1,AN129)</f>
        <v>1.1295884809191992</v>
      </c>
      <c r="AO130" s="93">
        <f t="shared" si="252"/>
        <v>1.054265769140347</v>
      </c>
      <c r="AP130" s="93">
        <f t="shared" si="252"/>
        <v>1.0368879427349385</v>
      </c>
      <c r="AQ130" s="93">
        <f t="shared" si="252"/>
        <v>1.0022967436770074</v>
      </c>
      <c r="AR130" s="93">
        <f t="shared" si="252"/>
        <v>1.0005048277699</v>
      </c>
      <c r="AS130" s="93">
        <f t="shared" si="252"/>
        <v>1.0004543111302779</v>
      </c>
      <c r="AT130" s="93">
        <f t="shared" si="252"/>
        <v>1</v>
      </c>
      <c r="AU130" s="93">
        <f t="shared" si="252"/>
        <v>1</v>
      </c>
      <c r="AV130" s="93">
        <f>IF(AV129=0,1,AV129)</f>
        <v>1</v>
      </c>
      <c r="AW130" s="285" t="s">
        <v>40</v>
      </c>
      <c r="AX130" s="107"/>
      <c r="AY130" s="93">
        <f>IF(AY129=0,1,AY129)</f>
        <v>1.5160754544434003</v>
      </c>
      <c r="AZ130" s="93">
        <f t="shared" ref="AZ130:BG130" si="253">IF(AZ129=0,1,AZ129)</f>
        <v>1.2003635170283449</v>
      </c>
      <c r="BA130" s="93">
        <f t="shared" si="253"/>
        <v>1.0824975271721535</v>
      </c>
      <c r="BB130" s="93">
        <f t="shared" si="253"/>
        <v>1.0355218890990467</v>
      </c>
      <c r="BC130" s="93">
        <f t="shared" si="253"/>
        <v>1.0094016343530603</v>
      </c>
      <c r="BD130" s="93">
        <f t="shared" si="253"/>
        <v>1.0013764371478431</v>
      </c>
      <c r="BE130" s="93">
        <f t="shared" si="253"/>
        <v>1.0002668928759968</v>
      </c>
      <c r="BF130" s="93">
        <f t="shared" si="253"/>
        <v>1</v>
      </c>
      <c r="BG130" s="93">
        <f t="shared" si="253"/>
        <v>1.0011211869220731</v>
      </c>
      <c r="BH130" s="93">
        <f>IF(BH129=0,1,BH129)</f>
        <v>1</v>
      </c>
      <c r="BI130" s="285" t="s">
        <v>40</v>
      </c>
      <c r="BJ130" s="107"/>
      <c r="BK130" s="93">
        <f>IF(BK129=0,1,BK129)</f>
        <v>1.0736930683888133</v>
      </c>
      <c r="BL130" s="93">
        <f t="shared" ref="BL130:BS130" si="254">IF(BL129=0,1,BL129)</f>
        <v>1.0112256755299454</v>
      </c>
      <c r="BM130" s="93">
        <f t="shared" si="254"/>
        <v>1.0025933832470708</v>
      </c>
      <c r="BN130" s="93">
        <f t="shared" si="254"/>
        <v>1</v>
      </c>
      <c r="BO130" s="93">
        <f t="shared" si="254"/>
        <v>1</v>
      </c>
      <c r="BP130" s="93">
        <f t="shared" si="254"/>
        <v>1</v>
      </c>
      <c r="BQ130" s="93">
        <f t="shared" si="254"/>
        <v>1</v>
      </c>
      <c r="BR130" s="93">
        <f t="shared" si="254"/>
        <v>1</v>
      </c>
      <c r="BS130" s="93">
        <f t="shared" si="254"/>
        <v>1</v>
      </c>
      <c r="BT130" s="93">
        <f>IF(BT129=0,1,BT129)</f>
        <v>1</v>
      </c>
      <c r="BU130" s="285" t="s">
        <v>40</v>
      </c>
      <c r="BV130" s="107"/>
      <c r="BW130" s="93">
        <f>IF(BW129=0,1,BW129)</f>
        <v>8.1687759109753288E-2</v>
      </c>
      <c r="BX130" s="93">
        <f t="shared" ref="BX130:CE130" si="255">IF(BX129=0,1,BX129)</f>
        <v>1</v>
      </c>
      <c r="BY130" s="93">
        <f t="shared" si="255"/>
        <v>1</v>
      </c>
      <c r="BZ130" s="93">
        <f t="shared" si="255"/>
        <v>1</v>
      </c>
      <c r="CA130" s="93">
        <f t="shared" si="255"/>
        <v>1</v>
      </c>
      <c r="CB130" s="93">
        <f t="shared" si="255"/>
        <v>1</v>
      </c>
      <c r="CC130" s="93">
        <f t="shared" si="255"/>
        <v>1</v>
      </c>
      <c r="CD130" s="93">
        <f t="shared" si="255"/>
        <v>1</v>
      </c>
      <c r="CE130" s="93">
        <f t="shared" si="255"/>
        <v>1</v>
      </c>
      <c r="CF130" s="93">
        <f>IF(CF129=0,1,CF129)</f>
        <v>1</v>
      </c>
      <c r="CG130" s="285" t="s">
        <v>40</v>
      </c>
      <c r="CH130" s="107"/>
      <c r="CI130" s="93">
        <f>IF(CI129=0,1,CI129)</f>
        <v>1</v>
      </c>
      <c r="CJ130" s="93">
        <f t="shared" ref="CJ130:CQ130" si="256">IF(CJ129=0,1,CJ129)</f>
        <v>1</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5"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5"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35.878858873612081</v>
      </c>
      <c r="D131" s="113">
        <f>PRODUCT(D130:L130)</f>
        <v>6.2136697224640303</v>
      </c>
      <c r="E131" s="113">
        <f>PRODUCT(E130:L130)</f>
        <v>2.2216465172652549</v>
      </c>
      <c r="F131" s="113">
        <f>PRODUCT(F130:L130)</f>
        <v>1.3289824324835542</v>
      </c>
      <c r="G131" s="113">
        <f>PRODUCT(G130:L130)</f>
        <v>1.1079135033366976</v>
      </c>
      <c r="H131" s="113">
        <f>PRODUCT(H130:L130)</f>
        <v>1.0332986979721643</v>
      </c>
      <c r="I131" s="113">
        <f>PRODUCT(I130:L130)</f>
        <v>1.009967677648012</v>
      </c>
      <c r="J131" s="113">
        <f>PRODUCT(J130:L130)</f>
        <v>1.0024427699590139</v>
      </c>
      <c r="K131" s="113">
        <f>PRODUCT(K130:L130)</f>
        <v>1.0006020254349206</v>
      </c>
      <c r="L131" s="114">
        <f>PRODUCT(L130:L130)</f>
        <v>1</v>
      </c>
      <c r="M131" s="111" t="s">
        <v>39</v>
      </c>
      <c r="N131" s="115"/>
      <c r="O131" s="113">
        <f>PRODUCT(O130:X130)</f>
        <v>3.6086644629124005</v>
      </c>
      <c r="P131" s="113">
        <f>PRODUCT(P130:X130)</f>
        <v>1.4304380074580096</v>
      </c>
      <c r="Q131" s="113">
        <f>PRODUCT(Q130:X130)</f>
        <v>1.1707898653372106</v>
      </c>
      <c r="R131" s="113">
        <f>PRODUCT(R130:X130)</f>
        <v>1.0504905177677755</v>
      </c>
      <c r="S131" s="113">
        <f>PRODUCT(S130:X130)</f>
        <v>1.0185599688358169</v>
      </c>
      <c r="T131" s="113">
        <f>PRODUCT(T130:X130)</f>
        <v>1.0020379416432381</v>
      </c>
      <c r="U131" s="113">
        <f>PRODUCT(U130:X130)</f>
        <v>1.000005712110869</v>
      </c>
      <c r="V131" s="113">
        <f>PRODUCT(V130:X130)</f>
        <v>1.000005712110869</v>
      </c>
      <c r="W131" s="113">
        <f>PRODUCT(W130:X130)</f>
        <v>1.000005712110869</v>
      </c>
      <c r="X131" s="114">
        <f>PRODUCT(X130:X130)</f>
        <v>1</v>
      </c>
      <c r="Y131" s="111" t="s">
        <v>39</v>
      </c>
      <c r="Z131" s="115"/>
      <c r="AA131" s="113">
        <f>PRODUCT(AA130:AJ130)</f>
        <v>43.71271038606632</v>
      </c>
      <c r="AB131" s="113">
        <f>PRODUCT(AB130:AJ130)</f>
        <v>6.9822240596628475</v>
      </c>
      <c r="AC131" s="113">
        <f>PRODUCT(AC130:AJ130)</f>
        <v>2.5346602588656202</v>
      </c>
      <c r="AD131" s="113">
        <f>PRODUCT(AD130:AJ130)</f>
        <v>1.5881411116912678</v>
      </c>
      <c r="AE131" s="113">
        <f>PRODUCT(AE130:AJ130)</f>
        <v>1.2806815357317158</v>
      </c>
      <c r="AF131" s="113">
        <f>PRODUCT(AF130:AJ130)</f>
        <v>1.1592276138148263</v>
      </c>
      <c r="AG131" s="113">
        <f>PRODUCT(AG130:AJ130)</f>
        <v>1.09245098026331</v>
      </c>
      <c r="AH131" s="113">
        <f>PRODUCT(AH130:AJ130)</f>
        <v>1.0568353185723502</v>
      </c>
      <c r="AI131" s="113">
        <f>PRODUCT(AI130:AJ130)</f>
        <v>1.0273114537765065</v>
      </c>
      <c r="AJ131" s="114">
        <f>PRODUCT(AJ130:AJ130)</f>
        <v>1</v>
      </c>
      <c r="AK131" s="111" t="s">
        <v>39</v>
      </c>
      <c r="AL131" s="115"/>
      <c r="AM131" s="113">
        <f>PRODUCT(AM130:AV130)</f>
        <v>1.8429297778984146</v>
      </c>
      <c r="AN131" s="113">
        <f>PRODUCT(AN130:AV130)</f>
        <v>1.2388392398488419</v>
      </c>
      <c r="AO131" s="113">
        <f>PRODUCT(AO130:AV130)</f>
        <v>1.0967173096885163</v>
      </c>
      <c r="AP131" s="113">
        <f>PRODUCT(AP130:AV130)</f>
        <v>1.0402664506339656</v>
      </c>
      <c r="AQ131" s="113">
        <f>PRODUCT(AQ130:AV130)</f>
        <v>1.00325831534902</v>
      </c>
      <c r="AR131" s="113">
        <f>PRODUCT(AR130:AV130)</f>
        <v>1.0009593682490527</v>
      </c>
      <c r="AS131" s="113">
        <f>PRODUCT(AS130:AV130)</f>
        <v>1.0004543111302779</v>
      </c>
      <c r="AT131" s="113">
        <f>PRODUCT(AT130:AV130)</f>
        <v>1</v>
      </c>
      <c r="AU131" s="113">
        <f>PRODUCT(AU130:AV130)</f>
        <v>1</v>
      </c>
      <c r="AV131" s="114">
        <f>PRODUCT(AV130:AV130)</f>
        <v>1</v>
      </c>
      <c r="AW131" s="111" t="s">
        <v>39</v>
      </c>
      <c r="AX131" s="115"/>
      <c r="AY131" s="113">
        <f>PRODUCT(AY130:BH130)</f>
        <v>2.0648272310450553</v>
      </c>
      <c r="AZ131" s="113">
        <f>PRODUCT(AZ130:BH130)</f>
        <v>1.3619554521467532</v>
      </c>
      <c r="BA131" s="113">
        <f>PRODUCT(BA130:BH130)</f>
        <v>1.1346191656327993</v>
      </c>
      <c r="BB131" s="113">
        <f>PRODUCT(BB130:BH130)</f>
        <v>1.0481494295851235</v>
      </c>
      <c r="BC131" s="113">
        <f>PRODUCT(BC130:BH130)</f>
        <v>1.0121943733097356</v>
      </c>
      <c r="BD131" s="113">
        <f>PRODUCT(BD130:BH130)</f>
        <v>1.002766727199194</v>
      </c>
      <c r="BE131" s="113">
        <f>PRODUCT(BE130:BH130)</f>
        <v>1.0013883790348721</v>
      </c>
      <c r="BF131" s="113">
        <f>PRODUCT(BF130:BH130)</f>
        <v>1.0011211869220731</v>
      </c>
      <c r="BG131" s="113">
        <f>PRODUCT(BG130:BH130)</f>
        <v>1.0011211869220731</v>
      </c>
      <c r="BH131" s="114">
        <f>PRODUCT(BH130:BH130)</f>
        <v>1</v>
      </c>
      <c r="BI131" s="111" t="s">
        <v>39</v>
      </c>
      <c r="BJ131" s="115"/>
      <c r="BK131" s="113">
        <f>PRODUCT(BK130:BT130)</f>
        <v>1.088561753876105</v>
      </c>
      <c r="BL131" s="113">
        <f>PRODUCT(BL130:BT130)</f>
        <v>1.0138481712558727</v>
      </c>
      <c r="BM131" s="113">
        <f>PRODUCT(BM130:BT130)</f>
        <v>1.0025933832470708</v>
      </c>
      <c r="BN131" s="113">
        <f>PRODUCT(BN130:BT130)</f>
        <v>1</v>
      </c>
      <c r="BO131" s="113">
        <f>PRODUCT(BO130:BT130)</f>
        <v>1</v>
      </c>
      <c r="BP131" s="113">
        <f>PRODUCT(BP130:BT130)</f>
        <v>1</v>
      </c>
      <c r="BQ131" s="113">
        <f>PRODUCT(BQ130:BT130)</f>
        <v>1</v>
      </c>
      <c r="BR131" s="113">
        <f>PRODUCT(BR130:BT130)</f>
        <v>1</v>
      </c>
      <c r="BS131" s="113">
        <f>PRODUCT(BS130:BT130)</f>
        <v>1</v>
      </c>
      <c r="BT131" s="114">
        <f>PRODUCT(BT130:BT130)</f>
        <v>1</v>
      </c>
      <c r="BU131" s="111" t="s">
        <v>39</v>
      </c>
      <c r="BV131" s="115"/>
      <c r="BW131" s="113">
        <f>PRODUCT(BW130:CF130)</f>
        <v>8.1687759109753288E-2</v>
      </c>
      <c r="BX131" s="113">
        <f>PRODUCT(BX130:CF130)</f>
        <v>1</v>
      </c>
      <c r="BY131" s="113">
        <f>PRODUCT(BY130:CF130)</f>
        <v>1</v>
      </c>
      <c r="BZ131" s="113">
        <f>PRODUCT(BZ130:CF130)</f>
        <v>1</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v>
      </c>
      <c r="CJ131" s="113">
        <f>PRODUCT(CJ130:CR130)</f>
        <v>1</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106779221.50859842</v>
      </c>
      <c r="D132" s="99">
        <f>D131*D114</f>
        <v>103434621.23711169</v>
      </c>
      <c r="E132" s="99">
        <f>E131*E113</f>
        <v>133897271.28245068</v>
      </c>
      <c r="F132" s="99">
        <f>F131*F112</f>
        <v>147243770.80320016</v>
      </c>
      <c r="G132" s="99">
        <f>G131*G111</f>
        <v>141906258.20752499</v>
      </c>
      <c r="H132" s="99">
        <f>H131*H110</f>
        <v>144295625.69890532</v>
      </c>
      <c r="I132" s="99">
        <f>I131*I109</f>
        <v>124204423.81849493</v>
      </c>
      <c r="J132" s="99">
        <f>J131*J108</f>
        <v>100082791.07420163</v>
      </c>
      <c r="K132" s="99">
        <f>K131*K107</f>
        <v>94326751.416834891</v>
      </c>
      <c r="L132" s="99">
        <f>L131*L106</f>
        <v>92624109.800000042</v>
      </c>
      <c r="M132" s="95" t="s">
        <v>41</v>
      </c>
      <c r="N132" s="106"/>
      <c r="O132" s="99">
        <f>O131*O115</f>
        <v>298181.77937177388</v>
      </c>
      <c r="P132" s="99">
        <f>P131*P114</f>
        <v>106268.05492371977</v>
      </c>
      <c r="Q132" s="99">
        <f>Q131*Q113</f>
        <v>337355.45443909656</v>
      </c>
      <c r="R132" s="99">
        <f>R131*R112</f>
        <v>392840.53060259199</v>
      </c>
      <c r="S132" s="99">
        <f>S131*S111</f>
        <v>359044.16130897118</v>
      </c>
      <c r="T132" s="99">
        <f>T131*T110</f>
        <v>474447.90066192712</v>
      </c>
      <c r="U132" s="99">
        <f>U131*U109</f>
        <v>272015.6937749256</v>
      </c>
      <c r="V132" s="99">
        <f>V131*V108</f>
        <v>487543.64488744555</v>
      </c>
      <c r="W132" s="99">
        <f>W131*W107</f>
        <v>897176.11474016379</v>
      </c>
      <c r="X132" s="99">
        <f>X131*X106</f>
        <v>875338.14999999967</v>
      </c>
      <c r="Y132" s="95" t="s">
        <v>41</v>
      </c>
      <c r="Z132" s="106"/>
      <c r="AA132" s="99">
        <f>AA131*AA115</f>
        <v>20450114.24002368</v>
      </c>
      <c r="AB132" s="99">
        <f>AB131*AB114</f>
        <v>21241532.059606031</v>
      </c>
      <c r="AC132" s="99">
        <f>AC131*AC113</f>
        <v>23384302.70742292</v>
      </c>
      <c r="AD132" s="99">
        <f>AD131*AD112</f>
        <v>23712941.2010401</v>
      </c>
      <c r="AE132" s="99">
        <f>AE131*AE111</f>
        <v>23045450.383253958</v>
      </c>
      <c r="AF132" s="99">
        <f>AF131*AF110</f>
        <v>20115492.218819864</v>
      </c>
      <c r="AG132" s="99">
        <f>AG131*AG109</f>
        <v>17397550.701954942</v>
      </c>
      <c r="AH132" s="99">
        <f>AH131*AH108</f>
        <v>15276588.750290941</v>
      </c>
      <c r="AI132" s="99">
        <f>AI131*AI107</f>
        <v>13850685.64472229</v>
      </c>
      <c r="AJ132" s="99">
        <f>AJ131*AJ106</f>
        <v>13162226.329999996</v>
      </c>
      <c r="AK132" s="95" t="s">
        <v>41</v>
      </c>
      <c r="AL132" s="106"/>
      <c r="AM132" s="99">
        <f>AM131*AM115</f>
        <v>1998910.3415307403</v>
      </c>
      <c r="AN132" s="99">
        <f>AN131*AN114</f>
        <v>2187498.3013785006</v>
      </c>
      <c r="AO132" s="99">
        <f>AO131*AO113</f>
        <v>3006703.8378738374</v>
      </c>
      <c r="AP132" s="99">
        <f>AP131*AP112</f>
        <v>1466989.4389415034</v>
      </c>
      <c r="AQ132" s="99">
        <f>AQ131*AQ111</f>
        <v>1192143.8752548252</v>
      </c>
      <c r="AR132" s="99">
        <f>AR131*AR110</f>
        <v>1307446.8407820796</v>
      </c>
      <c r="AS132" s="99">
        <f>AS131*AS109</f>
        <v>1012895.8208798908</v>
      </c>
      <c r="AT132" s="99">
        <f>AT131*AT108</f>
        <v>939414.26999999979</v>
      </c>
      <c r="AU132" s="99">
        <f>AU131*AU107</f>
        <v>1139872.6800000004</v>
      </c>
      <c r="AV132" s="99">
        <f>AV131*AV106</f>
        <v>1470069.7400000005</v>
      </c>
      <c r="AW132" s="95" t="s">
        <v>41</v>
      </c>
      <c r="AX132" s="106"/>
      <c r="AY132" s="99">
        <f>AY131*AY115</f>
        <v>3128515.1327744373</v>
      </c>
      <c r="AZ132" s="99">
        <f>AZ131*AZ114</f>
        <v>3069241.9547883202</v>
      </c>
      <c r="BA132" s="99">
        <f>BA131*BA113</f>
        <v>3893468.6088684793</v>
      </c>
      <c r="BB132" s="99">
        <f>BB131*BB112</f>
        <v>2726608.9899912844</v>
      </c>
      <c r="BC132" s="99">
        <f>BC131*BC111</f>
        <v>1331993.8351935709</v>
      </c>
      <c r="BD132" s="99">
        <f>BD131*BD110</f>
        <v>1257783.4822807447</v>
      </c>
      <c r="BE132" s="99">
        <f>BE131*BE109</f>
        <v>967816.65337781992</v>
      </c>
      <c r="BF132" s="99">
        <f>BF131*BF108</f>
        <v>1118927.9624137382</v>
      </c>
      <c r="BG132" s="99">
        <f>BG131*BG107</f>
        <v>1092469.8511475916</v>
      </c>
      <c r="BH132" s="99">
        <f>BH131*BH106</f>
        <v>914788.2799999998</v>
      </c>
      <c r="BI132" s="95" t="s">
        <v>41</v>
      </c>
      <c r="BJ132" s="106"/>
      <c r="BK132" s="99">
        <f>BK131*BK115</f>
        <v>14357.781193864585</v>
      </c>
      <c r="BL132" s="99">
        <f>BL131*BL114</f>
        <v>13598.93815220756</v>
      </c>
      <c r="BM132" s="99">
        <f>BM131*BM113</f>
        <v>58150.8473434849</v>
      </c>
      <c r="BN132" s="99">
        <f>BN131*BN112</f>
        <v>30570.73</v>
      </c>
      <c r="BO132" s="99">
        <f>BO131*BO111</f>
        <v>31847.530000000006</v>
      </c>
      <c r="BP132" s="99">
        <f>BP131*BP110</f>
        <v>16807</v>
      </c>
      <c r="BQ132" s="99">
        <f>BQ131*BQ109</f>
        <v>7428.4</v>
      </c>
      <c r="BR132" s="99">
        <f>BR131*BR108</f>
        <v>19317</v>
      </c>
      <c r="BS132" s="99">
        <f>BS131*BS107</f>
        <v>10137.710000000001</v>
      </c>
      <c r="BT132" s="99">
        <f>BT131*BT106</f>
        <v>31949.77</v>
      </c>
      <c r="BU132" s="95" t="s">
        <v>41</v>
      </c>
      <c r="BV132" s="106"/>
      <c r="BW132" s="99">
        <f>BW131*BW115</f>
        <v>0</v>
      </c>
      <c r="BX132" s="99">
        <f>BX131*BX114</f>
        <v>35</v>
      </c>
      <c r="BY132" s="99">
        <f>BY131*BY113</f>
        <v>24.9</v>
      </c>
      <c r="BZ132" s="99">
        <f>BZ131*BZ112</f>
        <v>-1.1368683772161603E-13</v>
      </c>
      <c r="CA132" s="99">
        <f>CA131*CA111</f>
        <v>7982</v>
      </c>
      <c r="CB132" s="99">
        <f>CB131*CB110</f>
        <v>0</v>
      </c>
      <c r="CC132" s="99">
        <f>CC131*CC109</f>
        <v>0</v>
      </c>
      <c r="CD132" s="99">
        <f>CD131*CD108</f>
        <v>10195.769999999999</v>
      </c>
      <c r="CE132" s="99">
        <f>CE131*CE107</f>
        <v>510.54999999999995</v>
      </c>
      <c r="CF132" s="99">
        <f>CF131*CF106</f>
        <v>4507.5200000000004</v>
      </c>
      <c r="CG132" s="95" t="s">
        <v>41</v>
      </c>
      <c r="CH132" s="106"/>
      <c r="CI132" s="99">
        <f>CI131*CI115</f>
        <v>0</v>
      </c>
      <c r="CJ132" s="99">
        <f>CJ131*CJ114</f>
        <v>0</v>
      </c>
      <c r="CK132" s="99">
        <f>CK131*CK113</f>
        <v>0</v>
      </c>
      <c r="CL132" s="99">
        <f>CL131*CL112</f>
        <v>0</v>
      </c>
      <c r="CM132" s="99">
        <f>CM131*CM111</f>
        <v>0</v>
      </c>
      <c r="CN132" s="99">
        <f>CN131*CN110</f>
        <v>0</v>
      </c>
      <c r="CO132" s="99">
        <f>CO131*CO109</f>
        <v>0</v>
      </c>
      <c r="CP132" s="99">
        <f>CP131*CP108</f>
        <v>0</v>
      </c>
      <c r="CQ132" s="99">
        <f>CQ131*CQ107</f>
        <v>0</v>
      </c>
      <c r="CR132" s="99">
        <f>CR131*CR106</f>
        <v>0</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Mutual Automobile Insurance Company</v>
      </c>
      <c r="B133" s="68"/>
      <c r="C133" s="40"/>
      <c r="D133" s="18"/>
      <c r="E133" s="18"/>
      <c r="F133" s="18"/>
      <c r="G133" s="18"/>
      <c r="H133" s="18"/>
      <c r="I133" s="18"/>
      <c r="J133" s="18"/>
      <c r="K133" s="18"/>
      <c r="L133" s="18"/>
      <c r="M133" s="137" t="str">
        <f>Co_Name</f>
        <v>State Farm Mutual Automobile Insurance Company</v>
      </c>
      <c r="N133" s="68"/>
      <c r="O133" s="40"/>
      <c r="P133" s="18"/>
      <c r="Q133" s="18"/>
      <c r="R133" s="18"/>
      <c r="S133" s="18"/>
      <c r="T133" s="18"/>
      <c r="U133" s="18"/>
      <c r="V133" s="18"/>
      <c r="W133" s="18"/>
      <c r="X133" s="18"/>
      <c r="Y133" s="137" t="str">
        <f>Co_Name</f>
        <v>State Farm Mutual Automobile Insurance Company</v>
      </c>
      <c r="Z133" s="68"/>
      <c r="AA133" s="40"/>
      <c r="AB133" s="18"/>
      <c r="AC133" s="18"/>
      <c r="AD133" s="18"/>
      <c r="AE133" s="18"/>
      <c r="AF133" s="18"/>
      <c r="AG133" s="18"/>
      <c r="AH133" s="18"/>
      <c r="AI133" s="18"/>
      <c r="AJ133" s="18"/>
      <c r="AK133" s="137" t="str">
        <f>Co_Name</f>
        <v>State Farm Mutual Automobile Insurance Company</v>
      </c>
      <c r="AL133" s="68"/>
      <c r="AM133" s="40"/>
      <c r="AN133" s="18"/>
      <c r="AO133" s="18"/>
      <c r="AP133" s="18"/>
      <c r="AQ133" s="18"/>
      <c r="AR133" s="18"/>
      <c r="AS133" s="18"/>
      <c r="AT133" s="18"/>
      <c r="AU133" s="18"/>
      <c r="AV133" s="18"/>
      <c r="AW133" s="137" t="str">
        <f>Co_Name</f>
        <v>State Farm Mutual Automobile Insurance Company</v>
      </c>
      <c r="AX133" s="68"/>
      <c r="AY133" s="40"/>
      <c r="AZ133" s="18"/>
      <c r="BA133" s="18"/>
      <c r="BB133" s="18"/>
      <c r="BC133" s="18"/>
      <c r="BD133" s="18"/>
      <c r="BE133" s="18"/>
      <c r="BF133" s="18"/>
      <c r="BG133" s="18"/>
      <c r="BH133" s="18"/>
      <c r="BI133" s="137" t="str">
        <f>Co_Name</f>
        <v>State Farm Mutual Automobile Insurance Company</v>
      </c>
      <c r="BJ133" s="68"/>
      <c r="BK133" s="40"/>
      <c r="BL133" s="18"/>
      <c r="BM133" s="18"/>
      <c r="BN133" s="18"/>
      <c r="BO133" s="18"/>
      <c r="BP133" s="18"/>
      <c r="BQ133" s="18"/>
      <c r="BR133" s="18"/>
      <c r="BS133" s="18"/>
      <c r="BT133" s="18"/>
      <c r="BU133" s="137" t="str">
        <f>Co_Name</f>
        <v>State Farm Mutual Automobile Insurance Company</v>
      </c>
      <c r="BV133" s="68"/>
      <c r="BW133" s="40"/>
      <c r="BX133" s="18"/>
      <c r="BY133" s="18"/>
      <c r="BZ133" s="18"/>
      <c r="CA133" s="18"/>
      <c r="CB133" s="18"/>
      <c r="CC133" s="18"/>
      <c r="CD133" s="18"/>
      <c r="CE133" s="18"/>
      <c r="CF133" s="18"/>
      <c r="CG133" s="137" t="str">
        <f>Co_Name</f>
        <v>State Farm Mutual Automobile Insurance Company</v>
      </c>
      <c r="CH133" s="68"/>
      <c r="CI133" s="40"/>
      <c r="CJ133" s="18"/>
      <c r="CK133" s="18"/>
      <c r="CL133" s="18"/>
      <c r="CM133" s="18"/>
      <c r="CN133" s="18"/>
      <c r="CO133" s="18"/>
      <c r="CP133" s="18"/>
      <c r="CQ133" s="18"/>
      <c r="CR133" s="18"/>
      <c r="CS133" s="137" t="str">
        <f>Co_Name</f>
        <v>State Farm Mutual Automobile Insurance Company</v>
      </c>
      <c r="CT133" s="68"/>
      <c r="CU133" s="40"/>
      <c r="CV133" s="18"/>
      <c r="CW133" s="18"/>
      <c r="CX133" s="18"/>
      <c r="CY133" s="18"/>
      <c r="CZ133" s="18"/>
      <c r="DA133" s="18"/>
      <c r="DB133" s="18"/>
      <c r="DC133" s="18"/>
      <c r="DD133" s="18"/>
      <c r="DE133" s="137" t="str">
        <f>Co_Name</f>
        <v>State Farm Mutual Automobile Insurance Company</v>
      </c>
      <c r="DF133" s="68"/>
      <c r="DG133" s="40"/>
      <c r="DH133" s="18"/>
      <c r="DI133" s="18"/>
      <c r="DJ133" s="18"/>
      <c r="DK133" s="18"/>
      <c r="DL133" s="18"/>
      <c r="DM133" s="18"/>
      <c r="DN133" s="18"/>
      <c r="DO133" s="18"/>
      <c r="DP133" s="18"/>
    </row>
    <row r="134" spans="1:120" ht="21" x14ac:dyDescent="0.35">
      <c r="A134" s="137" t="str">
        <f>A$2</f>
        <v>Private Passenger Auto Liability</v>
      </c>
      <c r="B134" s="68"/>
      <c r="C134" s="40"/>
      <c r="D134" s="18"/>
      <c r="E134" s="18"/>
      <c r="F134" s="18"/>
      <c r="G134" s="18"/>
      <c r="H134" s="18"/>
      <c r="I134" s="18"/>
      <c r="J134" s="18"/>
      <c r="K134" s="18"/>
      <c r="L134" s="18"/>
      <c r="M134" s="137" t="str">
        <f>M$2</f>
        <v>Private Passenger Auto Liability</v>
      </c>
      <c r="N134" s="68"/>
      <c r="O134" s="40"/>
      <c r="P134" s="18"/>
      <c r="Q134" s="18"/>
      <c r="R134" s="18"/>
      <c r="S134" s="18"/>
      <c r="T134" s="18"/>
      <c r="U134" s="18"/>
      <c r="V134" s="18"/>
      <c r="W134" s="18"/>
      <c r="X134" s="18"/>
      <c r="Y134" s="137" t="str">
        <f>Y$2</f>
        <v>Private Passenger Auto Liability</v>
      </c>
      <c r="Z134" s="68"/>
      <c r="AA134" s="40"/>
      <c r="AB134" s="18"/>
      <c r="AC134" s="18"/>
      <c r="AD134" s="18"/>
      <c r="AE134" s="18"/>
      <c r="AF134" s="18"/>
      <c r="AG134" s="18"/>
      <c r="AH134" s="18"/>
      <c r="AI134" s="18"/>
      <c r="AJ134" s="18"/>
      <c r="AK134" s="137" t="str">
        <f>AK$2</f>
        <v>Private Passenger Auto Liability</v>
      </c>
      <c r="AL134" s="68"/>
      <c r="AM134" s="40"/>
      <c r="AN134" s="18"/>
      <c r="AO134" s="18"/>
      <c r="AP134" s="18"/>
      <c r="AQ134" s="18"/>
      <c r="AR134" s="18"/>
      <c r="AS134" s="18"/>
      <c r="AT134" s="18"/>
      <c r="AU134" s="18"/>
      <c r="AV134" s="18"/>
      <c r="AW134" s="137" t="str">
        <f>AW$2</f>
        <v>Private Passenger Auto Physical Damage</v>
      </c>
      <c r="AX134" s="68"/>
      <c r="AY134" s="40"/>
      <c r="AZ134" s="18"/>
      <c r="BA134" s="18"/>
      <c r="BB134" s="18"/>
      <c r="BC134" s="18"/>
      <c r="BD134" s="18"/>
      <c r="BE134" s="18"/>
      <c r="BF134" s="18"/>
      <c r="BG134" s="18"/>
      <c r="BH134" s="18"/>
      <c r="BI134" s="137" t="str">
        <f>BI$2</f>
        <v>Private Passenger Auto Physical Damage</v>
      </c>
      <c r="BJ134" s="68"/>
      <c r="BK134" s="40"/>
      <c r="BL134" s="18"/>
      <c r="BM134" s="18"/>
      <c r="BN134" s="18"/>
      <c r="BO134" s="18"/>
      <c r="BP134" s="18"/>
      <c r="BQ134" s="18"/>
      <c r="BR134" s="18"/>
      <c r="BS134" s="18"/>
      <c r="BT134" s="18"/>
      <c r="BU134" s="137" t="str">
        <f>BU$2</f>
        <v>Private Passenger Auto Physical Damage</v>
      </c>
      <c r="BV134" s="68"/>
      <c r="BW134" s="40"/>
      <c r="BX134" s="18"/>
      <c r="BY134" s="18"/>
      <c r="BZ134" s="18"/>
      <c r="CA134" s="18"/>
      <c r="CB134" s="18"/>
      <c r="CC134" s="18"/>
      <c r="CD134" s="18"/>
      <c r="CE134" s="18"/>
      <c r="CF134" s="18"/>
      <c r="CG134" s="137" t="str">
        <f>CG$2</f>
        <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201</v>
      </c>
      <c r="B136" s="48"/>
      <c r="C136" s="18"/>
      <c r="D136" s="18"/>
      <c r="E136" s="18"/>
      <c r="F136" s="18"/>
      <c r="G136" s="18"/>
      <c r="H136" s="18"/>
      <c r="I136" s="18"/>
      <c r="J136" s="18"/>
      <c r="K136" s="18"/>
      <c r="L136" s="18"/>
      <c r="M136" s="48" t="s">
        <v>201</v>
      </c>
      <c r="N136" s="48"/>
      <c r="O136" s="18"/>
      <c r="P136" s="18"/>
      <c r="Q136" s="18"/>
      <c r="R136" s="18"/>
      <c r="S136" s="18"/>
      <c r="T136" s="18"/>
      <c r="U136" s="18"/>
      <c r="V136" s="18"/>
      <c r="W136" s="18"/>
      <c r="X136" s="18"/>
      <c r="Y136" s="48" t="s">
        <v>201</v>
      </c>
      <c r="Z136" s="48"/>
      <c r="AA136" s="18"/>
      <c r="AB136" s="18"/>
      <c r="AC136" s="18"/>
      <c r="AD136" s="18"/>
      <c r="AE136" s="18"/>
      <c r="AF136" s="18"/>
      <c r="AG136" s="18"/>
      <c r="AH136" s="18"/>
      <c r="AI136" s="18"/>
      <c r="AJ136" s="18"/>
      <c r="AK136" s="48" t="s">
        <v>201</v>
      </c>
      <c r="AL136" s="48"/>
      <c r="AM136" s="18"/>
      <c r="AN136" s="18"/>
      <c r="AO136" s="18"/>
      <c r="AP136" s="18"/>
      <c r="AQ136" s="18"/>
      <c r="AR136" s="18"/>
      <c r="AS136" s="18"/>
      <c r="AT136" s="18"/>
      <c r="AU136" s="18"/>
      <c r="AV136" s="18"/>
      <c r="AW136" s="48" t="s">
        <v>201</v>
      </c>
      <c r="AX136" s="48"/>
      <c r="AY136" s="18"/>
      <c r="AZ136" s="18"/>
      <c r="BA136" s="18"/>
      <c r="BB136" s="18"/>
      <c r="BC136" s="18"/>
      <c r="BD136" s="18"/>
      <c r="BE136" s="18"/>
      <c r="BF136" s="18"/>
      <c r="BG136" s="18"/>
      <c r="BH136" s="18"/>
      <c r="BI136" s="48" t="s">
        <v>201</v>
      </c>
      <c r="BJ136" s="48"/>
      <c r="BK136" s="18"/>
      <c r="BL136" s="18"/>
      <c r="BM136" s="18"/>
      <c r="BN136" s="18"/>
      <c r="BO136" s="18"/>
      <c r="BP136" s="18"/>
      <c r="BQ136" s="18"/>
      <c r="BR136" s="18"/>
      <c r="BS136" s="18"/>
      <c r="BT136" s="18"/>
      <c r="BU136" s="48" t="s">
        <v>201</v>
      </c>
      <c r="BV136" s="48"/>
      <c r="BW136" s="18"/>
      <c r="BX136" s="18"/>
      <c r="BY136" s="18"/>
      <c r="BZ136" s="18"/>
      <c r="CA136" s="18"/>
      <c r="CB136" s="18"/>
      <c r="CC136" s="18"/>
      <c r="CD136" s="18"/>
      <c r="CE136" s="18"/>
      <c r="CF136" s="18"/>
      <c r="CG136" s="48" t="s">
        <v>201</v>
      </c>
      <c r="CH136" s="48"/>
      <c r="CI136" s="18"/>
      <c r="CJ136" s="18"/>
      <c r="CK136" s="18"/>
      <c r="CL136" s="18"/>
      <c r="CM136" s="18"/>
      <c r="CN136" s="18"/>
      <c r="CO136" s="18"/>
      <c r="CP136" s="18"/>
      <c r="CQ136" s="18"/>
      <c r="CR136" s="18"/>
      <c r="CS136" s="48" t="s">
        <v>201</v>
      </c>
      <c r="CT136" s="48"/>
      <c r="CU136" s="18"/>
      <c r="CV136" s="18"/>
      <c r="CW136" s="18"/>
      <c r="CX136" s="18"/>
      <c r="CY136" s="18"/>
      <c r="CZ136" s="18"/>
      <c r="DA136" s="18"/>
      <c r="DB136" s="18"/>
      <c r="DC136" s="18"/>
      <c r="DD136" s="18"/>
      <c r="DE136" s="48" t="s">
        <v>201</v>
      </c>
      <c r="DF136" s="48"/>
      <c r="DG136" s="18"/>
      <c r="DH136" s="18"/>
      <c r="DI136" s="18"/>
      <c r="DJ136" s="18"/>
      <c r="DK136" s="18"/>
      <c r="DL136" s="18"/>
      <c r="DM136" s="18"/>
      <c r="DN136" s="18"/>
      <c r="DO136" s="18"/>
      <c r="DP136" s="18"/>
    </row>
    <row r="137" spans="1:120" x14ac:dyDescent="0.25">
      <c r="A137" s="138" t="str">
        <f>A$5</f>
        <v>BIPD</v>
      </c>
      <c r="B137" s="69"/>
      <c r="C137" s="18"/>
      <c r="D137" s="18"/>
      <c r="E137" s="18"/>
      <c r="F137" s="18"/>
      <c r="G137" s="18"/>
      <c r="H137" s="18"/>
      <c r="I137" s="18"/>
      <c r="J137" s="18"/>
      <c r="K137" s="18"/>
      <c r="L137" s="18"/>
      <c r="M137" s="138" t="str">
        <f>M$5</f>
        <v>MPC</v>
      </c>
      <c r="N137" s="69"/>
      <c r="O137" s="18"/>
      <c r="P137" s="18"/>
      <c r="Q137" s="18"/>
      <c r="R137" s="18"/>
      <c r="S137" s="18"/>
      <c r="T137" s="18"/>
      <c r="U137" s="18"/>
      <c r="V137" s="18"/>
      <c r="W137" s="18"/>
      <c r="X137" s="18"/>
      <c r="Y137" s="138" t="str">
        <f>Y$5</f>
        <v>UM</v>
      </c>
      <c r="Z137" s="69"/>
      <c r="AA137" s="18"/>
      <c r="AB137" s="18"/>
      <c r="AC137" s="18"/>
      <c r="AD137" s="18"/>
      <c r="AE137" s="18"/>
      <c r="AF137" s="18"/>
      <c r="AG137" s="18"/>
      <c r="AH137" s="18"/>
      <c r="AI137" s="18"/>
      <c r="AJ137" s="18"/>
      <c r="AK137" s="138" t="str">
        <f>AK$5</f>
        <v>COMP</v>
      </c>
      <c r="AL137" s="69"/>
      <c r="AM137" s="18"/>
      <c r="AN137" s="18"/>
      <c r="AO137" s="18"/>
      <c r="AP137" s="18"/>
      <c r="AQ137" s="18"/>
      <c r="AR137" s="18"/>
      <c r="AS137" s="18"/>
      <c r="AT137" s="18"/>
      <c r="AU137" s="18"/>
      <c r="AV137" s="18"/>
      <c r="AW137" s="138" t="str">
        <f>AW$5</f>
        <v>COLL</v>
      </c>
      <c r="AX137" s="69"/>
      <c r="AY137" s="18"/>
      <c r="AZ137" s="18"/>
      <c r="BA137" s="18"/>
      <c r="BB137" s="18"/>
      <c r="BC137" s="18"/>
      <c r="BD137" s="18"/>
      <c r="BE137" s="18"/>
      <c r="BF137" s="18"/>
      <c r="BG137" s="18"/>
      <c r="BH137" s="18"/>
      <c r="BI137" s="138" t="str">
        <f>BI$5</f>
        <v>Misc. Damage</v>
      </c>
      <c r="BJ137" s="69"/>
      <c r="BK137" s="18"/>
      <c r="BL137" s="18"/>
      <c r="BM137" s="18"/>
      <c r="BN137" s="18"/>
      <c r="BO137" s="18"/>
      <c r="BP137" s="18"/>
      <c r="BQ137" s="18"/>
      <c r="BR137" s="18"/>
      <c r="BS137" s="18"/>
      <c r="BT137" s="18"/>
      <c r="BU137" s="138" t="str">
        <f>BU$5</f>
        <v>Misc. Liability</v>
      </c>
      <c r="BV137" s="69"/>
      <c r="BW137" s="18"/>
      <c r="BX137" s="18"/>
      <c r="BY137" s="18"/>
      <c r="BZ137" s="18"/>
      <c r="CA137" s="18"/>
      <c r="CB137" s="18"/>
      <c r="CC137" s="18"/>
      <c r="CD137" s="18"/>
      <c r="CE137" s="18"/>
      <c r="CF137" s="18"/>
      <c r="CG137" s="138">
        <f>CG$5</f>
        <v>0</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ht="30" x14ac:dyDescent="0.25">
      <c r="A140" s="92" t="str">
        <f>$A$35</f>
        <v>Fiscal Accident Year Data Ending</v>
      </c>
      <c r="B140" s="98">
        <f>$B$35</f>
        <v>3</v>
      </c>
      <c r="C140" s="98" t="str">
        <f>$C$35</f>
        <v>15</v>
      </c>
      <c r="D140" s="98">
        <f>$D$35</f>
        <v>27</v>
      </c>
      <c r="E140" s="98">
        <f>$E$35</f>
        <v>39</v>
      </c>
      <c r="F140" s="98">
        <f>$F$35</f>
        <v>51</v>
      </c>
      <c r="G140" s="98">
        <f>$G$35</f>
        <v>63</v>
      </c>
      <c r="H140" s="98">
        <f>$H$35</f>
        <v>75</v>
      </c>
      <c r="I140" s="98">
        <f>$I$35</f>
        <v>87</v>
      </c>
      <c r="J140" s="98">
        <f>$J$35</f>
        <v>99</v>
      </c>
      <c r="K140" s="98">
        <f>$K$35</f>
        <v>111</v>
      </c>
      <c r="L140" s="98">
        <f>$L$35</f>
        <v>123</v>
      </c>
      <c r="M140" s="92" t="str">
        <f>$A$35</f>
        <v>Fiscal Accident Year Data Ending</v>
      </c>
      <c r="N140" s="98">
        <f>$B$35</f>
        <v>3</v>
      </c>
      <c r="O140" s="98" t="str">
        <f>$C$35</f>
        <v>15</v>
      </c>
      <c r="P140" s="98">
        <f>$D$35</f>
        <v>27</v>
      </c>
      <c r="Q140" s="98">
        <f>$E$35</f>
        <v>39</v>
      </c>
      <c r="R140" s="98">
        <f>$F$35</f>
        <v>51</v>
      </c>
      <c r="S140" s="98">
        <f>$G$35</f>
        <v>63</v>
      </c>
      <c r="T140" s="98">
        <f>$H$35</f>
        <v>75</v>
      </c>
      <c r="U140" s="98">
        <f>$I$35</f>
        <v>87</v>
      </c>
      <c r="V140" s="98">
        <f>$J$35</f>
        <v>99</v>
      </c>
      <c r="W140" s="98">
        <f>$K$35</f>
        <v>111</v>
      </c>
      <c r="X140" s="98">
        <f>$L$35</f>
        <v>123</v>
      </c>
      <c r="Y140" s="92" t="str">
        <f>$A$35</f>
        <v>Fiscal Accident Year Data Ending</v>
      </c>
      <c r="Z140" s="98">
        <f>$B$35</f>
        <v>3</v>
      </c>
      <c r="AA140" s="98" t="str">
        <f>$C$35</f>
        <v>15</v>
      </c>
      <c r="AB140" s="98">
        <f>$D$35</f>
        <v>27</v>
      </c>
      <c r="AC140" s="98">
        <f>$E$35</f>
        <v>39</v>
      </c>
      <c r="AD140" s="98">
        <f>$F$35</f>
        <v>51</v>
      </c>
      <c r="AE140" s="98">
        <f>$G$35</f>
        <v>63</v>
      </c>
      <c r="AF140" s="98">
        <f>$H$35</f>
        <v>75</v>
      </c>
      <c r="AG140" s="98">
        <f>$I$35</f>
        <v>87</v>
      </c>
      <c r="AH140" s="98">
        <f>$J$35</f>
        <v>99</v>
      </c>
      <c r="AI140" s="98">
        <f>$K$35</f>
        <v>111</v>
      </c>
      <c r="AJ140" s="98">
        <f>$L$35</f>
        <v>123</v>
      </c>
      <c r="AK140" s="92" t="str">
        <f>$A$35</f>
        <v>Fiscal Accident Year Data Ending</v>
      </c>
      <c r="AL140" s="98">
        <f>$B$35</f>
        <v>3</v>
      </c>
      <c r="AM140" s="98" t="str">
        <f>$C$35</f>
        <v>15</v>
      </c>
      <c r="AN140" s="98">
        <f>$D$35</f>
        <v>27</v>
      </c>
      <c r="AO140" s="98">
        <f>$E$35</f>
        <v>39</v>
      </c>
      <c r="AP140" s="98">
        <f>$F$35</f>
        <v>51</v>
      </c>
      <c r="AQ140" s="98">
        <f>$G$35</f>
        <v>63</v>
      </c>
      <c r="AR140" s="98">
        <f>$H$35</f>
        <v>75</v>
      </c>
      <c r="AS140" s="98">
        <f>$I$35</f>
        <v>87</v>
      </c>
      <c r="AT140" s="98">
        <f>$J$35</f>
        <v>99</v>
      </c>
      <c r="AU140" s="98">
        <f>$K$35</f>
        <v>111</v>
      </c>
      <c r="AV140" s="98">
        <f>$L$35</f>
        <v>123</v>
      </c>
      <c r="AW140" s="92" t="str">
        <f>$A$35</f>
        <v>Fiscal Accident Year Data Ending</v>
      </c>
      <c r="AX140" s="98">
        <f>$B$35</f>
        <v>3</v>
      </c>
      <c r="AY140" s="98" t="str">
        <f>$C$35</f>
        <v>15</v>
      </c>
      <c r="AZ140" s="98">
        <f>$D$35</f>
        <v>27</v>
      </c>
      <c r="BA140" s="98">
        <f>$E$35</f>
        <v>39</v>
      </c>
      <c r="BB140" s="98">
        <f>$F$35</f>
        <v>51</v>
      </c>
      <c r="BC140" s="98">
        <f>$G$35</f>
        <v>63</v>
      </c>
      <c r="BD140" s="98">
        <f>$H$35</f>
        <v>75</v>
      </c>
      <c r="BE140" s="98">
        <f>$I$35</f>
        <v>87</v>
      </c>
      <c r="BF140" s="98">
        <f>$J$35</f>
        <v>99</v>
      </c>
      <c r="BG140" s="98">
        <f>$K$35</f>
        <v>111</v>
      </c>
      <c r="BH140" s="98">
        <f>$L$35</f>
        <v>123</v>
      </c>
      <c r="BI140" s="92" t="str">
        <f>$A$35</f>
        <v>Fiscal Accident Year Data Ending</v>
      </c>
      <c r="BJ140" s="98">
        <f>$B$35</f>
        <v>3</v>
      </c>
      <c r="BK140" s="98" t="str">
        <f>$C$35</f>
        <v>15</v>
      </c>
      <c r="BL140" s="98">
        <f>$D$35</f>
        <v>27</v>
      </c>
      <c r="BM140" s="98">
        <f>$E$35</f>
        <v>39</v>
      </c>
      <c r="BN140" s="98">
        <f>$F$35</f>
        <v>51</v>
      </c>
      <c r="BO140" s="98">
        <f>$G$35</f>
        <v>63</v>
      </c>
      <c r="BP140" s="98">
        <f>$H$35</f>
        <v>75</v>
      </c>
      <c r="BQ140" s="98">
        <f>$I$35</f>
        <v>87</v>
      </c>
      <c r="BR140" s="98">
        <f>$J$35</f>
        <v>99</v>
      </c>
      <c r="BS140" s="98">
        <f>$K$35</f>
        <v>111</v>
      </c>
      <c r="BT140" s="98">
        <f>$L$35</f>
        <v>123</v>
      </c>
      <c r="BU140" s="92" t="str">
        <f>$A$35</f>
        <v>Fiscal Accident Year Data Ending</v>
      </c>
      <c r="BV140" s="98">
        <f>$B$35</f>
        <v>3</v>
      </c>
      <c r="BW140" s="98" t="str">
        <f>$C$35</f>
        <v>15</v>
      </c>
      <c r="BX140" s="98">
        <f>$D$35</f>
        <v>27</v>
      </c>
      <c r="BY140" s="98">
        <f>$E$35</f>
        <v>39</v>
      </c>
      <c r="BZ140" s="98">
        <f>$F$35</f>
        <v>51</v>
      </c>
      <c r="CA140" s="98">
        <f>$G$35</f>
        <v>63</v>
      </c>
      <c r="CB140" s="98">
        <f>$H$35</f>
        <v>75</v>
      </c>
      <c r="CC140" s="98">
        <f>$I$35</f>
        <v>87</v>
      </c>
      <c r="CD140" s="98">
        <f>$J$35</f>
        <v>99</v>
      </c>
      <c r="CE140" s="98">
        <f>$K$35</f>
        <v>111</v>
      </c>
      <c r="CF140" s="98">
        <f>$L$35</f>
        <v>123</v>
      </c>
      <c r="CG140" s="92" t="str">
        <f>$A$35</f>
        <v>Fiscal Accident Year Data Ending</v>
      </c>
      <c r="CH140" s="98">
        <f>$B$35</f>
        <v>3</v>
      </c>
      <c r="CI140" s="98" t="str">
        <f>$C$35</f>
        <v>15</v>
      </c>
      <c r="CJ140" s="98">
        <f>$D$35</f>
        <v>27</v>
      </c>
      <c r="CK140" s="98">
        <f>$E$35</f>
        <v>39</v>
      </c>
      <c r="CL140" s="98">
        <f>$F$35</f>
        <v>51</v>
      </c>
      <c r="CM140" s="98">
        <f>$G$35</f>
        <v>63</v>
      </c>
      <c r="CN140" s="98">
        <f>$H$35</f>
        <v>75</v>
      </c>
      <c r="CO140" s="98">
        <f>$I$35</f>
        <v>87</v>
      </c>
      <c r="CP140" s="98">
        <f>$J$35</f>
        <v>99</v>
      </c>
      <c r="CQ140" s="98">
        <f>$K$35</f>
        <v>111</v>
      </c>
      <c r="CR140" s="98">
        <f>$L$35</f>
        <v>123</v>
      </c>
      <c r="CS140" s="92" t="str">
        <f>$A$35</f>
        <v>Fiscal Accident Year Data Ending</v>
      </c>
      <c r="CT140" s="98">
        <f>$B$35</f>
        <v>3</v>
      </c>
      <c r="CU140" s="98" t="str">
        <f>$C$35</f>
        <v>15</v>
      </c>
      <c r="CV140" s="98">
        <f>$D$35</f>
        <v>27</v>
      </c>
      <c r="CW140" s="98">
        <f>$E$35</f>
        <v>39</v>
      </c>
      <c r="CX140" s="98">
        <f>$F$35</f>
        <v>51</v>
      </c>
      <c r="CY140" s="98">
        <f>$G$35</f>
        <v>63</v>
      </c>
      <c r="CZ140" s="98">
        <f>$H$35</f>
        <v>75</v>
      </c>
      <c r="DA140" s="98">
        <f>$I$35</f>
        <v>87</v>
      </c>
      <c r="DB140" s="98">
        <f>$J$35</f>
        <v>99</v>
      </c>
      <c r="DC140" s="98">
        <f>$K$35</f>
        <v>111</v>
      </c>
      <c r="DD140" s="98">
        <f>$L$35</f>
        <v>123</v>
      </c>
      <c r="DE140" s="92" t="str">
        <f>$A$35</f>
        <v>Fiscal Accident Year Data Ending</v>
      </c>
      <c r="DF140" s="98">
        <f>$B$35</f>
        <v>3</v>
      </c>
      <c r="DG140" s="98" t="str">
        <f>$C$35</f>
        <v>15</v>
      </c>
      <c r="DH140" s="98">
        <f>$D$35</f>
        <v>27</v>
      </c>
      <c r="DI140" s="98">
        <f>$E$35</f>
        <v>39</v>
      </c>
      <c r="DJ140" s="98">
        <f>$F$35</f>
        <v>51</v>
      </c>
      <c r="DK140" s="98">
        <f>$G$35</f>
        <v>63</v>
      </c>
      <c r="DL140" s="98">
        <f>$H$35</f>
        <v>75</v>
      </c>
      <c r="DM140" s="98">
        <f>$I$35</f>
        <v>87</v>
      </c>
      <c r="DN140" s="98">
        <f>$J$35</f>
        <v>99</v>
      </c>
      <c r="DO140" s="98">
        <f>$K$35</f>
        <v>111</v>
      </c>
      <c r="DP140" s="98">
        <f>$L$35</f>
        <v>123</v>
      </c>
    </row>
    <row r="141" spans="1:120" ht="15" customHeight="1" x14ac:dyDescent="0.25">
      <c r="A141" s="31">
        <f>$A$36</f>
        <v>20133</v>
      </c>
      <c r="B141" s="116"/>
      <c r="C141" s="117">
        <f>IFERROR(C106/C71,"")</f>
        <v>5.9281731653312107E-3</v>
      </c>
      <c r="D141" s="117">
        <f>IFERROR(D106/D71,"")</f>
        <v>2.5440658770493497E-2</v>
      </c>
      <c r="E141" s="117">
        <f t="shared" ref="E141:L141" si="259">IFERROR(E106/E71,"")</f>
        <v>6.1229213779410499E-2</v>
      </c>
      <c r="F141" s="117">
        <f t="shared" si="259"/>
        <v>8.7412073820272398E-2</v>
      </c>
      <c r="G141" s="117">
        <f t="shared" si="259"/>
        <v>9.6475609430609011E-2</v>
      </c>
      <c r="H141" s="117">
        <f t="shared" si="259"/>
        <v>9.9236371705319057E-2</v>
      </c>
      <c r="I141" s="117">
        <f t="shared" si="259"/>
        <v>0.10037194877317421</v>
      </c>
      <c r="J141" s="117">
        <f t="shared" si="259"/>
        <v>0.10057247210110093</v>
      </c>
      <c r="K141" s="117">
        <f t="shared" si="259"/>
        <v>0.10066574147954646</v>
      </c>
      <c r="L141" s="117">
        <f t="shared" si="259"/>
        <v>0.10069696813342682</v>
      </c>
      <c r="M141" s="31">
        <f>$A$36</f>
        <v>20133</v>
      </c>
      <c r="N141" s="116"/>
      <c r="O141" s="117">
        <f>IFERROR(O106/O71,"")</f>
        <v>3.8285874088147334E-3</v>
      </c>
      <c r="P141" s="117">
        <f t="shared" ref="P141:X141" si="260">IFERROR(P106/P71,"")</f>
        <v>1.0872420175537918E-2</v>
      </c>
      <c r="Q141" s="117">
        <f t="shared" si="260"/>
        <v>1.2011883188920408E-2</v>
      </c>
      <c r="R141" s="117">
        <f t="shared" si="260"/>
        <v>1.2957676823074702E-2</v>
      </c>
      <c r="S141" s="117">
        <f t="shared" si="260"/>
        <v>1.3721852843731241E-2</v>
      </c>
      <c r="T141" s="117">
        <f t="shared" si="260"/>
        <v>1.3821723333704196E-2</v>
      </c>
      <c r="U141" s="117">
        <f t="shared" si="260"/>
        <v>1.3868877265946577E-2</v>
      </c>
      <c r="V141" s="117">
        <f t="shared" si="260"/>
        <v>1.3863129475833376E-2</v>
      </c>
      <c r="W141" s="117">
        <f t="shared" si="260"/>
        <v>1.3864188425466295E-2</v>
      </c>
      <c r="X141" s="117">
        <f t="shared" si="260"/>
        <v>1.3864706796711373E-2</v>
      </c>
      <c r="Y141" s="31">
        <f>$A$36</f>
        <v>20133</v>
      </c>
      <c r="Z141" s="116"/>
      <c r="AA141" s="117">
        <f>IFERROR(AA106/AA71,"")</f>
        <v>1.3068141501329738E-2</v>
      </c>
      <c r="AB141" s="117">
        <f t="shared" ref="AB141:AJ141" si="261">IFERROR(AB106/AB71,"")</f>
        <v>2.9899062015870104E-2</v>
      </c>
      <c r="AC141" s="117">
        <f t="shared" si="261"/>
        <v>5.0008137336257329E-2</v>
      </c>
      <c r="AD141" s="117">
        <f t="shared" si="261"/>
        <v>6.9451613803612408E-2</v>
      </c>
      <c r="AE141" s="117">
        <f t="shared" si="261"/>
        <v>8.3490838624827576E-2</v>
      </c>
      <c r="AF141" s="117">
        <f t="shared" si="261"/>
        <v>9.0668324439138651E-2</v>
      </c>
      <c r="AG141" s="117">
        <f t="shared" si="261"/>
        <v>9.5267372380210144E-2</v>
      </c>
      <c r="AH141" s="117">
        <f t="shared" si="261"/>
        <v>9.895158806467895E-2</v>
      </c>
      <c r="AI141" s="117">
        <f t="shared" si="261"/>
        <v>0.10169213193552358</v>
      </c>
      <c r="AJ141" s="117">
        <f t="shared" si="261"/>
        <v>0.10415351460350669</v>
      </c>
      <c r="AK141" s="31">
        <f>$A$36</f>
        <v>20133</v>
      </c>
      <c r="AL141" s="116"/>
      <c r="AM141" s="117">
        <f>IFERROR(AM106/AM71,"")</f>
        <v>4.7737402190303566E-3</v>
      </c>
      <c r="AN141" s="117">
        <f t="shared" ref="AN141:AV141" si="262">IFERROR(AN106/AN71,"")</f>
        <v>6.4189683821485304E-3</v>
      </c>
      <c r="AO141" s="117">
        <f t="shared" si="262"/>
        <v>7.5651456934643256E-3</v>
      </c>
      <c r="AP141" s="117">
        <f t="shared" si="262"/>
        <v>8.3121108936613057E-3</v>
      </c>
      <c r="AQ141" s="117">
        <f t="shared" si="262"/>
        <v>8.5983211869875894E-3</v>
      </c>
      <c r="AR141" s="117">
        <f t="shared" si="262"/>
        <v>8.4821749516695837E-3</v>
      </c>
      <c r="AS141" s="117">
        <f t="shared" si="262"/>
        <v>8.4812554680868436E-3</v>
      </c>
      <c r="AT141" s="117">
        <f t="shared" si="262"/>
        <v>8.4903067265273639E-3</v>
      </c>
      <c r="AU141" s="117">
        <f t="shared" si="262"/>
        <v>8.4905176041426694E-3</v>
      </c>
      <c r="AV141" s="117">
        <f t="shared" si="262"/>
        <v>8.490439131253023E-3</v>
      </c>
      <c r="AW141" s="31">
        <f>$A$36</f>
        <v>20133</v>
      </c>
      <c r="AX141" s="116"/>
      <c r="AY141" s="117">
        <f>IFERROR(AY106/AY71,"")</f>
        <v>5.5437422037828686E-4</v>
      </c>
      <c r="AZ141" s="117">
        <f t="shared" ref="AZ141:BH141" si="263">IFERROR(AZ106/AZ71,"")</f>
        <v>7.9265293399585117E-4</v>
      </c>
      <c r="BA141" s="117">
        <f t="shared" si="263"/>
        <v>1.0959415299448686E-3</v>
      </c>
      <c r="BB141" s="117">
        <f t="shared" si="263"/>
        <v>1.5472489930374715E-3</v>
      </c>
      <c r="BC141" s="117">
        <f t="shared" si="263"/>
        <v>1.5768650229053807E-3</v>
      </c>
      <c r="BD141" s="117">
        <f t="shared" si="263"/>
        <v>1.5780114252314863E-3</v>
      </c>
      <c r="BE141" s="117">
        <f t="shared" si="263"/>
        <v>1.5893032928148462E-3</v>
      </c>
      <c r="BF141" s="117">
        <f t="shared" si="263"/>
        <v>1.5897557278965182E-3</v>
      </c>
      <c r="BG141" s="117">
        <f t="shared" si="263"/>
        <v>1.5900824852416468E-3</v>
      </c>
      <c r="BH141" s="117">
        <f t="shared" si="263"/>
        <v>1.5921263903916766E-3</v>
      </c>
      <c r="BI141" s="31">
        <f>$A$36</f>
        <v>20133</v>
      </c>
      <c r="BJ141" s="116"/>
      <c r="BK141" s="117">
        <f>IFERROR(BK106/BK71,"")</f>
        <v>1.1127527730048976E-4</v>
      </c>
      <c r="BL141" s="117">
        <f t="shared" ref="BL141:BT141" si="264">IFERROR(BL106/BL71,"")</f>
        <v>4.141413519320726E-4</v>
      </c>
      <c r="BM141" s="117">
        <f t="shared" si="264"/>
        <v>6.5878934391286489E-4</v>
      </c>
      <c r="BN141" s="117">
        <f t="shared" si="264"/>
        <v>8.3964749443850675E-4</v>
      </c>
      <c r="BO141" s="117">
        <f t="shared" si="264"/>
        <v>8.398481743031969E-4</v>
      </c>
      <c r="BP141" s="117">
        <f t="shared" si="264"/>
        <v>8.4003117932125303E-4</v>
      </c>
      <c r="BQ141" s="117">
        <f t="shared" si="264"/>
        <v>8.4010954928581845E-4</v>
      </c>
      <c r="BR141" s="117">
        <f t="shared" si="264"/>
        <v>8.4013201209507369E-4</v>
      </c>
      <c r="BS141" s="117">
        <f t="shared" si="264"/>
        <v>8.4017843244218581E-4</v>
      </c>
      <c r="BT141" s="117">
        <f t="shared" si="264"/>
        <v>8.4021924257558485E-4</v>
      </c>
      <c r="BU141" s="31">
        <f>$A$36</f>
        <v>20133</v>
      </c>
      <c r="BV141" s="116"/>
      <c r="BW141" s="117">
        <f>IFERROR(BW106/BW71,"")</f>
        <v>2.1673166207770135E-2</v>
      </c>
      <c r="BX141" s="117">
        <f t="shared" ref="BX141:CF141" si="265">IFERROR(BX106/BX71,"")</f>
        <v>1.6370730769230769E-2</v>
      </c>
      <c r="BY141" s="117">
        <f t="shared" si="265"/>
        <v>1.6535923076923077E-2</v>
      </c>
      <c r="BZ141" s="117">
        <f t="shared" si="265"/>
        <v>1.6535923076923077E-2</v>
      </c>
      <c r="CA141" s="117">
        <f t="shared" si="265"/>
        <v>1.7454094869312684E-2</v>
      </c>
      <c r="CB141" s="117">
        <f t="shared" si="265"/>
        <v>1.7454094869312684E-2</v>
      </c>
      <c r="CC141" s="117">
        <f t="shared" si="265"/>
        <v>1.7454094869312684E-2</v>
      </c>
      <c r="CD141" s="117">
        <f t="shared" si="265"/>
        <v>1.7454094869312684E-2</v>
      </c>
      <c r="CE141" s="117">
        <f t="shared" si="265"/>
        <v>1.7454094869312684E-2</v>
      </c>
      <c r="CF141" s="117">
        <f t="shared" si="265"/>
        <v>1.7454094869312684E-2</v>
      </c>
      <c r="CG141" s="31">
        <f>$A$36</f>
        <v>20133</v>
      </c>
      <c r="CH141" s="116"/>
      <c r="CI141" s="117" t="str">
        <f>IFERROR(CI106/CI71,"")</f>
        <v/>
      </c>
      <c r="CJ141" s="117" t="str">
        <f t="shared" ref="CJ141:CR141" si="266">IFERROR(CJ106/CJ71,"")</f>
        <v/>
      </c>
      <c r="CK141" s="117" t="str">
        <f t="shared" si="266"/>
        <v/>
      </c>
      <c r="CL141" s="117" t="str">
        <f t="shared" si="266"/>
        <v/>
      </c>
      <c r="CM141" s="117" t="str">
        <f t="shared" si="266"/>
        <v/>
      </c>
      <c r="CN141" s="117" t="str">
        <f t="shared" si="266"/>
        <v/>
      </c>
      <c r="CO141" s="117" t="str">
        <f t="shared" si="266"/>
        <v/>
      </c>
      <c r="CP141" s="117" t="str">
        <f t="shared" si="266"/>
        <v/>
      </c>
      <c r="CQ141" s="117" t="str">
        <f t="shared" si="266"/>
        <v/>
      </c>
      <c r="CR141" s="117" t="str">
        <f t="shared" si="266"/>
        <v/>
      </c>
      <c r="CS141" s="31">
        <f>$A$36</f>
        <v>20133</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20133</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20143</v>
      </c>
      <c r="B142" s="116"/>
      <c r="C142" s="117">
        <f t="shared" ref="C142:K142" si="269">IFERROR(C107/C72,"")</f>
        <v>5.1802222820410025E-3</v>
      </c>
      <c r="D142" s="117">
        <f t="shared" si="269"/>
        <v>2.2212198556045826E-2</v>
      </c>
      <c r="E142" s="117">
        <f t="shared" si="269"/>
        <v>5.0968298937800596E-2</v>
      </c>
      <c r="F142" s="117">
        <f t="shared" si="269"/>
        <v>7.5852371810487401E-2</v>
      </c>
      <c r="G142" s="117">
        <f t="shared" si="269"/>
        <v>8.4858606486558644E-2</v>
      </c>
      <c r="H142" s="117">
        <f t="shared" si="269"/>
        <v>8.7450233114957893E-2</v>
      </c>
      <c r="I142" s="117">
        <f t="shared" si="269"/>
        <v>8.8135445974312249E-2</v>
      </c>
      <c r="J142" s="117">
        <f t="shared" si="269"/>
        <v>8.8457090455297385E-2</v>
      </c>
      <c r="K142" s="117">
        <f t="shared" si="269"/>
        <v>8.8618802658065016E-2</v>
      </c>
      <c r="L142" s="134"/>
      <c r="M142" s="31">
        <f>$A$37</f>
        <v>20143</v>
      </c>
      <c r="N142" s="116"/>
      <c r="O142" s="117">
        <f t="shared" ref="O142:W142" si="270">IFERROR(O107/O72,"")</f>
        <v>4.2956748300150673E-3</v>
      </c>
      <c r="P142" s="117">
        <f t="shared" si="270"/>
        <v>9.4612695084465952E-3</v>
      </c>
      <c r="Q142" s="117">
        <f t="shared" si="270"/>
        <v>1.1782451035802055E-2</v>
      </c>
      <c r="R142" s="117">
        <f t="shared" si="270"/>
        <v>1.3854985098109809E-2</v>
      </c>
      <c r="S142" s="117">
        <f t="shared" si="270"/>
        <v>1.4345913013543361E-2</v>
      </c>
      <c r="T142" s="117">
        <f t="shared" si="270"/>
        <v>1.4369126118550369E-2</v>
      </c>
      <c r="U142" s="117">
        <f t="shared" si="270"/>
        <v>1.4375474810792137E-2</v>
      </c>
      <c r="V142" s="117">
        <f t="shared" si="270"/>
        <v>1.4354943456121408E-2</v>
      </c>
      <c r="W142" s="117">
        <f t="shared" si="270"/>
        <v>1.4356183274040491E-2</v>
      </c>
      <c r="X142" s="134"/>
      <c r="Y142" s="31">
        <f>$A$37</f>
        <v>20143</v>
      </c>
      <c r="Z142" s="116"/>
      <c r="AA142" s="117">
        <f t="shared" ref="AA142:AI142" si="271">IFERROR(AA107/AA72,"")</f>
        <v>1.0151922466436291E-2</v>
      </c>
      <c r="AB142" s="117">
        <f t="shared" si="271"/>
        <v>2.626176060510008E-2</v>
      </c>
      <c r="AC142" s="117">
        <f t="shared" si="271"/>
        <v>4.51763890808854E-2</v>
      </c>
      <c r="AD142" s="117">
        <f t="shared" si="271"/>
        <v>6.6317559100023793E-2</v>
      </c>
      <c r="AE142" s="117">
        <f t="shared" si="271"/>
        <v>7.7900585923477608E-2</v>
      </c>
      <c r="AF142" s="117">
        <f t="shared" si="271"/>
        <v>8.3449292445085643E-2</v>
      </c>
      <c r="AG142" s="117">
        <f t="shared" si="271"/>
        <v>8.7630701249924253E-2</v>
      </c>
      <c r="AH142" s="117">
        <f t="shared" si="271"/>
        <v>9.0349833416276795E-2</v>
      </c>
      <c r="AI142" s="117">
        <f t="shared" si="271"/>
        <v>9.2516209915744996E-2</v>
      </c>
      <c r="AJ142" s="134"/>
      <c r="AK142" s="31">
        <f>$A$37</f>
        <v>20143</v>
      </c>
      <c r="AL142" s="116"/>
      <c r="AM142" s="117">
        <f t="shared" ref="AM142:AU142" si="272">IFERROR(AM107/AM72,"")</f>
        <v>3.7607377774531549E-3</v>
      </c>
      <c r="AN142" s="117">
        <f t="shared" si="272"/>
        <v>5.0788163498230237E-3</v>
      </c>
      <c r="AO142" s="117">
        <f t="shared" si="272"/>
        <v>5.7440756391468981E-3</v>
      </c>
      <c r="AP142" s="117">
        <f t="shared" si="272"/>
        <v>6.2326973151446237E-3</v>
      </c>
      <c r="AQ142" s="117">
        <f t="shared" si="272"/>
        <v>6.3885412065834181E-3</v>
      </c>
      <c r="AR142" s="117">
        <f t="shared" si="272"/>
        <v>6.371538583260312E-3</v>
      </c>
      <c r="AS142" s="117">
        <f t="shared" si="272"/>
        <v>6.3705662021866939E-3</v>
      </c>
      <c r="AT142" s="117">
        <f t="shared" si="272"/>
        <v>6.3708069920416612E-3</v>
      </c>
      <c r="AU142" s="117">
        <f t="shared" si="272"/>
        <v>6.370884575148332E-3</v>
      </c>
      <c r="AV142" s="134"/>
      <c r="AW142" s="31">
        <f>$A$37</f>
        <v>20143</v>
      </c>
      <c r="AX142" s="116"/>
      <c r="AY142" s="117">
        <f t="shared" ref="AY142:BG142" si="273">IFERROR(AY107/AY72,"")</f>
        <v>6.4147902550751356E-4</v>
      </c>
      <c r="AZ142" s="117">
        <f t="shared" si="273"/>
        <v>1.2934328804377223E-3</v>
      </c>
      <c r="BA142" s="117">
        <f t="shared" si="273"/>
        <v>1.6562249826606633E-3</v>
      </c>
      <c r="BB142" s="117">
        <f t="shared" si="273"/>
        <v>1.6987432818415115E-3</v>
      </c>
      <c r="BC142" s="117">
        <f t="shared" si="273"/>
        <v>1.7021799006056984E-3</v>
      </c>
      <c r="BD142" s="117">
        <f t="shared" si="273"/>
        <v>1.7104085457746684E-3</v>
      </c>
      <c r="BE142" s="117">
        <f t="shared" si="273"/>
        <v>1.7110911074881066E-3</v>
      </c>
      <c r="BF142" s="117">
        <f t="shared" si="273"/>
        <v>1.7122726855120912E-3</v>
      </c>
      <c r="BG142" s="117">
        <f t="shared" si="273"/>
        <v>1.7123735453209337E-3</v>
      </c>
      <c r="BH142" s="134"/>
      <c r="BI142" s="31">
        <f>$A$37</f>
        <v>20143</v>
      </c>
      <c r="BJ142" s="116"/>
      <c r="BK142" s="117">
        <f t="shared" ref="BK142:BS142" si="274">IFERROR(BK107/BK72,"")</f>
        <v>1.4476602433429129E-4</v>
      </c>
      <c r="BL142" s="117">
        <f t="shared" si="274"/>
        <v>2.4645995116048992E-4</v>
      </c>
      <c r="BM142" s="117">
        <f t="shared" si="274"/>
        <v>2.4717689818801777E-4</v>
      </c>
      <c r="BN142" s="117">
        <f t="shared" si="274"/>
        <v>2.4718498621550971E-4</v>
      </c>
      <c r="BO142" s="117">
        <f t="shared" si="274"/>
        <v>2.4717562741536026E-4</v>
      </c>
      <c r="BP142" s="117">
        <f t="shared" si="274"/>
        <v>2.4717968415841366E-4</v>
      </c>
      <c r="BQ142" s="117">
        <f t="shared" si="274"/>
        <v>2.471839404676463E-4</v>
      </c>
      <c r="BR142" s="117">
        <f t="shared" si="274"/>
        <v>2.4718475465672216E-4</v>
      </c>
      <c r="BS142" s="117">
        <f t="shared" si="274"/>
        <v>2.4718174117744284E-4</v>
      </c>
      <c r="BT142" s="134"/>
      <c r="BU142" s="31">
        <f>$A$37</f>
        <v>20143</v>
      </c>
      <c r="BV142" s="116"/>
      <c r="BW142" s="117">
        <f t="shared" ref="BW142:CE142" si="275">IFERROR(BW107/BW72,"")</f>
        <v>2.2165915386534985E-4</v>
      </c>
      <c r="BX142" s="117">
        <f t="shared" si="275"/>
        <v>2.0371906739561474E-4</v>
      </c>
      <c r="BY142" s="117">
        <f t="shared" si="275"/>
        <v>2.0371906739561474E-4</v>
      </c>
      <c r="BZ142" s="117">
        <f t="shared" si="275"/>
        <v>1.392657287758811E-3</v>
      </c>
      <c r="CA142" s="117">
        <f t="shared" si="275"/>
        <v>1.392657287758811E-3</v>
      </c>
      <c r="CB142" s="117">
        <f t="shared" si="275"/>
        <v>1.392657287758811E-3</v>
      </c>
      <c r="CC142" s="117">
        <f t="shared" si="275"/>
        <v>1.392657287758811E-3</v>
      </c>
      <c r="CD142" s="117">
        <f t="shared" si="275"/>
        <v>1.392657287758811E-3</v>
      </c>
      <c r="CE142" s="117">
        <f t="shared" si="275"/>
        <v>1.392657287758811E-3</v>
      </c>
      <c r="CF142" s="134"/>
      <c r="CG142" s="31">
        <f>$A$37</f>
        <v>20143</v>
      </c>
      <c r="CH142" s="116"/>
      <c r="CI142" s="117" t="str">
        <f t="shared" ref="CI142:CQ142" si="276">IFERROR(CI107/CI72,"")</f>
        <v/>
      </c>
      <c r="CJ142" s="117" t="str">
        <f t="shared" si="276"/>
        <v/>
      </c>
      <c r="CK142" s="117" t="str">
        <f t="shared" si="276"/>
        <v/>
      </c>
      <c r="CL142" s="117" t="str">
        <f t="shared" si="276"/>
        <v/>
      </c>
      <c r="CM142" s="117" t="str">
        <f t="shared" si="276"/>
        <v/>
      </c>
      <c r="CN142" s="117" t="str">
        <f t="shared" si="276"/>
        <v/>
      </c>
      <c r="CO142" s="117" t="str">
        <f t="shared" si="276"/>
        <v/>
      </c>
      <c r="CP142" s="117" t="str">
        <f t="shared" si="276"/>
        <v/>
      </c>
      <c r="CQ142" s="117" t="str">
        <f t="shared" si="276"/>
        <v/>
      </c>
      <c r="CR142" s="134"/>
      <c r="CS142" s="31">
        <f>$A$37</f>
        <v>20143</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20143</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20153</v>
      </c>
      <c r="B143" s="116"/>
      <c r="C143" s="117">
        <f t="shared" ref="C143:J143" si="279">IFERROR(C108/C73,"")</f>
        <v>3.9128100418433388E-3</v>
      </c>
      <c r="D143" s="117">
        <f t="shared" si="279"/>
        <v>1.6369044178495971E-2</v>
      </c>
      <c r="E143" s="117">
        <f t="shared" si="279"/>
        <v>4.2440139182247962E-2</v>
      </c>
      <c r="F143" s="117">
        <f t="shared" si="279"/>
        <v>6.8928506657764982E-2</v>
      </c>
      <c r="G143" s="117">
        <f t="shared" si="279"/>
        <v>8.173923791128794E-2</v>
      </c>
      <c r="H143" s="117">
        <f t="shared" si="279"/>
        <v>8.5190450893472019E-2</v>
      </c>
      <c r="I143" s="117">
        <f t="shared" si="279"/>
        <v>8.6557958977888427E-2</v>
      </c>
      <c r="J143" s="117">
        <f t="shared" si="279"/>
        <v>8.763558108622789E-2</v>
      </c>
      <c r="K143" s="134"/>
      <c r="L143" s="134"/>
      <c r="M143" s="31">
        <f>$A$38</f>
        <v>20153</v>
      </c>
      <c r="N143" s="116"/>
      <c r="O143" s="117">
        <f t="shared" ref="O143:V143" si="280">IFERROR(O108/O73,"")</f>
        <v>2.8714336409404414E-3</v>
      </c>
      <c r="P143" s="117">
        <f t="shared" si="280"/>
        <v>4.6647341929158545E-3</v>
      </c>
      <c r="Q143" s="117">
        <f t="shared" si="280"/>
        <v>6.2345767855536529E-3</v>
      </c>
      <c r="R143" s="117">
        <f t="shared" si="280"/>
        <v>7.5377252090369773E-3</v>
      </c>
      <c r="S143" s="117">
        <f t="shared" si="280"/>
        <v>7.6145338152405935E-3</v>
      </c>
      <c r="T143" s="117">
        <f t="shared" si="280"/>
        <v>7.7488633355086173E-3</v>
      </c>
      <c r="U143" s="117">
        <f t="shared" si="280"/>
        <v>7.7443007940212645E-3</v>
      </c>
      <c r="V143" s="117">
        <f t="shared" si="280"/>
        <v>7.7440515923189023E-3</v>
      </c>
      <c r="W143" s="134"/>
      <c r="X143" s="134"/>
      <c r="Y143" s="31">
        <f>$A$38</f>
        <v>20153</v>
      </c>
      <c r="Z143" s="116"/>
      <c r="AA143" s="117">
        <f t="shared" ref="AA143:AH143" si="281">IFERROR(AA108/AA73,"")</f>
        <v>6.0230011182883592E-3</v>
      </c>
      <c r="AB143" s="117">
        <f t="shared" si="281"/>
        <v>1.5325283736885447E-2</v>
      </c>
      <c r="AC143" s="117">
        <f t="shared" si="281"/>
        <v>3.6969814414723259E-2</v>
      </c>
      <c r="AD143" s="117">
        <f t="shared" si="281"/>
        <v>6.0393744395501853E-2</v>
      </c>
      <c r="AE143" s="117">
        <f t="shared" si="281"/>
        <v>7.5027783415545793E-2</v>
      </c>
      <c r="AF143" s="117">
        <f t="shared" si="281"/>
        <v>8.0270431982881515E-2</v>
      </c>
      <c r="AG143" s="117">
        <f t="shared" si="281"/>
        <v>8.4720828501197679E-2</v>
      </c>
      <c r="AH143" s="117">
        <f t="shared" si="281"/>
        <v>8.6196142614120355E-2</v>
      </c>
      <c r="AI143" s="134"/>
      <c r="AJ143" s="134"/>
      <c r="AK143" s="31">
        <f>$A$38</f>
        <v>20153</v>
      </c>
      <c r="AL143" s="116"/>
      <c r="AM143" s="117">
        <f t="shared" ref="AM143:AT143" si="282">IFERROR(AM108/AM73,"")</f>
        <v>2.3434073060081047E-3</v>
      </c>
      <c r="AN143" s="117">
        <f t="shared" si="282"/>
        <v>4.0752728669645978E-3</v>
      </c>
      <c r="AO143" s="117">
        <f t="shared" si="282"/>
        <v>4.6552992480925039E-3</v>
      </c>
      <c r="AP143" s="117">
        <f t="shared" si="282"/>
        <v>4.8977217151185476E-3</v>
      </c>
      <c r="AQ143" s="117">
        <f t="shared" si="282"/>
        <v>4.8538357316784773E-3</v>
      </c>
      <c r="AR143" s="117">
        <f t="shared" si="282"/>
        <v>4.8577978715553449E-3</v>
      </c>
      <c r="AS143" s="117">
        <f t="shared" si="282"/>
        <v>4.8582739233660127E-3</v>
      </c>
      <c r="AT143" s="117">
        <f t="shared" si="282"/>
        <v>4.8580597865214943E-3</v>
      </c>
      <c r="AU143" s="134"/>
      <c r="AV143" s="134"/>
      <c r="AW143" s="31">
        <f>$A$38</f>
        <v>20153</v>
      </c>
      <c r="AX143" s="116"/>
      <c r="AY143" s="117">
        <f t="shared" ref="AY143:BF143" si="283">IFERROR(AY108/AY73,"")</f>
        <v>6.7101143627882134E-4</v>
      </c>
      <c r="AZ143" s="117">
        <f t="shared" si="283"/>
        <v>9.7299324038622483E-4</v>
      </c>
      <c r="BA143" s="117">
        <f t="shared" si="283"/>
        <v>1.2018225146568501E-3</v>
      </c>
      <c r="BB143" s="117">
        <f t="shared" si="283"/>
        <v>1.4494155830962563E-3</v>
      </c>
      <c r="BC143" s="117">
        <f t="shared" si="283"/>
        <v>1.5159373514618433E-3</v>
      </c>
      <c r="BD143" s="117">
        <f t="shared" si="283"/>
        <v>1.5287579161016515E-3</v>
      </c>
      <c r="BE143" s="117">
        <f t="shared" si="283"/>
        <v>1.5302463860663318E-3</v>
      </c>
      <c r="BF143" s="117">
        <f t="shared" si="283"/>
        <v>1.5306596343455266E-3</v>
      </c>
      <c r="BG143" s="134"/>
      <c r="BH143" s="134"/>
      <c r="BI143" s="31">
        <f>$A$38</f>
        <v>20153</v>
      </c>
      <c r="BJ143" s="116"/>
      <c r="BK143" s="117">
        <f t="shared" ref="BK143:BR143" si="284">IFERROR(BK108/BK73,"")</f>
        <v>2.3281335756825201E-4</v>
      </c>
      <c r="BL143" s="117">
        <f t="shared" si="284"/>
        <v>4.3660344877848229E-4</v>
      </c>
      <c r="BM143" s="117">
        <f t="shared" si="284"/>
        <v>4.4176729458367161E-4</v>
      </c>
      <c r="BN143" s="117">
        <f t="shared" si="284"/>
        <v>4.4219602759773633E-4</v>
      </c>
      <c r="BO143" s="117">
        <f t="shared" si="284"/>
        <v>4.3378312001966638E-4</v>
      </c>
      <c r="BP143" s="117">
        <f t="shared" si="284"/>
        <v>4.3378032357806526E-4</v>
      </c>
      <c r="BQ143" s="117">
        <f t="shared" si="284"/>
        <v>4.3378604878248047E-4</v>
      </c>
      <c r="BR143" s="117">
        <f t="shared" si="284"/>
        <v>4.3377709682460925E-4</v>
      </c>
      <c r="BS143" s="134"/>
      <c r="BT143" s="134"/>
      <c r="BU143" s="31">
        <f>$A$38</f>
        <v>20153</v>
      </c>
      <c r="BV143" s="116"/>
      <c r="BW143" s="117">
        <f t="shared" ref="BW143:CD143" si="285">IFERROR(BW108/BW73,"")</f>
        <v>0</v>
      </c>
      <c r="BX143" s="117">
        <f t="shared" si="285"/>
        <v>0</v>
      </c>
      <c r="BY143" s="117">
        <f t="shared" si="285"/>
        <v>5.3307124595313431E-3</v>
      </c>
      <c r="BZ143" s="117">
        <f t="shared" si="285"/>
        <v>2.0331706633815606E-2</v>
      </c>
      <c r="CA143" s="117">
        <f t="shared" si="285"/>
        <v>2.0331706633815606E-2</v>
      </c>
      <c r="CB143" s="117">
        <f t="shared" si="285"/>
        <v>2.0331706633815606E-2</v>
      </c>
      <c r="CC143" s="117">
        <f t="shared" si="285"/>
        <v>2.0331706633815606E-2</v>
      </c>
      <c r="CD143" s="117">
        <f t="shared" si="285"/>
        <v>2.0331706633815606E-2</v>
      </c>
      <c r="CE143" s="134"/>
      <c r="CF143" s="134"/>
      <c r="CG143" s="31">
        <f>$A$38</f>
        <v>20153</v>
      </c>
      <c r="CH143" s="116"/>
      <c r="CI143" s="117" t="str">
        <f t="shared" ref="CI143:CP143" si="286">IFERROR(CI108/CI73,"")</f>
        <v/>
      </c>
      <c r="CJ143" s="117" t="str">
        <f t="shared" si="286"/>
        <v/>
      </c>
      <c r="CK143" s="117" t="str">
        <f t="shared" si="286"/>
        <v/>
      </c>
      <c r="CL143" s="117" t="str">
        <f t="shared" si="286"/>
        <v/>
      </c>
      <c r="CM143" s="117" t="str">
        <f t="shared" si="286"/>
        <v/>
      </c>
      <c r="CN143" s="117" t="str">
        <f t="shared" si="286"/>
        <v/>
      </c>
      <c r="CO143" s="117" t="str">
        <f t="shared" si="286"/>
        <v/>
      </c>
      <c r="CP143" s="117" t="str">
        <f t="shared" si="286"/>
        <v/>
      </c>
      <c r="CQ143" s="134"/>
      <c r="CR143" s="134"/>
      <c r="CS143" s="31">
        <f>$A$38</f>
        <v>20153</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20153</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20163</v>
      </c>
      <c r="B144" s="116"/>
      <c r="C144" s="117">
        <f t="shared" ref="C144:I144" si="289">IFERROR(C109/C74,"")</f>
        <v>3.9561229125195828E-3</v>
      </c>
      <c r="D144" s="117">
        <f t="shared" si="289"/>
        <v>1.663212536184145E-2</v>
      </c>
      <c r="E144" s="117">
        <f t="shared" si="289"/>
        <v>4.6911504601641812E-2</v>
      </c>
      <c r="F144" s="117">
        <f t="shared" si="289"/>
        <v>7.8841527414921758E-2</v>
      </c>
      <c r="G144" s="117">
        <f t="shared" si="289"/>
        <v>8.9199664035877993E-2</v>
      </c>
      <c r="H144" s="117">
        <f t="shared" si="289"/>
        <v>9.293997967403006E-2</v>
      </c>
      <c r="I144" s="117">
        <f t="shared" si="289"/>
        <v>9.5771182686380241E-2</v>
      </c>
      <c r="J144" s="134"/>
      <c r="K144" s="134"/>
      <c r="L144" s="134"/>
      <c r="M144" s="31">
        <f>$A$39</f>
        <v>20163</v>
      </c>
      <c r="N144" s="116"/>
      <c r="O144" s="117">
        <f t="shared" ref="O144:U144" si="290">IFERROR(O109/O74,"")</f>
        <v>1.2131502320230218E-3</v>
      </c>
      <c r="P144" s="117">
        <f t="shared" si="290"/>
        <v>2.2967410300321375E-3</v>
      </c>
      <c r="Q144" s="117">
        <f t="shared" si="290"/>
        <v>3.2397362047264337E-3</v>
      </c>
      <c r="R144" s="117">
        <f t="shared" si="290"/>
        <v>3.9729435048808832E-3</v>
      </c>
      <c r="S144" s="117">
        <f t="shared" si="290"/>
        <v>4.1380254969069765E-3</v>
      </c>
      <c r="T144" s="117">
        <f t="shared" si="290"/>
        <v>4.1800161445848224E-3</v>
      </c>
      <c r="U144" s="117">
        <f t="shared" si="290"/>
        <v>4.2032184030487141E-3</v>
      </c>
      <c r="V144" s="134"/>
      <c r="W144" s="134"/>
      <c r="X144" s="134"/>
      <c r="Y144" s="31">
        <f>$A$39</f>
        <v>20163</v>
      </c>
      <c r="Z144" s="116"/>
      <c r="AA144" s="117">
        <f t="shared" ref="AA144:AG144" si="291">IFERROR(AA109/AA74,"")</f>
        <v>6.2028752464202558E-3</v>
      </c>
      <c r="AB144" s="117">
        <f t="shared" si="291"/>
        <v>1.779097292661579E-2</v>
      </c>
      <c r="AC144" s="117">
        <f t="shared" si="291"/>
        <v>4.2950703100857079E-2</v>
      </c>
      <c r="AD144" s="117">
        <f t="shared" si="291"/>
        <v>6.2834590366187756E-2</v>
      </c>
      <c r="AE144" s="117">
        <f t="shared" si="291"/>
        <v>7.7878490919679549E-2</v>
      </c>
      <c r="AF144" s="117">
        <f t="shared" si="291"/>
        <v>8.4781209545121944E-2</v>
      </c>
      <c r="AG144" s="117">
        <f t="shared" si="291"/>
        <v>8.8519439522666846E-2</v>
      </c>
      <c r="AH144" s="134"/>
      <c r="AI144" s="134"/>
      <c r="AJ144" s="134"/>
      <c r="AK144" s="31">
        <f>$A$39</f>
        <v>20163</v>
      </c>
      <c r="AL144" s="116"/>
      <c r="AM144" s="117">
        <f t="shared" ref="AM144:AS144" si="292">IFERROR(AM109/AM74,"")</f>
        <v>2.9687841454979912E-3</v>
      </c>
      <c r="AN144" s="117">
        <f t="shared" si="292"/>
        <v>4.523135293878231E-3</v>
      </c>
      <c r="AO144" s="117">
        <f t="shared" si="292"/>
        <v>4.7241898707623435E-3</v>
      </c>
      <c r="AP144" s="117">
        <f t="shared" si="292"/>
        <v>4.76001215947901E-3</v>
      </c>
      <c r="AQ144" s="117">
        <f t="shared" si="292"/>
        <v>4.8422013811471485E-3</v>
      </c>
      <c r="AR144" s="117">
        <f t="shared" si="292"/>
        <v>4.8759004594218069E-3</v>
      </c>
      <c r="AS144" s="117">
        <f t="shared" si="292"/>
        <v>4.882429744402372E-3</v>
      </c>
      <c r="AT144" s="134"/>
      <c r="AU144" s="134"/>
      <c r="AV144" s="134"/>
      <c r="AW144" s="31">
        <f>$A$39</f>
        <v>20163</v>
      </c>
      <c r="AX144" s="116"/>
      <c r="AY144" s="117">
        <f t="shared" ref="AY144:BE144" si="293">IFERROR(AY109/AY74,"")</f>
        <v>5.2628264018891868E-4</v>
      </c>
      <c r="AZ144" s="117">
        <f t="shared" si="293"/>
        <v>7.5710299198766004E-4</v>
      </c>
      <c r="BA144" s="117">
        <f t="shared" si="293"/>
        <v>9.6486047214821582E-4</v>
      </c>
      <c r="BB144" s="117">
        <f t="shared" si="293"/>
        <v>1.1309502927294372E-3</v>
      </c>
      <c r="BC144" s="117">
        <f t="shared" si="293"/>
        <v>1.1824460462118542E-3</v>
      </c>
      <c r="BD144" s="117">
        <f t="shared" si="293"/>
        <v>1.1868285534330496E-3</v>
      </c>
      <c r="BE144" s="117">
        <f t="shared" si="293"/>
        <v>1.1907585794849577E-3</v>
      </c>
      <c r="BF144" s="134"/>
      <c r="BG144" s="134"/>
      <c r="BH144" s="134"/>
      <c r="BI144" s="31">
        <f>$A$39</f>
        <v>20163</v>
      </c>
      <c r="BJ144" s="116"/>
      <c r="BK144" s="117">
        <f t="shared" ref="BK144:BQ144" si="294">IFERROR(BK109/BK74,"")</f>
        <v>1.3364321824228752E-4</v>
      </c>
      <c r="BL144" s="117">
        <f t="shared" si="294"/>
        <v>1.4431698704535611E-4</v>
      </c>
      <c r="BM144" s="117">
        <f t="shared" si="294"/>
        <v>1.4808065361737472E-4</v>
      </c>
      <c r="BN144" s="117">
        <f t="shared" si="294"/>
        <v>1.5025850917184979E-4</v>
      </c>
      <c r="BO144" s="117">
        <f t="shared" si="294"/>
        <v>1.5025887696631869E-4</v>
      </c>
      <c r="BP144" s="117">
        <f t="shared" si="294"/>
        <v>1.5025818821558267E-4</v>
      </c>
      <c r="BQ144" s="117">
        <f t="shared" si="294"/>
        <v>1.5025669563498739E-4</v>
      </c>
      <c r="BR144" s="134"/>
      <c r="BS144" s="134"/>
      <c r="BT144" s="134"/>
      <c r="BU144" s="31">
        <f>$A$39</f>
        <v>20163</v>
      </c>
      <c r="BV144" s="116"/>
      <c r="BW144" s="117">
        <f t="shared" ref="BW144:CC144" si="295">IFERROR(BW109/BW74,"")</f>
        <v>0</v>
      </c>
      <c r="BX144" s="117">
        <f t="shared" si="295"/>
        <v>0</v>
      </c>
      <c r="BY144" s="117">
        <f t="shared" si="295"/>
        <v>0</v>
      </c>
      <c r="BZ144" s="117">
        <f t="shared" si="295"/>
        <v>0</v>
      </c>
      <c r="CA144" s="117">
        <f t="shared" si="295"/>
        <v>0</v>
      </c>
      <c r="CB144" s="117">
        <f t="shared" si="295"/>
        <v>0</v>
      </c>
      <c r="CC144" s="117">
        <f t="shared" si="295"/>
        <v>0</v>
      </c>
      <c r="CD144" s="134"/>
      <c r="CE144" s="134"/>
      <c r="CF144" s="134"/>
      <c r="CG144" s="31">
        <f>$A$39</f>
        <v>20163</v>
      </c>
      <c r="CH144" s="116"/>
      <c r="CI144" s="117" t="str">
        <f t="shared" ref="CI144:CO144" si="296">IFERROR(CI109/CI74,"")</f>
        <v/>
      </c>
      <c r="CJ144" s="117" t="str">
        <f t="shared" si="296"/>
        <v/>
      </c>
      <c r="CK144" s="117" t="str">
        <f t="shared" si="296"/>
        <v/>
      </c>
      <c r="CL144" s="117" t="str">
        <f t="shared" si="296"/>
        <v/>
      </c>
      <c r="CM144" s="117" t="str">
        <f t="shared" si="296"/>
        <v/>
      </c>
      <c r="CN144" s="117" t="str">
        <f t="shared" si="296"/>
        <v/>
      </c>
      <c r="CO144" s="117" t="str">
        <f t="shared" si="296"/>
        <v/>
      </c>
      <c r="CP144" s="134"/>
      <c r="CQ144" s="134"/>
      <c r="CR144" s="134"/>
      <c r="CS144" s="31">
        <f>$A$39</f>
        <v>20163</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20163</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20173</v>
      </c>
      <c r="B145" s="116"/>
      <c r="C145" s="117">
        <f t="shared" ref="C145:H145" si="299">IFERROR(C110/C75,"")</f>
        <v>5.1254232436659568E-3</v>
      </c>
      <c r="D145" s="117">
        <f t="shared" si="299"/>
        <v>2.3301705967708707E-2</v>
      </c>
      <c r="E145" s="117">
        <f t="shared" si="299"/>
        <v>5.7720447414757847E-2</v>
      </c>
      <c r="F145" s="117">
        <f t="shared" si="299"/>
        <v>8.8725369527032527E-2</v>
      </c>
      <c r="G145" s="117">
        <f t="shared" si="299"/>
        <v>0.10261944723112358</v>
      </c>
      <c r="H145" s="117">
        <f t="shared" si="299"/>
        <v>0.10970537941154</v>
      </c>
      <c r="I145" s="134"/>
      <c r="J145" s="134"/>
      <c r="K145" s="134"/>
      <c r="L145" s="134"/>
      <c r="M145" s="31">
        <f>$A$40</f>
        <v>20173</v>
      </c>
      <c r="N145" s="116"/>
      <c r="O145" s="117">
        <f t="shared" ref="O145:T145" si="300">IFERROR(O110/O75,"")</f>
        <v>1.6199204189839584E-3</v>
      </c>
      <c r="P145" s="117">
        <f t="shared" si="300"/>
        <v>3.4889369924137651E-3</v>
      </c>
      <c r="Q145" s="117">
        <f t="shared" si="300"/>
        <v>5.5390786633278555E-3</v>
      </c>
      <c r="R145" s="117">
        <f t="shared" si="300"/>
        <v>6.5267559051867549E-3</v>
      </c>
      <c r="S145" s="117">
        <f t="shared" si="300"/>
        <v>6.596727582765062E-3</v>
      </c>
      <c r="T145" s="117">
        <f t="shared" si="300"/>
        <v>6.7139310780314574E-3</v>
      </c>
      <c r="U145" s="134"/>
      <c r="V145" s="134"/>
      <c r="W145" s="134"/>
      <c r="X145" s="134"/>
      <c r="Y145" s="31">
        <f>$A$40</f>
        <v>20173</v>
      </c>
      <c r="Z145" s="116"/>
      <c r="AA145" s="117">
        <f t="shared" ref="AA145:AF145" si="301">IFERROR(AA110/AA75,"")</f>
        <v>7.2037761731123424E-3</v>
      </c>
      <c r="AB145" s="117">
        <f t="shared" si="301"/>
        <v>2.3499364318709335E-2</v>
      </c>
      <c r="AC145" s="117">
        <f t="shared" si="301"/>
        <v>4.8490942912967704E-2</v>
      </c>
      <c r="AD145" s="117">
        <f t="shared" si="301"/>
        <v>6.7916333464337772E-2</v>
      </c>
      <c r="AE145" s="117">
        <f t="shared" si="301"/>
        <v>7.9451234932817444E-2</v>
      </c>
      <c r="AF145" s="117">
        <f t="shared" si="301"/>
        <v>8.5739558775684649E-2</v>
      </c>
      <c r="AG145" s="134"/>
      <c r="AH145" s="134"/>
      <c r="AI145" s="134"/>
      <c r="AJ145" s="134"/>
      <c r="AK145" s="31">
        <f>$A$40</f>
        <v>20173</v>
      </c>
      <c r="AL145" s="116"/>
      <c r="AM145" s="117">
        <f t="shared" ref="AM145:AR145" si="302">IFERROR(AM110/AM75,"")</f>
        <v>2.9266061270969003E-3</v>
      </c>
      <c r="AN145" s="117">
        <f t="shared" si="302"/>
        <v>4.7863380695419306E-3</v>
      </c>
      <c r="AO145" s="117">
        <f t="shared" si="302"/>
        <v>5.3104557326368327E-3</v>
      </c>
      <c r="AP145" s="117">
        <f t="shared" si="302"/>
        <v>5.7273825024186306E-3</v>
      </c>
      <c r="AQ145" s="117">
        <f t="shared" si="302"/>
        <v>5.7993826219193446E-3</v>
      </c>
      <c r="AR145" s="117">
        <f t="shared" si="302"/>
        <v>5.7961436038328562E-3</v>
      </c>
      <c r="AS145" s="134"/>
      <c r="AT145" s="134"/>
      <c r="AU145" s="134"/>
      <c r="AV145" s="134"/>
      <c r="AW145" s="31">
        <f>$A$40</f>
        <v>20173</v>
      </c>
      <c r="AX145" s="116"/>
      <c r="AY145" s="117">
        <f t="shared" ref="AY145:BD145" si="303">IFERROR(AY110/AY75,"")</f>
        <v>7.0983804365387919E-4</v>
      </c>
      <c r="AZ145" s="117">
        <f t="shared" si="303"/>
        <v>1.0103377925431908E-3</v>
      </c>
      <c r="BA145" s="117">
        <f t="shared" si="303"/>
        <v>1.1685913310325628E-3</v>
      </c>
      <c r="BB145" s="117">
        <f t="shared" si="303"/>
        <v>1.3959390403402939E-3</v>
      </c>
      <c r="BC145" s="117">
        <f t="shared" si="303"/>
        <v>1.4530355354109511E-3</v>
      </c>
      <c r="BD145" s="117">
        <f t="shared" si="303"/>
        <v>1.4752854305081532E-3</v>
      </c>
      <c r="BE145" s="134"/>
      <c r="BF145" s="134"/>
      <c r="BG145" s="134"/>
      <c r="BH145" s="134"/>
      <c r="BI145" s="31">
        <f>$A$40</f>
        <v>20173</v>
      </c>
      <c r="BJ145" s="116"/>
      <c r="BK145" s="117">
        <f t="shared" ref="BK145:BP145" si="304">IFERROR(BK110/BK75,"")</f>
        <v>3.0345647786185893E-4</v>
      </c>
      <c r="BL145" s="117">
        <f t="shared" si="304"/>
        <v>3.1172436440909539E-4</v>
      </c>
      <c r="BM145" s="117">
        <f t="shared" si="304"/>
        <v>3.1190509628542063E-4</v>
      </c>
      <c r="BN145" s="117">
        <f t="shared" si="304"/>
        <v>3.118625429630803E-4</v>
      </c>
      <c r="BO145" s="117">
        <f t="shared" si="304"/>
        <v>3.1181792426467563E-4</v>
      </c>
      <c r="BP145" s="117">
        <f t="shared" si="304"/>
        <v>3.1181741453907818E-4</v>
      </c>
      <c r="BQ145" s="134"/>
      <c r="BR145" s="134"/>
      <c r="BS145" s="134"/>
      <c r="BT145" s="134"/>
      <c r="BU145" s="31">
        <f>$A$40</f>
        <v>20173</v>
      </c>
      <c r="BV145" s="116"/>
      <c r="BW145" s="117">
        <f t="shared" ref="BW145:CB145" si="305">IFERROR(BW110/BW75,"")</f>
        <v>0</v>
      </c>
      <c r="BX145" s="117">
        <f t="shared" si="305"/>
        <v>0</v>
      </c>
      <c r="BY145" s="117">
        <f t="shared" si="305"/>
        <v>0</v>
      </c>
      <c r="BZ145" s="117">
        <f t="shared" si="305"/>
        <v>0</v>
      </c>
      <c r="CA145" s="117">
        <f t="shared" si="305"/>
        <v>0</v>
      </c>
      <c r="CB145" s="117">
        <f t="shared" si="305"/>
        <v>0</v>
      </c>
      <c r="CC145" s="134"/>
      <c r="CD145" s="134"/>
      <c r="CE145" s="134"/>
      <c r="CF145" s="134"/>
      <c r="CG145" s="31">
        <f>$A$40</f>
        <v>20173</v>
      </c>
      <c r="CH145" s="116"/>
      <c r="CI145" s="117" t="str">
        <f t="shared" ref="CI145:CN145" si="306">IFERROR(CI110/CI75,"")</f>
        <v/>
      </c>
      <c r="CJ145" s="117" t="str">
        <f t="shared" si="306"/>
        <v/>
      </c>
      <c r="CK145" s="117" t="str">
        <f t="shared" si="306"/>
        <v/>
      </c>
      <c r="CL145" s="117" t="str">
        <f t="shared" si="306"/>
        <v/>
      </c>
      <c r="CM145" s="117" t="str">
        <f t="shared" si="306"/>
        <v/>
      </c>
      <c r="CN145" s="117" t="str">
        <f t="shared" si="306"/>
        <v/>
      </c>
      <c r="CO145" s="134"/>
      <c r="CP145" s="134"/>
      <c r="CQ145" s="134"/>
      <c r="CR145" s="134"/>
      <c r="CS145" s="31">
        <f>$A$40</f>
        <v>20173</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20173</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20183</v>
      </c>
      <c r="B146" s="116"/>
      <c r="C146" s="117">
        <f t="shared" ref="C146:G146" si="309">IFERROR(C111/C76,"")</f>
        <v>5.6403999493341052E-3</v>
      </c>
      <c r="D146" s="117">
        <f t="shared" si="309"/>
        <v>2.4157958457349877E-2</v>
      </c>
      <c r="E146" s="117">
        <f t="shared" si="309"/>
        <v>5.9767724858553965E-2</v>
      </c>
      <c r="F146" s="117">
        <f t="shared" si="309"/>
        <v>9.1888546688535772E-2</v>
      </c>
      <c r="G146" s="117">
        <f t="shared" si="309"/>
        <v>0.10801199338691581</v>
      </c>
      <c r="H146" s="134"/>
      <c r="I146" s="134"/>
      <c r="J146" s="134"/>
      <c r="K146" s="134"/>
      <c r="L146" s="134"/>
      <c r="M146" s="31">
        <f>$A$41</f>
        <v>20183</v>
      </c>
      <c r="N146" s="116"/>
      <c r="O146" s="117">
        <f t="shared" ref="O146:S146" si="310">IFERROR(O111/O76,"")</f>
        <v>1.6252492797706208E-3</v>
      </c>
      <c r="P146" s="117">
        <f t="shared" si="310"/>
        <v>4.3993373352982975E-3</v>
      </c>
      <c r="Q146" s="117">
        <f t="shared" si="310"/>
        <v>4.3804546071008728E-3</v>
      </c>
      <c r="R146" s="117">
        <f t="shared" si="310"/>
        <v>4.74105622313896E-3</v>
      </c>
      <c r="S146" s="117">
        <f t="shared" si="310"/>
        <v>4.959730547389212E-3</v>
      </c>
      <c r="T146" s="134"/>
      <c r="U146" s="134"/>
      <c r="V146" s="134"/>
      <c r="W146" s="134"/>
      <c r="X146" s="134"/>
      <c r="Y146" s="31">
        <f>$A$41</f>
        <v>20183</v>
      </c>
      <c r="Z146" s="116"/>
      <c r="AA146" s="117">
        <f t="shared" ref="AA146:AE146" si="311">IFERROR(AA111/AA76,"")</f>
        <v>6.9927005774337398E-3</v>
      </c>
      <c r="AB146" s="117">
        <f t="shared" si="311"/>
        <v>2.1851643638682403E-2</v>
      </c>
      <c r="AC146" s="117">
        <f t="shared" si="311"/>
        <v>5.2668366385705323E-2</v>
      </c>
      <c r="AD146" s="117">
        <f t="shared" si="311"/>
        <v>7.7213887903937975E-2</v>
      </c>
      <c r="AE146" s="117">
        <f t="shared" si="311"/>
        <v>9.0487893589947729E-2</v>
      </c>
      <c r="AF146" s="134"/>
      <c r="AG146" s="134"/>
      <c r="AH146" s="134"/>
      <c r="AI146" s="134"/>
      <c r="AJ146" s="134"/>
      <c r="AK146" s="31">
        <f>$A$41</f>
        <v>20183</v>
      </c>
      <c r="AL146" s="116"/>
      <c r="AM146" s="117">
        <f t="shared" ref="AM146:AQ146" si="312">IFERROR(AM111/AM76,"")</f>
        <v>2.7784663796563639E-3</v>
      </c>
      <c r="AN146" s="117">
        <f t="shared" si="312"/>
        <v>4.2275428459400228E-3</v>
      </c>
      <c r="AO146" s="117">
        <f t="shared" si="312"/>
        <v>4.6702894028782223E-3</v>
      </c>
      <c r="AP146" s="117">
        <f t="shared" si="312"/>
        <v>5.0379222932610728E-3</v>
      </c>
      <c r="AQ146" s="117">
        <f t="shared" si="312"/>
        <v>5.4547183175841099E-3</v>
      </c>
      <c r="AR146" s="134"/>
      <c r="AS146" s="134"/>
      <c r="AT146" s="134"/>
      <c r="AU146" s="134"/>
      <c r="AV146" s="134"/>
      <c r="AW146" s="31">
        <f>$A$41</f>
        <v>20183</v>
      </c>
      <c r="AX146" s="116"/>
      <c r="AY146" s="117">
        <f t="shared" ref="AY146:BC146" si="313">IFERROR(AY111/AY76,"")</f>
        <v>8.659579923742083E-4</v>
      </c>
      <c r="AZ146" s="117">
        <f t="shared" si="313"/>
        <v>1.2569306975240974E-3</v>
      </c>
      <c r="BA146" s="117">
        <f t="shared" si="313"/>
        <v>1.5510007427051477E-3</v>
      </c>
      <c r="BB146" s="117">
        <f t="shared" si="313"/>
        <v>1.5374588001857664E-3</v>
      </c>
      <c r="BC146" s="117">
        <f t="shared" si="313"/>
        <v>1.5769692162324869E-3</v>
      </c>
      <c r="BD146" s="134"/>
      <c r="BE146" s="134"/>
      <c r="BF146" s="134"/>
      <c r="BG146" s="134"/>
      <c r="BH146" s="134"/>
      <c r="BI146" s="31">
        <f>$A$41</f>
        <v>20183</v>
      </c>
      <c r="BJ146" s="116"/>
      <c r="BK146" s="117">
        <f t="shared" ref="BK146:BO146" si="314">IFERROR(BK111/BK76,"")</f>
        <v>4.8650686701476244E-4</v>
      </c>
      <c r="BL146" s="117">
        <f t="shared" si="314"/>
        <v>6.1720463300792342E-4</v>
      </c>
      <c r="BM146" s="117">
        <f t="shared" si="314"/>
        <v>6.1903007209006906E-4</v>
      </c>
      <c r="BN146" s="117">
        <f t="shared" si="314"/>
        <v>6.2280997309892912E-4</v>
      </c>
      <c r="BO146" s="117">
        <f t="shared" si="314"/>
        <v>6.2273475484570743E-4</v>
      </c>
      <c r="BP146" s="134"/>
      <c r="BQ146" s="134"/>
      <c r="BR146" s="134"/>
      <c r="BS146" s="134"/>
      <c r="BT146" s="134"/>
      <c r="BU146" s="31">
        <f>$A$41</f>
        <v>20183</v>
      </c>
      <c r="BV146" s="116"/>
      <c r="BW146" s="117">
        <f t="shared" ref="BW146:CA146" si="315">IFERROR(BW111/BW76,"")</f>
        <v>0</v>
      </c>
      <c r="BX146" s="117">
        <f t="shared" si="315"/>
        <v>1.5653392242279213E-2</v>
      </c>
      <c r="BY146" s="117">
        <f t="shared" si="315"/>
        <v>1.5206085512761132E-2</v>
      </c>
      <c r="BZ146" s="117">
        <f t="shared" si="315"/>
        <v>1.5013031921106463E-2</v>
      </c>
      <c r="CA146" s="117">
        <f t="shared" si="315"/>
        <v>1.5013031921106463E-2</v>
      </c>
      <c r="CB146" s="134"/>
      <c r="CC146" s="134"/>
      <c r="CD146" s="134"/>
      <c r="CE146" s="134"/>
      <c r="CF146" s="134"/>
      <c r="CG146" s="31">
        <f>$A$41</f>
        <v>20183</v>
      </c>
      <c r="CH146" s="116"/>
      <c r="CI146" s="117" t="str">
        <f t="shared" ref="CI146:CM146" si="316">IFERROR(CI111/CI76,"")</f>
        <v/>
      </c>
      <c r="CJ146" s="117" t="str">
        <f t="shared" si="316"/>
        <v/>
      </c>
      <c r="CK146" s="117" t="str">
        <f t="shared" si="316"/>
        <v/>
      </c>
      <c r="CL146" s="117" t="str">
        <f t="shared" si="316"/>
        <v/>
      </c>
      <c r="CM146" s="117" t="str">
        <f t="shared" si="316"/>
        <v/>
      </c>
      <c r="CN146" s="134"/>
      <c r="CO146" s="134"/>
      <c r="CP146" s="134"/>
      <c r="CQ146" s="134"/>
      <c r="CR146" s="134"/>
      <c r="CS146" s="31">
        <f>$A$41</f>
        <v>20183</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20183</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20193</v>
      </c>
      <c r="B147" s="116"/>
      <c r="C147" s="117">
        <f t="shared" ref="C147:F147" si="319">IFERROR(C112/C77,"")</f>
        <v>5.8596293887664321E-3</v>
      </c>
      <c r="D147" s="117">
        <f t="shared" si="319"/>
        <v>2.5935064726911445E-2</v>
      </c>
      <c r="E147" s="117">
        <f t="shared" si="319"/>
        <v>6.448315227474366E-2</v>
      </c>
      <c r="F147" s="117">
        <f t="shared" si="319"/>
        <v>0.10300527785880365</v>
      </c>
      <c r="G147" s="134"/>
      <c r="H147" s="134"/>
      <c r="I147" s="134"/>
      <c r="J147" s="134"/>
      <c r="K147" s="134"/>
      <c r="L147" s="134"/>
      <c r="M147" s="31">
        <f>$A$42</f>
        <v>20193</v>
      </c>
      <c r="N147" s="116"/>
      <c r="O147" s="117">
        <f t="shared" ref="O147:R147" si="320">IFERROR(O112/O77,"")</f>
        <v>1.8946909509415914E-3</v>
      </c>
      <c r="P147" s="117">
        <f t="shared" si="320"/>
        <v>3.8148560388803895E-3</v>
      </c>
      <c r="Q147" s="117">
        <f t="shared" si="320"/>
        <v>5.0777904242673474E-3</v>
      </c>
      <c r="R147" s="117">
        <f t="shared" si="320"/>
        <v>5.2990807883650159E-3</v>
      </c>
      <c r="S147" s="134"/>
      <c r="T147" s="134"/>
      <c r="U147" s="134"/>
      <c r="V147" s="134"/>
      <c r="W147" s="134"/>
      <c r="X147" s="134"/>
      <c r="Y147" s="31">
        <f>$A$42</f>
        <v>20193</v>
      </c>
      <c r="Z147" s="116"/>
      <c r="AA147" s="117">
        <f t="shared" ref="AA147:AD147" si="321">IFERROR(AA112/AA77,"")</f>
        <v>8.7866295467444039E-3</v>
      </c>
      <c r="AB147" s="117">
        <f t="shared" si="321"/>
        <v>2.6717735663186089E-2</v>
      </c>
      <c r="AC147" s="117">
        <f t="shared" si="321"/>
        <v>5.3897892897518167E-2</v>
      </c>
      <c r="AD147" s="117">
        <f t="shared" si="321"/>
        <v>8.0254182952031697E-2</v>
      </c>
      <c r="AE147" s="134"/>
      <c r="AF147" s="134"/>
      <c r="AG147" s="134"/>
      <c r="AH147" s="134"/>
      <c r="AI147" s="134"/>
      <c r="AJ147" s="134"/>
      <c r="AK147" s="31">
        <f>$A$42</f>
        <v>20193</v>
      </c>
      <c r="AL147" s="116"/>
      <c r="AM147" s="117">
        <f t="shared" ref="AM147:AP147" si="322">IFERROR(AM112/AM77,"")</f>
        <v>2.9412814608205415E-3</v>
      </c>
      <c r="AN147" s="117">
        <f t="shared" si="322"/>
        <v>5.1659393264008096E-3</v>
      </c>
      <c r="AO147" s="117">
        <f t="shared" si="322"/>
        <v>5.972607904139734E-3</v>
      </c>
      <c r="AP147" s="117">
        <f t="shared" si="322"/>
        <v>6.0560727174973879E-3</v>
      </c>
      <c r="AQ147" s="134"/>
      <c r="AR147" s="134"/>
      <c r="AS147" s="134"/>
      <c r="AT147" s="134"/>
      <c r="AU147" s="134"/>
      <c r="AV147" s="134"/>
      <c r="AW147" s="31">
        <f>$A$42</f>
        <v>20193</v>
      </c>
      <c r="AX147" s="116"/>
      <c r="AY147" s="117">
        <f t="shared" ref="AY147:BB147" si="323">IFERROR(AY112/AY77,"")</f>
        <v>1.1191243354858201E-3</v>
      </c>
      <c r="AZ147" s="117">
        <f t="shared" si="323"/>
        <v>2.0991807439545407E-3</v>
      </c>
      <c r="BA147" s="117">
        <f t="shared" si="323"/>
        <v>2.7708664529899167E-3</v>
      </c>
      <c r="BB147" s="117">
        <f t="shared" si="323"/>
        <v>3.0239019339478486E-3</v>
      </c>
      <c r="BC147" s="134"/>
      <c r="BD147" s="134"/>
      <c r="BE147" s="134"/>
      <c r="BF147" s="134"/>
      <c r="BG147" s="134"/>
      <c r="BH147" s="134"/>
      <c r="BI147" s="31">
        <f>$A$42</f>
        <v>20193</v>
      </c>
      <c r="BJ147" s="116"/>
      <c r="BK147" s="117">
        <f t="shared" ref="BK147:BN147" si="324">IFERROR(BK112/BK77,"")</f>
        <v>5.1094470829652619E-4</v>
      </c>
      <c r="BL147" s="117">
        <f t="shared" si="324"/>
        <v>5.715444227117276E-4</v>
      </c>
      <c r="BM147" s="117">
        <f t="shared" si="324"/>
        <v>5.7134615932295124E-4</v>
      </c>
      <c r="BN147" s="117">
        <f t="shared" si="324"/>
        <v>5.7117161221008448E-4</v>
      </c>
      <c r="BO147" s="134"/>
      <c r="BP147" s="134"/>
      <c r="BQ147" s="134"/>
      <c r="BR147" s="134"/>
      <c r="BS147" s="134"/>
      <c r="BT147" s="134"/>
      <c r="BU147" s="31">
        <f>$A$42</f>
        <v>20193</v>
      </c>
      <c r="BV147" s="116"/>
      <c r="BW147" s="117">
        <f t="shared" ref="BW147:BZ147" si="325">IFERROR(BW112/BW77,"")</f>
        <v>1.7205371442651223E-3</v>
      </c>
      <c r="BX147" s="117">
        <f t="shared" si="325"/>
        <v>-2.4760282635656329E-19</v>
      </c>
      <c r="BY147" s="117">
        <f t="shared" si="325"/>
        <v>-2.3976977269137623E-19</v>
      </c>
      <c r="BZ147" s="117">
        <f t="shared" si="325"/>
        <v>-2.3976977269137623E-19</v>
      </c>
      <c r="CA147" s="134"/>
      <c r="CB147" s="134"/>
      <c r="CC147" s="134"/>
      <c r="CD147" s="134"/>
      <c r="CE147" s="134"/>
      <c r="CF147" s="134"/>
      <c r="CG147" s="31">
        <f>$A$42</f>
        <v>20193</v>
      </c>
      <c r="CH147" s="116"/>
      <c r="CI147" s="117" t="str">
        <f t="shared" ref="CI147:CL147" si="326">IFERROR(CI112/CI77,"")</f>
        <v/>
      </c>
      <c r="CJ147" s="117" t="str">
        <f t="shared" si="326"/>
        <v/>
      </c>
      <c r="CK147" s="117" t="str">
        <f t="shared" si="326"/>
        <v/>
      </c>
      <c r="CL147" s="117" t="str">
        <f t="shared" si="326"/>
        <v/>
      </c>
      <c r="CM147" s="134"/>
      <c r="CN147" s="134"/>
      <c r="CO147" s="134"/>
      <c r="CP147" s="134"/>
      <c r="CQ147" s="134"/>
      <c r="CR147" s="134"/>
      <c r="CS147" s="31">
        <f>$A$42</f>
        <v>20193</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20193</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20203</v>
      </c>
      <c r="B148" s="116"/>
      <c r="C148" s="117">
        <f t="shared" ref="C148:E148" si="329">IFERROR(C113/C78,"")</f>
        <v>7.686336766256587E-3</v>
      </c>
      <c r="D148" s="117">
        <f t="shared" si="329"/>
        <v>3.277428115809107E-2</v>
      </c>
      <c r="E148" s="117">
        <f t="shared" si="329"/>
        <v>7.8202364176197511E-2</v>
      </c>
      <c r="F148" s="134"/>
      <c r="G148" s="134"/>
      <c r="H148" s="134"/>
      <c r="I148" s="134"/>
      <c r="J148" s="134"/>
      <c r="K148" s="134"/>
      <c r="L148" s="134"/>
      <c r="M148" s="31">
        <f>$A$43</f>
        <v>20203</v>
      </c>
      <c r="N148" s="116"/>
      <c r="O148" s="117">
        <f t="shared" ref="O148:Q150" si="330">IFERROR(O113/O78,"")</f>
        <v>2.8508483016877243E-3</v>
      </c>
      <c r="P148" s="117">
        <f t="shared" si="330"/>
        <v>4.6911063206519065E-3</v>
      </c>
      <c r="Q148" s="117">
        <f t="shared" si="330"/>
        <v>5.5938252864240791E-3</v>
      </c>
      <c r="R148" s="134"/>
      <c r="S148" s="134"/>
      <c r="T148" s="134"/>
      <c r="U148" s="134"/>
      <c r="V148" s="134"/>
      <c r="W148" s="134"/>
      <c r="X148" s="134"/>
      <c r="Y148" s="31">
        <f>$A$43</f>
        <v>20203</v>
      </c>
      <c r="Z148" s="116"/>
      <c r="AA148" s="117">
        <f t="shared" ref="AA148:AC150" si="331">IFERROR(AA113/AA78,"")</f>
        <v>1.1429396957050539E-2</v>
      </c>
      <c r="AB148" s="117">
        <f t="shared" si="331"/>
        <v>2.9007265250787315E-2</v>
      </c>
      <c r="AC148" s="117">
        <f t="shared" si="331"/>
        <v>5.9661359945150774E-2</v>
      </c>
      <c r="AD148" s="134"/>
      <c r="AE148" s="134"/>
      <c r="AF148" s="134"/>
      <c r="AG148" s="134"/>
      <c r="AH148" s="134"/>
      <c r="AI148" s="134"/>
      <c r="AJ148" s="134"/>
      <c r="AK148" s="31">
        <f>$A$43</f>
        <v>20203</v>
      </c>
      <c r="AL148" s="116"/>
      <c r="AM148" s="117">
        <f t="shared" ref="AM148:AO150" si="332">IFERROR(AM113/AM78,"")</f>
        <v>7.0820636692252277E-3</v>
      </c>
      <c r="AN148" s="117">
        <f t="shared" si="332"/>
        <v>1.0505819660200441E-2</v>
      </c>
      <c r="AO148" s="117">
        <f t="shared" si="332"/>
        <v>1.1779273400186576E-2</v>
      </c>
      <c r="AP148" s="134"/>
      <c r="AQ148" s="134"/>
      <c r="AR148" s="134"/>
      <c r="AS148" s="134"/>
      <c r="AT148" s="134"/>
      <c r="AU148" s="134"/>
      <c r="AV148" s="134"/>
      <c r="AW148" s="31">
        <f>$A$43</f>
        <v>20203</v>
      </c>
      <c r="AX148" s="116"/>
      <c r="AY148" s="117">
        <f t="shared" ref="AY148:BA150" si="333">IFERROR(AY113/AY78,"")</f>
        <v>2.8081172876669833E-3</v>
      </c>
      <c r="AZ148" s="117">
        <f t="shared" si="333"/>
        <v>4.2817396600207175E-3</v>
      </c>
      <c r="BA148" s="117">
        <f t="shared" si="333"/>
        <v>4.8348468518691606E-3</v>
      </c>
      <c r="BB148" s="134"/>
      <c r="BC148" s="134"/>
      <c r="BD148" s="134"/>
      <c r="BE148" s="134"/>
      <c r="BF148" s="134"/>
      <c r="BG148" s="134"/>
      <c r="BH148" s="134"/>
      <c r="BI148" s="31">
        <f>$A$43</f>
        <v>20203</v>
      </c>
      <c r="BJ148" s="116"/>
      <c r="BK148" s="117">
        <f t="shared" ref="BK148:BM150" si="334">IFERROR(BK113/BK78,"")</f>
        <v>1.1736524429223701E-3</v>
      </c>
      <c r="BL148" s="117">
        <f t="shared" si="334"/>
        <v>1.2521140642516827E-3</v>
      </c>
      <c r="BM148" s="117">
        <f t="shared" si="334"/>
        <v>1.2779480512195758E-3</v>
      </c>
      <c r="BN148" s="134"/>
      <c r="BO148" s="134"/>
      <c r="BP148" s="134"/>
      <c r="BQ148" s="134"/>
      <c r="BR148" s="134"/>
      <c r="BS148" s="134"/>
      <c r="BT148" s="134"/>
      <c r="BU148" s="31">
        <f>$A$43</f>
        <v>20203</v>
      </c>
      <c r="BV148" s="116"/>
      <c r="BW148" s="117">
        <f t="shared" ref="BW148:BY150" si="335">IFERROR(BW113/BW78,"")</f>
        <v>0</v>
      </c>
      <c r="BX148" s="117">
        <f t="shared" si="335"/>
        <v>1.4878996115924708E-4</v>
      </c>
      <c r="BY148" s="117">
        <f t="shared" si="335"/>
        <v>1.4878996115924708E-4</v>
      </c>
      <c r="BZ148" s="134"/>
      <c r="CA148" s="134"/>
      <c r="CB148" s="134"/>
      <c r="CC148" s="134"/>
      <c r="CD148" s="134"/>
      <c r="CE148" s="134"/>
      <c r="CF148" s="134"/>
      <c r="CG148" s="31">
        <f>$A$43</f>
        <v>20203</v>
      </c>
      <c r="CH148" s="116"/>
      <c r="CI148" s="117" t="str">
        <f t="shared" ref="CI148:CK150" si="336">IFERROR(CI113/CI78,"")</f>
        <v/>
      </c>
      <c r="CJ148" s="117" t="str">
        <f t="shared" si="336"/>
        <v/>
      </c>
      <c r="CK148" s="117" t="str">
        <f t="shared" si="336"/>
        <v/>
      </c>
      <c r="CL148" s="134"/>
      <c r="CM148" s="134"/>
      <c r="CN148" s="134"/>
      <c r="CO148" s="134"/>
      <c r="CP148" s="134"/>
      <c r="CQ148" s="134"/>
      <c r="CR148" s="134"/>
      <c r="CS148" s="31">
        <f>$A$43</f>
        <v>20203</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20203</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20213</v>
      </c>
      <c r="B149" s="116"/>
      <c r="C149" s="117">
        <f t="shared" ref="C149" si="339">IFERROR(C114/C79,"")</f>
        <v>6.2837672427272862E-3</v>
      </c>
      <c r="D149" s="117">
        <f>IFERROR(D114/D79,"")</f>
        <v>2.3923127950012016E-2</v>
      </c>
      <c r="E149" s="134"/>
      <c r="F149" s="134"/>
      <c r="G149" s="134"/>
      <c r="H149" s="134"/>
      <c r="I149" s="134"/>
      <c r="J149" s="134"/>
      <c r="K149" s="134"/>
      <c r="L149" s="134"/>
      <c r="M149" s="31">
        <f>$A$44</f>
        <v>20213</v>
      </c>
      <c r="N149" s="116"/>
      <c r="O149" s="117">
        <f t="shared" si="330"/>
        <v>7.826438401270238E-4</v>
      </c>
      <c r="P149" s="117">
        <f>IFERROR(P114/P79,"")</f>
        <v>1.5259820591708971E-3</v>
      </c>
      <c r="Q149" s="134"/>
      <c r="R149" s="134"/>
      <c r="S149" s="134"/>
      <c r="T149" s="134"/>
      <c r="U149" s="134"/>
      <c r="V149" s="134"/>
      <c r="W149" s="134"/>
      <c r="X149" s="134"/>
      <c r="Y149" s="31">
        <f>$A$44</f>
        <v>20213</v>
      </c>
      <c r="Z149" s="116"/>
      <c r="AA149" s="117">
        <f t="shared" si="331"/>
        <v>7.7093555946899858E-3</v>
      </c>
      <c r="AB149" s="117">
        <f>IFERROR(AB114/AB79,"")</f>
        <v>2.099468792319794E-2</v>
      </c>
      <c r="AC149" s="134"/>
      <c r="AD149" s="134"/>
      <c r="AE149" s="134"/>
      <c r="AF149" s="134"/>
      <c r="AG149" s="134"/>
      <c r="AH149" s="134"/>
      <c r="AI149" s="134"/>
      <c r="AJ149" s="134"/>
      <c r="AK149" s="31">
        <f>$A$44</f>
        <v>20213</v>
      </c>
      <c r="AL149" s="116"/>
      <c r="AM149" s="117">
        <f t="shared" si="332"/>
        <v>4.8600828624270412E-3</v>
      </c>
      <c r="AN149" s="117">
        <f>IFERROR(AN114/AN79,"")</f>
        <v>6.2303774987683674E-3</v>
      </c>
      <c r="AO149" s="134"/>
      <c r="AP149" s="134"/>
      <c r="AQ149" s="134"/>
      <c r="AR149" s="134"/>
      <c r="AS149" s="134"/>
      <c r="AT149" s="134"/>
      <c r="AU149" s="134"/>
      <c r="AV149" s="134"/>
      <c r="AW149" s="31">
        <f>$A$44</f>
        <v>20213</v>
      </c>
      <c r="AX149" s="116"/>
      <c r="AY149" s="117">
        <f t="shared" si="333"/>
        <v>1.9041925832106697E-3</v>
      </c>
      <c r="AZ149" s="117">
        <f>IFERROR(AZ114/AZ79,"")</f>
        <v>2.7200543413825272E-3</v>
      </c>
      <c r="BA149" s="134"/>
      <c r="BB149" s="134"/>
      <c r="BC149" s="134"/>
      <c r="BD149" s="134"/>
      <c r="BE149" s="134"/>
      <c r="BF149" s="134"/>
      <c r="BG149" s="134"/>
      <c r="BH149" s="134"/>
      <c r="BI149" s="31">
        <f>$A$44</f>
        <v>20213</v>
      </c>
      <c r="BJ149" s="116"/>
      <c r="BK149" s="117">
        <f t="shared" si="334"/>
        <v>2.4712207400065154E-4</v>
      </c>
      <c r="BL149" s="117">
        <f>IFERROR(BL114/BL79,"")</f>
        <v>2.5742322121295714E-4</v>
      </c>
      <c r="BM149" s="134"/>
      <c r="BN149" s="134"/>
      <c r="BO149" s="134"/>
      <c r="BP149" s="134"/>
      <c r="BQ149" s="134"/>
      <c r="BR149" s="134"/>
      <c r="BS149" s="134"/>
      <c r="BT149" s="134"/>
      <c r="BU149" s="31">
        <f>$A$44</f>
        <v>20213</v>
      </c>
      <c r="BV149" s="116"/>
      <c r="BW149" s="117">
        <f t="shared" si="335"/>
        <v>2.224694104560623E-4</v>
      </c>
      <c r="BX149" s="117">
        <f>IFERROR(BX114/BX79,"")</f>
        <v>1.7322444939371441E-4</v>
      </c>
      <c r="BY149" s="134"/>
      <c r="BZ149" s="134"/>
      <c r="CA149" s="134"/>
      <c r="CB149" s="134"/>
      <c r="CC149" s="134"/>
      <c r="CD149" s="134"/>
      <c r="CE149" s="134"/>
      <c r="CF149" s="134"/>
      <c r="CG149" s="31">
        <f>$A$44</f>
        <v>20213</v>
      </c>
      <c r="CH149" s="116"/>
      <c r="CI149" s="117" t="str">
        <f t="shared" si="336"/>
        <v/>
      </c>
      <c r="CJ149" s="117" t="str">
        <f>IFERROR(CJ114/CJ79,"")</f>
        <v/>
      </c>
      <c r="CK149" s="134"/>
      <c r="CL149" s="134"/>
      <c r="CM149" s="134"/>
      <c r="CN149" s="134"/>
      <c r="CO149" s="134"/>
      <c r="CP149" s="134"/>
      <c r="CQ149" s="134"/>
      <c r="CR149" s="134"/>
      <c r="CS149" s="31">
        <f>$A$44</f>
        <v>20213</v>
      </c>
      <c r="CT149" s="116"/>
      <c r="CU149" s="117" t="str">
        <f t="shared" si="337"/>
        <v/>
      </c>
      <c r="CV149" s="117" t="str">
        <f>IFERROR(CV114/CV79,"")</f>
        <v/>
      </c>
      <c r="CW149" s="134"/>
      <c r="CX149" s="134"/>
      <c r="CY149" s="134"/>
      <c r="CZ149" s="134"/>
      <c r="DA149" s="134"/>
      <c r="DB149" s="134"/>
      <c r="DC149" s="134"/>
      <c r="DD149" s="134"/>
      <c r="DE149" s="31">
        <f>$A$44</f>
        <v>20213</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20223</v>
      </c>
      <c r="B150" s="116"/>
      <c r="C150" s="117">
        <f t="shared" ref="C150" si="340">IFERROR(C115/C80,"")</f>
        <v>4.4728210368549228E-3</v>
      </c>
      <c r="D150" s="134"/>
      <c r="E150" s="134"/>
      <c r="F150" s="134"/>
      <c r="G150" s="134"/>
      <c r="H150" s="134"/>
      <c r="I150" s="134"/>
      <c r="J150" s="134"/>
      <c r="K150" s="134"/>
      <c r="L150" s="134"/>
      <c r="M150" s="31">
        <f>$A$45</f>
        <v>20223</v>
      </c>
      <c r="N150" s="116"/>
      <c r="O150" s="117">
        <f t="shared" si="330"/>
        <v>2.0554738908856538E-3</v>
      </c>
      <c r="P150" s="134"/>
      <c r="Q150" s="134"/>
      <c r="R150" s="134"/>
      <c r="S150" s="134"/>
      <c r="T150" s="134"/>
      <c r="U150" s="134"/>
      <c r="V150" s="134"/>
      <c r="W150" s="134"/>
      <c r="X150" s="134"/>
      <c r="Y150" s="31">
        <f>$A$45</f>
        <v>20223</v>
      </c>
      <c r="Z150" s="116"/>
      <c r="AA150" s="117">
        <f t="shared" si="331"/>
        <v>6.4039541222629202E-3</v>
      </c>
      <c r="AB150" s="134"/>
      <c r="AC150" s="134"/>
      <c r="AD150" s="134"/>
      <c r="AE150" s="134"/>
      <c r="AF150" s="134"/>
      <c r="AG150" s="134"/>
      <c r="AH150" s="134"/>
      <c r="AI150" s="134"/>
      <c r="AJ150" s="134"/>
      <c r="AK150" s="31">
        <f>$A$45</f>
        <v>20223</v>
      </c>
      <c r="AL150" s="116"/>
      <c r="AM150" s="117">
        <f t="shared" si="332"/>
        <v>2.9563054135222405E-3</v>
      </c>
      <c r="AN150" s="134"/>
      <c r="AO150" s="134"/>
      <c r="AP150" s="134"/>
      <c r="AQ150" s="134"/>
      <c r="AR150" s="134"/>
      <c r="AS150" s="134"/>
      <c r="AT150" s="134"/>
      <c r="AU150" s="134"/>
      <c r="AV150" s="134"/>
      <c r="AW150" s="31">
        <f>$A$45</f>
        <v>20223</v>
      </c>
      <c r="AX150" s="116"/>
      <c r="AY150" s="117">
        <f t="shared" si="333"/>
        <v>1.2565263256890489E-3</v>
      </c>
      <c r="AZ150" s="134"/>
      <c r="BA150" s="134"/>
      <c r="BB150" s="134"/>
      <c r="BC150" s="134"/>
      <c r="BD150" s="134"/>
      <c r="BE150" s="134"/>
      <c r="BF150" s="134"/>
      <c r="BG150" s="134"/>
      <c r="BH150" s="134"/>
      <c r="BI150" s="31">
        <f>$A$45</f>
        <v>20223</v>
      </c>
      <c r="BJ150" s="116"/>
      <c r="BK150" s="117">
        <f t="shared" si="334"/>
        <v>1.912758686053072E-4</v>
      </c>
      <c r="BL150" s="134"/>
      <c r="BM150" s="134"/>
      <c r="BN150" s="134"/>
      <c r="BO150" s="134"/>
      <c r="BP150" s="134"/>
      <c r="BQ150" s="134"/>
      <c r="BR150" s="134"/>
      <c r="BS150" s="134"/>
      <c r="BT150" s="134"/>
      <c r="BU150" s="31">
        <f>$A$45</f>
        <v>20223</v>
      </c>
      <c r="BV150" s="116"/>
      <c r="BW150" s="117">
        <f t="shared" si="335"/>
        <v>0</v>
      </c>
      <c r="BX150" s="134"/>
      <c r="BY150" s="134"/>
      <c r="BZ150" s="134"/>
      <c r="CA150" s="134"/>
      <c r="CB150" s="134"/>
      <c r="CC150" s="134"/>
      <c r="CD150" s="134"/>
      <c r="CE150" s="134"/>
      <c r="CF150" s="134"/>
      <c r="CG150" s="31">
        <f>$A$45</f>
        <v>20223</v>
      </c>
      <c r="CH150" s="116"/>
      <c r="CI150" s="117" t="str">
        <f t="shared" si="336"/>
        <v/>
      </c>
      <c r="CJ150" s="134"/>
      <c r="CK150" s="134"/>
      <c r="CL150" s="134"/>
      <c r="CM150" s="134"/>
      <c r="CN150" s="134"/>
      <c r="CO150" s="134"/>
      <c r="CP150" s="134"/>
      <c r="CQ150" s="134"/>
      <c r="CR150" s="134"/>
      <c r="CS150" s="31">
        <f>$A$45</f>
        <v>20223</v>
      </c>
      <c r="CT150" s="116"/>
      <c r="CU150" s="117" t="str">
        <f t="shared" si="337"/>
        <v/>
      </c>
      <c r="CV150" s="134"/>
      <c r="CW150" s="134"/>
      <c r="CX150" s="134"/>
      <c r="CY150" s="134"/>
      <c r="CZ150" s="134"/>
      <c r="DA150" s="134"/>
      <c r="DB150" s="134"/>
      <c r="DC150" s="134"/>
      <c r="DD150" s="134"/>
      <c r="DE150" s="31">
        <f>$A$45</f>
        <v>20223</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ht="30" x14ac:dyDescent="0.25">
      <c r="A153" s="92" t="str">
        <f>$A$35</f>
        <v>Fiscal Accident Year Data Ending</v>
      </c>
      <c r="B153" s="92"/>
      <c r="C153" s="100" t="str">
        <f>$C$35&amp;"-"&amp;$D$35</f>
        <v>15-27</v>
      </c>
      <c r="D153" s="100" t="str">
        <f>$D$35&amp;"-"&amp;$E$35</f>
        <v>27-39</v>
      </c>
      <c r="E153" s="100" t="str">
        <f>$E$35&amp;"-"&amp;$F$35</f>
        <v>39-51</v>
      </c>
      <c r="F153" s="100" t="str">
        <f>$F$35&amp;"-"&amp;$G$35</f>
        <v>51-63</v>
      </c>
      <c r="G153" s="100" t="str">
        <f>$G$35&amp;"-"&amp;$H$35</f>
        <v>63-75</v>
      </c>
      <c r="H153" s="100" t="str">
        <f>$H$35&amp;"-"&amp;$I$35</f>
        <v>75-87</v>
      </c>
      <c r="I153" s="100" t="str">
        <f>$I$35&amp;"-"&amp;$J$35</f>
        <v>87-99</v>
      </c>
      <c r="J153" s="100" t="str">
        <f>$J$35&amp;"-"&amp;$K$35</f>
        <v>99-111</v>
      </c>
      <c r="K153" s="100" t="str">
        <f>$K$35&amp;"-"&amp;$L$35</f>
        <v>111-123</v>
      </c>
      <c r="L153" s="100" t="str">
        <f>$L$35&amp;"-Ult"</f>
        <v>123-Ult</v>
      </c>
      <c r="M153" s="92" t="str">
        <f>$A$35</f>
        <v>Fiscal Accident Year Data Ending</v>
      </c>
      <c r="N153" s="92"/>
      <c r="O153" s="100" t="str">
        <f>$C$35&amp;"-"&amp;$D$35</f>
        <v>15-27</v>
      </c>
      <c r="P153" s="100" t="str">
        <f>$D$35&amp;"-"&amp;$E$35</f>
        <v>27-39</v>
      </c>
      <c r="Q153" s="100" t="str">
        <f>$E$35&amp;"-"&amp;$F$35</f>
        <v>39-51</v>
      </c>
      <c r="R153" s="100" t="str">
        <f>$F$35&amp;"-"&amp;$G$35</f>
        <v>51-63</v>
      </c>
      <c r="S153" s="100" t="str">
        <f>$G$35&amp;"-"&amp;$H$35</f>
        <v>63-75</v>
      </c>
      <c r="T153" s="100" t="str">
        <f>$H$35&amp;"-"&amp;$I$35</f>
        <v>75-87</v>
      </c>
      <c r="U153" s="100" t="str">
        <f>$I$35&amp;"-"&amp;$J$35</f>
        <v>87-99</v>
      </c>
      <c r="V153" s="100" t="str">
        <f>$J$35&amp;"-"&amp;$K$35</f>
        <v>99-111</v>
      </c>
      <c r="W153" s="100" t="str">
        <f>$K$35&amp;"-"&amp;$L$35</f>
        <v>111-123</v>
      </c>
      <c r="X153" s="100" t="str">
        <f>$L$35&amp;"-Ult"</f>
        <v>123-Ult</v>
      </c>
      <c r="Y153" s="92" t="str">
        <f>$A$35</f>
        <v>Fiscal Accident Year Data Ending</v>
      </c>
      <c r="Z153" s="92"/>
      <c r="AA153" s="100" t="str">
        <f>$C$35&amp;"-"&amp;$D$35</f>
        <v>15-27</v>
      </c>
      <c r="AB153" s="100" t="str">
        <f>$D$35&amp;"-"&amp;$E$35</f>
        <v>27-39</v>
      </c>
      <c r="AC153" s="100" t="str">
        <f>$E$35&amp;"-"&amp;$F$35</f>
        <v>39-51</v>
      </c>
      <c r="AD153" s="100" t="str">
        <f>$F$35&amp;"-"&amp;$G$35</f>
        <v>51-63</v>
      </c>
      <c r="AE153" s="100" t="str">
        <f>$G$35&amp;"-"&amp;$H$35</f>
        <v>63-75</v>
      </c>
      <c r="AF153" s="100" t="str">
        <f>$H$35&amp;"-"&amp;$I$35</f>
        <v>75-87</v>
      </c>
      <c r="AG153" s="100" t="str">
        <f>$I$35&amp;"-"&amp;$J$35</f>
        <v>87-99</v>
      </c>
      <c r="AH153" s="100" t="str">
        <f>$J$35&amp;"-"&amp;$K$35</f>
        <v>99-111</v>
      </c>
      <c r="AI153" s="100" t="str">
        <f>$K$35&amp;"-"&amp;$L$35</f>
        <v>111-123</v>
      </c>
      <c r="AJ153" s="100" t="str">
        <f>$L$35&amp;"-Ult"</f>
        <v>123-Ult</v>
      </c>
      <c r="AK153" s="92" t="str">
        <f>$A$35</f>
        <v>Fiscal Accident Year Data Ending</v>
      </c>
      <c r="AL153" s="92"/>
      <c r="AM153" s="100" t="str">
        <f>$C$35&amp;"-"&amp;$D$35</f>
        <v>15-27</v>
      </c>
      <c r="AN153" s="100" t="str">
        <f>$D$35&amp;"-"&amp;$E$35</f>
        <v>27-39</v>
      </c>
      <c r="AO153" s="100" t="str">
        <f>$E$35&amp;"-"&amp;$F$35</f>
        <v>39-51</v>
      </c>
      <c r="AP153" s="100" t="str">
        <f>$F$35&amp;"-"&amp;$G$35</f>
        <v>51-63</v>
      </c>
      <c r="AQ153" s="100" t="str">
        <f>$G$35&amp;"-"&amp;$H$35</f>
        <v>63-75</v>
      </c>
      <c r="AR153" s="100" t="str">
        <f>$H$35&amp;"-"&amp;$I$35</f>
        <v>75-87</v>
      </c>
      <c r="AS153" s="100" t="str">
        <f>$I$35&amp;"-"&amp;$J$35</f>
        <v>87-99</v>
      </c>
      <c r="AT153" s="100" t="str">
        <f>$J$35&amp;"-"&amp;$K$35</f>
        <v>99-111</v>
      </c>
      <c r="AU153" s="100" t="str">
        <f>$K$35&amp;"-"&amp;$L$35</f>
        <v>111-123</v>
      </c>
      <c r="AV153" s="100" t="str">
        <f>$L$35&amp;"-Ult"</f>
        <v>123-Ult</v>
      </c>
      <c r="AW153" s="92" t="str">
        <f>$A$35</f>
        <v>Fiscal Accident Year Data Ending</v>
      </c>
      <c r="AX153" s="92"/>
      <c r="AY153" s="100" t="str">
        <f>$C$35&amp;"-"&amp;$D$35</f>
        <v>15-27</v>
      </c>
      <c r="AZ153" s="100" t="str">
        <f>$D$35&amp;"-"&amp;$E$35</f>
        <v>27-39</v>
      </c>
      <c r="BA153" s="100" t="str">
        <f>$E$35&amp;"-"&amp;$F$35</f>
        <v>39-51</v>
      </c>
      <c r="BB153" s="100" t="str">
        <f>$F$35&amp;"-"&amp;$G$35</f>
        <v>51-63</v>
      </c>
      <c r="BC153" s="100" t="str">
        <f>$G$35&amp;"-"&amp;$H$35</f>
        <v>63-75</v>
      </c>
      <c r="BD153" s="100" t="str">
        <f>$H$35&amp;"-"&amp;$I$35</f>
        <v>75-87</v>
      </c>
      <c r="BE153" s="100" t="str">
        <f>$I$35&amp;"-"&amp;$J$35</f>
        <v>87-99</v>
      </c>
      <c r="BF153" s="100" t="str">
        <f>$J$35&amp;"-"&amp;$K$35</f>
        <v>99-111</v>
      </c>
      <c r="BG153" s="100" t="str">
        <f>$K$35&amp;"-"&amp;$L$35</f>
        <v>111-123</v>
      </c>
      <c r="BH153" s="100" t="str">
        <f>$L$35&amp;"-Ult"</f>
        <v>123-Ult</v>
      </c>
      <c r="BI153" s="92" t="str">
        <f>$A$35</f>
        <v>Fiscal Accident Year Data Ending</v>
      </c>
      <c r="BJ153" s="92"/>
      <c r="BK153" s="100" t="str">
        <f>$C$35&amp;"-"&amp;$D$35</f>
        <v>15-27</v>
      </c>
      <c r="BL153" s="100" t="str">
        <f>$D$35&amp;"-"&amp;$E$35</f>
        <v>27-39</v>
      </c>
      <c r="BM153" s="100" t="str">
        <f>$E$35&amp;"-"&amp;$F$35</f>
        <v>39-51</v>
      </c>
      <c r="BN153" s="100" t="str">
        <f>$F$35&amp;"-"&amp;$G$35</f>
        <v>51-63</v>
      </c>
      <c r="BO153" s="100" t="str">
        <f>$G$35&amp;"-"&amp;$H$35</f>
        <v>63-75</v>
      </c>
      <c r="BP153" s="100" t="str">
        <f>$H$35&amp;"-"&amp;$I$35</f>
        <v>75-87</v>
      </c>
      <c r="BQ153" s="100" t="str">
        <f>$I$35&amp;"-"&amp;$J$35</f>
        <v>87-99</v>
      </c>
      <c r="BR153" s="100" t="str">
        <f>$J$35&amp;"-"&amp;$K$35</f>
        <v>99-111</v>
      </c>
      <c r="BS153" s="100" t="str">
        <f>$K$35&amp;"-"&amp;$L$35</f>
        <v>111-123</v>
      </c>
      <c r="BT153" s="100" t="str">
        <f>$L$35&amp;"-Ult"</f>
        <v>123-Ult</v>
      </c>
      <c r="BU153" s="92" t="str">
        <f>$A$35</f>
        <v>Fiscal Accident Year Data Ending</v>
      </c>
      <c r="BV153" s="92"/>
      <c r="BW153" s="100" t="str">
        <f>$C$35&amp;"-"&amp;$D$35</f>
        <v>15-27</v>
      </c>
      <c r="BX153" s="100" t="str">
        <f>$D$35&amp;"-"&amp;$E$35</f>
        <v>27-39</v>
      </c>
      <c r="BY153" s="100" t="str">
        <f>$E$35&amp;"-"&amp;$F$35</f>
        <v>39-51</v>
      </c>
      <c r="BZ153" s="100" t="str">
        <f>$F$35&amp;"-"&amp;$G$35</f>
        <v>51-63</v>
      </c>
      <c r="CA153" s="100" t="str">
        <f>$G$35&amp;"-"&amp;$H$35</f>
        <v>63-75</v>
      </c>
      <c r="CB153" s="100" t="str">
        <f>$H$35&amp;"-"&amp;$I$35</f>
        <v>75-87</v>
      </c>
      <c r="CC153" s="100" t="str">
        <f>$I$35&amp;"-"&amp;$J$35</f>
        <v>87-99</v>
      </c>
      <c r="CD153" s="100" t="str">
        <f>$J$35&amp;"-"&amp;$K$35</f>
        <v>99-111</v>
      </c>
      <c r="CE153" s="100" t="str">
        <f>$K$35&amp;"-"&amp;$L$35</f>
        <v>111-123</v>
      </c>
      <c r="CF153" s="100" t="str">
        <f>$L$35&amp;"-Ult"</f>
        <v>123-Ult</v>
      </c>
      <c r="CG153" s="92" t="str">
        <f>$A$35</f>
        <v>Fiscal Accident Year Data Ending</v>
      </c>
      <c r="CH153" s="92"/>
      <c r="CI153" s="100" t="str">
        <f>$C$35&amp;"-"&amp;$D$35</f>
        <v>15-27</v>
      </c>
      <c r="CJ153" s="100" t="str">
        <f>$D$35&amp;"-"&amp;$E$35</f>
        <v>27-39</v>
      </c>
      <c r="CK153" s="100" t="str">
        <f>$E$35&amp;"-"&amp;$F$35</f>
        <v>39-51</v>
      </c>
      <c r="CL153" s="100" t="str">
        <f>$F$35&amp;"-"&amp;$G$35</f>
        <v>51-63</v>
      </c>
      <c r="CM153" s="100" t="str">
        <f>$G$35&amp;"-"&amp;$H$35</f>
        <v>63-75</v>
      </c>
      <c r="CN153" s="100" t="str">
        <f>$H$35&amp;"-"&amp;$I$35</f>
        <v>75-87</v>
      </c>
      <c r="CO153" s="100" t="str">
        <f>$I$35&amp;"-"&amp;$J$35</f>
        <v>87-99</v>
      </c>
      <c r="CP153" s="100" t="str">
        <f>$J$35&amp;"-"&amp;$K$35</f>
        <v>99-111</v>
      </c>
      <c r="CQ153" s="100" t="str">
        <f>$K$35&amp;"-"&amp;$L$35</f>
        <v>111-123</v>
      </c>
      <c r="CR153" s="100" t="str">
        <f>$L$35&amp;"-Ult"</f>
        <v>123-Ult</v>
      </c>
      <c r="CS153" s="92" t="str">
        <f>$A$35</f>
        <v>Fiscal Accident Year Data Ending</v>
      </c>
      <c r="CT153" s="92"/>
      <c r="CU153" s="100" t="str">
        <f>$C$35&amp;"-"&amp;$D$35</f>
        <v>15-27</v>
      </c>
      <c r="CV153" s="100" t="str">
        <f>$D$35&amp;"-"&amp;$E$35</f>
        <v>27-39</v>
      </c>
      <c r="CW153" s="100" t="str">
        <f>$E$35&amp;"-"&amp;$F$35</f>
        <v>39-51</v>
      </c>
      <c r="CX153" s="100" t="str">
        <f>$F$35&amp;"-"&amp;$G$35</f>
        <v>51-63</v>
      </c>
      <c r="CY153" s="100" t="str">
        <f>$G$35&amp;"-"&amp;$H$35</f>
        <v>63-75</v>
      </c>
      <c r="CZ153" s="100" t="str">
        <f>$H$35&amp;"-"&amp;$I$35</f>
        <v>75-87</v>
      </c>
      <c r="DA153" s="100" t="str">
        <f>$I$35&amp;"-"&amp;$J$35</f>
        <v>87-99</v>
      </c>
      <c r="DB153" s="100" t="str">
        <f>$J$35&amp;"-"&amp;$K$35</f>
        <v>99-111</v>
      </c>
      <c r="DC153" s="100" t="str">
        <f>$K$35&amp;"-"&amp;$L$35</f>
        <v>111-123</v>
      </c>
      <c r="DD153" s="100" t="str">
        <f>$L$35&amp;"-Ult"</f>
        <v>123-Ult</v>
      </c>
      <c r="DE153" s="92" t="str">
        <f>$A$35</f>
        <v>Fiscal Accident Year Data Ending</v>
      </c>
      <c r="DF153" s="92"/>
      <c r="DG153" s="100" t="str">
        <f>$C$35&amp;"-"&amp;$D$35</f>
        <v>15-27</v>
      </c>
      <c r="DH153" s="100" t="str">
        <f>$D$35&amp;"-"&amp;$E$35</f>
        <v>27-39</v>
      </c>
      <c r="DI153" s="100" t="str">
        <f>$E$35&amp;"-"&amp;$F$35</f>
        <v>39-51</v>
      </c>
      <c r="DJ153" s="100" t="str">
        <f>$F$35&amp;"-"&amp;$G$35</f>
        <v>51-63</v>
      </c>
      <c r="DK153" s="100" t="str">
        <f>$G$35&amp;"-"&amp;$H$35</f>
        <v>63-75</v>
      </c>
      <c r="DL153" s="100" t="str">
        <f>$H$35&amp;"-"&amp;$I$35</f>
        <v>75-87</v>
      </c>
      <c r="DM153" s="100" t="str">
        <f>$I$35&amp;"-"&amp;$J$35</f>
        <v>87-99</v>
      </c>
      <c r="DN153" s="100" t="str">
        <f>$J$35&amp;"-"&amp;$K$35</f>
        <v>99-111</v>
      </c>
      <c r="DO153" s="100" t="str">
        <f>$K$35&amp;"-"&amp;$L$35</f>
        <v>111-123</v>
      </c>
      <c r="DP153" s="100" t="str">
        <f>$L$35&amp;"-Ult"</f>
        <v>123-Ult</v>
      </c>
    </row>
    <row r="154" spans="1:120" x14ac:dyDescent="0.25">
      <c r="A154" s="91">
        <f>$A$36</f>
        <v>20133</v>
      </c>
      <c r="B154" s="105"/>
      <c r="C154" s="90">
        <f>IFERROR(D141/C141,"")</f>
        <v>4.2914837439759763</v>
      </c>
      <c r="D154" s="90">
        <f t="shared" ref="D154:K155" si="341">IFERROR(E141/D141,"")</f>
        <v>2.4067463948860151</v>
      </c>
      <c r="E154" s="90">
        <f t="shared" si="341"/>
        <v>1.4276203861638739</v>
      </c>
      <c r="F154" s="90">
        <f t="shared" si="341"/>
        <v>1.1036874565974961</v>
      </c>
      <c r="G154" s="90">
        <f t="shared" si="341"/>
        <v>1.0286161682834016</v>
      </c>
      <c r="H154" s="90">
        <f t="shared" si="341"/>
        <v>1.0114431538390705</v>
      </c>
      <c r="I154" s="90">
        <f t="shared" si="341"/>
        <v>1.0019978024774618</v>
      </c>
      <c r="J154" s="90">
        <f t="shared" si="341"/>
        <v>1.0009273847654034</v>
      </c>
      <c r="K154" s="90">
        <f t="shared" si="341"/>
        <v>1.0003102013994176</v>
      </c>
      <c r="L154" s="22"/>
      <c r="M154" s="91">
        <f>$A$36</f>
        <v>20133</v>
      </c>
      <c r="N154" s="105"/>
      <c r="O154" s="90">
        <f>IFERROR(P141/O141,"")</f>
        <v>2.8397993867152787</v>
      </c>
      <c r="P154" s="90">
        <f t="shared" ref="P154:W154" si="342">IFERROR(Q141/P141,"")</f>
        <v>1.1048030700603524</v>
      </c>
      <c r="Q154" s="90">
        <f t="shared" si="342"/>
        <v>1.0787381644725518</v>
      </c>
      <c r="R154" s="90">
        <f t="shared" si="342"/>
        <v>1.0589747707934585</v>
      </c>
      <c r="S154" s="90">
        <f t="shared" si="342"/>
        <v>1.0072782073317876</v>
      </c>
      <c r="T154" s="90">
        <f t="shared" si="342"/>
        <v>1.003411581255385</v>
      </c>
      <c r="U154" s="90">
        <f t="shared" si="342"/>
        <v>0.99958556197426929</v>
      </c>
      <c r="V154" s="90">
        <f t="shared" si="342"/>
        <v>1.0000763860450677</v>
      </c>
      <c r="W154" s="90">
        <f t="shared" si="342"/>
        <v>1.000037389223889</v>
      </c>
      <c r="X154" s="22"/>
      <c r="Y154" s="91">
        <f>$A$36</f>
        <v>20133</v>
      </c>
      <c r="Z154" s="105"/>
      <c r="AA154" s="90">
        <f>IFERROR(AB141/AA141,"")</f>
        <v>2.2879352823680206</v>
      </c>
      <c r="AB154" s="90">
        <f t="shared" ref="AB154:AI154" si="343">IFERROR(AC141/AB141,"")</f>
        <v>1.6725654239492043</v>
      </c>
      <c r="AC154" s="90">
        <f t="shared" si="343"/>
        <v>1.3888062524028064</v>
      </c>
      <c r="AD154" s="90">
        <f t="shared" si="343"/>
        <v>1.2021439683304369</v>
      </c>
      <c r="AE154" s="90">
        <f t="shared" si="343"/>
        <v>1.0859673460289896</v>
      </c>
      <c r="AF154" s="90">
        <f t="shared" si="343"/>
        <v>1.050723866019589</v>
      </c>
      <c r="AG154" s="90">
        <f t="shared" si="343"/>
        <v>1.0386723764119909</v>
      </c>
      <c r="AH154" s="90">
        <f t="shared" si="343"/>
        <v>1.0276958048318869</v>
      </c>
      <c r="AI154" s="90">
        <f t="shared" si="343"/>
        <v>1.0242042586888012</v>
      </c>
      <c r="AJ154" s="22"/>
      <c r="AK154" s="91">
        <f>$A$36</f>
        <v>20133</v>
      </c>
      <c r="AL154" s="105"/>
      <c r="AM154" s="90">
        <f>IFERROR(AN141/AM141,"")</f>
        <v>1.3446413268488149</v>
      </c>
      <c r="AN154" s="90">
        <f t="shared" ref="AN154:AU154" si="344">IFERROR(AO141/AN141,"")</f>
        <v>1.1785609841144211</v>
      </c>
      <c r="AO154" s="90">
        <f t="shared" si="344"/>
        <v>1.0987377151033981</v>
      </c>
      <c r="AP154" s="90">
        <f t="shared" si="344"/>
        <v>1.0344329252806941</v>
      </c>
      <c r="AQ154" s="90">
        <f t="shared" si="344"/>
        <v>0.9864919868899783</v>
      </c>
      <c r="AR154" s="90">
        <f t="shared" si="344"/>
        <v>0.99989159813515061</v>
      </c>
      <c r="AS154" s="90">
        <f t="shared" si="344"/>
        <v>1.0010672073815696</v>
      </c>
      <c r="AT154" s="90">
        <f t="shared" si="344"/>
        <v>1.000024837455477</v>
      </c>
      <c r="AU154" s="90">
        <f t="shared" si="344"/>
        <v>0.99999075758471923</v>
      </c>
      <c r="AV154" s="22"/>
      <c r="AW154" s="91">
        <f>$A$36</f>
        <v>20133</v>
      </c>
      <c r="AX154" s="105"/>
      <c r="AY154" s="90">
        <f>IFERROR(AZ141/AY141,"")</f>
        <v>1.4298156459277105</v>
      </c>
      <c r="AZ154" s="90">
        <f t="shared" ref="AZ154:BG154" si="345">IFERROR(BA141/AZ141,"")</f>
        <v>1.3826247061498984</v>
      </c>
      <c r="BA154" s="90">
        <f t="shared" si="345"/>
        <v>1.4117988512720254</v>
      </c>
      <c r="BB154" s="90">
        <f t="shared" si="345"/>
        <v>1.0191410884745633</v>
      </c>
      <c r="BC154" s="90">
        <f t="shared" si="345"/>
        <v>1.000727013605764</v>
      </c>
      <c r="BD154" s="90">
        <f t="shared" si="345"/>
        <v>1.007155757811895</v>
      </c>
      <c r="BE154" s="90">
        <f t="shared" si="345"/>
        <v>1.0002846751049452</v>
      </c>
      <c r="BF154" s="90">
        <f t="shared" si="345"/>
        <v>1.000205539341293</v>
      </c>
      <c r="BG154" s="90">
        <f t="shared" si="345"/>
        <v>1.0012854082533456</v>
      </c>
      <c r="BH154" s="22"/>
      <c r="BI154" s="91">
        <f>$A$36</f>
        <v>20133</v>
      </c>
      <c r="BJ154" s="105"/>
      <c r="BK154" s="90">
        <f>IFERROR(BL141/BK141,"")</f>
        <v>3.7217732633792306</v>
      </c>
      <c r="BL154" s="90">
        <f t="shared" ref="BL154:BS154" si="346">IFERROR(BM141/BL141,"")</f>
        <v>1.5907354840067249</v>
      </c>
      <c r="BM154" s="90">
        <f t="shared" si="346"/>
        <v>1.2745310806811763</v>
      </c>
      <c r="BN154" s="90">
        <f t="shared" si="346"/>
        <v>1.0002390048991028</v>
      </c>
      <c r="BO154" s="90">
        <f t="shared" si="346"/>
        <v>1.0002179025014943</v>
      </c>
      <c r="BP154" s="90">
        <f t="shared" si="346"/>
        <v>1.0000932941139504</v>
      </c>
      <c r="BQ154" s="90">
        <f t="shared" si="346"/>
        <v>1.0000267379525376</v>
      </c>
      <c r="BR154" s="90">
        <f t="shared" si="346"/>
        <v>1.0000552536344811</v>
      </c>
      <c r="BS154" s="90">
        <f t="shared" si="346"/>
        <v>1.0000485731742488</v>
      </c>
      <c r="BT154" s="22"/>
      <c r="BU154" s="91">
        <f>$A$36</f>
        <v>20133</v>
      </c>
      <c r="BV154" s="105"/>
      <c r="BW154" s="90">
        <f>IFERROR(BX141/BW141,"")</f>
        <v>0.75534560166671139</v>
      </c>
      <c r="BX154" s="90">
        <f t="shared" ref="BX154:CE154" si="347">IFERROR(BY141/BX141,"")</f>
        <v>1.0100907106726591</v>
      </c>
      <c r="BY154" s="90">
        <f t="shared" si="347"/>
        <v>1</v>
      </c>
      <c r="BZ154" s="90">
        <f t="shared" si="347"/>
        <v>1.0555258867689687</v>
      </c>
      <c r="CA154" s="90">
        <f t="shared" si="347"/>
        <v>1</v>
      </c>
      <c r="CB154" s="90">
        <f t="shared" si="347"/>
        <v>1</v>
      </c>
      <c r="CC154" s="90">
        <f t="shared" si="347"/>
        <v>1</v>
      </c>
      <c r="CD154" s="90">
        <f t="shared" si="347"/>
        <v>1</v>
      </c>
      <c r="CE154" s="90">
        <f t="shared" si="347"/>
        <v>1</v>
      </c>
      <c r="CF154" s="22"/>
      <c r="CG154" s="91">
        <f>$A$36</f>
        <v>20133</v>
      </c>
      <c r="CH154" s="105"/>
      <c r="CI154" s="90" t="str">
        <f>IFERROR(CJ141/CI141,"")</f>
        <v/>
      </c>
      <c r="CJ154" s="90" t="str">
        <f t="shared" ref="CJ154:CQ154" si="348">IFERROR(CK141/CJ141,"")</f>
        <v/>
      </c>
      <c r="CK154" s="90" t="str">
        <f t="shared" si="348"/>
        <v/>
      </c>
      <c r="CL154" s="90" t="str">
        <f t="shared" si="348"/>
        <v/>
      </c>
      <c r="CM154" s="90" t="str">
        <f t="shared" si="348"/>
        <v/>
      </c>
      <c r="CN154" s="90" t="str">
        <f t="shared" si="348"/>
        <v/>
      </c>
      <c r="CO154" s="90" t="str">
        <f t="shared" si="348"/>
        <v/>
      </c>
      <c r="CP154" s="90" t="str">
        <f t="shared" si="348"/>
        <v/>
      </c>
      <c r="CQ154" s="90" t="str">
        <f t="shared" si="348"/>
        <v/>
      </c>
      <c r="CR154" s="22"/>
      <c r="CS154" s="91">
        <f>$A$36</f>
        <v>20133</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20133</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20143</v>
      </c>
      <c r="B155" s="105"/>
      <c r="C155" s="90">
        <f t="shared" ref="C155:I162" si="351">IFERROR(D142/C142,"")</f>
        <v>4.2878852193373911</v>
      </c>
      <c r="D155" s="90">
        <f t="shared" si="351"/>
        <v>2.294608469719797</v>
      </c>
      <c r="E155" s="90">
        <f t="shared" si="351"/>
        <v>1.4882264739314568</v>
      </c>
      <c r="F155" s="90">
        <f t="shared" si="351"/>
        <v>1.1187337252758922</v>
      </c>
      <c r="G155" s="90">
        <f t="shared" si="351"/>
        <v>1.0305405277755739</v>
      </c>
      <c r="H155" s="90">
        <f t="shared" si="351"/>
        <v>1.0078354606379791</v>
      </c>
      <c r="I155" s="90">
        <f t="shared" si="351"/>
        <v>1.0036494338620454</v>
      </c>
      <c r="J155" s="90">
        <f t="shared" si="341"/>
        <v>1.0018281429101419</v>
      </c>
      <c r="K155" s="22"/>
      <c r="L155" s="22"/>
      <c r="M155" s="91">
        <f>$A$37</f>
        <v>20143</v>
      </c>
      <c r="N155" s="105"/>
      <c r="O155" s="90">
        <f t="shared" ref="O155:V162" si="352">IFERROR(P142/O142,"")</f>
        <v>2.2025106375226753</v>
      </c>
      <c r="P155" s="90">
        <f t="shared" si="352"/>
        <v>1.2453351027875501</v>
      </c>
      <c r="Q155" s="90">
        <f t="shared" si="352"/>
        <v>1.1759000785159361</v>
      </c>
      <c r="R155" s="90">
        <f t="shared" si="352"/>
        <v>1.03543330519356</v>
      </c>
      <c r="S155" s="90">
        <f t="shared" si="352"/>
        <v>1.0016180988261321</v>
      </c>
      <c r="T155" s="90">
        <f t="shared" si="352"/>
        <v>1.0004418286950361</v>
      </c>
      <c r="U155" s="90">
        <f t="shared" si="352"/>
        <v>0.99857177902358285</v>
      </c>
      <c r="V155" s="90">
        <f t="shared" si="352"/>
        <v>1.0000863687079558</v>
      </c>
      <c r="W155" s="22"/>
      <c r="X155" s="22"/>
      <c r="Y155" s="91">
        <f>$A$37</f>
        <v>20143</v>
      </c>
      <c r="Z155" s="105"/>
      <c r="AA155" s="90">
        <f t="shared" ref="AA155:AH162" si="353">IFERROR(AB142/AA142,"")</f>
        <v>2.5868756082333388</v>
      </c>
      <c r="AB155" s="90">
        <f t="shared" si="353"/>
        <v>1.7202345935676555</v>
      </c>
      <c r="AC155" s="90">
        <f t="shared" si="353"/>
        <v>1.4679694515045569</v>
      </c>
      <c r="AD155" s="90">
        <f t="shared" si="353"/>
        <v>1.1746600294197145</v>
      </c>
      <c r="AE155" s="90">
        <f t="shared" si="353"/>
        <v>1.0712280460516508</v>
      </c>
      <c r="AF155" s="90">
        <f t="shared" si="353"/>
        <v>1.050107181047583</v>
      </c>
      <c r="AG155" s="90">
        <f t="shared" si="353"/>
        <v>1.0310294466159471</v>
      </c>
      <c r="AH155" s="90">
        <f t="shared" si="353"/>
        <v>1.0239776479662874</v>
      </c>
      <c r="AI155" s="22"/>
      <c r="AJ155" s="22"/>
      <c r="AK155" s="91">
        <f>$A$37</f>
        <v>20143</v>
      </c>
      <c r="AL155" s="105"/>
      <c r="AM155" s="90">
        <f t="shared" ref="AM155:AT162" si="354">IFERROR(AN142/AM142,"")</f>
        <v>1.3504840407305658</v>
      </c>
      <c r="AN155" s="90">
        <f t="shared" si="354"/>
        <v>1.1309870732669938</v>
      </c>
      <c r="AO155" s="90">
        <f t="shared" si="354"/>
        <v>1.0850653275990452</v>
      </c>
      <c r="AP155" s="90">
        <f t="shared" si="354"/>
        <v>1.0250042451219499</v>
      </c>
      <c r="AQ155" s="90">
        <f t="shared" si="354"/>
        <v>0.99733857499336709</v>
      </c>
      <c r="AR155" s="90">
        <f t="shared" si="354"/>
        <v>0.99984738677151341</v>
      </c>
      <c r="AS155" s="90">
        <f t="shared" si="354"/>
        <v>1.0000377972455392</v>
      </c>
      <c r="AT155" s="90">
        <f t="shared" si="354"/>
        <v>1.0000121779088218</v>
      </c>
      <c r="AU155" s="22"/>
      <c r="AV155" s="22"/>
      <c r="AW155" s="91">
        <f>$A$37</f>
        <v>20143</v>
      </c>
      <c r="AX155" s="105"/>
      <c r="AY155" s="90">
        <f t="shared" ref="AY155:BF162" si="355">IFERROR(AZ142/AY142,"")</f>
        <v>2.0163291845971236</v>
      </c>
      <c r="AZ155" s="90">
        <f t="shared" si="355"/>
        <v>1.2804877684106541</v>
      </c>
      <c r="BA155" s="90">
        <f t="shared" si="355"/>
        <v>1.0256718136883456</v>
      </c>
      <c r="BB155" s="90">
        <f t="shared" si="355"/>
        <v>1.0020230359707216</v>
      </c>
      <c r="BC155" s="90">
        <f t="shared" si="355"/>
        <v>1.0048341806680021</v>
      </c>
      <c r="BD155" s="90">
        <f t="shared" si="355"/>
        <v>1.0003990635542159</v>
      </c>
      <c r="BE155" s="90">
        <f t="shared" si="355"/>
        <v>1.0006905406841364</v>
      </c>
      <c r="BF155" s="90">
        <f t="shared" si="355"/>
        <v>1.0000589040575698</v>
      </c>
      <c r="BG155" s="22"/>
      <c r="BH155" s="22"/>
      <c r="BI155" s="91">
        <f>$A$37</f>
        <v>20143</v>
      </c>
      <c r="BJ155" s="105"/>
      <c r="BK155" s="90">
        <f t="shared" ref="BK155:BR162" si="356">IFERROR(BL142/BK142,"")</f>
        <v>1.7024709512735441</v>
      </c>
      <c r="BL155" s="90">
        <f t="shared" si="356"/>
        <v>1.002908979832837</v>
      </c>
      <c r="BM155" s="90">
        <f t="shared" si="356"/>
        <v>1.0000327216157789</v>
      </c>
      <c r="BN155" s="90">
        <f t="shared" si="356"/>
        <v>0.99996213847656068</v>
      </c>
      <c r="BO155" s="90">
        <f t="shared" si="356"/>
        <v>1.0000164123910429</v>
      </c>
      <c r="BP155" s="90">
        <f t="shared" si="356"/>
        <v>1.000017219494584</v>
      </c>
      <c r="BQ155" s="90">
        <f t="shared" si="356"/>
        <v>1.0000032938591168</v>
      </c>
      <c r="BR155" s="90">
        <f t="shared" si="356"/>
        <v>0.99998780879798388</v>
      </c>
      <c r="BS155" s="22"/>
      <c r="BT155" s="22"/>
      <c r="BU155" s="91">
        <f>$A$37</f>
        <v>20143</v>
      </c>
      <c r="BV155" s="105"/>
      <c r="BW155" s="90">
        <f t="shared" ref="BW155:CD162" si="357">IFERROR(BX142/BW142,"")</f>
        <v>0.91906453599189919</v>
      </c>
      <c r="BX155" s="90">
        <f t="shared" si="357"/>
        <v>1</v>
      </c>
      <c r="BY155" s="90">
        <f t="shared" si="357"/>
        <v>6.836165635170139</v>
      </c>
      <c r="BZ155" s="90">
        <f t="shared" si="357"/>
        <v>1</v>
      </c>
      <c r="CA155" s="90">
        <f t="shared" si="357"/>
        <v>1</v>
      </c>
      <c r="CB155" s="90">
        <f t="shared" si="357"/>
        <v>1</v>
      </c>
      <c r="CC155" s="90">
        <f t="shared" si="357"/>
        <v>1</v>
      </c>
      <c r="CD155" s="90">
        <f t="shared" si="357"/>
        <v>1</v>
      </c>
      <c r="CE155" s="22"/>
      <c r="CF155" s="22"/>
      <c r="CG155" s="91">
        <f>$A$37</f>
        <v>20143</v>
      </c>
      <c r="CH155" s="105"/>
      <c r="CI155" s="90" t="str">
        <f t="shared" ref="CI155:CP162" si="358">IFERROR(CJ142/CI142,"")</f>
        <v/>
      </c>
      <c r="CJ155" s="90" t="str">
        <f t="shared" si="358"/>
        <v/>
      </c>
      <c r="CK155" s="90" t="str">
        <f t="shared" si="358"/>
        <v/>
      </c>
      <c r="CL155" s="90" t="str">
        <f t="shared" si="358"/>
        <v/>
      </c>
      <c r="CM155" s="90" t="str">
        <f t="shared" si="358"/>
        <v/>
      </c>
      <c r="CN155" s="90" t="str">
        <f t="shared" si="358"/>
        <v/>
      </c>
      <c r="CO155" s="90" t="str">
        <f t="shared" si="358"/>
        <v/>
      </c>
      <c r="CP155" s="90" t="str">
        <f t="shared" si="358"/>
        <v/>
      </c>
      <c r="CQ155" s="22"/>
      <c r="CR155" s="22"/>
      <c r="CS155" s="91">
        <f>$A$37</f>
        <v>20143</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20143</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20153</v>
      </c>
      <c r="B156" s="105"/>
      <c r="C156" s="90">
        <f t="shared" si="351"/>
        <v>4.1834497467156506</v>
      </c>
      <c r="D156" s="90">
        <f t="shared" si="351"/>
        <v>2.5927072295401103</v>
      </c>
      <c r="E156" s="90">
        <f t="shared" si="351"/>
        <v>1.6241347928141736</v>
      </c>
      <c r="F156" s="90">
        <f t="shared" si="351"/>
        <v>1.1858553430894589</v>
      </c>
      <c r="G156" s="90">
        <f t="shared" si="351"/>
        <v>1.0422222309673317</v>
      </c>
      <c r="H156" s="90">
        <f t="shared" si="351"/>
        <v>1.0160523634993601</v>
      </c>
      <c r="I156" s="90">
        <f t="shared" si="351"/>
        <v>1.0124497171729148</v>
      </c>
      <c r="J156" s="22"/>
      <c r="K156" s="22"/>
      <c r="L156" s="22"/>
      <c r="M156" s="91">
        <f>$A$38</f>
        <v>20153</v>
      </c>
      <c r="N156" s="105"/>
      <c r="O156" s="90">
        <f t="shared" si="352"/>
        <v>1.624531427927437</v>
      </c>
      <c r="P156" s="90">
        <f t="shared" si="352"/>
        <v>1.3365342006028673</v>
      </c>
      <c r="Q156" s="90">
        <f t="shared" si="352"/>
        <v>1.2090195482880077</v>
      </c>
      <c r="R156" s="90">
        <f t="shared" si="352"/>
        <v>1.0101898920527814</v>
      </c>
      <c r="S156" s="90">
        <f t="shared" si="352"/>
        <v>1.0176412008308586</v>
      </c>
      <c r="T156" s="90">
        <f t="shared" si="352"/>
        <v>0.99941119861200223</v>
      </c>
      <c r="U156" s="90">
        <f t="shared" si="352"/>
        <v>0.99996782127799655</v>
      </c>
      <c r="V156" s="22"/>
      <c r="W156" s="22"/>
      <c r="X156" s="22"/>
      <c r="Y156" s="91">
        <f>$A$38</f>
        <v>20153</v>
      </c>
      <c r="Z156" s="105"/>
      <c r="AA156" s="90">
        <f t="shared" si="353"/>
        <v>2.5444597196489727</v>
      </c>
      <c r="AB156" s="90">
        <f t="shared" si="353"/>
        <v>2.4123412688107675</v>
      </c>
      <c r="AC156" s="90">
        <f t="shared" si="353"/>
        <v>1.6335960932346469</v>
      </c>
      <c r="AD156" s="90">
        <f t="shared" si="353"/>
        <v>1.2423105102444003</v>
      </c>
      <c r="AE156" s="90">
        <f t="shared" si="353"/>
        <v>1.0698760956097957</v>
      </c>
      <c r="AF156" s="90">
        <f t="shared" si="353"/>
        <v>1.0554425385335569</v>
      </c>
      <c r="AG156" s="90">
        <f t="shared" si="353"/>
        <v>1.0174138300937627</v>
      </c>
      <c r="AH156" s="22"/>
      <c r="AI156" s="22"/>
      <c r="AJ156" s="22"/>
      <c r="AK156" s="91">
        <f>$A$38</f>
        <v>20153</v>
      </c>
      <c r="AL156" s="105"/>
      <c r="AM156" s="90">
        <f t="shared" si="354"/>
        <v>1.7390373651717648</v>
      </c>
      <c r="AN156" s="90">
        <f t="shared" si="354"/>
        <v>1.1423282317681784</v>
      </c>
      <c r="AO156" s="90">
        <f t="shared" si="354"/>
        <v>1.0520745185447264</v>
      </c>
      <c r="AP156" s="90">
        <f t="shared" si="354"/>
        <v>0.99103951061478224</v>
      </c>
      <c r="AQ156" s="90">
        <f t="shared" si="354"/>
        <v>1.0008162904753881</v>
      </c>
      <c r="AR156" s="90">
        <f t="shared" si="354"/>
        <v>1.0000979974513668</v>
      </c>
      <c r="AS156" s="90">
        <f t="shared" si="354"/>
        <v>0.9999559232665971</v>
      </c>
      <c r="AT156" s="22"/>
      <c r="AU156" s="22"/>
      <c r="AV156" s="22"/>
      <c r="AW156" s="91">
        <f>$A$38</f>
        <v>20153</v>
      </c>
      <c r="AX156" s="105"/>
      <c r="AY156" s="90">
        <f t="shared" si="355"/>
        <v>1.450039727760948</v>
      </c>
      <c r="AZ156" s="90">
        <f t="shared" si="355"/>
        <v>1.2351807440921097</v>
      </c>
      <c r="BA156" s="90">
        <f t="shared" si="355"/>
        <v>1.2060146697369039</v>
      </c>
      <c r="BB156" s="90">
        <f t="shared" si="355"/>
        <v>1.045895579667691</v>
      </c>
      <c r="BC156" s="90">
        <f t="shared" si="355"/>
        <v>1.0084571863259686</v>
      </c>
      <c r="BD156" s="90">
        <f t="shared" si="355"/>
        <v>1.0009736466114112</v>
      </c>
      <c r="BE156" s="90">
        <f t="shared" si="355"/>
        <v>1.0002700534260087</v>
      </c>
      <c r="BF156" s="22"/>
      <c r="BG156" s="22"/>
      <c r="BH156" s="22"/>
      <c r="BI156" s="91">
        <f>$A$38</f>
        <v>20153</v>
      </c>
      <c r="BJ156" s="105"/>
      <c r="BK156" s="90">
        <f t="shared" si="356"/>
        <v>1.8753367647751344</v>
      </c>
      <c r="BL156" s="90">
        <f t="shared" si="356"/>
        <v>1.0118273133655646</v>
      </c>
      <c r="BM156" s="90">
        <f t="shared" si="356"/>
        <v>1.0009704951437584</v>
      </c>
      <c r="BN156" s="90">
        <f t="shared" si="356"/>
        <v>0.98097471018956517</v>
      </c>
      <c r="BO156" s="90">
        <f t="shared" si="356"/>
        <v>0.99999355336463758</v>
      </c>
      <c r="BP156" s="90">
        <f t="shared" si="356"/>
        <v>1.0000131983958331</v>
      </c>
      <c r="BQ156" s="90">
        <f t="shared" si="356"/>
        <v>0.99997936319552838</v>
      </c>
      <c r="BR156" s="22"/>
      <c r="BS156" s="22"/>
      <c r="BT156" s="22"/>
      <c r="BU156" s="91">
        <f>$A$38</f>
        <v>20153</v>
      </c>
      <c r="BV156" s="105"/>
      <c r="BW156" s="90" t="str">
        <f t="shared" si="357"/>
        <v/>
      </c>
      <c r="BX156" s="90" t="str">
        <f t="shared" si="357"/>
        <v/>
      </c>
      <c r="BY156" s="90">
        <f t="shared" si="357"/>
        <v>3.8140692802633542</v>
      </c>
      <c r="BZ156" s="90">
        <f t="shared" si="357"/>
        <v>1</v>
      </c>
      <c r="CA156" s="90">
        <f t="shared" si="357"/>
        <v>1</v>
      </c>
      <c r="CB156" s="90">
        <f t="shared" si="357"/>
        <v>1</v>
      </c>
      <c r="CC156" s="90">
        <f t="shared" si="357"/>
        <v>1</v>
      </c>
      <c r="CD156" s="22"/>
      <c r="CE156" s="22"/>
      <c r="CF156" s="22"/>
      <c r="CG156" s="91">
        <f>$A$38</f>
        <v>20153</v>
      </c>
      <c r="CH156" s="105"/>
      <c r="CI156" s="90" t="str">
        <f t="shared" si="358"/>
        <v/>
      </c>
      <c r="CJ156" s="90" t="str">
        <f t="shared" si="358"/>
        <v/>
      </c>
      <c r="CK156" s="90" t="str">
        <f t="shared" si="358"/>
        <v/>
      </c>
      <c r="CL156" s="90" t="str">
        <f t="shared" si="358"/>
        <v/>
      </c>
      <c r="CM156" s="90" t="str">
        <f t="shared" si="358"/>
        <v/>
      </c>
      <c r="CN156" s="90" t="str">
        <f t="shared" si="358"/>
        <v/>
      </c>
      <c r="CO156" s="90" t="str">
        <f t="shared" si="358"/>
        <v/>
      </c>
      <c r="CP156" s="22"/>
      <c r="CQ156" s="22"/>
      <c r="CR156" s="22"/>
      <c r="CS156" s="91">
        <f>$A$38</f>
        <v>20153</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20153</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20163</v>
      </c>
      <c r="B157" s="105"/>
      <c r="C157" s="90">
        <f t="shared" si="351"/>
        <v>4.2041477804461724</v>
      </c>
      <c r="D157" s="90">
        <f t="shared" si="351"/>
        <v>2.8205357752575249</v>
      </c>
      <c r="E157" s="90">
        <f t="shared" si="351"/>
        <v>1.6806437585922678</v>
      </c>
      <c r="F157" s="90">
        <f t="shared" si="351"/>
        <v>1.131379197747453</v>
      </c>
      <c r="G157" s="90">
        <f t="shared" si="351"/>
        <v>1.0419319475984532</v>
      </c>
      <c r="H157" s="90">
        <f t="shared" si="351"/>
        <v>1.0304627031583191</v>
      </c>
      <c r="I157" s="22"/>
      <c r="J157" s="22"/>
      <c r="K157" s="22"/>
      <c r="L157" s="22"/>
      <c r="M157" s="91">
        <f>$A$39</f>
        <v>20163</v>
      </c>
      <c r="N157" s="105"/>
      <c r="O157" s="90">
        <f t="shared" si="352"/>
        <v>1.8932041303756291</v>
      </c>
      <c r="P157" s="90">
        <f t="shared" si="352"/>
        <v>1.4105796702212881</v>
      </c>
      <c r="Q157" s="90">
        <f t="shared" si="352"/>
        <v>1.2263169757725265</v>
      </c>
      <c r="R157" s="90">
        <f t="shared" si="352"/>
        <v>1.0415515578873158</v>
      </c>
      <c r="S157" s="90">
        <f t="shared" si="352"/>
        <v>1.0101475082039084</v>
      </c>
      <c r="T157" s="90">
        <f t="shared" si="352"/>
        <v>1.0055507580978964</v>
      </c>
      <c r="U157" s="22"/>
      <c r="V157" s="22"/>
      <c r="W157" s="22"/>
      <c r="X157" s="22"/>
      <c r="Y157" s="91">
        <f>$A$39</f>
        <v>20163</v>
      </c>
      <c r="Z157" s="105"/>
      <c r="AA157" s="90">
        <f t="shared" si="353"/>
        <v>2.8681816447756461</v>
      </c>
      <c r="AB157" s="90">
        <f t="shared" si="353"/>
        <v>2.4141851757079364</v>
      </c>
      <c r="AC157" s="90">
        <f t="shared" si="353"/>
        <v>1.4629467233316116</v>
      </c>
      <c r="AD157" s="90">
        <f t="shared" si="353"/>
        <v>1.2394206831908805</v>
      </c>
      <c r="AE157" s="90">
        <f t="shared" si="353"/>
        <v>1.0886344681814848</v>
      </c>
      <c r="AF157" s="90">
        <f t="shared" si="353"/>
        <v>1.0440926709774689</v>
      </c>
      <c r="AG157" s="22"/>
      <c r="AH157" s="22"/>
      <c r="AI157" s="22"/>
      <c r="AJ157" s="22"/>
      <c r="AK157" s="91">
        <f>$A$39</f>
        <v>20163</v>
      </c>
      <c r="AL157" s="105"/>
      <c r="AM157" s="90">
        <f t="shared" si="354"/>
        <v>1.5235648912829629</v>
      </c>
      <c r="AN157" s="90">
        <f t="shared" si="354"/>
        <v>1.044450268192558</v>
      </c>
      <c r="AO157" s="90">
        <f t="shared" si="354"/>
        <v>1.0075827368705834</v>
      </c>
      <c r="AP157" s="90">
        <f t="shared" si="354"/>
        <v>1.0172665990998506</v>
      </c>
      <c r="AQ157" s="90">
        <f t="shared" si="354"/>
        <v>1.0069594541040494</v>
      </c>
      <c r="AR157" s="90">
        <f t="shared" si="354"/>
        <v>1.0013390931654376</v>
      </c>
      <c r="AS157" s="22"/>
      <c r="AT157" s="22"/>
      <c r="AU157" s="22"/>
      <c r="AV157" s="22"/>
      <c r="AW157" s="91">
        <f>$A$39</f>
        <v>20163</v>
      </c>
      <c r="AX157" s="105"/>
      <c r="AY157" s="90">
        <f t="shared" si="355"/>
        <v>1.4385862921792065</v>
      </c>
      <c r="AZ157" s="90">
        <f t="shared" si="355"/>
        <v>1.2744111202296531</v>
      </c>
      <c r="BA157" s="90">
        <f t="shared" si="355"/>
        <v>1.1721386929774731</v>
      </c>
      <c r="BB157" s="90">
        <f t="shared" si="355"/>
        <v>1.0455331713634708</v>
      </c>
      <c r="BC157" s="90">
        <f t="shared" si="355"/>
        <v>1.0037063062921436</v>
      </c>
      <c r="BD157" s="90">
        <f t="shared" si="355"/>
        <v>1.0033113679651033</v>
      </c>
      <c r="BE157" s="22"/>
      <c r="BF157" s="22"/>
      <c r="BG157" s="22"/>
      <c r="BH157" s="22"/>
      <c r="BI157" s="91">
        <f>$A$39</f>
        <v>20163</v>
      </c>
      <c r="BJ157" s="105"/>
      <c r="BK157" s="90">
        <f t="shared" si="356"/>
        <v>1.0798676426941296</v>
      </c>
      <c r="BL157" s="90">
        <f t="shared" si="356"/>
        <v>1.0260791653780561</v>
      </c>
      <c r="BM157" s="90">
        <f t="shared" si="356"/>
        <v>1.0147072254293423</v>
      </c>
      <c r="BN157" s="90">
        <f t="shared" si="356"/>
        <v>1.0000024477446963</v>
      </c>
      <c r="BO157" s="90">
        <f t="shared" si="356"/>
        <v>0.99999541623929367</v>
      </c>
      <c r="BP157" s="90">
        <f t="shared" si="356"/>
        <v>0.99999006656067801</v>
      </c>
      <c r="BQ157" s="22"/>
      <c r="BR157" s="22"/>
      <c r="BS157" s="22"/>
      <c r="BT157" s="22"/>
      <c r="BU157" s="91">
        <f>$A$39</f>
        <v>20163</v>
      </c>
      <c r="BV157" s="105"/>
      <c r="BW157" s="90" t="str">
        <f t="shared" si="357"/>
        <v/>
      </c>
      <c r="BX157" s="90" t="str">
        <f t="shared" si="357"/>
        <v/>
      </c>
      <c r="BY157" s="90" t="str">
        <f t="shared" si="357"/>
        <v/>
      </c>
      <c r="BZ157" s="90" t="str">
        <f t="shared" si="357"/>
        <v/>
      </c>
      <c r="CA157" s="90" t="str">
        <f t="shared" si="357"/>
        <v/>
      </c>
      <c r="CB157" s="90" t="str">
        <f t="shared" si="357"/>
        <v/>
      </c>
      <c r="CC157" s="22"/>
      <c r="CD157" s="22"/>
      <c r="CE157" s="22"/>
      <c r="CF157" s="22"/>
      <c r="CG157" s="91">
        <f>$A$39</f>
        <v>20163</v>
      </c>
      <c r="CH157" s="105"/>
      <c r="CI157" s="90" t="str">
        <f t="shared" si="358"/>
        <v/>
      </c>
      <c r="CJ157" s="90" t="str">
        <f t="shared" si="358"/>
        <v/>
      </c>
      <c r="CK157" s="90" t="str">
        <f t="shared" si="358"/>
        <v/>
      </c>
      <c r="CL157" s="90" t="str">
        <f t="shared" si="358"/>
        <v/>
      </c>
      <c r="CM157" s="90" t="str">
        <f t="shared" si="358"/>
        <v/>
      </c>
      <c r="CN157" s="90" t="str">
        <f t="shared" si="358"/>
        <v/>
      </c>
      <c r="CO157" s="22"/>
      <c r="CP157" s="22"/>
      <c r="CQ157" s="22"/>
      <c r="CR157" s="22"/>
      <c r="CS157" s="91">
        <f>$A$39</f>
        <v>20163</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20163</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20173</v>
      </c>
      <c r="B158" s="105"/>
      <c r="C158" s="90">
        <f t="shared" si="351"/>
        <v>4.54629888302496</v>
      </c>
      <c r="D158" s="90">
        <f t="shared" si="351"/>
        <v>2.4770910548243257</v>
      </c>
      <c r="E158" s="90">
        <f t="shared" si="351"/>
        <v>1.5371566490031643</v>
      </c>
      <c r="F158" s="90">
        <f t="shared" si="351"/>
        <v>1.1565964478723061</v>
      </c>
      <c r="G158" s="90">
        <f t="shared" si="351"/>
        <v>1.0690505783417172</v>
      </c>
      <c r="H158" s="22"/>
      <c r="I158" s="22"/>
      <c r="J158" s="22"/>
      <c r="K158" s="22"/>
      <c r="L158" s="22"/>
      <c r="M158" s="91">
        <f>$A$40</f>
        <v>20173</v>
      </c>
      <c r="N158" s="105"/>
      <c r="O158" s="90">
        <f t="shared" si="352"/>
        <v>2.1537706121403701</v>
      </c>
      <c r="P158" s="90">
        <f t="shared" si="352"/>
        <v>1.5876121223661688</v>
      </c>
      <c r="Q158" s="90">
        <f t="shared" si="352"/>
        <v>1.1783107447810657</v>
      </c>
      <c r="R158" s="90">
        <f t="shared" si="352"/>
        <v>1.0107207437500001</v>
      </c>
      <c r="S158" s="90">
        <f t="shared" si="352"/>
        <v>1.0177669145490571</v>
      </c>
      <c r="T158" s="22"/>
      <c r="U158" s="22"/>
      <c r="V158" s="22"/>
      <c r="W158" s="22"/>
      <c r="X158" s="22"/>
      <c r="Y158" s="91">
        <f>$A$40</f>
        <v>20173</v>
      </c>
      <c r="Z158" s="105"/>
      <c r="AA158" s="90">
        <f t="shared" si="353"/>
        <v>3.2620897365494623</v>
      </c>
      <c r="AB158" s="90">
        <f t="shared" si="353"/>
        <v>2.0635001975079379</v>
      </c>
      <c r="AC158" s="90">
        <f t="shared" si="353"/>
        <v>1.4005983258819088</v>
      </c>
      <c r="AD158" s="90">
        <f t="shared" si="353"/>
        <v>1.1698398732690207</v>
      </c>
      <c r="AE158" s="90">
        <f t="shared" si="353"/>
        <v>1.0791469616323082</v>
      </c>
      <c r="AF158" s="22"/>
      <c r="AG158" s="22"/>
      <c r="AH158" s="22"/>
      <c r="AI158" s="22"/>
      <c r="AJ158" s="22"/>
      <c r="AK158" s="91">
        <f>$A$40</f>
        <v>20173</v>
      </c>
      <c r="AL158" s="105"/>
      <c r="AM158" s="90">
        <f t="shared" si="354"/>
        <v>1.6354568608416824</v>
      </c>
      <c r="AN158" s="90">
        <f t="shared" si="354"/>
        <v>1.1095028507138156</v>
      </c>
      <c r="AO158" s="90">
        <f t="shared" si="354"/>
        <v>1.0785105442494252</v>
      </c>
      <c r="AP158" s="90">
        <f t="shared" si="354"/>
        <v>1.0125712084831613</v>
      </c>
      <c r="AQ158" s="90">
        <f t="shared" si="354"/>
        <v>0.99944148915537212</v>
      </c>
      <c r="AR158" s="22"/>
      <c r="AS158" s="22"/>
      <c r="AT158" s="22"/>
      <c r="AU158" s="22"/>
      <c r="AV158" s="22"/>
      <c r="AW158" s="91">
        <f>$A$40</f>
        <v>20173</v>
      </c>
      <c r="AX158" s="105"/>
      <c r="AY158" s="90">
        <f t="shared" si="355"/>
        <v>1.4233356489918381</v>
      </c>
      <c r="AZ158" s="90">
        <f t="shared" si="355"/>
        <v>1.156634285738259</v>
      </c>
      <c r="BA158" s="90">
        <f t="shared" si="355"/>
        <v>1.1945485160384064</v>
      </c>
      <c r="BB158" s="90">
        <f t="shared" si="355"/>
        <v>1.0409018541789179</v>
      </c>
      <c r="BC158" s="90">
        <f t="shared" si="355"/>
        <v>1.0153126985231709</v>
      </c>
      <c r="BD158" s="22"/>
      <c r="BE158" s="22"/>
      <c r="BF158" s="22"/>
      <c r="BG158" s="22"/>
      <c r="BH158" s="22"/>
      <c r="BI158" s="91">
        <f>$A$40</f>
        <v>20173</v>
      </c>
      <c r="BJ158" s="105"/>
      <c r="BK158" s="90">
        <f t="shared" si="356"/>
        <v>1.0272457078705046</v>
      </c>
      <c r="BL158" s="90">
        <f t="shared" si="356"/>
        <v>1.0005797810404324</v>
      </c>
      <c r="BM158" s="90">
        <f t="shared" si="356"/>
        <v>0.99986356964715517</v>
      </c>
      <c r="BN158" s="90">
        <f t="shared" si="356"/>
        <v>0.99985692831854467</v>
      </c>
      <c r="BO158" s="90">
        <f t="shared" si="356"/>
        <v>0.99999836531014485</v>
      </c>
      <c r="BP158" s="22"/>
      <c r="BQ158" s="22"/>
      <c r="BR158" s="22"/>
      <c r="BS158" s="22"/>
      <c r="BT158" s="22"/>
      <c r="BU158" s="91">
        <f>$A$40</f>
        <v>20173</v>
      </c>
      <c r="BV158" s="105"/>
      <c r="BW158" s="90" t="str">
        <f t="shared" si="357"/>
        <v/>
      </c>
      <c r="BX158" s="90" t="str">
        <f t="shared" si="357"/>
        <v/>
      </c>
      <c r="BY158" s="90" t="str">
        <f t="shared" si="357"/>
        <v/>
      </c>
      <c r="BZ158" s="90" t="str">
        <f t="shared" si="357"/>
        <v/>
      </c>
      <c r="CA158" s="90" t="str">
        <f t="shared" si="357"/>
        <v/>
      </c>
      <c r="CB158" s="22"/>
      <c r="CC158" s="22"/>
      <c r="CD158" s="22"/>
      <c r="CE158" s="22"/>
      <c r="CF158" s="22"/>
      <c r="CG158" s="91">
        <f>$A$40</f>
        <v>20173</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20173</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20173</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20183</v>
      </c>
      <c r="B159" s="105"/>
      <c r="C159" s="90">
        <f t="shared" si="351"/>
        <v>4.2830222456480094</v>
      </c>
      <c r="D159" s="90">
        <f t="shared" si="351"/>
        <v>2.474038729889863</v>
      </c>
      <c r="E159" s="90">
        <f t="shared" si="351"/>
        <v>1.5374275481624706</v>
      </c>
      <c r="F159" s="90">
        <f t="shared" si="351"/>
        <v>1.1754674252606461</v>
      </c>
      <c r="G159" s="22"/>
      <c r="H159" s="22"/>
      <c r="I159" s="22"/>
      <c r="J159" s="22"/>
      <c r="K159" s="22"/>
      <c r="L159" s="22"/>
      <c r="M159" s="91">
        <f>$A$41</f>
        <v>20183</v>
      </c>
      <c r="N159" s="105"/>
      <c r="O159" s="90">
        <f t="shared" si="352"/>
        <v>2.7068692723366086</v>
      </c>
      <c r="P159" s="90">
        <f t="shared" si="352"/>
        <v>0.99570782443848571</v>
      </c>
      <c r="Q159" s="90">
        <f t="shared" si="352"/>
        <v>1.0823205918978225</v>
      </c>
      <c r="R159" s="90">
        <f t="shared" si="352"/>
        <v>1.046123545884776</v>
      </c>
      <c r="S159" s="22"/>
      <c r="T159" s="22"/>
      <c r="U159" s="22"/>
      <c r="V159" s="22"/>
      <c r="W159" s="22"/>
      <c r="X159" s="22"/>
      <c r="Y159" s="91">
        <f>$A$41</f>
        <v>20183</v>
      </c>
      <c r="Z159" s="105"/>
      <c r="AA159" s="90">
        <f t="shared" si="353"/>
        <v>3.1249219663716481</v>
      </c>
      <c r="AB159" s="90">
        <f t="shared" si="353"/>
        <v>2.4102702412952719</v>
      </c>
      <c r="AC159" s="90">
        <f t="shared" si="353"/>
        <v>1.4660391654922209</v>
      </c>
      <c r="AD159" s="90">
        <f t="shared" si="353"/>
        <v>1.1719121526754874</v>
      </c>
      <c r="AE159" s="22"/>
      <c r="AF159" s="22"/>
      <c r="AG159" s="22"/>
      <c r="AH159" s="22"/>
      <c r="AI159" s="22"/>
      <c r="AJ159" s="22"/>
      <c r="AK159" s="91">
        <f>$A$41</f>
        <v>20183</v>
      </c>
      <c r="AL159" s="105"/>
      <c r="AM159" s="90">
        <f t="shared" si="354"/>
        <v>1.5215382402657966</v>
      </c>
      <c r="AN159" s="90">
        <f t="shared" si="354"/>
        <v>1.1047290525661726</v>
      </c>
      <c r="AO159" s="90">
        <f t="shared" si="354"/>
        <v>1.0787173681691513</v>
      </c>
      <c r="AP159" s="90">
        <f t="shared" si="354"/>
        <v>1.0827317294831165</v>
      </c>
      <c r="AQ159" s="22"/>
      <c r="AR159" s="22"/>
      <c r="AS159" s="22"/>
      <c r="AT159" s="22"/>
      <c r="AU159" s="22"/>
      <c r="AV159" s="22"/>
      <c r="AW159" s="91">
        <f>$A$41</f>
        <v>20183</v>
      </c>
      <c r="AX159" s="105"/>
      <c r="AY159" s="90">
        <f t="shared" si="355"/>
        <v>1.4514915372256731</v>
      </c>
      <c r="AZ159" s="90">
        <f t="shared" si="355"/>
        <v>1.2339588377945654</v>
      </c>
      <c r="BA159" s="90">
        <f t="shared" si="355"/>
        <v>0.99126890004207069</v>
      </c>
      <c r="BB159" s="90">
        <f t="shared" si="355"/>
        <v>1.025698520208767</v>
      </c>
      <c r="BC159" s="22"/>
      <c r="BD159" s="22"/>
      <c r="BE159" s="22"/>
      <c r="BF159" s="22"/>
      <c r="BG159" s="22"/>
      <c r="BH159" s="22"/>
      <c r="BI159" s="91">
        <f>$A$41</f>
        <v>20183</v>
      </c>
      <c r="BJ159" s="105"/>
      <c r="BK159" s="90">
        <f t="shared" si="356"/>
        <v>1.2686452645470987</v>
      </c>
      <c r="BL159" s="90">
        <f t="shared" si="356"/>
        <v>1.0029575913473776</v>
      </c>
      <c r="BM159" s="90">
        <f t="shared" si="356"/>
        <v>1.0061061670172142</v>
      </c>
      <c r="BN159" s="90">
        <f t="shared" si="356"/>
        <v>0.9998792276031685</v>
      </c>
      <c r="BO159" s="22"/>
      <c r="BP159" s="22"/>
      <c r="BQ159" s="22"/>
      <c r="BR159" s="22"/>
      <c r="BS159" s="22"/>
      <c r="BT159" s="22"/>
      <c r="BU159" s="91">
        <f>$A$41</f>
        <v>20183</v>
      </c>
      <c r="BV159" s="105"/>
      <c r="BW159" s="90" t="str">
        <f t="shared" si="357"/>
        <v/>
      </c>
      <c r="BX159" s="90">
        <f t="shared" si="357"/>
        <v>0.97142429432580613</v>
      </c>
      <c r="BY159" s="90">
        <f t="shared" si="357"/>
        <v>0.98730418874123416</v>
      </c>
      <c r="BZ159" s="90">
        <f t="shared" si="357"/>
        <v>1</v>
      </c>
      <c r="CA159" s="22"/>
      <c r="CB159" s="22"/>
      <c r="CC159" s="22"/>
      <c r="CD159" s="22"/>
      <c r="CE159" s="22"/>
      <c r="CF159" s="22"/>
      <c r="CG159" s="91">
        <f>$A$41</f>
        <v>20183</v>
      </c>
      <c r="CH159" s="105"/>
      <c r="CI159" s="90" t="str">
        <f t="shared" si="358"/>
        <v/>
      </c>
      <c r="CJ159" s="90" t="str">
        <f t="shared" si="358"/>
        <v/>
      </c>
      <c r="CK159" s="90" t="str">
        <f t="shared" si="358"/>
        <v/>
      </c>
      <c r="CL159" s="90" t="str">
        <f t="shared" si="358"/>
        <v/>
      </c>
      <c r="CM159" s="22"/>
      <c r="CN159" s="22"/>
      <c r="CO159" s="22"/>
      <c r="CP159" s="22"/>
      <c r="CQ159" s="22"/>
      <c r="CR159" s="22"/>
      <c r="CS159" s="91">
        <f>$A$41</f>
        <v>20183</v>
      </c>
      <c r="CT159" s="105"/>
      <c r="CU159" s="90" t="str">
        <f t="shared" si="359"/>
        <v/>
      </c>
      <c r="CV159" s="90" t="str">
        <f t="shared" si="359"/>
        <v/>
      </c>
      <c r="CW159" s="90" t="str">
        <f t="shared" si="359"/>
        <v/>
      </c>
      <c r="CX159" s="90" t="str">
        <f t="shared" si="359"/>
        <v/>
      </c>
      <c r="CY159" s="22"/>
      <c r="CZ159" s="22"/>
      <c r="DA159" s="22"/>
      <c r="DB159" s="22"/>
      <c r="DC159" s="22"/>
      <c r="DD159" s="22"/>
      <c r="DE159" s="91">
        <f>$A$41</f>
        <v>20183</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20193</v>
      </c>
      <c r="B160" s="105"/>
      <c r="C160" s="90">
        <f t="shared" si="351"/>
        <v>4.4260588863575361</v>
      </c>
      <c r="D160" s="90">
        <f t="shared" si="351"/>
        <v>2.4863308788210929</v>
      </c>
      <c r="E160" s="90">
        <f t="shared" si="351"/>
        <v>1.5973983005658376</v>
      </c>
      <c r="F160" s="22"/>
      <c r="G160" s="22"/>
      <c r="H160" s="22"/>
      <c r="I160" s="22"/>
      <c r="J160" s="22"/>
      <c r="K160" s="22"/>
      <c r="L160" s="22"/>
      <c r="M160" s="91">
        <f>$A$42</f>
        <v>20193</v>
      </c>
      <c r="N160" s="105"/>
      <c r="O160" s="90">
        <f t="shared" si="352"/>
        <v>2.0134450090578344</v>
      </c>
      <c r="P160" s="90">
        <f t="shared" si="352"/>
        <v>1.3310568924529096</v>
      </c>
      <c r="Q160" s="90">
        <f t="shared" si="352"/>
        <v>1.0435800506929345</v>
      </c>
      <c r="R160" s="22"/>
      <c r="S160" s="22"/>
      <c r="T160" s="22"/>
      <c r="U160" s="22"/>
      <c r="V160" s="22"/>
      <c r="W160" s="22"/>
      <c r="X160" s="22"/>
      <c r="Y160" s="91">
        <f>$A$42</f>
        <v>20193</v>
      </c>
      <c r="Z160" s="105"/>
      <c r="AA160" s="90">
        <f t="shared" si="353"/>
        <v>3.0407263127515676</v>
      </c>
      <c r="AB160" s="90">
        <f t="shared" si="353"/>
        <v>2.0173076632307261</v>
      </c>
      <c r="AC160" s="90">
        <f t="shared" si="353"/>
        <v>1.4890040897262453</v>
      </c>
      <c r="AD160" s="22"/>
      <c r="AE160" s="22"/>
      <c r="AF160" s="22"/>
      <c r="AG160" s="22"/>
      <c r="AH160" s="22"/>
      <c r="AI160" s="22"/>
      <c r="AJ160" s="22"/>
      <c r="AK160" s="91">
        <f>$A$42</f>
        <v>20193</v>
      </c>
      <c r="AL160" s="105"/>
      <c r="AM160" s="90">
        <f t="shared" si="354"/>
        <v>1.7563566748758705</v>
      </c>
      <c r="AN160" s="90">
        <f t="shared" si="354"/>
        <v>1.156151384437754</v>
      </c>
      <c r="AO160" s="90">
        <f t="shared" si="354"/>
        <v>1.013974601162049</v>
      </c>
      <c r="AP160" s="22"/>
      <c r="AQ160" s="22"/>
      <c r="AR160" s="22"/>
      <c r="AS160" s="22"/>
      <c r="AT160" s="22"/>
      <c r="AU160" s="22"/>
      <c r="AV160" s="22"/>
      <c r="AW160" s="91">
        <f>$A$42</f>
        <v>20193</v>
      </c>
      <c r="AX160" s="105"/>
      <c r="AY160" s="90">
        <f t="shared" si="355"/>
        <v>1.8757350523016469</v>
      </c>
      <c r="AZ160" s="90">
        <f t="shared" si="355"/>
        <v>1.3199751669644326</v>
      </c>
      <c r="BA160" s="90">
        <f t="shared" si="355"/>
        <v>1.0913199842904349</v>
      </c>
      <c r="BB160" s="22"/>
      <c r="BC160" s="22"/>
      <c r="BD160" s="22"/>
      <c r="BE160" s="22"/>
      <c r="BF160" s="22"/>
      <c r="BG160" s="22"/>
      <c r="BH160" s="22"/>
      <c r="BI160" s="91">
        <f>$A$42</f>
        <v>20193</v>
      </c>
      <c r="BJ160" s="105"/>
      <c r="BK160" s="90">
        <f t="shared" si="356"/>
        <v>1.1186032723917212</v>
      </c>
      <c r="BL160" s="90">
        <f t="shared" si="356"/>
        <v>0.99965310939815366</v>
      </c>
      <c r="BM160" s="90">
        <f t="shared" si="356"/>
        <v>0.99969449849269387</v>
      </c>
      <c r="BN160" s="22"/>
      <c r="BO160" s="22"/>
      <c r="BP160" s="22"/>
      <c r="BQ160" s="22"/>
      <c r="BR160" s="22"/>
      <c r="BS160" s="22"/>
      <c r="BT160" s="22"/>
      <c r="BU160" s="91">
        <f>$A$42</f>
        <v>20193</v>
      </c>
      <c r="BV160" s="105"/>
      <c r="BW160" s="90">
        <f t="shared" si="357"/>
        <v>-1.4391018943233549E-16</v>
      </c>
      <c r="BX160" s="90">
        <f t="shared" si="357"/>
        <v>0.96836444163239488</v>
      </c>
      <c r="BY160" s="90">
        <f t="shared" si="357"/>
        <v>1</v>
      </c>
      <c r="BZ160" s="22"/>
      <c r="CA160" s="22"/>
      <c r="CB160" s="22"/>
      <c r="CC160" s="22"/>
      <c r="CD160" s="22"/>
      <c r="CE160" s="22"/>
      <c r="CF160" s="22"/>
      <c r="CG160" s="91">
        <f>$A$42</f>
        <v>20193</v>
      </c>
      <c r="CH160" s="105"/>
      <c r="CI160" s="90" t="str">
        <f t="shared" si="358"/>
        <v/>
      </c>
      <c r="CJ160" s="90" t="str">
        <f t="shared" si="358"/>
        <v/>
      </c>
      <c r="CK160" s="90" t="str">
        <f t="shared" si="358"/>
        <v/>
      </c>
      <c r="CL160" s="22"/>
      <c r="CM160" s="22"/>
      <c r="CN160" s="22"/>
      <c r="CO160" s="22"/>
      <c r="CP160" s="22"/>
      <c r="CQ160" s="22"/>
      <c r="CR160" s="22"/>
      <c r="CS160" s="91">
        <f>$A$42</f>
        <v>20193</v>
      </c>
      <c r="CT160" s="105"/>
      <c r="CU160" s="90" t="str">
        <f t="shared" si="359"/>
        <v/>
      </c>
      <c r="CV160" s="90" t="str">
        <f t="shared" si="359"/>
        <v/>
      </c>
      <c r="CW160" s="90" t="str">
        <f t="shared" si="359"/>
        <v/>
      </c>
      <c r="CX160" s="22"/>
      <c r="CY160" s="22"/>
      <c r="CZ160" s="22"/>
      <c r="DA160" s="22"/>
      <c r="DB160" s="22"/>
      <c r="DC160" s="22"/>
      <c r="DD160" s="22"/>
      <c r="DE160" s="91">
        <f>$A$42</f>
        <v>20193</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20203</v>
      </c>
      <c r="B161" s="105"/>
      <c r="C161" s="90">
        <f t="shared" si="351"/>
        <v>4.2639663281437068</v>
      </c>
      <c r="D161" s="90">
        <f t="shared" si="351"/>
        <v>2.386089379015762</v>
      </c>
      <c r="E161" s="22"/>
      <c r="F161" s="22"/>
      <c r="G161" s="22"/>
      <c r="H161" s="22"/>
      <c r="I161" s="22"/>
      <c r="J161" s="22"/>
      <c r="K161" s="22"/>
      <c r="L161" s="22"/>
      <c r="M161" s="91">
        <f>$A$43</f>
        <v>20203</v>
      </c>
      <c r="N161" s="105"/>
      <c r="O161" s="90">
        <f t="shared" si="352"/>
        <v>1.6455124314663587</v>
      </c>
      <c r="P161" s="90">
        <f t="shared" si="352"/>
        <v>1.1924319987799221</v>
      </c>
      <c r="Q161" s="22"/>
      <c r="R161" s="22"/>
      <c r="S161" s="22"/>
      <c r="T161" s="22"/>
      <c r="U161" s="22"/>
      <c r="V161" s="22"/>
      <c r="W161" s="22"/>
      <c r="X161" s="22"/>
      <c r="Y161" s="91">
        <f>$A$43</f>
        <v>20203</v>
      </c>
      <c r="Z161" s="105"/>
      <c r="AA161" s="90">
        <f t="shared" si="353"/>
        <v>2.5379523836463989</v>
      </c>
      <c r="AB161" s="90">
        <f t="shared" si="353"/>
        <v>2.0567729990862014</v>
      </c>
      <c r="AC161" s="22"/>
      <c r="AD161" s="22"/>
      <c r="AE161" s="22"/>
      <c r="AF161" s="22"/>
      <c r="AG161" s="22"/>
      <c r="AH161" s="22"/>
      <c r="AI161" s="22"/>
      <c r="AJ161" s="22"/>
      <c r="AK161" s="91">
        <f>$A$43</f>
        <v>20203</v>
      </c>
      <c r="AL161" s="105"/>
      <c r="AM161" s="90">
        <f t="shared" si="354"/>
        <v>1.48344044206394</v>
      </c>
      <c r="AN161" s="90">
        <f t="shared" si="354"/>
        <v>1.1212141252348358</v>
      </c>
      <c r="AO161" s="22"/>
      <c r="AP161" s="22"/>
      <c r="AQ161" s="22"/>
      <c r="AR161" s="22"/>
      <c r="AS161" s="22"/>
      <c r="AT161" s="22"/>
      <c r="AU161" s="22"/>
      <c r="AV161" s="22"/>
      <c r="AW161" s="91">
        <f>$A$43</f>
        <v>20203</v>
      </c>
      <c r="AX161" s="105"/>
      <c r="AY161" s="90">
        <f t="shared" si="355"/>
        <v>1.5247723728726577</v>
      </c>
      <c r="AZ161" s="90">
        <f t="shared" si="355"/>
        <v>1.1291781462130668</v>
      </c>
      <c r="BA161" s="22"/>
      <c r="BB161" s="22"/>
      <c r="BC161" s="22"/>
      <c r="BD161" s="22"/>
      <c r="BE161" s="22"/>
      <c r="BF161" s="22"/>
      <c r="BG161" s="22"/>
      <c r="BH161" s="22"/>
      <c r="BI161" s="91">
        <f>$A$43</f>
        <v>20203</v>
      </c>
      <c r="BJ161" s="105"/>
      <c r="BK161" s="90">
        <f t="shared" si="356"/>
        <v>1.0668525182241728</v>
      </c>
      <c r="BL161" s="90">
        <f t="shared" si="356"/>
        <v>1.0206322951761848</v>
      </c>
      <c r="BM161" s="22"/>
      <c r="BN161" s="22"/>
      <c r="BO161" s="22"/>
      <c r="BP161" s="22"/>
      <c r="BQ161" s="22"/>
      <c r="BR161" s="22"/>
      <c r="BS161" s="22"/>
      <c r="BT161" s="22"/>
      <c r="BU161" s="91">
        <f>$A$43</f>
        <v>20203</v>
      </c>
      <c r="BV161" s="105"/>
      <c r="BW161" s="90" t="str">
        <f t="shared" si="357"/>
        <v/>
      </c>
      <c r="BX161" s="90">
        <f t="shared" si="357"/>
        <v>1</v>
      </c>
      <c r="BY161" s="22"/>
      <c r="BZ161" s="22"/>
      <c r="CA161" s="22"/>
      <c r="CB161" s="22"/>
      <c r="CC161" s="22"/>
      <c r="CD161" s="22"/>
      <c r="CE161" s="22"/>
      <c r="CF161" s="22"/>
      <c r="CG161" s="91">
        <f>$A$43</f>
        <v>20203</v>
      </c>
      <c r="CH161" s="105"/>
      <c r="CI161" s="90" t="str">
        <f t="shared" si="358"/>
        <v/>
      </c>
      <c r="CJ161" s="90" t="str">
        <f t="shared" si="358"/>
        <v/>
      </c>
      <c r="CK161" s="22"/>
      <c r="CL161" s="22"/>
      <c r="CM161" s="22"/>
      <c r="CN161" s="22"/>
      <c r="CO161" s="22"/>
      <c r="CP161" s="22"/>
      <c r="CQ161" s="22"/>
      <c r="CR161" s="22"/>
      <c r="CS161" s="91">
        <f>$A$43</f>
        <v>20203</v>
      </c>
      <c r="CT161" s="105"/>
      <c r="CU161" s="90" t="str">
        <f t="shared" si="359"/>
        <v/>
      </c>
      <c r="CV161" s="90" t="str">
        <f t="shared" si="359"/>
        <v/>
      </c>
      <c r="CW161" s="22"/>
      <c r="CX161" s="22"/>
      <c r="CY161" s="22"/>
      <c r="CZ161" s="22"/>
      <c r="DA161" s="22"/>
      <c r="DB161" s="22"/>
      <c r="DC161" s="22"/>
      <c r="DD161" s="22"/>
      <c r="DE161" s="91">
        <f>$A$43</f>
        <v>20203</v>
      </c>
      <c r="DF161" s="105"/>
      <c r="DG161" s="90" t="str">
        <f t="shared" si="360"/>
        <v/>
      </c>
      <c r="DH161" s="90" t="str">
        <f t="shared" si="360"/>
        <v/>
      </c>
      <c r="DI161" s="22"/>
      <c r="DJ161" s="22"/>
      <c r="DK161" s="22"/>
      <c r="DL161" s="22"/>
      <c r="DM161" s="22"/>
      <c r="DN161" s="22"/>
      <c r="DO161" s="22"/>
      <c r="DP161" s="22"/>
    </row>
    <row r="162" spans="1:120" x14ac:dyDescent="0.25">
      <c r="A162" s="91">
        <f>$A$44</f>
        <v>20213</v>
      </c>
      <c r="B162" s="105"/>
      <c r="C162" s="90">
        <f t="shared" si="351"/>
        <v>3.8071314588712992</v>
      </c>
      <c r="D162" s="22"/>
      <c r="E162" s="22"/>
      <c r="F162" s="22"/>
      <c r="G162" s="22"/>
      <c r="H162" s="22"/>
      <c r="I162" s="22"/>
      <c r="J162" s="22"/>
      <c r="K162" s="22"/>
      <c r="L162" s="22"/>
      <c r="M162" s="91">
        <f>$A$44</f>
        <v>20213</v>
      </c>
      <c r="N162" s="105"/>
      <c r="O162" s="90">
        <f t="shared" si="352"/>
        <v>1.9497784061307233</v>
      </c>
      <c r="P162" s="22"/>
      <c r="Q162" s="22"/>
      <c r="R162" s="22"/>
      <c r="S162" s="22"/>
      <c r="T162" s="22"/>
      <c r="U162" s="22"/>
      <c r="V162" s="22"/>
      <c r="W162" s="22"/>
      <c r="X162" s="22"/>
      <c r="Y162" s="91">
        <f>$A$44</f>
        <v>20213</v>
      </c>
      <c r="Z162" s="105"/>
      <c r="AA162" s="90">
        <f t="shared" si="353"/>
        <v>2.7232740357259644</v>
      </c>
      <c r="AB162" s="22"/>
      <c r="AC162" s="22"/>
      <c r="AD162" s="22"/>
      <c r="AE162" s="22"/>
      <c r="AF162" s="22"/>
      <c r="AG162" s="22"/>
      <c r="AH162" s="22"/>
      <c r="AI162" s="22"/>
      <c r="AJ162" s="22"/>
      <c r="AK162" s="91">
        <f>$A$44</f>
        <v>20213</v>
      </c>
      <c r="AL162" s="105"/>
      <c r="AM162" s="90">
        <f t="shared" si="354"/>
        <v>1.2819488216826462</v>
      </c>
      <c r="AN162" s="22"/>
      <c r="AO162" s="22"/>
      <c r="AP162" s="22"/>
      <c r="AQ162" s="22"/>
      <c r="AR162" s="22"/>
      <c r="AS162" s="22"/>
      <c r="AT162" s="22"/>
      <c r="AU162" s="22"/>
      <c r="AV162" s="22"/>
      <c r="AW162" s="91">
        <f>$A$44</f>
        <v>20213</v>
      </c>
      <c r="AX162" s="105"/>
      <c r="AY162" s="90">
        <f t="shared" si="355"/>
        <v>1.4284554857346563</v>
      </c>
      <c r="AZ162" s="22"/>
      <c r="BA162" s="22"/>
      <c r="BB162" s="22"/>
      <c r="BC162" s="22"/>
      <c r="BD162" s="22"/>
      <c r="BE162" s="22"/>
      <c r="BF162" s="22"/>
      <c r="BG162" s="22"/>
      <c r="BH162" s="22"/>
      <c r="BI162" s="91">
        <f>$A$44</f>
        <v>20213</v>
      </c>
      <c r="BJ162" s="105"/>
      <c r="BK162" s="90">
        <f t="shared" si="356"/>
        <v>1.0416844478744478</v>
      </c>
      <c r="BL162" s="22"/>
      <c r="BM162" s="22"/>
      <c r="BN162" s="22"/>
      <c r="BO162" s="22"/>
      <c r="BP162" s="22"/>
      <c r="BQ162" s="22"/>
      <c r="BR162" s="22"/>
      <c r="BS162" s="22"/>
      <c r="BT162" s="22"/>
      <c r="BU162" s="91">
        <f>$A$44</f>
        <v>20213</v>
      </c>
      <c r="BV162" s="105"/>
      <c r="BW162" s="90">
        <f t="shared" si="357"/>
        <v>0.77864390002474626</v>
      </c>
      <c r="BX162" s="22"/>
      <c r="BY162" s="22"/>
      <c r="BZ162" s="22"/>
      <c r="CA162" s="22"/>
      <c r="CB162" s="22"/>
      <c r="CC162" s="22"/>
      <c r="CD162" s="22"/>
      <c r="CE162" s="22"/>
      <c r="CF162" s="22"/>
      <c r="CG162" s="91">
        <f>$A$44</f>
        <v>20213</v>
      </c>
      <c r="CH162" s="105"/>
      <c r="CI162" s="90" t="str">
        <f t="shared" si="358"/>
        <v/>
      </c>
      <c r="CJ162" s="22"/>
      <c r="CK162" s="22"/>
      <c r="CL162" s="22"/>
      <c r="CM162" s="22"/>
      <c r="CN162" s="22"/>
      <c r="CO162" s="22"/>
      <c r="CP162" s="22"/>
      <c r="CQ162" s="22"/>
      <c r="CR162" s="22"/>
      <c r="CS162" s="91">
        <f>$A$44</f>
        <v>20213</v>
      </c>
      <c r="CT162" s="105"/>
      <c r="CU162" s="90" t="str">
        <f t="shared" si="359"/>
        <v/>
      </c>
      <c r="CV162" s="22"/>
      <c r="CW162" s="22"/>
      <c r="CX162" s="22"/>
      <c r="CY162" s="22"/>
      <c r="CZ162" s="22"/>
      <c r="DA162" s="22"/>
      <c r="DB162" s="22"/>
      <c r="DC162" s="22"/>
      <c r="DD162" s="22"/>
      <c r="DE162" s="91">
        <f>$A$44</f>
        <v>20213</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2" t="s">
        <v>52</v>
      </c>
      <c r="B164" s="263"/>
      <c r="C164" s="264">
        <f>IFERROR(AVERAGE(C160:C162),1)</f>
        <v>4.1657188911241816</v>
      </c>
      <c r="D164" s="264">
        <f>IFERROR(AVERAGE(D159:D161),1)</f>
        <v>2.4488196625755725</v>
      </c>
      <c r="E164" s="264">
        <f>IFERROR(AVERAGE(E158:E160),1)</f>
        <v>1.557327499243824</v>
      </c>
      <c r="F164" s="264">
        <f>IFERROR(AVERAGE(F157:F159),1)</f>
        <v>1.1544810236268017</v>
      </c>
      <c r="G164" s="264">
        <f>IFERROR(AVERAGE(G156:G158),1)</f>
        <v>1.0510682523025008</v>
      </c>
      <c r="H164" s="264">
        <f>IFERROR(AVERAGE(H155:H157),1)</f>
        <v>1.018116842431886</v>
      </c>
      <c r="I164" s="264">
        <f>IFERROR(AVERAGE(I154:I156),1)</f>
        <v>1.0060323178374739</v>
      </c>
      <c r="J164" s="264">
        <f>IFERROR(AVERAGE(J154:J155),1)</f>
        <v>1.0013777638377728</v>
      </c>
      <c r="K164" s="264">
        <f>IFERROR(AVERAGE(K154:K154),1)</f>
        <v>1.0003102013994176</v>
      </c>
      <c r="L164" s="264">
        <v>1</v>
      </c>
      <c r="M164" s="262" t="s">
        <v>52</v>
      </c>
      <c r="N164" s="263"/>
      <c r="O164" s="264">
        <f>IFERROR(AVERAGE(O160:O162),1)</f>
        <v>1.8695786155516387</v>
      </c>
      <c r="P164" s="264">
        <f>IFERROR(AVERAGE(P159:P161),1)</f>
        <v>1.1730655718904393</v>
      </c>
      <c r="Q164" s="264">
        <f>IFERROR(AVERAGE(Q158:Q160),1)</f>
        <v>1.1014037957906078</v>
      </c>
      <c r="R164" s="264">
        <f>IFERROR(AVERAGE(R157:R159),1)</f>
        <v>1.0327986158406972</v>
      </c>
      <c r="S164" s="264">
        <f>IFERROR(AVERAGE(S156:S158),1)</f>
        <v>1.0151852078612746</v>
      </c>
      <c r="T164" s="264">
        <f>IFERROR(AVERAGE(T155:T157),1)</f>
        <v>1.001801261801645</v>
      </c>
      <c r="U164" s="264">
        <f>IFERROR(AVERAGE(U154:U156),1)</f>
        <v>0.9993750540919496</v>
      </c>
      <c r="V164" s="264">
        <f>IFERROR(AVERAGE(V154:V155),1)</f>
        <v>1.0000813773765116</v>
      </c>
      <c r="W164" s="264">
        <f>IFERROR(AVERAGE(W154:W154),1)</f>
        <v>1.000037389223889</v>
      </c>
      <c r="X164" s="264">
        <v>1</v>
      </c>
      <c r="Y164" s="262" t="s">
        <v>52</v>
      </c>
      <c r="Z164" s="263"/>
      <c r="AA164" s="264">
        <f>IFERROR(AVERAGE(AA160:AA162),1)</f>
        <v>2.7673175773746439</v>
      </c>
      <c r="AB164" s="264">
        <f>IFERROR(AVERAGE(AB159:AB161),1)</f>
        <v>2.1614503012040664</v>
      </c>
      <c r="AC164" s="264">
        <f>IFERROR(AVERAGE(AC158:AC160),1)</f>
        <v>1.4518805270334585</v>
      </c>
      <c r="AD164" s="264">
        <f>IFERROR(AVERAGE(AD157:AD159),1)</f>
        <v>1.1937242363784628</v>
      </c>
      <c r="AE164" s="264">
        <f>IFERROR(AVERAGE(AE156:AE158),1)</f>
        <v>1.0792191751411961</v>
      </c>
      <c r="AF164" s="264">
        <f>IFERROR(AVERAGE(AF155:AF157),1)</f>
        <v>1.0498807968528696</v>
      </c>
      <c r="AG164" s="264">
        <f>IFERROR(AVERAGE(AG154:AG156),1)</f>
        <v>1.0290385510405669</v>
      </c>
      <c r="AH164" s="264">
        <f>IFERROR(AVERAGE(AH154:AH155),1)</f>
        <v>1.0258367263990871</v>
      </c>
      <c r="AI164" s="264">
        <f>IFERROR(AVERAGE(AI154:AI154),1)</f>
        <v>1.0242042586888012</v>
      </c>
      <c r="AJ164" s="264">
        <v>1</v>
      </c>
      <c r="AK164" s="262" t="s">
        <v>52</v>
      </c>
      <c r="AL164" s="263"/>
      <c r="AM164" s="264">
        <f>IFERROR(AVERAGE(AM160:AM162),1)</f>
        <v>1.5072486462074857</v>
      </c>
      <c r="AN164" s="264">
        <f>IFERROR(AVERAGE(AN159:AN161),1)</f>
        <v>1.1273648540795875</v>
      </c>
      <c r="AO164" s="264">
        <f>IFERROR(AVERAGE(AO158:AO160),1)</f>
        <v>1.0570675045268751</v>
      </c>
      <c r="AP164" s="264">
        <f>IFERROR(AVERAGE(AP157:AP159),1)</f>
        <v>1.0375231790220427</v>
      </c>
      <c r="AQ164" s="264">
        <f>IFERROR(AVERAGE(AQ156:AQ158),1)</f>
        <v>1.0024057445782699</v>
      </c>
      <c r="AR164" s="264">
        <f>IFERROR(AVERAGE(AR155:AR157),1)</f>
        <v>1.0004281591294393</v>
      </c>
      <c r="AS164" s="264">
        <f>IFERROR(AVERAGE(AS154:AS156),1)</f>
        <v>1.0003536426312352</v>
      </c>
      <c r="AT164" s="264">
        <f>IFERROR(AVERAGE(AT154:AT155),1)</f>
        <v>1.0000185076821495</v>
      </c>
      <c r="AU164" s="264">
        <f>IFERROR(AVERAGE(AU154:AU154),1)</f>
        <v>0.99999075758471923</v>
      </c>
      <c r="AV164" s="264">
        <v>1</v>
      </c>
      <c r="AW164" s="262" t="s">
        <v>52</v>
      </c>
      <c r="AX164" s="263"/>
      <c r="AY164" s="264">
        <f>IFERROR(AVERAGE(AY160:AY162),1)</f>
        <v>1.6096543036363204</v>
      </c>
      <c r="AZ164" s="264">
        <f>IFERROR(AVERAGE(AZ159:AZ161),1)</f>
        <v>1.2277040503240215</v>
      </c>
      <c r="BA164" s="264">
        <f>IFERROR(AVERAGE(BA158:BA160),1)</f>
        <v>1.0923791334569706</v>
      </c>
      <c r="BB164" s="264">
        <f>IFERROR(AVERAGE(BB157:BB159),1)</f>
        <v>1.0373778485837184</v>
      </c>
      <c r="BC164" s="264">
        <f>IFERROR(AVERAGE(BC156:BC158),1)</f>
        <v>1.0091587303804277</v>
      </c>
      <c r="BD164" s="264">
        <f>IFERROR(AVERAGE(BD155:BD157),1)</f>
        <v>1.0015613593769102</v>
      </c>
      <c r="BE164" s="264">
        <f>IFERROR(AVERAGE(BE154:BE156),1)</f>
        <v>1.0004150897383635</v>
      </c>
      <c r="BF164" s="264">
        <f>IFERROR(AVERAGE(BF154:BF155),1)</f>
        <v>1.0001322216994315</v>
      </c>
      <c r="BG164" s="264">
        <f>IFERROR(AVERAGE(BG154:BG154),1)</f>
        <v>1.0012854082533456</v>
      </c>
      <c r="BH164" s="264">
        <v>1</v>
      </c>
      <c r="BI164" s="262" t="s">
        <v>52</v>
      </c>
      <c r="BJ164" s="263"/>
      <c r="BK164" s="264">
        <f>IFERROR(AVERAGE(BK160:BK162),1)</f>
        <v>1.0757134128301138</v>
      </c>
      <c r="BL164" s="264">
        <f>IFERROR(AVERAGE(BL159:BL161),1)</f>
        <v>1.0077476653072386</v>
      </c>
      <c r="BM164" s="264">
        <f>IFERROR(AVERAGE(BM158:BM160),1)</f>
        <v>1.0018880783856876</v>
      </c>
      <c r="BN164" s="264">
        <f>IFERROR(AVERAGE(BN157:BN159),1)</f>
        <v>0.99991286788880307</v>
      </c>
      <c r="BO164" s="264">
        <f>IFERROR(AVERAGE(BO156:BO158),1)</f>
        <v>0.999995778304692</v>
      </c>
      <c r="BP164" s="264">
        <f>IFERROR(AVERAGE(BP155:BP157),1)</f>
        <v>1.0000068281503651</v>
      </c>
      <c r="BQ164" s="264">
        <f>IFERROR(AVERAGE(BQ154:BQ156),1)</f>
        <v>1.000003131669061</v>
      </c>
      <c r="BR164" s="264">
        <f>IFERROR(AVERAGE(BR154:BR155),1)</f>
        <v>1.0000215312162326</v>
      </c>
      <c r="BS164" s="264">
        <f>IFERROR(AVERAGE(BS154:BS154),1)</f>
        <v>1.0000485731742488</v>
      </c>
      <c r="BT164" s="264">
        <v>1</v>
      </c>
      <c r="BU164" s="262" t="s">
        <v>52</v>
      </c>
      <c r="BV164" s="263"/>
      <c r="BW164" s="264">
        <f>IFERROR(AVERAGE(BW160:BW162),1)</f>
        <v>0.38932195001237307</v>
      </c>
      <c r="BX164" s="264">
        <f>IFERROR(AVERAGE(BX159:BX161),1)</f>
        <v>0.97992957865273367</v>
      </c>
      <c r="BY164" s="264">
        <f>IFERROR(AVERAGE(BY158:BY160),1)</f>
        <v>0.99365209437061708</v>
      </c>
      <c r="BZ164" s="264">
        <f>IFERROR(AVERAGE(BZ157:BZ159),1)</f>
        <v>1</v>
      </c>
      <c r="CA164" s="264">
        <f>IFERROR(AVERAGE(CA156:CA158),1)</f>
        <v>1</v>
      </c>
      <c r="CB164" s="264">
        <f>IFERROR(AVERAGE(CB155:CB157),1)</f>
        <v>1</v>
      </c>
      <c r="CC164" s="264">
        <f>IFERROR(AVERAGE(CC154:CC156),1)</f>
        <v>1</v>
      </c>
      <c r="CD164" s="264">
        <f>IFERROR(AVERAGE(CD154:CD155),1)</f>
        <v>1</v>
      </c>
      <c r="CE164" s="264">
        <f>IFERROR(AVERAGE(CE154:CE154),1)</f>
        <v>1</v>
      </c>
      <c r="CF164" s="264">
        <v>1</v>
      </c>
      <c r="CG164" s="262" t="s">
        <v>52</v>
      </c>
      <c r="CH164" s="263"/>
      <c r="CI164" s="264">
        <f>IFERROR(AVERAGE(CI160:CI162),1)</f>
        <v>1</v>
      </c>
      <c r="CJ164" s="264">
        <f>IFERROR(AVERAGE(CJ159:CJ161),1)</f>
        <v>1</v>
      </c>
      <c r="CK164" s="264">
        <f>IFERROR(AVERAGE(CK158:CK160),1)</f>
        <v>1</v>
      </c>
      <c r="CL164" s="264">
        <f>IFERROR(AVERAGE(CL157:CL159),1)</f>
        <v>1</v>
      </c>
      <c r="CM164" s="264">
        <f>IFERROR(AVERAGE(CM156:CM158),1)</f>
        <v>1</v>
      </c>
      <c r="CN164" s="264">
        <f>IFERROR(AVERAGE(CN155:CN157),1)</f>
        <v>1</v>
      </c>
      <c r="CO164" s="264">
        <f>IFERROR(AVERAGE(CO154:CO156),1)</f>
        <v>1</v>
      </c>
      <c r="CP164" s="264">
        <f>IFERROR(AVERAGE(CP154:CP155),1)</f>
        <v>1</v>
      </c>
      <c r="CQ164" s="264">
        <f>IFERROR(AVERAGE(CQ154:CQ154),1)</f>
        <v>1</v>
      </c>
      <c r="CR164" s="264">
        <v>1</v>
      </c>
      <c r="CS164" s="262" t="s">
        <v>52</v>
      </c>
      <c r="CT164" s="263"/>
      <c r="CU164" s="264">
        <f>IFERROR(AVERAGE(CU160:CU162),1)</f>
        <v>1</v>
      </c>
      <c r="CV164" s="264">
        <f>IFERROR(AVERAGE(CV159:CV161),1)</f>
        <v>1</v>
      </c>
      <c r="CW164" s="264">
        <f>IFERROR(AVERAGE(CW158:CW160),1)</f>
        <v>1</v>
      </c>
      <c r="CX164" s="264">
        <f>IFERROR(AVERAGE(CX157:CX159),1)</f>
        <v>1</v>
      </c>
      <c r="CY164" s="264">
        <f>IFERROR(AVERAGE(CY156:CY158),1)</f>
        <v>1</v>
      </c>
      <c r="CZ164" s="264">
        <f>IFERROR(AVERAGE(CZ155:CZ157),1)</f>
        <v>1</v>
      </c>
      <c r="DA164" s="264">
        <f>IFERROR(AVERAGE(DA154:DA156),1)</f>
        <v>1</v>
      </c>
      <c r="DB164" s="264">
        <f>IFERROR(AVERAGE(DB154:DB155),1)</f>
        <v>1</v>
      </c>
      <c r="DC164" s="264">
        <f>IFERROR(AVERAGE(DC154:DC154),1)</f>
        <v>1</v>
      </c>
      <c r="DD164" s="264">
        <v>1</v>
      </c>
      <c r="DE164" s="262" t="s">
        <v>52</v>
      </c>
      <c r="DF164" s="263"/>
      <c r="DG164" s="264">
        <f>IFERROR(AVERAGE(DG160:DG162),1)</f>
        <v>1</v>
      </c>
      <c r="DH164" s="264">
        <f>IFERROR(AVERAGE(DH159:DH161),1)</f>
        <v>1</v>
      </c>
      <c r="DI164" s="264">
        <f>IFERROR(AVERAGE(DI158:DI160),1)</f>
        <v>1</v>
      </c>
      <c r="DJ164" s="264">
        <f>IFERROR(AVERAGE(DJ157:DJ159),1)</f>
        <v>1</v>
      </c>
      <c r="DK164" s="264">
        <f>IFERROR(AVERAGE(DK156:DK158),1)</f>
        <v>1</v>
      </c>
      <c r="DL164" s="264">
        <f>IFERROR(AVERAGE(DL155:DL157),1)</f>
        <v>1</v>
      </c>
      <c r="DM164" s="264">
        <f>IFERROR(AVERAGE(DM154:DM156),1)</f>
        <v>1</v>
      </c>
      <c r="DN164" s="264">
        <f>IFERROR(AVERAGE(DN154:DN155),1)</f>
        <v>1</v>
      </c>
      <c r="DO164" s="264">
        <f>IFERROR(AVERAGE(DO154:DO154),1)</f>
        <v>1</v>
      </c>
      <c r="DP164" s="264">
        <v>1</v>
      </c>
    </row>
    <row r="165" spans="1:120" x14ac:dyDescent="0.25">
      <c r="A165" s="11" t="s">
        <v>40</v>
      </c>
      <c r="B165" s="105"/>
      <c r="C165" s="93">
        <f t="shared" ref="C165:K165" si="361">IF(C164=0,1,C164)</f>
        <v>4.1657188911241816</v>
      </c>
      <c r="D165" s="93">
        <f t="shared" si="361"/>
        <v>2.4488196625755725</v>
      </c>
      <c r="E165" s="93">
        <f t="shared" si="361"/>
        <v>1.557327499243824</v>
      </c>
      <c r="F165" s="93">
        <f t="shared" si="361"/>
        <v>1.1544810236268017</v>
      </c>
      <c r="G165" s="93">
        <f t="shared" si="361"/>
        <v>1.0510682523025008</v>
      </c>
      <c r="H165" s="93">
        <f t="shared" si="361"/>
        <v>1.018116842431886</v>
      </c>
      <c r="I165" s="93">
        <f t="shared" si="361"/>
        <v>1.0060323178374739</v>
      </c>
      <c r="J165" s="93">
        <f t="shared" si="361"/>
        <v>1.0013777638377728</v>
      </c>
      <c r="K165" s="93">
        <f t="shared" si="361"/>
        <v>1.0003102013994176</v>
      </c>
      <c r="L165" s="93">
        <f>IF(L164=0,1,L164)</f>
        <v>1</v>
      </c>
      <c r="M165" s="285" t="s">
        <v>40</v>
      </c>
      <c r="N165" s="105"/>
      <c r="O165" s="93">
        <f t="shared" ref="O165:W165" si="362">IF(O164=0,1,O164)</f>
        <v>1.8695786155516387</v>
      </c>
      <c r="P165" s="93">
        <f t="shared" si="362"/>
        <v>1.1730655718904393</v>
      </c>
      <c r="Q165" s="93">
        <f t="shared" si="362"/>
        <v>1.1014037957906078</v>
      </c>
      <c r="R165" s="93">
        <f t="shared" si="362"/>
        <v>1.0327986158406972</v>
      </c>
      <c r="S165" s="93">
        <f t="shared" si="362"/>
        <v>1.0151852078612746</v>
      </c>
      <c r="T165" s="93">
        <f t="shared" si="362"/>
        <v>1.001801261801645</v>
      </c>
      <c r="U165" s="93">
        <f t="shared" si="362"/>
        <v>0.9993750540919496</v>
      </c>
      <c r="V165" s="93">
        <f t="shared" si="362"/>
        <v>1.0000813773765116</v>
      </c>
      <c r="W165" s="93">
        <f t="shared" si="362"/>
        <v>1.000037389223889</v>
      </c>
      <c r="X165" s="93">
        <f>IF(X164=0,1,X164)</f>
        <v>1</v>
      </c>
      <c r="Y165" s="285" t="s">
        <v>40</v>
      </c>
      <c r="Z165" s="105"/>
      <c r="AA165" s="93">
        <f t="shared" ref="AA165:AI165" si="363">IF(AA164=0,1,AA164)</f>
        <v>2.7673175773746439</v>
      </c>
      <c r="AB165" s="93">
        <f t="shared" si="363"/>
        <v>2.1614503012040664</v>
      </c>
      <c r="AC165" s="93">
        <f t="shared" si="363"/>
        <v>1.4518805270334585</v>
      </c>
      <c r="AD165" s="93">
        <f t="shared" si="363"/>
        <v>1.1937242363784628</v>
      </c>
      <c r="AE165" s="93">
        <f t="shared" si="363"/>
        <v>1.0792191751411961</v>
      </c>
      <c r="AF165" s="93">
        <f t="shared" si="363"/>
        <v>1.0498807968528696</v>
      </c>
      <c r="AG165" s="93">
        <f t="shared" si="363"/>
        <v>1.0290385510405669</v>
      </c>
      <c r="AH165" s="93">
        <f t="shared" si="363"/>
        <v>1.0258367263990871</v>
      </c>
      <c r="AI165" s="93">
        <f t="shared" si="363"/>
        <v>1.0242042586888012</v>
      </c>
      <c r="AJ165" s="93">
        <f>IF(AJ164=0,1,AJ164)</f>
        <v>1</v>
      </c>
      <c r="AK165" s="285" t="s">
        <v>40</v>
      </c>
      <c r="AL165" s="105"/>
      <c r="AM165" s="93">
        <f t="shared" ref="AM165:AU165" si="364">IF(AM164=0,1,AM164)</f>
        <v>1.5072486462074857</v>
      </c>
      <c r="AN165" s="93">
        <f t="shared" si="364"/>
        <v>1.1273648540795875</v>
      </c>
      <c r="AO165" s="93">
        <f t="shared" si="364"/>
        <v>1.0570675045268751</v>
      </c>
      <c r="AP165" s="93">
        <f t="shared" si="364"/>
        <v>1.0375231790220427</v>
      </c>
      <c r="AQ165" s="93">
        <f t="shared" si="364"/>
        <v>1.0024057445782699</v>
      </c>
      <c r="AR165" s="93">
        <f t="shared" si="364"/>
        <v>1.0004281591294393</v>
      </c>
      <c r="AS165" s="93">
        <f t="shared" si="364"/>
        <v>1.0003536426312352</v>
      </c>
      <c r="AT165" s="93">
        <f t="shared" si="364"/>
        <v>1.0000185076821495</v>
      </c>
      <c r="AU165" s="93">
        <f t="shared" si="364"/>
        <v>0.99999075758471923</v>
      </c>
      <c r="AV165" s="93">
        <f>IF(AV164=0,1,AV164)</f>
        <v>1</v>
      </c>
      <c r="AW165" s="285" t="s">
        <v>40</v>
      </c>
      <c r="AX165" s="105"/>
      <c r="AY165" s="93">
        <f t="shared" ref="AY165:BG165" si="365">IF(AY164=0,1,AY164)</f>
        <v>1.6096543036363204</v>
      </c>
      <c r="AZ165" s="93">
        <f t="shared" si="365"/>
        <v>1.2277040503240215</v>
      </c>
      <c r="BA165" s="93">
        <f t="shared" si="365"/>
        <v>1.0923791334569706</v>
      </c>
      <c r="BB165" s="93">
        <f t="shared" si="365"/>
        <v>1.0373778485837184</v>
      </c>
      <c r="BC165" s="93">
        <f t="shared" si="365"/>
        <v>1.0091587303804277</v>
      </c>
      <c r="BD165" s="93">
        <f t="shared" si="365"/>
        <v>1.0015613593769102</v>
      </c>
      <c r="BE165" s="93">
        <f t="shared" si="365"/>
        <v>1.0004150897383635</v>
      </c>
      <c r="BF165" s="93">
        <f t="shared" si="365"/>
        <v>1.0001322216994315</v>
      </c>
      <c r="BG165" s="93">
        <f t="shared" si="365"/>
        <v>1.0012854082533456</v>
      </c>
      <c r="BH165" s="93">
        <f>IF(BH164=0,1,BH164)</f>
        <v>1</v>
      </c>
      <c r="BI165" s="285" t="s">
        <v>40</v>
      </c>
      <c r="BJ165" s="105"/>
      <c r="BK165" s="93">
        <f t="shared" ref="BK165:BS165" si="366">IF(BK164=0,1,BK164)</f>
        <v>1.0757134128301138</v>
      </c>
      <c r="BL165" s="93">
        <f t="shared" si="366"/>
        <v>1.0077476653072386</v>
      </c>
      <c r="BM165" s="93">
        <f t="shared" si="366"/>
        <v>1.0018880783856876</v>
      </c>
      <c r="BN165" s="93">
        <f t="shared" si="366"/>
        <v>0.99991286788880307</v>
      </c>
      <c r="BO165" s="93">
        <f t="shared" si="366"/>
        <v>0.999995778304692</v>
      </c>
      <c r="BP165" s="93">
        <f t="shared" si="366"/>
        <v>1.0000068281503651</v>
      </c>
      <c r="BQ165" s="93">
        <f t="shared" si="366"/>
        <v>1.000003131669061</v>
      </c>
      <c r="BR165" s="93">
        <f t="shared" si="366"/>
        <v>1.0000215312162326</v>
      </c>
      <c r="BS165" s="93">
        <f t="shared" si="366"/>
        <v>1.0000485731742488</v>
      </c>
      <c r="BT165" s="93">
        <f>IF(BT164=0,1,BT164)</f>
        <v>1</v>
      </c>
      <c r="BU165" s="285" t="s">
        <v>40</v>
      </c>
      <c r="BV165" s="105"/>
      <c r="BW165" s="93">
        <f t="shared" ref="BW165:CE165" si="367">IF(BW164=0,1,BW164)</f>
        <v>0.38932195001237307</v>
      </c>
      <c r="BX165" s="93">
        <f t="shared" si="367"/>
        <v>0.97992957865273367</v>
      </c>
      <c r="BY165" s="93">
        <f t="shared" si="367"/>
        <v>0.99365209437061708</v>
      </c>
      <c r="BZ165" s="93">
        <f t="shared" si="367"/>
        <v>1</v>
      </c>
      <c r="CA165" s="93">
        <f t="shared" si="367"/>
        <v>1</v>
      </c>
      <c r="CB165" s="93">
        <f t="shared" si="367"/>
        <v>1</v>
      </c>
      <c r="CC165" s="93">
        <f t="shared" si="367"/>
        <v>1</v>
      </c>
      <c r="CD165" s="93">
        <f t="shared" si="367"/>
        <v>1</v>
      </c>
      <c r="CE165" s="93">
        <f t="shared" si="367"/>
        <v>1</v>
      </c>
      <c r="CF165" s="93">
        <f>IF(CF164=0,1,CF164)</f>
        <v>1</v>
      </c>
      <c r="CG165" s="285" t="s">
        <v>40</v>
      </c>
      <c r="CH165" s="105"/>
      <c r="CI165" s="93">
        <f t="shared" ref="CI165:CQ165" si="368">IF(CI164=0,1,CI164)</f>
        <v>1</v>
      </c>
      <c r="CJ165" s="93">
        <f t="shared" si="368"/>
        <v>1</v>
      </c>
      <c r="CK165" s="93">
        <f t="shared" si="368"/>
        <v>1</v>
      </c>
      <c r="CL165" s="93">
        <f t="shared" si="368"/>
        <v>1</v>
      </c>
      <c r="CM165" s="93">
        <f t="shared" si="368"/>
        <v>1</v>
      </c>
      <c r="CN165" s="93">
        <f t="shared" si="368"/>
        <v>1</v>
      </c>
      <c r="CO165" s="93">
        <f t="shared" si="368"/>
        <v>1</v>
      </c>
      <c r="CP165" s="93">
        <f t="shared" si="368"/>
        <v>1</v>
      </c>
      <c r="CQ165" s="93">
        <f t="shared" si="368"/>
        <v>1</v>
      </c>
      <c r="CR165" s="93">
        <f>IF(CR164=0,1,CR164)</f>
        <v>1</v>
      </c>
      <c r="CS165" s="285"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5"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19.778193817287278</v>
      </c>
      <c r="D166" s="93">
        <f>PRODUCT(D165:L165)</f>
        <v>4.7478464904168876</v>
      </c>
      <c r="E166" s="93">
        <f>PRODUCT(E165:L165)</f>
        <v>1.9388305978494507</v>
      </c>
      <c r="F166" s="93">
        <f>PRODUCT(F165:L165)</f>
        <v>1.244972941652202</v>
      </c>
      <c r="G166" s="93">
        <f>PRODUCT(G165:L165)</f>
        <v>1.0783832009131862</v>
      </c>
      <c r="H166" s="93">
        <f>PRODUCT(H165:L165)</f>
        <v>1.0259877972252025</v>
      </c>
      <c r="I166" s="93">
        <f>PRODUCT(I165:L165)</f>
        <v>1.007730895379862</v>
      </c>
      <c r="J166" s="93">
        <f>PRODUCT(J165:L165)</f>
        <v>1.001688392621461</v>
      </c>
      <c r="K166" s="93">
        <f>PRODUCT(K165:L165)</f>
        <v>1.0003102013994176</v>
      </c>
      <c r="L166" s="93">
        <f>PRODUCT(L165:L165)</f>
        <v>1</v>
      </c>
      <c r="M166" s="95" t="s">
        <v>39</v>
      </c>
      <c r="N166" s="105"/>
      <c r="O166" s="93">
        <f>PRODUCT(O165:X165)</f>
        <v>2.5359178164481975</v>
      </c>
      <c r="P166" s="93">
        <f>PRODUCT(P165:X165)</f>
        <v>1.3564114369696878</v>
      </c>
      <c r="Q166" s="93">
        <f>PRODUCT(Q165:X165)</f>
        <v>1.1562963481945683</v>
      </c>
      <c r="R166" s="93">
        <f>PRODUCT(R165:X165)</f>
        <v>1.0498387172931045</v>
      </c>
      <c r="S166" s="93">
        <f>PRODUCT(S165:X165)</f>
        <v>1.0164989584523572</v>
      </c>
      <c r="T166" s="93">
        <f>PRODUCT(T165:X165)</f>
        <v>1.0012940994223605</v>
      </c>
      <c r="U166" s="93">
        <f>PRODUCT(U165:X165)</f>
        <v>0.99949374951038461</v>
      </c>
      <c r="V166" s="93">
        <f>PRODUCT(V165:X165)</f>
        <v>1.0001187696430376</v>
      </c>
      <c r="W166" s="93">
        <f>PRODUCT(W165:X165)</f>
        <v>1.000037389223889</v>
      </c>
      <c r="X166" s="93">
        <f>PRODUCT(X165:X165)</f>
        <v>1</v>
      </c>
      <c r="Y166" s="95" t="s">
        <v>39</v>
      </c>
      <c r="Z166" s="105"/>
      <c r="AA166" s="93">
        <f>PRODUCT(AA165:AJ165)</f>
        <v>12.699460126078424</v>
      </c>
      <c r="AB166" s="93">
        <f>PRODUCT(AB165:AJ165)</f>
        <v>4.5890866411242941</v>
      </c>
      <c r="AC166" s="93">
        <f>PRODUCT(AC165:AJ165)</f>
        <v>2.1231515888049239</v>
      </c>
      <c r="AD166" s="93">
        <f>PRODUCT(AD165:AJ165)</f>
        <v>1.4623459363719369</v>
      </c>
      <c r="AE166" s="93">
        <f>PRODUCT(AE165:AJ165)</f>
        <v>1.2250282701877799</v>
      </c>
      <c r="AF166" s="93">
        <f>PRODUCT(AF165:AJ165)</f>
        <v>1.1351061011564285</v>
      </c>
      <c r="AG166" s="93">
        <f>PRODUCT(AG165:AJ165)</f>
        <v>1.0811761721511917</v>
      </c>
      <c r="AH166" s="93">
        <f>PRODUCT(AH165:AJ165)</f>
        <v>1.0506663438973236</v>
      </c>
      <c r="AI166" s="93">
        <f>PRODUCT(AI165:AJ165)</f>
        <v>1.0242042586888012</v>
      </c>
      <c r="AJ166" s="93">
        <f>PRODUCT(AJ165:AJ165)</f>
        <v>1</v>
      </c>
      <c r="AK166" s="95" t="s">
        <v>39</v>
      </c>
      <c r="AL166" s="105"/>
      <c r="AM166" s="93">
        <f>PRODUCT(AM165:AV165)</f>
        <v>1.8695494637238299</v>
      </c>
      <c r="AN166" s="93">
        <f>PRODUCT(AN165:AV165)</f>
        <v>1.2403722958570633</v>
      </c>
      <c r="AO166" s="93">
        <f>PRODUCT(AO165:AV165)</f>
        <v>1.1002403448790661</v>
      </c>
      <c r="AP166" s="93">
        <f>PRODUCT(AP165:AV165)</f>
        <v>1.040842084509555</v>
      </c>
      <c r="AQ166" s="93">
        <f>PRODUCT(AQ165:AV165)</f>
        <v>1.0031988735814465</v>
      </c>
      <c r="AR166" s="93">
        <f>PRODUCT(AR165:AV165)</f>
        <v>1.0007912255166798</v>
      </c>
      <c r="AS166" s="93">
        <f>PRODUCT(AS165:AV165)</f>
        <v>1.000362911003581</v>
      </c>
      <c r="AT166" s="93">
        <f>PRODUCT(AT165:AV165)</f>
        <v>1.000009265095813</v>
      </c>
      <c r="AU166" s="93">
        <f>PRODUCT(AU165:AV165)</f>
        <v>0.99999075758471923</v>
      </c>
      <c r="AV166" s="93">
        <f>PRODUCT(AV165:AV165)</f>
        <v>1</v>
      </c>
      <c r="AW166" s="95" t="s">
        <v>39</v>
      </c>
      <c r="AX166" s="105"/>
      <c r="AY166" s="93">
        <f>PRODUCT(AY165:BH165)</f>
        <v>2.2676146418896836</v>
      </c>
      <c r="AZ166" s="93">
        <f>PRODUCT(AZ165:BH165)</f>
        <v>1.4087587855149926</v>
      </c>
      <c r="BA166" s="93">
        <f>PRODUCT(BA165:BH165)</f>
        <v>1.1474742509346503</v>
      </c>
      <c r="BB166" s="93">
        <f>PRODUCT(BB165:BH165)</f>
        <v>1.0504358933544655</v>
      </c>
      <c r="BC166" s="93">
        <f>PRODUCT(BC165:BH165)</f>
        <v>1.0125875492604501</v>
      </c>
      <c r="BD166" s="93">
        <f>PRODUCT(BD165:BH165)</f>
        <v>1.0033977002594328</v>
      </c>
      <c r="BE166" s="93">
        <f>PRODUCT(BE165:BH165)</f>
        <v>1.0018334781641987</v>
      </c>
      <c r="BF166" s="93">
        <f>PRODUCT(BF165:BH165)</f>
        <v>1.0014177999116407</v>
      </c>
      <c r="BG166" s="93">
        <f>PRODUCT(BG165:BH165)</f>
        <v>1.0012854082533456</v>
      </c>
      <c r="BH166" s="93">
        <f>PRODUCT(BH165:BH165)</f>
        <v>1</v>
      </c>
      <c r="BI166" s="95" t="s">
        <v>39</v>
      </c>
      <c r="BJ166" s="105"/>
      <c r="BK166" s="93">
        <f>PRODUCT(BK165:BT165)</f>
        <v>1.0860821801182674</v>
      </c>
      <c r="BL166" s="93">
        <f>PRODUCT(BL165:BT165)</f>
        <v>1.0096389681159359</v>
      </c>
      <c r="BM166" s="93">
        <f>PRODUCT(BM165:BT165)</f>
        <v>1.0018767622826696</v>
      </c>
      <c r="BN166" s="93">
        <f>PRODUCT(BN165:BT165)</f>
        <v>0.99998870522240757</v>
      </c>
      <c r="BO166" s="93">
        <f>PRODUCT(BO165:BT165)</f>
        <v>1.0000758439420472</v>
      </c>
      <c r="BP166" s="93">
        <f>PRODUCT(BP165:BT165)</f>
        <v>1.0000800659753697</v>
      </c>
      <c r="BQ166" s="93">
        <f>PRODUCT(BQ165:BT165)</f>
        <v>1.000073237324929</v>
      </c>
      <c r="BR166" s="93">
        <f>PRODUCT(BR165:BT165)</f>
        <v>1.0000701054363208</v>
      </c>
      <c r="BS166" s="93">
        <f>PRODUCT(BS165:BT165)</f>
        <v>1.0000485731742488</v>
      </c>
      <c r="BT166" s="93">
        <f>PRODUCT(BT165:BT165)</f>
        <v>1</v>
      </c>
      <c r="BU166" s="95" t="s">
        <v>39</v>
      </c>
      <c r="BV166" s="105"/>
      <c r="BW166" s="93">
        <f>PRODUCT(BW165:CF165)</f>
        <v>0.37908631705556067</v>
      </c>
      <c r="BX166" s="93">
        <f>PRODUCT(BX165:CF165)</f>
        <v>0.97370907816400509</v>
      </c>
      <c r="BY166" s="93">
        <f>PRODUCT(BY165:CF165)</f>
        <v>0.99365209437061708</v>
      </c>
      <c r="BZ166" s="93">
        <f>PRODUCT(BZ165:CF165)</f>
        <v>1</v>
      </c>
      <c r="CA166" s="93">
        <f>PRODUCT(CA165:CF165)</f>
        <v>1</v>
      </c>
      <c r="CB166" s="93">
        <f>PRODUCT(CB165:CF165)</f>
        <v>1</v>
      </c>
      <c r="CC166" s="93">
        <f>PRODUCT(CC165:CF165)</f>
        <v>1</v>
      </c>
      <c r="CD166" s="93">
        <f>PRODUCT(CD165:CF165)</f>
        <v>1</v>
      </c>
      <c r="CE166" s="93">
        <f>PRODUCT(CE165:CF165)</f>
        <v>1</v>
      </c>
      <c r="CF166" s="93">
        <f>PRODUCT(CF165:CF165)</f>
        <v>1</v>
      </c>
      <c r="CG166" s="95" t="s">
        <v>39</v>
      </c>
      <c r="CH166" s="105"/>
      <c r="CI166" s="93">
        <f>PRODUCT(CI165:CR165)</f>
        <v>1</v>
      </c>
      <c r="CJ166" s="93">
        <f>PRODUCT(CJ165:CR165)</f>
        <v>1</v>
      </c>
      <c r="CK166" s="93">
        <f>PRODUCT(CK165:CR165)</f>
        <v>1</v>
      </c>
      <c r="CL166" s="93">
        <f>PRODUCT(CL165:CR165)</f>
        <v>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8.8464321376956506E-2</v>
      </c>
      <c r="D167" s="101">
        <f>IFERROR(D166*D149,"")</f>
        <v>0.1135833390772587</v>
      </c>
      <c r="E167" s="101">
        <f>IFERROR(E166*E148,"")</f>
        <v>0.15162113648897749</v>
      </c>
      <c r="F167" s="101">
        <f>IFERROR(F166*F147,"")</f>
        <v>0.12823878378157721</v>
      </c>
      <c r="G167" s="101">
        <f>IFERROR(G166*G146,"")</f>
        <v>0.11647831916559616</v>
      </c>
      <c r="H167" s="101">
        <f>IFERROR(H166*H145,"")</f>
        <v>0.11255638056620101</v>
      </c>
      <c r="I167" s="101">
        <f>IFERROR(I166*I144,"")</f>
        <v>9.6511579680134296E-2</v>
      </c>
      <c r="J167" s="101">
        <f>IFERROR(J166*J143,"")</f>
        <v>8.7783544354711321E-2</v>
      </c>
      <c r="K167" s="101">
        <f>IFERROR(K166*K142,"")</f>
        <v>8.8646292334664256E-2</v>
      </c>
      <c r="L167" s="101">
        <f>IFERROR(L166*L141,"")</f>
        <v>0.10069696813342682</v>
      </c>
      <c r="M167" s="95" t="s">
        <v>58</v>
      </c>
      <c r="N167" s="105"/>
      <c r="O167" s="101">
        <f>IFERROR(O166*O150,"")</f>
        <v>5.2125128611410282E-3</v>
      </c>
      <c r="P167" s="101">
        <f>IFERROR(P166*P149,"")</f>
        <v>2.0698595176699597E-3</v>
      </c>
      <c r="Q167" s="101">
        <f>IFERROR(Q166*Q148,"")</f>
        <v>6.4681197511305974E-3</v>
      </c>
      <c r="R167" s="101">
        <f>IFERROR(R166*R147,"")</f>
        <v>5.5631801776896616E-3</v>
      </c>
      <c r="S167" s="101">
        <f>IFERROR(S166*S146,"")</f>
        <v>5.0415609356254734E-3</v>
      </c>
      <c r="T167" s="101">
        <f>IFERROR(T166*T145,"")</f>
        <v>6.7226195723613059E-3</v>
      </c>
      <c r="U167" s="101">
        <f>IFERROR(U166*U144,"")</f>
        <v>4.2010905216742101E-3</v>
      </c>
      <c r="V167" s="101">
        <f>IFERROR(V166*V143,"")</f>
        <v>7.7449713505621867E-3</v>
      </c>
      <c r="W167" s="101">
        <f>IFERROR(W166*W142,"")</f>
        <v>1.4356720040591115E-2</v>
      </c>
      <c r="X167" s="101">
        <f>IFERROR(X166*X141,"")</f>
        <v>1.3864706796711373E-2</v>
      </c>
      <c r="Y167" s="95" t="s">
        <v>58</v>
      </c>
      <c r="Z167" s="105"/>
      <c r="AA167" s="101">
        <f>IFERROR(AA166*AA150,"")</f>
        <v>8.1326760024913514E-2</v>
      </c>
      <c r="AB167" s="101">
        <f>IFERROR(AB166*AB149,"")</f>
        <v>9.6346441882921213E-2</v>
      </c>
      <c r="AC167" s="101">
        <f>IFERROR(AC166*AC148,"")</f>
        <v>0.12667011115780932</v>
      </c>
      <c r="AD167" s="101">
        <f>IFERROR(AD166*AD147,"")</f>
        <v>0.11735937831675353</v>
      </c>
      <c r="AE167" s="101">
        <f>IFERROR(AE166*AE146,"")</f>
        <v>0.11085022775742957</v>
      </c>
      <c r="AF167" s="101">
        <f>IFERROR(AF166*AF145,"")</f>
        <v>9.7323496276739849E-2</v>
      </c>
      <c r="AG167" s="101">
        <f>IFERROR(AG166*AG144,"")</f>
        <v>9.5705108784085849E-2</v>
      </c>
      <c r="AH167" s="101">
        <f>IFERROR(AH166*AH143,"")</f>
        <v>9.0563386018430128E-2</v>
      </c>
      <c r="AI167" s="101">
        <f>IFERROR(AI166*AI142,"")</f>
        <v>9.4755496193453123E-2</v>
      </c>
      <c r="AJ167" s="101">
        <f>IFERROR(AJ166*AJ141,"")</f>
        <v>0.10415351460350669</v>
      </c>
      <c r="AK167" s="95" t="s">
        <v>58</v>
      </c>
      <c r="AL167" s="105"/>
      <c r="AM167" s="101">
        <f>IFERROR(AM166*AM150,"")</f>
        <v>5.5269592004543603E-3</v>
      </c>
      <c r="AN167" s="101">
        <f>IFERROR(AN166*AN149,"")</f>
        <v>7.7279876422035078E-3</v>
      </c>
      <c r="AO167" s="101">
        <f>IFERROR(AO166*AO148,"")</f>
        <v>1.2960031828246088E-2</v>
      </c>
      <c r="AP167" s="101">
        <f>IFERROR(AP166*AP147,"")</f>
        <v>6.3034153512214267E-3</v>
      </c>
      <c r="AQ167" s="101">
        <f>IFERROR(AQ166*AQ146,"")</f>
        <v>5.4721672719044625E-3</v>
      </c>
      <c r="AR167" s="101">
        <f>IFERROR(AR166*AR145,"")</f>
        <v>5.8007296605505493E-3</v>
      </c>
      <c r="AS167" s="101">
        <f>IFERROR(AS166*AS144,"")</f>
        <v>4.8842016318808266E-3</v>
      </c>
      <c r="AT167" s="101">
        <f>IFERROR(AT166*AT143,"")</f>
        <v>4.8581047969108813E-3</v>
      </c>
      <c r="AU167" s="101">
        <f>IFERROR(AU166*AU142,"")</f>
        <v>6.3708256927873822E-3</v>
      </c>
      <c r="AV167" s="101">
        <f>IFERROR(AV166*AV141,"")</f>
        <v>8.490439131253023E-3</v>
      </c>
      <c r="AW167" s="95" t="s">
        <v>58</v>
      </c>
      <c r="AX167" s="105"/>
      <c r="AY167" s="101">
        <f>IFERROR(AY166*AY150,"")</f>
        <v>2.8493174940523325E-3</v>
      </c>
      <c r="AZ167" s="101">
        <f>IFERROR(AZ166*AZ149,"")</f>
        <v>3.831900450500832E-3</v>
      </c>
      <c r="BA167" s="101">
        <f>IFERROR(BA166*BA148,"")</f>
        <v>5.547862269732317E-3</v>
      </c>
      <c r="BB167" s="101">
        <f>IFERROR(BB166*BB147,"")</f>
        <v>3.1764151294028042E-3</v>
      </c>
      <c r="BC167" s="101">
        <f>IFERROR(BC166*BC146,"")</f>
        <v>1.5968193939240268E-3</v>
      </c>
      <c r="BD167" s="101">
        <f>IFERROR(BD166*BD145,"")</f>
        <v>1.4802980081981281E-3</v>
      </c>
      <c r="BE167" s="101">
        <f>IFERROR(BE166*BE144,"")</f>
        <v>1.1929418093392756E-3</v>
      </c>
      <c r="BF167" s="101">
        <f>IFERROR(BF166*BF143,"")</f>
        <v>1.5328298034398536E-3</v>
      </c>
      <c r="BG167" s="101">
        <f>IFERROR(BG166*BG142,"")</f>
        <v>1.7145746444088999E-3</v>
      </c>
      <c r="BH167" s="101">
        <f>IFERROR(BH166*BH141,"")</f>
        <v>1.5921263903916766E-3</v>
      </c>
      <c r="BI167" s="95" t="s">
        <v>58</v>
      </c>
      <c r="BJ167" s="105"/>
      <c r="BK167" s="101">
        <f>IFERROR(BK166*BK150,"")</f>
        <v>2.077413123788673E-4</v>
      </c>
      <c r="BL167" s="101">
        <f>IFERROR(BL166*BL149,"")</f>
        <v>2.5990451543453033E-4</v>
      </c>
      <c r="BM167" s="101">
        <f>IFERROR(BM166*BM148,"")</f>
        <v>1.2803464559213158E-3</v>
      </c>
      <c r="BN167" s="101">
        <f>IFERROR(BN166*BN147,"")</f>
        <v>5.7116516095375748E-4</v>
      </c>
      <c r="BO167" s="101">
        <f>IFERROR(BO166*BO146,"")</f>
        <v>6.2278198550436473E-4</v>
      </c>
      <c r="BP167" s="101">
        <f>IFERROR(BP166*BP145,"")</f>
        <v>3.118423805045105E-4</v>
      </c>
      <c r="BQ167" s="101">
        <f>IFERROR(BQ166*BQ144,"")</f>
        <v>1.5026770003342838E-4</v>
      </c>
      <c r="BR167" s="101">
        <f>IFERROR(BR166*BR143,"")</f>
        <v>4.3380750695724813E-4</v>
      </c>
      <c r="BS167" s="101">
        <f>IFERROR(BS166*BS142,"")</f>
        <v>2.4719374757922817E-4</v>
      </c>
      <c r="BT167" s="101">
        <f>IFERROR(BT166*BT141,"")</f>
        <v>8.4021924257558485E-4</v>
      </c>
      <c r="BU167" s="95" t="s">
        <v>58</v>
      </c>
      <c r="BV167" s="105"/>
      <c r="BW167" s="101">
        <f>IFERROR(BW166*BW150,"")</f>
        <v>0</v>
      </c>
      <c r="BX167" s="101">
        <f>IFERROR(BX166*BX149,"")</f>
        <v>1.6867021893462103E-4</v>
      </c>
      <c r="BY167" s="101">
        <f>IFERROR(BY166*BY148,"")</f>
        <v>1.4784545652720863E-4</v>
      </c>
      <c r="BZ167" s="101">
        <f>IFERROR(BZ166*BZ147,"")</f>
        <v>-2.3976977269137623E-19</v>
      </c>
      <c r="CA167" s="101">
        <f>IFERROR(CA166*CA146,"")</f>
        <v>1.5013031921106463E-2</v>
      </c>
      <c r="CB167" s="101">
        <f>IFERROR(CB166*CB145,"")</f>
        <v>0</v>
      </c>
      <c r="CC167" s="101">
        <f>IFERROR(CC166*CC144,"")</f>
        <v>0</v>
      </c>
      <c r="CD167" s="101">
        <f>IFERROR(CD166*CD143,"")</f>
        <v>2.0331706633815606E-2</v>
      </c>
      <c r="CE167" s="101">
        <f>IFERROR(CE166*CE142,"")</f>
        <v>1.392657287758811E-3</v>
      </c>
      <c r="CF167" s="101">
        <f>IFERROR(CF166*CF141,"")</f>
        <v>1.7454094869312684E-2</v>
      </c>
      <c r="CG167" s="95" t="s">
        <v>58</v>
      </c>
      <c r="CH167" s="105"/>
      <c r="CI167" s="101" t="str">
        <f>IFERROR(CI166*CI150,"")</f>
        <v/>
      </c>
      <c r="CJ167" s="101" t="str">
        <f>IFERROR(CJ166*CJ149,"")</f>
        <v/>
      </c>
      <c r="CK167" s="101" t="str">
        <f>IFERROR(CK166*CK148,"")</f>
        <v/>
      </c>
      <c r="CL167" s="101" t="str">
        <f>IFERROR(CL166*CL147,"")</f>
        <v/>
      </c>
      <c r="CM167" s="101" t="str">
        <f>IFERROR(CM166*CM146,"")</f>
        <v/>
      </c>
      <c r="CN167" s="101" t="str">
        <f>IFERROR(CN166*CN145,"")</f>
        <v/>
      </c>
      <c r="CO167" s="101" t="str">
        <f>IFERROR(CO166*CO144,"")</f>
        <v/>
      </c>
      <c r="CP167" s="101" t="str">
        <f>IFERROR(CP166*CP143,"")</f>
        <v/>
      </c>
      <c r="CQ167" s="101" t="str">
        <f>IFERROR(CQ166*CQ142,"")</f>
        <v/>
      </c>
      <c r="CR167" s="101" t="str">
        <f>IFERROR(CR166*CR141,"")</f>
        <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215</v>
      </c>
      <c r="B168" s="105"/>
      <c r="C168" s="141">
        <f>IF(OR(D7="Paid - Loss &amp; DCCE",D7="Incurred - Loss &amp; DCCE"),"N/A",IF(D7="Paid - Pure Loss", C97, IF(D7="Incurred - Pure Loss", C240, 0)))</f>
        <v>1251253054.1177616</v>
      </c>
      <c r="D168" s="141">
        <f>IF(OR(D7="Paid - Loss &amp; DCCE",D7="Incurred - Loss &amp; DCCE"),"N/A",IF(D7="Paid - Pure Loss", D97, IF(D7="Incurred - Pure Loss", D240, 0)))</f>
        <v>956074346.85543823</v>
      </c>
      <c r="E168" s="141">
        <f>IF(OR(D7="Paid - Loss &amp; DCCE",D7="Incurred - Loss &amp; DCCE"),"N/A",IF(D7="Paid - Pure Loss", E97, IF(D7="Incurred - Pure Loss", E240, 0)))</f>
        <v>914066335.87849927</v>
      </c>
      <c r="F168" s="141">
        <f>IF(OR(D7="Paid - Loss &amp; DCCE",D7="Incurred - Loss &amp; DCCE"),"N/A",IF(D7="Paid - Pure Loss", F97, IF(D7="Incurred - Pure Loss", F240, 0)))</f>
        <v>1174127100.2305522</v>
      </c>
      <c r="G168" s="141">
        <f>IF(OR(D7="Paid - Loss &amp; DCCE",D7="Incurred - Loss &amp; DCCE"),"N/A",IF(D7="Paid - Pure Loss", G97, IF(D7="Incurred - Pure Loss", G240, 0)))</f>
        <v>1225131403.7641387</v>
      </c>
      <c r="H168" s="141">
        <f>IF(OR(D7="Paid - Loss &amp; DCCE",D7="Incurred - Loss &amp; DCCE"),"N/A",IF(D7="Paid - Pure Loss", H97, IF(D7="Incurred - Pure Loss", H240, 0)))</f>
        <v>1285254424.5704341</v>
      </c>
      <c r="I168" s="141">
        <f>IF(OR(D7="Paid - Loss &amp; DCCE",D7="Incurred - Loss &amp; DCCE"),"N/A",IF(D7="Paid - Pure Loss", I97, IF(D7="Incurred - Pure Loss", I240, 0)))</f>
        <v>1287931106.1730287</v>
      </c>
      <c r="J168" s="141">
        <f>IF(OR(D7="Paid - Loss &amp; DCCE",D7="Incurred - Loss &amp; DCCE"),"N/A",IF(D7="Paid - Pure Loss", J97, IF(D7="Incurred - Pure Loss", J240, 0)))</f>
        <v>1140124211.3832164</v>
      </c>
      <c r="K168" s="141">
        <f>IF(OR(D7="Paid - Loss &amp; DCCE",D7="Incurred - Loss &amp; DCCE"),"N/A",IF(D7="Paid - Pure Loss", K97, IF(D7="Incurred - Pure Loss", K240, 0)))</f>
        <v>1064193158.5822048</v>
      </c>
      <c r="L168" s="141">
        <f>IF(OR(D7="Paid - Loss &amp; DCCE",D7="Incurred - Loss &amp; DCCE"),"N/A",IF(D7="Paid - Pure Loss", L97, IF(D7="Incurred - Pure Loss", L240, 0)))</f>
        <v>920057675.80000019</v>
      </c>
      <c r="M168" s="140" t="s">
        <v>215</v>
      </c>
      <c r="N168" s="105"/>
      <c r="O168" s="141">
        <f>IF(OR(P7="Paid - Loss &amp; DCCE",P7="Incurred - Loss &amp; DCCE"),"N/A",IF(P7="Paid - Pure Loss", O97, IF(P7="Incurred - Pure Loss", O240, 0)))</f>
        <v>58953874.20794864</v>
      </c>
      <c r="P168" s="141">
        <f>IF(OR(P7="Paid - Loss &amp; DCCE",P7="Incurred - Loss &amp; DCCE"),"N/A",IF(P7="Paid - Pure Loss", P97, IF(P7="Incurred - Pure Loss", P240, 0)))</f>
        <v>52013918.147174187</v>
      </c>
      <c r="Q168" s="141">
        <f>IF(OR(P7="Paid - Loss &amp; DCCE",P7="Incurred - Loss &amp; DCCE"),"N/A",IF(P7="Paid - Pure Loss", Q97, IF(P7="Incurred - Pure Loss", Q240, 0)))</f>
        <v>52087720.954671144</v>
      </c>
      <c r="R168" s="141">
        <f>IF(OR(P7="Paid - Loss &amp; DCCE",P7="Incurred - Loss &amp; DCCE"),"N/A",IF(P7="Paid - Pure Loss", R97, IF(P7="Incurred - Pure Loss", R240, 0)))</f>
        <v>70805714.478667989</v>
      </c>
      <c r="S168" s="141">
        <f>IF(OR(P7="Paid - Loss &amp; DCCE",P7="Incurred - Loss &amp; DCCE"),"N/A",IF(P7="Paid - Pure Loss", S97, IF(P7="Incurred - Pure Loss", S240, 0)))</f>
        <v>71209699.792117447</v>
      </c>
      <c r="T168" s="141">
        <f>IF(OR(P7="Paid - Loss &amp; DCCE",P7="Incurred - Loss &amp; DCCE"),"N/A",IF(P7="Paid - Pure Loss", T97, IF(P7="Incurred - Pure Loss", T240, 0)))</f>
        <v>70624751.489567399</v>
      </c>
      <c r="U168" s="141">
        <f>IF(OR(P7="Paid - Loss &amp; DCCE",P7="Incurred - Loss &amp; DCCE"),"N/A",IF(P7="Paid - Pure Loss", U97, IF(P7="Incurred - Pure Loss", U240, 0)))</f>
        <v>64753062.903224528</v>
      </c>
      <c r="V168" s="141">
        <f>IF(OR(P7="Paid - Loss &amp; DCCE",P7="Incurred - Loss &amp; DCCE"),"N/A",IF(P7="Paid - Pure Loss", V97, IF(P7="Incurred - Pure Loss", V240, 0)))</f>
        <v>62955455.031573683</v>
      </c>
      <c r="W168" s="141">
        <f>IF(OR(P7="Paid - Loss &amp; DCCE",P7="Incurred - Loss &amp; DCCE"),"N/A",IF(P7="Paid - Pure Loss", W97, IF(P7="Incurred - Pure Loss", W240, 0)))</f>
        <v>62493217.966579154</v>
      </c>
      <c r="X168" s="141">
        <f>IF(OR(P7="Paid - Loss &amp; DCCE",P7="Incurred - Loss &amp; DCCE"),"N/A",IF(P7="Paid - Pure Loss", X97, IF(P7="Incurred - Pure Loss", X240, 0)))</f>
        <v>63134270.549999997</v>
      </c>
      <c r="Y168" s="140" t="s">
        <v>215</v>
      </c>
      <c r="Z168" s="105"/>
      <c r="AA168" s="141">
        <f>IF(OR(AB7="Paid - Loss &amp; DCCE",AB7="Incurred - Loss &amp; DCCE"),"N/A",IF(AB7="Paid - Pure Loss", AA97, IF(AB7="Incurred - Pure Loss", AA240, 0)))</f>
        <v>267238322.56361914</v>
      </c>
      <c r="AB168" s="141">
        <f>IF(OR(AB7="Paid - Loss &amp; DCCE",AB7="Incurred - Loss &amp; DCCE"),"N/A",IF(AB7="Paid - Pure Loss", AB97, IF(AB7="Incurred - Pure Loss", AB240, 0)))</f>
        <v>234597128.01328337</v>
      </c>
      <c r="AC168" s="141">
        <f>IF(OR(AB7="Paid - Loss &amp; DCCE",AB7="Incurred - Loss &amp; DCCE"),"N/A",IF(AB7="Paid - Pure Loss", AC97, IF(AB7="Incurred - Pure Loss", AC240, 0)))</f>
        <v>187526440.69023901</v>
      </c>
      <c r="AD168" s="141">
        <f>IF(OR(AB7="Paid - Loss &amp; DCCE",AB7="Incurred - Loss &amp; DCCE"),"N/A",IF(AB7="Paid - Pure Loss", AD97, IF(AB7="Incurred - Pure Loss", AD240, 0)))</f>
        <v>204075691.2701661</v>
      </c>
      <c r="AE168" s="141">
        <f>IF(OR(AB7="Paid - Loss &amp; DCCE",AB7="Incurred - Loss &amp; DCCE"),"N/A",IF(AB7="Paid - Pure Loss", AE97, IF(AB7="Incurred - Pure Loss", AE240, 0)))</f>
        <v>209090287.24149579</v>
      </c>
      <c r="AF168" s="141">
        <f>IF(OR(AB7="Paid - Loss &amp; DCCE",AB7="Incurred - Loss &amp; DCCE"),"N/A",IF(AB7="Paid - Pure Loss", AF97, IF(AB7="Incurred - Pure Loss", AF240, 0)))</f>
        <v>206467645.45198521</v>
      </c>
      <c r="AG168" s="141">
        <f>IF(OR(AB7="Paid - Loss &amp; DCCE",AB7="Incurred - Loss &amp; DCCE"),"N/A",IF(AB7="Paid - Pure Loss", AG97, IF(AB7="Incurred - Pure Loss", AG240, 0)))</f>
        <v>181355033.81049174</v>
      </c>
      <c r="AH168" s="141">
        <f>IF(OR(AB7="Paid - Loss &amp; DCCE",AB7="Incurred - Loss &amp; DCCE"),"N/A",IF(AB7="Paid - Pure Loss", AH97, IF(AB7="Incurred - Pure Loss", AH240, 0)))</f>
        <v>168724110.10857093</v>
      </c>
      <c r="AI168" s="141">
        <f>IF(OR(AB7="Paid - Loss &amp; DCCE",AB7="Incurred - Loss &amp; DCCE"),"N/A",IF(AB7="Paid - Pure Loss", AI97, IF(AB7="Incurred - Pure Loss", AI240, 0)))</f>
        <v>146262962.13321468</v>
      </c>
      <c r="AJ168" s="141">
        <f>IF(OR(AB7="Paid - Loss &amp; DCCE",AB7="Incurred - Loss &amp; DCCE"),"N/A",IF(AB7="Paid - Pure Loss", AJ97, IF(AB7="Incurred - Pure Loss", AJ240, 0)))</f>
        <v>126421553.64000006</v>
      </c>
      <c r="AK168" s="140" t="s">
        <v>215</v>
      </c>
      <c r="AL168" s="105"/>
      <c r="AM168" s="141">
        <f>IF(OR(AN7="Paid - Loss &amp; DCCE",AN7="Incurred - Loss &amp; DCCE"),"N/A",IF(AN7="Paid - Pure Loss", AM97, IF(AN7="Incurred - Pure Loss", AM240, 0)))</f>
        <v>376110223.50221878</v>
      </c>
      <c r="AN168" s="141">
        <f>IF(OR(AN7="Paid - Loss &amp; DCCE",AN7="Incurred - Loss &amp; DCCE"),"N/A",IF(AN7="Paid - Pure Loss", AN97, IF(AN7="Incurred - Pure Loss", AN240, 0)))</f>
        <v>283949154.05683118</v>
      </c>
      <c r="AO168" s="141">
        <f>IF(OR(AN7="Paid - Loss &amp; DCCE",AN7="Incurred - Loss &amp; DCCE"),"N/A",IF(AN7="Paid - Pure Loss", AO97, IF(AN7="Incurred - Pure Loss", AO240, 0)))</f>
        <v>232976088.75098905</v>
      </c>
      <c r="AP168" s="141">
        <f>IF(OR(AN7="Paid - Loss &amp; DCCE",AN7="Incurred - Loss &amp; DCCE"),"N/A",IF(AN7="Paid - Pure Loss", AP97, IF(AN7="Incurred - Pure Loss", AP240, 0)))</f>
        <v>232942717.50376558</v>
      </c>
      <c r="AQ168" s="141">
        <f>IF(OR(AN7="Paid - Loss &amp; DCCE",AN7="Incurred - Loss &amp; DCCE"),"N/A",IF(AN7="Paid - Pure Loss", AQ97, IF(AN7="Incurred - Pure Loss", AQ240, 0)))</f>
        <v>217894508.22900918</v>
      </c>
      <c r="AR168" s="141">
        <f>IF(OR(AN7="Paid - Loss &amp; DCCE",AN7="Incurred - Loss &amp; DCCE"),"N/A",IF(AN7="Paid - Pure Loss", AR97, IF(AN7="Incurred - Pure Loss", AR240, 0)))</f>
        <v>225389504.2256611</v>
      </c>
      <c r="AS168" s="141">
        <f>IF(OR(AN7="Paid - Loss &amp; DCCE",AN7="Incurred - Loss &amp; DCCE"),"N/A",IF(AN7="Paid - Pure Loss", AS97, IF(AN7="Incurred - Pure Loss", AS240, 0)))</f>
        <v>207363314.84734696</v>
      </c>
      <c r="AT168" s="141">
        <f>IF(OR(AN7="Paid - Loss &amp; DCCE",AN7="Incurred - Loss &amp; DCCE"),"N/A",IF(AN7="Paid - Pure Loss", AT97, IF(AN7="Incurred - Pure Loss", AT240, 0)))</f>
        <v>193373516.30004087</v>
      </c>
      <c r="AU168" s="141">
        <f>IF(OR(AN7="Paid - Loss &amp; DCCE",AN7="Incurred - Loss &amp; DCCE"),"N/A",IF(AN7="Paid - Pure Loss", AU97, IF(AN7="Incurred - Pure Loss", AU240, 0)))</f>
        <v>178920713.72953856</v>
      </c>
      <c r="AV168" s="141">
        <f>IF(OR(AN7="Paid - Loss &amp; DCCE",AN7="Incurred - Loss &amp; DCCE"),"N/A",IF(AN7="Paid - Pure Loss", AV97, IF(AN7="Incurred - Pure Loss", AV240, 0)))</f>
        <v>173144135.10000005</v>
      </c>
      <c r="AW168" s="140" t="s">
        <v>215</v>
      </c>
      <c r="AX168" s="105"/>
      <c r="AY168" s="141">
        <f>IF(OR(AZ7="Paid - Loss &amp; DCCE",AZ7="Incurred - Loss &amp; DCCE"),"N/A",IF(AZ7="Paid - Pure Loss", AY97, IF(AZ7="Incurred - Pure Loss", AY240, 0)))</f>
        <v>1158673262.0354464</v>
      </c>
      <c r="AZ168" s="141">
        <f>IF(OR(AZ7="Paid - Loss &amp; DCCE",AZ7="Incurred - Loss &amp; DCCE"),"N/A",IF(AZ7="Paid - Pure Loss", AZ97, IF(AZ7="Incurred - Pure Loss", AZ240, 0)))</f>
        <v>820931851.57167816</v>
      </c>
      <c r="BA168" s="141">
        <f>IF(OR(AZ7="Paid - Loss &amp; DCCE",AZ7="Incurred - Loss &amp; DCCE"),"N/A",IF(AZ7="Paid - Pure Loss", BA97, IF(AZ7="Incurred - Pure Loss", BA240, 0)))</f>
        <v>706867543.05423367</v>
      </c>
      <c r="BB168" s="141">
        <f>IF(OR(AZ7="Paid - Loss &amp; DCCE",AZ7="Incurred - Loss &amp; DCCE"),"N/A",IF(AZ7="Paid - Pure Loss", BB97, IF(AZ7="Incurred - Pure Loss", BB240, 0)))</f>
        <v>858893146.56209421</v>
      </c>
      <c r="BC168" s="141">
        <f>IF(OR(AZ7="Paid - Loss &amp; DCCE",AZ7="Incurred - Loss &amp; DCCE"),"N/A",IF(AZ7="Paid - Pure Loss", BC97, IF(AZ7="Incurred - Pure Loss", BC240, 0)))</f>
        <v>833830328.87903321</v>
      </c>
      <c r="BD168" s="141">
        <f>IF(OR(AZ7="Paid - Loss &amp; DCCE",AZ7="Incurred - Loss &amp; DCCE"),"N/A",IF(AZ7="Paid - Pure Loss", BD97, IF(AZ7="Incurred - Pure Loss", BD240, 0)))</f>
        <v>849746095.32609677</v>
      </c>
      <c r="BE168" s="141">
        <f>IF(OR(AZ7="Paid - Loss &amp; DCCE",AZ7="Incurred - Loss &amp; DCCE"),"N/A",IF(AZ7="Paid - Pure Loss", BE97, IF(AZ7="Incurred - Pure Loss", BE240, 0)))</f>
        <v>811298485.18886781</v>
      </c>
      <c r="BF168" s="141">
        <f>IF(OR(AZ7="Paid - Loss &amp; DCCE",AZ7="Incurred - Loss &amp; DCCE"),"N/A",IF(AZ7="Paid - Pure Loss", BF97, IF(AZ7="Incurred - Pure Loss", BF240, 0)))</f>
        <v>729989827.90210485</v>
      </c>
      <c r="BG168" s="141">
        <f>IF(OR(AZ7="Paid - Loss &amp; DCCE",AZ7="Incurred - Loss &amp; DCCE"),"N/A",IF(AZ7="Paid - Pure Loss", BG97, IF(AZ7="Incurred - Pure Loss", BG240, 0)))</f>
        <v>637167267.60686588</v>
      </c>
      <c r="BH168" s="141">
        <f>IF(OR(AZ7="Paid - Loss &amp; DCCE",AZ7="Incurred - Loss &amp; DCCE"),"N/A",IF(AZ7="Paid - Pure Loss", BH97, IF(AZ7="Incurred - Pure Loss", BH240, 0)))</f>
        <v>574575258.09999979</v>
      </c>
      <c r="BI168" s="140" t="s">
        <v>215</v>
      </c>
      <c r="BJ168" s="105"/>
      <c r="BK168" s="141">
        <f>IF(OR(BL7="Paid - Loss &amp; DCCE",BL7="Incurred - Loss &amp; DCCE"),"N/A",IF(BL7="Paid - Pure Loss", BK97, IF(BL7="Incurred - Pure Loss", BK240, 0)))</f>
        <v>68709677.56199187</v>
      </c>
      <c r="BL168" s="141">
        <f>IF(OR(BL7="Paid - Loss &amp; DCCE",BL7="Incurred - Loss &amp; DCCE"),"N/A",IF(BL7="Paid - Pure Loss", BL97, IF(BL7="Incurred - Pure Loss", BL240, 0)))</f>
        <v>52154504.721452318</v>
      </c>
      <c r="BM168" s="141">
        <f>IF(OR(BL7="Paid - Loss &amp; DCCE",BL7="Incurred - Loss &amp; DCCE"),"N/A",IF(BL7="Paid - Pure Loss", BM97, IF(BL7="Incurred - Pure Loss", BM240, 0)))</f>
        <v>45401662.516688794</v>
      </c>
      <c r="BN168" s="141">
        <f>IF(OR(BL7="Paid - Loss &amp; DCCE",BL7="Incurred - Loss &amp; DCCE"),"N/A",IF(BL7="Paid - Pure Loss", BN97, IF(BL7="Incurred - Pure Loss", BN240, 0)))</f>
        <v>53562223.069583021</v>
      </c>
      <c r="BO168" s="141">
        <f>IF(OR(BL7="Paid - Loss &amp; DCCE",BL7="Incurred - Loss &amp; DCCE"),"N/A",IF(BL7="Paid - Pure Loss", BO97, IF(BL7="Incurred - Pure Loss", BO240, 0)))</f>
        <v>51138267.406911053</v>
      </c>
      <c r="BP168" s="141">
        <f>IF(OR(BL7="Paid - Loss &amp; DCCE",BL7="Incurred - Loss &amp; DCCE"),"N/A",IF(BL7="Paid - Pure Loss", BP97, IF(BL7="Incurred - Pure Loss", BP240, 0)))</f>
        <v>53896205.342393488</v>
      </c>
      <c r="BQ168" s="141">
        <f>IF(OR(BL7="Paid - Loss &amp; DCCE",BL7="Incurred - Loss &amp; DCCE"),"N/A",IF(BL7="Paid - Pure Loss", BQ97, IF(BL7="Incurred - Pure Loss", BQ240, 0)))</f>
        <v>49434457.813642636</v>
      </c>
      <c r="BR168" s="141">
        <f>IF(OR(BL7="Paid - Loss &amp; DCCE",BL7="Incurred - Loss &amp; DCCE"),"N/A",IF(BL7="Paid - Pure Loss", BR97, IF(BL7="Incurred - Pure Loss", BR240, 0)))</f>
        <v>44528924.763864033</v>
      </c>
      <c r="BS168" s="141">
        <f>IF(OR(BL7="Paid - Loss &amp; DCCE",BL7="Incurred - Loss &amp; DCCE"),"N/A",IF(BL7="Paid - Pure Loss", BS97, IF(BL7="Incurred - Pure Loss", BS240, 0)))</f>
        <v>41011191.016272604</v>
      </c>
      <c r="BT168" s="141">
        <f>IF(OR(BL7="Paid - Loss &amp; DCCE",BL7="Incurred - Loss &amp; DCCE"),"N/A",IF(BL7="Paid - Pure Loss", BT97, IF(BL7="Incurred - Pure Loss", BT240, 0)))</f>
        <v>38025515.699999988</v>
      </c>
      <c r="BU168" s="140" t="s">
        <v>215</v>
      </c>
      <c r="BV168" s="105"/>
      <c r="BW168" s="141">
        <f>IF(OR(BX7="Paid - Loss &amp; DCCE",BX7="Incurred - Loss &amp; DCCE"),"N/A",IF(BX7="Paid - Pure Loss", BW97, IF(BX7="Incurred - Pure Loss", BW240, 0)))</f>
        <v>352865.74789210461</v>
      </c>
      <c r="BX168" s="141">
        <f>IF(OR(BX7="Paid - Loss &amp; DCCE",BX7="Incurred - Loss &amp; DCCE"),"N/A",IF(BX7="Paid - Pure Loss", BX97, IF(BX7="Incurred - Pure Loss", BX240, 0)))</f>
        <v>219133.52714433876</v>
      </c>
      <c r="BY168" s="141">
        <f>IF(OR(BX7="Paid - Loss &amp; DCCE",BX7="Incurred - Loss &amp; DCCE"),"N/A",IF(BX7="Paid - Pure Loss", BY97, IF(BX7="Incurred - Pure Loss", BY240, 0)))</f>
        <v>168519.11264576527</v>
      </c>
      <c r="BZ168" s="141">
        <f>IF(OR(BX7="Paid - Loss &amp; DCCE",BX7="Incurred - Loss &amp; DCCE"),"N/A",IF(BX7="Paid - Pure Loss", BZ97, IF(BX7="Incurred - Pure Loss", BZ240, 0)))</f>
        <v>477569.23819243273</v>
      </c>
      <c r="CA168" s="141">
        <f>IF(OR(BX7="Paid - Loss &amp; DCCE",BX7="Incurred - Loss &amp; DCCE"),"N/A",IF(BX7="Paid - Pure Loss", CA97, IF(BX7="Incurred - Pure Loss", CA240, 0)))</f>
        <v>531671.41999999993</v>
      </c>
      <c r="CB168" s="141">
        <f>IF(OR(BX7="Paid - Loss &amp; DCCE",BX7="Incurred - Loss &amp; DCCE"),"N/A",IF(BX7="Paid - Pure Loss", CB97, IF(BX7="Incurred - Pure Loss", CB240, 0)))</f>
        <v>379934.12</v>
      </c>
      <c r="CC168" s="141">
        <f>IF(OR(BX7="Paid - Loss &amp; DCCE",BX7="Incurred - Loss &amp; DCCE"),"N/A",IF(BX7="Paid - Pure Loss", CC97, IF(BX7="Incurred - Pure Loss", CC240, 0)))</f>
        <v>275600</v>
      </c>
      <c r="CD168" s="141">
        <f>IF(OR(BX7="Paid - Loss &amp; DCCE",BX7="Incurred - Loss &amp; DCCE"),"N/A",IF(BX7="Paid - Pure Loss", CD97, IF(BX7="Incurred - Pure Loss", CD240, 0)))</f>
        <v>501471.43</v>
      </c>
      <c r="CE168" s="141">
        <f>IF(OR(BX7="Paid - Loss &amp; DCCE",BX7="Incurred - Loss &amp; DCCE"),"N/A",IF(BX7="Paid - Pure Loss", CE97, IF(BX7="Incurred - Pure Loss", CE240, 0)))</f>
        <v>366601.32</v>
      </c>
      <c r="CF168" s="141">
        <f>IF(OR(BX7="Paid - Loss &amp; DCCE",BX7="Incurred - Loss &amp; DCCE"),"N/A",IF(BX7="Paid - Pure Loss", CF97, IF(BX7="Incurred - Pure Loss", CF240, 0)))</f>
        <v>258250</v>
      </c>
      <c r="CG168" s="140" t="s">
        <v>215</v>
      </c>
      <c r="CH168" s="105"/>
      <c r="CI168" s="141">
        <f>IF(OR(CJ7="Paid - Loss &amp; DCCE",CJ7="Incurred - Loss &amp; DCCE"),"N/A",IF(CJ7="Paid - Pure Loss", CI97, IF(CJ7="Incurred - Pure Loss", CI240, 0)))</f>
        <v>0</v>
      </c>
      <c r="CJ168" s="141">
        <f>IF(OR(CJ7="Paid - Loss &amp; DCCE",CJ7="Incurred - Loss &amp; DCCE"),"N/A",IF(CJ7="Paid - Pure Loss", CJ97, IF(CJ7="Incurred - Pure Loss", CJ240, 0)))</f>
        <v>0</v>
      </c>
      <c r="CK168" s="141">
        <f>IF(OR(CJ7="Paid - Loss &amp; DCCE",CJ7="Incurred - Loss &amp; DCCE"),"N/A",IF(CJ7="Paid - Pure Loss", CK97, IF(CJ7="Incurred - Pure Loss", CK240, 0)))</f>
        <v>0</v>
      </c>
      <c r="CL168" s="141">
        <f>IF(OR(CJ7="Paid - Loss &amp; DCCE",CJ7="Incurred - Loss &amp; DCCE"),"N/A",IF(CJ7="Paid - Pure Loss", CL97, IF(CJ7="Incurred - Pure Loss", CL240, 0)))</f>
        <v>0</v>
      </c>
      <c r="CM168" s="141">
        <f>IF(OR(CJ7="Paid - Loss &amp; DCCE",CJ7="Incurred - Loss &amp; DCCE"),"N/A",IF(CJ7="Paid - Pure Loss", CM97, IF(CJ7="Incurred - Pure Loss", CM240, 0)))</f>
        <v>0</v>
      </c>
      <c r="CN168" s="141">
        <f>IF(OR(CJ7="Paid - Loss &amp; DCCE",CJ7="Incurred - Loss &amp; DCCE"),"N/A",IF(CJ7="Paid - Pure Loss", CN97, IF(CJ7="Incurred - Pure Loss", CN240, 0)))</f>
        <v>0</v>
      </c>
      <c r="CO168" s="141">
        <f>IF(OR(CJ7="Paid - Loss &amp; DCCE",CJ7="Incurred - Loss &amp; DCCE"),"N/A",IF(CJ7="Paid - Pure Loss", CO97, IF(CJ7="Incurred - Pure Loss", CO240, 0)))</f>
        <v>0</v>
      </c>
      <c r="CP168" s="141">
        <f>IF(OR(CJ7="Paid - Loss &amp; DCCE",CJ7="Incurred - Loss &amp; DCCE"),"N/A",IF(CJ7="Paid - Pure Loss", CP97, IF(CJ7="Incurred - Pure Loss", CP240, 0)))</f>
        <v>0</v>
      </c>
      <c r="CQ168" s="141">
        <f>IF(OR(CJ7="Paid - Loss &amp; DCCE",CJ7="Incurred - Loss &amp; DCCE"),"N/A",IF(CJ7="Paid - Pure Loss", CQ97, IF(CJ7="Incurred - Pure Loss", CQ240, 0)))</f>
        <v>0</v>
      </c>
      <c r="CR168" s="141">
        <f>IF(OR(CJ7="Paid - Loss &amp; DCCE",CJ7="Incurred - Loss &amp; DCCE"),"N/A",IF(CJ7="Paid - Pure Loss", CR97, IF(CJ7="Incurred - Pure Loss", CR240, 0)))</f>
        <v>0</v>
      </c>
      <c r="CS168" s="140" t="s">
        <v>215</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215</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110691252.30337201</v>
      </c>
      <c r="D169" s="110">
        <f>IF(OR(D7="Paid - Loss &amp; DCCE",D7="Incurred - Loss &amp; DCCE"),"N/A",IFERROR(D167*D168,0))</f>
        <v>108594116.72194989</v>
      </c>
      <c r="E169" s="110">
        <f>IF(OR(D7="Paid - Loss &amp; DCCE",D7="Incurred - Loss &amp; DCCE"),"N/A",IFERROR(E167*E168,0))</f>
        <v>138591776.67221346</v>
      </c>
      <c r="F169" s="110">
        <f>IF(OR(D7="Paid - Loss &amp; DCCE",D7="Incurred - Loss &amp; DCCE"),"N/A",IFERROR(F167*F168,0))</f>
        <v>150568631.33855602</v>
      </c>
      <c r="G169" s="110">
        <f>IF(OR(D7="Paid - Loss &amp; DCCE",D7="Incurred - Loss &amp; DCCE"),"N/A",IFERROR(G167*G168,0))</f>
        <v>142701246.66743422</v>
      </c>
      <c r="H169" s="110">
        <f>IF(OR(D7="Paid - Loss &amp; DCCE",D7="Incurred - Loss &amp; DCCE"),"N/A",IFERROR(H167*H168,0))</f>
        <v>144663586.13634348</v>
      </c>
      <c r="I169" s="110">
        <f>IF(OR(D7="Paid - Loss &amp; DCCE",D7="Incurred - Loss &amp; DCCE"),"N/A",IFERROR(I167*I168,0))</f>
        <v>124300265.57594177</v>
      </c>
      <c r="J169" s="110">
        <f>IF(OR(D7="Paid - Loss &amp; DCCE",D7="Incurred - Loss &amp; DCCE"),"N/A",IFERROR(J167*J168,0))</f>
        <v>100084144.27983885</v>
      </c>
      <c r="K169" s="110">
        <f>IF(OR(D7="Paid - Loss &amp; DCCE",D7="Incurred - Loss &amp; DCCE"),"N/A",IFERROR(K167*K168,0))</f>
        <v>94336777.836227849</v>
      </c>
      <c r="L169" s="110">
        <f>IF(OR(D7="Paid - Loss &amp; DCCE",D7="Incurred - Loss &amp; DCCE"),"N/A",IFERROR(L167*L168,0))</f>
        <v>92647018.460947365</v>
      </c>
      <c r="M169" s="95" t="s">
        <v>42</v>
      </c>
      <c r="N169" s="105"/>
      <c r="O169" s="110">
        <f>IF(OR(P7="Paid - Loss &amp; DCCE",P7="Incurred - Loss &amp; DCCE"),"N/A",IFERROR(O167*O168,0))</f>
        <v>307297.82752302266</v>
      </c>
      <c r="P169" s="110">
        <f>IF(OR(P7="Paid - Loss &amp; DCCE",P7="Incurred - Loss &amp; DCCE"),"N/A",IFERROR(P167*P168,0))</f>
        <v>107661.50352823472</v>
      </c>
      <c r="Q169" s="110">
        <f>IF(OR(P7="Paid - Loss &amp; DCCE",P7="Incurred - Loss &amp; DCCE"),"N/A",IFERROR(Q167*Q168,0))</f>
        <v>336909.61669828754</v>
      </c>
      <c r="R169" s="110">
        <f>IF(OR(P7="Paid - Loss &amp; DCCE",P7="Incurred - Loss &amp; DCCE"),"N/A",IFERROR(R167*R168,0))</f>
        <v>393904.94725487963</v>
      </c>
      <c r="S169" s="110">
        <f>IF(OR(P7="Paid - Loss &amp; DCCE",P7="Incurred - Loss &amp; DCCE"),"N/A",IFERROR(S167*S168,0))</f>
        <v>359008.04070955672</v>
      </c>
      <c r="T169" s="110">
        <f>IF(OR(P7="Paid - Loss &amp; DCCE",P7="Incurred - Loss &amp; DCCE"),"N/A",IFERROR(T167*T168,0))</f>
        <v>474783.3366569191</v>
      </c>
      <c r="U169" s="110">
        <f>IF(OR(P7="Paid - Loss &amp; DCCE",P7="Incurred - Loss &amp; DCCE"),"N/A",IFERROR(U167*U168,0))</f>
        <v>272033.47881211049</v>
      </c>
      <c r="V169" s="110">
        <f>IF(OR(P7="Paid - Loss &amp; DCCE",P7="Incurred - Loss &amp; DCCE"),"N/A",IFERROR(V167*V168,0))</f>
        <v>487588.19558114425</v>
      </c>
      <c r="W169" s="110">
        <f>IF(OR(P7="Paid - Loss &amp; DCCE",P7="Incurred - Loss &amp; DCCE"),"N/A",IFERROR(W167*W168,0))</f>
        <v>897197.63478181569</v>
      </c>
      <c r="X169" s="110">
        <f>IF(OR(P7="Paid - Loss &amp; DCCE",P7="Incurred - Loss &amp; DCCE"),"N/A",IFERROR(X167*X168,0))</f>
        <v>875338.14999999967</v>
      </c>
      <c r="Y169" s="95" t="s">
        <v>42</v>
      </c>
      <c r="Z169" s="105"/>
      <c r="AA169" s="110">
        <f>IF(OR(AB7="Paid - Loss &amp; DCCE",AB7="Incurred - Loss &amp; DCCE"),"N/A",IFERROR(AA167*AA168,0))</f>
        <v>21733626.928591885</v>
      </c>
      <c r="AB169" s="110">
        <f>IF(OR(AB7="Paid - Loss &amp; DCCE",AB7="Incurred - Loss &amp; DCCE"),"N/A",IFERROR(AB167*AB168,0))</f>
        <v>22602598.560032036</v>
      </c>
      <c r="AC169" s="110">
        <f>IF(OR(AB7="Paid - Loss &amp; DCCE",AB7="Incurred - Loss &amp; DCCE"),"N/A",IFERROR(AC167*AC168,0))</f>
        <v>23753995.087260913</v>
      </c>
      <c r="AD169" s="110">
        <f>IF(OR(AB7="Paid - Loss &amp; DCCE",AB7="Incurred - Loss &amp; DCCE"),"N/A",IFERROR(AD167*AD168,0))</f>
        <v>23950196.25702842</v>
      </c>
      <c r="AE169" s="110">
        <f>IF(OR(AB7="Paid - Loss &amp; DCCE",AB7="Incurred - Loss &amp; DCCE"),"N/A",IFERROR(AE167*AE168,0))</f>
        <v>23177705.962586179</v>
      </c>
      <c r="AF169" s="110">
        <f>IF(OR(AB7="Paid - Loss &amp; DCCE",AB7="Incurred - Loss &amp; DCCE"),"N/A",IFERROR(AF167*AF168,0))</f>
        <v>20094153.123413526</v>
      </c>
      <c r="AG169" s="110">
        <f>IF(OR(AB7="Paid - Loss &amp; DCCE",AB7="Incurred - Loss &amp; DCCE"),"N/A",IFERROR(AG167*AG168,0))</f>
        <v>17356603.239374679</v>
      </c>
      <c r="AH169" s="110">
        <f>IF(OR(AB7="Paid - Loss &amp; DCCE",AB7="Incurred - Loss &amp; DCCE"),"N/A",IFERROR(AH167*AH168,0))</f>
        <v>15280226.714378618</v>
      </c>
      <c r="AI169" s="110">
        <f>IF(OR(AB7="Paid - Loss &amp; DCCE",AB7="Incurred - Loss &amp; DCCE"),"N/A",IFERROR(AI167*AI168,0))</f>
        <v>13859219.551657002</v>
      </c>
      <c r="AJ169" s="110">
        <f>IF(OR(AB7="Paid - Loss &amp; DCCE",AB7="Incurred - Loss &amp; DCCE"),"N/A",IFERROR(AJ167*AJ168,0))</f>
        <v>13167249.13324175</v>
      </c>
      <c r="AK169" s="95" t="s">
        <v>42</v>
      </c>
      <c r="AL169" s="105"/>
      <c r="AM169" s="110">
        <f>IF(OR(AN7="Paid - Loss &amp; DCCE",AN7="Incurred - Loss &amp; DCCE"),"N/A",IFERROR(AM167*AM168,0))</f>
        <v>2078745.8601705339</v>
      </c>
      <c r="AN169" s="110">
        <f>IF(OR(AN7="Paid - Loss &amp; DCCE",AN7="Incurred - Loss &amp; DCCE"),"N/A",IFERROR(AN167*AN168,0))</f>
        <v>2194355.5535653313</v>
      </c>
      <c r="AO169" s="110">
        <f>IF(OR(AN7="Paid - Loss &amp; DCCE",AN7="Incurred - Loss &amp; DCCE"),"N/A",IFERROR(AO167*AO168,0))</f>
        <v>3019377.5254331036</v>
      </c>
      <c r="AP169" s="110">
        <f>IF(OR(AN7="Paid - Loss &amp; DCCE",AN7="Incurred - Loss &amp; DCCE"),"N/A",IFERROR(AP167*AP168,0))</f>
        <v>1468334.7014684721</v>
      </c>
      <c r="AQ169" s="110">
        <f>IF(OR(AN7="Paid - Loss &amp; DCCE",AN7="Incurred - Loss &amp; DCCE"),"N/A",IFERROR(AQ167*AQ168,0))</f>
        <v>1192355.1966585016</v>
      </c>
      <c r="AR169" s="110">
        <f>IF(OR(AN7="Paid - Loss &amp; DCCE",AN7="Incurred - Loss &amp; DCCE"),"N/A",IFERROR(AR167*AR168,0))</f>
        <v>1307423.5823385757</v>
      </c>
      <c r="AS169" s="110">
        <f>IF(OR(AN7="Paid - Loss &amp; DCCE",AN7="Incurred - Loss &amp; DCCE"),"N/A",IFERROR(AS167*AS168,0))</f>
        <v>1012804.2407696297</v>
      </c>
      <c r="AT169" s="110">
        <f>IF(OR(AN7="Paid - Loss &amp; DCCE",AN7="Incurred - Loss &amp; DCCE"),"N/A",IFERROR(AT167*AT168,0))</f>
        <v>939428.80713275308</v>
      </c>
      <c r="AU169" s="110">
        <f>IF(OR(AN7="Paid - Loss &amp; DCCE",AN7="Incurred - Loss &amp; DCCE"),"N/A",IFERROR(AU167*AU168,0))</f>
        <v>1139872.6800000004</v>
      </c>
      <c r="AV169" s="110">
        <f>IF(OR(AN7="Paid - Loss &amp; DCCE",AN7="Incurred - Loss &amp; DCCE"),"N/A",IFERROR(AV167*AV168,0))</f>
        <v>1470069.7400000005</v>
      </c>
      <c r="AW169" s="95" t="s">
        <v>42</v>
      </c>
      <c r="AX169" s="105"/>
      <c r="AY169" s="110">
        <f>IF(OR(AZ7="Paid - Loss &amp; DCCE",AZ7="Incurred - Loss &amp; DCCE"),"N/A",IFERROR(AY167*AY168,0))</f>
        <v>3301427.9954082798</v>
      </c>
      <c r="AZ169" s="110">
        <f>IF(OR(AZ7="Paid - Loss &amp; DCCE",AZ7="Incurred - Loss &amp; DCCE"),"N/A",IFERROR(AZ167*AZ168,0))</f>
        <v>3145729.1318679955</v>
      </c>
      <c r="BA169" s="110">
        <f>IF(OR(AZ7="Paid - Loss &amp; DCCE",AZ7="Incurred - Loss &amp; DCCE"),"N/A",IFERROR(BA167*BA168,0))</f>
        <v>3921603.771808967</v>
      </c>
      <c r="BB169" s="110">
        <f>IF(OR(AZ7="Paid - Loss &amp; DCCE",AZ7="Incurred - Loss &amp; DCCE"),"N/A",IFERROR(BB167*BB168,0))</f>
        <v>2728201.1852802159</v>
      </c>
      <c r="BC169" s="110">
        <f>IF(OR(AZ7="Paid - Loss &amp; DCCE",AZ7="Incurred - Loss &amp; DCCE"),"N/A",IFERROR(BC167*BC168,0))</f>
        <v>1331476.4403960898</v>
      </c>
      <c r="BD169" s="110">
        <f>IF(OR(AZ7="Paid - Loss &amp; DCCE",AZ7="Incurred - Loss &amp; DCCE"),"N/A",IFERROR(BD167*BD168,0))</f>
        <v>1257877.4523853578</v>
      </c>
      <c r="BE169" s="110">
        <f>IF(OR(AZ7="Paid - Loss &amp; DCCE",AZ7="Incurred - Loss &amp; DCCE"),"N/A",IFERROR(BE167*BE168,0))</f>
        <v>967831.88283542148</v>
      </c>
      <c r="BF169" s="110">
        <f>IF(OR(AZ7="Paid - Loss &amp; DCCE",AZ7="Incurred - Loss &amp; DCCE"),"N/A",IFERROR(BF167*BF168,0))</f>
        <v>1118950.1644162759</v>
      </c>
      <c r="BG169" s="110">
        <f>IF(OR(AZ7="Paid - Loss &amp; DCCE",AZ7="Incurred - Loss &amp; DCCE"),"N/A",IFERROR(BG167*BG168,0))</f>
        <v>1092470.8412860325</v>
      </c>
      <c r="BH169" s="110">
        <f>IF(OR(AZ7="Paid - Loss &amp; DCCE",AZ7="Incurred - Loss &amp; DCCE"),"N/A",IFERROR(BH167*BH168,0))</f>
        <v>914796.4316871186</v>
      </c>
      <c r="BI169" s="95" t="s">
        <v>42</v>
      </c>
      <c r="BJ169" s="105"/>
      <c r="BK169" s="110">
        <f>IF(OR(BL7="Paid - Loss &amp; DCCE",BL7="Incurred - Loss &amp; DCCE"),"N/A",IFERROR(BK167*BK168,0))</f>
        <v>14273.838589857001</v>
      </c>
      <c r="BL169" s="110">
        <f>IF(OR(BL7="Paid - Loss &amp; DCCE",BL7="Incurred - Loss &amp; DCCE"),"N/A",IFERROR(BL167*BL168,0))</f>
        <v>13555.191277356989</v>
      </c>
      <c r="BM169" s="110">
        <f>IF(OR(BL7="Paid - Loss &amp; DCCE",BL7="Incurred - Loss &amp; DCCE"),"N/A",IFERROR(BM167*BM168,0))</f>
        <v>58129.857696178144</v>
      </c>
      <c r="BN169" s="110">
        <f>IF(OR(BL7="Paid - Loss &amp; DCCE",BL7="Incurred - Loss &amp; DCCE"),"N/A",IFERROR(BN167*BN168,0))</f>
        <v>30592.875760579449</v>
      </c>
      <c r="BO169" s="110">
        <f>IF(OR(BL7="Paid - Loss &amp; DCCE",BL7="Incurred - Loss &amp; DCCE"),"N/A",IFERROR(BO167*BO168,0))</f>
        <v>31847.991710929207</v>
      </c>
      <c r="BP169" s="110">
        <f>IF(OR(BL7="Paid - Loss &amp; DCCE",BL7="Incurred - Loss &amp; DCCE"),"N/A",IFERROR(BP167*BP168,0))</f>
        <v>16807.1209741319</v>
      </c>
      <c r="BQ169" s="110">
        <f>IF(OR(BL7="Paid - Loss &amp; DCCE",BL7="Incurred - Loss &amp; DCCE"),"N/A",IFERROR(BQ167*BQ168,0))</f>
        <v>7428.4022780556215</v>
      </c>
      <c r="BR169" s="110">
        <f>IF(OR(BL7="Paid - Loss &amp; DCCE",BL7="Incurred - Loss &amp; DCCE"),"N/A",IFERROR(BR167*BR168,0))</f>
        <v>19316.981839298725</v>
      </c>
      <c r="BS169" s="110">
        <f>IF(OR(BL7="Paid - Loss &amp; DCCE",BL7="Incurred - Loss &amp; DCCE"),"N/A",IFERROR(BS167*BS168,0))</f>
        <v>10137.710000000001</v>
      </c>
      <c r="BT169" s="110">
        <f>IF(OR(BL7="Paid - Loss &amp; DCCE",BL7="Incurred - Loss &amp; DCCE"),"N/A",IFERROR(BT167*BT168,0))</f>
        <v>31949.77</v>
      </c>
      <c r="BU169" s="95" t="s">
        <v>42</v>
      </c>
      <c r="BV169" s="105"/>
      <c r="BW169" s="110">
        <f>IF(OR(BX7="Paid - Loss &amp; DCCE",BX7="Incurred - Loss &amp; DCCE"),"N/A",IFERROR(BW167*BW168,0))</f>
        <v>0</v>
      </c>
      <c r="BX169" s="110">
        <f>IF(OR(BX7="Paid - Loss &amp; DCCE",BX7="Incurred - Loss &amp; DCCE"),"N/A",IFERROR(BX167*BX168,0))</f>
        <v>36.96129999935134</v>
      </c>
      <c r="BY169" s="110">
        <f>IF(OR(BX7="Paid - Loss &amp; DCCE",BX7="Incurred - Loss &amp; DCCE"),"N/A",IFERROR(BY167*BY168,0))</f>
        <v>24.914785142673264</v>
      </c>
      <c r="BZ169" s="110">
        <f>IF(OR(BX7="Paid - Loss &amp; DCCE",BX7="Incurred - Loss &amp; DCCE"),"N/A",IFERROR(BZ167*BZ168,0))</f>
        <v>-1.145066676857933E-13</v>
      </c>
      <c r="CA169" s="110">
        <f>IF(OR(BX7="Paid - Loss &amp; DCCE",BX7="Incurred - Loss &amp; DCCE"),"N/A",IFERROR(CA167*CA168,0))</f>
        <v>7982</v>
      </c>
      <c r="CB169" s="110">
        <f>IF(OR(BX7="Paid - Loss &amp; DCCE",BX7="Incurred - Loss &amp; DCCE"),"N/A",IFERROR(CB167*CB168,0))</f>
        <v>0</v>
      </c>
      <c r="CC169" s="110">
        <f>IF(OR(BX7="Paid - Loss &amp; DCCE",BX7="Incurred - Loss &amp; DCCE"),"N/A",IFERROR(CC167*CC168,0))</f>
        <v>0</v>
      </c>
      <c r="CD169" s="110">
        <f>IF(OR(BX7="Paid - Loss &amp; DCCE",BX7="Incurred - Loss &amp; DCCE"),"N/A",IFERROR(CD167*CD168,0))</f>
        <v>10195.769999999999</v>
      </c>
      <c r="CE169" s="110">
        <f>IF(OR(BX7="Paid - Loss &amp; DCCE",BX7="Incurred - Loss &amp; DCCE"),"N/A",IFERROR(CE167*CE168,0))</f>
        <v>510.54999999999995</v>
      </c>
      <c r="CF169" s="110">
        <f>IF(OR(BX7="Paid - Loss &amp; DCCE",BX7="Incurred - Loss &amp; DCCE"),"N/A",IFERROR(CF167*CF168,0))</f>
        <v>4507.5200000000004</v>
      </c>
      <c r="CG169" s="95" t="s">
        <v>42</v>
      </c>
      <c r="CH169" s="105"/>
      <c r="CI169" s="110">
        <f>IF(OR(CJ7="Paid - Loss &amp; DCCE",CJ7="Incurred - Loss &amp; DCCE"),"N/A",IFERROR(CI167*CI168,0))</f>
        <v>0</v>
      </c>
      <c r="CJ169" s="110">
        <f>IF(OR(CJ7="Paid - Loss &amp; DCCE",CJ7="Incurred - Loss &amp; DCCE"),"N/A",IFERROR(CJ167*CJ168,0))</f>
        <v>0</v>
      </c>
      <c r="CK169" s="110">
        <f>IF(OR(CJ7="Paid - Loss &amp; DCCE",CJ7="Incurred - Loss &amp; DCCE"),"N/A",IFERROR(CK167*CK168,0))</f>
        <v>0</v>
      </c>
      <c r="CL169" s="110">
        <f>IF(OR(CJ7="Paid - Loss &amp; DCCE",CJ7="Incurred - Loss &amp; DCCE"),"N/A",IFERROR(CL167*CL168,0))</f>
        <v>0</v>
      </c>
      <c r="CM169" s="110">
        <f>IF(OR(CJ7="Paid - Loss &amp; DCCE",CJ7="Incurred - Loss &amp; DCCE"),"N/A",IFERROR(CM167*CM168,0))</f>
        <v>0</v>
      </c>
      <c r="CN169" s="110">
        <f>IF(OR(CJ7="Paid - Loss &amp; DCCE",CJ7="Incurred - Loss &amp; DCCE"),"N/A",IFERROR(CN167*CN168,0))</f>
        <v>0</v>
      </c>
      <c r="CO169" s="110">
        <f>IF(OR(CJ7="Paid - Loss &amp; DCCE",CJ7="Incurred - Loss &amp; DCCE"),"N/A",IFERROR(CO167*CO168,0))</f>
        <v>0</v>
      </c>
      <c r="CP169" s="110">
        <f>IF(OR(CJ7="Paid - Loss &amp; DCCE",CJ7="Incurred - Loss &amp; DCCE"),"N/A",IFERROR(CP167*CP168,0))</f>
        <v>0</v>
      </c>
      <c r="CQ169" s="110">
        <f>IF(OR(CJ7="Paid - Loss &amp; DCCE",CJ7="Incurred - Loss &amp; DCCE"),"N/A",IFERROR(CQ167*CQ168,0))</f>
        <v>0</v>
      </c>
      <c r="CR169" s="110">
        <f>IF(OR(CJ7="Paid - Loss &amp; DCCE",CJ7="Incurred - Loss &amp; DCCE"),"N/A",IFERROR(CR167*CR168,0))</f>
        <v>0</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37.193339339117294</v>
      </c>
      <c r="D170" s="113">
        <f>IF(OR(D7="Paid - Loss &amp; DCCE",D7="Incurred - Loss &amp; DCCE"),"N/A",IFERROR(D169/D114,1))</f>
        <v>6.5236181758337839</v>
      </c>
      <c r="E170" s="113">
        <f>IF(OR(D7="Paid - Loss &amp; DCCE",D7="Incurred - Loss &amp; DCCE"),"N/A",IFERROR(E169/E113,1))</f>
        <v>2.2995385568083822</v>
      </c>
      <c r="F170" s="113">
        <f>IF(OR(D7="Paid - Loss &amp; DCCE",D7="Incurred - Loss &amp; DCCE"),"N/A",IFERROR(F169/F112,1))</f>
        <v>1.358991723999537</v>
      </c>
      <c r="G170" s="113">
        <f>IF(OR(D7="Paid - Loss &amp; DCCE",D7="Incurred - Loss &amp; DCCE"),"N/A",IFERROR(G169/G111,1))</f>
        <v>1.1141202658914697</v>
      </c>
      <c r="H170" s="113">
        <f>IF(OR(D7="Paid - Loss &amp; DCCE",D7="Incurred - Loss &amp; DCCE"),"N/A",IFERROR(H169/H110,1))</f>
        <v>1.0359336568565278</v>
      </c>
      <c r="I170" s="113">
        <f>IF(OR(D7="Paid - Loss &amp; DCCE",D7="Incurred - Loss &amp; DCCE"),"N/A",IFERROR(I169/I109,1))</f>
        <v>1.0107470144398458</v>
      </c>
      <c r="J170" s="113">
        <f>IF(OR(D7="Paid - Loss &amp; DCCE",D7="Incurred - Loss &amp; DCCE"),"N/A",IFERROR(J169/J108,1))</f>
        <v>1.0024563238496753</v>
      </c>
      <c r="K170" s="113">
        <f>IF(OR(D7="Paid - Loss &amp; DCCE",D7="Incurred - Loss &amp; DCCE"),"N/A",IFERROR(K169/K107,1))</f>
        <v>1.0007083839748021</v>
      </c>
      <c r="L170" s="113">
        <f>IF(OR(D7="Paid - Loss &amp; DCCE",D7="Incurred - Loss &amp; DCCE"),"N/A",IFERROR(L169/L106,1))</f>
        <v>1.0002473293508223</v>
      </c>
      <c r="M170" s="111" t="s">
        <v>43</v>
      </c>
      <c r="N170" s="112"/>
      <c r="O170" s="113">
        <f>IF(OR(P7="Paid - Loss &amp; DCCE",P7="Incurred - Loss &amp; DCCE"),"N/A",IFERROR(O169/O115,1))</f>
        <v>3.718988973936912</v>
      </c>
      <c r="P170" s="113">
        <f>IF(OR(P7="Paid - Loss &amp; DCCE",P7="Incurred - Loss &amp; DCCE"),"N/A",IFERROR(P169/P114,1))</f>
        <v>1.4491947434006056</v>
      </c>
      <c r="Q170" s="113">
        <f>IF(OR(P7="Paid - Loss &amp; DCCE",P7="Incurred - Loss &amp; DCCE"),"N/A",IFERROR(Q169/Q113,1))</f>
        <v>1.1692425884171089</v>
      </c>
      <c r="R170" s="113">
        <f>IF(OR(P7="Paid - Loss &amp; DCCE",P7="Incurred - Loss &amp; DCCE"),"N/A",IFERROR(R169/R112,1))</f>
        <v>1.053336862564396</v>
      </c>
      <c r="S170" s="113">
        <f>IF(OR(P7="Paid - Loss &amp; DCCE",P7="Incurred - Loss &amp; DCCE"),"N/A",IFERROR(S169/S111,1))</f>
        <v>1.0184574995560498</v>
      </c>
      <c r="T170" s="113">
        <f>IF(OR(P7="Paid - Loss &amp; DCCE",P7="Incurred - Loss &amp; DCCE"),"N/A",IFERROR(T169/T110,1))</f>
        <v>1.002746385275312</v>
      </c>
      <c r="U170" s="113">
        <f>IF(OR(P7="Paid - Loss &amp; DCCE",P7="Incurred - Loss &amp; DCCE"),"N/A",IFERROR(U169/U109,1))</f>
        <v>1.0000710948780474</v>
      </c>
      <c r="V170" s="113">
        <f>IF(OR(P7="Paid - Loss &amp; DCCE",P7="Incurred - Loss &amp; DCCE"),"N/A",IFERROR(V169/V108,1))</f>
        <v>1.0000970904903113</v>
      </c>
      <c r="W170" s="113">
        <f>IF(OR(P7="Paid - Loss &amp; DCCE",P7="Incurred - Loss &amp; DCCE"),"N/A",IFERROR(W169/W107,1))</f>
        <v>1.0000296986662656</v>
      </c>
      <c r="X170" s="113">
        <f>IF(OR(P7="Paid - Loss &amp; DCCE",P7="Incurred - Loss &amp; DCCE"),"N/A",IFERROR(X169/X106,1))</f>
        <v>1</v>
      </c>
      <c r="Y170" s="111" t="s">
        <v>43</v>
      </c>
      <c r="Z170" s="112"/>
      <c r="AA170" s="113">
        <f>IF(OR(AB7="Paid - Loss &amp; DCCE",AB7="Incurred - Loss &amp; DCCE"),"N/A",IFERROR(AA169/AA115,1))</f>
        <v>46.456255863304612</v>
      </c>
      <c r="AB170" s="113">
        <f>IF(OR(AB7="Paid - Loss &amp; DCCE",AB7="Incurred - Loss &amp; DCCE"),"N/A",IFERROR(AB169/AB114,1))</f>
        <v>7.4296151065707807</v>
      </c>
      <c r="AC170" s="113">
        <f>IF(OR(AB7="Paid - Loss &amp; DCCE",AB7="Incurred - Loss &amp; DCCE"),"N/A",IFERROR(AC169/AC113,1))</f>
        <v>2.5747317801294707</v>
      </c>
      <c r="AD170" s="113">
        <f>IF(OR(AB7="Paid - Loss &amp; DCCE",AB7="Incurred - Loss &amp; DCCE"),"N/A",IFERROR(AD169/AD112,1))</f>
        <v>1.6040309376380861</v>
      </c>
      <c r="AE170" s="113">
        <f>IF(OR(AB7="Paid - Loss &amp; DCCE",AB7="Incurred - Loss &amp; DCCE"),"N/A",IFERROR(AE169/AE111,1))</f>
        <v>1.2880312414493944</v>
      </c>
      <c r="AF170" s="113">
        <f>IF(OR(AB7="Paid - Loss &amp; DCCE",AB7="Incurred - Loss &amp; DCCE"),"N/A",IFERROR(AF169/AF110,1))</f>
        <v>1.1579978716648573</v>
      </c>
      <c r="AG170" s="113">
        <f>IF(OR(AB7="Paid - Loss &amp; DCCE",AB7="Incurred - Loss &amp; DCCE"),"N/A",IFERROR(AG169/AG109,1))</f>
        <v>1.0898797507608675</v>
      </c>
      <c r="AH170" s="113">
        <f>IF(OR(AB7="Paid - Loss &amp; DCCE",AB7="Incurred - Loss &amp; DCCE"),"N/A",IFERROR(AH169/AH108,1))</f>
        <v>1.0570869931443636</v>
      </c>
      <c r="AI170" s="113">
        <f>IF(OR(AB7="Paid - Loss &amp; DCCE",AB7="Incurred - Loss &amp; DCCE"),"N/A",IFERROR(AI169/AI107,1))</f>
        <v>1.0279444174119805</v>
      </c>
      <c r="AJ170" s="113">
        <f>IF(OR(AB7="Paid - Loss &amp; DCCE",AB7="Incurred - Loss &amp; DCCE"),"N/A",IFERROR(AJ169/AJ106,1))</f>
        <v>1.0003816074207983</v>
      </c>
      <c r="AK170" s="111" t="s">
        <v>43</v>
      </c>
      <c r="AL170" s="112"/>
      <c r="AM170" s="113">
        <f>IF(OR(AN7="Paid - Loss &amp; DCCE",AN7="Incurred - Loss &amp; DCCE"),"N/A",IFERROR(AM169/AM115,1))</f>
        <v>1.9165355077695045</v>
      </c>
      <c r="AN170" s="113">
        <f>IF(OR(AN7="Paid - Loss &amp; DCCE",AN7="Incurred - Loss &amp; DCCE"),"N/A",IFERROR(AN169/AN114,1))</f>
        <v>1.2427226865611121</v>
      </c>
      <c r="AO170" s="113">
        <f>IF(OR(AN7="Paid - Loss &amp; DCCE",AN7="Incurred - Loss &amp; DCCE"),"N/A",IFERROR(AO169/AO113,1))</f>
        <v>1.1013401303164567</v>
      </c>
      <c r="AP170" s="113">
        <f>IF(OR(AN7="Paid - Loss &amp; DCCE",AN7="Incurred - Loss &amp; DCCE"),"N/A",IFERROR(AP169/AP112,1))</f>
        <v>1.0412203985199915</v>
      </c>
      <c r="AQ170" s="113">
        <f>IF(OR(AN7="Paid - Loss &amp; DCCE",AN7="Incurred - Loss &amp; DCCE"),"N/A",IFERROR(AQ169/AQ111,1))</f>
        <v>1.0034361545845771</v>
      </c>
      <c r="AR170" s="113">
        <f>IF(OR(AN7="Paid - Loss &amp; DCCE",AN7="Incurred - Loss &amp; DCCE"),"N/A",IFERROR(AR169/AR110,1))</f>
        <v>1.0009415619748778</v>
      </c>
      <c r="AS170" s="113">
        <f>IF(OR(AN7="Paid - Loss &amp; DCCE",AN7="Incurred - Loss &amp; DCCE"),"N/A",IFERROR(AS169/AS109,1))</f>
        <v>1.0003638559084913</v>
      </c>
      <c r="AT170" s="113">
        <f>IF(OR(AN7="Paid - Loss &amp; DCCE",AN7="Incurred - Loss &amp; DCCE"),"N/A",IFERROR(AT169/AT108,1))</f>
        <v>1.0000154746773788</v>
      </c>
      <c r="AU170" s="113">
        <f>IF(OR(AN7="Paid - Loss &amp; DCCE",AN7="Incurred - Loss &amp; DCCE"),"N/A",IFERROR(AU169/AU107,1))</f>
        <v>1</v>
      </c>
      <c r="AV170" s="113">
        <f>IF(OR(AN7="Paid - Loss &amp; DCCE",AN7="Incurred - Loss &amp; DCCE"),"N/A",IFERROR(AV169/AV106,1))</f>
        <v>1</v>
      </c>
      <c r="AW170" s="111" t="s">
        <v>43</v>
      </c>
      <c r="AX170" s="112"/>
      <c r="AY170" s="113">
        <f>IF(OR(AZ7="Paid - Loss &amp; DCCE",AZ7="Incurred - Loss &amp; DCCE"),"N/A",IFERROR(AY169/AY115,1))</f>
        <v>2.1789501207264883</v>
      </c>
      <c r="AZ170" s="113">
        <f>IF(OR(AZ7="Paid - Loss &amp; DCCE",AZ7="Incurred - Loss &amp; DCCE"),"N/A",IFERROR(AZ169/AZ114,1))</f>
        <v>1.3958961219855905</v>
      </c>
      <c r="BA170" s="113">
        <f>IF(OR(AZ7="Paid - Loss &amp; DCCE",AZ7="Incurred - Loss &amp; DCCE"),"N/A",IFERROR(BA169/BA113,1))</f>
        <v>1.1428182031254264</v>
      </c>
      <c r="BB170" s="113">
        <f>IF(OR(AZ7="Paid - Loss &amp; DCCE",AZ7="Incurred - Loss &amp; DCCE"),"N/A",IFERROR(BB169/BB112,1))</f>
        <v>1.0487614933573797</v>
      </c>
      <c r="BC170" s="113">
        <f>IF(OR(AZ7="Paid - Loss &amp; DCCE",AZ7="Incurred - Loss &amp; DCCE"),"N/A",IFERROR(BC169/BC111,1))</f>
        <v>1.0118012002416981</v>
      </c>
      <c r="BD170" s="113">
        <f>IF(OR(AZ7="Paid - Loss &amp; DCCE",AZ7="Incurred - Loss &amp; DCCE"),"N/A",IFERROR(BD169/BD110,1))</f>
        <v>1.0028416447788766</v>
      </c>
      <c r="BE170" s="113">
        <f>IF(OR(AZ7="Paid - Loss &amp; DCCE",AZ7="Incurred - Loss &amp; DCCE"),"N/A",IFERROR(BE169/BE109,1))</f>
        <v>1.0014041367734974</v>
      </c>
      <c r="BF170" s="113">
        <f>IF(OR(AZ7="Paid - Loss &amp; DCCE",AZ7="Incurred - Loss &amp; DCCE"),"N/A",IFERROR(BF169/BF108,1))</f>
        <v>1.0011410513779444</v>
      </c>
      <c r="BG170" s="113">
        <f>IF(OR(AZ7="Paid - Loss &amp; DCCE",AZ7="Incurred - Loss &amp; DCCE"),"N/A",IFERROR(BG169/BG107,1))</f>
        <v>1.0011220942684591</v>
      </c>
      <c r="BH170" s="113">
        <f>IF(OR(AZ7="Paid - Loss &amp; DCCE",AZ7="Incurred - Loss &amp; DCCE"),"N/A",IFERROR(BH169/BH106,1))</f>
        <v>1.0000089110095713</v>
      </c>
      <c r="BI170" s="111" t="s">
        <v>43</v>
      </c>
      <c r="BJ170" s="112"/>
      <c r="BK170" s="113">
        <f>IF(OR(BL7="Paid - Loss &amp; DCCE",BL7="Incurred - Loss &amp; DCCE"),"N/A",IFERROR(BK169/BK115,1))</f>
        <v>1.0821974899964972</v>
      </c>
      <c r="BL170" s="113">
        <f>IF(OR(BL7="Paid - Loss &amp; DCCE",BL7="Incurred - Loss &amp; DCCE"),"N/A",IFERROR(BL169/BL114,1))</f>
        <v>1.0105866894718549</v>
      </c>
      <c r="BM170" s="113">
        <f>IF(OR(BL7="Paid - Loss &amp; DCCE",BL7="Incurred - Loss &amp; DCCE"),"N/A",IFERROR(BM169/BM113,1))</f>
        <v>1.0022314954592257</v>
      </c>
      <c r="BN170" s="113">
        <f>IF(OR(BL7="Paid - Loss &amp; DCCE",BL7="Incurred - Loss &amp; DCCE"),"N/A",IFERROR(BN169/BN112,1))</f>
        <v>1.000724410590766</v>
      </c>
      <c r="BO170" s="113">
        <f>IF(OR(BL7="Paid - Loss &amp; DCCE",BL7="Incurred - Loss &amp; DCCE"),"N/A",IFERROR(BO169/BO111,1))</f>
        <v>1.0000144975427985</v>
      </c>
      <c r="BP170" s="113">
        <f>IF(OR(BL7="Paid - Loss &amp; DCCE",BL7="Incurred - Loss &amp; DCCE"),"N/A",IFERROR(BP169/BP110,1))</f>
        <v>1.0000071978420837</v>
      </c>
      <c r="BQ170" s="113">
        <f>IF(OR(BL7="Paid - Loss &amp; DCCE",BL7="Incurred - Loss &amp; DCCE"),"N/A",IFERROR(BQ169/BQ109,1))</f>
        <v>1.0000003066684107</v>
      </c>
      <c r="BR170" s="113">
        <f>IF(OR(BL7="Paid - Loss &amp; DCCE",BL7="Incurred - Loss &amp; DCCE"),"N/A",IFERROR(BR169/BR108,1))</f>
        <v>0.99999905985912541</v>
      </c>
      <c r="BS170" s="113">
        <f>IF(OR(BL7="Paid - Loss &amp; DCCE",BL7="Incurred - Loss &amp; DCCE"),"N/A",IFERROR(BS169/BS107,1))</f>
        <v>1</v>
      </c>
      <c r="BT170" s="113">
        <f>IF(OR(BL7="Paid - Loss &amp; DCCE",BL7="Incurred - Loss &amp; DCCE"),"N/A",IFERROR(BT169/BT106,1))</f>
        <v>1</v>
      </c>
      <c r="BU170" s="111" t="s">
        <v>43</v>
      </c>
      <c r="BV170" s="112"/>
      <c r="BW170" s="113">
        <f>IF(OR(BX7="Paid - Loss &amp; DCCE",BX7="Incurred - Loss &amp; DCCE"),"N/A",IFERROR(BW169/BW115,1))</f>
        <v>1</v>
      </c>
      <c r="BX170" s="113">
        <f>IF(OR(BX7="Paid - Loss &amp; DCCE",BX7="Incurred - Loss &amp; DCCE"),"N/A",IFERROR(BX169/BX114,1))</f>
        <v>1.0560371428386097</v>
      </c>
      <c r="BY170" s="113">
        <f>IF(OR(BX7="Paid - Loss &amp; DCCE",BX7="Incurred - Loss &amp; DCCE"),"N/A",IFERROR(BY169/BY113,1))</f>
        <v>1.0005937808302516</v>
      </c>
      <c r="BZ170" s="113">
        <f>IF(OR(BX7="Paid - Loss &amp; DCCE",BX7="Incurred - Loss &amp; DCCE"),"N/A",IFERROR(BZ169/BZ112,1))</f>
        <v>1.0072113006272967</v>
      </c>
      <c r="CA170" s="113">
        <f>IF(OR(BX7="Paid - Loss &amp; DCCE",BX7="Incurred - Loss &amp; DCCE"),"N/A",IFERROR(CA169/CA111,1))</f>
        <v>1</v>
      </c>
      <c r="CB170" s="113">
        <f>IF(OR(BX7="Paid - Loss &amp; DCCE",BX7="Incurred - Loss &amp; DCCE"),"N/A",IFERROR(CB169/CB110,1))</f>
        <v>1</v>
      </c>
      <c r="CC170" s="113">
        <f>IF(OR(BX7="Paid - Loss &amp; DCCE",BX7="Incurred - Loss &amp; DCCE"),"N/A",IFERROR(CC169/CC109,1))</f>
        <v>1</v>
      </c>
      <c r="CD170" s="113">
        <f>IF(OR(BX7="Paid - Loss &amp; DCCE",BX7="Incurred - Loss &amp; DCCE"),"N/A",IFERROR(CD169/CD108,1))</f>
        <v>1</v>
      </c>
      <c r="CE170" s="113">
        <f>IF(OR(BX7="Paid - Loss &amp; DCCE",BX7="Incurred - Loss &amp; DCCE"),"N/A",IFERROR(CE169/CE107,1))</f>
        <v>1</v>
      </c>
      <c r="CF170" s="113">
        <f>IF(OR(BX7="Paid - Loss &amp; DCCE",BX7="Incurred - Loss &amp; DCCE"),"N/A",IFERROR(CF169/CF106,1))</f>
        <v>1</v>
      </c>
      <c r="CG170" s="111" t="s">
        <v>43</v>
      </c>
      <c r="CH170" s="112"/>
      <c r="CI170" s="113">
        <f>IF(OR(CJ7="Paid - Loss &amp; DCCE",CJ7="Incurred - Loss &amp; DCCE"),"N/A",IFERROR(CI169/CI115,1))</f>
        <v>1</v>
      </c>
      <c r="CJ170" s="113">
        <f>IF(OR(CJ7="Paid - Loss &amp; DCCE",CJ7="Incurred - Loss &amp; DCCE"),"N/A",IFERROR(CJ169/CJ114,1))</f>
        <v>1</v>
      </c>
      <c r="CK170" s="113">
        <f>IF(OR(CJ7="Paid - Loss &amp; DCCE",CJ7="Incurred - Loss &amp; DCCE"),"N/A",IFERROR(CK169/CK113,1))</f>
        <v>1</v>
      </c>
      <c r="CL170" s="113">
        <f>IF(OR(CJ7="Paid - Loss &amp; DCCE",CJ7="Incurred - Loss &amp; DCCE"),"N/A",IFERROR(CL169/CL112,1))</f>
        <v>1</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Mutual Automobile Insurance Company</v>
      </c>
      <c r="B171" s="68"/>
      <c r="C171" s="40"/>
      <c r="D171" s="18"/>
      <c r="E171" s="18"/>
      <c r="F171" s="18"/>
      <c r="G171" s="18"/>
      <c r="H171" s="18"/>
      <c r="I171" s="18"/>
      <c r="J171" s="18"/>
      <c r="K171" s="18"/>
      <c r="L171" s="18"/>
      <c r="M171" s="137" t="str">
        <f>Co_Name</f>
        <v>State Farm Mutual Automobile Insurance Company</v>
      </c>
      <c r="N171" s="68"/>
      <c r="O171" s="40"/>
      <c r="P171" s="18"/>
      <c r="Q171" s="18"/>
      <c r="R171" s="18"/>
      <c r="S171" s="18"/>
      <c r="T171" s="18"/>
      <c r="U171" s="18"/>
      <c r="V171" s="18"/>
      <c r="W171" s="18"/>
      <c r="X171" s="18"/>
      <c r="Y171" s="137" t="str">
        <f>Co_Name</f>
        <v>State Farm Mutual Automobile Insurance Company</v>
      </c>
      <c r="Z171" s="68"/>
      <c r="AA171" s="40"/>
      <c r="AB171" s="18"/>
      <c r="AC171" s="18"/>
      <c r="AD171" s="18"/>
      <c r="AE171" s="18"/>
      <c r="AF171" s="18"/>
      <c r="AG171" s="18"/>
      <c r="AH171" s="18"/>
      <c r="AI171" s="18"/>
      <c r="AJ171" s="18"/>
      <c r="AK171" s="137" t="str">
        <f>Co_Name</f>
        <v>State Farm Mutual Automobile Insurance Company</v>
      </c>
      <c r="AL171" s="68"/>
      <c r="AM171" s="40"/>
      <c r="AN171" s="18"/>
      <c r="AO171" s="18"/>
      <c r="AP171" s="18"/>
      <c r="AQ171" s="18"/>
      <c r="AR171" s="18"/>
      <c r="AS171" s="18"/>
      <c r="AT171" s="18"/>
      <c r="AU171" s="18"/>
      <c r="AV171" s="18"/>
      <c r="AW171" s="137" t="str">
        <f>Co_Name</f>
        <v>State Farm Mutual Automobile Insurance Company</v>
      </c>
      <c r="AX171" s="68"/>
      <c r="AY171" s="40"/>
      <c r="AZ171" s="18"/>
      <c r="BA171" s="18"/>
      <c r="BB171" s="18"/>
      <c r="BC171" s="18"/>
      <c r="BD171" s="18"/>
      <c r="BE171" s="18"/>
      <c r="BF171" s="18"/>
      <c r="BG171" s="18"/>
      <c r="BH171" s="18"/>
      <c r="BI171" s="137" t="str">
        <f>Co_Name</f>
        <v>State Farm Mutual Automobile Insurance Company</v>
      </c>
      <c r="BJ171" s="68"/>
      <c r="BK171" s="40"/>
      <c r="BL171" s="18"/>
      <c r="BM171" s="18"/>
      <c r="BN171" s="18"/>
      <c r="BO171" s="18"/>
      <c r="BP171" s="18"/>
      <c r="BQ171" s="18"/>
      <c r="BR171" s="18"/>
      <c r="BS171" s="18"/>
      <c r="BT171" s="18"/>
      <c r="BU171" s="137" t="str">
        <f>Co_Name</f>
        <v>State Farm Mutual Automobile Insurance Company</v>
      </c>
      <c r="BV171" s="68"/>
      <c r="BW171" s="40"/>
      <c r="BX171" s="18"/>
      <c r="BY171" s="18"/>
      <c r="BZ171" s="18"/>
      <c r="CA171" s="18"/>
      <c r="CB171" s="18"/>
      <c r="CC171" s="18"/>
      <c r="CD171" s="18"/>
      <c r="CE171" s="18"/>
      <c r="CF171" s="18"/>
      <c r="CG171" s="137" t="str">
        <f>Co_Name</f>
        <v>State Farm Mutual Automobile Insurance Company</v>
      </c>
      <c r="CH171" s="68"/>
      <c r="CI171" s="40"/>
      <c r="CJ171" s="18"/>
      <c r="CK171" s="18"/>
      <c r="CL171" s="18"/>
      <c r="CM171" s="18"/>
      <c r="CN171" s="18"/>
      <c r="CO171" s="18"/>
      <c r="CP171" s="18"/>
      <c r="CQ171" s="18"/>
      <c r="CR171" s="18"/>
      <c r="CS171" s="137" t="str">
        <f>Co_Name</f>
        <v>State Farm Mutual Automobile Insurance Company</v>
      </c>
      <c r="CT171" s="68"/>
      <c r="CU171" s="40"/>
      <c r="CV171" s="18"/>
      <c r="CW171" s="18"/>
      <c r="CX171" s="18"/>
      <c r="CY171" s="18"/>
      <c r="CZ171" s="18"/>
      <c r="DA171" s="18"/>
      <c r="DB171" s="18"/>
      <c r="DC171" s="18"/>
      <c r="DD171" s="18"/>
      <c r="DE171" s="137" t="str">
        <f>Co_Name</f>
        <v>State Farm Mutual Automobile Insurance Company</v>
      </c>
      <c r="DF171" s="68"/>
      <c r="DG171" s="40"/>
      <c r="DH171" s="18"/>
      <c r="DI171" s="18"/>
      <c r="DJ171" s="18"/>
      <c r="DK171" s="18"/>
      <c r="DL171" s="18"/>
      <c r="DM171" s="18"/>
      <c r="DN171" s="18"/>
      <c r="DO171" s="18"/>
      <c r="DP171" s="18"/>
    </row>
    <row r="172" spans="1:120" ht="21" customHeight="1" x14ac:dyDescent="0.35">
      <c r="A172" s="137" t="str">
        <f>A$2</f>
        <v>Private Passenger Auto Liability</v>
      </c>
      <c r="B172" s="68"/>
      <c r="C172" s="40"/>
      <c r="D172" s="18"/>
      <c r="E172" s="18"/>
      <c r="F172" s="18"/>
      <c r="G172" s="18"/>
      <c r="H172" s="18"/>
      <c r="I172" s="18"/>
      <c r="J172" s="18"/>
      <c r="K172" s="18"/>
      <c r="L172" s="18"/>
      <c r="M172" s="137" t="str">
        <f>M$2</f>
        <v>Private Passenger Auto Liability</v>
      </c>
      <c r="N172" s="68"/>
      <c r="O172" s="40"/>
      <c r="P172" s="18"/>
      <c r="Q172" s="18"/>
      <c r="R172" s="18"/>
      <c r="S172" s="18"/>
      <c r="T172" s="18"/>
      <c r="U172" s="18"/>
      <c r="V172" s="18"/>
      <c r="W172" s="18"/>
      <c r="X172" s="18"/>
      <c r="Y172" s="137" t="str">
        <f>Y$2</f>
        <v>Private Passenger Auto Liability</v>
      </c>
      <c r="Z172" s="68"/>
      <c r="AA172" s="40"/>
      <c r="AB172" s="18"/>
      <c r="AC172" s="18"/>
      <c r="AD172" s="18"/>
      <c r="AE172" s="18"/>
      <c r="AF172" s="18"/>
      <c r="AG172" s="18"/>
      <c r="AH172" s="18"/>
      <c r="AI172" s="18"/>
      <c r="AJ172" s="18"/>
      <c r="AK172" s="137" t="str">
        <f>AK$2</f>
        <v>Private Passenger Auto Liability</v>
      </c>
      <c r="AL172" s="68"/>
      <c r="AM172" s="40"/>
      <c r="AN172" s="18"/>
      <c r="AO172" s="18"/>
      <c r="AP172" s="18"/>
      <c r="AQ172" s="18"/>
      <c r="AR172" s="18"/>
      <c r="AS172" s="18"/>
      <c r="AT172" s="18"/>
      <c r="AU172" s="18"/>
      <c r="AV172" s="18"/>
      <c r="AW172" s="137" t="str">
        <f>AW$2</f>
        <v>Private Passenger Auto Physical Damage</v>
      </c>
      <c r="AX172" s="68"/>
      <c r="AY172" s="40"/>
      <c r="AZ172" s="18"/>
      <c r="BA172" s="18"/>
      <c r="BB172" s="18"/>
      <c r="BC172" s="18"/>
      <c r="BD172" s="18"/>
      <c r="BE172" s="18"/>
      <c r="BF172" s="18"/>
      <c r="BG172" s="18"/>
      <c r="BH172" s="18"/>
      <c r="BI172" s="137" t="str">
        <f>BI$2</f>
        <v>Private Passenger Auto Physical Damage</v>
      </c>
      <c r="BJ172" s="68"/>
      <c r="BK172" s="40"/>
      <c r="BL172" s="18"/>
      <c r="BM172" s="18"/>
      <c r="BN172" s="18"/>
      <c r="BO172" s="18"/>
      <c r="BP172" s="18"/>
      <c r="BQ172" s="18"/>
      <c r="BR172" s="18"/>
      <c r="BS172" s="18"/>
      <c r="BT172" s="18"/>
      <c r="BU172" s="137" t="str">
        <f>BU$2</f>
        <v>Private Passenger Auto Physical Damage</v>
      </c>
      <c r="BV172" s="68"/>
      <c r="BW172" s="40"/>
      <c r="BX172" s="18"/>
      <c r="BY172" s="18"/>
      <c r="BZ172" s="18"/>
      <c r="CA172" s="18"/>
      <c r="CB172" s="18"/>
      <c r="CC172" s="18"/>
      <c r="CD172" s="18"/>
      <c r="CE172" s="18"/>
      <c r="CF172" s="18"/>
      <c r="CG172" s="137" t="str">
        <f>CG$2</f>
        <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193</v>
      </c>
      <c r="B174" s="48"/>
      <c r="C174" s="18"/>
      <c r="D174" s="18"/>
      <c r="E174" s="18"/>
      <c r="F174" s="18"/>
      <c r="G174" s="18"/>
      <c r="H174" s="18"/>
      <c r="I174" s="18"/>
      <c r="J174" s="18"/>
      <c r="K174" s="18"/>
      <c r="L174" s="18"/>
      <c r="M174" s="48" t="s">
        <v>193</v>
      </c>
      <c r="N174" s="48"/>
      <c r="O174" s="18"/>
      <c r="P174" s="18"/>
      <c r="Q174" s="18"/>
      <c r="R174" s="18"/>
      <c r="S174" s="18"/>
      <c r="T174" s="18"/>
      <c r="U174" s="18"/>
      <c r="V174" s="18"/>
      <c r="W174" s="18"/>
      <c r="X174" s="18"/>
      <c r="Y174" s="48" t="s">
        <v>193</v>
      </c>
      <c r="Z174" s="48"/>
      <c r="AA174" s="18"/>
      <c r="AB174" s="18"/>
      <c r="AC174" s="18"/>
      <c r="AD174" s="18"/>
      <c r="AE174" s="18"/>
      <c r="AF174" s="18"/>
      <c r="AG174" s="18"/>
      <c r="AH174" s="18"/>
      <c r="AI174" s="18"/>
      <c r="AJ174" s="18"/>
      <c r="AK174" s="48" t="s">
        <v>193</v>
      </c>
      <c r="AL174" s="48"/>
      <c r="AM174" s="18"/>
      <c r="AN174" s="18"/>
      <c r="AO174" s="18"/>
      <c r="AP174" s="18"/>
      <c r="AQ174" s="18"/>
      <c r="AR174" s="18"/>
      <c r="AS174" s="18"/>
      <c r="AT174" s="18"/>
      <c r="AU174" s="18"/>
      <c r="AV174" s="18"/>
      <c r="AW174" s="48" t="s">
        <v>193</v>
      </c>
      <c r="AX174" s="48"/>
      <c r="AY174" s="18"/>
      <c r="AZ174" s="18"/>
      <c r="BA174" s="18"/>
      <c r="BB174" s="18"/>
      <c r="BC174" s="18"/>
      <c r="BD174" s="18"/>
      <c r="BE174" s="18"/>
      <c r="BF174" s="18"/>
      <c r="BG174" s="18"/>
      <c r="BH174" s="18"/>
      <c r="BI174" s="48" t="s">
        <v>193</v>
      </c>
      <c r="BJ174" s="48"/>
      <c r="BK174" s="18"/>
      <c r="BL174" s="18"/>
      <c r="BM174" s="18"/>
      <c r="BN174" s="18"/>
      <c r="BO174" s="18"/>
      <c r="BP174" s="18"/>
      <c r="BQ174" s="18"/>
      <c r="BR174" s="18"/>
      <c r="BS174" s="18"/>
      <c r="BT174" s="18"/>
      <c r="BU174" s="48" t="s">
        <v>193</v>
      </c>
      <c r="BV174" s="48"/>
      <c r="BW174" s="18"/>
      <c r="BX174" s="18"/>
      <c r="BY174" s="18"/>
      <c r="BZ174" s="18"/>
      <c r="CA174" s="18"/>
      <c r="CB174" s="18"/>
      <c r="CC174" s="18"/>
      <c r="CD174" s="18"/>
      <c r="CE174" s="18"/>
      <c r="CF174" s="18"/>
      <c r="CG174" s="48" t="s">
        <v>193</v>
      </c>
      <c r="CH174" s="48"/>
      <c r="CI174" s="18"/>
      <c r="CJ174" s="18"/>
      <c r="CK174" s="18"/>
      <c r="CL174" s="18"/>
      <c r="CM174" s="18"/>
      <c r="CN174" s="18"/>
      <c r="CO174" s="18"/>
      <c r="CP174" s="18"/>
      <c r="CQ174" s="18"/>
      <c r="CR174" s="18"/>
      <c r="CS174" s="48" t="s">
        <v>193</v>
      </c>
      <c r="CT174" s="48"/>
      <c r="CU174" s="18"/>
      <c r="CV174" s="18"/>
      <c r="CW174" s="18"/>
      <c r="CX174" s="18"/>
      <c r="CY174" s="18"/>
      <c r="CZ174" s="18"/>
      <c r="DA174" s="18"/>
      <c r="DB174" s="18"/>
      <c r="DC174" s="18"/>
      <c r="DD174" s="18"/>
      <c r="DE174" s="48" t="s">
        <v>193</v>
      </c>
      <c r="DF174" s="48"/>
      <c r="DG174" s="18"/>
      <c r="DH174" s="18"/>
      <c r="DI174" s="18"/>
      <c r="DJ174" s="18"/>
      <c r="DK174" s="18"/>
      <c r="DL174" s="18"/>
      <c r="DM174" s="18"/>
      <c r="DN174" s="18"/>
      <c r="DO174" s="18"/>
      <c r="DP174" s="18"/>
    </row>
    <row r="175" spans="1:120" x14ac:dyDescent="0.25">
      <c r="A175" s="138" t="str">
        <f>A$5</f>
        <v>BIPD</v>
      </c>
      <c r="B175" s="69"/>
      <c r="C175" s="18"/>
      <c r="D175" s="18"/>
      <c r="E175" s="18"/>
      <c r="F175" s="18"/>
      <c r="G175" s="18"/>
      <c r="H175" s="18"/>
      <c r="I175" s="18"/>
      <c r="J175" s="18"/>
      <c r="K175" s="18"/>
      <c r="L175" s="18"/>
      <c r="M175" s="138" t="str">
        <f>M$5</f>
        <v>MPC</v>
      </c>
      <c r="N175" s="69"/>
      <c r="O175" s="18"/>
      <c r="P175" s="18"/>
      <c r="Q175" s="18"/>
      <c r="R175" s="18"/>
      <c r="S175" s="18"/>
      <c r="T175" s="18"/>
      <c r="U175" s="18"/>
      <c r="V175" s="18"/>
      <c r="W175" s="18"/>
      <c r="X175" s="18"/>
      <c r="Y175" s="138" t="str">
        <f>Y$5</f>
        <v>UM</v>
      </c>
      <c r="Z175" s="69"/>
      <c r="AA175" s="18"/>
      <c r="AB175" s="18"/>
      <c r="AC175" s="18"/>
      <c r="AD175" s="18"/>
      <c r="AE175" s="18"/>
      <c r="AF175" s="18"/>
      <c r="AG175" s="18"/>
      <c r="AH175" s="18"/>
      <c r="AI175" s="18"/>
      <c r="AJ175" s="18"/>
      <c r="AK175" s="138" t="str">
        <f>AK$5</f>
        <v>COMP</v>
      </c>
      <c r="AL175" s="69"/>
      <c r="AM175" s="18"/>
      <c r="AN175" s="18"/>
      <c r="AO175" s="18"/>
      <c r="AP175" s="18"/>
      <c r="AQ175" s="18"/>
      <c r="AR175" s="18"/>
      <c r="AS175" s="18"/>
      <c r="AT175" s="18"/>
      <c r="AU175" s="18"/>
      <c r="AV175" s="18"/>
      <c r="AW175" s="138" t="str">
        <f>AW$5</f>
        <v>COLL</v>
      </c>
      <c r="AX175" s="69"/>
      <c r="AY175" s="18"/>
      <c r="AZ175" s="18"/>
      <c r="BA175" s="18"/>
      <c r="BB175" s="18"/>
      <c r="BC175" s="18"/>
      <c r="BD175" s="18"/>
      <c r="BE175" s="18"/>
      <c r="BF175" s="18"/>
      <c r="BG175" s="18"/>
      <c r="BH175" s="18"/>
      <c r="BI175" s="138" t="str">
        <f>BI$5</f>
        <v>Misc. Damage</v>
      </c>
      <c r="BJ175" s="69"/>
      <c r="BK175" s="18"/>
      <c r="BL175" s="18"/>
      <c r="BM175" s="18"/>
      <c r="BN175" s="18"/>
      <c r="BO175" s="18"/>
      <c r="BP175" s="18"/>
      <c r="BQ175" s="18"/>
      <c r="BR175" s="18"/>
      <c r="BS175" s="18"/>
      <c r="BT175" s="18"/>
      <c r="BU175" s="138" t="str">
        <f>BU$5</f>
        <v>Misc. Liability</v>
      </c>
      <c r="BV175" s="69"/>
      <c r="BW175" s="18"/>
      <c r="BX175" s="18"/>
      <c r="BY175" s="18"/>
      <c r="BZ175" s="18"/>
      <c r="CA175" s="18"/>
      <c r="CB175" s="18"/>
      <c r="CC175" s="18"/>
      <c r="CD175" s="18"/>
      <c r="CE175" s="18"/>
      <c r="CF175" s="18"/>
      <c r="CG175" s="138">
        <f>CG$5</f>
        <v>0</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ht="30" x14ac:dyDescent="0.25">
      <c r="A178" s="210" t="str">
        <f>$A$35</f>
        <v>Fiscal Accident Year Data Ending</v>
      </c>
      <c r="B178" s="98">
        <f>$B$35</f>
        <v>3</v>
      </c>
      <c r="C178" s="209" t="str">
        <f>$C$35</f>
        <v>15</v>
      </c>
      <c r="D178" s="20">
        <f>$D$35</f>
        <v>27</v>
      </c>
      <c r="E178" s="20">
        <f>$E$35</f>
        <v>39</v>
      </c>
      <c r="F178" s="20">
        <f>$F$35</f>
        <v>51</v>
      </c>
      <c r="G178" s="20">
        <f>$G$35</f>
        <v>63</v>
      </c>
      <c r="H178" s="20">
        <f>$H$35</f>
        <v>75</v>
      </c>
      <c r="I178" s="20">
        <f>$I$35</f>
        <v>87</v>
      </c>
      <c r="J178" s="20">
        <f>$J$35</f>
        <v>99</v>
      </c>
      <c r="K178" s="20">
        <f>$K$35</f>
        <v>111</v>
      </c>
      <c r="L178" s="20">
        <f>$L$35</f>
        <v>123</v>
      </c>
      <c r="M178" s="210" t="str">
        <f>$A$35</f>
        <v>Fiscal Accident Year Data Ending</v>
      </c>
      <c r="N178" s="98">
        <f>$B$35</f>
        <v>3</v>
      </c>
      <c r="O178" s="209" t="str">
        <f>$C$35</f>
        <v>15</v>
      </c>
      <c r="P178" s="20">
        <f>$D$35</f>
        <v>27</v>
      </c>
      <c r="Q178" s="20">
        <f>$E$35</f>
        <v>39</v>
      </c>
      <c r="R178" s="20">
        <f>$F$35</f>
        <v>51</v>
      </c>
      <c r="S178" s="20">
        <f>$G$35</f>
        <v>63</v>
      </c>
      <c r="T178" s="20">
        <f>$H$35</f>
        <v>75</v>
      </c>
      <c r="U178" s="20">
        <f>$I$35</f>
        <v>87</v>
      </c>
      <c r="V178" s="20">
        <f>$J$35</f>
        <v>99</v>
      </c>
      <c r="W178" s="20">
        <f>$K$35</f>
        <v>111</v>
      </c>
      <c r="X178" s="20">
        <f>$L$35</f>
        <v>123</v>
      </c>
      <c r="Y178" s="210" t="str">
        <f>$A$35</f>
        <v>Fiscal Accident Year Data Ending</v>
      </c>
      <c r="Z178" s="98">
        <f>$B$35</f>
        <v>3</v>
      </c>
      <c r="AA178" s="209" t="str">
        <f>$C$35</f>
        <v>15</v>
      </c>
      <c r="AB178" s="20">
        <f>$D$35</f>
        <v>27</v>
      </c>
      <c r="AC178" s="20">
        <f>$E$35</f>
        <v>39</v>
      </c>
      <c r="AD178" s="20">
        <f>$F$35</f>
        <v>51</v>
      </c>
      <c r="AE178" s="20">
        <f>$G$35</f>
        <v>63</v>
      </c>
      <c r="AF178" s="20">
        <f>$H$35</f>
        <v>75</v>
      </c>
      <c r="AG178" s="20">
        <f>$I$35</f>
        <v>87</v>
      </c>
      <c r="AH178" s="20">
        <f>$J$35</f>
        <v>99</v>
      </c>
      <c r="AI178" s="20">
        <f>$K$35</f>
        <v>111</v>
      </c>
      <c r="AJ178" s="20">
        <f>$L$35</f>
        <v>123</v>
      </c>
      <c r="AK178" s="210" t="str">
        <f>$A$35</f>
        <v>Fiscal Accident Year Data Ending</v>
      </c>
      <c r="AL178" s="98">
        <f>$B$35</f>
        <v>3</v>
      </c>
      <c r="AM178" s="209" t="str">
        <f>$C$35</f>
        <v>15</v>
      </c>
      <c r="AN178" s="20">
        <f>$D$35</f>
        <v>27</v>
      </c>
      <c r="AO178" s="20">
        <f>$E$35</f>
        <v>39</v>
      </c>
      <c r="AP178" s="20">
        <f>$F$35</f>
        <v>51</v>
      </c>
      <c r="AQ178" s="20">
        <f>$G$35</f>
        <v>63</v>
      </c>
      <c r="AR178" s="20">
        <f>$H$35</f>
        <v>75</v>
      </c>
      <c r="AS178" s="20">
        <f>$I$35</f>
        <v>87</v>
      </c>
      <c r="AT178" s="20">
        <f>$J$35</f>
        <v>99</v>
      </c>
      <c r="AU178" s="20">
        <f>$K$35</f>
        <v>111</v>
      </c>
      <c r="AV178" s="20">
        <f>$L$35</f>
        <v>123</v>
      </c>
      <c r="AW178" s="210" t="str">
        <f>$A$35</f>
        <v>Fiscal Accident Year Data Ending</v>
      </c>
      <c r="AX178" s="98">
        <f>$B$35</f>
        <v>3</v>
      </c>
      <c r="AY178" s="209" t="str">
        <f>$C$35</f>
        <v>15</v>
      </c>
      <c r="AZ178" s="20">
        <f>$D$35</f>
        <v>27</v>
      </c>
      <c r="BA178" s="20">
        <f>$E$35</f>
        <v>39</v>
      </c>
      <c r="BB178" s="20">
        <f>$F$35</f>
        <v>51</v>
      </c>
      <c r="BC178" s="20">
        <f>$G$35</f>
        <v>63</v>
      </c>
      <c r="BD178" s="20">
        <f>$H$35</f>
        <v>75</v>
      </c>
      <c r="BE178" s="20">
        <f>$I$35</f>
        <v>87</v>
      </c>
      <c r="BF178" s="20">
        <f>$J$35</f>
        <v>99</v>
      </c>
      <c r="BG178" s="20">
        <f>$K$35</f>
        <v>111</v>
      </c>
      <c r="BH178" s="20">
        <f>$L$35</f>
        <v>123</v>
      </c>
      <c r="BI178" s="210" t="str">
        <f>$A$35</f>
        <v>Fiscal Accident Year Data Ending</v>
      </c>
      <c r="BJ178" s="98">
        <f>$B$35</f>
        <v>3</v>
      </c>
      <c r="BK178" s="209" t="str">
        <f>$C$35</f>
        <v>15</v>
      </c>
      <c r="BL178" s="20">
        <f>$D$35</f>
        <v>27</v>
      </c>
      <c r="BM178" s="20">
        <f>$E$35</f>
        <v>39</v>
      </c>
      <c r="BN178" s="20">
        <f>$F$35</f>
        <v>51</v>
      </c>
      <c r="BO178" s="20">
        <f>$G$35</f>
        <v>63</v>
      </c>
      <c r="BP178" s="20">
        <f>$H$35</f>
        <v>75</v>
      </c>
      <c r="BQ178" s="20">
        <f>$I$35</f>
        <v>87</v>
      </c>
      <c r="BR178" s="20">
        <f>$J$35</f>
        <v>99</v>
      </c>
      <c r="BS178" s="20">
        <f>$K$35</f>
        <v>111</v>
      </c>
      <c r="BT178" s="20">
        <f>$L$35</f>
        <v>123</v>
      </c>
      <c r="BU178" s="210" t="str">
        <f>$A$35</f>
        <v>Fiscal Accident Year Data Ending</v>
      </c>
      <c r="BV178" s="98">
        <f>$B$35</f>
        <v>3</v>
      </c>
      <c r="BW178" s="209" t="str">
        <f>$C$35</f>
        <v>15</v>
      </c>
      <c r="BX178" s="20">
        <f>$D$35</f>
        <v>27</v>
      </c>
      <c r="BY178" s="20">
        <f>$E$35</f>
        <v>39</v>
      </c>
      <c r="BZ178" s="20">
        <f>$F$35</f>
        <v>51</v>
      </c>
      <c r="CA178" s="20">
        <f>$G$35</f>
        <v>63</v>
      </c>
      <c r="CB178" s="20">
        <f>$H$35</f>
        <v>75</v>
      </c>
      <c r="CC178" s="20">
        <f>$I$35</f>
        <v>87</v>
      </c>
      <c r="CD178" s="20">
        <f>$J$35</f>
        <v>99</v>
      </c>
      <c r="CE178" s="20">
        <f>$K$35</f>
        <v>111</v>
      </c>
      <c r="CF178" s="20">
        <f>$L$35</f>
        <v>123</v>
      </c>
      <c r="CG178" s="210" t="str">
        <f>$A$35</f>
        <v>Fiscal Accident Year Data Ending</v>
      </c>
      <c r="CH178" s="98">
        <f>$B$35</f>
        <v>3</v>
      </c>
      <c r="CI178" s="209" t="str">
        <f>$C$35</f>
        <v>15</v>
      </c>
      <c r="CJ178" s="20">
        <f>$D$35</f>
        <v>27</v>
      </c>
      <c r="CK178" s="20">
        <f>$E$35</f>
        <v>39</v>
      </c>
      <c r="CL178" s="20">
        <f>$F$35</f>
        <v>51</v>
      </c>
      <c r="CM178" s="20">
        <f>$G$35</f>
        <v>63</v>
      </c>
      <c r="CN178" s="20">
        <f>$H$35</f>
        <v>75</v>
      </c>
      <c r="CO178" s="20">
        <f>$I$35</f>
        <v>87</v>
      </c>
      <c r="CP178" s="20">
        <f>$J$35</f>
        <v>99</v>
      </c>
      <c r="CQ178" s="20">
        <f>$K$35</f>
        <v>111</v>
      </c>
      <c r="CR178" s="20">
        <f>$L$35</f>
        <v>123</v>
      </c>
      <c r="CS178" s="210" t="str">
        <f>$A$35</f>
        <v>Fiscal Accident Year Data Ending</v>
      </c>
      <c r="CT178" s="98">
        <f>$B$35</f>
        <v>3</v>
      </c>
      <c r="CU178" s="209" t="str">
        <f>$C$35</f>
        <v>15</v>
      </c>
      <c r="CV178" s="20">
        <f>$D$35</f>
        <v>27</v>
      </c>
      <c r="CW178" s="20">
        <f>$E$35</f>
        <v>39</v>
      </c>
      <c r="CX178" s="20">
        <f>$F$35</f>
        <v>51</v>
      </c>
      <c r="CY178" s="20">
        <f>$G$35</f>
        <v>63</v>
      </c>
      <c r="CZ178" s="20">
        <f>$H$35</f>
        <v>75</v>
      </c>
      <c r="DA178" s="20">
        <f>$I$35</f>
        <v>87</v>
      </c>
      <c r="DB178" s="20">
        <f>$J$35</f>
        <v>99</v>
      </c>
      <c r="DC178" s="20">
        <f>$K$35</f>
        <v>111</v>
      </c>
      <c r="DD178" s="20">
        <f>$L$35</f>
        <v>123</v>
      </c>
      <c r="DE178" s="210" t="str">
        <f>$A$35</f>
        <v>Fiscal Accident Year Data Ending</v>
      </c>
      <c r="DF178" s="98">
        <f>$B$35</f>
        <v>3</v>
      </c>
      <c r="DG178" s="209" t="str">
        <f>$C$35</f>
        <v>15</v>
      </c>
      <c r="DH178" s="20">
        <f>$D$35</f>
        <v>27</v>
      </c>
      <c r="DI178" s="20">
        <f>$E$35</f>
        <v>39</v>
      </c>
      <c r="DJ178" s="20">
        <f>$F$35</f>
        <v>51</v>
      </c>
      <c r="DK178" s="20">
        <f>$G$35</f>
        <v>63</v>
      </c>
      <c r="DL178" s="20">
        <f>$H$35</f>
        <v>75</v>
      </c>
      <c r="DM178" s="20">
        <f>$I$35</f>
        <v>87</v>
      </c>
      <c r="DN178" s="20">
        <f>$J$35</f>
        <v>99</v>
      </c>
      <c r="DO178" s="20">
        <f>$K$35</f>
        <v>111</v>
      </c>
      <c r="DP178" s="20">
        <f>$L$35</f>
        <v>123</v>
      </c>
    </row>
    <row r="179" spans="1:120" ht="15" customHeight="1" x14ac:dyDescent="0.25">
      <c r="A179" s="31">
        <f>$A$36</f>
        <v>20133</v>
      </c>
      <c r="B179" s="21">
        <v>154306571.46000001</v>
      </c>
      <c r="C179" s="21">
        <v>716859970.02999997</v>
      </c>
      <c r="D179" s="21">
        <v>806455478.42000008</v>
      </c>
      <c r="E179" s="21">
        <v>910770774.63999999</v>
      </c>
      <c r="F179" s="21">
        <v>985353024.70000005</v>
      </c>
      <c r="G179" s="21">
        <v>1005563263.6</v>
      </c>
      <c r="H179" s="21">
        <v>1010081799.8700001</v>
      </c>
      <c r="I179" s="21">
        <v>1011775054.74</v>
      </c>
      <c r="J179" s="21">
        <v>1012367883.9400001</v>
      </c>
      <c r="K179" s="21">
        <v>1012535790.0300002</v>
      </c>
      <c r="L179" s="21">
        <v>1012681785.6000001</v>
      </c>
      <c r="M179" s="31">
        <f>$A$36</f>
        <v>20133</v>
      </c>
      <c r="N179" s="21">
        <v>11605863.699999999</v>
      </c>
      <c r="O179" s="21">
        <v>60248795.740000002</v>
      </c>
      <c r="P179" s="21">
        <v>64411955.469999999</v>
      </c>
      <c r="Q179" s="21">
        <v>64246203.929999992</v>
      </c>
      <c r="R179" s="21">
        <v>63955848.950000003</v>
      </c>
      <c r="S179" s="21">
        <v>64051166.729999997</v>
      </c>
      <c r="T179" s="21">
        <v>63984492.419999994</v>
      </c>
      <c r="U179" s="21">
        <v>63990258.25999999</v>
      </c>
      <c r="V179" s="21">
        <v>64016426.329999991</v>
      </c>
      <c r="W179" s="21">
        <v>64011603.599999994</v>
      </c>
      <c r="X179" s="21">
        <v>64009608.699999996</v>
      </c>
      <c r="Y179" s="31">
        <f>$A$36</f>
        <v>20133</v>
      </c>
      <c r="Z179" s="21">
        <v>9261637.6100000013</v>
      </c>
      <c r="AA179" s="21">
        <v>70526965.349999994</v>
      </c>
      <c r="AB179" s="21">
        <v>98854726.460000023</v>
      </c>
      <c r="AC179" s="21">
        <v>117642401.09000003</v>
      </c>
      <c r="AD179" s="21">
        <v>127214199.68000004</v>
      </c>
      <c r="AE179" s="21">
        <v>132319819.83000004</v>
      </c>
      <c r="AF179" s="21">
        <v>135909962.11000007</v>
      </c>
      <c r="AG179" s="21">
        <v>137788870.86000004</v>
      </c>
      <c r="AH179" s="21">
        <v>138744204.78000006</v>
      </c>
      <c r="AI179" s="21">
        <v>139031845.93000007</v>
      </c>
      <c r="AJ179" s="21">
        <v>139583779.97000006</v>
      </c>
      <c r="AK179" s="31">
        <f>$A$36</f>
        <v>20133</v>
      </c>
      <c r="AL179" s="21">
        <v>40506750.050000004</v>
      </c>
      <c r="AM179" s="21">
        <v>173175445.66000003</v>
      </c>
      <c r="AN179" s="21">
        <v>174068961.52000001</v>
      </c>
      <c r="AO179" s="21">
        <v>174325478.62999997</v>
      </c>
      <c r="AP179" s="21">
        <v>174455694.86000001</v>
      </c>
      <c r="AQ179" s="21">
        <v>174600217.16000003</v>
      </c>
      <c r="AR179" s="21">
        <v>174593157.66000006</v>
      </c>
      <c r="AS179" s="21">
        <v>174610036.53000003</v>
      </c>
      <c r="AT179" s="21">
        <v>174616904.99000004</v>
      </c>
      <c r="AU179" s="21">
        <v>174612604.57000002</v>
      </c>
      <c r="AV179" s="21">
        <v>174614204.84000006</v>
      </c>
      <c r="AW179" s="31">
        <f>$A$36</f>
        <v>20133</v>
      </c>
      <c r="AX179" s="21">
        <v>191664598.72999999</v>
      </c>
      <c r="AY179" s="21">
        <v>631807741.70999992</v>
      </c>
      <c r="AZ179" s="21">
        <v>587654492.53999984</v>
      </c>
      <c r="BA179" s="21">
        <v>578586840.6899997</v>
      </c>
      <c r="BB179" s="21">
        <v>576869529.03999972</v>
      </c>
      <c r="BC179" s="21">
        <v>576317576.52999961</v>
      </c>
      <c r="BD179" s="21">
        <v>576030962.22999954</v>
      </c>
      <c r="BE179" s="21">
        <v>575859895.28999949</v>
      </c>
      <c r="BF179" s="21">
        <v>575696269.0199995</v>
      </c>
      <c r="BG179" s="21">
        <v>575582752.8799994</v>
      </c>
      <c r="BH179" s="21">
        <v>575490046.37999976</v>
      </c>
      <c r="BI179" s="31">
        <f>$A$36</f>
        <v>20133</v>
      </c>
      <c r="BJ179" s="21">
        <v>9349566.4100000001</v>
      </c>
      <c r="BK179" s="21">
        <v>39576798.239999995</v>
      </c>
      <c r="BL179" s="21">
        <v>38332303.479999989</v>
      </c>
      <c r="BM179" s="21">
        <v>38110438.679999977</v>
      </c>
      <c r="BN179" s="21">
        <v>38083960.499999978</v>
      </c>
      <c r="BO179" s="21">
        <v>38074266.199999988</v>
      </c>
      <c r="BP179" s="21">
        <v>38066183.489999995</v>
      </c>
      <c r="BQ179" s="21">
        <v>38062430.469999984</v>
      </c>
      <c r="BR179" s="21">
        <v>38061413.639999993</v>
      </c>
      <c r="BS179" s="21">
        <v>38059312.489999987</v>
      </c>
      <c r="BT179" s="21">
        <v>38057465.469999991</v>
      </c>
      <c r="BU179" s="31">
        <f>$A$36</f>
        <v>20133</v>
      </c>
      <c r="BV179" s="21">
        <v>56600</v>
      </c>
      <c r="BW179" s="21">
        <v>241325.87000000002</v>
      </c>
      <c r="BX179" s="21">
        <v>290656.39</v>
      </c>
      <c r="BY179" s="21">
        <v>267949.34000000003</v>
      </c>
      <c r="BZ179" s="21">
        <v>264299.34000000003</v>
      </c>
      <c r="CA179" s="21">
        <v>262757.52</v>
      </c>
      <c r="CB179" s="21">
        <v>262757.52</v>
      </c>
      <c r="CC179" s="21">
        <v>262757.52</v>
      </c>
      <c r="CD179" s="21">
        <v>262757.52</v>
      </c>
      <c r="CE179" s="21">
        <v>262757.52</v>
      </c>
      <c r="CF179" s="21">
        <v>262757.52</v>
      </c>
      <c r="CG179" s="31">
        <f>$A$36</f>
        <v>20133</v>
      </c>
      <c r="CH179" s="21"/>
      <c r="CI179" s="21"/>
      <c r="CJ179" s="21"/>
      <c r="CK179" s="21"/>
      <c r="CL179" s="21"/>
      <c r="CM179" s="21"/>
      <c r="CN179" s="21"/>
      <c r="CO179" s="21"/>
      <c r="CP179" s="21"/>
      <c r="CQ179" s="21"/>
      <c r="CR179" s="21"/>
      <c r="CS179" s="31">
        <f>$A$36</f>
        <v>20133</v>
      </c>
      <c r="CT179" s="21"/>
      <c r="CU179" s="21"/>
      <c r="CV179" s="21"/>
      <c r="CW179" s="21"/>
      <c r="CX179" s="21"/>
      <c r="CY179" s="21"/>
      <c r="CZ179" s="21"/>
      <c r="DA179" s="21"/>
      <c r="DB179" s="21"/>
      <c r="DC179" s="21"/>
      <c r="DD179" s="21"/>
      <c r="DE179" s="31">
        <f>$A$36</f>
        <v>20133</v>
      </c>
      <c r="DF179" s="21"/>
      <c r="DG179" s="21"/>
      <c r="DH179" s="21"/>
      <c r="DI179" s="21"/>
      <c r="DJ179" s="21"/>
      <c r="DK179" s="21"/>
      <c r="DL179" s="21"/>
      <c r="DM179" s="21"/>
      <c r="DN179" s="21"/>
      <c r="DO179" s="21"/>
      <c r="DP179" s="21"/>
    </row>
    <row r="180" spans="1:120" ht="15" customHeight="1" x14ac:dyDescent="0.25">
      <c r="A180" s="31">
        <f>$A$37</f>
        <v>20143</v>
      </c>
      <c r="B180" s="21">
        <v>155437478.47999999</v>
      </c>
      <c r="C180" s="21">
        <v>751421682.26999998</v>
      </c>
      <c r="D180" s="21">
        <v>888443740.38</v>
      </c>
      <c r="E180" s="21">
        <v>1040177079.3099999</v>
      </c>
      <c r="F180" s="21">
        <v>1114396718.4699998</v>
      </c>
      <c r="G180" s="21">
        <v>1150298829.78</v>
      </c>
      <c r="H180" s="21">
        <v>1156065001.6199999</v>
      </c>
      <c r="I180" s="21">
        <v>1157356030.2399998</v>
      </c>
      <c r="J180" s="21">
        <v>1158199015.7299995</v>
      </c>
      <c r="K180" s="21">
        <v>1158358748.8499999</v>
      </c>
      <c r="L180" s="134" t="s">
        <v>246</v>
      </c>
      <c r="M180" s="31">
        <f>$A$37</f>
        <v>20143</v>
      </c>
      <c r="N180" s="21">
        <v>13282269.27</v>
      </c>
      <c r="O180" s="21">
        <v>58067205.400000006</v>
      </c>
      <c r="P180" s="21">
        <v>63326043.539999999</v>
      </c>
      <c r="Q180" s="21">
        <v>62678787.019999996</v>
      </c>
      <c r="R180" s="21">
        <v>63041343.760000005</v>
      </c>
      <c r="S180" s="21">
        <v>63168046.480000004</v>
      </c>
      <c r="T180" s="21">
        <v>63220487.49000001</v>
      </c>
      <c r="U180" s="21">
        <v>63307004.530000016</v>
      </c>
      <c r="V180" s="21">
        <v>63396267.050000012</v>
      </c>
      <c r="W180" s="21">
        <v>63392368.550000012</v>
      </c>
      <c r="X180" s="134" t="s">
        <v>246</v>
      </c>
      <c r="Y180" s="31">
        <f>$A$37</f>
        <v>20143</v>
      </c>
      <c r="Z180" s="21">
        <v>9658972.8100000005</v>
      </c>
      <c r="AA180" s="21">
        <v>73808885.670000002</v>
      </c>
      <c r="AB180" s="21">
        <v>111641666.95</v>
      </c>
      <c r="AC180" s="21">
        <v>136202998.29000002</v>
      </c>
      <c r="AD180" s="21">
        <v>147610700.65000001</v>
      </c>
      <c r="AE180" s="21">
        <v>154052868.19000003</v>
      </c>
      <c r="AF180" s="21">
        <v>156905733.36000001</v>
      </c>
      <c r="AG180" s="21">
        <v>157970763.47</v>
      </c>
      <c r="AH180" s="21">
        <v>158898968.49000007</v>
      </c>
      <c r="AI180" s="21">
        <v>159511705.83000013</v>
      </c>
      <c r="AJ180" s="134" t="s">
        <v>246</v>
      </c>
      <c r="AK180" s="31">
        <f>$A$37</f>
        <v>20143</v>
      </c>
      <c r="AL180" s="21">
        <v>41146393.280000001</v>
      </c>
      <c r="AM180" s="21">
        <v>179120886.97999999</v>
      </c>
      <c r="AN180" s="21">
        <v>179946509.42000002</v>
      </c>
      <c r="AO180" s="21">
        <v>179851082.61000001</v>
      </c>
      <c r="AP180" s="21">
        <v>180016446.56999999</v>
      </c>
      <c r="AQ180" s="21">
        <v>179978110.86999995</v>
      </c>
      <c r="AR180" s="21">
        <v>180042847.55999997</v>
      </c>
      <c r="AS180" s="21">
        <v>180072354.33999997</v>
      </c>
      <c r="AT180" s="21">
        <v>180065531.60999995</v>
      </c>
      <c r="AU180" s="21">
        <v>180058932.74999994</v>
      </c>
      <c r="AV180" s="134" t="s">
        <v>246</v>
      </c>
      <c r="AW180" s="31">
        <f>$A$37</f>
        <v>20143</v>
      </c>
      <c r="AX180" s="21">
        <v>202170583.64000002</v>
      </c>
      <c r="AY180" s="21">
        <v>708904521.03000009</v>
      </c>
      <c r="AZ180" s="21">
        <v>647549879.12000012</v>
      </c>
      <c r="BA180" s="21">
        <v>641013829.72000015</v>
      </c>
      <c r="BB180" s="21">
        <v>639109599.38000023</v>
      </c>
      <c r="BC180" s="21">
        <v>638687723.45000017</v>
      </c>
      <c r="BD180" s="21">
        <v>638546043.34000003</v>
      </c>
      <c r="BE180" s="21">
        <v>638477119.24000013</v>
      </c>
      <c r="BF180" s="21">
        <v>638399993.5200001</v>
      </c>
      <c r="BG180" s="21">
        <v>638362455.65999997</v>
      </c>
      <c r="BH180" s="134" t="s">
        <v>246</v>
      </c>
      <c r="BI180" s="31">
        <f>$A$37</f>
        <v>20143</v>
      </c>
      <c r="BJ180" s="21">
        <v>10213703.98</v>
      </c>
      <c r="BK180" s="21">
        <v>42672189.140000001</v>
      </c>
      <c r="BL180" s="21">
        <v>41156423.210000008</v>
      </c>
      <c r="BM180" s="21">
        <v>41026694.350000001</v>
      </c>
      <c r="BN180" s="21">
        <v>41023492.350000009</v>
      </c>
      <c r="BO180" s="21">
        <v>41024335.210000008</v>
      </c>
      <c r="BP180" s="21">
        <v>41023662.079999998</v>
      </c>
      <c r="BQ180" s="21">
        <v>41022955.859999992</v>
      </c>
      <c r="BR180" s="21">
        <v>41022995.769999988</v>
      </c>
      <c r="BS180" s="21">
        <v>41023320.769999988</v>
      </c>
      <c r="BT180" s="134" t="s">
        <v>246</v>
      </c>
      <c r="BU180" s="31">
        <f>$A$37</f>
        <v>20143</v>
      </c>
      <c r="BV180" s="21">
        <v>39600</v>
      </c>
      <c r="BW180" s="21">
        <v>342271.42</v>
      </c>
      <c r="BX180" s="21">
        <v>352821.42</v>
      </c>
      <c r="BY180" s="21">
        <v>357521.42</v>
      </c>
      <c r="BZ180" s="21">
        <v>367111.87</v>
      </c>
      <c r="CA180" s="21">
        <v>367111.87</v>
      </c>
      <c r="CB180" s="21">
        <v>367111.87</v>
      </c>
      <c r="CC180" s="21">
        <v>367111.87</v>
      </c>
      <c r="CD180" s="21">
        <v>367111.87</v>
      </c>
      <c r="CE180" s="21">
        <v>367111.87</v>
      </c>
      <c r="CF180" s="134" t="s">
        <v>246</v>
      </c>
      <c r="CG180" s="31">
        <f>$A$37</f>
        <v>20143</v>
      </c>
      <c r="CH180" s="21"/>
      <c r="CI180" s="21"/>
      <c r="CJ180" s="21"/>
      <c r="CK180" s="21"/>
      <c r="CL180" s="21"/>
      <c r="CM180" s="21"/>
      <c r="CN180" s="21"/>
      <c r="CO180" s="21"/>
      <c r="CP180" s="21"/>
      <c r="CQ180" s="21"/>
      <c r="CR180" s="134"/>
      <c r="CS180" s="31">
        <f>$A$37</f>
        <v>20143</v>
      </c>
      <c r="CT180" s="21"/>
      <c r="CU180" s="21"/>
      <c r="CV180" s="21"/>
      <c r="CW180" s="21"/>
      <c r="CX180" s="21"/>
      <c r="CY180" s="21"/>
      <c r="CZ180" s="21"/>
      <c r="DA180" s="21"/>
      <c r="DB180" s="21"/>
      <c r="DC180" s="21"/>
      <c r="DD180" s="134"/>
      <c r="DE180" s="31">
        <f>$A$37</f>
        <v>20143</v>
      </c>
      <c r="DF180" s="21"/>
      <c r="DG180" s="21"/>
      <c r="DH180" s="21"/>
      <c r="DI180" s="21"/>
      <c r="DJ180" s="21"/>
      <c r="DK180" s="21"/>
      <c r="DL180" s="21"/>
      <c r="DM180" s="21"/>
      <c r="DN180" s="21"/>
      <c r="DO180" s="21"/>
      <c r="DP180" s="134"/>
    </row>
    <row r="181" spans="1:120" ht="15" customHeight="1" x14ac:dyDescent="0.25">
      <c r="A181" s="31">
        <f>$A$38</f>
        <v>20153</v>
      </c>
      <c r="B181" s="21">
        <v>158925627.37</v>
      </c>
      <c r="C181" s="21">
        <v>824585644.04999995</v>
      </c>
      <c r="D181" s="21">
        <v>1013427262.22</v>
      </c>
      <c r="E181" s="21">
        <v>1128022997.6600001</v>
      </c>
      <c r="F181" s="21">
        <v>1196539511.9200001</v>
      </c>
      <c r="G181" s="21">
        <v>1227726691.4199996</v>
      </c>
      <c r="H181" s="21">
        <v>1234130537.3199999</v>
      </c>
      <c r="I181" s="21">
        <v>1237375535.8499999</v>
      </c>
      <c r="J181" s="21">
        <v>1239860135.3199999</v>
      </c>
      <c r="K181" s="134" t="s">
        <v>246</v>
      </c>
      <c r="L181" s="134" t="s">
        <v>246</v>
      </c>
      <c r="M181" s="31">
        <f>$A$38</f>
        <v>20153</v>
      </c>
      <c r="N181" s="21">
        <v>14769780.24</v>
      </c>
      <c r="O181" s="21">
        <v>57184635.020000003</v>
      </c>
      <c r="P181" s="21">
        <v>62030347.910000011</v>
      </c>
      <c r="Q181" s="21">
        <v>62978504.620000005</v>
      </c>
      <c r="R181" s="21">
        <v>63336810.750000007</v>
      </c>
      <c r="S181" s="21">
        <v>63417497.600000009</v>
      </c>
      <c r="T181" s="21">
        <v>63411349.840000011</v>
      </c>
      <c r="U181" s="21">
        <v>63451417.710000008</v>
      </c>
      <c r="V181" s="21">
        <v>63449360.580000006</v>
      </c>
      <c r="W181" s="134" t="s">
        <v>246</v>
      </c>
      <c r="X181" s="134" t="s">
        <v>246</v>
      </c>
      <c r="Y181" s="31">
        <f>$A$38</f>
        <v>20153</v>
      </c>
      <c r="Z181" s="21">
        <v>9074875.4900000002</v>
      </c>
      <c r="AA181" s="21">
        <v>77395981.98999998</v>
      </c>
      <c r="AB181" s="21">
        <v>126874042.57999998</v>
      </c>
      <c r="AC181" s="21">
        <v>156848739.82999995</v>
      </c>
      <c r="AD181" s="21">
        <v>171075189.78999996</v>
      </c>
      <c r="AE181" s="21">
        <v>178323985.0099999</v>
      </c>
      <c r="AF181" s="21">
        <v>181027857.57999989</v>
      </c>
      <c r="AG181" s="21">
        <v>182365756.93999988</v>
      </c>
      <c r="AH181" s="21">
        <v>182806942.74999988</v>
      </c>
      <c r="AI181" s="134" t="s">
        <v>246</v>
      </c>
      <c r="AJ181" s="134" t="s">
        <v>246</v>
      </c>
      <c r="AK181" s="31">
        <f>$A$38</f>
        <v>20153</v>
      </c>
      <c r="AL181" s="21">
        <v>40222934.030000001</v>
      </c>
      <c r="AM181" s="21">
        <v>192633563.16000003</v>
      </c>
      <c r="AN181" s="21">
        <v>193879011.84999996</v>
      </c>
      <c r="AO181" s="21">
        <v>194198880.39999998</v>
      </c>
      <c r="AP181" s="21">
        <v>194241100.30999997</v>
      </c>
      <c r="AQ181" s="21">
        <v>194272164.28</v>
      </c>
      <c r="AR181" s="21">
        <v>194291127.56999996</v>
      </c>
      <c r="AS181" s="21">
        <v>194303206.59999996</v>
      </c>
      <c r="AT181" s="21">
        <v>194317129.81999996</v>
      </c>
      <c r="AU181" s="134" t="s">
        <v>246</v>
      </c>
      <c r="AV181" s="134" t="s">
        <v>246</v>
      </c>
      <c r="AW181" s="31">
        <f>$A$38</f>
        <v>20153</v>
      </c>
      <c r="AX181" s="21">
        <v>219615831.55000001</v>
      </c>
      <c r="AY181" s="21">
        <v>800199548.6700002</v>
      </c>
      <c r="AZ181" s="21">
        <v>740123404.39000022</v>
      </c>
      <c r="BA181" s="21">
        <v>733777369.99000037</v>
      </c>
      <c r="BB181" s="21">
        <v>731976823.67000055</v>
      </c>
      <c r="BC181" s="21">
        <v>731597185.75000072</v>
      </c>
      <c r="BD181" s="21">
        <v>731450825.20000088</v>
      </c>
      <c r="BE181" s="21">
        <v>731377929.68000078</v>
      </c>
      <c r="BF181" s="21">
        <v>731317586.10000086</v>
      </c>
      <c r="BG181" s="134" t="s">
        <v>246</v>
      </c>
      <c r="BH181" s="134" t="s">
        <v>246</v>
      </c>
      <c r="BI181" s="31">
        <f>$A$38</f>
        <v>20153</v>
      </c>
      <c r="BJ181" s="21">
        <v>10255982.59</v>
      </c>
      <c r="BK181" s="21">
        <v>45722910.799999997</v>
      </c>
      <c r="BL181" s="21">
        <v>44639557.559999987</v>
      </c>
      <c r="BM181" s="21">
        <v>44564832.189999975</v>
      </c>
      <c r="BN181" s="21">
        <v>44553038.069999978</v>
      </c>
      <c r="BO181" s="21">
        <v>44551487.00999999</v>
      </c>
      <c r="BP181" s="21">
        <v>44551074.089999996</v>
      </c>
      <c r="BQ181" s="21">
        <v>44550661.350000001</v>
      </c>
      <c r="BR181" s="21">
        <v>44551405.349999994</v>
      </c>
      <c r="BS181" s="134" t="s">
        <v>246</v>
      </c>
      <c r="BT181" s="134" t="s">
        <v>246</v>
      </c>
      <c r="BU181" s="31">
        <f>$A$38</f>
        <v>20153</v>
      </c>
      <c r="BV181" s="21">
        <v>70250</v>
      </c>
      <c r="BW181" s="21">
        <v>505807.58999999997</v>
      </c>
      <c r="BX181" s="21">
        <v>501471.43</v>
      </c>
      <c r="BY181" s="21">
        <v>504144.63</v>
      </c>
      <c r="BZ181" s="21">
        <v>511667.20000000001</v>
      </c>
      <c r="CA181" s="21">
        <v>511667.20000000001</v>
      </c>
      <c r="CB181" s="21">
        <v>511667.20000000001</v>
      </c>
      <c r="CC181" s="21">
        <v>511667.20000000001</v>
      </c>
      <c r="CD181" s="21">
        <v>511667.20000000001</v>
      </c>
      <c r="CE181" s="134" t="s">
        <v>246</v>
      </c>
      <c r="CF181" s="134" t="s">
        <v>246</v>
      </c>
      <c r="CG181" s="31">
        <f>$A$38</f>
        <v>20153</v>
      </c>
      <c r="CH181" s="21"/>
      <c r="CI181" s="21"/>
      <c r="CJ181" s="21"/>
      <c r="CK181" s="21"/>
      <c r="CL181" s="21"/>
      <c r="CM181" s="21"/>
      <c r="CN181" s="21"/>
      <c r="CO181" s="21"/>
      <c r="CP181" s="21"/>
      <c r="CQ181" s="134"/>
      <c r="CR181" s="134"/>
      <c r="CS181" s="31">
        <f>$A$38</f>
        <v>20153</v>
      </c>
      <c r="CT181" s="21"/>
      <c r="CU181" s="21"/>
      <c r="CV181" s="21"/>
      <c r="CW181" s="21"/>
      <c r="CX181" s="21"/>
      <c r="CY181" s="21"/>
      <c r="CZ181" s="21"/>
      <c r="DA181" s="21"/>
      <c r="DB181" s="21"/>
      <c r="DC181" s="134"/>
      <c r="DD181" s="134"/>
      <c r="DE181" s="31">
        <f>$A$38</f>
        <v>20153</v>
      </c>
      <c r="DF181" s="21"/>
      <c r="DG181" s="21"/>
      <c r="DH181" s="21"/>
      <c r="DI181" s="21"/>
      <c r="DJ181" s="21"/>
      <c r="DK181" s="21"/>
      <c r="DL181" s="21"/>
      <c r="DM181" s="21"/>
      <c r="DN181" s="21"/>
      <c r="DO181" s="134"/>
      <c r="DP181" s="134"/>
    </row>
    <row r="182" spans="1:120" ht="15" customHeight="1" x14ac:dyDescent="0.25">
      <c r="A182" s="31">
        <f>$A$39</f>
        <v>20163</v>
      </c>
      <c r="B182" s="21">
        <v>158679992.43000001</v>
      </c>
      <c r="C182" s="21">
        <v>891885473.33999991</v>
      </c>
      <c r="D182" s="21">
        <v>1148024696.29</v>
      </c>
      <c r="E182" s="21">
        <v>1268377980.0599999</v>
      </c>
      <c r="F182" s="21">
        <v>1357114981.1300001</v>
      </c>
      <c r="G182" s="21">
        <v>1388213538.7600002</v>
      </c>
      <c r="H182" s="21">
        <v>1401627745.0799999</v>
      </c>
      <c r="I182" s="21">
        <v>1410056729.7299998</v>
      </c>
      <c r="J182" s="134" t="s">
        <v>246</v>
      </c>
      <c r="K182" s="134" t="s">
        <v>246</v>
      </c>
      <c r="L182" s="134" t="s">
        <v>246</v>
      </c>
      <c r="M182" s="31">
        <f>$A$39</f>
        <v>20163</v>
      </c>
      <c r="N182" s="21">
        <v>14012865.459999999</v>
      </c>
      <c r="O182" s="21">
        <v>54229399.430000007</v>
      </c>
      <c r="P182" s="21">
        <v>63519715.590000004</v>
      </c>
      <c r="Q182" s="21">
        <v>64637858.499999993</v>
      </c>
      <c r="R182" s="21">
        <v>64858396.789999999</v>
      </c>
      <c r="S182" s="21">
        <v>64852963.339999989</v>
      </c>
      <c r="T182" s="21">
        <v>64952005.219999984</v>
      </c>
      <c r="U182" s="21">
        <v>64992694.819999978</v>
      </c>
      <c r="V182" s="134" t="s">
        <v>246</v>
      </c>
      <c r="W182" s="134" t="s">
        <v>246</v>
      </c>
      <c r="X182" s="134" t="s">
        <v>246</v>
      </c>
      <c r="Y182" s="31">
        <f>$A$39</f>
        <v>20163</v>
      </c>
      <c r="Z182" s="21">
        <v>9411219.1099999994</v>
      </c>
      <c r="AA182" s="21">
        <v>88821284.540000007</v>
      </c>
      <c r="AB182" s="21">
        <v>144984813.65000001</v>
      </c>
      <c r="AC182" s="21">
        <v>173284158.60000002</v>
      </c>
      <c r="AD182" s="21">
        <v>184983239.37</v>
      </c>
      <c r="AE182" s="21">
        <v>190779217.30999997</v>
      </c>
      <c r="AF182" s="21">
        <v>194509659.01000002</v>
      </c>
      <c r="AG182" s="21">
        <v>196461077.06000006</v>
      </c>
      <c r="AH182" s="134" t="s">
        <v>246</v>
      </c>
      <c r="AI182" s="134" t="s">
        <v>246</v>
      </c>
      <c r="AJ182" s="134" t="s">
        <v>246</v>
      </c>
      <c r="AK182" s="31">
        <f>$A$39</f>
        <v>20163</v>
      </c>
      <c r="AL182" s="21">
        <v>44177103.029999994</v>
      </c>
      <c r="AM182" s="21">
        <v>206913562.18000001</v>
      </c>
      <c r="AN182" s="21">
        <v>208211880.81000003</v>
      </c>
      <c r="AO182" s="21">
        <v>208374151.5</v>
      </c>
      <c r="AP182" s="21">
        <v>208351530.34</v>
      </c>
      <c r="AQ182" s="21">
        <v>208324816.69000003</v>
      </c>
      <c r="AR182" s="21">
        <v>208366047.02000007</v>
      </c>
      <c r="AS182" s="21">
        <v>208375555.84000006</v>
      </c>
      <c r="AT182" s="134" t="s">
        <v>246</v>
      </c>
      <c r="AU182" s="134" t="s">
        <v>246</v>
      </c>
      <c r="AV182" s="134" t="s">
        <v>246</v>
      </c>
      <c r="AW182" s="31">
        <f>$A$39</f>
        <v>20163</v>
      </c>
      <c r="AX182" s="21">
        <v>245150556.49000001</v>
      </c>
      <c r="AY182" s="21">
        <v>889888973.01999986</v>
      </c>
      <c r="AZ182" s="21">
        <v>822618259.31999981</v>
      </c>
      <c r="BA182" s="21">
        <v>815666054.66999972</v>
      </c>
      <c r="BB182" s="21">
        <v>813596950.91999984</v>
      </c>
      <c r="BC182" s="21">
        <v>812923264.43999982</v>
      </c>
      <c r="BD182" s="21">
        <v>812744783.13</v>
      </c>
      <c r="BE182" s="21">
        <v>812624595.61999989</v>
      </c>
      <c r="BF182" s="134" t="s">
        <v>246</v>
      </c>
      <c r="BG182" s="134" t="s">
        <v>246</v>
      </c>
      <c r="BH182" s="134" t="s">
        <v>246</v>
      </c>
      <c r="BI182" s="31">
        <f>$A$39</f>
        <v>20163</v>
      </c>
      <c r="BJ182" s="21">
        <v>11064590.460000001</v>
      </c>
      <c r="BK182" s="21">
        <v>50672626.499999993</v>
      </c>
      <c r="BL182" s="21">
        <v>49536286.009999983</v>
      </c>
      <c r="BM182" s="21">
        <v>49452852.389999993</v>
      </c>
      <c r="BN182" s="21">
        <v>49445969.809999987</v>
      </c>
      <c r="BO182" s="21">
        <v>49445103.79999999</v>
      </c>
      <c r="BP182" s="21">
        <v>49445165.409999989</v>
      </c>
      <c r="BQ182" s="21">
        <v>49445491.499999985</v>
      </c>
      <c r="BR182" s="134" t="s">
        <v>246</v>
      </c>
      <c r="BS182" s="134" t="s">
        <v>246</v>
      </c>
      <c r="BT182" s="134" t="s">
        <v>246</v>
      </c>
      <c r="BU182" s="31">
        <f>$A$39</f>
        <v>20163</v>
      </c>
      <c r="BV182" s="21">
        <v>13150</v>
      </c>
      <c r="BW182" s="21">
        <v>223500</v>
      </c>
      <c r="BX182" s="21">
        <v>243800</v>
      </c>
      <c r="BY182" s="21">
        <v>259100</v>
      </c>
      <c r="BZ182" s="21">
        <v>267100</v>
      </c>
      <c r="CA182" s="21">
        <v>275600</v>
      </c>
      <c r="CB182" s="21">
        <v>275600</v>
      </c>
      <c r="CC182" s="21">
        <v>275600</v>
      </c>
      <c r="CD182" s="134" t="s">
        <v>246</v>
      </c>
      <c r="CE182" s="134" t="s">
        <v>246</v>
      </c>
      <c r="CF182" s="134" t="s">
        <v>246</v>
      </c>
      <c r="CG182" s="31">
        <f>$A$39</f>
        <v>20163</v>
      </c>
      <c r="CH182" s="21"/>
      <c r="CI182" s="21"/>
      <c r="CJ182" s="21"/>
      <c r="CK182" s="21"/>
      <c r="CL182" s="21"/>
      <c r="CM182" s="21"/>
      <c r="CN182" s="21"/>
      <c r="CO182" s="21"/>
      <c r="CP182" s="134"/>
      <c r="CQ182" s="134"/>
      <c r="CR182" s="134"/>
      <c r="CS182" s="31">
        <f>$A$39</f>
        <v>20163</v>
      </c>
      <c r="CT182" s="21"/>
      <c r="CU182" s="21"/>
      <c r="CV182" s="21"/>
      <c r="CW182" s="21"/>
      <c r="CX182" s="21"/>
      <c r="CY182" s="21"/>
      <c r="CZ182" s="21"/>
      <c r="DA182" s="21"/>
      <c r="DB182" s="134"/>
      <c r="DC182" s="134"/>
      <c r="DD182" s="134"/>
      <c r="DE182" s="31">
        <f>$A$39</f>
        <v>20163</v>
      </c>
      <c r="DF182" s="21"/>
      <c r="DG182" s="21"/>
      <c r="DH182" s="21"/>
      <c r="DI182" s="21"/>
      <c r="DJ182" s="21"/>
      <c r="DK182" s="21"/>
      <c r="DL182" s="21"/>
      <c r="DM182" s="21"/>
      <c r="DN182" s="134"/>
      <c r="DO182" s="134"/>
      <c r="DP182" s="134"/>
    </row>
    <row r="183" spans="1:120" ht="15" customHeight="1" x14ac:dyDescent="0.25">
      <c r="A183" s="31">
        <f>$A$40</f>
        <v>20173</v>
      </c>
      <c r="B183" s="21">
        <v>166636734.93000001</v>
      </c>
      <c r="C183" s="21">
        <v>920047974.25999999</v>
      </c>
      <c r="D183" s="21">
        <v>1113756179.6100001</v>
      </c>
      <c r="E183" s="21">
        <v>1261177176.0900002</v>
      </c>
      <c r="F183" s="21">
        <v>1331686949.0400004</v>
      </c>
      <c r="G183" s="21">
        <v>1379014743.8100004</v>
      </c>
      <c r="H183" s="21">
        <v>1421894507.55</v>
      </c>
      <c r="I183" s="134" t="s">
        <v>246</v>
      </c>
      <c r="J183" s="134" t="s">
        <v>246</v>
      </c>
      <c r="K183" s="134" t="s">
        <v>246</v>
      </c>
      <c r="L183" s="134" t="s">
        <v>246</v>
      </c>
      <c r="M183" s="31">
        <f>$A$40</f>
        <v>20173</v>
      </c>
      <c r="N183" s="21">
        <v>14632059.699999999</v>
      </c>
      <c r="O183" s="21">
        <v>57073059.11999999</v>
      </c>
      <c r="P183" s="21">
        <v>68345826.199999988</v>
      </c>
      <c r="Q183" s="21">
        <v>70656091.079999998</v>
      </c>
      <c r="R183" s="21">
        <v>70865471.729999989</v>
      </c>
      <c r="S183" s="21">
        <v>70979302.799999982</v>
      </c>
      <c r="T183" s="21">
        <v>71002048.049999982</v>
      </c>
      <c r="U183" s="134" t="s">
        <v>246</v>
      </c>
      <c r="V183" s="134" t="s">
        <v>246</v>
      </c>
      <c r="W183" s="134" t="s">
        <v>246</v>
      </c>
      <c r="X183" s="134" t="s">
        <v>246</v>
      </c>
      <c r="Y183" s="31">
        <f>$A$40</f>
        <v>20173</v>
      </c>
      <c r="Z183" s="21">
        <v>11320635.610000001</v>
      </c>
      <c r="AA183" s="21">
        <v>104168667.78999999</v>
      </c>
      <c r="AB183" s="21">
        <v>168391511.60999998</v>
      </c>
      <c r="AC183" s="21">
        <v>197647933.59999996</v>
      </c>
      <c r="AD183" s="21">
        <v>210570365.68999997</v>
      </c>
      <c r="AE183" s="21">
        <v>217101997.06999996</v>
      </c>
      <c r="AF183" s="21">
        <v>222099746.21999994</v>
      </c>
      <c r="AG183" s="134" t="s">
        <v>246</v>
      </c>
      <c r="AH183" s="134" t="s">
        <v>246</v>
      </c>
      <c r="AI183" s="134" t="s">
        <v>246</v>
      </c>
      <c r="AJ183" s="134" t="s">
        <v>246</v>
      </c>
      <c r="AK183" s="31">
        <f>$A$40</f>
        <v>20173</v>
      </c>
      <c r="AL183" s="21">
        <v>45178652.230000004</v>
      </c>
      <c r="AM183" s="21">
        <v>223514943.68000001</v>
      </c>
      <c r="AN183" s="21">
        <v>225689632.44</v>
      </c>
      <c r="AO183" s="21">
        <v>226189240.05999997</v>
      </c>
      <c r="AP183" s="21">
        <v>226504057.84999996</v>
      </c>
      <c r="AQ183" s="21">
        <v>226646973.67999992</v>
      </c>
      <c r="AR183" s="21">
        <v>226676225.55999991</v>
      </c>
      <c r="AS183" s="134" t="s">
        <v>246</v>
      </c>
      <c r="AT183" s="134" t="s">
        <v>246</v>
      </c>
      <c r="AU183" s="134" t="s">
        <v>246</v>
      </c>
      <c r="AV183" s="134" t="s">
        <v>246</v>
      </c>
      <c r="AW183" s="31">
        <f>$A$40</f>
        <v>20173</v>
      </c>
      <c r="AX183" s="21">
        <v>269698538.34000003</v>
      </c>
      <c r="AY183" s="21">
        <v>916696310.46999991</v>
      </c>
      <c r="AZ183" s="21">
        <v>860777907.36000001</v>
      </c>
      <c r="BA183" s="21">
        <v>854270077.59000015</v>
      </c>
      <c r="BB183" s="21">
        <v>852511540.25000012</v>
      </c>
      <c r="BC183" s="21">
        <v>851770936.11999989</v>
      </c>
      <c r="BD183" s="21">
        <v>851480995.55000007</v>
      </c>
      <c r="BE183" s="134" t="s">
        <v>246</v>
      </c>
      <c r="BF183" s="134" t="s">
        <v>246</v>
      </c>
      <c r="BG183" s="134" t="s">
        <v>246</v>
      </c>
      <c r="BH183" s="134" t="s">
        <v>246</v>
      </c>
      <c r="BI183" s="31">
        <f>$A$40</f>
        <v>20173</v>
      </c>
      <c r="BJ183" s="21">
        <v>11438397.559999999</v>
      </c>
      <c r="BK183" s="21">
        <v>55050444.699999996</v>
      </c>
      <c r="BL183" s="21">
        <v>53943813.889999986</v>
      </c>
      <c r="BM183" s="21">
        <v>53905698.399999991</v>
      </c>
      <c r="BN183" s="21">
        <v>53911194.949999988</v>
      </c>
      <c r="BO183" s="21">
        <v>53917926.519999988</v>
      </c>
      <c r="BP183" s="21">
        <v>53917259.629999988</v>
      </c>
      <c r="BQ183" s="134" t="s">
        <v>246</v>
      </c>
      <c r="BR183" s="134" t="s">
        <v>246</v>
      </c>
      <c r="BS183" s="134" t="s">
        <v>246</v>
      </c>
      <c r="BT183" s="134" t="s">
        <v>246</v>
      </c>
      <c r="BU183" s="31">
        <f>$A$40</f>
        <v>20173</v>
      </c>
      <c r="BV183" s="21">
        <v>60650</v>
      </c>
      <c r="BW183" s="21">
        <v>371900</v>
      </c>
      <c r="BX183" s="21">
        <v>378950</v>
      </c>
      <c r="BY183" s="21">
        <v>379934.12</v>
      </c>
      <c r="BZ183" s="21">
        <v>379934.12</v>
      </c>
      <c r="CA183" s="21">
        <v>379934.12</v>
      </c>
      <c r="CB183" s="21">
        <v>379934.12</v>
      </c>
      <c r="CC183" s="134" t="s">
        <v>246</v>
      </c>
      <c r="CD183" s="134" t="s">
        <v>246</v>
      </c>
      <c r="CE183" s="134" t="s">
        <v>246</v>
      </c>
      <c r="CF183" s="134" t="s">
        <v>246</v>
      </c>
      <c r="CG183" s="31">
        <f>$A$40</f>
        <v>20173</v>
      </c>
      <c r="CH183" s="21"/>
      <c r="CI183" s="21"/>
      <c r="CJ183" s="21"/>
      <c r="CK183" s="21"/>
      <c r="CL183" s="21"/>
      <c r="CM183" s="21"/>
      <c r="CN183" s="21"/>
      <c r="CO183" s="134"/>
      <c r="CP183" s="134"/>
      <c r="CQ183" s="134"/>
      <c r="CR183" s="134"/>
      <c r="CS183" s="31">
        <f>$A$40</f>
        <v>20173</v>
      </c>
      <c r="CT183" s="21"/>
      <c r="CU183" s="21"/>
      <c r="CV183" s="21"/>
      <c r="CW183" s="21"/>
      <c r="CX183" s="21"/>
      <c r="CY183" s="21"/>
      <c r="CZ183" s="21"/>
      <c r="DA183" s="134"/>
      <c r="DB183" s="134"/>
      <c r="DC183" s="134"/>
      <c r="DD183" s="134"/>
      <c r="DE183" s="31">
        <f>$A$40</f>
        <v>20173</v>
      </c>
      <c r="DF183" s="21"/>
      <c r="DG183" s="21"/>
      <c r="DH183" s="21"/>
      <c r="DI183" s="21"/>
      <c r="DJ183" s="21"/>
      <c r="DK183" s="21"/>
      <c r="DL183" s="21"/>
      <c r="DM183" s="134"/>
      <c r="DN183" s="134"/>
      <c r="DO183" s="134"/>
      <c r="DP183" s="134"/>
    </row>
    <row r="184" spans="1:120" ht="15" customHeight="1" x14ac:dyDescent="0.25">
      <c r="A184" s="31">
        <f>$A$41</f>
        <v>20183</v>
      </c>
      <c r="B184" s="21">
        <v>165473004.5</v>
      </c>
      <c r="C184" s="21">
        <v>878581998.25</v>
      </c>
      <c r="D184" s="21">
        <v>1082649413.2900002</v>
      </c>
      <c r="E184" s="21">
        <v>1189212101.7800002</v>
      </c>
      <c r="F184" s="21">
        <v>1280199489.9200001</v>
      </c>
      <c r="G184" s="21">
        <v>1337541198.6200001</v>
      </c>
      <c r="H184" s="134" t="s">
        <v>246</v>
      </c>
      <c r="I184" s="134" t="s">
        <v>246</v>
      </c>
      <c r="J184" s="134" t="s">
        <v>246</v>
      </c>
      <c r="K184" s="134" t="s">
        <v>246</v>
      </c>
      <c r="L184" s="134" t="s">
        <v>246</v>
      </c>
      <c r="M184" s="31">
        <f>$A$41</f>
        <v>20183</v>
      </c>
      <c r="N184" s="21">
        <v>12160776.030000001</v>
      </c>
      <c r="O184" s="21">
        <v>54314592.749999993</v>
      </c>
      <c r="P184" s="21">
        <v>68224465.319999993</v>
      </c>
      <c r="Q184" s="21">
        <v>70734477.029999986</v>
      </c>
      <c r="R184" s="21">
        <v>71261895.979999959</v>
      </c>
      <c r="S184" s="21">
        <v>71430882.969999954</v>
      </c>
      <c r="T184" s="134" t="s">
        <v>246</v>
      </c>
      <c r="U184" s="134" t="s">
        <v>246</v>
      </c>
      <c r="V184" s="134" t="s">
        <v>246</v>
      </c>
      <c r="W184" s="134" t="s">
        <v>246</v>
      </c>
      <c r="X184" s="134" t="s">
        <v>246</v>
      </c>
      <c r="Y184" s="31">
        <f>$A$41</f>
        <v>20183</v>
      </c>
      <c r="Z184" s="21">
        <v>10963797.67</v>
      </c>
      <c r="AA184" s="21">
        <v>106304368.53</v>
      </c>
      <c r="AB184" s="21">
        <v>169279450.22</v>
      </c>
      <c r="AC184" s="21">
        <v>197341123.26999998</v>
      </c>
      <c r="AD184" s="21">
        <v>212956484.54000002</v>
      </c>
      <c r="AE184" s="21">
        <v>222674453.50999999</v>
      </c>
      <c r="AF184" s="134" t="s">
        <v>246</v>
      </c>
      <c r="AG184" s="134" t="s">
        <v>246</v>
      </c>
      <c r="AH184" s="134" t="s">
        <v>246</v>
      </c>
      <c r="AI184" s="134" t="s">
        <v>246</v>
      </c>
      <c r="AJ184" s="134" t="s">
        <v>246</v>
      </c>
      <c r="AK184" s="31">
        <f>$A$41</f>
        <v>20183</v>
      </c>
      <c r="AL184" s="21">
        <v>47670680.5</v>
      </c>
      <c r="AM184" s="21">
        <v>216819099.44999999</v>
      </c>
      <c r="AN184" s="21">
        <v>218935400.92000002</v>
      </c>
      <c r="AO184" s="21">
        <v>218924987.79000005</v>
      </c>
      <c r="AP184" s="21">
        <v>218970056.35000002</v>
      </c>
      <c r="AQ184" s="21">
        <v>219035425.16000003</v>
      </c>
      <c r="AR184" s="134" t="s">
        <v>246</v>
      </c>
      <c r="AS184" s="134" t="s">
        <v>246</v>
      </c>
      <c r="AT184" s="134" t="s">
        <v>246</v>
      </c>
      <c r="AU184" s="134" t="s">
        <v>246</v>
      </c>
      <c r="AV184" s="134" t="s">
        <v>246</v>
      </c>
      <c r="AW184" s="31">
        <f>$A$41</f>
        <v>20183</v>
      </c>
      <c r="AX184" s="21">
        <v>274679080.26999998</v>
      </c>
      <c r="AY184" s="21">
        <v>890967627.11000001</v>
      </c>
      <c r="AZ184" s="21">
        <v>844824791.08000004</v>
      </c>
      <c r="BA184" s="21">
        <v>839010436.55000019</v>
      </c>
      <c r="BB184" s="21">
        <v>836538741.97000015</v>
      </c>
      <c r="BC184" s="21">
        <v>835843089.6500001</v>
      </c>
      <c r="BD184" s="134" t="s">
        <v>246</v>
      </c>
      <c r="BE184" s="134" t="s">
        <v>246</v>
      </c>
      <c r="BF184" s="134" t="s">
        <v>246</v>
      </c>
      <c r="BG184" s="134" t="s">
        <v>246</v>
      </c>
      <c r="BH184" s="134" t="s">
        <v>246</v>
      </c>
      <c r="BI184" s="31">
        <f>$A$41</f>
        <v>20183</v>
      </c>
      <c r="BJ184" s="21">
        <v>12074470.76</v>
      </c>
      <c r="BK184" s="21">
        <v>51805503.329999991</v>
      </c>
      <c r="BL184" s="21">
        <v>51172924.50999999</v>
      </c>
      <c r="BM184" s="21">
        <v>51150410.729999989</v>
      </c>
      <c r="BN184" s="21">
        <v>51168690.57</v>
      </c>
      <c r="BO184" s="21">
        <v>51174497.039999999</v>
      </c>
      <c r="BP184" s="134" t="s">
        <v>246</v>
      </c>
      <c r="BQ184" s="134" t="s">
        <v>246</v>
      </c>
      <c r="BR184" s="134" t="s">
        <v>246</v>
      </c>
      <c r="BS184" s="134" t="s">
        <v>246</v>
      </c>
      <c r="BT184" s="134" t="s">
        <v>246</v>
      </c>
      <c r="BU184" s="31">
        <f>$A$41</f>
        <v>20183</v>
      </c>
      <c r="BV184" s="21">
        <v>78700</v>
      </c>
      <c r="BW184" s="21">
        <v>431723.42</v>
      </c>
      <c r="BX184" s="21">
        <v>517903.42</v>
      </c>
      <c r="BY184" s="21">
        <v>539963.41999999993</v>
      </c>
      <c r="BZ184" s="21">
        <v>539653.41999999993</v>
      </c>
      <c r="CA184" s="21">
        <v>539653.41999999993</v>
      </c>
      <c r="CB184" s="134" t="s">
        <v>246</v>
      </c>
      <c r="CC184" s="134" t="s">
        <v>246</v>
      </c>
      <c r="CD184" s="134" t="s">
        <v>246</v>
      </c>
      <c r="CE184" s="134" t="s">
        <v>246</v>
      </c>
      <c r="CF184" s="134" t="s">
        <v>246</v>
      </c>
      <c r="CG184" s="31">
        <f>$A$41</f>
        <v>20183</v>
      </c>
      <c r="CH184" s="21"/>
      <c r="CI184" s="21"/>
      <c r="CJ184" s="21"/>
      <c r="CK184" s="21"/>
      <c r="CL184" s="21"/>
      <c r="CM184" s="21"/>
      <c r="CN184" s="134"/>
      <c r="CO184" s="134"/>
      <c r="CP184" s="134"/>
      <c r="CQ184" s="134"/>
      <c r="CR184" s="134"/>
      <c r="CS184" s="31">
        <f>$A$41</f>
        <v>20183</v>
      </c>
      <c r="CT184" s="21"/>
      <c r="CU184" s="21"/>
      <c r="CV184" s="21"/>
      <c r="CW184" s="21"/>
      <c r="CX184" s="21"/>
      <c r="CY184" s="21"/>
      <c r="CZ184" s="134"/>
      <c r="DA184" s="134"/>
      <c r="DB184" s="134"/>
      <c r="DC184" s="134"/>
      <c r="DD184" s="134"/>
      <c r="DE184" s="31">
        <f>$A$41</f>
        <v>20183</v>
      </c>
      <c r="DF184" s="21"/>
      <c r="DG184" s="21"/>
      <c r="DH184" s="21"/>
      <c r="DI184" s="21"/>
      <c r="DJ184" s="21"/>
      <c r="DK184" s="21"/>
      <c r="DL184" s="134"/>
      <c r="DM184" s="134"/>
      <c r="DN184" s="134"/>
      <c r="DO184" s="134"/>
      <c r="DP184" s="134"/>
    </row>
    <row r="185" spans="1:120" ht="15" customHeight="1" x14ac:dyDescent="0.25">
      <c r="A185" s="31">
        <f>$A$42</f>
        <v>20193</v>
      </c>
      <c r="B185" s="21">
        <v>152557546.33000001</v>
      </c>
      <c r="C185" s="21">
        <v>849366243.43000007</v>
      </c>
      <c r="D185" s="21">
        <v>1018292894.5800002</v>
      </c>
      <c r="E185" s="21">
        <v>1132503795.4700003</v>
      </c>
      <c r="F185" s="21">
        <v>1246722329.6200004</v>
      </c>
      <c r="G185" s="134" t="s">
        <v>246</v>
      </c>
      <c r="H185" s="134" t="s">
        <v>246</v>
      </c>
      <c r="I185" s="134" t="s">
        <v>246</v>
      </c>
      <c r="J185" s="134" t="s">
        <v>246</v>
      </c>
      <c r="K185" s="134" t="s">
        <v>246</v>
      </c>
      <c r="L185" s="134" t="s">
        <v>246</v>
      </c>
      <c r="M185" s="31">
        <f>$A$42</f>
        <v>20193</v>
      </c>
      <c r="N185" s="21">
        <v>11995577.18</v>
      </c>
      <c r="O185" s="21">
        <v>51998768.539999999</v>
      </c>
      <c r="P185" s="21">
        <v>66918979.07</v>
      </c>
      <c r="Q185" s="21">
        <v>70214613.12999998</v>
      </c>
      <c r="R185" s="21">
        <v>70965318.929999992</v>
      </c>
      <c r="S185" s="134" t="s">
        <v>246</v>
      </c>
      <c r="T185" s="134" t="s">
        <v>246</v>
      </c>
      <c r="U185" s="134" t="s">
        <v>246</v>
      </c>
      <c r="V185" s="134" t="s">
        <v>246</v>
      </c>
      <c r="W185" s="134" t="s">
        <v>246</v>
      </c>
      <c r="X185" s="134" t="s">
        <v>246</v>
      </c>
      <c r="Y185" s="31">
        <f>$A$42</f>
        <v>20193</v>
      </c>
      <c r="Z185" s="21">
        <v>10355363.99</v>
      </c>
      <c r="AA185" s="21">
        <v>107120443.15000002</v>
      </c>
      <c r="AB185" s="21">
        <v>158600640.45000002</v>
      </c>
      <c r="AC185" s="21">
        <v>191162301.32000005</v>
      </c>
      <c r="AD185" s="21">
        <v>210280719.59000006</v>
      </c>
      <c r="AE185" s="134" t="s">
        <v>246</v>
      </c>
      <c r="AF185" s="134" t="s">
        <v>246</v>
      </c>
      <c r="AG185" s="134" t="s">
        <v>246</v>
      </c>
      <c r="AH185" s="134" t="s">
        <v>246</v>
      </c>
      <c r="AI185" s="134" t="s">
        <v>246</v>
      </c>
      <c r="AJ185" s="134" t="s">
        <v>246</v>
      </c>
      <c r="AK185" s="31">
        <f>$A$42</f>
        <v>20193</v>
      </c>
      <c r="AL185" s="21">
        <v>49694716.789999999</v>
      </c>
      <c r="AM185" s="21">
        <v>233297573.66000003</v>
      </c>
      <c r="AN185" s="21">
        <v>234959802.52000004</v>
      </c>
      <c r="AO185" s="21">
        <v>234125770.04999998</v>
      </c>
      <c r="AP185" s="21">
        <v>234281856.24000001</v>
      </c>
      <c r="AQ185" s="134" t="s">
        <v>246</v>
      </c>
      <c r="AR185" s="134" t="s">
        <v>246</v>
      </c>
      <c r="AS185" s="134" t="s">
        <v>246</v>
      </c>
      <c r="AT185" s="134" t="s">
        <v>246</v>
      </c>
      <c r="AU185" s="134" t="s">
        <v>246</v>
      </c>
      <c r="AV185" s="134" t="s">
        <v>246</v>
      </c>
      <c r="AW185" s="31">
        <f>$A$42</f>
        <v>20193</v>
      </c>
      <c r="AX185" s="21">
        <v>266905171.09</v>
      </c>
      <c r="AY185" s="21">
        <v>919353624.05000007</v>
      </c>
      <c r="AZ185" s="21">
        <v>870794602.16000009</v>
      </c>
      <c r="BA185" s="21">
        <v>865651998.71000004</v>
      </c>
      <c r="BB185" s="21">
        <v>862980087.5</v>
      </c>
      <c r="BC185" s="134" t="s">
        <v>246</v>
      </c>
      <c r="BD185" s="134" t="s">
        <v>246</v>
      </c>
      <c r="BE185" s="134" t="s">
        <v>246</v>
      </c>
      <c r="BF185" s="134" t="s">
        <v>246</v>
      </c>
      <c r="BG185" s="134" t="s">
        <v>246</v>
      </c>
      <c r="BH185" s="134" t="s">
        <v>246</v>
      </c>
      <c r="BI185" s="31">
        <f>$A$42</f>
        <v>20193</v>
      </c>
      <c r="BJ185" s="21">
        <v>11484363.870000001</v>
      </c>
      <c r="BK185" s="21">
        <v>54498968.899999999</v>
      </c>
      <c r="BL185" s="21">
        <v>53572324.099999994</v>
      </c>
      <c r="BM185" s="21">
        <v>53578765</v>
      </c>
      <c r="BN185" s="21">
        <v>53593336.310000002</v>
      </c>
      <c r="BO185" s="134" t="s">
        <v>246</v>
      </c>
      <c r="BP185" s="134" t="s">
        <v>246</v>
      </c>
      <c r="BQ185" s="134" t="s">
        <v>246</v>
      </c>
      <c r="BR185" s="134" t="s">
        <v>246</v>
      </c>
      <c r="BS185" s="134" t="s">
        <v>246</v>
      </c>
      <c r="BT185" s="134" t="s">
        <v>246</v>
      </c>
      <c r="BU185" s="31">
        <f>$A$42</f>
        <v>20193</v>
      </c>
      <c r="BV185" s="21">
        <v>82400</v>
      </c>
      <c r="BW185" s="21">
        <v>449948.28</v>
      </c>
      <c r="BX185" s="21">
        <v>466210</v>
      </c>
      <c r="BY185" s="21">
        <v>474150</v>
      </c>
      <c r="BZ185" s="21">
        <v>474150</v>
      </c>
      <c r="CA185" s="134" t="s">
        <v>246</v>
      </c>
      <c r="CB185" s="134" t="s">
        <v>246</v>
      </c>
      <c r="CC185" s="134" t="s">
        <v>246</v>
      </c>
      <c r="CD185" s="134" t="s">
        <v>246</v>
      </c>
      <c r="CE185" s="134" t="s">
        <v>246</v>
      </c>
      <c r="CF185" s="134" t="s">
        <v>246</v>
      </c>
      <c r="CG185" s="31">
        <f>$A$42</f>
        <v>20193</v>
      </c>
      <c r="CH185" s="21"/>
      <c r="CI185" s="21"/>
      <c r="CJ185" s="21"/>
      <c r="CK185" s="21"/>
      <c r="CL185" s="21"/>
      <c r="CM185" s="134"/>
      <c r="CN185" s="134"/>
      <c r="CO185" s="134"/>
      <c r="CP185" s="134"/>
      <c r="CQ185" s="134"/>
      <c r="CR185" s="134"/>
      <c r="CS185" s="31">
        <f>$A$42</f>
        <v>20193</v>
      </c>
      <c r="CT185" s="21"/>
      <c r="CU185" s="21"/>
      <c r="CV185" s="21"/>
      <c r="CW185" s="21"/>
      <c r="CX185" s="21"/>
      <c r="CY185" s="134"/>
      <c r="CZ185" s="134"/>
      <c r="DA185" s="134"/>
      <c r="DB185" s="134"/>
      <c r="DC185" s="134"/>
      <c r="DD185" s="134"/>
      <c r="DE185" s="31">
        <f>$A$42</f>
        <v>20193</v>
      </c>
      <c r="DF185" s="21"/>
      <c r="DG185" s="21"/>
      <c r="DH185" s="21"/>
      <c r="DI185" s="21"/>
      <c r="DJ185" s="21"/>
      <c r="DK185" s="134"/>
      <c r="DL185" s="134"/>
      <c r="DM185" s="134"/>
      <c r="DN185" s="134"/>
      <c r="DO185" s="134"/>
      <c r="DP185" s="134"/>
    </row>
    <row r="186" spans="1:120" ht="15" customHeight="1" x14ac:dyDescent="0.25">
      <c r="A186" s="31">
        <f>$A$43</f>
        <v>20203</v>
      </c>
      <c r="B186" s="21">
        <v>156025115.48000002</v>
      </c>
      <c r="C186" s="21">
        <v>650163699.51999998</v>
      </c>
      <c r="D186" s="21">
        <v>786872474.11000013</v>
      </c>
      <c r="E186" s="21">
        <v>907786966.81000018</v>
      </c>
      <c r="F186" s="134" t="s">
        <v>246</v>
      </c>
      <c r="G186" s="134" t="s">
        <v>246</v>
      </c>
      <c r="H186" s="134" t="s">
        <v>246</v>
      </c>
      <c r="I186" s="134" t="s">
        <v>246</v>
      </c>
      <c r="J186" s="134" t="s">
        <v>246</v>
      </c>
      <c r="K186" s="134" t="s">
        <v>246</v>
      </c>
      <c r="L186" s="134" t="s">
        <v>246</v>
      </c>
      <c r="M186" s="31">
        <f>$A$43</f>
        <v>20203</v>
      </c>
      <c r="N186" s="21">
        <v>13118883.85</v>
      </c>
      <c r="O186" s="21">
        <v>38395973.569999993</v>
      </c>
      <c r="P186" s="21">
        <v>49349209.680000007</v>
      </c>
      <c r="Q186" s="21">
        <v>51883119.970000006</v>
      </c>
      <c r="R186" s="134" t="s">
        <v>246</v>
      </c>
      <c r="S186" s="134" t="s">
        <v>246</v>
      </c>
      <c r="T186" s="134" t="s">
        <v>246</v>
      </c>
      <c r="U186" s="134" t="s">
        <v>246</v>
      </c>
      <c r="V186" s="134" t="s">
        <v>246</v>
      </c>
      <c r="W186" s="134" t="s">
        <v>246</v>
      </c>
      <c r="X186" s="134" t="s">
        <v>246</v>
      </c>
      <c r="Y186" s="31">
        <f>$A$43</f>
        <v>20203</v>
      </c>
      <c r="Z186" s="21">
        <v>11670358.939999999</v>
      </c>
      <c r="AA186" s="21">
        <v>93831054.170000002</v>
      </c>
      <c r="AB186" s="21">
        <v>147536501.97000003</v>
      </c>
      <c r="AC186" s="21">
        <v>179080081.50999999</v>
      </c>
      <c r="AD186" s="134" t="s">
        <v>246</v>
      </c>
      <c r="AE186" s="134" t="s">
        <v>246</v>
      </c>
      <c r="AF186" s="134" t="s">
        <v>246</v>
      </c>
      <c r="AG186" s="134" t="s">
        <v>246</v>
      </c>
      <c r="AH186" s="134" t="s">
        <v>246</v>
      </c>
      <c r="AI186" s="134" t="s">
        <v>246</v>
      </c>
      <c r="AJ186" s="134" t="s">
        <v>246</v>
      </c>
      <c r="AK186" s="31">
        <f>$A$43</f>
        <v>20203</v>
      </c>
      <c r="AL186" s="21">
        <v>51754723.5</v>
      </c>
      <c r="AM186" s="21">
        <v>231899323.17999995</v>
      </c>
      <c r="AN186" s="21">
        <v>234015336.01999992</v>
      </c>
      <c r="AO186" s="21">
        <v>235536130.16999987</v>
      </c>
      <c r="AP186" s="134" t="s">
        <v>246</v>
      </c>
      <c r="AQ186" s="134" t="s">
        <v>246</v>
      </c>
      <c r="AR186" s="134" t="s">
        <v>246</v>
      </c>
      <c r="AS186" s="134" t="s">
        <v>246</v>
      </c>
      <c r="AT186" s="134" t="s">
        <v>246</v>
      </c>
      <c r="AU186" s="134" t="s">
        <v>246</v>
      </c>
      <c r="AV186" s="134" t="s">
        <v>246</v>
      </c>
      <c r="AW186" s="31">
        <f>$A$43</f>
        <v>20203</v>
      </c>
      <c r="AX186" s="21">
        <v>274599741.28999996</v>
      </c>
      <c r="AY186" s="21">
        <v>735504734.82999992</v>
      </c>
      <c r="AZ186" s="21">
        <v>716591089.67999995</v>
      </c>
      <c r="BA186" s="21">
        <v>713548089.34000003</v>
      </c>
      <c r="BB186" s="134" t="s">
        <v>246</v>
      </c>
      <c r="BC186" s="134" t="s">
        <v>246</v>
      </c>
      <c r="BD186" s="134" t="s">
        <v>246</v>
      </c>
      <c r="BE186" s="134" t="s">
        <v>246</v>
      </c>
      <c r="BF186" s="134" t="s">
        <v>246</v>
      </c>
      <c r="BG186" s="134" t="s">
        <v>246</v>
      </c>
      <c r="BH186" s="134" t="s">
        <v>246</v>
      </c>
      <c r="BI186" s="31">
        <f>$A$43</f>
        <v>20203</v>
      </c>
      <c r="BJ186" s="21">
        <v>12648825.149999999</v>
      </c>
      <c r="BK186" s="21">
        <v>45455844.049999997</v>
      </c>
      <c r="BL186" s="21">
        <v>45402111.5</v>
      </c>
      <c r="BM186" s="21">
        <v>45449203.329999991</v>
      </c>
      <c r="BN186" s="134" t="s">
        <v>246</v>
      </c>
      <c r="BO186" s="134" t="s">
        <v>246</v>
      </c>
      <c r="BP186" s="134" t="s">
        <v>246</v>
      </c>
      <c r="BQ186" s="134" t="s">
        <v>246</v>
      </c>
      <c r="BR186" s="134" t="s">
        <v>246</v>
      </c>
      <c r="BS186" s="134" t="s">
        <v>246</v>
      </c>
      <c r="BT186" s="134" t="s">
        <v>246</v>
      </c>
      <c r="BU186" s="31">
        <f>$A$43</f>
        <v>20203</v>
      </c>
      <c r="BV186" s="21">
        <v>10000</v>
      </c>
      <c r="BW186" s="21">
        <v>191770</v>
      </c>
      <c r="BX186" s="21">
        <v>167374.9</v>
      </c>
      <c r="BY186" s="21">
        <v>167374.9</v>
      </c>
      <c r="BZ186" s="134" t="s">
        <v>246</v>
      </c>
      <c r="CA186" s="134" t="s">
        <v>246</v>
      </c>
      <c r="CB186" s="134" t="s">
        <v>246</v>
      </c>
      <c r="CC186" s="134" t="s">
        <v>246</v>
      </c>
      <c r="CD186" s="134" t="s">
        <v>246</v>
      </c>
      <c r="CE186" s="134" t="s">
        <v>246</v>
      </c>
      <c r="CF186" s="134" t="s">
        <v>246</v>
      </c>
      <c r="CG186" s="31">
        <f>$A$43</f>
        <v>20203</v>
      </c>
      <c r="CH186" s="21"/>
      <c r="CI186" s="21"/>
      <c r="CJ186" s="21"/>
      <c r="CK186" s="21"/>
      <c r="CL186" s="134"/>
      <c r="CM186" s="134"/>
      <c r="CN186" s="134"/>
      <c r="CO186" s="134"/>
      <c r="CP186" s="134"/>
      <c r="CQ186" s="134"/>
      <c r="CR186" s="134"/>
      <c r="CS186" s="31">
        <f>$A$43</f>
        <v>20203</v>
      </c>
      <c r="CT186" s="21"/>
      <c r="CU186" s="21"/>
      <c r="CV186" s="21"/>
      <c r="CW186" s="21"/>
      <c r="CX186" s="134"/>
      <c r="CY186" s="134"/>
      <c r="CZ186" s="134"/>
      <c r="DA186" s="134"/>
      <c r="DB186" s="134"/>
      <c r="DC186" s="134"/>
      <c r="DD186" s="134"/>
      <c r="DE186" s="31">
        <f>$A$43</f>
        <v>20203</v>
      </c>
      <c r="DF186" s="21"/>
      <c r="DG186" s="21"/>
      <c r="DH186" s="21"/>
      <c r="DI186" s="21"/>
      <c r="DJ186" s="134"/>
      <c r="DK186" s="134"/>
      <c r="DL186" s="134"/>
      <c r="DM186" s="134"/>
      <c r="DN186" s="134"/>
      <c r="DO186" s="134"/>
      <c r="DP186" s="134"/>
    </row>
    <row r="187" spans="1:120" ht="15" customHeight="1" x14ac:dyDescent="0.25">
      <c r="A187" s="31">
        <f>$A$44</f>
        <v>20213</v>
      </c>
      <c r="B187" s="21">
        <v>97857657.50999999</v>
      </c>
      <c r="C187" s="21">
        <v>661084511.77999997</v>
      </c>
      <c r="D187" s="21">
        <v>838455760.18000007</v>
      </c>
      <c r="E187" s="134" t="s">
        <v>246</v>
      </c>
      <c r="F187" s="134" t="s">
        <v>246</v>
      </c>
      <c r="G187" s="134" t="s">
        <v>246</v>
      </c>
      <c r="H187" s="134" t="s">
        <v>246</v>
      </c>
      <c r="I187" s="134" t="s">
        <v>246</v>
      </c>
      <c r="J187" s="134" t="s">
        <v>246</v>
      </c>
      <c r="K187" s="134" t="s">
        <v>246</v>
      </c>
      <c r="L187" s="134" t="s">
        <v>246</v>
      </c>
      <c r="M187" s="31">
        <f>$A$44</f>
        <v>20213</v>
      </c>
      <c r="N187" s="21">
        <v>7847229.0299999993</v>
      </c>
      <c r="O187" s="21">
        <v>34700881.709999993</v>
      </c>
      <c r="P187" s="21">
        <v>49403219.390000001</v>
      </c>
      <c r="Q187" s="134" t="s">
        <v>246</v>
      </c>
      <c r="R187" s="134" t="s">
        <v>246</v>
      </c>
      <c r="S187" s="134" t="s">
        <v>246</v>
      </c>
      <c r="T187" s="134" t="s">
        <v>246</v>
      </c>
      <c r="U187" s="134" t="s">
        <v>246</v>
      </c>
      <c r="V187" s="134" t="s">
        <v>246</v>
      </c>
      <c r="W187" s="134" t="s">
        <v>246</v>
      </c>
      <c r="X187" s="134" t="s">
        <v>246</v>
      </c>
      <c r="Y187" s="31">
        <f>$A$44</f>
        <v>20213</v>
      </c>
      <c r="Z187" s="21">
        <v>9325125.0099999998</v>
      </c>
      <c r="AA187" s="21">
        <v>108215487.73</v>
      </c>
      <c r="AB187" s="21">
        <v>186124442.66000006</v>
      </c>
      <c r="AC187" s="134" t="s">
        <v>246</v>
      </c>
      <c r="AD187" s="134" t="s">
        <v>246</v>
      </c>
      <c r="AE187" s="134" t="s">
        <v>246</v>
      </c>
      <c r="AF187" s="134" t="s">
        <v>246</v>
      </c>
      <c r="AG187" s="134" t="s">
        <v>246</v>
      </c>
      <c r="AH187" s="134" t="s">
        <v>246</v>
      </c>
      <c r="AI187" s="134" t="s">
        <v>246</v>
      </c>
      <c r="AJ187" s="134" t="s">
        <v>246</v>
      </c>
      <c r="AK187" s="31">
        <f>$A$44</f>
        <v>20213</v>
      </c>
      <c r="AL187" s="21">
        <v>54727604.409999996</v>
      </c>
      <c r="AM187" s="21">
        <v>280713480.06999993</v>
      </c>
      <c r="AN187" s="21">
        <v>285458138.78999996</v>
      </c>
      <c r="AO187" s="134" t="s">
        <v>246</v>
      </c>
      <c r="AP187" s="134" t="s">
        <v>246</v>
      </c>
      <c r="AQ187" s="134" t="s">
        <v>246</v>
      </c>
      <c r="AR187" s="134" t="s">
        <v>246</v>
      </c>
      <c r="AS187" s="134" t="s">
        <v>246</v>
      </c>
      <c r="AT187" s="134" t="s">
        <v>246</v>
      </c>
      <c r="AU187" s="134" t="s">
        <v>246</v>
      </c>
      <c r="AV187" s="134" t="s">
        <v>246</v>
      </c>
      <c r="AW187" s="31">
        <f>$A$44</f>
        <v>20213</v>
      </c>
      <c r="AX187" s="21">
        <v>199442186.32999998</v>
      </c>
      <c r="AY187" s="21">
        <v>873301781.6099999</v>
      </c>
      <c r="AZ187" s="21">
        <v>832153958.53999984</v>
      </c>
      <c r="BA187" s="134" t="s">
        <v>246</v>
      </c>
      <c r="BB187" s="134" t="s">
        <v>246</v>
      </c>
      <c r="BC187" s="134" t="s">
        <v>246</v>
      </c>
      <c r="BD187" s="134" t="s">
        <v>246</v>
      </c>
      <c r="BE187" s="134" t="s">
        <v>246</v>
      </c>
      <c r="BF187" s="134" t="s">
        <v>246</v>
      </c>
      <c r="BG187" s="134" t="s">
        <v>246</v>
      </c>
      <c r="BH187" s="134" t="s">
        <v>246</v>
      </c>
      <c r="BI187" s="31">
        <f>$A$44</f>
        <v>20213</v>
      </c>
      <c r="BJ187" s="21">
        <v>10160075.879999999</v>
      </c>
      <c r="BK187" s="21">
        <v>52667627.669999994</v>
      </c>
      <c r="BL187" s="21">
        <v>52145587.770000003</v>
      </c>
      <c r="BM187" s="134" t="s">
        <v>246</v>
      </c>
      <c r="BN187" s="134" t="s">
        <v>246</v>
      </c>
      <c r="BO187" s="134" t="s">
        <v>246</v>
      </c>
      <c r="BP187" s="134" t="s">
        <v>246</v>
      </c>
      <c r="BQ187" s="134" t="s">
        <v>246</v>
      </c>
      <c r="BR187" s="134" t="s">
        <v>246</v>
      </c>
      <c r="BS187" s="134" t="s">
        <v>246</v>
      </c>
      <c r="BT187" s="134" t="s">
        <v>246</v>
      </c>
      <c r="BU187" s="31">
        <f>$A$44</f>
        <v>20213</v>
      </c>
      <c r="BV187" s="21">
        <v>7060</v>
      </c>
      <c r="BW187" s="21">
        <v>195340</v>
      </c>
      <c r="BX187" s="21">
        <v>212085</v>
      </c>
      <c r="BY187" s="134" t="s">
        <v>246</v>
      </c>
      <c r="BZ187" s="134" t="s">
        <v>246</v>
      </c>
      <c r="CA187" s="134" t="s">
        <v>246</v>
      </c>
      <c r="CB187" s="134" t="s">
        <v>246</v>
      </c>
      <c r="CC187" s="134" t="s">
        <v>246</v>
      </c>
      <c r="CD187" s="134" t="s">
        <v>246</v>
      </c>
      <c r="CE187" s="134" t="s">
        <v>246</v>
      </c>
      <c r="CF187" s="134" t="s">
        <v>246</v>
      </c>
      <c r="CG187" s="31">
        <f>$A$44</f>
        <v>20213</v>
      </c>
      <c r="CH187" s="21"/>
      <c r="CI187" s="21"/>
      <c r="CJ187" s="21"/>
      <c r="CK187" s="134"/>
      <c r="CL187" s="134"/>
      <c r="CM187" s="134"/>
      <c r="CN187" s="134"/>
      <c r="CO187" s="134"/>
      <c r="CP187" s="134"/>
      <c r="CQ187" s="134"/>
      <c r="CR187" s="134"/>
      <c r="CS187" s="31">
        <f>$A$44</f>
        <v>20213</v>
      </c>
      <c r="CT187" s="21"/>
      <c r="CU187" s="21"/>
      <c r="CV187" s="21"/>
      <c r="CW187" s="134"/>
      <c r="CX187" s="134"/>
      <c r="CY187" s="134"/>
      <c r="CZ187" s="134"/>
      <c r="DA187" s="134"/>
      <c r="DB187" s="134"/>
      <c r="DC187" s="134"/>
      <c r="DD187" s="134"/>
      <c r="DE187" s="31">
        <f>$A$44</f>
        <v>20213</v>
      </c>
      <c r="DF187" s="21"/>
      <c r="DG187" s="21"/>
      <c r="DH187" s="21"/>
      <c r="DI187" s="134"/>
      <c r="DJ187" s="134"/>
      <c r="DK187" s="134"/>
      <c r="DL187" s="134"/>
      <c r="DM187" s="134"/>
      <c r="DN187" s="134"/>
      <c r="DO187" s="134"/>
      <c r="DP187" s="134"/>
    </row>
    <row r="188" spans="1:120" ht="15" customHeight="1" x14ac:dyDescent="0.25">
      <c r="A188" s="31">
        <f>$A$45</f>
        <v>20223</v>
      </c>
      <c r="B188" s="21">
        <v>130917319.53</v>
      </c>
      <c r="C188" s="21">
        <v>898287535.25999999</v>
      </c>
      <c r="D188" s="134" t="s">
        <v>246</v>
      </c>
      <c r="E188" s="134" t="s">
        <v>246</v>
      </c>
      <c r="F188" s="134" t="s">
        <v>246</v>
      </c>
      <c r="G188" s="134" t="s">
        <v>246</v>
      </c>
      <c r="H188" s="134" t="s">
        <v>246</v>
      </c>
      <c r="I188" s="134" t="s">
        <v>246</v>
      </c>
      <c r="J188" s="134" t="s">
        <v>246</v>
      </c>
      <c r="K188" s="134" t="s">
        <v>246</v>
      </c>
      <c r="L188" s="134"/>
      <c r="M188" s="31">
        <f>$A$45</f>
        <v>20223</v>
      </c>
      <c r="N188" s="21">
        <v>9289312.8699999992</v>
      </c>
      <c r="O188" s="21">
        <v>42367227.969999999</v>
      </c>
      <c r="P188" s="134" t="s">
        <v>246</v>
      </c>
      <c r="Q188" s="134" t="s">
        <v>246</v>
      </c>
      <c r="R188" s="134" t="s">
        <v>246</v>
      </c>
      <c r="S188" s="134" t="s">
        <v>246</v>
      </c>
      <c r="T188" s="134" t="s">
        <v>246</v>
      </c>
      <c r="U188" s="134" t="s">
        <v>246</v>
      </c>
      <c r="V188" s="134" t="s">
        <v>246</v>
      </c>
      <c r="W188" s="134" t="s">
        <v>246</v>
      </c>
      <c r="X188" s="134" t="s">
        <v>246</v>
      </c>
      <c r="Y188" s="31">
        <f>$A$45</f>
        <v>20223</v>
      </c>
      <c r="Z188" s="21">
        <v>10731461.450000001</v>
      </c>
      <c r="AA188" s="21">
        <v>133452051.86</v>
      </c>
      <c r="AB188" s="134" t="s">
        <v>246</v>
      </c>
      <c r="AC188" s="134" t="s">
        <v>246</v>
      </c>
      <c r="AD188" s="134" t="s">
        <v>246</v>
      </c>
      <c r="AE188" s="134" t="s">
        <v>246</v>
      </c>
      <c r="AF188" s="134" t="s">
        <v>246</v>
      </c>
      <c r="AG188" s="134" t="s">
        <v>246</v>
      </c>
      <c r="AH188" s="134" t="s">
        <v>246</v>
      </c>
      <c r="AI188" s="134" t="s">
        <v>246</v>
      </c>
      <c r="AJ188" s="134" t="s">
        <v>246</v>
      </c>
      <c r="AK188" s="31">
        <f>$A$45</f>
        <v>20223</v>
      </c>
      <c r="AL188" s="21">
        <v>66994084.700000003</v>
      </c>
      <c r="AM188" s="21">
        <v>373467461.60999995</v>
      </c>
      <c r="AN188" s="134" t="s">
        <v>246</v>
      </c>
      <c r="AO188" s="134" t="s">
        <v>246</v>
      </c>
      <c r="AP188" s="134" t="s">
        <v>246</v>
      </c>
      <c r="AQ188" s="134" t="s">
        <v>246</v>
      </c>
      <c r="AR188" s="134" t="s">
        <v>246</v>
      </c>
      <c r="AS188" s="134" t="s">
        <v>246</v>
      </c>
      <c r="AT188" s="134" t="s">
        <v>246</v>
      </c>
      <c r="AU188" s="134" t="s">
        <v>246</v>
      </c>
      <c r="AV188" s="134" t="s">
        <v>246</v>
      </c>
      <c r="AW188" s="31">
        <f>$A$45</f>
        <v>20223</v>
      </c>
      <c r="AX188" s="21">
        <v>297001627.25999999</v>
      </c>
      <c r="AY188" s="21">
        <v>1226764601.2100003</v>
      </c>
      <c r="AZ188" s="134" t="s">
        <v>246</v>
      </c>
      <c r="BA188" s="134" t="s">
        <v>246</v>
      </c>
      <c r="BB188" s="134" t="s">
        <v>246</v>
      </c>
      <c r="BC188" s="134" t="s">
        <v>246</v>
      </c>
      <c r="BD188" s="134" t="s">
        <v>246</v>
      </c>
      <c r="BE188" s="134" t="s">
        <v>246</v>
      </c>
      <c r="BF188" s="134" t="s">
        <v>246</v>
      </c>
      <c r="BG188" s="134" t="s">
        <v>246</v>
      </c>
      <c r="BH188" s="134" t="s">
        <v>246</v>
      </c>
      <c r="BI188" s="31">
        <f>$A$45</f>
        <v>20223</v>
      </c>
      <c r="BJ188" s="21">
        <v>13882107.49</v>
      </c>
      <c r="BK188" s="21">
        <v>69379859.660000011</v>
      </c>
      <c r="BL188" s="134" t="s">
        <v>246</v>
      </c>
      <c r="BM188" s="134" t="s">
        <v>246</v>
      </c>
      <c r="BN188" s="134" t="s">
        <v>246</v>
      </c>
      <c r="BO188" s="134" t="s">
        <v>246</v>
      </c>
      <c r="BP188" s="134" t="s">
        <v>246</v>
      </c>
      <c r="BQ188" s="134" t="s">
        <v>246</v>
      </c>
      <c r="BR188" s="134" t="s">
        <v>246</v>
      </c>
      <c r="BS188" s="134" t="s">
        <v>246</v>
      </c>
      <c r="BT188" s="134" t="s">
        <v>246</v>
      </c>
      <c r="BU188" s="31">
        <f>$A$45</f>
        <v>20223</v>
      </c>
      <c r="BV188" s="21">
        <v>13660</v>
      </c>
      <c r="BW188" s="21">
        <v>337710</v>
      </c>
      <c r="BX188" s="134" t="s">
        <v>246</v>
      </c>
      <c r="BY188" s="134" t="s">
        <v>246</v>
      </c>
      <c r="BZ188" s="134" t="s">
        <v>246</v>
      </c>
      <c r="CA188" s="134" t="s">
        <v>246</v>
      </c>
      <c r="CB188" s="134" t="s">
        <v>246</v>
      </c>
      <c r="CC188" s="134" t="s">
        <v>246</v>
      </c>
      <c r="CD188" s="134" t="s">
        <v>246</v>
      </c>
      <c r="CE188" s="134" t="s">
        <v>246</v>
      </c>
      <c r="CF188" s="134" t="s">
        <v>246</v>
      </c>
      <c r="CG188" s="31">
        <f>$A$45</f>
        <v>20223</v>
      </c>
      <c r="CH188" s="21"/>
      <c r="CI188" s="21"/>
      <c r="CJ188" s="134"/>
      <c r="CK188" s="134"/>
      <c r="CL188" s="134"/>
      <c r="CM188" s="134"/>
      <c r="CN188" s="134"/>
      <c r="CO188" s="134"/>
      <c r="CP188" s="134"/>
      <c r="CQ188" s="134"/>
      <c r="CR188" s="134"/>
      <c r="CS188" s="31">
        <f>$A$45</f>
        <v>20223</v>
      </c>
      <c r="CT188" s="21"/>
      <c r="CU188" s="21"/>
      <c r="CV188" s="134"/>
      <c r="CW188" s="134"/>
      <c r="CX188" s="134"/>
      <c r="CY188" s="134"/>
      <c r="CZ188" s="134"/>
      <c r="DA188" s="134"/>
      <c r="DB188" s="134"/>
      <c r="DC188" s="134"/>
      <c r="DD188" s="134"/>
      <c r="DE188" s="31">
        <f>$A$45</f>
        <v>20223</v>
      </c>
      <c r="DF188" s="21"/>
      <c r="DG188" s="21"/>
      <c r="DH188" s="134"/>
      <c r="DI188" s="134"/>
      <c r="DJ188" s="134"/>
      <c r="DK188" s="134"/>
      <c r="DL188" s="134"/>
      <c r="DM188" s="134"/>
      <c r="DN188" s="134"/>
      <c r="DO188" s="134"/>
      <c r="DP188" s="134"/>
    </row>
    <row r="189" spans="1:120" ht="15" customHeight="1" x14ac:dyDescent="0.25">
      <c r="F189" s="310" t="str">
        <f>IF(AND(ISNUMBER(K192),K192&gt;=1.01),"Reminder: If more than ten years of development is deemed to be required, insurers can provide this data in a supplemental exhibit.","")</f>
        <v/>
      </c>
      <c r="R189" s="310" t="str">
        <f>IF(AND(ISNUMBER(W192),W192&gt;=1.01),"Reminder: If more than ten years of development is deemed to be required, insurers can provide this data in a supplemental exhibit.","")</f>
        <v/>
      </c>
      <c r="AD189" s="310" t="str">
        <f>IF(AND(ISNUMBER(AI192),AI192&gt;=1.01),"Reminder: If more than ten years of development is deemed to be required, insurers can provide this data in a supplemental exhibit.","")</f>
        <v/>
      </c>
      <c r="AP189" s="309" t="str">
        <f>IF(AND(ISNUMBER(AU192),AU192&gt;=1.01),"Reminder: If more than ten years of development is deemed to be required, insurers can provide this data in a supplemental exhibit.","")</f>
        <v/>
      </c>
      <c r="BB189" s="310" t="str">
        <f>IF(AND(ISNUMBER(BG192),BG192&gt;=1.01),"Reminder: If more than ten years of development is deemed to be required, insurers can provide this data in a supplemental exhibit.","")</f>
        <v/>
      </c>
      <c r="BN189" s="310" t="str">
        <f>IF(AND(ISNUMBER(BS192),BS192&gt;=1.01),"Reminder: If more than ten years of development is deemed to be required, insurers can provide this data in a supplemental exhibit.","")</f>
        <v/>
      </c>
      <c r="BZ189" s="310" t="str">
        <f>IF(AND(ISNUMBER(CE192),CE192&gt;=1.01),"Reminder: If more than ten years of development is deemed to be required, insurers can provide this data in a supplemental exhibit.","")</f>
        <v/>
      </c>
      <c r="CL189" s="310" t="str">
        <f>IF(AND(ISNUMBER(CQ192),CQ192&gt;=1.01),"Reminder: If more than ten years of development is deemed to be required, insurers can provide this data in a supplemental exhibit.","")</f>
        <v/>
      </c>
      <c r="CX189" s="310" t="str">
        <f>IF(AND(ISNUMBER(DC192),DC192&gt;=1.01),"Reminder: If more than ten years of development is deemed to be required, insurers can provide this data in a supplemental exhibit.","")</f>
        <v/>
      </c>
      <c r="DJ189" s="310" t="str">
        <f>IF(AND(ISNUMBER(DO192),DO192&gt;=1.01),"Reminder: If more than ten years of development is deemed to be required, insurers can provide this data in a supplemental exhibit.","")</f>
        <v/>
      </c>
    </row>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ht="30" x14ac:dyDescent="0.25">
      <c r="A191" s="92" t="str">
        <f>$A$35</f>
        <v>Fiscal Accident Year Data Ending</v>
      </c>
      <c r="B191" s="92"/>
      <c r="C191" s="100" t="str">
        <f>$C$35&amp;"-"&amp;$D$35</f>
        <v>15-27</v>
      </c>
      <c r="D191" s="100" t="str">
        <f>$D$35&amp;"-"&amp;$E$35</f>
        <v>27-39</v>
      </c>
      <c r="E191" s="100" t="str">
        <f>$E$35&amp;"-"&amp;$F$35</f>
        <v>39-51</v>
      </c>
      <c r="F191" s="100" t="str">
        <f>$F$35&amp;"-"&amp;$G$35</f>
        <v>51-63</v>
      </c>
      <c r="G191" s="100" t="str">
        <f>$G$35&amp;"-"&amp;$H$35</f>
        <v>63-75</v>
      </c>
      <c r="H191" s="100" t="str">
        <f>$H$35&amp;"-"&amp;$I$35</f>
        <v>75-87</v>
      </c>
      <c r="I191" s="100" t="str">
        <f>$I$35&amp;"-"&amp;$J$35</f>
        <v>87-99</v>
      </c>
      <c r="J191" s="100" t="str">
        <f>$J$35&amp;"-"&amp;$K$35</f>
        <v>99-111</v>
      </c>
      <c r="K191" s="100" t="str">
        <f>$K$35&amp;"-"&amp;$L$35</f>
        <v>111-123</v>
      </c>
      <c r="L191" s="100" t="str">
        <f>$L$35&amp;"-Ult"</f>
        <v>123-Ult</v>
      </c>
      <c r="M191" s="92" t="str">
        <f>$A$35</f>
        <v>Fiscal Accident Year Data Ending</v>
      </c>
      <c r="N191" s="92"/>
      <c r="O191" s="100" t="str">
        <f>$C$35&amp;"-"&amp;$D$35</f>
        <v>15-27</v>
      </c>
      <c r="P191" s="100" t="str">
        <f>$D$35&amp;"-"&amp;$E$35</f>
        <v>27-39</v>
      </c>
      <c r="Q191" s="100" t="str">
        <f>$E$35&amp;"-"&amp;$F$35</f>
        <v>39-51</v>
      </c>
      <c r="R191" s="100" t="str">
        <f>$F$35&amp;"-"&amp;$G$35</f>
        <v>51-63</v>
      </c>
      <c r="S191" s="100" t="str">
        <f>$G$35&amp;"-"&amp;$H$35</f>
        <v>63-75</v>
      </c>
      <c r="T191" s="100" t="str">
        <f>$H$35&amp;"-"&amp;$I$35</f>
        <v>75-87</v>
      </c>
      <c r="U191" s="100" t="str">
        <f>$I$35&amp;"-"&amp;$J$35</f>
        <v>87-99</v>
      </c>
      <c r="V191" s="100" t="str">
        <f>$J$35&amp;"-"&amp;$K$35</f>
        <v>99-111</v>
      </c>
      <c r="W191" s="100" t="str">
        <f>$K$35&amp;"-"&amp;$L$35</f>
        <v>111-123</v>
      </c>
      <c r="X191" s="100" t="str">
        <f>$L$35&amp;"-Ult"</f>
        <v>123-Ult</v>
      </c>
      <c r="Y191" s="92" t="str">
        <f>$A$35</f>
        <v>Fiscal Accident Year Data Ending</v>
      </c>
      <c r="Z191" s="92"/>
      <c r="AA191" s="100" t="str">
        <f>$C$35&amp;"-"&amp;$D$35</f>
        <v>15-27</v>
      </c>
      <c r="AB191" s="100" t="str">
        <f>$D$35&amp;"-"&amp;$E$35</f>
        <v>27-39</v>
      </c>
      <c r="AC191" s="100" t="str">
        <f>$E$35&amp;"-"&amp;$F$35</f>
        <v>39-51</v>
      </c>
      <c r="AD191" s="100" t="str">
        <f>$F$35&amp;"-"&amp;$G$35</f>
        <v>51-63</v>
      </c>
      <c r="AE191" s="100" t="str">
        <f>$G$35&amp;"-"&amp;$H$35</f>
        <v>63-75</v>
      </c>
      <c r="AF191" s="100" t="str">
        <f>$H$35&amp;"-"&amp;$I$35</f>
        <v>75-87</v>
      </c>
      <c r="AG191" s="100" t="str">
        <f>$I$35&amp;"-"&amp;$J$35</f>
        <v>87-99</v>
      </c>
      <c r="AH191" s="100" t="str">
        <f>$J$35&amp;"-"&amp;$K$35</f>
        <v>99-111</v>
      </c>
      <c r="AI191" s="100" t="str">
        <f>$K$35&amp;"-"&amp;$L$35</f>
        <v>111-123</v>
      </c>
      <c r="AJ191" s="100" t="str">
        <f>$L$35&amp;"-Ult"</f>
        <v>123-Ult</v>
      </c>
      <c r="AK191" s="92" t="str">
        <f>$A$35</f>
        <v>Fiscal Accident Year Data Ending</v>
      </c>
      <c r="AL191" s="92"/>
      <c r="AM191" s="100" t="str">
        <f>$C$35&amp;"-"&amp;$D$35</f>
        <v>15-27</v>
      </c>
      <c r="AN191" s="100" t="str">
        <f>$D$35&amp;"-"&amp;$E$35</f>
        <v>27-39</v>
      </c>
      <c r="AO191" s="100" t="str">
        <f>$E$35&amp;"-"&amp;$F$35</f>
        <v>39-51</v>
      </c>
      <c r="AP191" s="100" t="str">
        <f>$F$35&amp;"-"&amp;$G$35</f>
        <v>51-63</v>
      </c>
      <c r="AQ191" s="100" t="str">
        <f>$G$35&amp;"-"&amp;$H$35</f>
        <v>63-75</v>
      </c>
      <c r="AR191" s="100" t="str">
        <f>$H$35&amp;"-"&amp;$I$35</f>
        <v>75-87</v>
      </c>
      <c r="AS191" s="100" t="str">
        <f>$I$35&amp;"-"&amp;$J$35</f>
        <v>87-99</v>
      </c>
      <c r="AT191" s="100" t="str">
        <f>$J$35&amp;"-"&amp;$K$35</f>
        <v>99-111</v>
      </c>
      <c r="AU191" s="100" t="str">
        <f>$K$35&amp;"-"&amp;$L$35</f>
        <v>111-123</v>
      </c>
      <c r="AV191" s="100" t="str">
        <f>$L$35&amp;"-Ult"</f>
        <v>123-Ult</v>
      </c>
      <c r="AW191" s="92" t="str">
        <f>$A$35</f>
        <v>Fiscal Accident Year Data Ending</v>
      </c>
      <c r="AX191" s="92"/>
      <c r="AY191" s="100" t="str">
        <f>$C$35&amp;"-"&amp;$D$35</f>
        <v>15-27</v>
      </c>
      <c r="AZ191" s="100" t="str">
        <f>$D$35&amp;"-"&amp;$E$35</f>
        <v>27-39</v>
      </c>
      <c r="BA191" s="100" t="str">
        <f>$E$35&amp;"-"&amp;$F$35</f>
        <v>39-51</v>
      </c>
      <c r="BB191" s="100" t="str">
        <f>$F$35&amp;"-"&amp;$G$35</f>
        <v>51-63</v>
      </c>
      <c r="BC191" s="100" t="str">
        <f>$G$35&amp;"-"&amp;$H$35</f>
        <v>63-75</v>
      </c>
      <c r="BD191" s="100" t="str">
        <f>$H$35&amp;"-"&amp;$I$35</f>
        <v>75-87</v>
      </c>
      <c r="BE191" s="100" t="str">
        <f>$I$35&amp;"-"&amp;$J$35</f>
        <v>87-99</v>
      </c>
      <c r="BF191" s="100" t="str">
        <f>$J$35&amp;"-"&amp;$K$35</f>
        <v>99-111</v>
      </c>
      <c r="BG191" s="100" t="str">
        <f>$K$35&amp;"-"&amp;$L$35</f>
        <v>111-123</v>
      </c>
      <c r="BH191" s="100" t="str">
        <f>$L$35&amp;"-Ult"</f>
        <v>123-Ult</v>
      </c>
      <c r="BI191" s="92" t="str">
        <f>$A$35</f>
        <v>Fiscal Accident Year Data Ending</v>
      </c>
      <c r="BJ191" s="92"/>
      <c r="BK191" s="100" t="str">
        <f>$C$35&amp;"-"&amp;$D$35</f>
        <v>15-27</v>
      </c>
      <c r="BL191" s="100" t="str">
        <f>$D$35&amp;"-"&amp;$E$35</f>
        <v>27-39</v>
      </c>
      <c r="BM191" s="100" t="str">
        <f>$E$35&amp;"-"&amp;$F$35</f>
        <v>39-51</v>
      </c>
      <c r="BN191" s="100" t="str">
        <f>$F$35&amp;"-"&amp;$G$35</f>
        <v>51-63</v>
      </c>
      <c r="BO191" s="100" t="str">
        <f>$G$35&amp;"-"&amp;$H$35</f>
        <v>63-75</v>
      </c>
      <c r="BP191" s="100" t="str">
        <f>$H$35&amp;"-"&amp;$I$35</f>
        <v>75-87</v>
      </c>
      <c r="BQ191" s="100" t="str">
        <f>$I$35&amp;"-"&amp;$J$35</f>
        <v>87-99</v>
      </c>
      <c r="BR191" s="100" t="str">
        <f>$J$35&amp;"-"&amp;$K$35</f>
        <v>99-111</v>
      </c>
      <c r="BS191" s="100" t="str">
        <f>$K$35&amp;"-"&amp;$L$35</f>
        <v>111-123</v>
      </c>
      <c r="BT191" s="100" t="str">
        <f>$L$35&amp;"-Ult"</f>
        <v>123-Ult</v>
      </c>
      <c r="BU191" s="92" t="str">
        <f>$A$35</f>
        <v>Fiscal Accident Year Data Ending</v>
      </c>
      <c r="BV191" s="92"/>
      <c r="BW191" s="100" t="str">
        <f>$C$35&amp;"-"&amp;$D$35</f>
        <v>15-27</v>
      </c>
      <c r="BX191" s="100" t="str">
        <f>$D$35&amp;"-"&amp;$E$35</f>
        <v>27-39</v>
      </c>
      <c r="BY191" s="100" t="str">
        <f>$E$35&amp;"-"&amp;$F$35</f>
        <v>39-51</v>
      </c>
      <c r="BZ191" s="100" t="str">
        <f>$F$35&amp;"-"&amp;$G$35</f>
        <v>51-63</v>
      </c>
      <c r="CA191" s="100" t="str">
        <f>$G$35&amp;"-"&amp;$H$35</f>
        <v>63-75</v>
      </c>
      <c r="CB191" s="100" t="str">
        <f>$H$35&amp;"-"&amp;$I$35</f>
        <v>75-87</v>
      </c>
      <c r="CC191" s="100" t="str">
        <f>$I$35&amp;"-"&amp;$J$35</f>
        <v>87-99</v>
      </c>
      <c r="CD191" s="100" t="str">
        <f>$J$35&amp;"-"&amp;$K$35</f>
        <v>99-111</v>
      </c>
      <c r="CE191" s="100" t="str">
        <f>$K$35&amp;"-"&amp;$L$35</f>
        <v>111-123</v>
      </c>
      <c r="CF191" s="100" t="str">
        <f>$L$35&amp;"-Ult"</f>
        <v>123-Ult</v>
      </c>
      <c r="CG191" s="92" t="str">
        <f>$A$35</f>
        <v>Fiscal Accident Year Data Ending</v>
      </c>
      <c r="CH191" s="92"/>
      <c r="CI191" s="100" t="str">
        <f>$C$35&amp;"-"&amp;$D$35</f>
        <v>15-27</v>
      </c>
      <c r="CJ191" s="100" t="str">
        <f>$D$35&amp;"-"&amp;$E$35</f>
        <v>27-39</v>
      </c>
      <c r="CK191" s="100" t="str">
        <f>$E$35&amp;"-"&amp;$F$35</f>
        <v>39-51</v>
      </c>
      <c r="CL191" s="100" t="str">
        <f>$F$35&amp;"-"&amp;$G$35</f>
        <v>51-63</v>
      </c>
      <c r="CM191" s="100" t="str">
        <f>$G$35&amp;"-"&amp;$H$35</f>
        <v>63-75</v>
      </c>
      <c r="CN191" s="100" t="str">
        <f>$H$35&amp;"-"&amp;$I$35</f>
        <v>75-87</v>
      </c>
      <c r="CO191" s="100" t="str">
        <f>$I$35&amp;"-"&amp;$J$35</f>
        <v>87-99</v>
      </c>
      <c r="CP191" s="100" t="str">
        <f>$J$35&amp;"-"&amp;$K$35</f>
        <v>99-111</v>
      </c>
      <c r="CQ191" s="100" t="str">
        <f>$K$35&amp;"-"&amp;$L$35</f>
        <v>111-123</v>
      </c>
      <c r="CR191" s="100" t="str">
        <f>$L$35&amp;"-Ult"</f>
        <v>123-Ult</v>
      </c>
      <c r="CS191" s="92" t="str">
        <f>$A$35</f>
        <v>Fiscal Accident Year Data Ending</v>
      </c>
      <c r="CT191" s="92"/>
      <c r="CU191" s="100" t="str">
        <f>$C$35&amp;"-"&amp;$D$35</f>
        <v>15-27</v>
      </c>
      <c r="CV191" s="100" t="str">
        <f>$D$35&amp;"-"&amp;$E$35</f>
        <v>27-39</v>
      </c>
      <c r="CW191" s="100" t="str">
        <f>$E$35&amp;"-"&amp;$F$35</f>
        <v>39-51</v>
      </c>
      <c r="CX191" s="100" t="str">
        <f>$F$35&amp;"-"&amp;$G$35</f>
        <v>51-63</v>
      </c>
      <c r="CY191" s="100" t="str">
        <f>$G$35&amp;"-"&amp;$H$35</f>
        <v>63-75</v>
      </c>
      <c r="CZ191" s="100" t="str">
        <f>$H$35&amp;"-"&amp;$I$35</f>
        <v>75-87</v>
      </c>
      <c r="DA191" s="100" t="str">
        <f>$I$35&amp;"-"&amp;$J$35</f>
        <v>87-99</v>
      </c>
      <c r="DB191" s="100" t="str">
        <f>$J$35&amp;"-"&amp;$K$35</f>
        <v>99-111</v>
      </c>
      <c r="DC191" s="100" t="str">
        <f>$K$35&amp;"-"&amp;$L$35</f>
        <v>111-123</v>
      </c>
      <c r="DD191" s="100" t="str">
        <f>$L$35&amp;"-Ult"</f>
        <v>123-Ult</v>
      </c>
      <c r="DE191" s="92" t="str">
        <f>$A$35</f>
        <v>Fiscal Accident Year Data Ending</v>
      </c>
      <c r="DF191" s="92"/>
      <c r="DG191" s="100" t="str">
        <f>$C$35&amp;"-"&amp;$D$35</f>
        <v>15-27</v>
      </c>
      <c r="DH191" s="100" t="str">
        <f>$D$35&amp;"-"&amp;$E$35</f>
        <v>27-39</v>
      </c>
      <c r="DI191" s="100" t="str">
        <f>$E$35&amp;"-"&amp;$F$35</f>
        <v>39-51</v>
      </c>
      <c r="DJ191" s="100" t="str">
        <f>$F$35&amp;"-"&amp;$G$35</f>
        <v>51-63</v>
      </c>
      <c r="DK191" s="100" t="str">
        <f>$G$35&amp;"-"&amp;$H$35</f>
        <v>63-75</v>
      </c>
      <c r="DL191" s="100" t="str">
        <f>$H$35&amp;"-"&amp;$I$35</f>
        <v>75-87</v>
      </c>
      <c r="DM191" s="100" t="str">
        <f>$I$35&amp;"-"&amp;$J$35</f>
        <v>87-99</v>
      </c>
      <c r="DN191" s="100" t="str">
        <f>$J$35&amp;"-"&amp;$K$35</f>
        <v>99-111</v>
      </c>
      <c r="DO191" s="100" t="str">
        <f>$K$35&amp;"-"&amp;$L$35</f>
        <v>111-123</v>
      </c>
      <c r="DP191" s="100" t="str">
        <f>$L$35&amp;"-Ult"</f>
        <v>123-Ult</v>
      </c>
    </row>
    <row r="192" spans="1:120" x14ac:dyDescent="0.25">
      <c r="A192" s="91">
        <f>$A$36</f>
        <v>20133</v>
      </c>
      <c r="B192" s="105"/>
      <c r="C192" s="90">
        <f>IFERROR(D179/C179,"")</f>
        <v>1.1249832772588078</v>
      </c>
      <c r="D192" s="90">
        <f t="shared" ref="D192:K192" si="371">IFERROR(E179/D179,"")</f>
        <v>1.1293503473054376</v>
      </c>
      <c r="E192" s="90">
        <f t="shared" si="371"/>
        <v>1.0818891560167596</v>
      </c>
      <c r="F192" s="90">
        <f t="shared" si="371"/>
        <v>1.0205106580011292</v>
      </c>
      <c r="G192" s="90">
        <f t="shared" si="371"/>
        <v>1.0044935375361899</v>
      </c>
      <c r="H192" s="90">
        <f t="shared" si="371"/>
        <v>1.0016763542024198</v>
      </c>
      <c r="I192" s="90">
        <f t="shared" si="371"/>
        <v>1.000585929844013</v>
      </c>
      <c r="J192" s="90">
        <f t="shared" si="371"/>
        <v>1.0001658548168741</v>
      </c>
      <c r="K192" s="90">
        <f t="shared" si="371"/>
        <v>1.0001441880587703</v>
      </c>
      <c r="L192" s="22"/>
      <c r="M192" s="91">
        <f>$A$36</f>
        <v>20133</v>
      </c>
      <c r="N192" s="105"/>
      <c r="O192" s="90">
        <f>IFERROR(P179/O179,"")</f>
        <v>1.0690994679456476</v>
      </c>
      <c r="P192" s="90">
        <f t="shared" ref="P192:W192" si="372">IFERROR(Q179/P179,"")</f>
        <v>0.99742669604127754</v>
      </c>
      <c r="Q192" s="90">
        <f t="shared" si="372"/>
        <v>0.99548058932296846</v>
      </c>
      <c r="R192" s="90">
        <f t="shared" si="372"/>
        <v>1.0014903684583174</v>
      </c>
      <c r="S192" s="90">
        <f t="shared" si="372"/>
        <v>0.99895904612821407</v>
      </c>
      <c r="T192" s="90">
        <f t="shared" si="372"/>
        <v>1.0000901130849356</v>
      </c>
      <c r="U192" s="90">
        <f t="shared" si="372"/>
        <v>1.0004089383401717</v>
      </c>
      <c r="V192" s="90">
        <f t="shared" si="372"/>
        <v>0.99992466417954762</v>
      </c>
      <c r="W192" s="90">
        <f t="shared" si="372"/>
        <v>0.99996883533784808</v>
      </c>
      <c r="X192" s="22"/>
      <c r="Y192" s="91">
        <f>$A$36</f>
        <v>20133</v>
      </c>
      <c r="Z192" s="105"/>
      <c r="AA192" s="90">
        <f>IFERROR(AB179/AA179,"")</f>
        <v>1.4016585850450183</v>
      </c>
      <c r="AB192" s="90">
        <f t="shared" ref="AB192:AI192" si="373">IFERROR(AC179/AB179,"")</f>
        <v>1.190053377342581</v>
      </c>
      <c r="AC192" s="90">
        <f t="shared" si="373"/>
        <v>1.0813635092561336</v>
      </c>
      <c r="AD192" s="90">
        <f t="shared" si="373"/>
        <v>1.0401340429200741</v>
      </c>
      <c r="AE192" s="90">
        <f t="shared" si="373"/>
        <v>1.0271323093139979</v>
      </c>
      <c r="AF192" s="90">
        <f t="shared" si="373"/>
        <v>1.0138246580370558</v>
      </c>
      <c r="AG192" s="90">
        <f t="shared" si="373"/>
        <v>1.0069333169945973</v>
      </c>
      <c r="AH192" s="90">
        <f t="shared" si="373"/>
        <v>1.0020731759604382</v>
      </c>
      <c r="AI192" s="90">
        <f t="shared" si="373"/>
        <v>1.0039698389696838</v>
      </c>
      <c r="AJ192" s="22"/>
      <c r="AK192" s="91">
        <f>$A$36</f>
        <v>20133</v>
      </c>
      <c r="AL192" s="105"/>
      <c r="AM192" s="90">
        <f>IFERROR(AN179/AM179,"")</f>
        <v>1.0051595990216433</v>
      </c>
      <c r="AN192" s="90">
        <f t="shared" ref="AN192:AU192" si="374">IFERROR(AO179/AN179,"")</f>
        <v>1.0014736522109398</v>
      </c>
      <c r="AO192" s="90">
        <f t="shared" si="374"/>
        <v>1.0007469718771083</v>
      </c>
      <c r="AP192" s="90">
        <f t="shared" si="374"/>
        <v>1.0008284183563969</v>
      </c>
      <c r="AQ192" s="90">
        <f t="shared" si="374"/>
        <v>0.99995956763333516</v>
      </c>
      <c r="AR192" s="90">
        <f t="shared" si="374"/>
        <v>1.0000966754380654</v>
      </c>
      <c r="AS192" s="90">
        <f t="shared" si="374"/>
        <v>1.0000393359977267</v>
      </c>
      <c r="AT192" s="90">
        <f t="shared" si="374"/>
        <v>0.99997537225848632</v>
      </c>
      <c r="AU192" s="90">
        <f t="shared" si="374"/>
        <v>1.0000091646877611</v>
      </c>
      <c r="AV192" s="22"/>
      <c r="AW192" s="91">
        <f>$A$36</f>
        <v>20133</v>
      </c>
      <c r="AX192" s="105"/>
      <c r="AY192" s="90">
        <f>IFERROR(AZ179/AY179,"")</f>
        <v>0.93011600483004775</v>
      </c>
      <c r="AZ192" s="90">
        <f t="shared" ref="AZ192:BG192" si="375">IFERROR(BA179/AZ179,"")</f>
        <v>0.98456975660850077</v>
      </c>
      <c r="BA192" s="90">
        <f t="shared" si="375"/>
        <v>0.99703188608999127</v>
      </c>
      <c r="BB192" s="90">
        <f t="shared" si="375"/>
        <v>0.99904319350873216</v>
      </c>
      <c r="BC192" s="90">
        <f t="shared" si="375"/>
        <v>0.99950267992566566</v>
      </c>
      <c r="BD192" s="90">
        <f t="shared" si="375"/>
        <v>0.99970302474829165</v>
      </c>
      <c r="BE192" s="90">
        <f t="shared" si="375"/>
        <v>0.9997158575005165</v>
      </c>
      <c r="BF192" s="90">
        <f t="shared" si="375"/>
        <v>0.99980281939260551</v>
      </c>
      <c r="BG192" s="90">
        <f t="shared" si="375"/>
        <v>0.99983893454149597</v>
      </c>
      <c r="BH192" s="22"/>
      <c r="BI192" s="91">
        <f>$A$36</f>
        <v>20133</v>
      </c>
      <c r="BJ192" s="105"/>
      <c r="BK192" s="90">
        <f>IFERROR(BL179/BK179,"")</f>
        <v>0.96855494089104455</v>
      </c>
      <c r="BL192" s="90">
        <f t="shared" ref="BL192:BS192" si="376">IFERROR(BM179/BL179,"")</f>
        <v>0.99421206711160026</v>
      </c>
      <c r="BM192" s="90">
        <f t="shared" si="376"/>
        <v>0.99930522500088947</v>
      </c>
      <c r="BN192" s="90">
        <f t="shared" si="376"/>
        <v>0.99974544926859721</v>
      </c>
      <c r="BO192" s="90">
        <f t="shared" si="376"/>
        <v>0.9997877119953531</v>
      </c>
      <c r="BP192" s="90">
        <f t="shared" si="376"/>
        <v>0.9999014080305425</v>
      </c>
      <c r="BQ192" s="90">
        <f t="shared" si="376"/>
        <v>0.99997328520571505</v>
      </c>
      <c r="BR192" s="90">
        <f t="shared" si="376"/>
        <v>0.99994479579713247</v>
      </c>
      <c r="BS192" s="90">
        <f t="shared" si="376"/>
        <v>0.99995146995888373</v>
      </c>
      <c r="BT192" s="22"/>
      <c r="BU192" s="91">
        <f>$A$36</f>
        <v>20133</v>
      </c>
      <c r="BV192" s="105"/>
      <c r="BW192" s="90">
        <f>IFERROR(BX179/BW179,"")</f>
        <v>1.2044145536489725</v>
      </c>
      <c r="BX192" s="90">
        <f t="shared" ref="BX192:CE192" si="377">IFERROR(BY179/BX179,"")</f>
        <v>0.92187665304726318</v>
      </c>
      <c r="BY192" s="90">
        <f t="shared" si="377"/>
        <v>0.98637802205446745</v>
      </c>
      <c r="BZ192" s="90">
        <f t="shared" si="377"/>
        <v>0.99416638724864015</v>
      </c>
      <c r="CA192" s="90">
        <f t="shared" si="377"/>
        <v>1</v>
      </c>
      <c r="CB192" s="90">
        <f t="shared" si="377"/>
        <v>1</v>
      </c>
      <c r="CC192" s="90">
        <f t="shared" si="377"/>
        <v>1</v>
      </c>
      <c r="CD192" s="90">
        <f t="shared" si="377"/>
        <v>1</v>
      </c>
      <c r="CE192" s="90">
        <f t="shared" si="377"/>
        <v>1</v>
      </c>
      <c r="CF192" s="22"/>
      <c r="CG192" s="91">
        <f>$A$36</f>
        <v>20133</v>
      </c>
      <c r="CH192" s="105"/>
      <c r="CI192" s="90" t="str">
        <f>IFERROR(CJ179/CI179,"")</f>
        <v/>
      </c>
      <c r="CJ192" s="90" t="str">
        <f t="shared" ref="CJ192:CQ192" si="378">IFERROR(CK179/CJ179,"")</f>
        <v/>
      </c>
      <c r="CK192" s="90" t="str">
        <f t="shared" si="378"/>
        <v/>
      </c>
      <c r="CL192" s="90" t="str">
        <f t="shared" si="378"/>
        <v/>
      </c>
      <c r="CM192" s="90" t="str">
        <f t="shared" si="378"/>
        <v/>
      </c>
      <c r="CN192" s="90" t="str">
        <f t="shared" si="378"/>
        <v/>
      </c>
      <c r="CO192" s="90" t="str">
        <f t="shared" si="378"/>
        <v/>
      </c>
      <c r="CP192" s="90" t="str">
        <f t="shared" si="378"/>
        <v/>
      </c>
      <c r="CQ192" s="90" t="str">
        <f t="shared" si="378"/>
        <v/>
      </c>
      <c r="CR192" s="22"/>
      <c r="CS192" s="91">
        <f>$A$36</f>
        <v>20133</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20133</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20143</v>
      </c>
      <c r="B193" s="105"/>
      <c r="C193" s="90">
        <f t="shared" ref="C193:J200" si="381">IFERROR(D180/C180,"")</f>
        <v>1.1823504183377629</v>
      </c>
      <c r="D193" s="90">
        <f t="shared" si="381"/>
        <v>1.1707855343379441</v>
      </c>
      <c r="E193" s="90">
        <f t="shared" si="381"/>
        <v>1.0713528884997479</v>
      </c>
      <c r="F193" s="90">
        <f t="shared" si="381"/>
        <v>1.0322166340899601</v>
      </c>
      <c r="G193" s="90">
        <f t="shared" si="381"/>
        <v>1.0050127598939684</v>
      </c>
      <c r="H193" s="90">
        <f t="shared" si="381"/>
        <v>1.0011167439704436</v>
      </c>
      <c r="I193" s="90">
        <f t="shared" si="381"/>
        <v>1.000728371795691</v>
      </c>
      <c r="J193" s="90">
        <f t="shared" si="381"/>
        <v>1.0001379150887117</v>
      </c>
      <c r="K193" s="22"/>
      <c r="L193" s="22"/>
      <c r="M193" s="91">
        <f>$A$37</f>
        <v>20143</v>
      </c>
      <c r="N193" s="105"/>
      <c r="O193" s="90">
        <f t="shared" ref="O193:V200" si="382">IFERROR(P180/O180,"")</f>
        <v>1.0905646845542871</v>
      </c>
      <c r="P193" s="90">
        <f t="shared" si="382"/>
        <v>0.98977898375111395</v>
      </c>
      <c r="Q193" s="90">
        <f t="shared" si="382"/>
        <v>1.0057843611409443</v>
      </c>
      <c r="R193" s="90">
        <f t="shared" si="382"/>
        <v>1.0020098353309592</v>
      </c>
      <c r="S193" s="90">
        <f t="shared" si="382"/>
        <v>1.0008301825514996</v>
      </c>
      <c r="T193" s="90">
        <f t="shared" si="382"/>
        <v>1.0013684968818644</v>
      </c>
      <c r="U193" s="90">
        <f t="shared" si="382"/>
        <v>1.0014099943704917</v>
      </c>
      <c r="V193" s="90">
        <f t="shared" si="382"/>
        <v>0.99993850584298716</v>
      </c>
      <c r="W193" s="22"/>
      <c r="X193" s="22"/>
      <c r="Y193" s="91">
        <f>$A$37</f>
        <v>20143</v>
      </c>
      <c r="Z193" s="105"/>
      <c r="AA193" s="90">
        <f t="shared" ref="AA193:AH200" si="383">IFERROR(AB180/AA180,"")</f>
        <v>1.5125775973525817</v>
      </c>
      <c r="AB193" s="90">
        <f t="shared" si="383"/>
        <v>1.2200014744584573</v>
      </c>
      <c r="AC193" s="90">
        <f t="shared" si="383"/>
        <v>1.0837551485886603</v>
      </c>
      <c r="AD193" s="90">
        <f t="shared" si="383"/>
        <v>1.0436429575337838</v>
      </c>
      <c r="AE193" s="90">
        <f t="shared" si="383"/>
        <v>1.0185187410239025</v>
      </c>
      <c r="AF193" s="90">
        <f t="shared" si="383"/>
        <v>1.0067877067790532</v>
      </c>
      <c r="AG193" s="90">
        <f t="shared" si="383"/>
        <v>1.0058758025827756</v>
      </c>
      <c r="AH193" s="90">
        <f t="shared" si="383"/>
        <v>1.003856144226881</v>
      </c>
      <c r="AI193" s="22"/>
      <c r="AJ193" s="22"/>
      <c r="AK193" s="91">
        <f>$A$37</f>
        <v>20143</v>
      </c>
      <c r="AL193" s="105"/>
      <c r="AM193" s="90">
        <f t="shared" ref="AM193:AT200" si="384">IFERROR(AN180/AM180,"")</f>
        <v>1.0046093029904</v>
      </c>
      <c r="AN193" s="90">
        <f t="shared" si="384"/>
        <v>0.99946969346442127</v>
      </c>
      <c r="AO193" s="90">
        <f t="shared" si="384"/>
        <v>1.0009194493444256</v>
      </c>
      <c r="AP193" s="90">
        <f t="shared" si="384"/>
        <v>0.99978704334670254</v>
      </c>
      <c r="AQ193" s="90">
        <f t="shared" si="384"/>
        <v>1.0003596920185855</v>
      </c>
      <c r="AR193" s="90">
        <f t="shared" si="384"/>
        <v>1.0001638875434369</v>
      </c>
      <c r="AS193" s="90">
        <f t="shared" si="384"/>
        <v>0.9999621111745608</v>
      </c>
      <c r="AT193" s="90">
        <f t="shared" si="384"/>
        <v>0.99996335300853523</v>
      </c>
      <c r="AU193" s="22"/>
      <c r="AV193" s="22"/>
      <c r="AW193" s="91">
        <f>$A$37</f>
        <v>20143</v>
      </c>
      <c r="AX193" s="105"/>
      <c r="AY193" s="90">
        <f t="shared" ref="AY193:BF200" si="385">IFERROR(AZ180/AY180,"")</f>
        <v>0.91345147323809561</v>
      </c>
      <c r="AZ193" s="90">
        <f t="shared" si="385"/>
        <v>0.98990649274943532</v>
      </c>
      <c r="BA193" s="90">
        <f t="shared" si="385"/>
        <v>0.9970293459334072</v>
      </c>
      <c r="BB193" s="90">
        <f t="shared" si="385"/>
        <v>0.99933990049529953</v>
      </c>
      <c r="BC193" s="90">
        <f t="shared" si="385"/>
        <v>0.99977816998073044</v>
      </c>
      <c r="BD193" s="90">
        <f t="shared" si="385"/>
        <v>0.99989206087686433</v>
      </c>
      <c r="BE193" s="90">
        <f t="shared" si="385"/>
        <v>0.99987920362738791</v>
      </c>
      <c r="BF193" s="90">
        <f t="shared" si="385"/>
        <v>0.99994120009338794</v>
      </c>
      <c r="BG193" s="22"/>
      <c r="BH193" s="22"/>
      <c r="BI193" s="91">
        <f>$A$37</f>
        <v>20143</v>
      </c>
      <c r="BJ193" s="105"/>
      <c r="BK193" s="90">
        <f t="shared" ref="BK193:BR200" si="386">IFERROR(BL180/BK180,"")</f>
        <v>0.96447883362564246</v>
      </c>
      <c r="BL193" s="90">
        <f t="shared" si="386"/>
        <v>0.99684790732814488</v>
      </c>
      <c r="BM193" s="90">
        <f t="shared" si="386"/>
        <v>0.99992195325383326</v>
      </c>
      <c r="BN193" s="90">
        <f t="shared" si="386"/>
        <v>1.0000205457885645</v>
      </c>
      <c r="BO193" s="90">
        <f t="shared" si="386"/>
        <v>0.99998359193399322</v>
      </c>
      <c r="BP193" s="90">
        <f t="shared" si="386"/>
        <v>0.99998278505710614</v>
      </c>
      <c r="BQ193" s="90">
        <f t="shared" si="386"/>
        <v>1.0000009728699251</v>
      </c>
      <c r="BR193" s="90">
        <f t="shared" si="386"/>
        <v>1.0000079223858205</v>
      </c>
      <c r="BS193" s="22"/>
      <c r="BT193" s="22"/>
      <c r="BU193" s="91">
        <f>$A$37</f>
        <v>20143</v>
      </c>
      <c r="BV193" s="105"/>
      <c r="BW193" s="90">
        <f t="shared" ref="BW193:CD200" si="387">IFERROR(BX180/BW180,"")</f>
        <v>1.0308234909008762</v>
      </c>
      <c r="BX193" s="90">
        <f t="shared" si="387"/>
        <v>1.0133211866785186</v>
      </c>
      <c r="BY193" s="90">
        <f t="shared" si="387"/>
        <v>1.0268248263278883</v>
      </c>
      <c r="BZ193" s="90">
        <f t="shared" si="387"/>
        <v>1</v>
      </c>
      <c r="CA193" s="90">
        <f t="shared" si="387"/>
        <v>1</v>
      </c>
      <c r="CB193" s="90">
        <f t="shared" si="387"/>
        <v>1</v>
      </c>
      <c r="CC193" s="90">
        <f t="shared" si="387"/>
        <v>1</v>
      </c>
      <c r="CD193" s="90">
        <f t="shared" si="387"/>
        <v>1</v>
      </c>
      <c r="CE193" s="22"/>
      <c r="CF193" s="22"/>
      <c r="CG193" s="91">
        <f>$A$37</f>
        <v>20143</v>
      </c>
      <c r="CH193" s="105"/>
      <c r="CI193" s="90" t="str">
        <f t="shared" ref="CI193:CP200" si="388">IFERROR(CJ180/CI180,"")</f>
        <v/>
      </c>
      <c r="CJ193" s="90" t="str">
        <f t="shared" si="388"/>
        <v/>
      </c>
      <c r="CK193" s="90" t="str">
        <f t="shared" si="388"/>
        <v/>
      </c>
      <c r="CL193" s="90" t="str">
        <f t="shared" si="388"/>
        <v/>
      </c>
      <c r="CM193" s="90" t="str">
        <f t="shared" si="388"/>
        <v/>
      </c>
      <c r="CN193" s="90" t="str">
        <f t="shared" si="388"/>
        <v/>
      </c>
      <c r="CO193" s="90" t="str">
        <f t="shared" si="388"/>
        <v/>
      </c>
      <c r="CP193" s="90" t="str">
        <f t="shared" si="388"/>
        <v/>
      </c>
      <c r="CQ193" s="22"/>
      <c r="CR193" s="22"/>
      <c r="CS193" s="91">
        <f>$A$37</f>
        <v>20143</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20143</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20153</v>
      </c>
      <c r="B194" s="105"/>
      <c r="C194" s="90">
        <f t="shared" si="381"/>
        <v>1.2290139532899136</v>
      </c>
      <c r="D194" s="90">
        <f t="shared" si="381"/>
        <v>1.1130774153331617</v>
      </c>
      <c r="E194" s="90">
        <f t="shared" si="381"/>
        <v>1.0607403522819414</v>
      </c>
      <c r="F194" s="90">
        <f t="shared" si="381"/>
        <v>1.0260644794336593</v>
      </c>
      <c r="G194" s="90">
        <f t="shared" si="381"/>
        <v>1.005216019122785</v>
      </c>
      <c r="H194" s="90">
        <f t="shared" si="381"/>
        <v>1.0026293803061115</v>
      </c>
      <c r="I194" s="90">
        <f t="shared" si="381"/>
        <v>1.00200795910216</v>
      </c>
      <c r="J194" s="22"/>
      <c r="K194" s="22"/>
      <c r="L194" s="22"/>
      <c r="M194" s="91">
        <f>$A$38</f>
        <v>20153</v>
      </c>
      <c r="N194" s="105"/>
      <c r="O194" s="90">
        <f t="shared" si="382"/>
        <v>1.0847380225178538</v>
      </c>
      <c r="P194" s="90">
        <f t="shared" si="382"/>
        <v>1.0152853682422622</v>
      </c>
      <c r="Q194" s="90">
        <f t="shared" si="382"/>
        <v>1.0056893400718538</v>
      </c>
      <c r="R194" s="90">
        <f t="shared" si="382"/>
        <v>1.0012739329474369</v>
      </c>
      <c r="S194" s="90">
        <f t="shared" si="382"/>
        <v>0.99990305893116793</v>
      </c>
      <c r="T194" s="90">
        <f t="shared" si="382"/>
        <v>1.0006318722137455</v>
      </c>
      <c r="U194" s="90">
        <f t="shared" si="382"/>
        <v>0.99996757944780046</v>
      </c>
      <c r="V194" s="22"/>
      <c r="W194" s="22"/>
      <c r="X194" s="22"/>
      <c r="Y194" s="91">
        <f>$A$38</f>
        <v>20153</v>
      </c>
      <c r="Z194" s="105"/>
      <c r="AA194" s="90">
        <f t="shared" si="383"/>
        <v>1.6392846155294323</v>
      </c>
      <c r="AB194" s="90">
        <f t="shared" si="383"/>
        <v>1.2362555542525535</v>
      </c>
      <c r="AC194" s="90">
        <f t="shared" si="383"/>
        <v>1.0907017166693167</v>
      </c>
      <c r="AD194" s="90">
        <f t="shared" si="383"/>
        <v>1.0423719840901422</v>
      </c>
      <c r="AE194" s="90">
        <f t="shared" si="383"/>
        <v>1.0151626970979162</v>
      </c>
      <c r="AF194" s="90">
        <f t="shared" si="383"/>
        <v>1.0073905716936895</v>
      </c>
      <c r="AG194" s="90">
        <f t="shared" si="383"/>
        <v>1.0024192360309461</v>
      </c>
      <c r="AH194" s="22"/>
      <c r="AI194" s="22"/>
      <c r="AJ194" s="22"/>
      <c r="AK194" s="91">
        <f>$A$38</f>
        <v>20153</v>
      </c>
      <c r="AL194" s="105"/>
      <c r="AM194" s="90">
        <f t="shared" si="384"/>
        <v>1.0064653774221342</v>
      </c>
      <c r="AN194" s="90">
        <f t="shared" si="384"/>
        <v>1.0016498358793342</v>
      </c>
      <c r="AO194" s="90">
        <f t="shared" si="384"/>
        <v>1.0002174055273287</v>
      </c>
      <c r="AP194" s="90">
        <f t="shared" si="384"/>
        <v>1.0001599248045365</v>
      </c>
      <c r="AQ194" s="90">
        <f t="shared" si="384"/>
        <v>1.0000976119768379</v>
      </c>
      <c r="AR194" s="90">
        <f t="shared" si="384"/>
        <v>1.000062169745737</v>
      </c>
      <c r="AS194" s="90">
        <f t="shared" si="384"/>
        <v>1.0000716571807724</v>
      </c>
      <c r="AT194" s="22"/>
      <c r="AU194" s="22"/>
      <c r="AV194" s="22"/>
      <c r="AW194" s="91">
        <f>$A$38</f>
        <v>20153</v>
      </c>
      <c r="AX194" s="105"/>
      <c r="AY194" s="90">
        <f t="shared" si="385"/>
        <v>0.92492354640807828</v>
      </c>
      <c r="AZ194" s="90">
        <f t="shared" si="385"/>
        <v>0.99142570770987826</v>
      </c>
      <c r="BA194" s="90">
        <f t="shared" si="385"/>
        <v>0.99754619535347033</v>
      </c>
      <c r="BB194" s="90">
        <f t="shared" si="385"/>
        <v>0.99948135254051296</v>
      </c>
      <c r="BC194" s="90">
        <f t="shared" si="385"/>
        <v>0.9997999438039803</v>
      </c>
      <c r="BD194" s="90">
        <f t="shared" si="385"/>
        <v>0.99990034118837701</v>
      </c>
      <c r="BE194" s="90">
        <f t="shared" si="385"/>
        <v>0.99991749329922175</v>
      </c>
      <c r="BF194" s="22"/>
      <c r="BG194" s="22"/>
      <c r="BH194" s="22"/>
      <c r="BI194" s="91">
        <f>$A$38</f>
        <v>20153</v>
      </c>
      <c r="BJ194" s="105"/>
      <c r="BK194" s="90">
        <f t="shared" si="386"/>
        <v>0.97630611828851432</v>
      </c>
      <c r="BL194" s="90">
        <f t="shared" si="386"/>
        <v>0.99832602798763015</v>
      </c>
      <c r="BM194" s="90">
        <f t="shared" si="386"/>
        <v>0.99973534916613815</v>
      </c>
      <c r="BN194" s="90">
        <f t="shared" si="386"/>
        <v>0.99996518621249686</v>
      </c>
      <c r="BO194" s="90">
        <f t="shared" si="386"/>
        <v>0.99999073162249552</v>
      </c>
      <c r="BP194" s="90">
        <f t="shared" si="386"/>
        <v>0.99999073557689855</v>
      </c>
      <c r="BQ194" s="90">
        <f t="shared" si="386"/>
        <v>1.0000167000887854</v>
      </c>
      <c r="BR194" s="22"/>
      <c r="BS194" s="22"/>
      <c r="BT194" s="22"/>
      <c r="BU194" s="91">
        <f>$A$38</f>
        <v>20153</v>
      </c>
      <c r="BV194" s="105"/>
      <c r="BW194" s="90">
        <f t="shared" si="387"/>
        <v>0.99142725398802345</v>
      </c>
      <c r="BX194" s="90">
        <f t="shared" si="387"/>
        <v>1.0053307124595314</v>
      </c>
      <c r="BY194" s="90">
        <f t="shared" si="387"/>
        <v>1.0149214522031109</v>
      </c>
      <c r="BZ194" s="90">
        <f t="shared" si="387"/>
        <v>1</v>
      </c>
      <c r="CA194" s="90">
        <f t="shared" si="387"/>
        <v>1</v>
      </c>
      <c r="CB194" s="90">
        <f t="shared" si="387"/>
        <v>1</v>
      </c>
      <c r="CC194" s="90">
        <f t="shared" si="387"/>
        <v>1</v>
      </c>
      <c r="CD194" s="22"/>
      <c r="CE194" s="22"/>
      <c r="CF194" s="22"/>
      <c r="CG194" s="91">
        <f>$A$38</f>
        <v>20153</v>
      </c>
      <c r="CH194" s="105"/>
      <c r="CI194" s="90" t="str">
        <f t="shared" si="388"/>
        <v/>
      </c>
      <c r="CJ194" s="90" t="str">
        <f t="shared" si="388"/>
        <v/>
      </c>
      <c r="CK194" s="90" t="str">
        <f t="shared" si="388"/>
        <v/>
      </c>
      <c r="CL194" s="90" t="str">
        <f t="shared" si="388"/>
        <v/>
      </c>
      <c r="CM194" s="90" t="str">
        <f t="shared" si="388"/>
        <v/>
      </c>
      <c r="CN194" s="90" t="str">
        <f t="shared" si="388"/>
        <v/>
      </c>
      <c r="CO194" s="90" t="str">
        <f t="shared" si="388"/>
        <v/>
      </c>
      <c r="CP194" s="22"/>
      <c r="CQ194" s="22"/>
      <c r="CR194" s="22"/>
      <c r="CS194" s="91">
        <f>$A$38</f>
        <v>20153</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20153</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20163</v>
      </c>
      <c r="B195" s="105"/>
      <c r="C195" s="90">
        <f t="shared" si="381"/>
        <v>1.2871884682579149</v>
      </c>
      <c r="D195" s="90">
        <f t="shared" si="381"/>
        <v>1.1048350999407401</v>
      </c>
      <c r="E195" s="90">
        <f t="shared" si="381"/>
        <v>1.069961007258895</v>
      </c>
      <c r="F195" s="90">
        <f t="shared" si="381"/>
        <v>1.022915197357932</v>
      </c>
      <c r="G195" s="90">
        <f t="shared" si="381"/>
        <v>1.0096629271689583</v>
      </c>
      <c r="H195" s="90">
        <f t="shared" si="381"/>
        <v>1.0060137113292651</v>
      </c>
      <c r="I195" s="22"/>
      <c r="J195" s="22"/>
      <c r="K195" s="22"/>
      <c r="L195" s="22"/>
      <c r="M195" s="91">
        <f>$A$39</f>
        <v>20163</v>
      </c>
      <c r="N195" s="105"/>
      <c r="O195" s="90">
        <f t="shared" si="382"/>
        <v>1.1713151216434188</v>
      </c>
      <c r="P195" s="90">
        <f t="shared" si="382"/>
        <v>1.0176030843276638</v>
      </c>
      <c r="Q195" s="90">
        <f t="shared" si="382"/>
        <v>1.0034119058879403</v>
      </c>
      <c r="R195" s="90">
        <f t="shared" si="382"/>
        <v>0.99991622595887464</v>
      </c>
      <c r="S195" s="90">
        <f t="shared" si="382"/>
        <v>1.0015271758590392</v>
      </c>
      <c r="T195" s="90">
        <f t="shared" si="382"/>
        <v>1.0006264564098086</v>
      </c>
      <c r="U195" s="22"/>
      <c r="V195" s="22"/>
      <c r="W195" s="22"/>
      <c r="X195" s="22"/>
      <c r="Y195" s="91">
        <f>$A$39</f>
        <v>20163</v>
      </c>
      <c r="Z195" s="105"/>
      <c r="AA195" s="90">
        <f t="shared" si="383"/>
        <v>1.6323206132501626</v>
      </c>
      <c r="AB195" s="90">
        <f t="shared" si="383"/>
        <v>1.1951883389546987</v>
      </c>
      <c r="AC195" s="90">
        <f t="shared" si="383"/>
        <v>1.067513850455341</v>
      </c>
      <c r="AD195" s="90">
        <f t="shared" si="383"/>
        <v>1.0313324491437139</v>
      </c>
      <c r="AE195" s="90">
        <f t="shared" si="383"/>
        <v>1.0195537111043831</v>
      </c>
      <c r="AF195" s="90">
        <f t="shared" si="383"/>
        <v>1.0100324994652308</v>
      </c>
      <c r="AG195" s="22"/>
      <c r="AH195" s="22"/>
      <c r="AI195" s="22"/>
      <c r="AJ195" s="22"/>
      <c r="AK195" s="91">
        <f>$A$39</f>
        <v>20163</v>
      </c>
      <c r="AL195" s="105"/>
      <c r="AM195" s="90">
        <f t="shared" si="384"/>
        <v>1.0062746908241353</v>
      </c>
      <c r="AN195" s="90">
        <f t="shared" si="384"/>
        <v>1.0007793536534453</v>
      </c>
      <c r="AO195" s="90">
        <f t="shared" si="384"/>
        <v>0.9998914397019153</v>
      </c>
      <c r="AP195" s="90">
        <f t="shared" si="384"/>
        <v>0.99987178567896107</v>
      </c>
      <c r="AQ195" s="90">
        <f t="shared" si="384"/>
        <v>1.000197913674689</v>
      </c>
      <c r="AR195" s="90">
        <f t="shared" si="384"/>
        <v>1.0000456351701057</v>
      </c>
      <c r="AS195" s="22"/>
      <c r="AT195" s="22"/>
      <c r="AU195" s="22"/>
      <c r="AV195" s="22"/>
      <c r="AW195" s="91">
        <f>$A$39</f>
        <v>20163</v>
      </c>
      <c r="AX195" s="105"/>
      <c r="AY195" s="90">
        <f t="shared" si="385"/>
        <v>0.92440549805701644</v>
      </c>
      <c r="AZ195" s="90">
        <f t="shared" si="385"/>
        <v>0.99154868668275487</v>
      </c>
      <c r="BA195" s="90">
        <f t="shared" si="385"/>
        <v>0.99746329550169033</v>
      </c>
      <c r="BB195" s="90">
        <f t="shared" si="385"/>
        <v>0.99917196533340225</v>
      </c>
      <c r="BC195" s="90">
        <f t="shared" si="385"/>
        <v>0.99978044507051622</v>
      </c>
      <c r="BD195" s="90">
        <f t="shared" si="385"/>
        <v>0.99985212146236457</v>
      </c>
      <c r="BE195" s="22"/>
      <c r="BF195" s="22"/>
      <c r="BG195" s="22"/>
      <c r="BH195" s="22"/>
      <c r="BI195" s="91">
        <f>$A$39</f>
        <v>20163</v>
      </c>
      <c r="BJ195" s="105"/>
      <c r="BK195" s="90">
        <f t="shared" si="386"/>
        <v>0.97757486500132351</v>
      </c>
      <c r="BL195" s="90">
        <f t="shared" si="386"/>
        <v>0.9983157069954105</v>
      </c>
      <c r="BM195" s="90">
        <f t="shared" si="386"/>
        <v>0.99986082541921495</v>
      </c>
      <c r="BN195" s="90">
        <f t="shared" si="386"/>
        <v>0.99998248573132809</v>
      </c>
      <c r="BO195" s="90">
        <f t="shared" si="386"/>
        <v>1.0000012460283276</v>
      </c>
      <c r="BP195" s="90">
        <f t="shared" si="386"/>
        <v>1.0000065949824881</v>
      </c>
      <c r="BQ195" s="22"/>
      <c r="BR195" s="22"/>
      <c r="BS195" s="22"/>
      <c r="BT195" s="22"/>
      <c r="BU195" s="91">
        <f>$A$39</f>
        <v>20163</v>
      </c>
      <c r="BV195" s="105"/>
      <c r="BW195" s="90">
        <f t="shared" si="387"/>
        <v>1.09082774049217</v>
      </c>
      <c r="BX195" s="90">
        <f t="shared" si="387"/>
        <v>1.0627563576702215</v>
      </c>
      <c r="BY195" s="90">
        <f t="shared" si="387"/>
        <v>1.0308761096101891</v>
      </c>
      <c r="BZ195" s="90">
        <f t="shared" si="387"/>
        <v>1.0318232871583677</v>
      </c>
      <c r="CA195" s="90">
        <f t="shared" si="387"/>
        <v>1</v>
      </c>
      <c r="CB195" s="90">
        <f t="shared" si="387"/>
        <v>1</v>
      </c>
      <c r="CC195" s="22"/>
      <c r="CD195" s="22"/>
      <c r="CE195" s="22"/>
      <c r="CF195" s="22"/>
      <c r="CG195" s="91">
        <f>$A$39</f>
        <v>20163</v>
      </c>
      <c r="CH195" s="105"/>
      <c r="CI195" s="90" t="str">
        <f t="shared" si="388"/>
        <v/>
      </c>
      <c r="CJ195" s="90" t="str">
        <f t="shared" si="388"/>
        <v/>
      </c>
      <c r="CK195" s="90" t="str">
        <f t="shared" si="388"/>
        <v/>
      </c>
      <c r="CL195" s="90" t="str">
        <f t="shared" si="388"/>
        <v/>
      </c>
      <c r="CM195" s="90" t="str">
        <f t="shared" si="388"/>
        <v/>
      </c>
      <c r="CN195" s="90" t="str">
        <f t="shared" si="388"/>
        <v/>
      </c>
      <c r="CO195" s="22"/>
      <c r="CP195" s="22"/>
      <c r="CQ195" s="22"/>
      <c r="CR195" s="22"/>
      <c r="CS195" s="91">
        <f>$A$39</f>
        <v>20163</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20163</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20173</v>
      </c>
      <c r="B196" s="105"/>
      <c r="C196" s="90">
        <f t="shared" si="381"/>
        <v>1.2105414182405008</v>
      </c>
      <c r="D196" s="90">
        <f t="shared" si="381"/>
        <v>1.1323637966539695</v>
      </c>
      <c r="E196" s="90">
        <f t="shared" si="381"/>
        <v>1.0559079043664588</v>
      </c>
      <c r="F196" s="90">
        <f t="shared" si="381"/>
        <v>1.0355397301175913</v>
      </c>
      <c r="G196" s="90">
        <f t="shared" si="381"/>
        <v>1.0310944925951477</v>
      </c>
      <c r="H196" s="22"/>
      <c r="I196" s="22"/>
      <c r="J196" s="22"/>
      <c r="K196" s="22"/>
      <c r="L196" s="22"/>
      <c r="M196" s="91">
        <f>$A$40</f>
        <v>20173</v>
      </c>
      <c r="N196" s="105"/>
      <c r="O196" s="90">
        <f t="shared" si="382"/>
        <v>1.197514681249138</v>
      </c>
      <c r="P196" s="90">
        <f t="shared" si="382"/>
        <v>1.0338025744723531</v>
      </c>
      <c r="Q196" s="90">
        <f t="shared" si="382"/>
        <v>1.0029633772092335</v>
      </c>
      <c r="R196" s="90">
        <f t="shared" si="382"/>
        <v>1.0016062980633742</v>
      </c>
      <c r="S196" s="90">
        <f t="shared" si="382"/>
        <v>1.0003204490478597</v>
      </c>
      <c r="T196" s="22"/>
      <c r="U196" s="22"/>
      <c r="V196" s="22"/>
      <c r="W196" s="22"/>
      <c r="X196" s="22"/>
      <c r="Y196" s="91">
        <f>$A$40</f>
        <v>20173</v>
      </c>
      <c r="Z196" s="105"/>
      <c r="AA196" s="90">
        <f t="shared" si="383"/>
        <v>1.6165274566961993</v>
      </c>
      <c r="AB196" s="90">
        <f t="shared" si="383"/>
        <v>1.1737404796137156</v>
      </c>
      <c r="AC196" s="90">
        <f t="shared" si="383"/>
        <v>1.065381063462836</v>
      </c>
      <c r="AD196" s="90">
        <f t="shared" si="383"/>
        <v>1.0310187587821156</v>
      </c>
      <c r="AE196" s="90">
        <f t="shared" si="383"/>
        <v>1.023020281791275</v>
      </c>
      <c r="AF196" s="22"/>
      <c r="AG196" s="22"/>
      <c r="AH196" s="22"/>
      <c r="AI196" s="22"/>
      <c r="AJ196" s="22"/>
      <c r="AK196" s="91">
        <f>$A$40</f>
        <v>20173</v>
      </c>
      <c r="AL196" s="105"/>
      <c r="AM196" s="90">
        <f t="shared" si="384"/>
        <v>1.0097295005165894</v>
      </c>
      <c r="AN196" s="90">
        <f t="shared" si="384"/>
        <v>1.002213693268045</v>
      </c>
      <c r="AO196" s="90">
        <f t="shared" si="384"/>
        <v>1.0013918336253151</v>
      </c>
      <c r="AP196" s="90">
        <f t="shared" si="384"/>
        <v>1.0006309636628876</v>
      </c>
      <c r="AQ196" s="90">
        <f t="shared" si="384"/>
        <v>1.0001290636249187</v>
      </c>
      <c r="AR196" s="22"/>
      <c r="AS196" s="22"/>
      <c r="AT196" s="22"/>
      <c r="AU196" s="22"/>
      <c r="AV196" s="22"/>
      <c r="AW196" s="91">
        <f>$A$40</f>
        <v>20173</v>
      </c>
      <c r="AX196" s="105"/>
      <c r="AY196" s="90">
        <f t="shared" si="385"/>
        <v>0.93900007835601529</v>
      </c>
      <c r="AZ196" s="90">
        <f t="shared" si="385"/>
        <v>0.99243959479634025</v>
      </c>
      <c r="BA196" s="90">
        <f t="shared" si="385"/>
        <v>0.99794147379601417</v>
      </c>
      <c r="BB196" s="90">
        <f t="shared" si="385"/>
        <v>0.99913126791247531</v>
      </c>
      <c r="BC196" s="90">
        <f t="shared" si="385"/>
        <v>0.99965960264936893</v>
      </c>
      <c r="BD196" s="22"/>
      <c r="BE196" s="22"/>
      <c r="BF196" s="22"/>
      <c r="BG196" s="22"/>
      <c r="BH196" s="22"/>
      <c r="BI196" s="91">
        <f>$A$40</f>
        <v>20173</v>
      </c>
      <c r="BJ196" s="105"/>
      <c r="BK196" s="90">
        <f t="shared" si="386"/>
        <v>0.97989787701024678</v>
      </c>
      <c r="BL196" s="90">
        <f t="shared" si="386"/>
        <v>0.99929342241025598</v>
      </c>
      <c r="BM196" s="90">
        <f t="shared" si="386"/>
        <v>1.0001019660288828</v>
      </c>
      <c r="BN196" s="90">
        <f t="shared" si="386"/>
        <v>1.0001248640473699</v>
      </c>
      <c r="BO196" s="90">
        <f t="shared" si="386"/>
        <v>0.99998763138638591</v>
      </c>
      <c r="BP196" s="22"/>
      <c r="BQ196" s="22"/>
      <c r="BR196" s="22"/>
      <c r="BS196" s="22"/>
      <c r="BT196" s="22"/>
      <c r="BU196" s="91">
        <f>$A$40</f>
        <v>20173</v>
      </c>
      <c r="BV196" s="105"/>
      <c r="BW196" s="90">
        <f t="shared" si="387"/>
        <v>1.0189567087926863</v>
      </c>
      <c r="BX196" s="90">
        <f t="shared" si="387"/>
        <v>1.002596965298852</v>
      </c>
      <c r="BY196" s="90">
        <f t="shared" si="387"/>
        <v>1</v>
      </c>
      <c r="BZ196" s="90">
        <f t="shared" si="387"/>
        <v>1</v>
      </c>
      <c r="CA196" s="90">
        <f t="shared" si="387"/>
        <v>1</v>
      </c>
      <c r="CB196" s="22"/>
      <c r="CC196" s="22"/>
      <c r="CD196" s="22"/>
      <c r="CE196" s="22"/>
      <c r="CF196" s="22"/>
      <c r="CG196" s="91">
        <f>$A$40</f>
        <v>20173</v>
      </c>
      <c r="CH196" s="105"/>
      <c r="CI196" s="90" t="str">
        <f t="shared" si="388"/>
        <v/>
      </c>
      <c r="CJ196" s="90" t="str">
        <f t="shared" si="388"/>
        <v/>
      </c>
      <c r="CK196" s="90" t="str">
        <f t="shared" si="388"/>
        <v/>
      </c>
      <c r="CL196" s="90" t="str">
        <f t="shared" si="388"/>
        <v/>
      </c>
      <c r="CM196" s="90" t="str">
        <f t="shared" si="388"/>
        <v/>
      </c>
      <c r="CN196" s="22"/>
      <c r="CO196" s="22"/>
      <c r="CP196" s="22"/>
      <c r="CQ196" s="22"/>
      <c r="CR196" s="22"/>
      <c r="CS196" s="91">
        <f>$A$40</f>
        <v>20173</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20173</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20183</v>
      </c>
      <c r="B197" s="105"/>
      <c r="C197" s="90">
        <f t="shared" si="381"/>
        <v>1.2322690601975355</v>
      </c>
      <c r="D197" s="90">
        <f t="shared" si="381"/>
        <v>1.0984276970752451</v>
      </c>
      <c r="E197" s="90">
        <f t="shared" si="381"/>
        <v>1.0765106476832946</v>
      </c>
      <c r="F197" s="90">
        <f t="shared" si="381"/>
        <v>1.0447912291416264</v>
      </c>
      <c r="G197" s="22"/>
      <c r="H197" s="22"/>
      <c r="I197" s="22"/>
      <c r="J197" s="22"/>
      <c r="K197" s="22"/>
      <c r="L197" s="22"/>
      <c r="M197" s="91">
        <f>$A$41</f>
        <v>20183</v>
      </c>
      <c r="N197" s="105"/>
      <c r="O197" s="90">
        <f t="shared" si="382"/>
        <v>1.2560982576823243</v>
      </c>
      <c r="P197" s="90">
        <f t="shared" si="382"/>
        <v>1.0367904929445331</v>
      </c>
      <c r="Q197" s="90">
        <f t="shared" si="382"/>
        <v>1.0074563207666931</v>
      </c>
      <c r="R197" s="90">
        <f t="shared" si="382"/>
        <v>1.0023713513045938</v>
      </c>
      <c r="S197" s="22"/>
      <c r="T197" s="22"/>
      <c r="U197" s="22"/>
      <c r="V197" s="22"/>
      <c r="W197" s="22"/>
      <c r="X197" s="22"/>
      <c r="Y197" s="91">
        <f>$A$41</f>
        <v>20183</v>
      </c>
      <c r="Z197" s="105"/>
      <c r="AA197" s="90">
        <f t="shared" si="383"/>
        <v>1.5924035160627279</v>
      </c>
      <c r="AB197" s="90">
        <f t="shared" si="383"/>
        <v>1.1657712912791853</v>
      </c>
      <c r="AC197" s="90">
        <f t="shared" si="383"/>
        <v>1.0791287746377893</v>
      </c>
      <c r="AD197" s="90">
        <f t="shared" si="383"/>
        <v>1.0456335903130229</v>
      </c>
      <c r="AE197" s="22"/>
      <c r="AF197" s="22"/>
      <c r="AG197" s="22"/>
      <c r="AH197" s="22"/>
      <c r="AI197" s="22"/>
      <c r="AJ197" s="22"/>
      <c r="AK197" s="91">
        <f>$A$41</f>
        <v>20183</v>
      </c>
      <c r="AL197" s="105"/>
      <c r="AM197" s="90">
        <f t="shared" si="384"/>
        <v>1.0097606782583657</v>
      </c>
      <c r="AN197" s="90">
        <f t="shared" si="384"/>
        <v>0.99995243743151541</v>
      </c>
      <c r="AO197" s="90">
        <f t="shared" si="384"/>
        <v>1.0002058630239286</v>
      </c>
      <c r="AP197" s="90">
        <f t="shared" si="384"/>
        <v>1.0002985285344017</v>
      </c>
      <c r="AQ197" s="22"/>
      <c r="AR197" s="22"/>
      <c r="AS197" s="22"/>
      <c r="AT197" s="22"/>
      <c r="AU197" s="22"/>
      <c r="AV197" s="22"/>
      <c r="AW197" s="91">
        <f>$A$41</f>
        <v>20183</v>
      </c>
      <c r="AX197" s="105"/>
      <c r="AY197" s="90">
        <f t="shared" si="385"/>
        <v>0.94821042355975171</v>
      </c>
      <c r="AZ197" s="90">
        <f t="shared" si="385"/>
        <v>0.99311768003094825</v>
      </c>
      <c r="BA197" s="90">
        <f t="shared" si="385"/>
        <v>0.9970540359543516</v>
      </c>
      <c r="BB197" s="90">
        <f t="shared" si="385"/>
        <v>0.99916841589624195</v>
      </c>
      <c r="BC197" s="22"/>
      <c r="BD197" s="22"/>
      <c r="BE197" s="22"/>
      <c r="BF197" s="22"/>
      <c r="BG197" s="22"/>
      <c r="BH197" s="22"/>
      <c r="BI197" s="91">
        <f>$A$41</f>
        <v>20183</v>
      </c>
      <c r="BJ197" s="105"/>
      <c r="BK197" s="90">
        <f t="shared" si="386"/>
        <v>0.98778935095040987</v>
      </c>
      <c r="BL197" s="90">
        <f t="shared" si="386"/>
        <v>0.99956004507822094</v>
      </c>
      <c r="BM197" s="90">
        <f t="shared" si="386"/>
        <v>1.000357374256416</v>
      </c>
      <c r="BN197" s="90">
        <f t="shared" si="386"/>
        <v>1.0001134770097753</v>
      </c>
      <c r="BO197" s="22"/>
      <c r="BP197" s="22"/>
      <c r="BQ197" s="22"/>
      <c r="BR197" s="22"/>
      <c r="BS197" s="22"/>
      <c r="BT197" s="22"/>
      <c r="BU197" s="91">
        <f>$A$41</f>
        <v>20183</v>
      </c>
      <c r="BV197" s="105"/>
      <c r="BW197" s="90">
        <f t="shared" si="387"/>
        <v>1.199618542816139</v>
      </c>
      <c r="BX197" s="90">
        <f t="shared" si="387"/>
        <v>1.0425948142995463</v>
      </c>
      <c r="BY197" s="90">
        <f t="shared" si="387"/>
        <v>0.99942588703508839</v>
      </c>
      <c r="BZ197" s="90">
        <f t="shared" si="387"/>
        <v>1</v>
      </c>
      <c r="CA197" s="22"/>
      <c r="CB197" s="22"/>
      <c r="CC197" s="22"/>
      <c r="CD197" s="22"/>
      <c r="CE197" s="22"/>
      <c r="CF197" s="22"/>
      <c r="CG197" s="91">
        <f>$A$41</f>
        <v>20183</v>
      </c>
      <c r="CH197" s="105"/>
      <c r="CI197" s="90" t="str">
        <f t="shared" si="388"/>
        <v/>
      </c>
      <c r="CJ197" s="90" t="str">
        <f t="shared" si="388"/>
        <v/>
      </c>
      <c r="CK197" s="90" t="str">
        <f t="shared" si="388"/>
        <v/>
      </c>
      <c r="CL197" s="90" t="str">
        <f t="shared" si="388"/>
        <v/>
      </c>
      <c r="CM197" s="22"/>
      <c r="CN197" s="22"/>
      <c r="CO197" s="22"/>
      <c r="CP197" s="22"/>
      <c r="CQ197" s="22"/>
      <c r="CR197" s="22"/>
      <c r="CS197" s="91">
        <f>$A$41</f>
        <v>20183</v>
      </c>
      <c r="CT197" s="105"/>
      <c r="CU197" s="90" t="str">
        <f t="shared" si="389"/>
        <v/>
      </c>
      <c r="CV197" s="90" t="str">
        <f t="shared" si="389"/>
        <v/>
      </c>
      <c r="CW197" s="90" t="str">
        <f t="shared" si="389"/>
        <v/>
      </c>
      <c r="CX197" s="90" t="str">
        <f t="shared" si="389"/>
        <v/>
      </c>
      <c r="CY197" s="22"/>
      <c r="CZ197" s="22"/>
      <c r="DA197" s="22"/>
      <c r="DB197" s="22"/>
      <c r="DC197" s="22"/>
      <c r="DD197" s="22"/>
      <c r="DE197" s="91">
        <f>$A$41</f>
        <v>20183</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20193</v>
      </c>
      <c r="B198" s="105"/>
      <c r="C198" s="90">
        <f t="shared" si="381"/>
        <v>1.1988855248918566</v>
      </c>
      <c r="D198" s="90">
        <f t="shared" si="381"/>
        <v>1.1121591847472401</v>
      </c>
      <c r="E198" s="90">
        <f t="shared" si="381"/>
        <v>1.1008548797866045</v>
      </c>
      <c r="F198" s="22"/>
      <c r="G198" s="22"/>
      <c r="H198" s="22"/>
      <c r="I198" s="22"/>
      <c r="J198" s="22"/>
      <c r="K198" s="22"/>
      <c r="L198" s="22"/>
      <c r="M198" s="91">
        <f>$A$42</f>
        <v>20193</v>
      </c>
      <c r="N198" s="105"/>
      <c r="O198" s="90">
        <f t="shared" si="382"/>
        <v>1.2869339207239618</v>
      </c>
      <c r="P198" s="90">
        <f t="shared" si="382"/>
        <v>1.0492481222188492</v>
      </c>
      <c r="Q198" s="90">
        <f t="shared" si="382"/>
        <v>1.0106915892082196</v>
      </c>
      <c r="R198" s="22"/>
      <c r="S198" s="22"/>
      <c r="T198" s="22"/>
      <c r="U198" s="22"/>
      <c r="V198" s="22"/>
      <c r="W198" s="22"/>
      <c r="X198" s="22"/>
      <c r="Y198" s="91">
        <f>$A$42</f>
        <v>20193</v>
      </c>
      <c r="Z198" s="105"/>
      <c r="AA198" s="90">
        <f t="shared" si="383"/>
        <v>1.4805823779865495</v>
      </c>
      <c r="AB198" s="90">
        <f t="shared" si="383"/>
        <v>1.2053059860137534</v>
      </c>
      <c r="AC198" s="90">
        <f t="shared" si="383"/>
        <v>1.1000114464932933</v>
      </c>
      <c r="AD198" s="22"/>
      <c r="AE198" s="22"/>
      <c r="AF198" s="22"/>
      <c r="AG198" s="22"/>
      <c r="AH198" s="22"/>
      <c r="AI198" s="22"/>
      <c r="AJ198" s="22"/>
      <c r="AK198" s="91">
        <f>$A$42</f>
        <v>20193</v>
      </c>
      <c r="AL198" s="105"/>
      <c r="AM198" s="90">
        <f t="shared" si="384"/>
        <v>1.0071249299078544</v>
      </c>
      <c r="AN198" s="90">
        <f t="shared" si="384"/>
        <v>0.99645031847552279</v>
      </c>
      <c r="AO198" s="90">
        <f t="shared" si="384"/>
        <v>1.0006666766753898</v>
      </c>
      <c r="AP198" s="22"/>
      <c r="AQ198" s="22"/>
      <c r="AR198" s="22"/>
      <c r="AS198" s="22"/>
      <c r="AT198" s="22"/>
      <c r="AU198" s="22"/>
      <c r="AV198" s="22"/>
      <c r="AW198" s="91">
        <f>$A$42</f>
        <v>20193</v>
      </c>
      <c r="AX198" s="105"/>
      <c r="AY198" s="90">
        <f t="shared" si="385"/>
        <v>0.94718134500184548</v>
      </c>
      <c r="AZ198" s="90">
        <f t="shared" si="385"/>
        <v>0.99409435538846491</v>
      </c>
      <c r="BA198" s="90">
        <f t="shared" si="385"/>
        <v>0.9969134118398828</v>
      </c>
      <c r="BB198" s="22"/>
      <c r="BC198" s="22"/>
      <c r="BD198" s="22"/>
      <c r="BE198" s="22"/>
      <c r="BF198" s="22"/>
      <c r="BG198" s="22"/>
      <c r="BH198" s="22"/>
      <c r="BI198" s="91">
        <f>$A$42</f>
        <v>20193</v>
      </c>
      <c r="BJ198" s="105"/>
      <c r="BK198" s="90">
        <f t="shared" si="386"/>
        <v>0.98299702143539081</v>
      </c>
      <c r="BL198" s="90">
        <f t="shared" si="386"/>
        <v>1.000120228123536</v>
      </c>
      <c r="BM198" s="90">
        <f t="shared" si="386"/>
        <v>1.0002719605425769</v>
      </c>
      <c r="BN198" s="22"/>
      <c r="BO198" s="22"/>
      <c r="BP198" s="22"/>
      <c r="BQ198" s="22"/>
      <c r="BR198" s="22"/>
      <c r="BS198" s="22"/>
      <c r="BT198" s="22"/>
      <c r="BU198" s="91">
        <f>$A$42</f>
        <v>20193</v>
      </c>
      <c r="BV198" s="105"/>
      <c r="BW198" s="90">
        <f t="shared" si="387"/>
        <v>1.0361413093967156</v>
      </c>
      <c r="BX198" s="90">
        <f t="shared" si="387"/>
        <v>1.0170309517170373</v>
      </c>
      <c r="BY198" s="90">
        <f t="shared" si="387"/>
        <v>1</v>
      </c>
      <c r="BZ198" s="22"/>
      <c r="CA198" s="22"/>
      <c r="CB198" s="22"/>
      <c r="CC198" s="22"/>
      <c r="CD198" s="22"/>
      <c r="CE198" s="22"/>
      <c r="CF198" s="22"/>
      <c r="CG198" s="91">
        <f>$A$42</f>
        <v>20193</v>
      </c>
      <c r="CH198" s="105"/>
      <c r="CI198" s="90" t="str">
        <f t="shared" si="388"/>
        <v/>
      </c>
      <c r="CJ198" s="90" t="str">
        <f t="shared" si="388"/>
        <v/>
      </c>
      <c r="CK198" s="90" t="str">
        <f t="shared" si="388"/>
        <v/>
      </c>
      <c r="CL198" s="22"/>
      <c r="CM198" s="22"/>
      <c r="CN198" s="22"/>
      <c r="CO198" s="22"/>
      <c r="CP198" s="22"/>
      <c r="CQ198" s="22"/>
      <c r="CR198" s="22"/>
      <c r="CS198" s="91">
        <f>$A$42</f>
        <v>20193</v>
      </c>
      <c r="CT198" s="105"/>
      <c r="CU198" s="90" t="str">
        <f t="shared" si="389"/>
        <v/>
      </c>
      <c r="CV198" s="90" t="str">
        <f t="shared" si="389"/>
        <v/>
      </c>
      <c r="CW198" s="90" t="str">
        <f t="shared" si="389"/>
        <v/>
      </c>
      <c r="CX198" s="22"/>
      <c r="CY198" s="22"/>
      <c r="CZ198" s="22"/>
      <c r="DA198" s="22"/>
      <c r="DB198" s="22"/>
      <c r="DC198" s="22"/>
      <c r="DD198" s="22"/>
      <c r="DE198" s="91">
        <f>$A$42</f>
        <v>20193</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20203</v>
      </c>
      <c r="B199" s="105"/>
      <c r="C199" s="90">
        <f t="shared" si="381"/>
        <v>1.2102682365855382</v>
      </c>
      <c r="D199" s="90">
        <f t="shared" si="381"/>
        <v>1.1536646619094937</v>
      </c>
      <c r="E199" s="22"/>
      <c r="F199" s="22"/>
      <c r="G199" s="22"/>
      <c r="H199" s="22"/>
      <c r="I199" s="22"/>
      <c r="J199" s="22"/>
      <c r="K199" s="22"/>
      <c r="L199" s="22"/>
      <c r="M199" s="91">
        <f>$A$43</f>
        <v>20203</v>
      </c>
      <c r="N199" s="105"/>
      <c r="O199" s="90">
        <f t="shared" si="382"/>
        <v>1.2852704357145961</v>
      </c>
      <c r="P199" s="90">
        <f t="shared" si="382"/>
        <v>1.0513465221921665</v>
      </c>
      <c r="Q199" s="22"/>
      <c r="R199" s="22"/>
      <c r="S199" s="22"/>
      <c r="T199" s="22"/>
      <c r="U199" s="22"/>
      <c r="V199" s="22"/>
      <c r="W199" s="22"/>
      <c r="X199" s="22"/>
      <c r="Y199" s="91">
        <f>$A$43</f>
        <v>20203</v>
      </c>
      <c r="Z199" s="105"/>
      <c r="AA199" s="90">
        <f t="shared" si="383"/>
        <v>1.572363257293244</v>
      </c>
      <c r="AB199" s="90">
        <f t="shared" si="383"/>
        <v>1.2138018667842214</v>
      </c>
      <c r="AC199" s="22"/>
      <c r="AD199" s="22"/>
      <c r="AE199" s="22"/>
      <c r="AF199" s="22"/>
      <c r="AG199" s="22"/>
      <c r="AH199" s="22"/>
      <c r="AI199" s="22"/>
      <c r="AJ199" s="22"/>
      <c r="AK199" s="91">
        <f>$A$43</f>
        <v>20203</v>
      </c>
      <c r="AL199" s="105"/>
      <c r="AM199" s="90">
        <f t="shared" si="384"/>
        <v>1.0091247046821155</v>
      </c>
      <c r="AN199" s="90">
        <f t="shared" si="384"/>
        <v>1.0064986943841576</v>
      </c>
      <c r="AO199" s="22"/>
      <c r="AP199" s="22"/>
      <c r="AQ199" s="22"/>
      <c r="AR199" s="22"/>
      <c r="AS199" s="22"/>
      <c r="AT199" s="22"/>
      <c r="AU199" s="22"/>
      <c r="AV199" s="22"/>
      <c r="AW199" s="91">
        <f>$A$43</f>
        <v>20203</v>
      </c>
      <c r="AX199" s="105"/>
      <c r="AY199" s="90">
        <f t="shared" si="385"/>
        <v>0.97428480843923926</v>
      </c>
      <c r="AZ199" s="90">
        <f t="shared" si="385"/>
        <v>0.99575350519449135</v>
      </c>
      <c r="BA199" s="22"/>
      <c r="BB199" s="22"/>
      <c r="BC199" s="22"/>
      <c r="BD199" s="22"/>
      <c r="BE199" s="22"/>
      <c r="BF199" s="22"/>
      <c r="BG199" s="22"/>
      <c r="BH199" s="22"/>
      <c r="BI199" s="91">
        <f>$A$43</f>
        <v>20203</v>
      </c>
      <c r="BJ199" s="105"/>
      <c r="BK199" s="90">
        <f t="shared" si="386"/>
        <v>0.99881791767102834</v>
      </c>
      <c r="BL199" s="90">
        <f t="shared" si="386"/>
        <v>1.0010372167382566</v>
      </c>
      <c r="BM199" s="22"/>
      <c r="BN199" s="22"/>
      <c r="BO199" s="22"/>
      <c r="BP199" s="22"/>
      <c r="BQ199" s="22"/>
      <c r="BR199" s="22"/>
      <c r="BS199" s="22"/>
      <c r="BT199" s="22"/>
      <c r="BU199" s="91">
        <f>$A$43</f>
        <v>20203</v>
      </c>
      <c r="BV199" s="105"/>
      <c r="BW199" s="90">
        <f t="shared" si="387"/>
        <v>0.87278980028158726</v>
      </c>
      <c r="BX199" s="90">
        <f t="shared" si="387"/>
        <v>1</v>
      </c>
      <c r="BY199" s="22"/>
      <c r="BZ199" s="22"/>
      <c r="CA199" s="22"/>
      <c r="CB199" s="22"/>
      <c r="CC199" s="22"/>
      <c r="CD199" s="22"/>
      <c r="CE199" s="22"/>
      <c r="CF199" s="22"/>
      <c r="CG199" s="91">
        <f>$A$43</f>
        <v>20203</v>
      </c>
      <c r="CH199" s="105"/>
      <c r="CI199" s="90" t="str">
        <f t="shared" si="388"/>
        <v/>
      </c>
      <c r="CJ199" s="90" t="str">
        <f t="shared" si="388"/>
        <v/>
      </c>
      <c r="CK199" s="22"/>
      <c r="CL199" s="22"/>
      <c r="CM199" s="22"/>
      <c r="CN199" s="22"/>
      <c r="CO199" s="22"/>
      <c r="CP199" s="22"/>
      <c r="CQ199" s="22"/>
      <c r="CR199" s="22"/>
      <c r="CS199" s="91">
        <f>$A$43</f>
        <v>20203</v>
      </c>
      <c r="CT199" s="105"/>
      <c r="CU199" s="90" t="str">
        <f t="shared" si="389"/>
        <v/>
      </c>
      <c r="CV199" s="90" t="str">
        <f t="shared" si="389"/>
        <v/>
      </c>
      <c r="CW199" s="22"/>
      <c r="CX199" s="22"/>
      <c r="CY199" s="22"/>
      <c r="CZ199" s="22"/>
      <c r="DA199" s="22"/>
      <c r="DB199" s="22"/>
      <c r="DC199" s="22"/>
      <c r="DD199" s="22"/>
      <c r="DE199" s="91">
        <f>$A$43</f>
        <v>20203</v>
      </c>
      <c r="DF199" s="105"/>
      <c r="DG199" s="90" t="str">
        <f t="shared" si="390"/>
        <v/>
      </c>
      <c r="DH199" s="90" t="str">
        <f t="shared" si="390"/>
        <v/>
      </c>
      <c r="DI199" s="22"/>
      <c r="DJ199" s="22"/>
      <c r="DK199" s="22"/>
      <c r="DL199" s="22"/>
      <c r="DM199" s="22"/>
      <c r="DN199" s="22"/>
      <c r="DO199" s="22"/>
      <c r="DP199" s="22"/>
    </row>
    <row r="200" spans="1:120" x14ac:dyDescent="0.25">
      <c r="A200" s="91">
        <f>$A$44</f>
        <v>20213</v>
      </c>
      <c r="B200" s="105"/>
      <c r="C200" s="90">
        <f t="shared" si="381"/>
        <v>1.2683034396350021</v>
      </c>
      <c r="D200" s="22"/>
      <c r="E200" s="22"/>
      <c r="F200" s="22"/>
      <c r="G200" s="22"/>
      <c r="H200" s="22"/>
      <c r="I200" s="22"/>
      <c r="J200" s="22"/>
      <c r="K200" s="22"/>
      <c r="L200" s="22"/>
      <c r="M200" s="91">
        <f>$A$44</f>
        <v>20213</v>
      </c>
      <c r="N200" s="105"/>
      <c r="O200" s="90">
        <f t="shared" si="382"/>
        <v>1.4236877265214598</v>
      </c>
      <c r="P200" s="22"/>
      <c r="Q200" s="22"/>
      <c r="R200" s="22"/>
      <c r="S200" s="22"/>
      <c r="T200" s="22"/>
      <c r="U200" s="22"/>
      <c r="V200" s="22"/>
      <c r="W200" s="22"/>
      <c r="X200" s="22"/>
      <c r="Y200" s="91">
        <f>$A$44</f>
        <v>20213</v>
      </c>
      <c r="Z200" s="105"/>
      <c r="AA200" s="90">
        <f t="shared" si="383"/>
        <v>1.7199427416931723</v>
      </c>
      <c r="AB200" s="22"/>
      <c r="AC200" s="22"/>
      <c r="AD200" s="22"/>
      <c r="AE200" s="22"/>
      <c r="AF200" s="22"/>
      <c r="AG200" s="22"/>
      <c r="AH200" s="22"/>
      <c r="AI200" s="22"/>
      <c r="AJ200" s="22"/>
      <c r="AK200" s="91">
        <f>$A$44</f>
        <v>20213</v>
      </c>
      <c r="AL200" s="105"/>
      <c r="AM200" s="90">
        <f t="shared" si="384"/>
        <v>1.0169021406411152</v>
      </c>
      <c r="AN200" s="22"/>
      <c r="AO200" s="22"/>
      <c r="AP200" s="22"/>
      <c r="AQ200" s="22"/>
      <c r="AR200" s="22"/>
      <c r="AS200" s="22"/>
      <c r="AT200" s="22"/>
      <c r="AU200" s="22"/>
      <c r="AV200" s="22"/>
      <c r="AW200" s="91">
        <f>$A$44</f>
        <v>20213</v>
      </c>
      <c r="AX200" s="105"/>
      <c r="AY200" s="90">
        <f t="shared" si="385"/>
        <v>0.95288246979853763</v>
      </c>
      <c r="AZ200" s="22"/>
      <c r="BA200" s="22"/>
      <c r="BB200" s="22"/>
      <c r="BC200" s="22"/>
      <c r="BD200" s="22"/>
      <c r="BE200" s="22"/>
      <c r="BF200" s="22"/>
      <c r="BG200" s="22"/>
      <c r="BH200" s="22"/>
      <c r="BI200" s="91">
        <f>$A$44</f>
        <v>20213</v>
      </c>
      <c r="BJ200" s="105"/>
      <c r="BK200" s="90">
        <f t="shared" si="386"/>
        <v>0.99008803086269725</v>
      </c>
      <c r="BL200" s="22"/>
      <c r="BM200" s="22"/>
      <c r="BN200" s="22"/>
      <c r="BO200" s="22"/>
      <c r="BP200" s="22"/>
      <c r="BQ200" s="22"/>
      <c r="BR200" s="22"/>
      <c r="BS200" s="22"/>
      <c r="BT200" s="22"/>
      <c r="BU200" s="91">
        <f>$A$44</f>
        <v>20213</v>
      </c>
      <c r="BV200" s="105"/>
      <c r="BW200" s="90">
        <f t="shared" si="387"/>
        <v>1.0857223302958943</v>
      </c>
      <c r="BX200" s="22"/>
      <c r="BY200" s="22"/>
      <c r="BZ200" s="22"/>
      <c r="CA200" s="22"/>
      <c r="CB200" s="22"/>
      <c r="CC200" s="22"/>
      <c r="CD200" s="22"/>
      <c r="CE200" s="22"/>
      <c r="CF200" s="22"/>
      <c r="CG200" s="91">
        <f>$A$44</f>
        <v>20213</v>
      </c>
      <c r="CH200" s="105"/>
      <c r="CI200" s="90" t="str">
        <f t="shared" si="388"/>
        <v/>
      </c>
      <c r="CJ200" s="22"/>
      <c r="CK200" s="22"/>
      <c r="CL200" s="22"/>
      <c r="CM200" s="22"/>
      <c r="CN200" s="22"/>
      <c r="CO200" s="22"/>
      <c r="CP200" s="22"/>
      <c r="CQ200" s="22"/>
      <c r="CR200" s="22"/>
      <c r="CS200" s="91">
        <f>$A$44</f>
        <v>20213</v>
      </c>
      <c r="CT200" s="105"/>
      <c r="CU200" s="90" t="str">
        <f t="shared" si="389"/>
        <v/>
      </c>
      <c r="CV200" s="22"/>
      <c r="CW200" s="22"/>
      <c r="CX200" s="22"/>
      <c r="CY200" s="22"/>
      <c r="CZ200" s="22"/>
      <c r="DA200" s="22"/>
      <c r="DB200" s="22"/>
      <c r="DC200" s="22"/>
      <c r="DD200" s="22"/>
      <c r="DE200" s="91">
        <f>$A$44</f>
        <v>20213</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1.2235506075980405</v>
      </c>
      <c r="D202" s="93">
        <f>IFERROR(SUM(E184:E186)/SUM(D184:D186),1)</f>
        <v>1.1183206361474904</v>
      </c>
      <c r="E202" s="93">
        <f>IFERROR(SUM(F183:F185)/SUM(E183:E185),1)</f>
        <v>1.0769533696921008</v>
      </c>
      <c r="F202" s="93">
        <f>IFERROR(SUM(G182:G184)/SUM(F182:F184),1)</f>
        <v>1.0342071082194073</v>
      </c>
      <c r="G202" s="93">
        <f>IFERROR(SUM(H181:H183)/SUM(G181:G183),1)</f>
        <v>1.0156942484629257</v>
      </c>
      <c r="H202" s="93">
        <f>IFERROR(SUM(I180:I182)/SUM(H180:H182),1)</f>
        <v>1.0034192025389577</v>
      </c>
      <c r="I202" s="93">
        <f>IFERROR(SUM(J179:J181)/SUM(I179:I181),1)</f>
        <v>1.0011508605725372</v>
      </c>
      <c r="J202" s="93">
        <f>IFERROR(SUM(K179:K180)/SUM(J179:J180),1)</f>
        <v>1.0001509463772116</v>
      </c>
      <c r="K202" s="93">
        <f>IFERROR(SUM(L179:L179)/SUM(K179:K179),1)</f>
        <v>1.0001441880587703</v>
      </c>
      <c r="L202" s="93">
        <v>1</v>
      </c>
      <c r="M202" s="285" t="s">
        <v>37</v>
      </c>
      <c r="N202" s="107"/>
      <c r="O202" s="93">
        <f>IFERROR(SUM(P185:P187)/SUM(O185:O187),1)</f>
        <v>1.3243581436420548</v>
      </c>
      <c r="P202" s="93">
        <f>IFERROR(SUM(Q184:Q186)/SUM(P184:P186),1)</f>
        <v>1.045202645612306</v>
      </c>
      <c r="Q202" s="93">
        <f>IFERROR(SUM(R183:R185)/SUM(Q183:Q185),1)</f>
        <v>1.0070296265492331</v>
      </c>
      <c r="R202" s="93">
        <f>IFERROR(SUM(S182:S184)/SUM(R182:R184),1)</f>
        <v>1.0013401144309131</v>
      </c>
      <c r="S202" s="93">
        <f>IFERROR(SUM(T181:T183)/SUM(S181:S183),1)</f>
        <v>1.0005803739378627</v>
      </c>
      <c r="T202" s="93">
        <f>IFERROR(SUM(U180:U182)/SUM(T180:T182),1)</f>
        <v>1.0008731138689648</v>
      </c>
      <c r="U202" s="93">
        <f>IFERROR(SUM(V179:V181)/SUM(U179:U181),1)</f>
        <v>1.0005943603892977</v>
      </c>
      <c r="V202" s="93">
        <f>IFERROR(SUM(W179:W180)/SUM(V179:V180),1)</f>
        <v>0.99993155132531431</v>
      </c>
      <c r="W202" s="93">
        <f>IFERROR(SUM(X179:X179)/SUM(W179:W179),1)</f>
        <v>0.99996883533784808</v>
      </c>
      <c r="X202" s="93">
        <v>1</v>
      </c>
      <c r="Y202" s="285" t="s">
        <v>37</v>
      </c>
      <c r="Z202" s="107"/>
      <c r="AA202" s="93">
        <f>IFERROR(SUM(AB185:AB187)/SUM(AA185:AA187),1)</f>
        <v>1.5922191206813017</v>
      </c>
      <c r="AB202" s="93">
        <f>IFERROR(SUM(AC184:AC186)/SUM(AB184:AB186),1)</f>
        <v>1.1938655799710205</v>
      </c>
      <c r="AC202" s="93">
        <f>IFERROR(SUM(AD183:AD185)/SUM(AC183:AC185),1)</f>
        <v>1.0813035932854604</v>
      </c>
      <c r="AD202" s="93">
        <f>IFERROR(SUM(AE182:AE184)/SUM(AD182:AD184),1)</f>
        <v>1.0362287802072296</v>
      </c>
      <c r="AE202" s="93">
        <f>IFERROR(SUM(AF181:AF183)/SUM(AE181:AE183),1)</f>
        <v>1.0195018117067129</v>
      </c>
      <c r="AF202" s="93">
        <f>IFERROR(SUM(AG180:AG182)/SUM(AF180:AF182),1)</f>
        <v>1.0081780499995237</v>
      </c>
      <c r="AG202" s="93">
        <f>IFERROR(SUM(AH179:AH181)/SUM(AG179:AG181),1)</f>
        <v>1.0048621654328482</v>
      </c>
      <c r="AH202" s="93">
        <f>IFERROR(SUM(AI179:AI180)/SUM(AH179:AH180),1)</f>
        <v>1.0030250265111351</v>
      </c>
      <c r="AI202" s="93">
        <f>IFERROR(SUM(AJ179:AJ179)/SUM(AI179:AI179),1)</f>
        <v>1.0039698389696838</v>
      </c>
      <c r="AJ202" s="93">
        <v>1</v>
      </c>
      <c r="AK202" s="285" t="s">
        <v>37</v>
      </c>
      <c r="AL202" s="107"/>
      <c r="AM202" s="93">
        <f>IFERROR(SUM(AN185:AN187)/SUM(AM185:AM187),1)</f>
        <v>1.0114261722102686</v>
      </c>
      <c r="AN202" s="93">
        <f>IFERROR(SUM(AO184:AO186)/SUM(AN184:AN186),1)</f>
        <v>1.0009831925972972</v>
      </c>
      <c r="AO202" s="93">
        <f>IFERROR(SUM(AP183:AP185)/SUM(AO183:AO185),1)</f>
        <v>1.0007596321500432</v>
      </c>
      <c r="AP202" s="93">
        <f>IFERROR(SUM(AQ182:AQ184)/SUM(AP182:AP184),1)</f>
        <v>1.0002777055190726</v>
      </c>
      <c r="AQ202" s="93">
        <f>IFERROR(SUM(AR181:AR183)/SUM(AQ181:AQ183),1)</f>
        <v>1.0001421475714452</v>
      </c>
      <c r="AR202" s="93">
        <f>IFERROR(SUM(AS180:AS182)/SUM(AR180:AR182),1)</f>
        <v>1.0000876859928913</v>
      </c>
      <c r="AS202" s="93">
        <f>IFERROR(SUM(AT179:AT181)/SUM(AS179:AS181),1)</f>
        <v>1.0000254450208972</v>
      </c>
      <c r="AT202" s="93">
        <f>IFERROR(SUM(AU179:AU180)/SUM(AT179:AT180),1)</f>
        <v>0.99996927031373595</v>
      </c>
      <c r="AU202" s="93">
        <f>IFERROR(SUM(AV179:AV179)/SUM(AU179:AU179),1)</f>
        <v>1.0000091646877611</v>
      </c>
      <c r="AV202" s="93">
        <v>1</v>
      </c>
      <c r="AW202" s="285" t="s">
        <v>37</v>
      </c>
      <c r="AX202" s="107"/>
      <c r="AY202" s="93">
        <f>IFERROR(SUM(AZ185:AZ187)/SUM(AY185:AY187),1)</f>
        <v>0.95703575561912502</v>
      </c>
      <c r="AZ202" s="93">
        <f>IFERROR(SUM(BA184:BA186)/SUM(AZ184:AZ186),1)</f>
        <v>0.99424393636228725</v>
      </c>
      <c r="BA202" s="93">
        <f>IFERROR(SUM(BB183:BB185)/SUM(BA183:BA185),1)</f>
        <v>0.99730272561103506</v>
      </c>
      <c r="BB202" s="93">
        <f>IFERROR(SUM(BC182:BC184)/SUM(BB182:BB184),1)</f>
        <v>0.99915691556442299</v>
      </c>
      <c r="BC202" s="93">
        <f>IFERROR(SUM(BD181:BD183)/SUM(BC181:BC183),1)</f>
        <v>0.99974344420986883</v>
      </c>
      <c r="BD202" s="93">
        <f>IFERROR(SUM(BE180:BE182)/SUM(BD180:BD182),1)</f>
        <v>0.99987996420474234</v>
      </c>
      <c r="BE202" s="93">
        <f>IFERROR(SUM(BF179:BF181)/SUM(BE179:BE181),1)</f>
        <v>0.99984525196206353</v>
      </c>
      <c r="BF202" s="93">
        <f>IFERROR(SUM(BG179:BG180)/SUM(BF179:BF180),1)</f>
        <v>0.99987558317683645</v>
      </c>
      <c r="BG202" s="93">
        <f>IFERROR(SUM(BH179:BH179)/SUM(BG179:BG179),1)</f>
        <v>0.99983893454149597</v>
      </c>
      <c r="BH202" s="93">
        <v>1</v>
      </c>
      <c r="BI202" s="285" t="s">
        <v>37</v>
      </c>
      <c r="BJ202" s="107"/>
      <c r="BK202" s="93">
        <f>IFERROR(SUM(BL185:BL187)/SUM(BK185:BK187),1)</f>
        <v>0.9901559872591692</v>
      </c>
      <c r="BL202" s="93">
        <f>IFERROR(SUM(BM184:BM186)/SUM(BL184:BL186),1)</f>
        <v>1.0002065900457875</v>
      </c>
      <c r="BM202" s="93">
        <f>IFERROR(SUM(BN183:BN185)/SUM(BM183:BM185),1)</f>
        <v>1.0002417356221971</v>
      </c>
      <c r="BN202" s="93">
        <f>IFERROR(SUM(BO182:BO184)/SUM(BN182:BN184),1)</f>
        <v>1.0000755344791659</v>
      </c>
      <c r="BO202" s="93">
        <f>IFERROR(SUM(BP181:BP183)/SUM(BO181:BO183),1)</f>
        <v>0.99999311629434107</v>
      </c>
      <c r="BP202" s="93">
        <f>IFERROR(SUM(BQ180:BQ182)/SUM(BP180:BP182),1)</f>
        <v>0.99999412775457008</v>
      </c>
      <c r="BQ202" s="93">
        <f>IFERROR(SUM(BR179:BR181)/SUM(BQ179:BQ181),1)</f>
        <v>0.99999811608342093</v>
      </c>
      <c r="BR202" s="93">
        <f>IFERROR(SUM(BS179:BS180)/SUM(BR179:BR180),1)</f>
        <v>0.99997754108536363</v>
      </c>
      <c r="BS202" s="93">
        <f>IFERROR(SUM(BT179:BT179)/SUM(BS179:BS179),1)</f>
        <v>0.99995146995888373</v>
      </c>
      <c r="BT202" s="93">
        <v>1</v>
      </c>
      <c r="BU202" s="285" t="s">
        <v>37</v>
      </c>
      <c r="BV202" s="107"/>
      <c r="BW202" s="93">
        <f>IFERROR(SUM(BX185:BX187)/SUM(BW185:BW187),1)</f>
        <v>1.0102879574884558</v>
      </c>
      <c r="BX202" s="93">
        <f>IFERROR(SUM(BY184:BY186)/SUM(BX184:BX186),1)</f>
        <v>1.0260532386468324</v>
      </c>
      <c r="BY202" s="93">
        <f>IFERROR(SUM(BZ183:BZ185)/SUM(BY183:BY185),1)</f>
        <v>0.99977762594810793</v>
      </c>
      <c r="BZ202" s="93">
        <f>IFERROR(SUM(CA182:CA184)/SUM(BZ182:BZ184),1)</f>
        <v>1.0071627953555491</v>
      </c>
      <c r="CA202" s="93">
        <f>IFERROR(SUM(CB181:CB183)/SUM(CA181:CA183),1)</f>
        <v>1</v>
      </c>
      <c r="CB202" s="93">
        <f>IFERROR(SUM(CC180:CC182)/SUM(CB180:CB182),1)</f>
        <v>1</v>
      </c>
      <c r="CC202" s="93">
        <f>IFERROR(SUM(CD179:CD181)/SUM(CC179:CC181),1)</f>
        <v>1</v>
      </c>
      <c r="CD202" s="93">
        <f>IFERROR(SUM(CE179:CE180)/SUM(CD179:CD180),1)</f>
        <v>1</v>
      </c>
      <c r="CE202" s="93">
        <f>IFERROR(SUM(CF179:CF179)/SUM(CE179:CE179),1)</f>
        <v>1</v>
      </c>
      <c r="CF202" s="93">
        <v>1</v>
      </c>
      <c r="CG202" s="285" t="s">
        <v>37</v>
      </c>
      <c r="CH202" s="107"/>
      <c r="CI202" s="93">
        <f>IFERROR(SUM(CJ185:CJ187)/SUM(CI185:CI187),1)</f>
        <v>1</v>
      </c>
      <c r="CJ202" s="93">
        <f>IFERROR(SUM(CK184:CK186)/SUM(CJ184:CJ186),1)</f>
        <v>1</v>
      </c>
      <c r="CK202" s="93">
        <f>IFERROR(SUM(CL183:CL185)/SUM(CK183:CK185),1)</f>
        <v>1</v>
      </c>
      <c r="CL202" s="93">
        <f>IFERROR(SUM(CM182:CM184)/SUM(CL182:CL184),1)</f>
        <v>1</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5"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5"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1.2235506075980405</v>
      </c>
      <c r="D203" s="93">
        <f t="shared" ref="D203:K203" si="391">IF(D202=0,1,D202)</f>
        <v>1.1183206361474904</v>
      </c>
      <c r="E203" s="93">
        <f t="shared" si="391"/>
        <v>1.0769533696921008</v>
      </c>
      <c r="F203" s="93">
        <f t="shared" si="391"/>
        <v>1.0342071082194073</v>
      </c>
      <c r="G203" s="93">
        <f t="shared" si="391"/>
        <v>1.0156942484629257</v>
      </c>
      <c r="H203" s="93">
        <f t="shared" si="391"/>
        <v>1.0034192025389577</v>
      </c>
      <c r="I203" s="93">
        <f t="shared" si="391"/>
        <v>1.0011508605725372</v>
      </c>
      <c r="J203" s="93">
        <f t="shared" si="391"/>
        <v>1.0001509463772116</v>
      </c>
      <c r="K203" s="93">
        <f t="shared" si="391"/>
        <v>1.0001441880587703</v>
      </c>
      <c r="L203" s="93">
        <f>IF(L202=0,1,L202)</f>
        <v>1</v>
      </c>
      <c r="M203" s="285" t="s">
        <v>40</v>
      </c>
      <c r="N203" s="107"/>
      <c r="O203" s="93">
        <f>IF(O202=0,1,O202)</f>
        <v>1.3243581436420548</v>
      </c>
      <c r="P203" s="93">
        <f t="shared" ref="P203:W203" si="392">IF(P202=0,1,P202)</f>
        <v>1.045202645612306</v>
      </c>
      <c r="Q203" s="93">
        <f t="shared" si="392"/>
        <v>1.0070296265492331</v>
      </c>
      <c r="R203" s="93">
        <f t="shared" si="392"/>
        <v>1.0013401144309131</v>
      </c>
      <c r="S203" s="93">
        <f t="shared" si="392"/>
        <v>1.0005803739378627</v>
      </c>
      <c r="T203" s="93">
        <f t="shared" si="392"/>
        <v>1.0008731138689648</v>
      </c>
      <c r="U203" s="93">
        <f t="shared" si="392"/>
        <v>1.0005943603892977</v>
      </c>
      <c r="V203" s="93">
        <f t="shared" si="392"/>
        <v>0.99993155132531431</v>
      </c>
      <c r="W203" s="93">
        <f t="shared" si="392"/>
        <v>0.99996883533784808</v>
      </c>
      <c r="X203" s="93">
        <f>IF(X202=0,1,X202)</f>
        <v>1</v>
      </c>
      <c r="Y203" s="285" t="s">
        <v>40</v>
      </c>
      <c r="Z203" s="107"/>
      <c r="AA203" s="93">
        <f>IF(AA202=0,1,AA202)</f>
        <v>1.5922191206813017</v>
      </c>
      <c r="AB203" s="93">
        <f t="shared" ref="AB203:AI203" si="393">IF(AB202=0,1,AB202)</f>
        <v>1.1938655799710205</v>
      </c>
      <c r="AC203" s="93">
        <f t="shared" si="393"/>
        <v>1.0813035932854604</v>
      </c>
      <c r="AD203" s="93">
        <f t="shared" si="393"/>
        <v>1.0362287802072296</v>
      </c>
      <c r="AE203" s="93">
        <f t="shared" si="393"/>
        <v>1.0195018117067129</v>
      </c>
      <c r="AF203" s="93">
        <f t="shared" si="393"/>
        <v>1.0081780499995237</v>
      </c>
      <c r="AG203" s="93">
        <f t="shared" si="393"/>
        <v>1.0048621654328482</v>
      </c>
      <c r="AH203" s="93">
        <f t="shared" si="393"/>
        <v>1.0030250265111351</v>
      </c>
      <c r="AI203" s="93">
        <f t="shared" si="393"/>
        <v>1.0039698389696838</v>
      </c>
      <c r="AJ203" s="93">
        <f>IF(AJ202=0,1,AJ202)</f>
        <v>1</v>
      </c>
      <c r="AK203" s="285" t="s">
        <v>40</v>
      </c>
      <c r="AL203" s="107"/>
      <c r="AM203" s="93">
        <f>IF(AM202=0,1,AM202)</f>
        <v>1.0114261722102686</v>
      </c>
      <c r="AN203" s="93">
        <f t="shared" ref="AN203:AU203" si="394">IF(AN202=0,1,AN202)</f>
        <v>1.0009831925972972</v>
      </c>
      <c r="AO203" s="93">
        <f t="shared" si="394"/>
        <v>1.0007596321500432</v>
      </c>
      <c r="AP203" s="93">
        <f t="shared" si="394"/>
        <v>1.0002777055190726</v>
      </c>
      <c r="AQ203" s="93">
        <f t="shared" si="394"/>
        <v>1.0001421475714452</v>
      </c>
      <c r="AR203" s="93">
        <f t="shared" si="394"/>
        <v>1.0000876859928913</v>
      </c>
      <c r="AS203" s="93">
        <f t="shared" si="394"/>
        <v>1.0000254450208972</v>
      </c>
      <c r="AT203" s="93">
        <f t="shared" si="394"/>
        <v>0.99996927031373595</v>
      </c>
      <c r="AU203" s="93">
        <f t="shared" si="394"/>
        <v>1.0000091646877611</v>
      </c>
      <c r="AV203" s="93">
        <f>IF(AV202=0,1,AV202)</f>
        <v>1</v>
      </c>
      <c r="AW203" s="285" t="s">
        <v>40</v>
      </c>
      <c r="AX203" s="107"/>
      <c r="AY203" s="93">
        <f>IF(AY202=0,1,AY202)</f>
        <v>0.95703575561912502</v>
      </c>
      <c r="AZ203" s="93">
        <f t="shared" ref="AZ203:BG203" si="395">IF(AZ202=0,1,AZ202)</f>
        <v>0.99424393636228725</v>
      </c>
      <c r="BA203" s="93">
        <f t="shared" si="395"/>
        <v>0.99730272561103506</v>
      </c>
      <c r="BB203" s="93">
        <f t="shared" si="395"/>
        <v>0.99915691556442299</v>
      </c>
      <c r="BC203" s="93">
        <f t="shared" si="395"/>
        <v>0.99974344420986883</v>
      </c>
      <c r="BD203" s="93">
        <f t="shared" si="395"/>
        <v>0.99987996420474234</v>
      </c>
      <c r="BE203" s="93">
        <f t="shared" si="395"/>
        <v>0.99984525196206353</v>
      </c>
      <c r="BF203" s="93">
        <f t="shared" si="395"/>
        <v>0.99987558317683645</v>
      </c>
      <c r="BG203" s="93">
        <f t="shared" si="395"/>
        <v>0.99983893454149597</v>
      </c>
      <c r="BH203" s="93">
        <f>IF(BH202=0,1,BH202)</f>
        <v>1</v>
      </c>
      <c r="BI203" s="285" t="s">
        <v>40</v>
      </c>
      <c r="BJ203" s="107"/>
      <c r="BK203" s="93">
        <f>IF(BK202=0,1,BK202)</f>
        <v>0.9901559872591692</v>
      </c>
      <c r="BL203" s="93">
        <f t="shared" ref="BL203:BS203" si="396">IF(BL202=0,1,BL202)</f>
        <v>1.0002065900457875</v>
      </c>
      <c r="BM203" s="93">
        <f t="shared" si="396"/>
        <v>1.0002417356221971</v>
      </c>
      <c r="BN203" s="93">
        <f t="shared" si="396"/>
        <v>1.0000755344791659</v>
      </c>
      <c r="BO203" s="93">
        <f t="shared" si="396"/>
        <v>0.99999311629434107</v>
      </c>
      <c r="BP203" s="93">
        <f t="shared" si="396"/>
        <v>0.99999412775457008</v>
      </c>
      <c r="BQ203" s="93">
        <f t="shared" si="396"/>
        <v>0.99999811608342093</v>
      </c>
      <c r="BR203" s="93">
        <f t="shared" si="396"/>
        <v>0.99997754108536363</v>
      </c>
      <c r="BS203" s="93">
        <f t="shared" si="396"/>
        <v>0.99995146995888373</v>
      </c>
      <c r="BT203" s="93">
        <f>IF(BT202=0,1,BT202)</f>
        <v>1</v>
      </c>
      <c r="BU203" s="285" t="s">
        <v>40</v>
      </c>
      <c r="BV203" s="107"/>
      <c r="BW203" s="93">
        <f>IF(BW202=0,1,BW202)</f>
        <v>1.0102879574884558</v>
      </c>
      <c r="BX203" s="93">
        <f t="shared" ref="BX203:CE203" si="397">IF(BX202=0,1,BX202)</f>
        <v>1.0260532386468324</v>
      </c>
      <c r="BY203" s="93">
        <f t="shared" si="397"/>
        <v>0.99977762594810793</v>
      </c>
      <c r="BZ203" s="93">
        <f t="shared" si="397"/>
        <v>1.0071627953555491</v>
      </c>
      <c r="CA203" s="93">
        <f t="shared" si="397"/>
        <v>1</v>
      </c>
      <c r="CB203" s="93">
        <f t="shared" si="397"/>
        <v>1</v>
      </c>
      <c r="CC203" s="93">
        <f t="shared" si="397"/>
        <v>1</v>
      </c>
      <c r="CD203" s="93">
        <f t="shared" si="397"/>
        <v>1</v>
      </c>
      <c r="CE203" s="93">
        <f t="shared" si="397"/>
        <v>1</v>
      </c>
      <c r="CF203" s="93">
        <f>IF(CF202=0,1,CF202)</f>
        <v>1</v>
      </c>
      <c r="CG203" s="285" t="s">
        <v>40</v>
      </c>
      <c r="CH203" s="107"/>
      <c r="CI203" s="93">
        <f>IF(CI202=0,1,CI202)</f>
        <v>1</v>
      </c>
      <c r="CJ203" s="93">
        <f t="shared" ref="CJ203:CQ203" si="398">IF(CJ202=0,1,CJ202)</f>
        <v>1</v>
      </c>
      <c r="CK203" s="93">
        <f t="shared" si="398"/>
        <v>1</v>
      </c>
      <c r="CL203" s="93">
        <f t="shared" si="398"/>
        <v>1</v>
      </c>
      <c r="CM203" s="93">
        <f t="shared" si="398"/>
        <v>1</v>
      </c>
      <c r="CN203" s="93">
        <f t="shared" si="398"/>
        <v>1</v>
      </c>
      <c r="CO203" s="93">
        <f t="shared" si="398"/>
        <v>1</v>
      </c>
      <c r="CP203" s="93">
        <f t="shared" si="398"/>
        <v>1</v>
      </c>
      <c r="CQ203" s="93">
        <f t="shared" si="398"/>
        <v>1</v>
      </c>
      <c r="CR203" s="93">
        <f>IF(CR202=0,1,CR202)</f>
        <v>1</v>
      </c>
      <c r="CS203" s="285"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5"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1.5554848506210206</v>
      </c>
      <c r="D204" s="113">
        <f>PRODUCT(D203:L203)</f>
        <v>1.2712877105055771</v>
      </c>
      <c r="E204" s="113">
        <f>PRODUCT(E203:L203)</f>
        <v>1.1367828415337518</v>
      </c>
      <c r="F204" s="113">
        <f>PRODUCT(F203:L203)</f>
        <v>1.0555543754496597</v>
      </c>
      <c r="G204" s="113">
        <f>PRODUCT(G203:L203)</f>
        <v>1.0206411917502733</v>
      </c>
      <c r="H204" s="113">
        <f>PRODUCT(H203:L203)</f>
        <v>1.0048705043814452</v>
      </c>
      <c r="I204" s="113">
        <f>PRODUCT(I203:L203)</f>
        <v>1.0014463564568181</v>
      </c>
      <c r="J204" s="113">
        <f>PRODUCT(J203:L203)</f>
        <v>1.000295156200647</v>
      </c>
      <c r="K204" s="113">
        <f>PRODUCT(K203:L203)</f>
        <v>1.0001441880587703</v>
      </c>
      <c r="L204" s="114">
        <f>PRODUCT(L203:L203)</f>
        <v>1</v>
      </c>
      <c r="M204" s="111" t="s">
        <v>39</v>
      </c>
      <c r="N204" s="115"/>
      <c r="O204" s="113">
        <f>PRODUCT(O203:X203)</f>
        <v>1.398542279729988</v>
      </c>
      <c r="P204" s="113">
        <f>PRODUCT(P203:X203)</f>
        <v>1.0560151620949929</v>
      </c>
      <c r="Q204" s="113">
        <f>PRODUCT(Q203:X203)</f>
        <v>1.0103448996499165</v>
      </c>
      <c r="R204" s="113">
        <f>PRODUCT(R203:X203)</f>
        <v>1.0032921306516513</v>
      </c>
      <c r="S204" s="113">
        <f>PRODUCT(S203:X203)</f>
        <v>1.0019494037965786</v>
      </c>
      <c r="T204" s="113">
        <f>PRODUCT(T203:X203)</f>
        <v>1.001368235770334</v>
      </c>
      <c r="U204" s="113">
        <f>PRODUCT(U203:X203)</f>
        <v>1.0004946899806861</v>
      </c>
      <c r="V204" s="113">
        <f>PRODUCT(V203:X203)</f>
        <v>0.99990038879634224</v>
      </c>
      <c r="W204" s="113">
        <f>PRODUCT(W203:X203)</f>
        <v>0.99996883533784808</v>
      </c>
      <c r="X204" s="114">
        <f>PRODUCT(X203:X203)</f>
        <v>1</v>
      </c>
      <c r="Y204" s="111" t="s">
        <v>39</v>
      </c>
      <c r="Z204" s="115"/>
      <c r="AA204" s="113">
        <f>PRODUCT(AA203:AJ203)</f>
        <v>2.2152652368090551</v>
      </c>
      <c r="AB204" s="113">
        <f>PRODUCT(AB203:AJ203)</f>
        <v>1.3913067667854382</v>
      </c>
      <c r="AC204" s="113">
        <f>PRODUCT(AC203:AJ203)</f>
        <v>1.1653797463691102</v>
      </c>
      <c r="AD204" s="113">
        <f>PRODUCT(AD203:AJ203)</f>
        <v>1.0777544378893542</v>
      </c>
      <c r="AE204" s="113">
        <f>PRODUCT(AE203:AJ203)</f>
        <v>1.0400738316434521</v>
      </c>
      <c r="AF204" s="113">
        <f>PRODUCT(AF203:AJ203)</f>
        <v>1.0201785025789216</v>
      </c>
      <c r="AG204" s="113">
        <f>PRODUCT(AG203:AJ203)</f>
        <v>1.0119031083640471</v>
      </c>
      <c r="AH204" s="113">
        <f>PRODUCT(AH203:AJ203)</f>
        <v>1.0070068743489471</v>
      </c>
      <c r="AI204" s="113">
        <f>PRODUCT(AI203:AJ203)</f>
        <v>1.0039698389696838</v>
      </c>
      <c r="AJ204" s="114">
        <f>PRODUCT(AJ203:AJ203)</f>
        <v>1</v>
      </c>
      <c r="AK204" s="111" t="s">
        <v>39</v>
      </c>
      <c r="AL204" s="115"/>
      <c r="AM204" s="113">
        <f>PRODUCT(AM203:AV203)</f>
        <v>1.0137079091788515</v>
      </c>
      <c r="AN204" s="113">
        <f>PRODUCT(AN203:AV203)</f>
        <v>1.0022559599813368</v>
      </c>
      <c r="AO204" s="113">
        <f>PRODUCT(AO203:AV203)</f>
        <v>1.0012715172377036</v>
      </c>
      <c r="AP204" s="113">
        <f>PRODUCT(AP203:AV203)</f>
        <v>1.0005114965384454</v>
      </c>
      <c r="AQ204" s="113">
        <f>PRODUCT(AQ203:AV203)</f>
        <v>1.0002337261123415</v>
      </c>
      <c r="AR204" s="113">
        <f>PRODUCT(AR203:AV203)</f>
        <v>1.0000915655250795</v>
      </c>
      <c r="AS204" s="113">
        <f>PRODUCT(AS203:AV203)</f>
        <v>1.0000038791920374</v>
      </c>
      <c r="AT204" s="113">
        <f>PRODUCT(AT203:AV203)</f>
        <v>0.99997843471986914</v>
      </c>
      <c r="AU204" s="113">
        <f>PRODUCT(AU203:AV203)</f>
        <v>1.0000091646877611</v>
      </c>
      <c r="AV204" s="114">
        <f>PRODUCT(AV203:AV203)</f>
        <v>1</v>
      </c>
      <c r="AW204" s="111" t="s">
        <v>39</v>
      </c>
      <c r="AX204" s="115"/>
      <c r="AY204" s="113">
        <f>PRODUCT(AY203:BH203)</f>
        <v>0.94738618275305764</v>
      </c>
      <c r="AZ204" s="113">
        <f>PRODUCT(AZ203:BH203)</f>
        <v>0.9899172284740555</v>
      </c>
      <c r="BA204" s="113">
        <f>PRODUCT(BA203:BH203)</f>
        <v>0.99564824312224387</v>
      </c>
      <c r="BB204" s="113">
        <f>PRODUCT(BB203:BH203)</f>
        <v>0.99834104284857195</v>
      </c>
      <c r="BC204" s="113">
        <f>PRODUCT(BC203:BH203)</f>
        <v>0.99918343885415617</v>
      </c>
      <c r="BD204" s="113">
        <f>PRODUCT(BD203:BH203)</f>
        <v>0.99943985093480148</v>
      </c>
      <c r="BE204" s="113">
        <f>PRODUCT(BE203:BH203)</f>
        <v>0.99955983389437053</v>
      </c>
      <c r="BF204" s="113">
        <f>PRODUCT(BF203:BH203)</f>
        <v>0.99971453775758512</v>
      </c>
      <c r="BG204" s="113">
        <f>PRODUCT(BG203:BH203)</f>
        <v>0.99983893454149597</v>
      </c>
      <c r="BH204" s="114">
        <f>PRODUCT(BH203:BH203)</f>
        <v>1</v>
      </c>
      <c r="BI204" s="111" t="s">
        <v>39</v>
      </c>
      <c r="BJ204" s="115"/>
      <c r="BK204" s="113">
        <f>PRODUCT(BK203:BT203)</f>
        <v>0.99058994536127176</v>
      </c>
      <c r="BL204" s="113">
        <f>PRODUCT(BL203:BT203)</f>
        <v>1.0004382724618006</v>
      </c>
      <c r="BM204" s="113">
        <f>PRODUCT(BM203:BT203)</f>
        <v>1.0002316345626181</v>
      </c>
      <c r="BN204" s="113">
        <f>PRODUCT(BN203:BT203)</f>
        <v>0.99998990138161692</v>
      </c>
      <c r="BO204" s="113">
        <f>PRODUCT(BO203:BT203)</f>
        <v>0.99991437337021383</v>
      </c>
      <c r="BP204" s="113">
        <f>PRODUCT(BP203:BT203)</f>
        <v>0.99992125653382591</v>
      </c>
      <c r="BQ204" s="113">
        <f>PRODUCT(BQ203:BT203)</f>
        <v>0.99992712835133557</v>
      </c>
      <c r="BR204" s="113">
        <f>PRODUCT(BR203:BT203)</f>
        <v>0.9999290121341794</v>
      </c>
      <c r="BS204" s="113">
        <f>PRODUCT(BS203:BT203)</f>
        <v>0.99995146995888373</v>
      </c>
      <c r="BT204" s="114">
        <f>PRODUCT(BT203:BT203)</f>
        <v>1</v>
      </c>
      <c r="BU204" s="111" t="s">
        <v>39</v>
      </c>
      <c r="BV204" s="115"/>
      <c r="BW204" s="113">
        <f>PRODUCT(BW203:CF203)</f>
        <v>1.0438020844038325</v>
      </c>
      <c r="BX204" s="113">
        <f>PRODUCT(BX203:CF203)</f>
        <v>1.033172846085082</v>
      </c>
      <c r="BY204" s="113">
        <f>PRODUCT(BY203:CF203)</f>
        <v>1.006938828483831</v>
      </c>
      <c r="BZ204" s="113">
        <f>PRODUCT(BZ203:CF203)</f>
        <v>1.0071627953555491</v>
      </c>
      <c r="CA204" s="113">
        <f>PRODUCT(CA203:CF203)</f>
        <v>1</v>
      </c>
      <c r="CB204" s="113">
        <f>PRODUCT(CB203:CF203)</f>
        <v>1</v>
      </c>
      <c r="CC204" s="113">
        <f>PRODUCT(CC203:CF203)</f>
        <v>1</v>
      </c>
      <c r="CD204" s="113">
        <f>PRODUCT(CD203:CF203)</f>
        <v>1</v>
      </c>
      <c r="CE204" s="113">
        <f>PRODUCT(CE203:CF203)</f>
        <v>1</v>
      </c>
      <c r="CF204" s="114">
        <f>PRODUCT(CF203:CF203)</f>
        <v>1</v>
      </c>
      <c r="CG204" s="111" t="s">
        <v>39</v>
      </c>
      <c r="CH204" s="115"/>
      <c r="CI204" s="113">
        <f>PRODUCT(CI203:CR203)</f>
        <v>1</v>
      </c>
      <c r="CJ204" s="113">
        <f>PRODUCT(CJ203:CR203)</f>
        <v>1</v>
      </c>
      <c r="CK204" s="113">
        <f>PRODUCT(CK203:CR203)</f>
        <v>1</v>
      </c>
      <c r="CL204" s="113">
        <f>PRODUCT(CL203:CR203)</f>
        <v>1</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1397272652.5986259</v>
      </c>
      <c r="D205" s="99">
        <f>D204*D187</f>
        <v>1065918503.7194455</v>
      </c>
      <c r="E205" s="99">
        <f>E204*E186</f>
        <v>1031956647.6375777</v>
      </c>
      <c r="F205" s="99">
        <f>F204*F185</f>
        <v>1315983210.0011842</v>
      </c>
      <c r="G205" s="99">
        <f>G204*G184</f>
        <v>1365149642.974606</v>
      </c>
      <c r="H205" s="99">
        <f>H204*H183</f>
        <v>1428819850.9789751</v>
      </c>
      <c r="I205" s="99">
        <f>I204*I182</f>
        <v>1412096174.3855245</v>
      </c>
      <c r="J205" s="99">
        <f>J204*J181</f>
        <v>1240226087.7268746</v>
      </c>
      <c r="K205" s="99">
        <f>K204*K180</f>
        <v>1158525770.3493562</v>
      </c>
      <c r="L205" s="99">
        <f>L204*L179</f>
        <v>1012681785.6000001</v>
      </c>
      <c r="M205" s="95" t="s">
        <v>41</v>
      </c>
      <c r="N205" s="106"/>
      <c r="O205" s="99">
        <f>O204*O188</f>
        <v>59252359.59100391</v>
      </c>
      <c r="P205" s="99">
        <f>P204*P187</f>
        <v>52170548.732145347</v>
      </c>
      <c r="Q205" s="99">
        <f>Q204*Q186</f>
        <v>52419845.639614232</v>
      </c>
      <c r="R205" s="99">
        <f>R204*R185</f>
        <v>71198946.031653658</v>
      </c>
      <c r="S205" s="99">
        <f>S204*S184</f>
        <v>71570130.604454637</v>
      </c>
      <c r="T205" s="99">
        <f>T204*T183</f>
        <v>71099195.591908962</v>
      </c>
      <c r="U205" s="99">
        <f>U204*U182</f>
        <v>65024846.054945223</v>
      </c>
      <c r="V205" s="99">
        <f>V204*V181</f>
        <v>63443040.312821314</v>
      </c>
      <c r="W205" s="99">
        <f>W204*W180</f>
        <v>63390392.948251143</v>
      </c>
      <c r="X205" s="99">
        <f>X204*X179</f>
        <v>64009608.699999996</v>
      </c>
      <c r="Y205" s="95" t="s">
        <v>41</v>
      </c>
      <c r="Z205" s="106"/>
      <c r="AA205" s="99">
        <f>AA204*AA188</f>
        <v>295631691.26629722</v>
      </c>
      <c r="AB205" s="99">
        <f>AB204*AB187</f>
        <v>258956196.53702635</v>
      </c>
      <c r="AC205" s="99">
        <f>AC204*AC186</f>
        <v>208696299.96988338</v>
      </c>
      <c r="AD205" s="99">
        <f>AD204*AD185</f>
        <v>226630978.74068943</v>
      </c>
      <c r="AE205" s="99">
        <f>AE204*AE184</f>
        <v>231597872.07125744</v>
      </c>
      <c r="AF205" s="99">
        <f>AF204*AF183</f>
        <v>226581386.52187803</v>
      </c>
      <c r="AG205" s="99">
        <f>AG204*AG182</f>
        <v>198799574.54956263</v>
      </c>
      <c r="AH205" s="99">
        <f>AH204*AH181</f>
        <v>184087848.02796429</v>
      </c>
      <c r="AI205" s="99">
        <f>AI204*AI180</f>
        <v>160144941.61592481</v>
      </c>
      <c r="AJ205" s="99">
        <f>AJ204*AJ179</f>
        <v>139583779.97000006</v>
      </c>
      <c r="AK205" s="95" t="s">
        <v>41</v>
      </c>
      <c r="AL205" s="106"/>
      <c r="AM205" s="99">
        <f>AM204*AM188</f>
        <v>378586919.65500605</v>
      </c>
      <c r="AN205" s="99">
        <f>AN204*AN187</f>
        <v>286102120.92745709</v>
      </c>
      <c r="AO205" s="99">
        <f>AO204*AO186</f>
        <v>235835618.419613</v>
      </c>
      <c r="AP205" s="99">
        <f>AP204*AP185</f>
        <v>234401690.59848732</v>
      </c>
      <c r="AQ205" s="99">
        <f>AQ204*AQ184</f>
        <v>219086619.45838773</v>
      </c>
      <c r="AR205" s="99">
        <f>AR204*AR183</f>
        <v>226696981.28761634</v>
      </c>
      <c r="AS205" s="99">
        <f>AS204*AS182</f>
        <v>208376364.16879705</v>
      </c>
      <c r="AT205" s="99">
        <f>AT204*AT181</f>
        <v>194312939.31666118</v>
      </c>
      <c r="AU205" s="99">
        <f>AU204*AU180</f>
        <v>180060582.9338972</v>
      </c>
      <c r="AV205" s="99">
        <f>AV204*AV179</f>
        <v>174614204.84000006</v>
      </c>
      <c r="AW205" s="95" t="s">
        <v>41</v>
      </c>
      <c r="AX205" s="106"/>
      <c r="AY205" s="99">
        <f>AY204*AY188</f>
        <v>1162219832.6769192</v>
      </c>
      <c r="AZ205" s="99">
        <f>AZ204*AZ187</f>
        <v>823763540.30163074</v>
      </c>
      <c r="BA205" s="99">
        <f>BA204*BA186</f>
        <v>710442901.53460491</v>
      </c>
      <c r="BB205" s="99">
        <f>BB204*BB185</f>
        <v>861548440.51230192</v>
      </c>
      <c r="BC205" s="99">
        <f>BC204*BC184</f>
        <v>835160572.65896988</v>
      </c>
      <c r="BD205" s="99">
        <f>BD204*BD183</f>
        <v>851004039.26630843</v>
      </c>
      <c r="BE205" s="99">
        <f>BE204*BE182</f>
        <v>812266905.81640708</v>
      </c>
      <c r="BF205" s="99">
        <f>BF204*BF181</f>
        <v>731108822.54195535</v>
      </c>
      <c r="BG205" s="99">
        <f>BG204*BG180</f>
        <v>638259637.51838732</v>
      </c>
      <c r="BH205" s="99">
        <f>BH204*BH179</f>
        <v>575490046.37999976</v>
      </c>
      <c r="BI205" s="95" t="s">
        <v>41</v>
      </c>
      <c r="BJ205" s="106"/>
      <c r="BK205" s="99">
        <f>BK204*BK188</f>
        <v>68726991.389772117</v>
      </c>
      <c r="BL205" s="99">
        <f>BL204*BL187</f>
        <v>52168441.745124005</v>
      </c>
      <c r="BM205" s="99">
        <f>BM204*BM186</f>
        <v>45459730.936334677</v>
      </c>
      <c r="BN205" s="99">
        <f>BN204*BN185</f>
        <v>53592795.09134873</v>
      </c>
      <c r="BO205" s="99">
        <f>BO204*BO184</f>
        <v>51170115.140287459</v>
      </c>
      <c r="BP205" s="99">
        <f>BP204*BP183</f>
        <v>53913013.998090111</v>
      </c>
      <c r="BQ205" s="99">
        <f>BQ204*BQ182</f>
        <v>49441888.32551536</v>
      </c>
      <c r="BR205" s="99">
        <f>BR204*BR181</f>
        <v>44548242.740814887</v>
      </c>
      <c r="BS205" s="99">
        <f>BS204*BS180</f>
        <v>41021329.906556293</v>
      </c>
      <c r="BT205" s="99">
        <f>BT204*BT179</f>
        <v>38057465.469999991</v>
      </c>
      <c r="BU205" s="95" t="s">
        <v>41</v>
      </c>
      <c r="BV205" s="106"/>
      <c r="BW205" s="99">
        <f>BW204*BW188</f>
        <v>352502.40192401828</v>
      </c>
      <c r="BX205" s="99">
        <f>BX204*BX187</f>
        <v>219120.46306195462</v>
      </c>
      <c r="BY205" s="99">
        <f>BY204*BY186</f>
        <v>168536.28572359835</v>
      </c>
      <c r="BZ205" s="99">
        <f>BZ204*BZ185</f>
        <v>477546.23941783363</v>
      </c>
      <c r="CA205" s="99">
        <f>CA204*CA184</f>
        <v>539653.41999999993</v>
      </c>
      <c r="CB205" s="99">
        <f>CB204*CB183</f>
        <v>379934.12</v>
      </c>
      <c r="CC205" s="99">
        <f>CC204*CC182</f>
        <v>275600</v>
      </c>
      <c r="CD205" s="99">
        <f>CD204*CD181</f>
        <v>511667.20000000001</v>
      </c>
      <c r="CE205" s="99">
        <f>CE204*CE180</f>
        <v>367111.87</v>
      </c>
      <c r="CF205" s="99">
        <f>CF204*CF179</f>
        <v>262757.52</v>
      </c>
      <c r="CG205" s="95" t="s">
        <v>41</v>
      </c>
      <c r="CH205" s="106"/>
      <c r="CI205" s="99">
        <f>CI204*CI188</f>
        <v>0</v>
      </c>
      <c r="CJ205" s="99">
        <f>CJ204*CJ187</f>
        <v>0</v>
      </c>
      <c r="CK205" s="99">
        <f>CK204*CK186</f>
        <v>0</v>
      </c>
      <c r="CL205" s="99">
        <f>CL204*CL185</f>
        <v>0</v>
      </c>
      <c r="CM205" s="99">
        <f>CM204*CM184</f>
        <v>0</v>
      </c>
      <c r="CN205" s="99">
        <f>CN204*CN183</f>
        <v>0</v>
      </c>
      <c r="CO205" s="99">
        <f>CO204*CO182</f>
        <v>0</v>
      </c>
      <c r="CP205" s="99">
        <f>CP204*CP181</f>
        <v>0</v>
      </c>
      <c r="CQ205" s="99">
        <f>CQ204*CQ180</f>
        <v>0</v>
      </c>
      <c r="CR205" s="99">
        <f>CR204*CR179</f>
        <v>0</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Mutual Automobile Insurance Company</v>
      </c>
      <c r="B206" s="68"/>
      <c r="C206" s="40"/>
      <c r="D206" s="18"/>
      <c r="E206" s="18"/>
      <c r="F206" s="18"/>
      <c r="G206" s="18"/>
      <c r="H206" s="18"/>
      <c r="I206" s="18"/>
      <c r="J206" s="18"/>
      <c r="K206" s="18"/>
      <c r="L206" s="18"/>
      <c r="M206" s="137" t="str">
        <f>Co_Name</f>
        <v>State Farm Mutual Automobile Insurance Company</v>
      </c>
      <c r="N206" s="68"/>
      <c r="O206" s="40"/>
      <c r="P206" s="18"/>
      <c r="Q206" s="18"/>
      <c r="R206" s="18"/>
      <c r="S206" s="18"/>
      <c r="T206" s="18"/>
      <c r="U206" s="18"/>
      <c r="V206" s="18"/>
      <c r="W206" s="18"/>
      <c r="X206" s="18"/>
      <c r="Y206" s="137" t="str">
        <f>Co_Name</f>
        <v>State Farm Mutual Automobile Insurance Company</v>
      </c>
      <c r="Z206" s="68"/>
      <c r="AA206" s="40"/>
      <c r="AB206" s="18"/>
      <c r="AC206" s="18"/>
      <c r="AD206" s="18"/>
      <c r="AE206" s="18"/>
      <c r="AF206" s="18"/>
      <c r="AG206" s="18"/>
      <c r="AH206" s="18"/>
      <c r="AI206" s="18"/>
      <c r="AJ206" s="18"/>
      <c r="AK206" s="137" t="str">
        <f>Co_Name</f>
        <v>State Farm Mutual Automobile Insurance Company</v>
      </c>
      <c r="AL206" s="68"/>
      <c r="AM206" s="40"/>
      <c r="AN206" s="18"/>
      <c r="AO206" s="18"/>
      <c r="AP206" s="18"/>
      <c r="AQ206" s="18"/>
      <c r="AR206" s="18"/>
      <c r="AS206" s="18"/>
      <c r="AT206" s="18"/>
      <c r="AU206" s="18"/>
      <c r="AV206" s="18"/>
      <c r="AW206" s="137" t="str">
        <f>Co_Name</f>
        <v>State Farm Mutual Automobile Insurance Company</v>
      </c>
      <c r="AX206" s="68"/>
      <c r="AY206" s="40"/>
      <c r="AZ206" s="18"/>
      <c r="BA206" s="18"/>
      <c r="BB206" s="18"/>
      <c r="BC206" s="18"/>
      <c r="BD206" s="18"/>
      <c r="BE206" s="18"/>
      <c r="BF206" s="18"/>
      <c r="BG206" s="18"/>
      <c r="BH206" s="18"/>
      <c r="BI206" s="137" t="str">
        <f>Co_Name</f>
        <v>State Farm Mutual Automobile Insurance Company</v>
      </c>
      <c r="BJ206" s="68"/>
      <c r="BK206" s="40"/>
      <c r="BL206" s="18"/>
      <c r="BM206" s="18"/>
      <c r="BN206" s="18"/>
      <c r="BO206" s="18"/>
      <c r="BP206" s="18"/>
      <c r="BQ206" s="18"/>
      <c r="BR206" s="18"/>
      <c r="BS206" s="18"/>
      <c r="BT206" s="18"/>
      <c r="BU206" s="137" t="str">
        <f>Co_Name</f>
        <v>State Farm Mutual Automobile Insurance Company</v>
      </c>
      <c r="BV206" s="68"/>
      <c r="BW206" s="40"/>
      <c r="BX206" s="18"/>
      <c r="BY206" s="18"/>
      <c r="BZ206" s="18"/>
      <c r="CA206" s="18"/>
      <c r="CB206" s="18"/>
      <c r="CC206" s="18"/>
      <c r="CD206" s="18"/>
      <c r="CE206" s="18"/>
      <c r="CF206" s="18"/>
      <c r="CG206" s="137" t="str">
        <f>Co_Name</f>
        <v>State Farm Mutual Automobile Insurance Company</v>
      </c>
      <c r="CH206" s="68"/>
      <c r="CI206" s="40"/>
      <c r="CJ206" s="18"/>
      <c r="CK206" s="18"/>
      <c r="CL206" s="18"/>
      <c r="CM206" s="18"/>
      <c r="CN206" s="18"/>
      <c r="CO206" s="18"/>
      <c r="CP206" s="18"/>
      <c r="CQ206" s="18"/>
      <c r="CR206" s="18"/>
      <c r="CS206" s="137" t="str">
        <f>Co_Name</f>
        <v>State Farm Mutual Automobile Insurance Company</v>
      </c>
      <c r="CT206" s="68"/>
      <c r="CU206" s="40"/>
      <c r="CV206" s="18"/>
      <c r="CW206" s="18"/>
      <c r="CX206" s="18"/>
      <c r="CY206" s="18"/>
      <c r="CZ206" s="18"/>
      <c r="DA206" s="18"/>
      <c r="DB206" s="18"/>
      <c r="DC206" s="18"/>
      <c r="DD206" s="18"/>
      <c r="DE206" s="137" t="str">
        <f>Co_Name</f>
        <v>State Farm Mutual Automobile Insurance Company</v>
      </c>
      <c r="DF206" s="68"/>
      <c r="DG206" s="40"/>
      <c r="DH206" s="18"/>
      <c r="DI206" s="18"/>
      <c r="DJ206" s="18"/>
      <c r="DK206" s="18"/>
      <c r="DL206" s="18"/>
      <c r="DM206" s="18"/>
      <c r="DN206" s="18"/>
      <c r="DO206" s="18"/>
      <c r="DP206" s="18"/>
    </row>
    <row r="207" spans="1:120" ht="21" x14ac:dyDescent="0.35">
      <c r="A207" s="137" t="str">
        <f>A$2</f>
        <v>Private Passenger Auto Liability</v>
      </c>
      <c r="B207" s="68"/>
      <c r="C207" s="40"/>
      <c r="D207" s="18"/>
      <c r="E207" s="18"/>
      <c r="F207" s="18"/>
      <c r="G207" s="18"/>
      <c r="H207" s="18"/>
      <c r="I207" s="18"/>
      <c r="J207" s="18"/>
      <c r="K207" s="18"/>
      <c r="L207" s="18"/>
      <c r="M207" s="137" t="str">
        <f>M$2</f>
        <v>Private Passenger Auto Liability</v>
      </c>
      <c r="N207" s="68"/>
      <c r="O207" s="40"/>
      <c r="P207" s="18"/>
      <c r="Q207" s="18"/>
      <c r="R207" s="18"/>
      <c r="S207" s="18"/>
      <c r="T207" s="18"/>
      <c r="U207" s="18"/>
      <c r="V207" s="18"/>
      <c r="W207" s="18"/>
      <c r="X207" s="18"/>
      <c r="Y207" s="137" t="str">
        <f>Y$2</f>
        <v>Private Passenger Auto Liability</v>
      </c>
      <c r="Z207" s="68"/>
      <c r="AA207" s="40"/>
      <c r="AB207" s="18"/>
      <c r="AC207" s="18"/>
      <c r="AD207" s="18"/>
      <c r="AE207" s="18"/>
      <c r="AF207" s="18"/>
      <c r="AG207" s="18"/>
      <c r="AH207" s="18"/>
      <c r="AI207" s="18"/>
      <c r="AJ207" s="18"/>
      <c r="AK207" s="137" t="str">
        <f>AK$2</f>
        <v>Private Passenger Auto Liability</v>
      </c>
      <c r="AL207" s="68"/>
      <c r="AM207" s="40"/>
      <c r="AN207" s="18"/>
      <c r="AO207" s="18"/>
      <c r="AP207" s="18"/>
      <c r="AQ207" s="18"/>
      <c r="AR207" s="18"/>
      <c r="AS207" s="18"/>
      <c r="AT207" s="18"/>
      <c r="AU207" s="18"/>
      <c r="AV207" s="18"/>
      <c r="AW207" s="137" t="str">
        <f>AW$2</f>
        <v>Private Passenger Auto Physical Damage</v>
      </c>
      <c r="AX207" s="68"/>
      <c r="AY207" s="40"/>
      <c r="AZ207" s="18"/>
      <c r="BA207" s="18"/>
      <c r="BB207" s="18"/>
      <c r="BC207" s="18"/>
      <c r="BD207" s="18"/>
      <c r="BE207" s="18"/>
      <c r="BF207" s="18"/>
      <c r="BG207" s="18"/>
      <c r="BH207" s="18"/>
      <c r="BI207" s="137" t="str">
        <f>BI$2</f>
        <v>Private Passenger Auto Physical Damage</v>
      </c>
      <c r="BJ207" s="68"/>
      <c r="BK207" s="40"/>
      <c r="BL207" s="18"/>
      <c r="BM207" s="18"/>
      <c r="BN207" s="18"/>
      <c r="BO207" s="18"/>
      <c r="BP207" s="18"/>
      <c r="BQ207" s="18"/>
      <c r="BR207" s="18"/>
      <c r="BS207" s="18"/>
      <c r="BT207" s="18"/>
      <c r="BU207" s="137" t="str">
        <f>BU$2</f>
        <v>Private Passenger Auto Physical Damage</v>
      </c>
      <c r="BV207" s="68"/>
      <c r="BW207" s="40"/>
      <c r="BX207" s="18"/>
      <c r="BY207" s="18"/>
      <c r="BZ207" s="18"/>
      <c r="CA207" s="18"/>
      <c r="CB207" s="18"/>
      <c r="CC207" s="18"/>
      <c r="CD207" s="18"/>
      <c r="CE207" s="18"/>
      <c r="CF207" s="18"/>
      <c r="CG207" s="137" t="str">
        <f>CG$2</f>
        <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194</v>
      </c>
      <c r="B209" s="48"/>
      <c r="C209" s="18"/>
      <c r="D209" s="18"/>
      <c r="E209" s="18"/>
      <c r="F209" s="18"/>
      <c r="G209" s="18"/>
      <c r="H209" s="18"/>
      <c r="I209" s="18"/>
      <c r="J209" s="18"/>
      <c r="K209" s="18"/>
      <c r="L209" s="18"/>
      <c r="M209" s="48" t="s">
        <v>194</v>
      </c>
      <c r="N209" s="48"/>
      <c r="O209" s="18"/>
      <c r="P209" s="18"/>
      <c r="Q209" s="18"/>
      <c r="R209" s="18"/>
      <c r="S209" s="18"/>
      <c r="T209" s="18"/>
      <c r="U209" s="18"/>
      <c r="V209" s="18"/>
      <c r="W209" s="18"/>
      <c r="X209" s="18"/>
      <c r="Y209" s="48" t="s">
        <v>194</v>
      </c>
      <c r="Z209" s="48"/>
      <c r="AA209" s="18"/>
      <c r="AB209" s="18"/>
      <c r="AC209" s="18"/>
      <c r="AD209" s="18"/>
      <c r="AE209" s="18"/>
      <c r="AF209" s="18"/>
      <c r="AG209" s="18"/>
      <c r="AH209" s="18"/>
      <c r="AI209" s="18"/>
      <c r="AJ209" s="18"/>
      <c r="AK209" s="48" t="s">
        <v>194</v>
      </c>
      <c r="AL209" s="48"/>
      <c r="AM209" s="18"/>
      <c r="AN209" s="18"/>
      <c r="AO209" s="18"/>
      <c r="AP209" s="18"/>
      <c r="AQ209" s="18"/>
      <c r="AR209" s="18"/>
      <c r="AS209" s="18"/>
      <c r="AT209" s="18"/>
      <c r="AU209" s="18"/>
      <c r="AV209" s="18"/>
      <c r="AW209" s="48" t="s">
        <v>194</v>
      </c>
      <c r="AX209" s="48"/>
      <c r="AY209" s="18"/>
      <c r="AZ209" s="18"/>
      <c r="BA209" s="18"/>
      <c r="BB209" s="18"/>
      <c r="BC209" s="18"/>
      <c r="BD209" s="18"/>
      <c r="BE209" s="18"/>
      <c r="BF209" s="18"/>
      <c r="BG209" s="18"/>
      <c r="BH209" s="18"/>
      <c r="BI209" s="48" t="s">
        <v>194</v>
      </c>
      <c r="BJ209" s="48"/>
      <c r="BK209" s="18"/>
      <c r="BL209" s="18"/>
      <c r="BM209" s="18"/>
      <c r="BN209" s="18"/>
      <c r="BO209" s="18"/>
      <c r="BP209" s="18"/>
      <c r="BQ209" s="18"/>
      <c r="BR209" s="18"/>
      <c r="BS209" s="18"/>
      <c r="BT209" s="18"/>
      <c r="BU209" s="48" t="s">
        <v>194</v>
      </c>
      <c r="BV209" s="48"/>
      <c r="BW209" s="18"/>
      <c r="BX209" s="18"/>
      <c r="BY209" s="18"/>
      <c r="BZ209" s="18"/>
      <c r="CA209" s="18"/>
      <c r="CB209" s="18"/>
      <c r="CC209" s="18"/>
      <c r="CD209" s="18"/>
      <c r="CE209" s="18"/>
      <c r="CF209" s="18"/>
      <c r="CG209" s="48" t="s">
        <v>194</v>
      </c>
      <c r="CH209" s="48"/>
      <c r="CI209" s="18"/>
      <c r="CJ209" s="18"/>
      <c r="CK209" s="18"/>
      <c r="CL209" s="18"/>
      <c r="CM209" s="18"/>
      <c r="CN209" s="18"/>
      <c r="CO209" s="18"/>
      <c r="CP209" s="18"/>
      <c r="CQ209" s="18"/>
      <c r="CR209" s="18"/>
      <c r="CS209" s="48" t="s">
        <v>194</v>
      </c>
      <c r="CT209" s="48"/>
      <c r="CU209" s="18"/>
      <c r="CV209" s="18"/>
      <c r="CW209" s="18"/>
      <c r="CX209" s="18"/>
      <c r="CY209" s="18"/>
      <c r="CZ209" s="18"/>
      <c r="DA209" s="18"/>
      <c r="DB209" s="18"/>
      <c r="DC209" s="18"/>
      <c r="DD209" s="18"/>
      <c r="DE209" s="48" t="s">
        <v>194</v>
      </c>
      <c r="DF209" s="48"/>
      <c r="DG209" s="18"/>
      <c r="DH209" s="18"/>
      <c r="DI209" s="18"/>
      <c r="DJ209" s="18"/>
      <c r="DK209" s="18"/>
      <c r="DL209" s="18"/>
      <c r="DM209" s="18"/>
      <c r="DN209" s="18"/>
      <c r="DO209" s="18"/>
      <c r="DP209" s="18"/>
    </row>
    <row r="210" spans="1:120" x14ac:dyDescent="0.25">
      <c r="A210" s="138" t="str">
        <f>A$5</f>
        <v>BIPD</v>
      </c>
      <c r="B210" s="69"/>
      <c r="C210" s="18"/>
      <c r="D210" s="18"/>
      <c r="E210" s="18"/>
      <c r="F210" s="18"/>
      <c r="G210" s="18"/>
      <c r="H210" s="18"/>
      <c r="I210" s="18"/>
      <c r="J210" s="18"/>
      <c r="K210" s="18"/>
      <c r="L210" s="18"/>
      <c r="M210" s="138" t="str">
        <f>M$5</f>
        <v>MPC</v>
      </c>
      <c r="N210" s="69"/>
      <c r="O210" s="18"/>
      <c r="P210" s="18"/>
      <c r="Q210" s="18"/>
      <c r="R210" s="18"/>
      <c r="S210" s="18"/>
      <c r="T210" s="18"/>
      <c r="U210" s="18"/>
      <c r="V210" s="18"/>
      <c r="W210" s="18"/>
      <c r="X210" s="18"/>
      <c r="Y210" s="138" t="str">
        <f>Y$5</f>
        <v>UM</v>
      </c>
      <c r="Z210" s="69"/>
      <c r="AA210" s="18"/>
      <c r="AB210" s="18"/>
      <c r="AC210" s="18"/>
      <c r="AD210" s="18"/>
      <c r="AE210" s="18"/>
      <c r="AF210" s="18"/>
      <c r="AG210" s="18"/>
      <c r="AH210" s="18"/>
      <c r="AI210" s="18"/>
      <c r="AJ210" s="18"/>
      <c r="AK210" s="138" t="str">
        <f>AK$5</f>
        <v>COMP</v>
      </c>
      <c r="AL210" s="69"/>
      <c r="AM210" s="18"/>
      <c r="AN210" s="18"/>
      <c r="AO210" s="18"/>
      <c r="AP210" s="18"/>
      <c r="AQ210" s="18"/>
      <c r="AR210" s="18"/>
      <c r="AS210" s="18"/>
      <c r="AT210" s="18"/>
      <c r="AU210" s="18"/>
      <c r="AV210" s="18"/>
      <c r="AW210" s="138" t="str">
        <f>AW$5</f>
        <v>COLL</v>
      </c>
      <c r="AX210" s="69"/>
      <c r="AY210" s="18"/>
      <c r="AZ210" s="18"/>
      <c r="BA210" s="18"/>
      <c r="BB210" s="18"/>
      <c r="BC210" s="18"/>
      <c r="BD210" s="18"/>
      <c r="BE210" s="18"/>
      <c r="BF210" s="18"/>
      <c r="BG210" s="18"/>
      <c r="BH210" s="18"/>
      <c r="BI210" s="138" t="str">
        <f>BI$5</f>
        <v>Misc. Damage</v>
      </c>
      <c r="BJ210" s="69"/>
      <c r="BK210" s="18"/>
      <c r="BL210" s="18"/>
      <c r="BM210" s="18"/>
      <c r="BN210" s="18"/>
      <c r="BO210" s="18"/>
      <c r="BP210" s="18"/>
      <c r="BQ210" s="18"/>
      <c r="BR210" s="18"/>
      <c r="BS210" s="18"/>
      <c r="BT210" s="18"/>
      <c r="BU210" s="138" t="str">
        <f>BU$5</f>
        <v>Misc. Liability</v>
      </c>
      <c r="BV210" s="69"/>
      <c r="BW210" s="18"/>
      <c r="BX210" s="18"/>
      <c r="BY210" s="18"/>
      <c r="BZ210" s="18"/>
      <c r="CA210" s="18"/>
      <c r="CB210" s="18"/>
      <c r="CC210" s="18"/>
      <c r="CD210" s="18"/>
      <c r="CE210" s="18"/>
      <c r="CF210" s="18"/>
      <c r="CG210" s="138">
        <f>CG$5</f>
        <v>0</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ht="30" x14ac:dyDescent="0.25">
      <c r="A213" s="92" t="str">
        <f>$A$35</f>
        <v>Fiscal Accident Year Data Ending</v>
      </c>
      <c r="B213" s="98">
        <f>$B$35</f>
        <v>3</v>
      </c>
      <c r="C213" s="98" t="str">
        <f>$C$35</f>
        <v>15</v>
      </c>
      <c r="D213" s="98">
        <f>$D$35</f>
        <v>27</v>
      </c>
      <c r="E213" s="98">
        <f>$E$35</f>
        <v>39</v>
      </c>
      <c r="F213" s="98">
        <f>$F$35</f>
        <v>51</v>
      </c>
      <c r="G213" s="98">
        <f>$G$35</f>
        <v>63</v>
      </c>
      <c r="H213" s="98">
        <f>$H$35</f>
        <v>75</v>
      </c>
      <c r="I213" s="98">
        <f>$I$35</f>
        <v>87</v>
      </c>
      <c r="J213" s="98">
        <f>$J$35</f>
        <v>99</v>
      </c>
      <c r="K213" s="98">
        <f>$K$35</f>
        <v>111</v>
      </c>
      <c r="L213" s="98">
        <f>$L$35</f>
        <v>123</v>
      </c>
      <c r="M213" s="92" t="str">
        <f>$A$35</f>
        <v>Fiscal Accident Year Data Ending</v>
      </c>
      <c r="N213" s="98">
        <f>$B$35</f>
        <v>3</v>
      </c>
      <c r="O213" s="98" t="str">
        <f>$C$35</f>
        <v>15</v>
      </c>
      <c r="P213" s="98">
        <f>$D$35</f>
        <v>27</v>
      </c>
      <c r="Q213" s="98">
        <f>$E$35</f>
        <v>39</v>
      </c>
      <c r="R213" s="98">
        <f>$F$35</f>
        <v>51</v>
      </c>
      <c r="S213" s="98">
        <f>$G$35</f>
        <v>63</v>
      </c>
      <c r="T213" s="98">
        <f>$H$35</f>
        <v>75</v>
      </c>
      <c r="U213" s="98">
        <f>$I$35</f>
        <v>87</v>
      </c>
      <c r="V213" s="98">
        <f>$J$35</f>
        <v>99</v>
      </c>
      <c r="W213" s="98">
        <f>$K$35</f>
        <v>111</v>
      </c>
      <c r="X213" s="98">
        <f>$L$35</f>
        <v>123</v>
      </c>
      <c r="Y213" s="92" t="str">
        <f>$A$35</f>
        <v>Fiscal Accident Year Data Ending</v>
      </c>
      <c r="Z213" s="98">
        <f>$B$35</f>
        <v>3</v>
      </c>
      <c r="AA213" s="98" t="str">
        <f>$C$35</f>
        <v>15</v>
      </c>
      <c r="AB213" s="98">
        <f>$D$35</f>
        <v>27</v>
      </c>
      <c r="AC213" s="98">
        <f>$E$35</f>
        <v>39</v>
      </c>
      <c r="AD213" s="98">
        <f>$F$35</f>
        <v>51</v>
      </c>
      <c r="AE213" s="98">
        <f>$G$35</f>
        <v>63</v>
      </c>
      <c r="AF213" s="98">
        <f>$H$35</f>
        <v>75</v>
      </c>
      <c r="AG213" s="98">
        <f>$I$35</f>
        <v>87</v>
      </c>
      <c r="AH213" s="98">
        <f>$J$35</f>
        <v>99</v>
      </c>
      <c r="AI213" s="98">
        <f>$K$35</f>
        <v>111</v>
      </c>
      <c r="AJ213" s="98">
        <f>$L$35</f>
        <v>123</v>
      </c>
      <c r="AK213" s="92" t="str">
        <f>$A$35</f>
        <v>Fiscal Accident Year Data Ending</v>
      </c>
      <c r="AL213" s="98">
        <f>$B$35</f>
        <v>3</v>
      </c>
      <c r="AM213" s="98" t="str">
        <f>$C$35</f>
        <v>15</v>
      </c>
      <c r="AN213" s="98">
        <f>$D$35</f>
        <v>27</v>
      </c>
      <c r="AO213" s="98">
        <f>$E$35</f>
        <v>39</v>
      </c>
      <c r="AP213" s="98">
        <f>$F$35</f>
        <v>51</v>
      </c>
      <c r="AQ213" s="98">
        <f>$G$35</f>
        <v>63</v>
      </c>
      <c r="AR213" s="98">
        <f>$H$35</f>
        <v>75</v>
      </c>
      <c r="AS213" s="98">
        <f>$I$35</f>
        <v>87</v>
      </c>
      <c r="AT213" s="98">
        <f>$J$35</f>
        <v>99</v>
      </c>
      <c r="AU213" s="98">
        <f>$K$35</f>
        <v>111</v>
      </c>
      <c r="AV213" s="98">
        <f>$L$35</f>
        <v>123</v>
      </c>
      <c r="AW213" s="92" t="str">
        <f>$A$35</f>
        <v>Fiscal Accident Year Data Ending</v>
      </c>
      <c r="AX213" s="98">
        <f>$B$35</f>
        <v>3</v>
      </c>
      <c r="AY213" s="98" t="str">
        <f>$C$35</f>
        <v>15</v>
      </c>
      <c r="AZ213" s="98">
        <f>$D$35</f>
        <v>27</v>
      </c>
      <c r="BA213" s="98">
        <f>$E$35</f>
        <v>39</v>
      </c>
      <c r="BB213" s="98">
        <f>$F$35</f>
        <v>51</v>
      </c>
      <c r="BC213" s="98">
        <f>$G$35</f>
        <v>63</v>
      </c>
      <c r="BD213" s="98">
        <f>$H$35</f>
        <v>75</v>
      </c>
      <c r="BE213" s="98">
        <f>$I$35</f>
        <v>87</v>
      </c>
      <c r="BF213" s="98">
        <f>$J$35</f>
        <v>99</v>
      </c>
      <c r="BG213" s="98">
        <f>$K$35</f>
        <v>111</v>
      </c>
      <c r="BH213" s="98">
        <f>$L$35</f>
        <v>123</v>
      </c>
      <c r="BI213" s="92" t="str">
        <f>$A$35</f>
        <v>Fiscal Accident Year Data Ending</v>
      </c>
      <c r="BJ213" s="98">
        <f>$B$35</f>
        <v>3</v>
      </c>
      <c r="BK213" s="98" t="str">
        <f>$C$35</f>
        <v>15</v>
      </c>
      <c r="BL213" s="98">
        <f>$D$35</f>
        <v>27</v>
      </c>
      <c r="BM213" s="98">
        <f>$E$35</f>
        <v>39</v>
      </c>
      <c r="BN213" s="98">
        <f>$F$35</f>
        <v>51</v>
      </c>
      <c r="BO213" s="98">
        <f>$G$35</f>
        <v>63</v>
      </c>
      <c r="BP213" s="98">
        <f>$H$35</f>
        <v>75</v>
      </c>
      <c r="BQ213" s="98">
        <f>$I$35</f>
        <v>87</v>
      </c>
      <c r="BR213" s="98">
        <f>$J$35</f>
        <v>99</v>
      </c>
      <c r="BS213" s="98">
        <f>$K$35</f>
        <v>111</v>
      </c>
      <c r="BT213" s="98">
        <f>$L$35</f>
        <v>123</v>
      </c>
      <c r="BU213" s="92" t="str">
        <f>$A$35</f>
        <v>Fiscal Accident Year Data Ending</v>
      </c>
      <c r="BV213" s="98">
        <f>$B$35</f>
        <v>3</v>
      </c>
      <c r="BW213" s="98" t="str">
        <f>$C$35</f>
        <v>15</v>
      </c>
      <c r="BX213" s="98">
        <f>$D$35</f>
        <v>27</v>
      </c>
      <c r="BY213" s="98">
        <f>$E$35</f>
        <v>39</v>
      </c>
      <c r="BZ213" s="98">
        <f>$F$35</f>
        <v>51</v>
      </c>
      <c r="CA213" s="98">
        <f>$G$35</f>
        <v>63</v>
      </c>
      <c r="CB213" s="98">
        <f>$H$35</f>
        <v>75</v>
      </c>
      <c r="CC213" s="98">
        <f>$I$35</f>
        <v>87</v>
      </c>
      <c r="CD213" s="98">
        <f>$J$35</f>
        <v>99</v>
      </c>
      <c r="CE213" s="98">
        <f>$K$35</f>
        <v>111</v>
      </c>
      <c r="CF213" s="98">
        <f>$L$35</f>
        <v>123</v>
      </c>
      <c r="CG213" s="92" t="str">
        <f>$A$35</f>
        <v>Fiscal Accident Year Data Ending</v>
      </c>
      <c r="CH213" s="98">
        <f>$B$35</f>
        <v>3</v>
      </c>
      <c r="CI213" s="98" t="str">
        <f>$C$35</f>
        <v>15</v>
      </c>
      <c r="CJ213" s="98">
        <f>$D$35</f>
        <v>27</v>
      </c>
      <c r="CK213" s="98">
        <f>$E$35</f>
        <v>39</v>
      </c>
      <c r="CL213" s="98">
        <f>$F$35</f>
        <v>51</v>
      </c>
      <c r="CM213" s="98">
        <f>$G$35</f>
        <v>63</v>
      </c>
      <c r="CN213" s="98">
        <f>$H$35</f>
        <v>75</v>
      </c>
      <c r="CO213" s="98">
        <f>$I$35</f>
        <v>87</v>
      </c>
      <c r="CP213" s="98">
        <f>$J$35</f>
        <v>99</v>
      </c>
      <c r="CQ213" s="98">
        <f>$K$35</f>
        <v>111</v>
      </c>
      <c r="CR213" s="98">
        <f>$L$35</f>
        <v>123</v>
      </c>
      <c r="CS213" s="92" t="str">
        <f>$A$35</f>
        <v>Fiscal Accident Year Data Ending</v>
      </c>
      <c r="CT213" s="98">
        <f>$B$35</f>
        <v>3</v>
      </c>
      <c r="CU213" s="98" t="str">
        <f>$C$35</f>
        <v>15</v>
      </c>
      <c r="CV213" s="98">
        <f>$D$35</f>
        <v>27</v>
      </c>
      <c r="CW213" s="98">
        <f>$E$35</f>
        <v>39</v>
      </c>
      <c r="CX213" s="98">
        <f>$F$35</f>
        <v>51</v>
      </c>
      <c r="CY213" s="98">
        <f>$G$35</f>
        <v>63</v>
      </c>
      <c r="CZ213" s="98">
        <f>$H$35</f>
        <v>75</v>
      </c>
      <c r="DA213" s="98">
        <f>$I$35</f>
        <v>87</v>
      </c>
      <c r="DB213" s="98">
        <f>$J$35</f>
        <v>99</v>
      </c>
      <c r="DC213" s="98">
        <f>$K$35</f>
        <v>111</v>
      </c>
      <c r="DD213" s="98">
        <f>$L$35</f>
        <v>123</v>
      </c>
      <c r="DE213" s="92" t="str">
        <f>$A$35</f>
        <v>Fiscal Accident Year Data Ending</v>
      </c>
      <c r="DF213" s="98">
        <f>$B$35</f>
        <v>3</v>
      </c>
      <c r="DG213" s="98" t="str">
        <f>$C$35</f>
        <v>15</v>
      </c>
      <c r="DH213" s="98">
        <f>$D$35</f>
        <v>27</v>
      </c>
      <c r="DI213" s="98">
        <f>$E$35</f>
        <v>39</v>
      </c>
      <c r="DJ213" s="98">
        <f>$F$35</f>
        <v>51</v>
      </c>
      <c r="DK213" s="98">
        <f>$G$35</f>
        <v>63</v>
      </c>
      <c r="DL213" s="98">
        <f>$H$35</f>
        <v>75</v>
      </c>
      <c r="DM213" s="98">
        <f>$I$35</f>
        <v>87</v>
      </c>
      <c r="DN213" s="98">
        <f>$J$35</f>
        <v>99</v>
      </c>
      <c r="DO213" s="98">
        <f>$K$35</f>
        <v>111</v>
      </c>
      <c r="DP213" s="98">
        <f>$L$35</f>
        <v>123</v>
      </c>
    </row>
    <row r="214" spans="1:120" ht="15" customHeight="1" x14ac:dyDescent="0.25">
      <c r="A214" s="31">
        <f>$A$36</f>
        <v>20133</v>
      </c>
      <c r="B214" s="21">
        <v>154280507.69</v>
      </c>
      <c r="C214" s="21">
        <v>713878580.17000008</v>
      </c>
      <c r="D214" s="21">
        <v>788962428.47000003</v>
      </c>
      <c r="E214" s="21">
        <v>861211325.18000007</v>
      </c>
      <c r="F214" s="21">
        <v>907708372.30999994</v>
      </c>
      <c r="G214" s="21">
        <v>917527394.20000005</v>
      </c>
      <c r="H214" s="21">
        <v>919066771.24000001</v>
      </c>
      <c r="I214" s="21">
        <v>919557716.22000003</v>
      </c>
      <c r="J214" s="21">
        <v>919919474.09000003</v>
      </c>
      <c r="K214" s="21">
        <v>919967408.75</v>
      </c>
      <c r="L214" s="21">
        <v>920057675.80000019</v>
      </c>
      <c r="M214" s="31">
        <f>$A$36</f>
        <v>20133</v>
      </c>
      <c r="N214" s="21">
        <v>11605818.199999999</v>
      </c>
      <c r="O214" s="21">
        <v>60053330.469999999</v>
      </c>
      <c r="P214" s="21">
        <v>63729161.530000001</v>
      </c>
      <c r="Q214" s="21">
        <v>63487503.519999996</v>
      </c>
      <c r="R214" s="21">
        <v>63140038.240000002</v>
      </c>
      <c r="S214" s="21">
        <v>63184763.229999997</v>
      </c>
      <c r="T214" s="21">
        <v>63112173.419999994</v>
      </c>
      <c r="U214" s="21">
        <v>63114925.109999992</v>
      </c>
      <c r="V214" s="21">
        <v>63141093.179999992</v>
      </c>
      <c r="W214" s="21">
        <v>63136270.449999996</v>
      </c>
      <c r="X214" s="21">
        <v>63134270.549999997</v>
      </c>
      <c r="Y214" s="31">
        <f>$A$36</f>
        <v>20133</v>
      </c>
      <c r="Z214" s="21">
        <v>9256645.2100000009</v>
      </c>
      <c r="AA214" s="21">
        <v>70036203.25</v>
      </c>
      <c r="AB214" s="21">
        <v>96466048.26000002</v>
      </c>
      <c r="AC214" s="21">
        <v>112437692.17000003</v>
      </c>
      <c r="AD214" s="21">
        <v>119198545.86000004</v>
      </c>
      <c r="AE214" s="21">
        <v>122331042.02000004</v>
      </c>
      <c r="AF214" s="21">
        <v>124720869.73000006</v>
      </c>
      <c r="AG214" s="21">
        <v>125869842.57000005</v>
      </c>
      <c r="AH214" s="21">
        <v>126303759.27000007</v>
      </c>
      <c r="AI214" s="21">
        <v>126219542.24000008</v>
      </c>
      <c r="AJ214" s="21">
        <v>126421553.64000006</v>
      </c>
      <c r="AK214" s="31">
        <f>$A$36</f>
        <v>20133</v>
      </c>
      <c r="AL214" s="21">
        <v>40468951.780000001</v>
      </c>
      <c r="AM214" s="21">
        <v>172360430.86000001</v>
      </c>
      <c r="AN214" s="21">
        <v>172959364.75</v>
      </c>
      <c r="AO214" s="21">
        <v>173016868.73999998</v>
      </c>
      <c r="AP214" s="21">
        <v>173017623.26000002</v>
      </c>
      <c r="AQ214" s="21">
        <v>173111802.94000003</v>
      </c>
      <c r="AR214" s="21">
        <v>173124699.70000005</v>
      </c>
      <c r="AS214" s="21">
        <v>173141578.57000002</v>
      </c>
      <c r="AT214" s="21">
        <v>173146835.25000003</v>
      </c>
      <c r="AU214" s="21">
        <v>173142534.83000001</v>
      </c>
      <c r="AV214" s="21">
        <v>173144135.10000005</v>
      </c>
      <c r="AW214" s="31">
        <f>$A$36</f>
        <v>20133</v>
      </c>
      <c r="AX214" s="21">
        <v>191632241.69</v>
      </c>
      <c r="AY214" s="21">
        <v>631460084.0999999</v>
      </c>
      <c r="AZ214" s="21">
        <v>587189375.04999983</v>
      </c>
      <c r="BA214" s="21">
        <v>577953582.92999971</v>
      </c>
      <c r="BB214" s="21">
        <v>575978388.70999968</v>
      </c>
      <c r="BC214" s="21">
        <v>575410249.27999961</v>
      </c>
      <c r="BD214" s="21">
        <v>575123414.94999957</v>
      </c>
      <c r="BE214" s="21">
        <v>574946131.50999951</v>
      </c>
      <c r="BF214" s="21">
        <v>574782505.23999953</v>
      </c>
      <c r="BG214" s="21">
        <v>574668989.09999943</v>
      </c>
      <c r="BH214" s="21">
        <v>574575258.09999979</v>
      </c>
      <c r="BI214" s="31">
        <f>$A$36</f>
        <v>20133</v>
      </c>
      <c r="BJ214" s="21">
        <v>9348534.4100000001</v>
      </c>
      <c r="BK214" s="21">
        <v>39572411.739999995</v>
      </c>
      <c r="BL214" s="21">
        <v>38316439.11999999</v>
      </c>
      <c r="BM214" s="21">
        <v>38085351.859999977</v>
      </c>
      <c r="BN214" s="21">
        <v>38052010.729999974</v>
      </c>
      <c r="BO214" s="21">
        <v>38042316.429999985</v>
      </c>
      <c r="BP214" s="21">
        <v>38034233.719999991</v>
      </c>
      <c r="BQ214" s="21">
        <v>38030480.699999981</v>
      </c>
      <c r="BR214" s="21">
        <v>38029463.86999999</v>
      </c>
      <c r="BS214" s="21">
        <v>38027362.719999984</v>
      </c>
      <c r="BT214" s="21">
        <v>38025515.699999988</v>
      </c>
      <c r="BU214" s="31">
        <f>$A$36</f>
        <v>20133</v>
      </c>
      <c r="BV214" s="21">
        <v>56600</v>
      </c>
      <c r="BW214" s="21">
        <v>237192.95</v>
      </c>
      <c r="BX214" s="21">
        <v>286400</v>
      </c>
      <c r="BY214" s="21">
        <v>263650</v>
      </c>
      <c r="BZ214" s="21">
        <v>260000</v>
      </c>
      <c r="CA214" s="21">
        <v>258250</v>
      </c>
      <c r="CB214" s="21">
        <v>258250</v>
      </c>
      <c r="CC214" s="21">
        <v>258250</v>
      </c>
      <c r="CD214" s="21">
        <v>258250</v>
      </c>
      <c r="CE214" s="21">
        <v>258250</v>
      </c>
      <c r="CF214" s="21">
        <v>258250</v>
      </c>
      <c r="CG214" s="31">
        <f>$A$36</f>
        <v>20133</v>
      </c>
      <c r="CH214" s="21"/>
      <c r="CI214" s="21"/>
      <c r="CJ214" s="21"/>
      <c r="CK214" s="21"/>
      <c r="CL214" s="21"/>
      <c r="CM214" s="21"/>
      <c r="CN214" s="21"/>
      <c r="CO214" s="21"/>
      <c r="CP214" s="21"/>
      <c r="CQ214" s="21"/>
      <c r="CR214" s="21"/>
      <c r="CS214" s="31">
        <f>$A$36</f>
        <v>20133</v>
      </c>
      <c r="CT214" s="21"/>
      <c r="CU214" s="21"/>
      <c r="CV214" s="21"/>
      <c r="CW214" s="21"/>
      <c r="CX214" s="21"/>
      <c r="CY214" s="21"/>
      <c r="CZ214" s="21"/>
      <c r="DA214" s="21"/>
      <c r="DB214" s="21"/>
      <c r="DC214" s="21"/>
      <c r="DD214" s="21"/>
      <c r="DE214" s="31">
        <f>$A$36</f>
        <v>20133</v>
      </c>
      <c r="DF214" s="21"/>
      <c r="DG214" s="21"/>
      <c r="DH214" s="21"/>
      <c r="DI214" s="21"/>
      <c r="DJ214" s="21"/>
      <c r="DK214" s="21"/>
      <c r="DL214" s="21"/>
      <c r="DM214" s="21"/>
      <c r="DN214" s="21"/>
      <c r="DO214" s="21"/>
      <c r="DP214" s="21"/>
    </row>
    <row r="215" spans="1:120" ht="15" customHeight="1" x14ac:dyDescent="0.25">
      <c r="A215" s="31">
        <f>$A$37</f>
        <v>20143</v>
      </c>
      <c r="B215" s="21">
        <v>155418092.16999999</v>
      </c>
      <c r="C215" s="21">
        <v>748627242.63999999</v>
      </c>
      <c r="D215" s="21">
        <v>871213954.79999995</v>
      </c>
      <c r="E215" s="21">
        <v>992013418.43999994</v>
      </c>
      <c r="F215" s="21">
        <v>1037327257.75</v>
      </c>
      <c r="G215" s="21">
        <v>1060814243.9400001</v>
      </c>
      <c r="H215" s="21">
        <v>1063310201.9499998</v>
      </c>
      <c r="I215" s="21">
        <v>1063760097.9799998</v>
      </c>
      <c r="J215" s="21">
        <v>1064152129.4699998</v>
      </c>
      <c r="K215" s="21">
        <v>1064088750.3699999</v>
      </c>
      <c r="L215" s="134" t="s">
        <v>246</v>
      </c>
      <c r="M215" s="31">
        <f>$A$37</f>
        <v>20143</v>
      </c>
      <c r="N215" s="21">
        <v>13282070.969999999</v>
      </c>
      <c r="O215" s="21">
        <v>57854189.400000006</v>
      </c>
      <c r="P215" s="21">
        <v>62751279.979999997</v>
      </c>
      <c r="Q215" s="21">
        <v>61952042.709999993</v>
      </c>
      <c r="R215" s="21">
        <v>62181162.080000006</v>
      </c>
      <c r="S215" s="21">
        <v>62274659.630000003</v>
      </c>
      <c r="T215" s="21">
        <v>62325003.500000007</v>
      </c>
      <c r="U215" s="21">
        <v>62409833.540000014</v>
      </c>
      <c r="V215" s="21">
        <v>62499096.06000001</v>
      </c>
      <c r="W215" s="21">
        <v>62495197.56000001</v>
      </c>
      <c r="X215" s="134" t="s">
        <v>246</v>
      </c>
      <c r="Y215" s="31">
        <f>$A$37</f>
        <v>20143</v>
      </c>
      <c r="Z215" s="21">
        <v>9656488.9000000004</v>
      </c>
      <c r="AA215" s="21">
        <v>73400828.140000001</v>
      </c>
      <c r="AB215" s="21">
        <v>109234950.56</v>
      </c>
      <c r="AC215" s="21">
        <v>130676460.41000001</v>
      </c>
      <c r="AD215" s="21">
        <v>138756077.73000002</v>
      </c>
      <c r="AE215" s="21">
        <v>143136397.82000002</v>
      </c>
      <c r="AF215" s="21">
        <v>144941781.27000001</v>
      </c>
      <c r="AG215" s="21">
        <v>145320337.15000001</v>
      </c>
      <c r="AH215" s="21">
        <v>145779223.59000006</v>
      </c>
      <c r="AI215" s="21">
        <v>146029245.77000013</v>
      </c>
      <c r="AJ215" s="134" t="s">
        <v>246</v>
      </c>
      <c r="AK215" s="31">
        <f>$A$37</f>
        <v>20143</v>
      </c>
      <c r="AL215" s="21">
        <v>41106044.530000001</v>
      </c>
      <c r="AM215" s="21">
        <v>178455492.78999999</v>
      </c>
      <c r="AN215" s="21">
        <v>179037886.44000003</v>
      </c>
      <c r="AO215" s="21">
        <v>178823983.62</v>
      </c>
      <c r="AP215" s="21">
        <v>178901419.94999999</v>
      </c>
      <c r="AQ215" s="21">
        <v>178835624.18999994</v>
      </c>
      <c r="AR215" s="21">
        <v>178902974.87999997</v>
      </c>
      <c r="AS215" s="21">
        <v>178932481.65999997</v>
      </c>
      <c r="AT215" s="21">
        <v>178925658.92999995</v>
      </c>
      <c r="AU215" s="21">
        <v>178919060.06999993</v>
      </c>
      <c r="AV215" s="134" t="s">
        <v>246</v>
      </c>
      <c r="AW215" s="31">
        <f>$A$37</f>
        <v>20143</v>
      </c>
      <c r="AX215" s="21">
        <v>202130092.15000001</v>
      </c>
      <c r="AY215" s="21">
        <v>708454374.0200001</v>
      </c>
      <c r="AZ215" s="21">
        <v>646714189.56000018</v>
      </c>
      <c r="BA215" s="21">
        <v>639954137.81000018</v>
      </c>
      <c r="BB215" s="21">
        <v>638025798.7900002</v>
      </c>
      <c r="BC215" s="21">
        <v>637602428.68000019</v>
      </c>
      <c r="BD215" s="21">
        <v>637455742.57000005</v>
      </c>
      <c r="BE215" s="21">
        <v>637386492.88000011</v>
      </c>
      <c r="BF215" s="21">
        <v>637308747.16000009</v>
      </c>
      <c r="BG215" s="21">
        <v>637271209.29999995</v>
      </c>
      <c r="BH215" s="134" t="s">
        <v>246</v>
      </c>
      <c r="BI215" s="31">
        <f>$A$37</f>
        <v>20143</v>
      </c>
      <c r="BJ215" s="21">
        <v>10213703.98</v>
      </c>
      <c r="BK215" s="21">
        <v>42666031.960000001</v>
      </c>
      <c r="BL215" s="21">
        <v>41146285.500000007</v>
      </c>
      <c r="BM215" s="21">
        <v>41016556.640000001</v>
      </c>
      <c r="BN215" s="21">
        <v>41013354.640000008</v>
      </c>
      <c r="BO215" s="21">
        <v>41014197.500000007</v>
      </c>
      <c r="BP215" s="21">
        <v>41013524.369999997</v>
      </c>
      <c r="BQ215" s="21">
        <v>41012818.149999991</v>
      </c>
      <c r="BR215" s="21">
        <v>41012858.059999987</v>
      </c>
      <c r="BS215" s="21">
        <v>41013183.059999987</v>
      </c>
      <c r="BT215" s="134" t="s">
        <v>246</v>
      </c>
      <c r="BU215" s="31">
        <f>$A$37</f>
        <v>20143</v>
      </c>
      <c r="BV215" s="21">
        <v>39600</v>
      </c>
      <c r="BW215" s="21">
        <v>342201.32</v>
      </c>
      <c r="BX215" s="21">
        <v>352751.32</v>
      </c>
      <c r="BY215" s="21">
        <v>357451.32</v>
      </c>
      <c r="BZ215" s="21">
        <v>366601.32</v>
      </c>
      <c r="CA215" s="21">
        <v>366601.32</v>
      </c>
      <c r="CB215" s="21">
        <v>366601.32</v>
      </c>
      <c r="CC215" s="21">
        <v>366601.32</v>
      </c>
      <c r="CD215" s="21">
        <v>366601.32</v>
      </c>
      <c r="CE215" s="21">
        <v>366601.32</v>
      </c>
      <c r="CF215" s="134" t="s">
        <v>246</v>
      </c>
      <c r="CG215" s="31">
        <f>$A$37</f>
        <v>20143</v>
      </c>
      <c r="CH215" s="21"/>
      <c r="CI215" s="21"/>
      <c r="CJ215" s="21"/>
      <c r="CK215" s="21"/>
      <c r="CL215" s="21"/>
      <c r="CM215" s="21"/>
      <c r="CN215" s="21"/>
      <c r="CO215" s="21"/>
      <c r="CP215" s="21"/>
      <c r="CQ215" s="21"/>
      <c r="CR215" s="134"/>
      <c r="CS215" s="31">
        <f>$A$37</f>
        <v>20143</v>
      </c>
      <c r="CT215" s="21"/>
      <c r="CU215" s="21"/>
      <c r="CV215" s="21"/>
      <c r="CW215" s="21"/>
      <c r="CX215" s="21"/>
      <c r="CY215" s="21"/>
      <c r="CZ215" s="21"/>
      <c r="DA215" s="21"/>
      <c r="DB215" s="21"/>
      <c r="DC215" s="21"/>
      <c r="DD215" s="134"/>
      <c r="DE215" s="31">
        <f>$A$37</f>
        <v>20143</v>
      </c>
      <c r="DF215" s="21"/>
      <c r="DG215" s="21"/>
      <c r="DH215" s="21"/>
      <c r="DI215" s="21"/>
      <c r="DJ215" s="21"/>
      <c r="DK215" s="21"/>
      <c r="DL215" s="21"/>
      <c r="DM215" s="21"/>
      <c r="DN215" s="21"/>
      <c r="DO215" s="21"/>
      <c r="DP215" s="134"/>
    </row>
    <row r="216" spans="1:120" ht="15" customHeight="1" x14ac:dyDescent="0.25">
      <c r="A216" s="31">
        <f>$A$38</f>
        <v>20153</v>
      </c>
      <c r="B216" s="21">
        <v>158899649.31999999</v>
      </c>
      <c r="C216" s="21">
        <v>822052326.44999993</v>
      </c>
      <c r="D216" s="21">
        <v>998576007.97000003</v>
      </c>
      <c r="E216" s="21">
        <v>1084276691.3700001</v>
      </c>
      <c r="F216" s="21">
        <v>1121214806.3800001</v>
      </c>
      <c r="G216" s="21">
        <v>1135654533.1499996</v>
      </c>
      <c r="H216" s="21">
        <v>1137528930.7599998</v>
      </c>
      <c r="I216" s="21">
        <v>1138987976.5999999</v>
      </c>
      <c r="J216" s="21">
        <v>1140021227.73</v>
      </c>
      <c r="K216" s="134" t="s">
        <v>246</v>
      </c>
      <c r="L216" s="134" t="s">
        <v>246</v>
      </c>
      <c r="M216" s="31">
        <f>$A$38</f>
        <v>20153</v>
      </c>
      <c r="N216" s="21">
        <v>14769100.189999999</v>
      </c>
      <c r="O216" s="21">
        <v>57045336.850000001</v>
      </c>
      <c r="P216" s="21">
        <v>61746640.370000012</v>
      </c>
      <c r="Q216" s="21">
        <v>62590318.680000007</v>
      </c>
      <c r="R216" s="21">
        <v>62863279.220000006</v>
      </c>
      <c r="S216" s="21">
        <v>62938377.030000009</v>
      </c>
      <c r="T216" s="21">
        <v>62923808.980000012</v>
      </c>
      <c r="U216" s="21">
        <v>62963876.850000009</v>
      </c>
      <c r="V216" s="21">
        <v>62961819.720000006</v>
      </c>
      <c r="W216" s="134" t="s">
        <v>246</v>
      </c>
      <c r="X216" s="134" t="s">
        <v>246</v>
      </c>
      <c r="Y216" s="31">
        <f>$A$38</f>
        <v>20153</v>
      </c>
      <c r="Z216" s="21">
        <v>9070701.7799999993</v>
      </c>
      <c r="AA216" s="21">
        <v>77110672.639999986</v>
      </c>
      <c r="AB216" s="21">
        <v>125221144.37999998</v>
      </c>
      <c r="AC216" s="21">
        <v>151616474.68999997</v>
      </c>
      <c r="AD216" s="21">
        <v>161738378.64999995</v>
      </c>
      <c r="AE216" s="21">
        <v>166192829.68999991</v>
      </c>
      <c r="AF216" s="21">
        <v>167777046.2299999</v>
      </c>
      <c r="AG216" s="21">
        <v>168224549.47999987</v>
      </c>
      <c r="AH216" s="21">
        <v>168351910.36999989</v>
      </c>
      <c r="AI216" s="134" t="s">
        <v>246</v>
      </c>
      <c r="AJ216" s="134" t="s">
        <v>246</v>
      </c>
      <c r="AK216" s="31">
        <f>$A$38</f>
        <v>20153</v>
      </c>
      <c r="AL216" s="21">
        <v>40207001.439999998</v>
      </c>
      <c r="AM216" s="21">
        <v>192188531.97000003</v>
      </c>
      <c r="AN216" s="21">
        <v>193092653.49999997</v>
      </c>
      <c r="AO216" s="21">
        <v>193299213.21999997</v>
      </c>
      <c r="AP216" s="21">
        <v>193294435.56999996</v>
      </c>
      <c r="AQ216" s="21">
        <v>193333765.00999999</v>
      </c>
      <c r="AR216" s="21">
        <v>193351863.29999995</v>
      </c>
      <c r="AS216" s="21">
        <v>193363792.32999995</v>
      </c>
      <c r="AT216" s="21">
        <v>193377715.54999995</v>
      </c>
      <c r="AU216" s="134" t="s">
        <v>246</v>
      </c>
      <c r="AV216" s="134" t="s">
        <v>246</v>
      </c>
      <c r="AW216" s="31">
        <f>$A$38</f>
        <v>20153</v>
      </c>
      <c r="AX216" s="21">
        <v>219573077.24000001</v>
      </c>
      <c r="AY216" s="21">
        <v>799668341.98000014</v>
      </c>
      <c r="AZ216" s="21">
        <v>739404493.59000027</v>
      </c>
      <c r="BA216" s="21">
        <v>732896725.27000034</v>
      </c>
      <c r="BB216" s="21">
        <v>730917477.32000053</v>
      </c>
      <c r="BC216" s="21">
        <v>730489872.90000069</v>
      </c>
      <c r="BD216" s="21">
        <v>730334352.5600009</v>
      </c>
      <c r="BE216" s="21">
        <v>730260468.0400008</v>
      </c>
      <c r="BF216" s="21">
        <v>730199911.26000082</v>
      </c>
      <c r="BG216" s="134" t="s">
        <v>246</v>
      </c>
      <c r="BH216" s="134" t="s">
        <v>246</v>
      </c>
      <c r="BI216" s="31">
        <f>$A$38</f>
        <v>20153</v>
      </c>
      <c r="BJ216" s="21">
        <v>10255972.59</v>
      </c>
      <c r="BK216" s="21">
        <v>45712305.459999993</v>
      </c>
      <c r="BL216" s="21">
        <v>44620080.36999999</v>
      </c>
      <c r="BM216" s="21">
        <v>44545154.999999978</v>
      </c>
      <c r="BN216" s="21">
        <v>44533346.069999978</v>
      </c>
      <c r="BO216" s="21">
        <v>44532170.00999999</v>
      </c>
      <c r="BP216" s="21">
        <v>44531757.089999996</v>
      </c>
      <c r="BQ216" s="21">
        <v>44531344.350000001</v>
      </c>
      <c r="BR216" s="21">
        <v>44532088.349999994</v>
      </c>
      <c r="BS216" s="134" t="s">
        <v>246</v>
      </c>
      <c r="BT216" s="134" t="s">
        <v>246</v>
      </c>
      <c r="BU216" s="31">
        <f>$A$38</f>
        <v>20153</v>
      </c>
      <c r="BV216" s="21">
        <v>70250</v>
      </c>
      <c r="BW216" s="21">
        <v>505807.58999999997</v>
      </c>
      <c r="BX216" s="21">
        <v>501471.43</v>
      </c>
      <c r="BY216" s="21">
        <v>501471.43</v>
      </c>
      <c r="BZ216" s="21">
        <v>501471.43</v>
      </c>
      <c r="CA216" s="21">
        <v>501471.43</v>
      </c>
      <c r="CB216" s="21">
        <v>501471.43</v>
      </c>
      <c r="CC216" s="21">
        <v>501471.43</v>
      </c>
      <c r="CD216" s="21">
        <v>501471.43</v>
      </c>
      <c r="CE216" s="134" t="s">
        <v>246</v>
      </c>
      <c r="CF216" s="134" t="s">
        <v>246</v>
      </c>
      <c r="CG216" s="31">
        <f>$A$38</f>
        <v>20153</v>
      </c>
      <c r="CH216" s="21"/>
      <c r="CI216" s="21"/>
      <c r="CJ216" s="21"/>
      <c r="CK216" s="21"/>
      <c r="CL216" s="21"/>
      <c r="CM216" s="21"/>
      <c r="CN216" s="21"/>
      <c r="CO216" s="21"/>
      <c r="CP216" s="21"/>
      <c r="CQ216" s="134"/>
      <c r="CR216" s="134"/>
      <c r="CS216" s="31">
        <f>$A$38</f>
        <v>20153</v>
      </c>
      <c r="CT216" s="21"/>
      <c r="CU216" s="21"/>
      <c r="CV216" s="21"/>
      <c r="CW216" s="21"/>
      <c r="CX216" s="21"/>
      <c r="CY216" s="21"/>
      <c r="CZ216" s="21"/>
      <c r="DA216" s="21"/>
      <c r="DB216" s="21"/>
      <c r="DC216" s="134"/>
      <c r="DD216" s="134"/>
      <c r="DE216" s="31">
        <f>$A$38</f>
        <v>20153</v>
      </c>
      <c r="DF216" s="21"/>
      <c r="DG216" s="21"/>
      <c r="DH216" s="21"/>
      <c r="DI216" s="21"/>
      <c r="DJ216" s="21"/>
      <c r="DK216" s="21"/>
      <c r="DL216" s="21"/>
      <c r="DM216" s="21"/>
      <c r="DN216" s="21"/>
      <c r="DO216" s="134"/>
      <c r="DP216" s="134"/>
    </row>
    <row r="217" spans="1:120" ht="15" customHeight="1" x14ac:dyDescent="0.25">
      <c r="A217" s="31">
        <f>$A$39</f>
        <v>20163</v>
      </c>
      <c r="B217" s="21">
        <v>158648839.13</v>
      </c>
      <c r="C217" s="21">
        <v>889057558.9799999</v>
      </c>
      <c r="D217" s="21">
        <v>1130937925.4699998</v>
      </c>
      <c r="E217" s="21">
        <v>1214486583.8599999</v>
      </c>
      <c r="F217" s="21">
        <v>1260047634.4499998</v>
      </c>
      <c r="G217" s="21">
        <v>1275548675.4900002</v>
      </c>
      <c r="H217" s="21">
        <v>1283133628.02</v>
      </c>
      <c r="I217" s="21">
        <v>1287078117.0799999</v>
      </c>
      <c r="J217" s="134" t="s">
        <v>246</v>
      </c>
      <c r="K217" s="134" t="s">
        <v>246</v>
      </c>
      <c r="L217" s="134" t="s">
        <v>246</v>
      </c>
      <c r="M217" s="31">
        <f>$A$39</f>
        <v>20163</v>
      </c>
      <c r="N217" s="21">
        <v>14012766.68</v>
      </c>
      <c r="O217" s="21">
        <v>54170412.410000004</v>
      </c>
      <c r="P217" s="21">
        <v>63375680.560000002</v>
      </c>
      <c r="Q217" s="21">
        <v>64429896.219999991</v>
      </c>
      <c r="R217" s="21">
        <v>64602100.509999998</v>
      </c>
      <c r="S217" s="21">
        <v>64585782.699999988</v>
      </c>
      <c r="T217" s="21">
        <v>64681664.079999983</v>
      </c>
      <c r="U217" s="21">
        <v>64720680.679999977</v>
      </c>
      <c r="V217" s="134" t="s">
        <v>246</v>
      </c>
      <c r="W217" s="134" t="s">
        <v>246</v>
      </c>
      <c r="X217" s="134" t="s">
        <v>246</v>
      </c>
      <c r="Y217" s="31">
        <f>$A$39</f>
        <v>20163</v>
      </c>
      <c r="Z217" s="21">
        <v>9405662.6799999997</v>
      </c>
      <c r="AA217" s="21">
        <v>88464796.920000002</v>
      </c>
      <c r="AB217" s="21">
        <v>142786309.55000001</v>
      </c>
      <c r="AC217" s="21">
        <v>166577848.88000003</v>
      </c>
      <c r="AD217" s="21">
        <v>174462595.43000001</v>
      </c>
      <c r="AE217" s="21">
        <v>177263882.48999998</v>
      </c>
      <c r="AF217" s="21">
        <v>179468223.64000002</v>
      </c>
      <c r="AG217" s="21">
        <v>180535830.97000006</v>
      </c>
      <c r="AH217" s="134" t="s">
        <v>246</v>
      </c>
      <c r="AI217" s="134" t="s">
        <v>246</v>
      </c>
      <c r="AJ217" s="134" t="s">
        <v>246</v>
      </c>
      <c r="AK217" s="31">
        <f>$A$39</f>
        <v>20163</v>
      </c>
      <c r="AL217" s="21">
        <v>44165580.379999995</v>
      </c>
      <c r="AM217" s="21">
        <v>206309033.36000001</v>
      </c>
      <c r="AN217" s="21">
        <v>207274917.61000004</v>
      </c>
      <c r="AO217" s="21">
        <v>207394453.81</v>
      </c>
      <c r="AP217" s="21">
        <v>207364492.64000002</v>
      </c>
      <c r="AQ217" s="21">
        <v>207321008.31000003</v>
      </c>
      <c r="AR217" s="21">
        <v>207355021.16000006</v>
      </c>
      <c r="AS217" s="21">
        <v>207363119.98000005</v>
      </c>
      <c r="AT217" s="134" t="s">
        <v>246</v>
      </c>
      <c r="AU217" s="134" t="s">
        <v>246</v>
      </c>
      <c r="AV217" s="134" t="s">
        <v>246</v>
      </c>
      <c r="AW217" s="31">
        <f>$A$39</f>
        <v>20163</v>
      </c>
      <c r="AX217" s="21">
        <v>245106086.37</v>
      </c>
      <c r="AY217" s="21">
        <v>889425958.88999987</v>
      </c>
      <c r="AZ217" s="21">
        <v>821996316.27999985</v>
      </c>
      <c r="BA217" s="21">
        <v>814879937.95999968</v>
      </c>
      <c r="BB217" s="21">
        <v>812677896.26999986</v>
      </c>
      <c r="BC217" s="21">
        <v>811963196.18999982</v>
      </c>
      <c r="BD217" s="21">
        <v>811781357.29999995</v>
      </c>
      <c r="BE217" s="21">
        <v>811658120.79999983</v>
      </c>
      <c r="BF217" s="134" t="s">
        <v>246</v>
      </c>
      <c r="BG217" s="134" t="s">
        <v>246</v>
      </c>
      <c r="BH217" s="134" t="s">
        <v>246</v>
      </c>
      <c r="BI217" s="31">
        <f>$A$39</f>
        <v>20163</v>
      </c>
      <c r="BJ217" s="21">
        <v>11064020.460000001</v>
      </c>
      <c r="BK217" s="21">
        <v>50665880.349999994</v>
      </c>
      <c r="BL217" s="21">
        <v>49529139.859999985</v>
      </c>
      <c r="BM217" s="21">
        <v>49445530.789999992</v>
      </c>
      <c r="BN217" s="21">
        <v>49438541.409999989</v>
      </c>
      <c r="BO217" s="21">
        <v>49437675.399999991</v>
      </c>
      <c r="BP217" s="21">
        <v>49437737.00999999</v>
      </c>
      <c r="BQ217" s="21">
        <v>49438063.099999987</v>
      </c>
      <c r="BR217" s="134" t="s">
        <v>246</v>
      </c>
      <c r="BS217" s="134" t="s">
        <v>246</v>
      </c>
      <c r="BT217" s="134" t="s">
        <v>246</v>
      </c>
      <c r="BU217" s="31">
        <f>$A$39</f>
        <v>20163</v>
      </c>
      <c r="BV217" s="21">
        <v>13150</v>
      </c>
      <c r="BW217" s="21">
        <v>223500</v>
      </c>
      <c r="BX217" s="21">
        <v>243800</v>
      </c>
      <c r="BY217" s="21">
        <v>259100</v>
      </c>
      <c r="BZ217" s="21">
        <v>267100</v>
      </c>
      <c r="CA217" s="21">
        <v>275600</v>
      </c>
      <c r="CB217" s="21">
        <v>275600</v>
      </c>
      <c r="CC217" s="21">
        <v>275600</v>
      </c>
      <c r="CD217" s="134" t="s">
        <v>246</v>
      </c>
      <c r="CE217" s="134" t="s">
        <v>246</v>
      </c>
      <c r="CF217" s="134" t="s">
        <v>246</v>
      </c>
      <c r="CG217" s="31">
        <f>$A$39</f>
        <v>20163</v>
      </c>
      <c r="CH217" s="21"/>
      <c r="CI217" s="21"/>
      <c r="CJ217" s="21"/>
      <c r="CK217" s="21"/>
      <c r="CL217" s="21"/>
      <c r="CM217" s="21"/>
      <c r="CN217" s="21"/>
      <c r="CO217" s="21"/>
      <c r="CP217" s="134"/>
      <c r="CQ217" s="134"/>
      <c r="CR217" s="134"/>
      <c r="CS217" s="31">
        <f>$A$39</f>
        <v>20163</v>
      </c>
      <c r="CT217" s="21"/>
      <c r="CU217" s="21"/>
      <c r="CV217" s="21"/>
      <c r="CW217" s="21"/>
      <c r="CX217" s="21"/>
      <c r="CY217" s="21"/>
      <c r="CZ217" s="21"/>
      <c r="DA217" s="21"/>
      <c r="DB217" s="134"/>
      <c r="DC217" s="134"/>
      <c r="DD217" s="134"/>
      <c r="DE217" s="31">
        <f>$A$39</f>
        <v>20163</v>
      </c>
      <c r="DF217" s="21"/>
      <c r="DG217" s="21"/>
      <c r="DH217" s="21"/>
      <c r="DI217" s="21"/>
      <c r="DJ217" s="21"/>
      <c r="DK217" s="21"/>
      <c r="DL217" s="21"/>
      <c r="DM217" s="21"/>
      <c r="DN217" s="134"/>
      <c r="DO217" s="134"/>
      <c r="DP217" s="134"/>
    </row>
    <row r="218" spans="1:120" ht="15" customHeight="1" x14ac:dyDescent="0.25">
      <c r="A218" s="31">
        <f>$A$40</f>
        <v>20173</v>
      </c>
      <c r="B218" s="21">
        <v>166582159.28</v>
      </c>
      <c r="C218" s="21">
        <v>916360353.69999993</v>
      </c>
      <c r="D218" s="21">
        <v>1091072328.6600003</v>
      </c>
      <c r="E218" s="21">
        <v>1196099882.2800002</v>
      </c>
      <c r="F218" s="21">
        <v>1226424706.9200003</v>
      </c>
      <c r="G218" s="21">
        <v>1252901247.0100002</v>
      </c>
      <c r="H218" s="21">
        <v>1282248898.8</v>
      </c>
      <c r="I218" s="134" t="s">
        <v>246</v>
      </c>
      <c r="J218" s="134" t="s">
        <v>246</v>
      </c>
      <c r="K218" s="134" t="s">
        <v>246</v>
      </c>
      <c r="L218" s="134" t="s">
        <v>246</v>
      </c>
      <c r="M218" s="31">
        <f>$A$40</f>
        <v>20173</v>
      </c>
      <c r="N218" s="21">
        <v>14631647.699999999</v>
      </c>
      <c r="O218" s="21">
        <v>56989031.219999991</v>
      </c>
      <c r="P218" s="21">
        <v>68110844.049999982</v>
      </c>
      <c r="Q218" s="21">
        <v>70268412.539999992</v>
      </c>
      <c r="R218" s="21">
        <v>70406150.379999995</v>
      </c>
      <c r="S218" s="21">
        <v>70514212.969999984</v>
      </c>
      <c r="T218" s="21">
        <v>70528565.079999983</v>
      </c>
      <c r="U218" s="134" t="s">
        <v>246</v>
      </c>
      <c r="V218" s="134" t="s">
        <v>246</v>
      </c>
      <c r="W218" s="134" t="s">
        <v>246</v>
      </c>
      <c r="X218" s="134" t="s">
        <v>246</v>
      </c>
      <c r="Y218" s="31">
        <f>$A$40</f>
        <v>20173</v>
      </c>
      <c r="Z218" s="21">
        <v>11310171.370000001</v>
      </c>
      <c r="AA218" s="21">
        <v>103696530.95999999</v>
      </c>
      <c r="AB218" s="21">
        <v>165096934.25999999</v>
      </c>
      <c r="AC218" s="21">
        <v>189132534.88999996</v>
      </c>
      <c r="AD218" s="21">
        <v>197677522.35999995</v>
      </c>
      <c r="AE218" s="21">
        <v>201432481.31999996</v>
      </c>
      <c r="AF218" s="21">
        <v>204747250.48999995</v>
      </c>
      <c r="AG218" s="134" t="s">
        <v>246</v>
      </c>
      <c r="AH218" s="134" t="s">
        <v>246</v>
      </c>
      <c r="AI218" s="134" t="s">
        <v>246</v>
      </c>
      <c r="AJ218" s="134" t="s">
        <v>246</v>
      </c>
      <c r="AK218" s="31">
        <f>$A$40</f>
        <v>20173</v>
      </c>
      <c r="AL218" s="21">
        <v>45162170.560000002</v>
      </c>
      <c r="AM218" s="21">
        <v>222869187.11000001</v>
      </c>
      <c r="AN218" s="21">
        <v>224615369.40000001</v>
      </c>
      <c r="AO218" s="21">
        <v>224994477.06999996</v>
      </c>
      <c r="AP218" s="21">
        <v>225214242.58999997</v>
      </c>
      <c r="AQ218" s="21">
        <v>225340159.64999992</v>
      </c>
      <c r="AR218" s="21">
        <v>225370031.83999991</v>
      </c>
      <c r="AS218" s="134" t="s">
        <v>246</v>
      </c>
      <c r="AT218" s="134" t="s">
        <v>246</v>
      </c>
      <c r="AU218" s="134" t="s">
        <v>246</v>
      </c>
      <c r="AV218" s="134" t="s">
        <v>246</v>
      </c>
      <c r="AW218" s="31">
        <f>$A$40</f>
        <v>20173</v>
      </c>
      <c r="AX218" s="21">
        <v>269628055.92000002</v>
      </c>
      <c r="AY218" s="21">
        <v>916051019.68999994</v>
      </c>
      <c r="AZ218" s="21">
        <v>859909794.31000006</v>
      </c>
      <c r="BA218" s="21">
        <v>853273224.95000017</v>
      </c>
      <c r="BB218" s="21">
        <v>851323298.6400001</v>
      </c>
      <c r="BC218" s="21">
        <v>850535160.67999983</v>
      </c>
      <c r="BD218" s="21">
        <v>850226682.41000009</v>
      </c>
      <c r="BE218" s="134" t="s">
        <v>246</v>
      </c>
      <c r="BF218" s="134" t="s">
        <v>246</v>
      </c>
      <c r="BG218" s="134" t="s">
        <v>246</v>
      </c>
      <c r="BH218" s="134" t="s">
        <v>246</v>
      </c>
      <c r="BI218" s="31">
        <f>$A$40</f>
        <v>20173</v>
      </c>
      <c r="BJ218" s="21">
        <v>11437827.559999999</v>
      </c>
      <c r="BK218" s="21">
        <v>55033787.699999996</v>
      </c>
      <c r="BL218" s="21">
        <v>53927006.889999986</v>
      </c>
      <c r="BM218" s="21">
        <v>53888891.399999991</v>
      </c>
      <c r="BN218" s="21">
        <v>53894387.949999988</v>
      </c>
      <c r="BO218" s="21">
        <v>53901119.519999988</v>
      </c>
      <c r="BP218" s="21">
        <v>53900452.629999988</v>
      </c>
      <c r="BQ218" s="134" t="s">
        <v>246</v>
      </c>
      <c r="BR218" s="134" t="s">
        <v>246</v>
      </c>
      <c r="BS218" s="134" t="s">
        <v>246</v>
      </c>
      <c r="BT218" s="134" t="s">
        <v>246</v>
      </c>
      <c r="BU218" s="31">
        <f>$A$40</f>
        <v>20173</v>
      </c>
      <c r="BV218" s="21">
        <v>60650</v>
      </c>
      <c r="BW218" s="21">
        <v>371900</v>
      </c>
      <c r="BX218" s="21">
        <v>378950</v>
      </c>
      <c r="BY218" s="21">
        <v>379934.12</v>
      </c>
      <c r="BZ218" s="21">
        <v>379934.12</v>
      </c>
      <c r="CA218" s="21">
        <v>379934.12</v>
      </c>
      <c r="CB218" s="21">
        <v>379934.12</v>
      </c>
      <c r="CC218" s="134" t="s">
        <v>246</v>
      </c>
      <c r="CD218" s="134" t="s">
        <v>246</v>
      </c>
      <c r="CE218" s="134" t="s">
        <v>246</v>
      </c>
      <c r="CF218" s="134" t="s">
        <v>246</v>
      </c>
      <c r="CG218" s="31">
        <f>$A$40</f>
        <v>20173</v>
      </c>
      <c r="CH218" s="21"/>
      <c r="CI218" s="21"/>
      <c r="CJ218" s="21"/>
      <c r="CK218" s="21"/>
      <c r="CL218" s="21"/>
      <c r="CM218" s="21"/>
      <c r="CN218" s="21"/>
      <c r="CO218" s="134"/>
      <c r="CP218" s="134"/>
      <c r="CQ218" s="134"/>
      <c r="CR218" s="134"/>
      <c r="CS218" s="31">
        <f>$A$40</f>
        <v>20173</v>
      </c>
      <c r="CT218" s="21"/>
      <c r="CU218" s="21"/>
      <c r="CV218" s="21"/>
      <c r="CW218" s="21"/>
      <c r="CX218" s="21"/>
      <c r="CY218" s="21"/>
      <c r="CZ218" s="21"/>
      <c r="DA218" s="134"/>
      <c r="DB218" s="134"/>
      <c r="DC218" s="134"/>
      <c r="DD218" s="134"/>
      <c r="DE218" s="31">
        <f>$A$40</f>
        <v>20173</v>
      </c>
      <c r="DF218" s="21"/>
      <c r="DG218" s="21"/>
      <c r="DH218" s="21"/>
      <c r="DI218" s="21"/>
      <c r="DJ218" s="21"/>
      <c r="DK218" s="21"/>
      <c r="DL218" s="21"/>
      <c r="DM218" s="134"/>
      <c r="DN218" s="134"/>
      <c r="DO218" s="134"/>
      <c r="DP218" s="134"/>
    </row>
    <row r="219" spans="1:120" ht="15" customHeight="1" x14ac:dyDescent="0.25">
      <c r="A219" s="31">
        <f>$A$41</f>
        <v>20183</v>
      </c>
      <c r="B219" s="21">
        <v>165421479.73000002</v>
      </c>
      <c r="C219" s="21">
        <v>874760546.18000007</v>
      </c>
      <c r="D219" s="21">
        <v>1060085370.0900002</v>
      </c>
      <c r="E219" s="21">
        <v>1126430882.1300001</v>
      </c>
      <c r="F219" s="21">
        <v>1176692058.0800002</v>
      </c>
      <c r="G219" s="21">
        <v>1209456959.3900003</v>
      </c>
      <c r="H219" s="134" t="s">
        <v>246</v>
      </c>
      <c r="I219" s="134" t="s">
        <v>246</v>
      </c>
      <c r="J219" s="134" t="s">
        <v>246</v>
      </c>
      <c r="K219" s="134" t="s">
        <v>246</v>
      </c>
      <c r="L219" s="134" t="s">
        <v>246</v>
      </c>
      <c r="M219" s="31">
        <f>$A$41</f>
        <v>20183</v>
      </c>
      <c r="N219" s="21">
        <v>12160776.030000001</v>
      </c>
      <c r="O219" s="21">
        <v>54233626.249999993</v>
      </c>
      <c r="P219" s="21">
        <v>67928044.579999998</v>
      </c>
      <c r="Q219" s="21">
        <v>70426759.779999986</v>
      </c>
      <c r="R219" s="21">
        <v>70925713.969999954</v>
      </c>
      <c r="S219" s="21">
        <v>71078381.229999959</v>
      </c>
      <c r="T219" s="134" t="s">
        <v>246</v>
      </c>
      <c r="U219" s="134" t="s">
        <v>246</v>
      </c>
      <c r="V219" s="134" t="s">
        <v>246</v>
      </c>
      <c r="W219" s="134" t="s">
        <v>246</v>
      </c>
      <c r="X219" s="134" t="s">
        <v>246</v>
      </c>
      <c r="Y219" s="31">
        <f>$A$41</f>
        <v>20183</v>
      </c>
      <c r="Z219" s="21">
        <v>10955732.41</v>
      </c>
      <c r="AA219" s="21">
        <v>105834503.91</v>
      </c>
      <c r="AB219" s="21">
        <v>166199531.97999999</v>
      </c>
      <c r="AC219" s="21">
        <v>188181223.66</v>
      </c>
      <c r="AD219" s="21">
        <v>198324265.93000001</v>
      </c>
      <c r="AE219" s="21">
        <v>204679776.66</v>
      </c>
      <c r="AF219" s="134" t="s">
        <v>246</v>
      </c>
      <c r="AG219" s="134" t="s">
        <v>246</v>
      </c>
      <c r="AH219" s="134" t="s">
        <v>246</v>
      </c>
      <c r="AI219" s="134" t="s">
        <v>246</v>
      </c>
      <c r="AJ219" s="134" t="s">
        <v>246</v>
      </c>
      <c r="AK219" s="31">
        <f>$A$41</f>
        <v>20183</v>
      </c>
      <c r="AL219" s="21">
        <v>47654857.049999997</v>
      </c>
      <c r="AM219" s="21">
        <v>216223661.19</v>
      </c>
      <c r="AN219" s="21">
        <v>218014215.59</v>
      </c>
      <c r="AO219" s="21">
        <v>217907457.93000004</v>
      </c>
      <c r="AP219" s="21">
        <v>217872490.17000002</v>
      </c>
      <c r="AQ219" s="21">
        <v>217847153.05000001</v>
      </c>
      <c r="AR219" s="134" t="s">
        <v>246</v>
      </c>
      <c r="AS219" s="134" t="s">
        <v>246</v>
      </c>
      <c r="AT219" s="134" t="s">
        <v>246</v>
      </c>
      <c r="AU219" s="134" t="s">
        <v>246</v>
      </c>
      <c r="AV219" s="134" t="s">
        <v>246</v>
      </c>
      <c r="AW219" s="31">
        <f>$A$41</f>
        <v>20183</v>
      </c>
      <c r="AX219" s="21">
        <v>274571970.45999998</v>
      </c>
      <c r="AY219" s="21">
        <v>890202068.73000002</v>
      </c>
      <c r="AZ219" s="21">
        <v>843764975.68000007</v>
      </c>
      <c r="BA219" s="21">
        <v>837711486.88000023</v>
      </c>
      <c r="BB219" s="21">
        <v>835254714.09000015</v>
      </c>
      <c r="BC219" s="21">
        <v>834527142.96000004</v>
      </c>
      <c r="BD219" s="134" t="s">
        <v>246</v>
      </c>
      <c r="BE219" s="134" t="s">
        <v>246</v>
      </c>
      <c r="BF219" s="134" t="s">
        <v>246</v>
      </c>
      <c r="BG219" s="134" t="s">
        <v>246</v>
      </c>
      <c r="BH219" s="134" t="s">
        <v>246</v>
      </c>
      <c r="BI219" s="31">
        <f>$A$41</f>
        <v>20183</v>
      </c>
      <c r="BJ219" s="21">
        <v>12065915.76</v>
      </c>
      <c r="BK219" s="21">
        <v>51780370.829999991</v>
      </c>
      <c r="BL219" s="21">
        <v>51141366.909999989</v>
      </c>
      <c r="BM219" s="21">
        <v>51118768.129999988</v>
      </c>
      <c r="BN219" s="21">
        <v>51136843.039999999</v>
      </c>
      <c r="BO219" s="21">
        <v>51142649.509999998</v>
      </c>
      <c r="BP219" s="134" t="s">
        <v>246</v>
      </c>
      <c r="BQ219" s="134" t="s">
        <v>246</v>
      </c>
      <c r="BR219" s="134" t="s">
        <v>246</v>
      </c>
      <c r="BS219" s="134" t="s">
        <v>246</v>
      </c>
      <c r="BT219" s="134" t="s">
        <v>246</v>
      </c>
      <c r="BU219" s="31">
        <f>$A$41</f>
        <v>20183</v>
      </c>
      <c r="BV219" s="21">
        <v>78700</v>
      </c>
      <c r="BW219" s="21">
        <v>431723.42</v>
      </c>
      <c r="BX219" s="21">
        <v>509921.42</v>
      </c>
      <c r="BY219" s="21">
        <v>531981.41999999993</v>
      </c>
      <c r="BZ219" s="21">
        <v>531671.41999999993</v>
      </c>
      <c r="CA219" s="21">
        <v>531671.41999999993</v>
      </c>
      <c r="CB219" s="134" t="s">
        <v>246</v>
      </c>
      <c r="CC219" s="134" t="s">
        <v>246</v>
      </c>
      <c r="CD219" s="134" t="s">
        <v>246</v>
      </c>
      <c r="CE219" s="134" t="s">
        <v>246</v>
      </c>
      <c r="CF219" s="134" t="s">
        <v>246</v>
      </c>
      <c r="CG219" s="31">
        <f>$A$41</f>
        <v>20183</v>
      </c>
      <c r="CH219" s="21"/>
      <c r="CI219" s="21"/>
      <c r="CJ219" s="21"/>
      <c r="CK219" s="21"/>
      <c r="CL219" s="21"/>
      <c r="CM219" s="21"/>
      <c r="CN219" s="134"/>
      <c r="CO219" s="134"/>
      <c r="CP219" s="134"/>
      <c r="CQ219" s="134"/>
      <c r="CR219" s="134"/>
      <c r="CS219" s="31">
        <f>$A$41</f>
        <v>20183</v>
      </c>
      <c r="CT219" s="21"/>
      <c r="CU219" s="21"/>
      <c r="CV219" s="21"/>
      <c r="CW219" s="21"/>
      <c r="CX219" s="21"/>
      <c r="CY219" s="21"/>
      <c r="CZ219" s="134"/>
      <c r="DA219" s="134"/>
      <c r="DB219" s="134"/>
      <c r="DC219" s="134"/>
      <c r="DD219" s="134"/>
      <c r="DE219" s="31">
        <f>$A$41</f>
        <v>20183</v>
      </c>
      <c r="DF219" s="21"/>
      <c r="DG219" s="21"/>
      <c r="DH219" s="21"/>
      <c r="DI219" s="21"/>
      <c r="DJ219" s="21"/>
      <c r="DK219" s="21"/>
      <c r="DL219" s="134"/>
      <c r="DM219" s="134"/>
      <c r="DN219" s="134"/>
      <c r="DO219" s="134"/>
      <c r="DP219" s="134"/>
    </row>
    <row r="220" spans="1:120" ht="15" customHeight="1" x14ac:dyDescent="0.25">
      <c r="A220" s="31">
        <f>$A$42</f>
        <v>20193</v>
      </c>
      <c r="B220" s="21">
        <v>152517172.44999999</v>
      </c>
      <c r="C220" s="21">
        <v>845651509.17000008</v>
      </c>
      <c r="D220" s="21">
        <v>995692352.97000015</v>
      </c>
      <c r="E220" s="21">
        <v>1069200035.0800002</v>
      </c>
      <c r="F220" s="21">
        <v>1135927960.0300002</v>
      </c>
      <c r="G220" s="134" t="s">
        <v>246</v>
      </c>
      <c r="H220" s="134" t="s">
        <v>246</v>
      </c>
      <c r="I220" s="134" t="s">
        <v>246</v>
      </c>
      <c r="J220" s="134" t="s">
        <v>246</v>
      </c>
      <c r="K220" s="134" t="s">
        <v>246</v>
      </c>
      <c r="L220" s="134" t="s">
        <v>246</v>
      </c>
      <c r="M220" s="31">
        <f>$A$42</f>
        <v>20193</v>
      </c>
      <c r="N220" s="21">
        <v>11995577.18</v>
      </c>
      <c r="O220" s="21">
        <v>51906457.920000002</v>
      </c>
      <c r="P220" s="21">
        <v>66666446.789999999</v>
      </c>
      <c r="Q220" s="21">
        <v>69860709.37999998</v>
      </c>
      <c r="R220" s="21">
        <v>70591359.789999992</v>
      </c>
      <c r="S220" s="134" t="s">
        <v>246</v>
      </c>
      <c r="T220" s="134" t="s">
        <v>246</v>
      </c>
      <c r="U220" s="134" t="s">
        <v>246</v>
      </c>
      <c r="V220" s="134" t="s">
        <v>246</v>
      </c>
      <c r="W220" s="134" t="s">
        <v>246</v>
      </c>
      <c r="X220" s="134" t="s">
        <v>246</v>
      </c>
      <c r="Y220" s="31">
        <f>$A$42</f>
        <v>20193</v>
      </c>
      <c r="Z220" s="21">
        <v>10351113.34</v>
      </c>
      <c r="AA220" s="21">
        <v>106572559.86000001</v>
      </c>
      <c r="AB220" s="21">
        <v>155168550.28000003</v>
      </c>
      <c r="AC220" s="21">
        <v>182235760.82000005</v>
      </c>
      <c r="AD220" s="21">
        <v>195349463.78000006</v>
      </c>
      <c r="AE220" s="134" t="s">
        <v>246</v>
      </c>
      <c r="AF220" s="134" t="s">
        <v>246</v>
      </c>
      <c r="AG220" s="134" t="s">
        <v>246</v>
      </c>
      <c r="AH220" s="134" t="s">
        <v>246</v>
      </c>
      <c r="AI220" s="134" t="s">
        <v>246</v>
      </c>
      <c r="AJ220" s="134" t="s">
        <v>246</v>
      </c>
      <c r="AK220" s="31">
        <f>$A$42</f>
        <v>20193</v>
      </c>
      <c r="AL220" s="21">
        <v>49682705.609999999</v>
      </c>
      <c r="AM220" s="21">
        <v>232618302.67000002</v>
      </c>
      <c r="AN220" s="21">
        <v>233753692.52000004</v>
      </c>
      <c r="AO220" s="21">
        <v>232735947.54999998</v>
      </c>
      <c r="AP220" s="21">
        <v>232871650.77000001</v>
      </c>
      <c r="AQ220" s="134" t="s">
        <v>246</v>
      </c>
      <c r="AR220" s="134" t="s">
        <v>246</v>
      </c>
      <c r="AS220" s="134" t="s">
        <v>246</v>
      </c>
      <c r="AT220" s="134" t="s">
        <v>246</v>
      </c>
      <c r="AU220" s="134" t="s">
        <v>246</v>
      </c>
      <c r="AV220" s="134" t="s">
        <v>246</v>
      </c>
      <c r="AW220" s="31">
        <f>$A$42</f>
        <v>20193</v>
      </c>
      <c r="AX220" s="21">
        <v>266829512.63</v>
      </c>
      <c r="AY220" s="21">
        <v>918333377.61000001</v>
      </c>
      <c r="AZ220" s="21">
        <v>868972090.98000014</v>
      </c>
      <c r="BA220" s="21">
        <v>863260839.08000004</v>
      </c>
      <c r="BB220" s="21">
        <v>860378732.27999997</v>
      </c>
      <c r="BC220" s="134" t="s">
        <v>246</v>
      </c>
      <c r="BD220" s="134" t="s">
        <v>246</v>
      </c>
      <c r="BE220" s="134" t="s">
        <v>246</v>
      </c>
      <c r="BF220" s="134" t="s">
        <v>246</v>
      </c>
      <c r="BG220" s="134" t="s">
        <v>246</v>
      </c>
      <c r="BH220" s="134" t="s">
        <v>246</v>
      </c>
      <c r="BI220" s="31">
        <f>$A$42</f>
        <v>20193</v>
      </c>
      <c r="BJ220" s="21">
        <v>11482630.870000001</v>
      </c>
      <c r="BK220" s="21">
        <v>54471229.5</v>
      </c>
      <c r="BL220" s="21">
        <v>53541753.369999997</v>
      </c>
      <c r="BM220" s="21">
        <v>53548194.270000003</v>
      </c>
      <c r="BN220" s="21">
        <v>53562765.580000006</v>
      </c>
      <c r="BO220" s="134" t="s">
        <v>246</v>
      </c>
      <c r="BP220" s="134" t="s">
        <v>246</v>
      </c>
      <c r="BQ220" s="134" t="s">
        <v>246</v>
      </c>
      <c r="BR220" s="134" t="s">
        <v>246</v>
      </c>
      <c r="BS220" s="134" t="s">
        <v>246</v>
      </c>
      <c r="BT220" s="134" t="s">
        <v>246</v>
      </c>
      <c r="BU220" s="31">
        <f>$A$42</f>
        <v>20193</v>
      </c>
      <c r="BV220" s="21">
        <v>82400</v>
      </c>
      <c r="BW220" s="21">
        <v>449250</v>
      </c>
      <c r="BX220" s="21">
        <v>466210</v>
      </c>
      <c r="BY220" s="21">
        <v>474150</v>
      </c>
      <c r="BZ220" s="21">
        <v>474150</v>
      </c>
      <c r="CA220" s="134" t="s">
        <v>246</v>
      </c>
      <c r="CB220" s="134" t="s">
        <v>246</v>
      </c>
      <c r="CC220" s="134" t="s">
        <v>246</v>
      </c>
      <c r="CD220" s="134" t="s">
        <v>246</v>
      </c>
      <c r="CE220" s="134" t="s">
        <v>246</v>
      </c>
      <c r="CF220" s="134" t="s">
        <v>246</v>
      </c>
      <c r="CG220" s="31">
        <f>$A$42</f>
        <v>20193</v>
      </c>
      <c r="CH220" s="21"/>
      <c r="CI220" s="21"/>
      <c r="CJ220" s="21"/>
      <c r="CK220" s="21"/>
      <c r="CL220" s="21"/>
      <c r="CM220" s="134"/>
      <c r="CN220" s="134"/>
      <c r="CO220" s="134"/>
      <c r="CP220" s="134"/>
      <c r="CQ220" s="134"/>
      <c r="CR220" s="134"/>
      <c r="CS220" s="31">
        <f>$A$42</f>
        <v>20193</v>
      </c>
      <c r="CT220" s="21"/>
      <c r="CU220" s="21"/>
      <c r="CV220" s="21"/>
      <c r="CW220" s="21"/>
      <c r="CX220" s="21"/>
      <c r="CY220" s="134"/>
      <c r="CZ220" s="134"/>
      <c r="DA220" s="134"/>
      <c r="DB220" s="134"/>
      <c r="DC220" s="134"/>
      <c r="DD220" s="134"/>
      <c r="DE220" s="31">
        <f>$A$42</f>
        <v>20193</v>
      </c>
      <c r="DF220" s="21"/>
      <c r="DG220" s="21"/>
      <c r="DH220" s="21"/>
      <c r="DI220" s="21"/>
      <c r="DJ220" s="21"/>
      <c r="DK220" s="134"/>
      <c r="DL220" s="134"/>
      <c r="DM220" s="134"/>
      <c r="DN220" s="134"/>
      <c r="DO220" s="134"/>
      <c r="DP220" s="134"/>
    </row>
    <row r="221" spans="1:120" ht="15" customHeight="1" x14ac:dyDescent="0.25">
      <c r="A221" s="31">
        <f>$A$43</f>
        <v>20203</v>
      </c>
      <c r="B221" s="21">
        <v>155991367.22</v>
      </c>
      <c r="C221" s="21">
        <v>646377268.54999995</v>
      </c>
      <c r="D221" s="21">
        <v>765407587.68000019</v>
      </c>
      <c r="E221" s="21">
        <v>847517580.91000009</v>
      </c>
      <c r="F221" s="134" t="s">
        <v>246</v>
      </c>
      <c r="G221" s="134" t="s">
        <v>246</v>
      </c>
      <c r="H221" s="134" t="s">
        <v>246</v>
      </c>
      <c r="I221" s="134" t="s">
        <v>246</v>
      </c>
      <c r="J221" s="134" t="s">
        <v>246</v>
      </c>
      <c r="K221" s="134" t="s">
        <v>246</v>
      </c>
      <c r="L221" s="134" t="s">
        <v>246</v>
      </c>
      <c r="M221" s="31">
        <f>$A$43</f>
        <v>20203</v>
      </c>
      <c r="N221" s="21">
        <v>13118538.85</v>
      </c>
      <c r="O221" s="21">
        <v>38293554.769999996</v>
      </c>
      <c r="P221" s="21">
        <v>49120796.180000007</v>
      </c>
      <c r="Q221" s="21">
        <v>51594976.500000007</v>
      </c>
      <c r="R221" s="134" t="s">
        <v>246</v>
      </c>
      <c r="S221" s="134" t="s">
        <v>246</v>
      </c>
      <c r="T221" s="134" t="s">
        <v>246</v>
      </c>
      <c r="U221" s="134" t="s">
        <v>246</v>
      </c>
      <c r="V221" s="134" t="s">
        <v>246</v>
      </c>
      <c r="W221" s="134" t="s">
        <v>246</v>
      </c>
      <c r="X221" s="134" t="s">
        <v>246</v>
      </c>
      <c r="Y221" s="31">
        <f>$A$43</f>
        <v>20203</v>
      </c>
      <c r="Z221" s="21">
        <v>11661549.65</v>
      </c>
      <c r="AA221" s="21">
        <v>93258589.400000006</v>
      </c>
      <c r="AB221" s="21">
        <v>144133720.61000001</v>
      </c>
      <c r="AC221" s="21">
        <v>169854268.06</v>
      </c>
      <c r="AD221" s="134" t="s">
        <v>246</v>
      </c>
      <c r="AE221" s="134" t="s">
        <v>246</v>
      </c>
      <c r="AF221" s="134" t="s">
        <v>246</v>
      </c>
      <c r="AG221" s="134" t="s">
        <v>246</v>
      </c>
      <c r="AH221" s="134" t="s">
        <v>246</v>
      </c>
      <c r="AI221" s="134" t="s">
        <v>246</v>
      </c>
      <c r="AJ221" s="134" t="s">
        <v>246</v>
      </c>
      <c r="AK221" s="31">
        <f>$A$43</f>
        <v>20203</v>
      </c>
      <c r="AL221" s="21">
        <v>51710990.18</v>
      </c>
      <c r="AM221" s="21">
        <v>230286530.29999995</v>
      </c>
      <c r="AN221" s="21">
        <v>231584421.80999991</v>
      </c>
      <c r="AO221" s="21">
        <v>232794581.53999987</v>
      </c>
      <c r="AP221" s="134" t="s">
        <v>246</v>
      </c>
      <c r="AQ221" s="134" t="s">
        <v>246</v>
      </c>
      <c r="AR221" s="134" t="s">
        <v>246</v>
      </c>
      <c r="AS221" s="134" t="s">
        <v>246</v>
      </c>
      <c r="AT221" s="134" t="s">
        <v>246</v>
      </c>
      <c r="AU221" s="134" t="s">
        <v>246</v>
      </c>
      <c r="AV221" s="134" t="s">
        <v>246</v>
      </c>
      <c r="AW221" s="31">
        <f>$A$43</f>
        <v>20203</v>
      </c>
      <c r="AX221" s="21">
        <v>274478200.53999996</v>
      </c>
      <c r="AY221" s="21">
        <v>733460931.40999997</v>
      </c>
      <c r="AZ221" s="21">
        <v>713540522.25</v>
      </c>
      <c r="BA221" s="21">
        <v>710116569.12</v>
      </c>
      <c r="BB221" s="134" t="s">
        <v>246</v>
      </c>
      <c r="BC221" s="134" t="s">
        <v>246</v>
      </c>
      <c r="BD221" s="134" t="s">
        <v>246</v>
      </c>
      <c r="BE221" s="134" t="s">
        <v>246</v>
      </c>
      <c r="BF221" s="134" t="s">
        <v>246</v>
      </c>
      <c r="BG221" s="134" t="s">
        <v>246</v>
      </c>
      <c r="BH221" s="134" t="s">
        <v>246</v>
      </c>
      <c r="BI221" s="31">
        <f>$A$43</f>
        <v>20203</v>
      </c>
      <c r="BJ221" s="21">
        <v>12637605.149999999</v>
      </c>
      <c r="BK221" s="21">
        <v>45402705.739999995</v>
      </c>
      <c r="BL221" s="21">
        <v>45345360.57</v>
      </c>
      <c r="BM221" s="21">
        <v>45391202.899999991</v>
      </c>
      <c r="BN221" s="134" t="s">
        <v>246</v>
      </c>
      <c r="BO221" s="134" t="s">
        <v>246</v>
      </c>
      <c r="BP221" s="134" t="s">
        <v>246</v>
      </c>
      <c r="BQ221" s="134" t="s">
        <v>246</v>
      </c>
      <c r="BR221" s="134" t="s">
        <v>246</v>
      </c>
      <c r="BS221" s="134" t="s">
        <v>246</v>
      </c>
      <c r="BT221" s="134" t="s">
        <v>246</v>
      </c>
      <c r="BU221" s="31">
        <f>$A$43</f>
        <v>20203</v>
      </c>
      <c r="BV221" s="21">
        <v>10000</v>
      </c>
      <c r="BW221" s="21">
        <v>191770</v>
      </c>
      <c r="BX221" s="21">
        <v>167350</v>
      </c>
      <c r="BY221" s="21">
        <v>167350</v>
      </c>
      <c r="BZ221" s="134" t="s">
        <v>246</v>
      </c>
      <c r="CA221" s="134" t="s">
        <v>246</v>
      </c>
      <c r="CB221" s="134" t="s">
        <v>246</v>
      </c>
      <c r="CC221" s="134" t="s">
        <v>246</v>
      </c>
      <c r="CD221" s="134" t="s">
        <v>246</v>
      </c>
      <c r="CE221" s="134" t="s">
        <v>246</v>
      </c>
      <c r="CF221" s="134" t="s">
        <v>246</v>
      </c>
      <c r="CG221" s="31">
        <f>$A$43</f>
        <v>20203</v>
      </c>
      <c r="CH221" s="21"/>
      <c r="CI221" s="21"/>
      <c r="CJ221" s="21"/>
      <c r="CK221" s="21"/>
      <c r="CL221" s="134"/>
      <c r="CM221" s="134"/>
      <c r="CN221" s="134"/>
      <c r="CO221" s="134"/>
      <c r="CP221" s="134"/>
      <c r="CQ221" s="134"/>
      <c r="CR221" s="134"/>
      <c r="CS221" s="31">
        <f>$A$43</f>
        <v>20203</v>
      </c>
      <c r="CT221" s="21"/>
      <c r="CU221" s="21"/>
      <c r="CV221" s="21"/>
      <c r="CW221" s="21"/>
      <c r="CX221" s="134"/>
      <c r="CY221" s="134"/>
      <c r="CZ221" s="134"/>
      <c r="DA221" s="134"/>
      <c r="DB221" s="134"/>
      <c r="DC221" s="134"/>
      <c r="DD221" s="134"/>
      <c r="DE221" s="31">
        <f>$A$43</f>
        <v>20203</v>
      </c>
      <c r="DF221" s="21"/>
      <c r="DG221" s="21"/>
      <c r="DH221" s="21"/>
      <c r="DI221" s="21"/>
      <c r="DJ221" s="134"/>
      <c r="DK221" s="134"/>
      <c r="DL221" s="134"/>
      <c r="DM221" s="134"/>
      <c r="DN221" s="134"/>
      <c r="DO221" s="134"/>
      <c r="DP221" s="134"/>
    </row>
    <row r="222" spans="1:120" ht="15" customHeight="1" x14ac:dyDescent="0.25">
      <c r="A222" s="31">
        <f>$A$44</f>
        <v>20213</v>
      </c>
      <c r="B222" s="21">
        <v>97821644.75</v>
      </c>
      <c r="C222" s="21">
        <v>658071333.76999998</v>
      </c>
      <c r="D222" s="21">
        <v>821809458.42000008</v>
      </c>
      <c r="E222" s="134" t="s">
        <v>246</v>
      </c>
      <c r="F222" s="134" t="s">
        <v>246</v>
      </c>
      <c r="G222" s="134" t="s">
        <v>246</v>
      </c>
      <c r="H222" s="134" t="s">
        <v>246</v>
      </c>
      <c r="I222" s="134" t="s">
        <v>246</v>
      </c>
      <c r="J222" s="134" t="s">
        <v>246</v>
      </c>
      <c r="K222" s="134" t="s">
        <v>246</v>
      </c>
      <c r="L222" s="134" t="s">
        <v>246</v>
      </c>
      <c r="M222" s="31">
        <f>$A$44</f>
        <v>20213</v>
      </c>
      <c r="N222" s="21">
        <v>7847229.0299999993</v>
      </c>
      <c r="O222" s="21">
        <v>34675521.069999993</v>
      </c>
      <c r="P222" s="21">
        <v>49328928.82</v>
      </c>
      <c r="Q222" s="134" t="s">
        <v>246</v>
      </c>
      <c r="R222" s="134" t="s">
        <v>246</v>
      </c>
      <c r="S222" s="134" t="s">
        <v>246</v>
      </c>
      <c r="T222" s="134" t="s">
        <v>246</v>
      </c>
      <c r="U222" s="134" t="s">
        <v>246</v>
      </c>
      <c r="V222" s="134" t="s">
        <v>246</v>
      </c>
      <c r="W222" s="134" t="s">
        <v>246</v>
      </c>
      <c r="X222" s="134" t="s">
        <v>246</v>
      </c>
      <c r="Y222" s="31">
        <f>$A$44</f>
        <v>20213</v>
      </c>
      <c r="Z222" s="21">
        <v>9320540.7799999993</v>
      </c>
      <c r="AA222" s="21">
        <v>107758167.97</v>
      </c>
      <c r="AB222" s="21">
        <v>183082212.58000004</v>
      </c>
      <c r="AC222" s="134" t="s">
        <v>246</v>
      </c>
      <c r="AD222" s="134" t="s">
        <v>246</v>
      </c>
      <c r="AE222" s="134" t="s">
        <v>246</v>
      </c>
      <c r="AF222" s="134" t="s">
        <v>246</v>
      </c>
      <c r="AG222" s="134" t="s">
        <v>246</v>
      </c>
      <c r="AH222" s="134" t="s">
        <v>246</v>
      </c>
      <c r="AI222" s="134" t="s">
        <v>246</v>
      </c>
      <c r="AJ222" s="134" t="s">
        <v>246</v>
      </c>
      <c r="AK222" s="31">
        <f>$A$44</f>
        <v>20213</v>
      </c>
      <c r="AL222" s="21">
        <v>54691419.069999993</v>
      </c>
      <c r="AM222" s="21">
        <v>279373725.35999995</v>
      </c>
      <c r="AN222" s="21">
        <v>283692374.32999998</v>
      </c>
      <c r="AO222" s="134" t="s">
        <v>246</v>
      </c>
      <c r="AP222" s="134" t="s">
        <v>246</v>
      </c>
      <c r="AQ222" s="134" t="s">
        <v>246</v>
      </c>
      <c r="AR222" s="134" t="s">
        <v>246</v>
      </c>
      <c r="AS222" s="134" t="s">
        <v>246</v>
      </c>
      <c r="AT222" s="134" t="s">
        <v>246</v>
      </c>
      <c r="AU222" s="134" t="s">
        <v>246</v>
      </c>
      <c r="AV222" s="134" t="s">
        <v>246</v>
      </c>
      <c r="AW222" s="31">
        <f>$A$44</f>
        <v>20213</v>
      </c>
      <c r="AX222" s="21">
        <v>199371811.56999999</v>
      </c>
      <c r="AY222" s="21">
        <v>871665119.56999993</v>
      </c>
      <c r="AZ222" s="21">
        <v>829900403.21999979</v>
      </c>
      <c r="BA222" s="134" t="s">
        <v>246</v>
      </c>
      <c r="BB222" s="134" t="s">
        <v>246</v>
      </c>
      <c r="BC222" s="134" t="s">
        <v>246</v>
      </c>
      <c r="BD222" s="134" t="s">
        <v>246</v>
      </c>
      <c r="BE222" s="134" t="s">
        <v>246</v>
      </c>
      <c r="BF222" s="134" t="s">
        <v>246</v>
      </c>
      <c r="BG222" s="134" t="s">
        <v>246</v>
      </c>
      <c r="BH222" s="134" t="s">
        <v>246</v>
      </c>
      <c r="BI222" s="31">
        <f>$A$44</f>
        <v>20213</v>
      </c>
      <c r="BJ222" s="21">
        <v>10159375.879999999</v>
      </c>
      <c r="BK222" s="21">
        <v>52654684.479999997</v>
      </c>
      <c r="BL222" s="21">
        <v>52132174.580000006</v>
      </c>
      <c r="BM222" s="134" t="s">
        <v>246</v>
      </c>
      <c r="BN222" s="134" t="s">
        <v>246</v>
      </c>
      <c r="BO222" s="134" t="s">
        <v>246</v>
      </c>
      <c r="BP222" s="134" t="s">
        <v>246</v>
      </c>
      <c r="BQ222" s="134" t="s">
        <v>246</v>
      </c>
      <c r="BR222" s="134" t="s">
        <v>246</v>
      </c>
      <c r="BS222" s="134" t="s">
        <v>246</v>
      </c>
      <c r="BT222" s="134" t="s">
        <v>246</v>
      </c>
      <c r="BU222" s="31">
        <f>$A$44</f>
        <v>20213</v>
      </c>
      <c r="BV222" s="21">
        <v>7060</v>
      </c>
      <c r="BW222" s="21">
        <v>195305</v>
      </c>
      <c r="BX222" s="21">
        <v>212050</v>
      </c>
      <c r="BY222" s="134" t="s">
        <v>246</v>
      </c>
      <c r="BZ222" s="134" t="s">
        <v>246</v>
      </c>
      <c r="CA222" s="134" t="s">
        <v>246</v>
      </c>
      <c r="CB222" s="134" t="s">
        <v>246</v>
      </c>
      <c r="CC222" s="134" t="s">
        <v>246</v>
      </c>
      <c r="CD222" s="134" t="s">
        <v>246</v>
      </c>
      <c r="CE222" s="134" t="s">
        <v>246</v>
      </c>
      <c r="CF222" s="134" t="s">
        <v>246</v>
      </c>
      <c r="CG222" s="31">
        <f>$A$44</f>
        <v>20213</v>
      </c>
      <c r="CH222" s="21"/>
      <c r="CI222" s="21"/>
      <c r="CJ222" s="21"/>
      <c r="CK222" s="134"/>
      <c r="CL222" s="134"/>
      <c r="CM222" s="134"/>
      <c r="CN222" s="134"/>
      <c r="CO222" s="134"/>
      <c r="CP222" s="134"/>
      <c r="CQ222" s="134"/>
      <c r="CR222" s="134"/>
      <c r="CS222" s="31">
        <f>$A$44</f>
        <v>20213</v>
      </c>
      <c r="CT222" s="21"/>
      <c r="CU222" s="21"/>
      <c r="CV222" s="21"/>
      <c r="CW222" s="134"/>
      <c r="CX222" s="134"/>
      <c r="CY222" s="134"/>
      <c r="CZ222" s="134"/>
      <c r="DA222" s="134"/>
      <c r="DB222" s="134"/>
      <c r="DC222" s="134"/>
      <c r="DD222" s="134"/>
      <c r="DE222" s="31">
        <f>$A$44</f>
        <v>20213</v>
      </c>
      <c r="DF222" s="21"/>
      <c r="DG222" s="21"/>
      <c r="DH222" s="21"/>
      <c r="DI222" s="134"/>
      <c r="DJ222" s="134"/>
      <c r="DK222" s="134"/>
      <c r="DL222" s="134"/>
      <c r="DM222" s="134"/>
      <c r="DN222" s="134"/>
      <c r="DO222" s="134"/>
      <c r="DP222" s="134"/>
    </row>
    <row r="223" spans="1:120" ht="15" customHeight="1" x14ac:dyDescent="0.25">
      <c r="A223" s="31">
        <f>$A$45</f>
        <v>20223</v>
      </c>
      <c r="B223" s="21">
        <v>130896201.18000001</v>
      </c>
      <c r="C223" s="21">
        <v>895311431.08999991</v>
      </c>
      <c r="D223" s="134" t="s">
        <v>246</v>
      </c>
      <c r="E223" s="134" t="s">
        <v>246</v>
      </c>
      <c r="F223" s="134" t="s">
        <v>246</v>
      </c>
      <c r="G223" s="134" t="s">
        <v>246</v>
      </c>
      <c r="H223" s="134" t="s">
        <v>246</v>
      </c>
      <c r="I223" s="134" t="s">
        <v>246</v>
      </c>
      <c r="J223" s="134" t="s">
        <v>246</v>
      </c>
      <c r="K223" s="134" t="s">
        <v>246</v>
      </c>
      <c r="L223" s="134"/>
      <c r="M223" s="31">
        <f>$A$45</f>
        <v>20223</v>
      </c>
      <c r="N223" s="21">
        <v>9289312.8699999992</v>
      </c>
      <c r="O223" s="21">
        <v>42284598.57</v>
      </c>
      <c r="P223" s="134" t="s">
        <v>246</v>
      </c>
      <c r="Q223" s="134" t="s">
        <v>246</v>
      </c>
      <c r="R223" s="134" t="s">
        <v>246</v>
      </c>
      <c r="S223" s="134" t="s">
        <v>246</v>
      </c>
      <c r="T223" s="134" t="s">
        <v>246</v>
      </c>
      <c r="U223" s="134" t="s">
        <v>246</v>
      </c>
      <c r="V223" s="134" t="s">
        <v>246</v>
      </c>
      <c r="W223" s="134" t="s">
        <v>246</v>
      </c>
      <c r="X223" s="134" t="s">
        <v>246</v>
      </c>
      <c r="Y223" s="31">
        <f>$A$45</f>
        <v>20223</v>
      </c>
      <c r="Z223" s="21">
        <v>10728286.710000001</v>
      </c>
      <c r="AA223" s="21">
        <v>132984221.92999999</v>
      </c>
      <c r="AB223" s="134" t="s">
        <v>246</v>
      </c>
      <c r="AC223" s="134" t="s">
        <v>246</v>
      </c>
      <c r="AD223" s="134" t="s">
        <v>246</v>
      </c>
      <c r="AE223" s="134" t="s">
        <v>246</v>
      </c>
      <c r="AF223" s="134" t="s">
        <v>246</v>
      </c>
      <c r="AG223" s="134" t="s">
        <v>246</v>
      </c>
      <c r="AH223" s="134" t="s">
        <v>246</v>
      </c>
      <c r="AI223" s="134" t="s">
        <v>246</v>
      </c>
      <c r="AJ223" s="134" t="s">
        <v>246</v>
      </c>
      <c r="AK223" s="31">
        <f>$A$45</f>
        <v>20223</v>
      </c>
      <c r="AL223" s="21">
        <v>66966289.920000002</v>
      </c>
      <c r="AM223" s="21">
        <v>372382824.32999998</v>
      </c>
      <c r="AN223" s="134" t="s">
        <v>246</v>
      </c>
      <c r="AO223" s="134" t="s">
        <v>246</v>
      </c>
      <c r="AP223" s="134" t="s">
        <v>246</v>
      </c>
      <c r="AQ223" s="134" t="s">
        <v>246</v>
      </c>
      <c r="AR223" s="134" t="s">
        <v>246</v>
      </c>
      <c r="AS223" s="134" t="s">
        <v>246</v>
      </c>
      <c r="AT223" s="134" t="s">
        <v>246</v>
      </c>
      <c r="AU223" s="134" t="s">
        <v>246</v>
      </c>
      <c r="AV223" s="134" t="s">
        <v>246</v>
      </c>
      <c r="AW223" s="31">
        <f>$A$45</f>
        <v>20223</v>
      </c>
      <c r="AX223" s="21">
        <v>296920400.53999996</v>
      </c>
      <c r="AY223" s="21">
        <v>1225249455.0100002</v>
      </c>
      <c r="AZ223" s="134" t="s">
        <v>246</v>
      </c>
      <c r="BA223" s="134" t="s">
        <v>246</v>
      </c>
      <c r="BB223" s="134" t="s">
        <v>246</v>
      </c>
      <c r="BC223" s="134" t="s">
        <v>246</v>
      </c>
      <c r="BD223" s="134" t="s">
        <v>246</v>
      </c>
      <c r="BE223" s="134" t="s">
        <v>246</v>
      </c>
      <c r="BF223" s="134" t="s">
        <v>246</v>
      </c>
      <c r="BG223" s="134" t="s">
        <v>246</v>
      </c>
      <c r="BH223" s="134" t="s">
        <v>246</v>
      </c>
      <c r="BI223" s="31">
        <f>$A$45</f>
        <v>20223</v>
      </c>
      <c r="BJ223" s="21">
        <v>13879897.49</v>
      </c>
      <c r="BK223" s="21">
        <v>69366669.980000004</v>
      </c>
      <c r="BL223" s="134" t="s">
        <v>246</v>
      </c>
      <c r="BM223" s="134" t="s">
        <v>246</v>
      </c>
      <c r="BN223" s="134" t="s">
        <v>246</v>
      </c>
      <c r="BO223" s="134" t="s">
        <v>246</v>
      </c>
      <c r="BP223" s="134" t="s">
        <v>246</v>
      </c>
      <c r="BQ223" s="134" t="s">
        <v>246</v>
      </c>
      <c r="BR223" s="134" t="s">
        <v>246</v>
      </c>
      <c r="BS223" s="134" t="s">
        <v>246</v>
      </c>
      <c r="BT223" s="134" t="s">
        <v>246</v>
      </c>
      <c r="BU223" s="31">
        <f>$A$45</f>
        <v>20223</v>
      </c>
      <c r="BV223" s="21">
        <v>13660</v>
      </c>
      <c r="BW223" s="21">
        <v>337710</v>
      </c>
      <c r="BX223" s="134" t="s">
        <v>246</v>
      </c>
      <c r="BY223" s="134" t="s">
        <v>246</v>
      </c>
      <c r="BZ223" s="134" t="s">
        <v>246</v>
      </c>
      <c r="CA223" s="134" t="s">
        <v>246</v>
      </c>
      <c r="CB223" s="134" t="s">
        <v>246</v>
      </c>
      <c r="CC223" s="134" t="s">
        <v>246</v>
      </c>
      <c r="CD223" s="134" t="s">
        <v>246</v>
      </c>
      <c r="CE223" s="134" t="s">
        <v>246</v>
      </c>
      <c r="CF223" s="134" t="s">
        <v>246</v>
      </c>
      <c r="CG223" s="31">
        <f>$A$45</f>
        <v>20223</v>
      </c>
      <c r="CH223" s="21"/>
      <c r="CI223" s="21"/>
      <c r="CJ223" s="134"/>
      <c r="CK223" s="134"/>
      <c r="CL223" s="134"/>
      <c r="CM223" s="134"/>
      <c r="CN223" s="134"/>
      <c r="CO223" s="134"/>
      <c r="CP223" s="134"/>
      <c r="CQ223" s="134"/>
      <c r="CR223" s="134"/>
      <c r="CS223" s="31">
        <f>$A$45</f>
        <v>20223</v>
      </c>
      <c r="CT223" s="21"/>
      <c r="CU223" s="21"/>
      <c r="CV223" s="134"/>
      <c r="CW223" s="134"/>
      <c r="CX223" s="134"/>
      <c r="CY223" s="134"/>
      <c r="CZ223" s="134"/>
      <c r="DA223" s="134"/>
      <c r="DB223" s="134"/>
      <c r="DC223" s="134"/>
      <c r="DD223" s="134"/>
      <c r="DE223" s="31">
        <f>$A$45</f>
        <v>20223</v>
      </c>
      <c r="DF223" s="21"/>
      <c r="DG223" s="21"/>
      <c r="DH223" s="134"/>
      <c r="DI223" s="134"/>
      <c r="DJ223" s="134"/>
      <c r="DK223" s="134"/>
      <c r="DL223" s="134"/>
      <c r="DM223" s="134"/>
      <c r="DN223" s="134"/>
      <c r="DO223" s="134"/>
      <c r="DP223" s="134"/>
    </row>
    <row r="224" spans="1:120" ht="15" customHeight="1" x14ac:dyDescent="0.25">
      <c r="F224" s="310" t="str">
        <f>IF(AND(ISNUMBER(K227),K227&gt;=1.01),"Reminder: If more than ten years of development is deemed to be required, insurers can provide this data in a supplemental exhibit.","")</f>
        <v/>
      </c>
      <c r="R224" s="310" t="str">
        <f>IF(AND(ISNUMBER(W227),W227&gt;=1.01),"Reminder: If more than ten years of development is deemed to be required, insurers can provide this data in a supplemental exhibit.","")</f>
        <v/>
      </c>
      <c r="AD224" s="310" t="str">
        <f>IF(AND(ISNUMBER(AI227),AI227&gt;=1.01),"Reminder: If more than ten years of development is deemed to be required, insurers can provide this data in a supplemental exhibit.","")</f>
        <v/>
      </c>
      <c r="AP224" s="309" t="str">
        <f>IF(AND(ISNUMBER(AU227),AU227&gt;=1.01),"Reminder: If more than ten years of development is deemed to be required, insurers can provide this data in a supplemental exhibit.","")</f>
        <v/>
      </c>
      <c r="BB224" s="310" t="str">
        <f>IF(AND(ISNUMBER(BG227),BG227&gt;=1.01),"Reminder: If more than ten years of development is deemed to be required, insurers can provide this data in a supplemental exhibit.","")</f>
        <v/>
      </c>
      <c r="BN224" s="310" t="str">
        <f>IF(AND(ISNUMBER(BS227),BS227&gt;=1.01),"Reminder: If more than ten years of development is deemed to be required, insurers can provide this data in a supplemental exhibit.","")</f>
        <v/>
      </c>
      <c r="BZ224" s="310" t="str">
        <f>IF(AND(ISNUMBER(CE227),CE227&gt;=1.01),"Reminder: If more than ten years of development is deemed to be required, insurers can provide this data in a supplemental exhibit.","")</f>
        <v/>
      </c>
      <c r="CL224" s="310" t="str">
        <f>IF(AND(ISNUMBER(CQ227),CQ227&gt;=1.01),"Reminder: If more than ten years of development is deemed to be required, insurers can provide this data in a supplemental exhibit.","")</f>
        <v/>
      </c>
      <c r="CX224" s="310" t="str">
        <f>IF(AND(ISNUMBER(DC227),DC227&gt;=1.01),"Reminder: If more than ten years of development is deemed to be required, insurers can provide this data in a supplemental exhibit.","")</f>
        <v/>
      </c>
      <c r="DJ224" s="310" t="str">
        <f>IF(AND(ISNUMBER(DO227),DO227&gt;=1.01),"Reminder: If more than ten years of development is deemed to be required, insurers can provide this data in a supplemental exhibit.","")</f>
        <v/>
      </c>
    </row>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ht="30" x14ac:dyDescent="0.25">
      <c r="A226" s="92" t="str">
        <f>$A$35</f>
        <v>Fiscal Accident Year Data Ending</v>
      </c>
      <c r="B226" s="92"/>
      <c r="C226" s="100" t="str">
        <f>$C$35&amp;"-"&amp;$D$35</f>
        <v>15-27</v>
      </c>
      <c r="D226" s="100" t="str">
        <f>$D$35&amp;"-"&amp;$E$35</f>
        <v>27-39</v>
      </c>
      <c r="E226" s="100" t="str">
        <f>$E$35&amp;"-"&amp;$F$35</f>
        <v>39-51</v>
      </c>
      <c r="F226" s="100" t="str">
        <f>$F$35&amp;"-"&amp;$G$35</f>
        <v>51-63</v>
      </c>
      <c r="G226" s="100" t="str">
        <f>$G$35&amp;"-"&amp;$H$35</f>
        <v>63-75</v>
      </c>
      <c r="H226" s="100" t="str">
        <f>$H$35&amp;"-"&amp;$I$35</f>
        <v>75-87</v>
      </c>
      <c r="I226" s="100" t="str">
        <f>$I$35&amp;"-"&amp;$J$35</f>
        <v>87-99</v>
      </c>
      <c r="J226" s="100" t="str">
        <f>$J$35&amp;"-"&amp;$K$35</f>
        <v>99-111</v>
      </c>
      <c r="K226" s="100" t="str">
        <f>$K$35&amp;"-"&amp;$L$35</f>
        <v>111-123</v>
      </c>
      <c r="L226" s="100" t="str">
        <f>$L$35&amp;"-Ult"</f>
        <v>123-Ult</v>
      </c>
      <c r="M226" s="92" t="str">
        <f>$A$35</f>
        <v>Fiscal Accident Year Data Ending</v>
      </c>
      <c r="N226" s="92"/>
      <c r="O226" s="100" t="str">
        <f>$C$35&amp;"-"&amp;$D$35</f>
        <v>15-27</v>
      </c>
      <c r="P226" s="100" t="str">
        <f>$D$35&amp;"-"&amp;$E$35</f>
        <v>27-39</v>
      </c>
      <c r="Q226" s="100" t="str">
        <f>$E$35&amp;"-"&amp;$F$35</f>
        <v>39-51</v>
      </c>
      <c r="R226" s="100" t="str">
        <f>$F$35&amp;"-"&amp;$G$35</f>
        <v>51-63</v>
      </c>
      <c r="S226" s="100" t="str">
        <f>$G$35&amp;"-"&amp;$H$35</f>
        <v>63-75</v>
      </c>
      <c r="T226" s="100" t="str">
        <f>$H$35&amp;"-"&amp;$I$35</f>
        <v>75-87</v>
      </c>
      <c r="U226" s="100" t="str">
        <f>$I$35&amp;"-"&amp;$J$35</f>
        <v>87-99</v>
      </c>
      <c r="V226" s="100" t="str">
        <f>$J$35&amp;"-"&amp;$K$35</f>
        <v>99-111</v>
      </c>
      <c r="W226" s="100" t="str">
        <f>$K$35&amp;"-"&amp;$L$35</f>
        <v>111-123</v>
      </c>
      <c r="X226" s="100" t="str">
        <f>$L$35&amp;"-Ult"</f>
        <v>123-Ult</v>
      </c>
      <c r="Y226" s="92" t="str">
        <f>$A$35</f>
        <v>Fiscal Accident Year Data Ending</v>
      </c>
      <c r="Z226" s="92"/>
      <c r="AA226" s="100" t="str">
        <f>$C$35&amp;"-"&amp;$D$35</f>
        <v>15-27</v>
      </c>
      <c r="AB226" s="100" t="str">
        <f>$D$35&amp;"-"&amp;$E$35</f>
        <v>27-39</v>
      </c>
      <c r="AC226" s="100" t="str">
        <f>$E$35&amp;"-"&amp;$F$35</f>
        <v>39-51</v>
      </c>
      <c r="AD226" s="100" t="str">
        <f>$F$35&amp;"-"&amp;$G$35</f>
        <v>51-63</v>
      </c>
      <c r="AE226" s="100" t="str">
        <f>$G$35&amp;"-"&amp;$H$35</f>
        <v>63-75</v>
      </c>
      <c r="AF226" s="100" t="str">
        <f>$H$35&amp;"-"&amp;$I$35</f>
        <v>75-87</v>
      </c>
      <c r="AG226" s="100" t="str">
        <f>$I$35&amp;"-"&amp;$J$35</f>
        <v>87-99</v>
      </c>
      <c r="AH226" s="100" t="str">
        <f>$J$35&amp;"-"&amp;$K$35</f>
        <v>99-111</v>
      </c>
      <c r="AI226" s="100" t="str">
        <f>$K$35&amp;"-"&amp;$L$35</f>
        <v>111-123</v>
      </c>
      <c r="AJ226" s="100" t="str">
        <f>$L$35&amp;"-Ult"</f>
        <v>123-Ult</v>
      </c>
      <c r="AK226" s="92" t="str">
        <f>$A$35</f>
        <v>Fiscal Accident Year Data Ending</v>
      </c>
      <c r="AL226" s="92"/>
      <c r="AM226" s="100" t="str">
        <f>$C$35&amp;"-"&amp;$D$35</f>
        <v>15-27</v>
      </c>
      <c r="AN226" s="100" t="str">
        <f>$D$35&amp;"-"&amp;$E$35</f>
        <v>27-39</v>
      </c>
      <c r="AO226" s="100" t="str">
        <f>$E$35&amp;"-"&amp;$F$35</f>
        <v>39-51</v>
      </c>
      <c r="AP226" s="100" t="str">
        <f>$F$35&amp;"-"&amp;$G$35</f>
        <v>51-63</v>
      </c>
      <c r="AQ226" s="100" t="str">
        <f>$G$35&amp;"-"&amp;$H$35</f>
        <v>63-75</v>
      </c>
      <c r="AR226" s="100" t="str">
        <f>$H$35&amp;"-"&amp;$I$35</f>
        <v>75-87</v>
      </c>
      <c r="AS226" s="100" t="str">
        <f>$I$35&amp;"-"&amp;$J$35</f>
        <v>87-99</v>
      </c>
      <c r="AT226" s="100" t="str">
        <f>$J$35&amp;"-"&amp;$K$35</f>
        <v>99-111</v>
      </c>
      <c r="AU226" s="100" t="str">
        <f>$K$35&amp;"-"&amp;$L$35</f>
        <v>111-123</v>
      </c>
      <c r="AV226" s="100" t="str">
        <f>$L$35&amp;"-Ult"</f>
        <v>123-Ult</v>
      </c>
      <c r="AW226" s="92" t="str">
        <f>$A$35</f>
        <v>Fiscal Accident Year Data Ending</v>
      </c>
      <c r="AX226" s="92"/>
      <c r="AY226" s="100" t="str">
        <f>$C$35&amp;"-"&amp;$D$35</f>
        <v>15-27</v>
      </c>
      <c r="AZ226" s="100" t="str">
        <f>$D$35&amp;"-"&amp;$E$35</f>
        <v>27-39</v>
      </c>
      <c r="BA226" s="100" t="str">
        <f>$E$35&amp;"-"&amp;$F$35</f>
        <v>39-51</v>
      </c>
      <c r="BB226" s="100" t="str">
        <f>$F$35&amp;"-"&amp;$G$35</f>
        <v>51-63</v>
      </c>
      <c r="BC226" s="100" t="str">
        <f>$G$35&amp;"-"&amp;$H$35</f>
        <v>63-75</v>
      </c>
      <c r="BD226" s="100" t="str">
        <f>$H$35&amp;"-"&amp;$I$35</f>
        <v>75-87</v>
      </c>
      <c r="BE226" s="100" t="str">
        <f>$I$35&amp;"-"&amp;$J$35</f>
        <v>87-99</v>
      </c>
      <c r="BF226" s="100" t="str">
        <f>$J$35&amp;"-"&amp;$K$35</f>
        <v>99-111</v>
      </c>
      <c r="BG226" s="100" t="str">
        <f>$K$35&amp;"-"&amp;$L$35</f>
        <v>111-123</v>
      </c>
      <c r="BH226" s="100" t="str">
        <f>$L$35&amp;"-Ult"</f>
        <v>123-Ult</v>
      </c>
      <c r="BI226" s="92" t="str">
        <f>$A$35</f>
        <v>Fiscal Accident Year Data Ending</v>
      </c>
      <c r="BJ226" s="92"/>
      <c r="BK226" s="100" t="str">
        <f>$C$35&amp;"-"&amp;$D$35</f>
        <v>15-27</v>
      </c>
      <c r="BL226" s="100" t="str">
        <f>$D$35&amp;"-"&amp;$E$35</f>
        <v>27-39</v>
      </c>
      <c r="BM226" s="100" t="str">
        <f>$E$35&amp;"-"&amp;$F$35</f>
        <v>39-51</v>
      </c>
      <c r="BN226" s="100" t="str">
        <f>$F$35&amp;"-"&amp;$G$35</f>
        <v>51-63</v>
      </c>
      <c r="BO226" s="100" t="str">
        <f>$G$35&amp;"-"&amp;$H$35</f>
        <v>63-75</v>
      </c>
      <c r="BP226" s="100" t="str">
        <f>$H$35&amp;"-"&amp;$I$35</f>
        <v>75-87</v>
      </c>
      <c r="BQ226" s="100" t="str">
        <f>$I$35&amp;"-"&amp;$J$35</f>
        <v>87-99</v>
      </c>
      <c r="BR226" s="100" t="str">
        <f>$J$35&amp;"-"&amp;$K$35</f>
        <v>99-111</v>
      </c>
      <c r="BS226" s="100" t="str">
        <f>$K$35&amp;"-"&amp;$L$35</f>
        <v>111-123</v>
      </c>
      <c r="BT226" s="100" t="str">
        <f>$L$35&amp;"-Ult"</f>
        <v>123-Ult</v>
      </c>
      <c r="BU226" s="92" t="str">
        <f>$A$35</f>
        <v>Fiscal Accident Year Data Ending</v>
      </c>
      <c r="BV226" s="92"/>
      <c r="BW226" s="100" t="str">
        <f>$C$35&amp;"-"&amp;$D$35</f>
        <v>15-27</v>
      </c>
      <c r="BX226" s="100" t="str">
        <f>$D$35&amp;"-"&amp;$E$35</f>
        <v>27-39</v>
      </c>
      <c r="BY226" s="100" t="str">
        <f>$E$35&amp;"-"&amp;$F$35</f>
        <v>39-51</v>
      </c>
      <c r="BZ226" s="100" t="str">
        <f>$F$35&amp;"-"&amp;$G$35</f>
        <v>51-63</v>
      </c>
      <c r="CA226" s="100" t="str">
        <f>$G$35&amp;"-"&amp;$H$35</f>
        <v>63-75</v>
      </c>
      <c r="CB226" s="100" t="str">
        <f>$H$35&amp;"-"&amp;$I$35</f>
        <v>75-87</v>
      </c>
      <c r="CC226" s="100" t="str">
        <f>$I$35&amp;"-"&amp;$J$35</f>
        <v>87-99</v>
      </c>
      <c r="CD226" s="100" t="str">
        <f>$J$35&amp;"-"&amp;$K$35</f>
        <v>99-111</v>
      </c>
      <c r="CE226" s="100" t="str">
        <f>$K$35&amp;"-"&amp;$L$35</f>
        <v>111-123</v>
      </c>
      <c r="CF226" s="100" t="str">
        <f>$L$35&amp;"-Ult"</f>
        <v>123-Ult</v>
      </c>
      <c r="CG226" s="92" t="str">
        <f>$A$35</f>
        <v>Fiscal Accident Year Data Ending</v>
      </c>
      <c r="CH226" s="92"/>
      <c r="CI226" s="100" t="str">
        <f>$C$35&amp;"-"&amp;$D$35</f>
        <v>15-27</v>
      </c>
      <c r="CJ226" s="100" t="str">
        <f>$D$35&amp;"-"&amp;$E$35</f>
        <v>27-39</v>
      </c>
      <c r="CK226" s="100" t="str">
        <f>$E$35&amp;"-"&amp;$F$35</f>
        <v>39-51</v>
      </c>
      <c r="CL226" s="100" t="str">
        <f>$F$35&amp;"-"&amp;$G$35</f>
        <v>51-63</v>
      </c>
      <c r="CM226" s="100" t="str">
        <f>$G$35&amp;"-"&amp;$H$35</f>
        <v>63-75</v>
      </c>
      <c r="CN226" s="100" t="str">
        <f>$H$35&amp;"-"&amp;$I$35</f>
        <v>75-87</v>
      </c>
      <c r="CO226" s="100" t="str">
        <f>$I$35&amp;"-"&amp;$J$35</f>
        <v>87-99</v>
      </c>
      <c r="CP226" s="100" t="str">
        <f>$J$35&amp;"-"&amp;$K$35</f>
        <v>99-111</v>
      </c>
      <c r="CQ226" s="100" t="str">
        <f>$K$35&amp;"-"&amp;$L$35</f>
        <v>111-123</v>
      </c>
      <c r="CR226" s="100" t="str">
        <f>$L$35&amp;"-Ult"</f>
        <v>123-Ult</v>
      </c>
      <c r="CS226" s="92" t="str">
        <f>$A$35</f>
        <v>Fiscal Accident Year Data Ending</v>
      </c>
      <c r="CT226" s="92"/>
      <c r="CU226" s="100" t="str">
        <f>$C$35&amp;"-"&amp;$D$35</f>
        <v>15-27</v>
      </c>
      <c r="CV226" s="100" t="str">
        <f>$D$35&amp;"-"&amp;$E$35</f>
        <v>27-39</v>
      </c>
      <c r="CW226" s="100" t="str">
        <f>$E$35&amp;"-"&amp;$F$35</f>
        <v>39-51</v>
      </c>
      <c r="CX226" s="100" t="str">
        <f>$F$35&amp;"-"&amp;$G$35</f>
        <v>51-63</v>
      </c>
      <c r="CY226" s="100" t="str">
        <f>$G$35&amp;"-"&amp;$H$35</f>
        <v>63-75</v>
      </c>
      <c r="CZ226" s="100" t="str">
        <f>$H$35&amp;"-"&amp;$I$35</f>
        <v>75-87</v>
      </c>
      <c r="DA226" s="100" t="str">
        <f>$I$35&amp;"-"&amp;$J$35</f>
        <v>87-99</v>
      </c>
      <c r="DB226" s="100" t="str">
        <f>$J$35&amp;"-"&amp;$K$35</f>
        <v>99-111</v>
      </c>
      <c r="DC226" s="100" t="str">
        <f>$K$35&amp;"-"&amp;$L$35</f>
        <v>111-123</v>
      </c>
      <c r="DD226" s="100" t="str">
        <f>$L$35&amp;"-Ult"</f>
        <v>123-Ult</v>
      </c>
      <c r="DE226" s="92" t="str">
        <f>$A$35</f>
        <v>Fiscal Accident Year Data Ending</v>
      </c>
      <c r="DF226" s="92"/>
      <c r="DG226" s="100" t="str">
        <f>$C$35&amp;"-"&amp;$D$35</f>
        <v>15-27</v>
      </c>
      <c r="DH226" s="100" t="str">
        <f>$D$35&amp;"-"&amp;$E$35</f>
        <v>27-39</v>
      </c>
      <c r="DI226" s="100" t="str">
        <f>$E$35&amp;"-"&amp;$F$35</f>
        <v>39-51</v>
      </c>
      <c r="DJ226" s="100" t="str">
        <f>$F$35&amp;"-"&amp;$G$35</f>
        <v>51-63</v>
      </c>
      <c r="DK226" s="100" t="str">
        <f>$G$35&amp;"-"&amp;$H$35</f>
        <v>63-75</v>
      </c>
      <c r="DL226" s="100" t="str">
        <f>$H$35&amp;"-"&amp;$I$35</f>
        <v>75-87</v>
      </c>
      <c r="DM226" s="100" t="str">
        <f>$I$35&amp;"-"&amp;$J$35</f>
        <v>87-99</v>
      </c>
      <c r="DN226" s="100" t="str">
        <f>$J$35&amp;"-"&amp;$K$35</f>
        <v>99-111</v>
      </c>
      <c r="DO226" s="100" t="str">
        <f>$K$35&amp;"-"&amp;$L$35</f>
        <v>111-123</v>
      </c>
      <c r="DP226" s="100" t="str">
        <f>$L$35&amp;"-Ult"</f>
        <v>123-Ult</v>
      </c>
    </row>
    <row r="227" spans="1:120" x14ac:dyDescent="0.25">
      <c r="A227" s="91">
        <f>$A$36</f>
        <v>20133</v>
      </c>
      <c r="B227" s="105"/>
      <c r="C227" s="90">
        <f>IFERROR(D214/C214,"")</f>
        <v>1.1051773374151663</v>
      </c>
      <c r="D227" s="90">
        <f t="shared" ref="D227:K227" si="401">IFERROR(E214/D214,"")</f>
        <v>1.0915745719984526</v>
      </c>
      <c r="E227" s="90">
        <f t="shared" si="401"/>
        <v>1.0539902875990184</v>
      </c>
      <c r="F227" s="90">
        <f t="shared" si="401"/>
        <v>1.010817375039752</v>
      </c>
      <c r="G227" s="90">
        <f t="shared" si="401"/>
        <v>1.0016777450457948</v>
      </c>
      <c r="H227" s="90">
        <f t="shared" si="401"/>
        <v>1.0005341777065204</v>
      </c>
      <c r="I227" s="90">
        <f t="shared" si="401"/>
        <v>1.0003934042024976</v>
      </c>
      <c r="J227" s="90">
        <f t="shared" si="401"/>
        <v>1.000052107452174</v>
      </c>
      <c r="K227" s="90">
        <f t="shared" si="401"/>
        <v>1.0000981198346177</v>
      </c>
      <c r="L227" s="22"/>
      <c r="M227" s="91">
        <f>$A$36</f>
        <v>20133</v>
      </c>
      <c r="N227" s="105"/>
      <c r="O227" s="90">
        <f>IFERROR(P214/O214,"")</f>
        <v>1.0612094455250285</v>
      </c>
      <c r="P227" s="90">
        <f t="shared" ref="P227:W227" si="402">IFERROR(Q214/P214,"")</f>
        <v>0.99620804661165596</v>
      </c>
      <c r="Q227" s="90">
        <f t="shared" si="402"/>
        <v>0.99452702877361476</v>
      </c>
      <c r="R227" s="90">
        <f t="shared" si="402"/>
        <v>1.0007083459441375</v>
      </c>
      <c r="S227" s="90">
        <f t="shared" si="402"/>
        <v>0.9988511500828805</v>
      </c>
      <c r="T227" s="90">
        <f t="shared" si="402"/>
        <v>1.0000435999879402</v>
      </c>
      <c r="U227" s="90">
        <f t="shared" si="402"/>
        <v>1.0004146098558209</v>
      </c>
      <c r="V227" s="90">
        <f t="shared" si="402"/>
        <v>0.99992361978931454</v>
      </c>
      <c r="W227" s="90">
        <f t="shared" si="402"/>
        <v>0.99996832407131842</v>
      </c>
      <c r="X227" s="22"/>
      <c r="Y227" s="91">
        <f>$A$36</f>
        <v>20133</v>
      </c>
      <c r="Z227" s="105"/>
      <c r="AA227" s="90">
        <f>IFERROR(AB214/AA214,"")</f>
        <v>1.3773740406180575</v>
      </c>
      <c r="AB227" s="90">
        <f t="shared" ref="AB227:AI227" si="403">IFERROR(AC214/AB214,"")</f>
        <v>1.1655675151837095</v>
      </c>
      <c r="AC227" s="90">
        <f t="shared" si="403"/>
        <v>1.0601297799654048</v>
      </c>
      <c r="AD227" s="90">
        <f t="shared" si="403"/>
        <v>1.0262796507910352</v>
      </c>
      <c r="AE227" s="90">
        <f t="shared" si="403"/>
        <v>1.0195357422820719</v>
      </c>
      <c r="AF227" s="90">
        <f t="shared" si="403"/>
        <v>1.0092123542955347</v>
      </c>
      <c r="AG227" s="90">
        <f t="shared" si="403"/>
        <v>1.0034473444245289</v>
      </c>
      <c r="AH227" s="90">
        <f t="shared" si="403"/>
        <v>0.99933321834214006</v>
      </c>
      <c r="AI227" s="90">
        <f t="shared" si="403"/>
        <v>1.0016004764112982</v>
      </c>
      <c r="AJ227" s="22"/>
      <c r="AK227" s="91">
        <f>$A$36</f>
        <v>20133</v>
      </c>
      <c r="AL227" s="105"/>
      <c r="AM227" s="90">
        <f>IFERROR(AN214/AM214,"")</f>
        <v>1.0034748920446044</v>
      </c>
      <c r="AN227" s="90">
        <f t="shared" ref="AN227:AU227" si="404">IFERROR(AO214/AN214,"")</f>
        <v>1.0003324710985328</v>
      </c>
      <c r="AO227" s="90">
        <f t="shared" si="404"/>
        <v>1.0000043609620584</v>
      </c>
      <c r="AP227" s="90">
        <f t="shared" si="404"/>
        <v>1.0005443357631754</v>
      </c>
      <c r="AQ227" s="90">
        <f t="shared" si="404"/>
        <v>1.000074499599571</v>
      </c>
      <c r="AR227" s="90">
        <f t="shared" si="404"/>
        <v>1.0000974954470923</v>
      </c>
      <c r="AS227" s="90">
        <f t="shared" si="404"/>
        <v>1.000030360587234</v>
      </c>
      <c r="AT227" s="90">
        <f t="shared" si="404"/>
        <v>0.99997516316140689</v>
      </c>
      <c r="AU227" s="90">
        <f t="shared" si="404"/>
        <v>1.0000092425007039</v>
      </c>
      <c r="AV227" s="22"/>
      <c r="AW227" s="91">
        <f>$A$36</f>
        <v>20133</v>
      </c>
      <c r="AX227" s="105"/>
      <c r="AY227" s="90">
        <f>IFERROR(AZ214/AY214,"")</f>
        <v>0.9298915162419209</v>
      </c>
      <c r="AZ227" s="90">
        <f t="shared" ref="AZ227:BG227" si="405">IFERROR(BA214/AZ214,"")</f>
        <v>0.98427118658403234</v>
      </c>
      <c r="BA227" s="90">
        <f t="shared" si="405"/>
        <v>0.99658243450972905</v>
      </c>
      <c r="BB227" s="90">
        <f t="shared" si="405"/>
        <v>0.9990136098139506</v>
      </c>
      <c r="BC227" s="90">
        <f t="shared" si="405"/>
        <v>0.99950151334572346</v>
      </c>
      <c r="BD227" s="90">
        <f t="shared" si="405"/>
        <v>0.99969174713567266</v>
      </c>
      <c r="BE227" s="90">
        <f t="shared" si="405"/>
        <v>0.99971540591190644</v>
      </c>
      <c r="BF227" s="90">
        <f t="shared" si="405"/>
        <v>0.99980250592360542</v>
      </c>
      <c r="BG227" s="90">
        <f t="shared" si="405"/>
        <v>0.99983689567076439</v>
      </c>
      <c r="BH227" s="22"/>
      <c r="BI227" s="91">
        <f>$A$36</f>
        <v>20133</v>
      </c>
      <c r="BJ227" s="105"/>
      <c r="BK227" s="90">
        <f>IFERROR(BL214/BK214,"")</f>
        <v>0.96826140826967944</v>
      </c>
      <c r="BL227" s="90">
        <f t="shared" ref="BL227:BS227" si="406">IFERROR(BM214/BL214,"")</f>
        <v>0.99396897871234091</v>
      </c>
      <c r="BM227" s="90">
        <f t="shared" si="406"/>
        <v>0.99912456815096362</v>
      </c>
      <c r="BN227" s="90">
        <f t="shared" si="406"/>
        <v>0.99974523553909478</v>
      </c>
      <c r="BO227" s="90">
        <f t="shared" si="406"/>
        <v>0.99978753370565998</v>
      </c>
      <c r="BP227" s="90">
        <f t="shared" si="406"/>
        <v>0.99990132521066044</v>
      </c>
      <c r="BQ227" s="90">
        <f t="shared" si="406"/>
        <v>0.99997326276236131</v>
      </c>
      <c r="BR227" s="90">
        <f t="shared" si="406"/>
        <v>0.99994474941831446</v>
      </c>
      <c r="BS227" s="90">
        <f t="shared" si="406"/>
        <v>0.99995142918498992</v>
      </c>
      <c r="BT227" s="22"/>
      <c r="BU227" s="91">
        <f>$A$36</f>
        <v>20133</v>
      </c>
      <c r="BV227" s="105"/>
      <c r="BW227" s="90">
        <f>IFERROR(BX214/BW214,"")</f>
        <v>1.2074557865231661</v>
      </c>
      <c r="BX227" s="90">
        <f t="shared" ref="BX227:CE227" si="407">IFERROR(BY214/BX214,"")</f>
        <v>0.92056564245810057</v>
      </c>
      <c r="BY227" s="90">
        <f t="shared" si="407"/>
        <v>0.98615588848852642</v>
      </c>
      <c r="BZ227" s="90">
        <f t="shared" si="407"/>
        <v>0.99326923076923079</v>
      </c>
      <c r="CA227" s="90">
        <f t="shared" si="407"/>
        <v>1</v>
      </c>
      <c r="CB227" s="90">
        <f t="shared" si="407"/>
        <v>1</v>
      </c>
      <c r="CC227" s="90">
        <f t="shared" si="407"/>
        <v>1</v>
      </c>
      <c r="CD227" s="90">
        <f t="shared" si="407"/>
        <v>1</v>
      </c>
      <c r="CE227" s="90">
        <f t="shared" si="407"/>
        <v>1</v>
      </c>
      <c r="CF227" s="22"/>
      <c r="CG227" s="91">
        <f>$A$36</f>
        <v>20133</v>
      </c>
      <c r="CH227" s="105"/>
      <c r="CI227" s="90" t="str">
        <f>IFERROR(CJ214/CI214,"")</f>
        <v/>
      </c>
      <c r="CJ227" s="90" t="str">
        <f t="shared" ref="CJ227:CQ227" si="408">IFERROR(CK214/CJ214,"")</f>
        <v/>
      </c>
      <c r="CK227" s="90" t="str">
        <f t="shared" si="408"/>
        <v/>
      </c>
      <c r="CL227" s="90" t="str">
        <f t="shared" si="408"/>
        <v/>
      </c>
      <c r="CM227" s="90" t="str">
        <f t="shared" si="408"/>
        <v/>
      </c>
      <c r="CN227" s="90" t="str">
        <f t="shared" si="408"/>
        <v/>
      </c>
      <c r="CO227" s="90" t="str">
        <f t="shared" si="408"/>
        <v/>
      </c>
      <c r="CP227" s="90" t="str">
        <f t="shared" si="408"/>
        <v/>
      </c>
      <c r="CQ227" s="90" t="str">
        <f t="shared" si="408"/>
        <v/>
      </c>
      <c r="CR227" s="22"/>
      <c r="CS227" s="91">
        <f>$A$36</f>
        <v>20133</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20133</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20143</v>
      </c>
      <c r="B228" s="105"/>
      <c r="C228" s="90">
        <f t="shared" ref="C228:J235" si="411">IFERROR(D215/C215,"")</f>
        <v>1.1637486657948801</v>
      </c>
      <c r="D228" s="90">
        <f t="shared" si="411"/>
        <v>1.1386564838343656</v>
      </c>
      <c r="E228" s="90">
        <f t="shared" si="411"/>
        <v>1.0456786556186495</v>
      </c>
      <c r="F228" s="90">
        <f t="shared" si="411"/>
        <v>1.0226418288100749</v>
      </c>
      <c r="G228" s="90">
        <f t="shared" si="411"/>
        <v>1.0023528699998687</v>
      </c>
      <c r="H228" s="90">
        <f t="shared" si="411"/>
        <v>1.0004231089188977</v>
      </c>
      <c r="I228" s="90">
        <f t="shared" si="411"/>
        <v>1.000368533742471</v>
      </c>
      <c r="J228" s="90">
        <f t="shared" si="411"/>
        <v>0.9999404416922687</v>
      </c>
      <c r="K228" s="22"/>
      <c r="L228" s="22"/>
      <c r="M228" s="91">
        <f>$A$37</f>
        <v>20143</v>
      </c>
      <c r="N228" s="105"/>
      <c r="O228" s="90">
        <f t="shared" ref="O228:V235" si="412">IFERROR(P215/O215,"")</f>
        <v>1.0846453926809316</v>
      </c>
      <c r="P228" s="90">
        <f t="shared" si="412"/>
        <v>0.98726341087775837</v>
      </c>
      <c r="Q228" s="90">
        <f t="shared" si="412"/>
        <v>1.0036983343886259</v>
      </c>
      <c r="R228" s="90">
        <f t="shared" si="412"/>
        <v>1.0015036314355095</v>
      </c>
      <c r="S228" s="90">
        <f t="shared" si="412"/>
        <v>1.0008084166224129</v>
      </c>
      <c r="T228" s="90">
        <f t="shared" si="412"/>
        <v>1.0013610916203159</v>
      </c>
      <c r="U228" s="90">
        <f t="shared" si="412"/>
        <v>1.0014302637090482</v>
      </c>
      <c r="V228" s="90">
        <f t="shared" si="412"/>
        <v>0.9999376230978404</v>
      </c>
      <c r="W228" s="22"/>
      <c r="X228" s="22"/>
      <c r="Y228" s="91">
        <f>$A$37</f>
        <v>20143</v>
      </c>
      <c r="Z228" s="105"/>
      <c r="AA228" s="90">
        <f t="shared" ref="AA228:AH235" si="413">IFERROR(AB215/AA215,"")</f>
        <v>1.4881977946032476</v>
      </c>
      <c r="AB228" s="90">
        <f t="shared" si="413"/>
        <v>1.1962879988509056</v>
      </c>
      <c r="AC228" s="90">
        <f t="shared" si="413"/>
        <v>1.0618291717930686</v>
      </c>
      <c r="AD228" s="90">
        <f t="shared" si="413"/>
        <v>1.0315684917133756</v>
      </c>
      <c r="AE228" s="90">
        <f t="shared" si="413"/>
        <v>1.0126130283945691</v>
      </c>
      <c r="AF228" s="90">
        <f t="shared" si="413"/>
        <v>1.0026117788582631</v>
      </c>
      <c r="AG228" s="90">
        <f t="shared" si="413"/>
        <v>1.0031577578816542</v>
      </c>
      <c r="AH228" s="90">
        <f t="shared" si="413"/>
        <v>1.0017150741638139</v>
      </c>
      <c r="AI228" s="22"/>
      <c r="AJ228" s="22"/>
      <c r="AK228" s="91">
        <f>$A$37</f>
        <v>20143</v>
      </c>
      <c r="AL228" s="105"/>
      <c r="AM228" s="90">
        <f t="shared" ref="AM228:AT235" si="414">IFERROR(AN215/AM215,"")</f>
        <v>1.0032635232510627</v>
      </c>
      <c r="AN228" s="90">
        <f t="shared" si="414"/>
        <v>0.99880526505169787</v>
      </c>
      <c r="AO228" s="90">
        <f t="shared" si="414"/>
        <v>1.0004330310086624</v>
      </c>
      <c r="AP228" s="90">
        <f t="shared" si="414"/>
        <v>0.99963222337744195</v>
      </c>
      <c r="AQ228" s="90">
        <f t="shared" si="414"/>
        <v>1.000376606676131</v>
      </c>
      <c r="AR228" s="90">
        <f t="shared" si="414"/>
        <v>1.0001649317459353</v>
      </c>
      <c r="AS228" s="90">
        <f t="shared" si="414"/>
        <v>0.99996186980733337</v>
      </c>
      <c r="AT228" s="90">
        <f t="shared" si="414"/>
        <v>0.99996311954339323</v>
      </c>
      <c r="AU228" s="22"/>
      <c r="AV228" s="22"/>
      <c r="AW228" s="91">
        <f>$A$37</f>
        <v>20143</v>
      </c>
      <c r="AX228" s="105"/>
      <c r="AY228" s="90">
        <f t="shared" ref="AY228:BF235" si="415">IFERROR(AZ215/AY215,"")</f>
        <v>0.91285227853183248</v>
      </c>
      <c r="AZ228" s="90">
        <f t="shared" si="415"/>
        <v>0.98954707990155699</v>
      </c>
      <c r="BA228" s="90">
        <f t="shared" si="415"/>
        <v>0.99698675435305573</v>
      </c>
      <c r="BB228" s="90">
        <f t="shared" si="415"/>
        <v>0.99933643731836086</v>
      </c>
      <c r="BC228" s="90">
        <f t="shared" si="415"/>
        <v>0.99976994110530004</v>
      </c>
      <c r="BD228" s="90">
        <f t="shared" si="415"/>
        <v>0.99989136549351532</v>
      </c>
      <c r="BE228" s="90">
        <f t="shared" si="415"/>
        <v>0.99987802421157568</v>
      </c>
      <c r="BF228" s="90">
        <f t="shared" si="415"/>
        <v>0.99994109941191389</v>
      </c>
      <c r="BG228" s="22"/>
      <c r="BH228" s="22"/>
      <c r="BI228" s="91">
        <f>$A$37</f>
        <v>20143</v>
      </c>
      <c r="BJ228" s="105"/>
      <c r="BK228" s="90">
        <f t="shared" ref="BK228:BR235" si="416">IFERROR(BL215/BK215,"")</f>
        <v>0.96438041246899231</v>
      </c>
      <c r="BL228" s="90">
        <f t="shared" si="416"/>
        <v>0.99684713070879738</v>
      </c>
      <c r="BM228" s="90">
        <f t="shared" si="416"/>
        <v>0.99992193396368945</v>
      </c>
      <c r="BN228" s="90">
        <f t="shared" si="416"/>
        <v>1.000020550867087</v>
      </c>
      <c r="BO228" s="90">
        <f t="shared" si="416"/>
        <v>0.9999835878783192</v>
      </c>
      <c r="BP228" s="90">
        <f t="shared" si="416"/>
        <v>0.99998278080192193</v>
      </c>
      <c r="BQ228" s="90">
        <f t="shared" si="416"/>
        <v>1.0000009731104029</v>
      </c>
      <c r="BR228" s="90">
        <f t="shared" si="416"/>
        <v>1.0000079243441051</v>
      </c>
      <c r="BS228" s="22"/>
      <c r="BT228" s="22"/>
      <c r="BU228" s="91">
        <f>$A$37</f>
        <v>20143</v>
      </c>
      <c r="BV228" s="105"/>
      <c r="BW228" s="90">
        <f t="shared" ref="BW228:CD235" si="417">IFERROR(BX215/BW215,"")</f>
        <v>1.0308298050983555</v>
      </c>
      <c r="BX228" s="90">
        <f t="shared" si="417"/>
        <v>1.0133238339122304</v>
      </c>
      <c r="BY228" s="90">
        <f t="shared" si="417"/>
        <v>1.0255978912037589</v>
      </c>
      <c r="BZ228" s="90">
        <f t="shared" si="417"/>
        <v>1</v>
      </c>
      <c r="CA228" s="90">
        <f t="shared" si="417"/>
        <v>1</v>
      </c>
      <c r="CB228" s="90">
        <f t="shared" si="417"/>
        <v>1</v>
      </c>
      <c r="CC228" s="90">
        <f t="shared" si="417"/>
        <v>1</v>
      </c>
      <c r="CD228" s="90">
        <f t="shared" si="417"/>
        <v>1</v>
      </c>
      <c r="CE228" s="22"/>
      <c r="CF228" s="22"/>
      <c r="CG228" s="91">
        <f>$A$37</f>
        <v>20143</v>
      </c>
      <c r="CH228" s="105"/>
      <c r="CI228" s="90" t="str">
        <f t="shared" ref="CI228:CP235" si="418">IFERROR(CJ215/CI215,"")</f>
        <v/>
      </c>
      <c r="CJ228" s="90" t="str">
        <f t="shared" si="418"/>
        <v/>
      </c>
      <c r="CK228" s="90" t="str">
        <f t="shared" si="418"/>
        <v/>
      </c>
      <c r="CL228" s="90" t="str">
        <f t="shared" si="418"/>
        <v/>
      </c>
      <c r="CM228" s="90" t="str">
        <f t="shared" si="418"/>
        <v/>
      </c>
      <c r="CN228" s="90" t="str">
        <f t="shared" si="418"/>
        <v/>
      </c>
      <c r="CO228" s="90" t="str">
        <f t="shared" si="418"/>
        <v/>
      </c>
      <c r="CP228" s="90" t="str">
        <f t="shared" si="418"/>
        <v/>
      </c>
      <c r="CQ228" s="22"/>
      <c r="CR228" s="22"/>
      <c r="CS228" s="91">
        <f>$A$37</f>
        <v>20143</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20143</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20153</v>
      </c>
      <c r="B229" s="105"/>
      <c r="C229" s="90">
        <f t="shared" si="411"/>
        <v>1.2147353347715839</v>
      </c>
      <c r="D229" s="90">
        <f t="shared" si="411"/>
        <v>1.085822894517785</v>
      </c>
      <c r="E229" s="90">
        <f t="shared" si="411"/>
        <v>1.0340670562265137</v>
      </c>
      <c r="F229" s="90">
        <f t="shared" si="411"/>
        <v>1.0128786443844959</v>
      </c>
      <c r="G229" s="90">
        <f t="shared" si="411"/>
        <v>1.0016504998265634</v>
      </c>
      <c r="H229" s="90">
        <f t="shared" si="411"/>
        <v>1.0012826450392127</v>
      </c>
      <c r="I229" s="90">
        <f t="shared" si="411"/>
        <v>1.000907165967708</v>
      </c>
      <c r="J229" s="22"/>
      <c r="K229" s="22"/>
      <c r="L229" s="22"/>
      <c r="M229" s="91">
        <f>$A$38</f>
        <v>20153</v>
      </c>
      <c r="N229" s="105"/>
      <c r="O229" s="90">
        <f t="shared" si="412"/>
        <v>1.0824134588312104</v>
      </c>
      <c r="P229" s="90">
        <f t="shared" si="412"/>
        <v>1.0136635500319449</v>
      </c>
      <c r="Q229" s="90">
        <f t="shared" si="412"/>
        <v>1.0043610664677318</v>
      </c>
      <c r="R229" s="90">
        <f t="shared" si="412"/>
        <v>1.0011946212627119</v>
      </c>
      <c r="S229" s="90">
        <f t="shared" si="412"/>
        <v>0.99976853470509652</v>
      </c>
      <c r="T229" s="90">
        <f t="shared" si="412"/>
        <v>1.0006367680318389</v>
      </c>
      <c r="U229" s="90">
        <f t="shared" si="412"/>
        <v>0.99996732840951164</v>
      </c>
      <c r="V229" s="22"/>
      <c r="W229" s="22"/>
      <c r="X229" s="22"/>
      <c r="Y229" s="91">
        <f>$A$38</f>
        <v>20153</v>
      </c>
      <c r="Z229" s="105"/>
      <c r="AA229" s="90">
        <f t="shared" si="413"/>
        <v>1.6239145645196125</v>
      </c>
      <c r="AB229" s="90">
        <f t="shared" si="413"/>
        <v>1.2107897227795643</v>
      </c>
      <c r="AC229" s="90">
        <f t="shared" si="413"/>
        <v>1.0667599215764352</v>
      </c>
      <c r="AD229" s="90">
        <f t="shared" si="413"/>
        <v>1.0275410887457908</v>
      </c>
      <c r="AE229" s="90">
        <f t="shared" si="413"/>
        <v>1.0095324000617538</v>
      </c>
      <c r="AF229" s="90">
        <f t="shared" si="413"/>
        <v>1.0026672495436981</v>
      </c>
      <c r="AG229" s="90">
        <f t="shared" si="413"/>
        <v>1.0007570886080166</v>
      </c>
      <c r="AH229" s="22"/>
      <c r="AI229" s="22"/>
      <c r="AJ229" s="22"/>
      <c r="AK229" s="91">
        <f>$A$38</f>
        <v>20153</v>
      </c>
      <c r="AL229" s="105"/>
      <c r="AM229" s="90">
        <f t="shared" si="414"/>
        <v>1.0047043469281562</v>
      </c>
      <c r="AN229" s="90">
        <f t="shared" si="414"/>
        <v>1.0010697440646026</v>
      </c>
      <c r="AO229" s="90">
        <f t="shared" si="414"/>
        <v>0.99997528365521815</v>
      </c>
      <c r="AP229" s="90">
        <f t="shared" si="414"/>
        <v>1.0002034690749584</v>
      </c>
      <c r="AQ229" s="90">
        <f t="shared" si="414"/>
        <v>1.0000936116358103</v>
      </c>
      <c r="AR229" s="90">
        <f t="shared" si="414"/>
        <v>1.0000616959660817</v>
      </c>
      <c r="AS229" s="90">
        <f t="shared" si="414"/>
        <v>1.0000720053109853</v>
      </c>
      <c r="AT229" s="22"/>
      <c r="AU229" s="22"/>
      <c r="AV229" s="22"/>
      <c r="AW229" s="91">
        <f>$A$38</f>
        <v>20153</v>
      </c>
      <c r="AX229" s="105"/>
      <c r="AY229" s="90">
        <f t="shared" si="415"/>
        <v>0.92463894689042592</v>
      </c>
      <c r="AZ229" s="90">
        <f t="shared" si="415"/>
        <v>0.99119863569072586</v>
      </c>
      <c r="BA229" s="90">
        <f t="shared" si="415"/>
        <v>0.9972994176645138</v>
      </c>
      <c r="BB229" s="90">
        <f t="shared" si="415"/>
        <v>0.99941497578965044</v>
      </c>
      <c r="BC229" s="90">
        <f t="shared" si="415"/>
        <v>0.99978710130589166</v>
      </c>
      <c r="BD229" s="90">
        <f t="shared" si="415"/>
        <v>0.99989883466423135</v>
      </c>
      <c r="BE229" s="90">
        <f t="shared" si="415"/>
        <v>0.99991707509491445</v>
      </c>
      <c r="BF229" s="22"/>
      <c r="BG229" s="22"/>
      <c r="BH229" s="22"/>
      <c r="BI229" s="91">
        <f>$A$38</f>
        <v>20153</v>
      </c>
      <c r="BJ229" s="105"/>
      <c r="BK229" s="90">
        <f t="shared" si="416"/>
        <v>0.97610654113790563</v>
      </c>
      <c r="BL229" s="90">
        <f t="shared" si="416"/>
        <v>0.99832081499229242</v>
      </c>
      <c r="BM229" s="90">
        <f t="shared" si="416"/>
        <v>0.99973489978876495</v>
      </c>
      <c r="BN229" s="90">
        <f t="shared" si="416"/>
        <v>0.99997359147461906</v>
      </c>
      <c r="BO229" s="90">
        <f t="shared" si="416"/>
        <v>0.99999072760209307</v>
      </c>
      <c r="BP229" s="90">
        <f t="shared" si="416"/>
        <v>0.99999073155817408</v>
      </c>
      <c r="BQ229" s="90">
        <f t="shared" si="416"/>
        <v>1.0000167073330224</v>
      </c>
      <c r="BR229" s="22"/>
      <c r="BS229" s="22"/>
      <c r="BT229" s="22"/>
      <c r="BU229" s="91">
        <f>$A$38</f>
        <v>20153</v>
      </c>
      <c r="BV229" s="105"/>
      <c r="BW229" s="90">
        <f t="shared" si="417"/>
        <v>0.99142725398802345</v>
      </c>
      <c r="BX229" s="90">
        <f t="shared" si="417"/>
        <v>1</v>
      </c>
      <c r="BY229" s="90">
        <f t="shared" si="417"/>
        <v>1</v>
      </c>
      <c r="BZ229" s="90">
        <f t="shared" si="417"/>
        <v>1</v>
      </c>
      <c r="CA229" s="90">
        <f t="shared" si="417"/>
        <v>1</v>
      </c>
      <c r="CB229" s="90">
        <f t="shared" si="417"/>
        <v>1</v>
      </c>
      <c r="CC229" s="90">
        <f t="shared" si="417"/>
        <v>1</v>
      </c>
      <c r="CD229" s="22"/>
      <c r="CE229" s="22"/>
      <c r="CF229" s="22"/>
      <c r="CG229" s="91">
        <f>$A$38</f>
        <v>20153</v>
      </c>
      <c r="CH229" s="105"/>
      <c r="CI229" s="90" t="str">
        <f t="shared" si="418"/>
        <v/>
      </c>
      <c r="CJ229" s="90" t="str">
        <f t="shared" si="418"/>
        <v/>
      </c>
      <c r="CK229" s="90" t="str">
        <f t="shared" si="418"/>
        <v/>
      </c>
      <c r="CL229" s="90" t="str">
        <f t="shared" si="418"/>
        <v/>
      </c>
      <c r="CM229" s="90" t="str">
        <f t="shared" si="418"/>
        <v/>
      </c>
      <c r="CN229" s="90" t="str">
        <f t="shared" si="418"/>
        <v/>
      </c>
      <c r="CO229" s="90" t="str">
        <f t="shared" si="418"/>
        <v/>
      </c>
      <c r="CP229" s="22"/>
      <c r="CQ229" s="22"/>
      <c r="CR229" s="22"/>
      <c r="CS229" s="91">
        <f>$A$38</f>
        <v>20153</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20153</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20163</v>
      </c>
      <c r="B230" s="105"/>
      <c r="C230" s="90">
        <f t="shared" si="411"/>
        <v>1.2720637871495126</v>
      </c>
      <c r="D230" s="90">
        <f t="shared" si="411"/>
        <v>1.0738755474623229</v>
      </c>
      <c r="E230" s="90">
        <f t="shared" si="411"/>
        <v>1.0375146594416822</v>
      </c>
      <c r="F230" s="90">
        <f t="shared" si="411"/>
        <v>1.0123019484471842</v>
      </c>
      <c r="G230" s="90">
        <f t="shared" si="411"/>
        <v>1.0059464234299691</v>
      </c>
      <c r="H230" s="90">
        <f t="shared" si="411"/>
        <v>1.0030741062145543</v>
      </c>
      <c r="I230" s="22"/>
      <c r="J230" s="22"/>
      <c r="K230" s="22"/>
      <c r="L230" s="22"/>
      <c r="M230" s="91">
        <f>$A$39</f>
        <v>20163</v>
      </c>
      <c r="N230" s="105"/>
      <c r="O230" s="90">
        <f t="shared" si="412"/>
        <v>1.1699316608544166</v>
      </c>
      <c r="P230" s="90">
        <f t="shared" si="412"/>
        <v>1.0166343879968582</v>
      </c>
      <c r="Q230" s="90">
        <f t="shared" si="412"/>
        <v>1.0026727389007737</v>
      </c>
      <c r="R230" s="90">
        <f t="shared" si="412"/>
        <v>0.99974741053508809</v>
      </c>
      <c r="S230" s="90">
        <f t="shared" si="412"/>
        <v>1.0014845586132379</v>
      </c>
      <c r="T230" s="90">
        <f t="shared" si="412"/>
        <v>1.0006032095889144</v>
      </c>
      <c r="U230" s="22"/>
      <c r="V230" s="22"/>
      <c r="W230" s="22"/>
      <c r="X230" s="22"/>
      <c r="Y230" s="91">
        <f>$A$39</f>
        <v>20163</v>
      </c>
      <c r="Z230" s="105"/>
      <c r="AA230" s="90">
        <f t="shared" si="413"/>
        <v>1.614046654955007</v>
      </c>
      <c r="AB230" s="90">
        <f t="shared" si="413"/>
        <v>1.166623392711672</v>
      </c>
      <c r="AC230" s="90">
        <f t="shared" si="413"/>
        <v>1.0473337037488102</v>
      </c>
      <c r="AD230" s="90">
        <f t="shared" si="413"/>
        <v>1.0160566627654233</v>
      </c>
      <c r="AE230" s="90">
        <f t="shared" si="413"/>
        <v>1.0124353653944389</v>
      </c>
      <c r="AF230" s="90">
        <f t="shared" si="413"/>
        <v>1.0059487262332389</v>
      </c>
      <c r="AG230" s="22"/>
      <c r="AH230" s="22"/>
      <c r="AI230" s="22"/>
      <c r="AJ230" s="22"/>
      <c r="AK230" s="91">
        <f>$A$39</f>
        <v>20163</v>
      </c>
      <c r="AL230" s="105"/>
      <c r="AM230" s="90">
        <f t="shared" si="414"/>
        <v>1.0046817351342761</v>
      </c>
      <c r="AN230" s="90">
        <f t="shared" si="414"/>
        <v>1.0005767036425741</v>
      </c>
      <c r="AO230" s="90">
        <f t="shared" si="414"/>
        <v>0.99985553533641047</v>
      </c>
      <c r="AP230" s="90">
        <f t="shared" si="414"/>
        <v>0.99979030001980385</v>
      </c>
      <c r="AQ230" s="90">
        <f t="shared" si="414"/>
        <v>1.0001640588683089</v>
      </c>
      <c r="AR230" s="90">
        <f t="shared" si="414"/>
        <v>1.0000390577472138</v>
      </c>
      <c r="AS230" s="22"/>
      <c r="AT230" s="22"/>
      <c r="AU230" s="22"/>
      <c r="AV230" s="22"/>
      <c r="AW230" s="91">
        <f>$A$39</f>
        <v>20163</v>
      </c>
      <c r="AX230" s="105"/>
      <c r="AY230" s="90">
        <f t="shared" si="415"/>
        <v>0.92418745828584548</v>
      </c>
      <c r="AZ230" s="90">
        <f t="shared" si="415"/>
        <v>0.99134256665260279</v>
      </c>
      <c r="BA230" s="90">
        <f t="shared" si="415"/>
        <v>0.997297710266972</v>
      </c>
      <c r="BB230" s="90">
        <f t="shared" si="415"/>
        <v>0.99912056168467189</v>
      </c>
      <c r="BC230" s="90">
        <f t="shared" si="415"/>
        <v>0.99977605032980177</v>
      </c>
      <c r="BD230" s="90">
        <f t="shared" si="415"/>
        <v>0.99984819003430925</v>
      </c>
      <c r="BE230" s="22"/>
      <c r="BF230" s="22"/>
      <c r="BG230" s="22"/>
      <c r="BH230" s="22"/>
      <c r="BI230" s="91">
        <f>$A$39</f>
        <v>20163</v>
      </c>
      <c r="BJ230" s="105"/>
      <c r="BK230" s="90">
        <f t="shared" si="416"/>
        <v>0.97756398424053026</v>
      </c>
      <c r="BL230" s="90">
        <f t="shared" si="416"/>
        <v>0.99831192162358717</v>
      </c>
      <c r="BM230" s="90">
        <f t="shared" si="416"/>
        <v>0.99985864485852749</v>
      </c>
      <c r="BN230" s="90">
        <f t="shared" si="416"/>
        <v>0.99998248309971738</v>
      </c>
      <c r="BO230" s="90">
        <f t="shared" si="416"/>
        <v>1.0000012462155532</v>
      </c>
      <c r="BP230" s="90">
        <f t="shared" si="416"/>
        <v>1.0000065959734348</v>
      </c>
      <c r="BQ230" s="22"/>
      <c r="BR230" s="22"/>
      <c r="BS230" s="22"/>
      <c r="BT230" s="22"/>
      <c r="BU230" s="91">
        <f>$A$39</f>
        <v>20163</v>
      </c>
      <c r="BV230" s="105"/>
      <c r="BW230" s="90">
        <f t="shared" si="417"/>
        <v>1.09082774049217</v>
      </c>
      <c r="BX230" s="90">
        <f t="shared" si="417"/>
        <v>1.0627563576702215</v>
      </c>
      <c r="BY230" s="90">
        <f t="shared" si="417"/>
        <v>1.0308761096101891</v>
      </c>
      <c r="BZ230" s="90">
        <f t="shared" si="417"/>
        <v>1.0318232871583677</v>
      </c>
      <c r="CA230" s="90">
        <f t="shared" si="417"/>
        <v>1</v>
      </c>
      <c r="CB230" s="90">
        <f t="shared" si="417"/>
        <v>1</v>
      </c>
      <c r="CC230" s="22"/>
      <c r="CD230" s="22"/>
      <c r="CE230" s="22"/>
      <c r="CF230" s="22"/>
      <c r="CG230" s="91">
        <f>$A$39</f>
        <v>20163</v>
      </c>
      <c r="CH230" s="105"/>
      <c r="CI230" s="90" t="str">
        <f t="shared" si="418"/>
        <v/>
      </c>
      <c r="CJ230" s="90" t="str">
        <f t="shared" si="418"/>
        <v/>
      </c>
      <c r="CK230" s="90" t="str">
        <f t="shared" si="418"/>
        <v/>
      </c>
      <c r="CL230" s="90" t="str">
        <f t="shared" si="418"/>
        <v/>
      </c>
      <c r="CM230" s="90" t="str">
        <f t="shared" si="418"/>
        <v/>
      </c>
      <c r="CN230" s="90" t="str">
        <f t="shared" si="418"/>
        <v/>
      </c>
      <c r="CO230" s="22"/>
      <c r="CP230" s="22"/>
      <c r="CQ230" s="22"/>
      <c r="CR230" s="22"/>
      <c r="CS230" s="91">
        <f>$A$39</f>
        <v>20163</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20163</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20173</v>
      </c>
      <c r="B231" s="105"/>
      <c r="C231" s="90">
        <f t="shared" si="411"/>
        <v>1.1906585921734432</v>
      </c>
      <c r="D231" s="90">
        <f t="shared" si="411"/>
        <v>1.096260853530205</v>
      </c>
      <c r="E231" s="90">
        <f t="shared" si="411"/>
        <v>1.0253530872206049</v>
      </c>
      <c r="F231" s="90">
        <f t="shared" si="411"/>
        <v>1.0215883942492419</v>
      </c>
      <c r="G231" s="90">
        <f t="shared" si="411"/>
        <v>1.023423754952784</v>
      </c>
      <c r="H231" s="22"/>
      <c r="I231" s="22"/>
      <c r="J231" s="22"/>
      <c r="K231" s="22"/>
      <c r="L231" s="22"/>
      <c r="M231" s="91">
        <f>$A$40</f>
        <v>20173</v>
      </c>
      <c r="N231" s="105"/>
      <c r="O231" s="90">
        <f t="shared" si="412"/>
        <v>1.1951570783343453</v>
      </c>
      <c r="P231" s="90">
        <f t="shared" si="412"/>
        <v>1.0316773124763532</v>
      </c>
      <c r="Q231" s="90">
        <f t="shared" si="412"/>
        <v>1.0019601672361902</v>
      </c>
      <c r="R231" s="90">
        <f t="shared" si="412"/>
        <v>1.0015348458823092</v>
      </c>
      <c r="S231" s="90">
        <f t="shared" si="412"/>
        <v>1.000203534995223</v>
      </c>
      <c r="T231" s="22"/>
      <c r="U231" s="22"/>
      <c r="V231" s="22"/>
      <c r="W231" s="22"/>
      <c r="X231" s="22"/>
      <c r="Y231" s="91">
        <f>$A$40</f>
        <v>20173</v>
      </c>
      <c r="Z231" s="105"/>
      <c r="AA231" s="90">
        <f t="shared" si="413"/>
        <v>1.5921162716975041</v>
      </c>
      <c r="AB231" s="90">
        <f t="shared" si="413"/>
        <v>1.1455847786497835</v>
      </c>
      <c r="AC231" s="90">
        <f t="shared" si="413"/>
        <v>1.0451798918412942</v>
      </c>
      <c r="AD231" s="90">
        <f t="shared" si="413"/>
        <v>1.0189953764857578</v>
      </c>
      <c r="AE231" s="90">
        <f t="shared" si="413"/>
        <v>1.0164559814200673</v>
      </c>
      <c r="AF231" s="22"/>
      <c r="AG231" s="22"/>
      <c r="AH231" s="22"/>
      <c r="AI231" s="22"/>
      <c r="AJ231" s="22"/>
      <c r="AK231" s="91">
        <f>$A$40</f>
        <v>20173</v>
      </c>
      <c r="AL231" s="105"/>
      <c r="AM231" s="90">
        <f t="shared" si="414"/>
        <v>1.0078350099116131</v>
      </c>
      <c r="AN231" s="90">
        <f t="shared" si="414"/>
        <v>1.0016878082341945</v>
      </c>
      <c r="AO231" s="90">
        <f t="shared" si="414"/>
        <v>1.0009767596203334</v>
      </c>
      <c r="AP231" s="90">
        <f t="shared" si="414"/>
        <v>1.0005590990096891</v>
      </c>
      <c r="AQ231" s="90">
        <f t="shared" si="414"/>
        <v>1.0001325648745718</v>
      </c>
      <c r="AR231" s="22"/>
      <c r="AS231" s="22"/>
      <c r="AT231" s="22"/>
      <c r="AU231" s="22"/>
      <c r="AV231" s="22"/>
      <c r="AW231" s="91">
        <f>$A$40</f>
        <v>20173</v>
      </c>
      <c r="AX231" s="105"/>
      <c r="AY231" s="90">
        <f t="shared" si="415"/>
        <v>0.93871386617854691</v>
      </c>
      <c r="AZ231" s="90">
        <f t="shared" si="415"/>
        <v>0.99228224936625453</v>
      </c>
      <c r="BA231" s="90">
        <f t="shared" si="415"/>
        <v>0.99771476913492241</v>
      </c>
      <c r="BB231" s="90">
        <f t="shared" si="415"/>
        <v>0.99907422014496805</v>
      </c>
      <c r="BC231" s="90">
        <f t="shared" si="415"/>
        <v>0.99963731273642686</v>
      </c>
      <c r="BD231" s="22"/>
      <c r="BE231" s="22"/>
      <c r="BF231" s="22"/>
      <c r="BG231" s="22"/>
      <c r="BH231" s="22"/>
      <c r="BI231" s="91">
        <f>$A$40</f>
        <v>20173</v>
      </c>
      <c r="BJ231" s="105"/>
      <c r="BK231" s="90">
        <f t="shared" si="416"/>
        <v>0.97988906713030022</v>
      </c>
      <c r="BL231" s="90">
        <f t="shared" si="416"/>
        <v>0.9992932021968558</v>
      </c>
      <c r="BM231" s="90">
        <f t="shared" si="416"/>
        <v>1.0001019978302985</v>
      </c>
      <c r="BN231" s="90">
        <f t="shared" si="416"/>
        <v>1.0001249029863044</v>
      </c>
      <c r="BO231" s="90">
        <f t="shared" si="416"/>
        <v>0.99998762752970738</v>
      </c>
      <c r="BP231" s="22"/>
      <c r="BQ231" s="22"/>
      <c r="BR231" s="22"/>
      <c r="BS231" s="22"/>
      <c r="BT231" s="22"/>
      <c r="BU231" s="91">
        <f>$A$40</f>
        <v>20173</v>
      </c>
      <c r="BV231" s="105"/>
      <c r="BW231" s="90">
        <f t="shared" si="417"/>
        <v>1.0189567087926863</v>
      </c>
      <c r="BX231" s="90">
        <f t="shared" si="417"/>
        <v>1.002596965298852</v>
      </c>
      <c r="BY231" s="90">
        <f t="shared" si="417"/>
        <v>1</v>
      </c>
      <c r="BZ231" s="90">
        <f t="shared" si="417"/>
        <v>1</v>
      </c>
      <c r="CA231" s="90">
        <f t="shared" si="417"/>
        <v>1</v>
      </c>
      <c r="CB231" s="22"/>
      <c r="CC231" s="22"/>
      <c r="CD231" s="22"/>
      <c r="CE231" s="22"/>
      <c r="CF231" s="22"/>
      <c r="CG231" s="91">
        <f>$A$40</f>
        <v>20173</v>
      </c>
      <c r="CH231" s="105"/>
      <c r="CI231" s="90" t="str">
        <f t="shared" si="418"/>
        <v/>
      </c>
      <c r="CJ231" s="90" t="str">
        <f t="shared" si="418"/>
        <v/>
      </c>
      <c r="CK231" s="90" t="str">
        <f t="shared" si="418"/>
        <v/>
      </c>
      <c r="CL231" s="90" t="str">
        <f t="shared" si="418"/>
        <v/>
      </c>
      <c r="CM231" s="90" t="str">
        <f t="shared" si="418"/>
        <v/>
      </c>
      <c r="CN231" s="22"/>
      <c r="CO231" s="22"/>
      <c r="CP231" s="22"/>
      <c r="CQ231" s="22"/>
      <c r="CR231" s="22"/>
      <c r="CS231" s="91">
        <f>$A$40</f>
        <v>20173</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20173</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20183</v>
      </c>
      <c r="B232" s="105"/>
      <c r="C232" s="90">
        <f t="shared" si="411"/>
        <v>1.2118577760728886</v>
      </c>
      <c r="D232" s="90">
        <f t="shared" si="411"/>
        <v>1.0625850652333475</v>
      </c>
      <c r="E232" s="90">
        <f t="shared" si="411"/>
        <v>1.044619849071396</v>
      </c>
      <c r="F232" s="90">
        <f t="shared" si="411"/>
        <v>1.0278449243240941</v>
      </c>
      <c r="G232" s="22"/>
      <c r="H232" s="22"/>
      <c r="I232" s="22"/>
      <c r="J232" s="22"/>
      <c r="K232" s="22"/>
      <c r="L232" s="22"/>
      <c r="M232" s="91">
        <f>$A$41</f>
        <v>20183</v>
      </c>
      <c r="N232" s="105"/>
      <c r="O232" s="90">
        <f t="shared" si="412"/>
        <v>1.252507886285771</v>
      </c>
      <c r="P232" s="90">
        <f t="shared" si="412"/>
        <v>1.0367847361932701</v>
      </c>
      <c r="Q232" s="90">
        <f t="shared" si="412"/>
        <v>1.0070847244933405</v>
      </c>
      <c r="R232" s="90">
        <f t="shared" si="412"/>
        <v>1.0021524952158336</v>
      </c>
      <c r="S232" s="22"/>
      <c r="T232" s="22"/>
      <c r="U232" s="22"/>
      <c r="V232" s="22"/>
      <c r="W232" s="22"/>
      <c r="X232" s="22"/>
      <c r="Y232" s="91">
        <f>$A$41</f>
        <v>20183</v>
      </c>
      <c r="Z232" s="105"/>
      <c r="AA232" s="90">
        <f t="shared" si="413"/>
        <v>1.5703719093475741</v>
      </c>
      <c r="AB232" s="90">
        <f t="shared" si="413"/>
        <v>1.1322608518695783</v>
      </c>
      <c r="AC232" s="90">
        <f t="shared" si="413"/>
        <v>1.0539003949104198</v>
      </c>
      <c r="AD232" s="90">
        <f t="shared" si="413"/>
        <v>1.0320460569976002</v>
      </c>
      <c r="AE232" s="22"/>
      <c r="AF232" s="22"/>
      <c r="AG232" s="22"/>
      <c r="AH232" s="22"/>
      <c r="AI232" s="22"/>
      <c r="AJ232" s="22"/>
      <c r="AK232" s="91">
        <f>$A$41</f>
        <v>20183</v>
      </c>
      <c r="AL232" s="105"/>
      <c r="AM232" s="90">
        <f t="shared" si="414"/>
        <v>1.0082810289592987</v>
      </c>
      <c r="AN232" s="90">
        <f t="shared" si="414"/>
        <v>0.99951031789504619</v>
      </c>
      <c r="AO232" s="90">
        <f t="shared" si="414"/>
        <v>0.99983952931059727</v>
      </c>
      <c r="AP232" s="90">
        <f t="shared" si="414"/>
        <v>0.99988370665805382</v>
      </c>
      <c r="AQ232" s="22"/>
      <c r="AR232" s="22"/>
      <c r="AS232" s="22"/>
      <c r="AT232" s="22"/>
      <c r="AU232" s="22"/>
      <c r="AV232" s="22"/>
      <c r="AW232" s="91">
        <f>$A$41</f>
        <v>20183</v>
      </c>
      <c r="AX232" s="105"/>
      <c r="AY232" s="90">
        <f t="shared" si="415"/>
        <v>0.94783533460414326</v>
      </c>
      <c r="AZ232" s="90">
        <f t="shared" si="415"/>
        <v>0.99282562209325975</v>
      </c>
      <c r="BA232" s="90">
        <f t="shared" si="415"/>
        <v>0.99706728052739235</v>
      </c>
      <c r="BB232" s="90">
        <f t="shared" si="415"/>
        <v>0.99912892304859025</v>
      </c>
      <c r="BC232" s="22"/>
      <c r="BD232" s="22"/>
      <c r="BE232" s="22"/>
      <c r="BF232" s="22"/>
      <c r="BG232" s="22"/>
      <c r="BH232" s="22"/>
      <c r="BI232" s="91">
        <f>$A$41</f>
        <v>20183</v>
      </c>
      <c r="BJ232" s="105"/>
      <c r="BK232" s="90">
        <f t="shared" si="416"/>
        <v>0.98765934060036165</v>
      </c>
      <c r="BL232" s="90">
        <f t="shared" si="416"/>
        <v>0.99955811153738283</v>
      </c>
      <c r="BM232" s="90">
        <f t="shared" si="416"/>
        <v>1.0003535865722359</v>
      </c>
      <c r="BN232" s="90">
        <f t="shared" si="416"/>
        <v>1.0001135476821565</v>
      </c>
      <c r="BO232" s="22"/>
      <c r="BP232" s="22"/>
      <c r="BQ232" s="22"/>
      <c r="BR232" s="22"/>
      <c r="BS232" s="22"/>
      <c r="BT232" s="22"/>
      <c r="BU232" s="91">
        <f>$A$41</f>
        <v>20183</v>
      </c>
      <c r="BV232" s="105"/>
      <c r="BW232" s="90">
        <f t="shared" si="417"/>
        <v>1.181129853923607</v>
      </c>
      <c r="BX232" s="90">
        <f t="shared" si="417"/>
        <v>1.0432615676352641</v>
      </c>
      <c r="BY232" s="90">
        <f t="shared" si="417"/>
        <v>0.99941727288144766</v>
      </c>
      <c r="BZ232" s="90">
        <f t="shared" si="417"/>
        <v>1</v>
      </c>
      <c r="CA232" s="22"/>
      <c r="CB232" s="22"/>
      <c r="CC232" s="22"/>
      <c r="CD232" s="22"/>
      <c r="CE232" s="22"/>
      <c r="CF232" s="22"/>
      <c r="CG232" s="91">
        <f>$A$41</f>
        <v>20183</v>
      </c>
      <c r="CH232" s="105"/>
      <c r="CI232" s="90" t="str">
        <f t="shared" si="418"/>
        <v/>
      </c>
      <c r="CJ232" s="90" t="str">
        <f t="shared" si="418"/>
        <v/>
      </c>
      <c r="CK232" s="90" t="str">
        <f t="shared" si="418"/>
        <v/>
      </c>
      <c r="CL232" s="90" t="str">
        <f t="shared" si="418"/>
        <v/>
      </c>
      <c r="CM232" s="22"/>
      <c r="CN232" s="22"/>
      <c r="CO232" s="22"/>
      <c r="CP232" s="22"/>
      <c r="CQ232" s="22"/>
      <c r="CR232" s="22"/>
      <c r="CS232" s="91">
        <f>$A$41</f>
        <v>20183</v>
      </c>
      <c r="CT232" s="105"/>
      <c r="CU232" s="90" t="str">
        <f t="shared" si="419"/>
        <v/>
      </c>
      <c r="CV232" s="90" t="str">
        <f t="shared" si="419"/>
        <v/>
      </c>
      <c r="CW232" s="90" t="str">
        <f t="shared" si="419"/>
        <v/>
      </c>
      <c r="CX232" s="90" t="str">
        <f t="shared" si="419"/>
        <v/>
      </c>
      <c r="CY232" s="22"/>
      <c r="CZ232" s="22"/>
      <c r="DA232" s="22"/>
      <c r="DB232" s="22"/>
      <c r="DC232" s="22"/>
      <c r="DD232" s="22"/>
      <c r="DE232" s="91">
        <f>$A$41</f>
        <v>20183</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20193</v>
      </c>
      <c r="B233" s="105"/>
      <c r="C233" s="90">
        <f t="shared" si="411"/>
        <v>1.1774263300816006</v>
      </c>
      <c r="D233" s="90">
        <f t="shared" si="411"/>
        <v>1.0738256971550877</v>
      </c>
      <c r="E233" s="90">
        <f t="shared" si="411"/>
        <v>1.0624092057245464</v>
      </c>
      <c r="F233" s="22"/>
      <c r="G233" s="22"/>
      <c r="H233" s="22"/>
      <c r="I233" s="22"/>
      <c r="J233" s="22"/>
      <c r="K233" s="22"/>
      <c r="L233" s="22"/>
      <c r="M233" s="91">
        <f>$A$42</f>
        <v>20193</v>
      </c>
      <c r="N233" s="105"/>
      <c r="O233" s="90">
        <f t="shared" si="412"/>
        <v>1.2843574665169524</v>
      </c>
      <c r="P233" s="90">
        <f t="shared" si="412"/>
        <v>1.0479140968778784</v>
      </c>
      <c r="Q233" s="90">
        <f t="shared" si="412"/>
        <v>1.0104586743605153</v>
      </c>
      <c r="R233" s="22"/>
      <c r="S233" s="22"/>
      <c r="T233" s="22"/>
      <c r="U233" s="22"/>
      <c r="V233" s="22"/>
      <c r="W233" s="22"/>
      <c r="X233" s="22"/>
      <c r="Y233" s="91">
        <f>$A$42</f>
        <v>20193</v>
      </c>
      <c r="Z233" s="105"/>
      <c r="AA233" s="90">
        <f t="shared" si="413"/>
        <v>1.4559897077056099</v>
      </c>
      <c r="AB233" s="90">
        <f t="shared" si="413"/>
        <v>1.174437477769545</v>
      </c>
      <c r="AC233" s="90">
        <f t="shared" si="413"/>
        <v>1.0719600966407072</v>
      </c>
      <c r="AD233" s="22"/>
      <c r="AE233" s="22"/>
      <c r="AF233" s="22"/>
      <c r="AG233" s="22"/>
      <c r="AH233" s="22"/>
      <c r="AI233" s="22"/>
      <c r="AJ233" s="22"/>
      <c r="AK233" s="91">
        <f>$A$42</f>
        <v>20193</v>
      </c>
      <c r="AL233" s="105"/>
      <c r="AM233" s="90">
        <f t="shared" si="414"/>
        <v>1.0048809136554089</v>
      </c>
      <c r="AN233" s="90">
        <f t="shared" si="414"/>
        <v>0.99564607960187423</v>
      </c>
      <c r="AO233" s="90">
        <f t="shared" si="414"/>
        <v>1.00058307803942</v>
      </c>
      <c r="AP233" s="22"/>
      <c r="AQ233" s="22"/>
      <c r="AR233" s="22"/>
      <c r="AS233" s="22"/>
      <c r="AT233" s="22"/>
      <c r="AU233" s="22"/>
      <c r="AV233" s="22"/>
      <c r="AW233" s="91">
        <f>$A$42</f>
        <v>20193</v>
      </c>
      <c r="AX233" s="105"/>
      <c r="AY233" s="90">
        <f t="shared" si="415"/>
        <v>0.94624905526306291</v>
      </c>
      <c r="AZ233" s="90">
        <f t="shared" si="415"/>
        <v>0.99342757729588405</v>
      </c>
      <c r="BA233" s="90">
        <f t="shared" si="415"/>
        <v>0.99666137201002702</v>
      </c>
      <c r="BB233" s="22"/>
      <c r="BC233" s="22"/>
      <c r="BD233" s="22"/>
      <c r="BE233" s="22"/>
      <c r="BF233" s="22"/>
      <c r="BG233" s="22"/>
      <c r="BH233" s="22"/>
      <c r="BI233" s="91">
        <f>$A$42</f>
        <v>20193</v>
      </c>
      <c r="BJ233" s="105"/>
      <c r="BK233" s="90">
        <f t="shared" si="416"/>
        <v>0.98293638424298824</v>
      </c>
      <c r="BL233" s="90">
        <f t="shared" si="416"/>
        <v>1.0001202967701766</v>
      </c>
      <c r="BM233" s="90">
        <f t="shared" si="416"/>
        <v>1.0002721158051853</v>
      </c>
      <c r="BN233" s="22"/>
      <c r="BO233" s="22"/>
      <c r="BP233" s="22"/>
      <c r="BQ233" s="22"/>
      <c r="BR233" s="22"/>
      <c r="BS233" s="22"/>
      <c r="BT233" s="22"/>
      <c r="BU233" s="91">
        <f>$A$42</f>
        <v>20193</v>
      </c>
      <c r="BV233" s="105"/>
      <c r="BW233" s="90">
        <f t="shared" si="417"/>
        <v>1.0377518085698387</v>
      </c>
      <c r="BX233" s="90">
        <f t="shared" si="417"/>
        <v>1.0170309517170373</v>
      </c>
      <c r="BY233" s="90">
        <f t="shared" si="417"/>
        <v>1</v>
      </c>
      <c r="BZ233" s="22"/>
      <c r="CA233" s="22"/>
      <c r="CB233" s="22"/>
      <c r="CC233" s="22"/>
      <c r="CD233" s="22"/>
      <c r="CE233" s="22"/>
      <c r="CF233" s="22"/>
      <c r="CG233" s="91">
        <f>$A$42</f>
        <v>20193</v>
      </c>
      <c r="CH233" s="105"/>
      <c r="CI233" s="90" t="str">
        <f t="shared" si="418"/>
        <v/>
      </c>
      <c r="CJ233" s="90" t="str">
        <f t="shared" si="418"/>
        <v/>
      </c>
      <c r="CK233" s="90" t="str">
        <f t="shared" si="418"/>
        <v/>
      </c>
      <c r="CL233" s="22"/>
      <c r="CM233" s="22"/>
      <c r="CN233" s="22"/>
      <c r="CO233" s="22"/>
      <c r="CP233" s="22"/>
      <c r="CQ233" s="22"/>
      <c r="CR233" s="22"/>
      <c r="CS233" s="91">
        <f>$A$42</f>
        <v>20193</v>
      </c>
      <c r="CT233" s="105"/>
      <c r="CU233" s="90" t="str">
        <f t="shared" si="419"/>
        <v/>
      </c>
      <c r="CV233" s="90" t="str">
        <f t="shared" si="419"/>
        <v/>
      </c>
      <c r="CW233" s="90" t="str">
        <f t="shared" si="419"/>
        <v/>
      </c>
      <c r="CX233" s="22"/>
      <c r="CY233" s="22"/>
      <c r="CZ233" s="22"/>
      <c r="DA233" s="22"/>
      <c r="DB233" s="22"/>
      <c r="DC233" s="22"/>
      <c r="DD233" s="22"/>
      <c r="DE233" s="91">
        <f>$A$42</f>
        <v>20193</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20203</v>
      </c>
      <c r="B234" s="105"/>
      <c r="C234" s="90">
        <f t="shared" si="411"/>
        <v>1.1841499151061077</v>
      </c>
      <c r="D234" s="90">
        <f t="shared" si="411"/>
        <v>1.1072761683469596</v>
      </c>
      <c r="E234" s="22"/>
      <c r="F234" s="22"/>
      <c r="G234" s="22"/>
      <c r="H234" s="22"/>
      <c r="I234" s="22"/>
      <c r="J234" s="22"/>
      <c r="K234" s="22"/>
      <c r="L234" s="22"/>
      <c r="M234" s="91">
        <f>$A$43</f>
        <v>20203</v>
      </c>
      <c r="N234" s="105"/>
      <c r="O234" s="90">
        <f t="shared" si="412"/>
        <v>1.2827431789770092</v>
      </c>
      <c r="P234" s="90">
        <f t="shared" si="412"/>
        <v>1.0503693040913573</v>
      </c>
      <c r="Q234" s="22"/>
      <c r="R234" s="22"/>
      <c r="S234" s="22"/>
      <c r="T234" s="22"/>
      <c r="U234" s="22"/>
      <c r="V234" s="22"/>
      <c r="W234" s="22"/>
      <c r="X234" s="22"/>
      <c r="Y234" s="91">
        <f>$A$43</f>
        <v>20203</v>
      </c>
      <c r="Z234" s="105"/>
      <c r="AA234" s="90">
        <f t="shared" si="413"/>
        <v>1.5455275652067713</v>
      </c>
      <c r="AB234" s="90">
        <f t="shared" si="413"/>
        <v>1.1784492021793789</v>
      </c>
      <c r="AC234" s="22"/>
      <c r="AD234" s="22"/>
      <c r="AE234" s="22"/>
      <c r="AF234" s="22"/>
      <c r="AG234" s="22"/>
      <c r="AH234" s="22"/>
      <c r="AI234" s="22"/>
      <c r="AJ234" s="22"/>
      <c r="AK234" s="91">
        <f>$A$43</f>
        <v>20203</v>
      </c>
      <c r="AL234" s="105"/>
      <c r="AM234" s="90">
        <f t="shared" si="414"/>
        <v>1.0056359853453398</v>
      </c>
      <c r="AN234" s="90">
        <f t="shared" si="414"/>
        <v>1.0052255662127085</v>
      </c>
      <c r="AO234" s="22"/>
      <c r="AP234" s="22"/>
      <c r="AQ234" s="22"/>
      <c r="AR234" s="22"/>
      <c r="AS234" s="22"/>
      <c r="AT234" s="22"/>
      <c r="AU234" s="22"/>
      <c r="AV234" s="22"/>
      <c r="AW234" s="91">
        <f>$A$43</f>
        <v>20203</v>
      </c>
      <c r="AX234" s="105"/>
      <c r="AY234" s="90">
        <f t="shared" si="415"/>
        <v>0.97284053136721937</v>
      </c>
      <c r="AZ234" s="90">
        <f t="shared" si="415"/>
        <v>0.99520145945011884</v>
      </c>
      <c r="BA234" s="22"/>
      <c r="BB234" s="22"/>
      <c r="BC234" s="22"/>
      <c r="BD234" s="22"/>
      <c r="BE234" s="22"/>
      <c r="BF234" s="22"/>
      <c r="BG234" s="22"/>
      <c r="BH234" s="22"/>
      <c r="BI234" s="91">
        <f>$A$43</f>
        <v>20203</v>
      </c>
      <c r="BJ234" s="105"/>
      <c r="BK234" s="90">
        <f t="shared" si="416"/>
        <v>0.99873696580269067</v>
      </c>
      <c r="BL234" s="90">
        <f t="shared" si="416"/>
        <v>1.0010109596532863</v>
      </c>
      <c r="BM234" s="22"/>
      <c r="BN234" s="22"/>
      <c r="BO234" s="22"/>
      <c r="BP234" s="22"/>
      <c r="BQ234" s="22"/>
      <c r="BR234" s="22"/>
      <c r="BS234" s="22"/>
      <c r="BT234" s="22"/>
      <c r="BU234" s="91">
        <f>$A$43</f>
        <v>20203</v>
      </c>
      <c r="BV234" s="105"/>
      <c r="BW234" s="90">
        <f t="shared" si="417"/>
        <v>0.87265995724044432</v>
      </c>
      <c r="BX234" s="90">
        <f t="shared" si="417"/>
        <v>1</v>
      </c>
      <c r="BY234" s="22"/>
      <c r="BZ234" s="22"/>
      <c r="CA234" s="22"/>
      <c r="CB234" s="22"/>
      <c r="CC234" s="22"/>
      <c r="CD234" s="22"/>
      <c r="CE234" s="22"/>
      <c r="CF234" s="22"/>
      <c r="CG234" s="91">
        <f>$A$43</f>
        <v>20203</v>
      </c>
      <c r="CH234" s="105"/>
      <c r="CI234" s="90" t="str">
        <f t="shared" si="418"/>
        <v/>
      </c>
      <c r="CJ234" s="90" t="str">
        <f t="shared" si="418"/>
        <v/>
      </c>
      <c r="CK234" s="22"/>
      <c r="CL234" s="22"/>
      <c r="CM234" s="22"/>
      <c r="CN234" s="22"/>
      <c r="CO234" s="22"/>
      <c r="CP234" s="22"/>
      <c r="CQ234" s="22"/>
      <c r="CR234" s="22"/>
      <c r="CS234" s="91">
        <f>$A$43</f>
        <v>20203</v>
      </c>
      <c r="CT234" s="105"/>
      <c r="CU234" s="90" t="str">
        <f t="shared" si="419"/>
        <v/>
      </c>
      <c r="CV234" s="90" t="str">
        <f t="shared" si="419"/>
        <v/>
      </c>
      <c r="CW234" s="22"/>
      <c r="CX234" s="22"/>
      <c r="CY234" s="22"/>
      <c r="CZ234" s="22"/>
      <c r="DA234" s="22"/>
      <c r="DB234" s="22"/>
      <c r="DC234" s="22"/>
      <c r="DD234" s="22"/>
      <c r="DE234" s="91">
        <f>$A$43</f>
        <v>20203</v>
      </c>
      <c r="DF234" s="105"/>
      <c r="DG234" s="90" t="str">
        <f t="shared" si="420"/>
        <v/>
      </c>
      <c r="DH234" s="90" t="str">
        <f t="shared" si="420"/>
        <v/>
      </c>
      <c r="DI234" s="22"/>
      <c r="DJ234" s="22"/>
      <c r="DK234" s="22"/>
      <c r="DL234" s="22"/>
      <c r="DM234" s="22"/>
      <c r="DN234" s="22"/>
      <c r="DO234" s="22"/>
      <c r="DP234" s="22"/>
    </row>
    <row r="235" spans="1:120" x14ac:dyDescent="0.25">
      <c r="A235" s="91">
        <f>$A$44</f>
        <v>20213</v>
      </c>
      <c r="B235" s="105"/>
      <c r="C235" s="90">
        <f t="shared" si="411"/>
        <v>1.2488151606786562</v>
      </c>
      <c r="D235" s="22"/>
      <c r="E235" s="22"/>
      <c r="F235" s="22"/>
      <c r="G235" s="22"/>
      <c r="H235" s="22"/>
      <c r="I235" s="22"/>
      <c r="J235" s="22"/>
      <c r="K235" s="22"/>
      <c r="L235" s="22"/>
      <c r="M235" s="91">
        <f>$A$44</f>
        <v>20213</v>
      </c>
      <c r="N235" s="105"/>
      <c r="O235" s="90">
        <f t="shared" si="412"/>
        <v>1.4225865191879583</v>
      </c>
      <c r="P235" s="22"/>
      <c r="Q235" s="22"/>
      <c r="R235" s="22"/>
      <c r="S235" s="22"/>
      <c r="T235" s="22"/>
      <c r="U235" s="22"/>
      <c r="V235" s="22"/>
      <c r="W235" s="22"/>
      <c r="X235" s="22"/>
      <c r="Y235" s="91">
        <f>$A$44</f>
        <v>20213</v>
      </c>
      <c r="Z235" s="105"/>
      <c r="AA235" s="90">
        <f t="shared" si="413"/>
        <v>1.6990100706887514</v>
      </c>
      <c r="AB235" s="22"/>
      <c r="AC235" s="22"/>
      <c r="AD235" s="22"/>
      <c r="AE235" s="22"/>
      <c r="AF235" s="22"/>
      <c r="AG235" s="22"/>
      <c r="AH235" s="22"/>
      <c r="AI235" s="22"/>
      <c r="AJ235" s="22"/>
      <c r="AK235" s="91">
        <f>$A$44</f>
        <v>20213</v>
      </c>
      <c r="AL235" s="105"/>
      <c r="AM235" s="90">
        <f t="shared" si="414"/>
        <v>1.0154583218748829</v>
      </c>
      <c r="AN235" s="22"/>
      <c r="AO235" s="22"/>
      <c r="AP235" s="22"/>
      <c r="AQ235" s="22"/>
      <c r="AR235" s="22"/>
      <c r="AS235" s="22"/>
      <c r="AT235" s="22"/>
      <c r="AU235" s="22"/>
      <c r="AV235" s="22"/>
      <c r="AW235" s="91">
        <f>$A$44</f>
        <v>20213</v>
      </c>
      <c r="AX235" s="105"/>
      <c r="AY235" s="90">
        <f t="shared" si="415"/>
        <v>0.95208628243538862</v>
      </c>
      <c r="AZ235" s="22"/>
      <c r="BA235" s="22"/>
      <c r="BB235" s="22"/>
      <c r="BC235" s="22"/>
      <c r="BD235" s="22"/>
      <c r="BE235" s="22"/>
      <c r="BF235" s="22"/>
      <c r="BG235" s="22"/>
      <c r="BH235" s="22"/>
      <c r="BI235" s="91">
        <f>$A$44</f>
        <v>20213</v>
      </c>
      <c r="BJ235" s="105"/>
      <c r="BK235" s="90">
        <f t="shared" si="416"/>
        <v>0.99007666829342678</v>
      </c>
      <c r="BL235" s="22"/>
      <c r="BM235" s="22"/>
      <c r="BN235" s="22"/>
      <c r="BO235" s="22"/>
      <c r="BP235" s="22"/>
      <c r="BQ235" s="22"/>
      <c r="BR235" s="22"/>
      <c r="BS235" s="22"/>
      <c r="BT235" s="22"/>
      <c r="BU235" s="91">
        <f>$A$44</f>
        <v>20213</v>
      </c>
      <c r="BV235" s="105"/>
      <c r="BW235" s="90">
        <f t="shared" si="417"/>
        <v>1.0857376923273854</v>
      </c>
      <c r="BX235" s="22"/>
      <c r="BY235" s="22"/>
      <c r="BZ235" s="22"/>
      <c r="CA235" s="22"/>
      <c r="CB235" s="22"/>
      <c r="CC235" s="22"/>
      <c r="CD235" s="22"/>
      <c r="CE235" s="22"/>
      <c r="CF235" s="22"/>
      <c r="CG235" s="91">
        <f>$A$44</f>
        <v>20213</v>
      </c>
      <c r="CH235" s="105"/>
      <c r="CI235" s="90" t="str">
        <f t="shared" si="418"/>
        <v/>
      </c>
      <c r="CJ235" s="22"/>
      <c r="CK235" s="22"/>
      <c r="CL235" s="22"/>
      <c r="CM235" s="22"/>
      <c r="CN235" s="22"/>
      <c r="CO235" s="22"/>
      <c r="CP235" s="22"/>
      <c r="CQ235" s="22"/>
      <c r="CR235" s="22"/>
      <c r="CS235" s="91">
        <f>$A$44</f>
        <v>20213</v>
      </c>
      <c r="CT235" s="105"/>
      <c r="CU235" s="90" t="str">
        <f t="shared" si="419"/>
        <v/>
      </c>
      <c r="CV235" s="22"/>
      <c r="CW235" s="22"/>
      <c r="CX235" s="22"/>
      <c r="CY235" s="22"/>
      <c r="CZ235" s="22"/>
      <c r="DA235" s="22"/>
      <c r="DB235" s="22"/>
      <c r="DC235" s="22"/>
      <c r="DD235" s="22"/>
      <c r="DE235" s="91">
        <f>$A$44</f>
        <v>20213</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1.2012972722837858</v>
      </c>
      <c r="D237" s="93">
        <f>IFERROR(SUM(E219:E221)/SUM(D219:D221),1)</f>
        <v>1.0786772802676254</v>
      </c>
      <c r="E237" s="93">
        <f>IFERROR(SUM(F218:F220)/SUM(E218:E220),1)</f>
        <v>1.0434332599633647</v>
      </c>
      <c r="F237" s="93">
        <f>IFERROR(SUM(G217:G219)/SUM(F217:F219),1)</f>
        <v>1.0204038023658515</v>
      </c>
      <c r="G237" s="93">
        <f>IFERROR(SUM(H216:H218)/SUM(G216:G218),1)</f>
        <v>1.0105911287190954</v>
      </c>
      <c r="H237" s="93">
        <f>IFERROR(SUM(I215:I217)/SUM(H215:H217),1)</f>
        <v>1.001680102380816</v>
      </c>
      <c r="I237" s="93">
        <f>IFERROR(SUM(J214:J216)/SUM(I214:I216),1)</f>
        <v>1.0005723464035028</v>
      </c>
      <c r="J237" s="93">
        <f>IFERROR(SUM(K214:K215)/SUM(J214:J215),1)</f>
        <v>0.99999221578496844</v>
      </c>
      <c r="K237" s="93">
        <f>IFERROR(SUM(L214:L214)/SUM(K214:K214),1)</f>
        <v>1.0000981198346177</v>
      </c>
      <c r="L237" s="93">
        <v>1</v>
      </c>
      <c r="M237" s="285" t="s">
        <v>37</v>
      </c>
      <c r="N237" s="107"/>
      <c r="O237" s="93">
        <f>IFERROR(SUM(P220:P222)/SUM(O220:O222),1)</f>
        <v>1.3222459741981087</v>
      </c>
      <c r="P237" s="93">
        <f>IFERROR(SUM(Q219:Q221)/SUM(P219:P221),1)</f>
        <v>1.0444555171151839</v>
      </c>
      <c r="Q237" s="93">
        <f>IFERROR(SUM(R218:R220)/SUM(Q218:Q220),1)</f>
        <v>1.0064939645901136</v>
      </c>
      <c r="R237" s="93">
        <f>IFERROR(SUM(S217:S219)/SUM(R217:R219),1)</f>
        <v>1.0011868466678924</v>
      </c>
      <c r="S237" s="93">
        <f>IFERROR(SUM(T216:T218)/SUM(S216:S218),1)</f>
        <v>1.000483065169117</v>
      </c>
      <c r="T237" s="93">
        <f>IFERROR(SUM(U215:U217)/SUM(T215:T217),1)</f>
        <v>1.0008630237388374</v>
      </c>
      <c r="U237" s="93">
        <f>IFERROR(SUM(V214:V216)/SUM(U214:U216),1)</f>
        <v>1.0006014869793038</v>
      </c>
      <c r="V237" s="93">
        <f>IFERROR(SUM(W214:W215)/SUM(V214:V215),1)</f>
        <v>0.99993058566647541</v>
      </c>
      <c r="W237" s="93">
        <f>IFERROR(SUM(X214:X214)/SUM(W214:W214),1)</f>
        <v>0.99996832407131842</v>
      </c>
      <c r="X237" s="93">
        <v>1</v>
      </c>
      <c r="Y237" s="285" t="s">
        <v>37</v>
      </c>
      <c r="Z237" s="107"/>
      <c r="AA237" s="93">
        <f>IFERROR(SUM(AB220:AB222)/SUM(AA220:AA222),1)</f>
        <v>1.5682745025546414</v>
      </c>
      <c r="AB237" s="93">
        <f>IFERROR(SUM(AC219:AC221)/SUM(AB219:AB221),1)</f>
        <v>1.1606211817204943</v>
      </c>
      <c r="AC237" s="93">
        <f>IFERROR(SUM(AD218:AD220)/SUM(AC218:AC220),1)</f>
        <v>1.0568345277747817</v>
      </c>
      <c r="AD237" s="93">
        <f>IFERROR(SUM(AE217:AE219)/SUM(AD217:AD219),1)</f>
        <v>1.0226337649088666</v>
      </c>
      <c r="AE237" s="93">
        <f>IFERROR(SUM(AF216:AF218)/SUM(AE216:AE218),1)</f>
        <v>1.0130362777326762</v>
      </c>
      <c r="AF237" s="93">
        <f>IFERROR(SUM(AG215:AG217)/SUM(AF215:AF217),1)</f>
        <v>1.0038474528243153</v>
      </c>
      <c r="AG237" s="93">
        <f>IFERROR(SUM(AH214:AH216)/SUM(AG214:AG216),1)</f>
        <v>1.0023216427720969</v>
      </c>
      <c r="AH237" s="93">
        <f>IFERROR(SUM(AI214:AI215)/SUM(AH214:AH215),1)</f>
        <v>1.0006093918416259</v>
      </c>
      <c r="AI237" s="93">
        <f>IFERROR(SUM(AJ214:AJ214)/SUM(AI214:AI214),1)</f>
        <v>1.0016004764112982</v>
      </c>
      <c r="AJ237" s="93">
        <v>1</v>
      </c>
      <c r="AK237" s="285" t="s">
        <v>37</v>
      </c>
      <c r="AL237" s="107"/>
      <c r="AM237" s="93">
        <f>IFERROR(SUM(AN220:AN222)/SUM(AM220:AM222),1)</f>
        <v>1.0090962217003689</v>
      </c>
      <c r="AN237" s="93">
        <f>IFERROR(SUM(AO219:AO221)/SUM(AN219:AN221),1)</f>
        <v>1.0001253483689885</v>
      </c>
      <c r="AO237" s="93">
        <f>IFERROR(SUM(AP218:AP220)/SUM(AO218:AO220),1)</f>
        <v>1.0004743679836163</v>
      </c>
      <c r="AP237" s="93">
        <f>IFERROR(SUM(AQ217:AQ219)/SUM(AP217:AP219),1)</f>
        <v>1.0000877784648108</v>
      </c>
      <c r="AQ237" s="93">
        <f>IFERROR(SUM(AR216:AR218)/SUM(AQ216:AQ218),1)</f>
        <v>1.0001309648460108</v>
      </c>
      <c r="AR237" s="93">
        <f>IFERROR(SUM(AS215:AS217)/SUM(AR215:AR217),1)</f>
        <v>1.0000854620210502</v>
      </c>
      <c r="AS237" s="93">
        <f>IFERROR(SUM(AT214:AT216)/SUM(AS214:AS216),1)</f>
        <v>1.0000226555050076</v>
      </c>
      <c r="AT237" s="93">
        <f>IFERROR(SUM(AU214:AU215)/SUM(AT214:AT215),1)</f>
        <v>0.999969042512039</v>
      </c>
      <c r="AU237" s="93">
        <f>IFERROR(SUM(AV214:AV214)/SUM(AU214:AU214),1)</f>
        <v>1.0000092425007039</v>
      </c>
      <c r="AV237" s="93">
        <v>1</v>
      </c>
      <c r="AW237" s="285" t="s">
        <v>37</v>
      </c>
      <c r="AX237" s="107"/>
      <c r="AY237" s="93">
        <f>IFERROR(SUM(AZ220:AZ222)/SUM(AY220:AY222),1)</f>
        <v>0.95599437388139497</v>
      </c>
      <c r="AZ237" s="93">
        <f>IFERROR(SUM(BA219:BA221)/SUM(AZ219:AZ221),1)</f>
        <v>0.9937399191669477</v>
      </c>
      <c r="BA237" s="93">
        <f>IFERROR(SUM(BB218:BB220)/SUM(BA218:BA220),1)</f>
        <v>0.99714639577334163</v>
      </c>
      <c r="BB237" s="93">
        <f>IFERROR(SUM(BC217:BC219)/SUM(BB217:BB219),1)</f>
        <v>0.99910757071255962</v>
      </c>
      <c r="BC237" s="93">
        <f>IFERROR(SUM(BD216:BD218)/SUM(BC216:BC218),1)</f>
        <v>0.99973011254632804</v>
      </c>
      <c r="BD237" s="93">
        <f>IFERROR(SUM(BE215:BE217)/SUM(BD215:BD217),1)</f>
        <v>0.99987778757622126</v>
      </c>
      <c r="BE237" s="93">
        <f>IFERROR(SUM(BF214:BF216)/SUM(BE214:BE216),1)</f>
        <v>0.99984457436239393</v>
      </c>
      <c r="BF237" s="93">
        <f>IFERROR(SUM(BG214:BG215)/SUM(BF214:BF215),1)</f>
        <v>0.99987537736973087</v>
      </c>
      <c r="BG237" s="93">
        <f>IFERROR(SUM(BH214:BH214)/SUM(BG214:BG214),1)</f>
        <v>0.99983689567076439</v>
      </c>
      <c r="BH237" s="93">
        <v>1</v>
      </c>
      <c r="BI237" s="285" t="s">
        <v>37</v>
      </c>
      <c r="BJ237" s="107"/>
      <c r="BK237" s="93">
        <f>IFERROR(SUM(BL220:BL222)/SUM(BK220:BK222),1)</f>
        <v>0.99010460330152661</v>
      </c>
      <c r="BL237" s="93">
        <f>IFERROR(SUM(BM219:BM221)/SUM(BL219:BL221),1)</f>
        <v>1.0001978587654279</v>
      </c>
      <c r="BM237" s="93">
        <f>IFERROR(SUM(BN218:BN220)/SUM(BM218:BM220),1)</f>
        <v>1.0002405636189764</v>
      </c>
      <c r="BN237" s="93">
        <f>IFERROR(SUM(BO217:BO219)/SUM(BN217:BN219),1)</f>
        <v>1.0000755619032686</v>
      </c>
      <c r="BO237" s="93">
        <f>IFERROR(SUM(BP216:BP218)/SUM(BO216:BO218),1)</f>
        <v>0.99999311426688486</v>
      </c>
      <c r="BP237" s="93">
        <f>IFERROR(SUM(BQ215:BQ217)/SUM(BP215:BP217),1)</f>
        <v>0.9999941261500227</v>
      </c>
      <c r="BQ237" s="93">
        <f>IFERROR(SUM(BR214:BR216)/SUM(BQ214:BQ216),1)</f>
        <v>0.99999811514729919</v>
      </c>
      <c r="BR237" s="93">
        <f>IFERROR(SUM(BS214:BS215)/SUM(BR214:BR215),1)</f>
        <v>0.999977529126718</v>
      </c>
      <c r="BS237" s="93">
        <f>IFERROR(SUM(BT214:BT214)/SUM(BS214:BS214),1)</f>
        <v>0.99995142918498992</v>
      </c>
      <c r="BT237" s="93">
        <v>1</v>
      </c>
      <c r="BU237" s="285" t="s">
        <v>37</v>
      </c>
      <c r="BV237" s="107"/>
      <c r="BW237" s="93">
        <f>IFERROR(SUM(BX220:BX222)/SUM(BW220:BW222),1)</f>
        <v>1.0111021433055332</v>
      </c>
      <c r="BX237" s="93">
        <f>IFERROR(SUM(BY219:BY221)/SUM(BX219:BX221),1)</f>
        <v>1.0262356689625967</v>
      </c>
      <c r="BY237" s="93">
        <f>IFERROR(SUM(BZ218:BZ220)/SUM(BY218:BY220),1)</f>
        <v>0.99977634535232729</v>
      </c>
      <c r="BZ237" s="93">
        <f>IFERROR(SUM(CA217:CA219)/SUM(BZ217:BZ219),1)</f>
        <v>1.0072113006272967</v>
      </c>
      <c r="CA237" s="93">
        <f>IFERROR(SUM(CB216:CB218)/SUM(CA216:CA218),1)</f>
        <v>1</v>
      </c>
      <c r="CB237" s="93">
        <f>IFERROR(SUM(CC215:CC217)/SUM(CB215:CB217),1)</f>
        <v>1</v>
      </c>
      <c r="CC237" s="93">
        <f>IFERROR(SUM(CD214:CD216)/SUM(CC214:CC216),1)</f>
        <v>1</v>
      </c>
      <c r="CD237" s="93">
        <f>IFERROR(SUM(CE214:CE215)/SUM(CD214:CD215),1)</f>
        <v>1</v>
      </c>
      <c r="CE237" s="93">
        <f>IFERROR(SUM(CF214:CF214)/SUM(CE214:CE214),1)</f>
        <v>1</v>
      </c>
      <c r="CF237" s="93">
        <v>1</v>
      </c>
      <c r="CG237" s="285" t="s">
        <v>37</v>
      </c>
      <c r="CH237" s="107"/>
      <c r="CI237" s="93">
        <f>IFERROR(SUM(CJ220:CJ222)/SUM(CI220:CI222),1)</f>
        <v>1</v>
      </c>
      <c r="CJ237" s="93">
        <f>IFERROR(SUM(CK219:CK221)/SUM(CJ219:CJ221),1)</f>
        <v>1</v>
      </c>
      <c r="CK237" s="93">
        <f>IFERROR(SUM(CL218:CL220)/SUM(CK218:CK220),1)</f>
        <v>1</v>
      </c>
      <c r="CL237" s="93">
        <f>IFERROR(SUM(CM217:CM219)/SUM(CL217:CL219),1)</f>
        <v>1</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5"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5"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1.2012972722837858</v>
      </c>
      <c r="D238" s="93">
        <f t="shared" ref="D238:K238" si="421">IF(D237=0,1,D237)</f>
        <v>1.0786772802676254</v>
      </c>
      <c r="E238" s="93">
        <f t="shared" si="421"/>
        <v>1.0434332599633647</v>
      </c>
      <c r="F238" s="93">
        <f t="shared" si="421"/>
        <v>1.0204038023658515</v>
      </c>
      <c r="G238" s="93">
        <f t="shared" si="421"/>
        <v>1.0105911287190954</v>
      </c>
      <c r="H238" s="93">
        <f t="shared" si="421"/>
        <v>1.001680102380816</v>
      </c>
      <c r="I238" s="93">
        <f t="shared" si="421"/>
        <v>1.0005723464035028</v>
      </c>
      <c r="J238" s="93">
        <f t="shared" si="421"/>
        <v>0.99999221578496844</v>
      </c>
      <c r="K238" s="93">
        <f t="shared" si="421"/>
        <v>1.0000981198346177</v>
      </c>
      <c r="L238" s="93">
        <f>IF(L237=0,1,L237)</f>
        <v>1</v>
      </c>
      <c r="M238" s="285" t="s">
        <v>40</v>
      </c>
      <c r="N238" s="107"/>
      <c r="O238" s="93">
        <f>IF(O237=0,1,O237)</f>
        <v>1.3222459741981087</v>
      </c>
      <c r="P238" s="93">
        <f t="shared" ref="P238:W238" si="422">IF(P237=0,1,P237)</f>
        <v>1.0444555171151839</v>
      </c>
      <c r="Q238" s="93">
        <f t="shared" si="422"/>
        <v>1.0064939645901136</v>
      </c>
      <c r="R238" s="93">
        <f t="shared" si="422"/>
        <v>1.0011868466678924</v>
      </c>
      <c r="S238" s="93">
        <f t="shared" si="422"/>
        <v>1.000483065169117</v>
      </c>
      <c r="T238" s="93">
        <f t="shared" si="422"/>
        <v>1.0008630237388374</v>
      </c>
      <c r="U238" s="93">
        <f t="shared" si="422"/>
        <v>1.0006014869793038</v>
      </c>
      <c r="V238" s="93">
        <f t="shared" si="422"/>
        <v>0.99993058566647541</v>
      </c>
      <c r="W238" s="93">
        <f t="shared" si="422"/>
        <v>0.99996832407131842</v>
      </c>
      <c r="X238" s="93">
        <f>IF(X237=0,1,X237)</f>
        <v>1</v>
      </c>
      <c r="Y238" s="285" t="s">
        <v>40</v>
      </c>
      <c r="Z238" s="107"/>
      <c r="AA238" s="93">
        <f>IF(AA237=0,1,AA237)</f>
        <v>1.5682745025546414</v>
      </c>
      <c r="AB238" s="93">
        <f t="shared" ref="AB238:AI238" si="423">IF(AB237=0,1,AB237)</f>
        <v>1.1606211817204943</v>
      </c>
      <c r="AC238" s="93">
        <f t="shared" si="423"/>
        <v>1.0568345277747817</v>
      </c>
      <c r="AD238" s="93">
        <f t="shared" si="423"/>
        <v>1.0226337649088666</v>
      </c>
      <c r="AE238" s="93">
        <f t="shared" si="423"/>
        <v>1.0130362777326762</v>
      </c>
      <c r="AF238" s="93">
        <f t="shared" si="423"/>
        <v>1.0038474528243153</v>
      </c>
      <c r="AG238" s="93">
        <f t="shared" si="423"/>
        <v>1.0023216427720969</v>
      </c>
      <c r="AH238" s="93">
        <f t="shared" si="423"/>
        <v>1.0006093918416259</v>
      </c>
      <c r="AI238" s="93">
        <f t="shared" si="423"/>
        <v>1.0016004764112982</v>
      </c>
      <c r="AJ238" s="93">
        <f>IF(AJ237=0,1,AJ237)</f>
        <v>1</v>
      </c>
      <c r="AK238" s="285" t="s">
        <v>40</v>
      </c>
      <c r="AL238" s="107"/>
      <c r="AM238" s="93">
        <f>IF(AM237=0,1,AM237)</f>
        <v>1.0090962217003689</v>
      </c>
      <c r="AN238" s="93">
        <f t="shared" ref="AN238:AU238" si="424">IF(AN237=0,1,AN237)</f>
        <v>1.0001253483689885</v>
      </c>
      <c r="AO238" s="93">
        <f t="shared" si="424"/>
        <v>1.0004743679836163</v>
      </c>
      <c r="AP238" s="93">
        <f t="shared" si="424"/>
        <v>1.0000877784648108</v>
      </c>
      <c r="AQ238" s="93">
        <f t="shared" si="424"/>
        <v>1.0001309648460108</v>
      </c>
      <c r="AR238" s="93">
        <f t="shared" si="424"/>
        <v>1.0000854620210502</v>
      </c>
      <c r="AS238" s="93">
        <f t="shared" si="424"/>
        <v>1.0000226555050076</v>
      </c>
      <c r="AT238" s="93">
        <f t="shared" si="424"/>
        <v>0.999969042512039</v>
      </c>
      <c r="AU238" s="93">
        <f t="shared" si="424"/>
        <v>1.0000092425007039</v>
      </c>
      <c r="AV238" s="93">
        <f>IF(AV237=0,1,AV237)</f>
        <v>1</v>
      </c>
      <c r="AW238" s="285" t="s">
        <v>40</v>
      </c>
      <c r="AX238" s="107"/>
      <c r="AY238" s="93">
        <f>IF(AY237=0,1,AY237)</f>
        <v>0.95599437388139497</v>
      </c>
      <c r="AZ238" s="93">
        <f t="shared" ref="AZ238:BG238" si="425">IF(AZ237=0,1,AZ237)</f>
        <v>0.9937399191669477</v>
      </c>
      <c r="BA238" s="93">
        <f t="shared" si="425"/>
        <v>0.99714639577334163</v>
      </c>
      <c r="BB238" s="93">
        <f t="shared" si="425"/>
        <v>0.99910757071255962</v>
      </c>
      <c r="BC238" s="93">
        <f t="shared" si="425"/>
        <v>0.99973011254632804</v>
      </c>
      <c r="BD238" s="93">
        <f t="shared" si="425"/>
        <v>0.99987778757622126</v>
      </c>
      <c r="BE238" s="93">
        <f t="shared" si="425"/>
        <v>0.99984457436239393</v>
      </c>
      <c r="BF238" s="93">
        <f t="shared" si="425"/>
        <v>0.99987537736973087</v>
      </c>
      <c r="BG238" s="93">
        <f t="shared" si="425"/>
        <v>0.99983689567076439</v>
      </c>
      <c r="BH238" s="93">
        <f>IF(BH237=0,1,BH237)</f>
        <v>1</v>
      </c>
      <c r="BI238" s="285" t="s">
        <v>40</v>
      </c>
      <c r="BJ238" s="107"/>
      <c r="BK238" s="93">
        <f>IF(BK237=0,1,BK237)</f>
        <v>0.99010460330152661</v>
      </c>
      <c r="BL238" s="93">
        <f t="shared" ref="BL238:BS238" si="426">IF(BL237=0,1,BL237)</f>
        <v>1.0001978587654279</v>
      </c>
      <c r="BM238" s="93">
        <f t="shared" si="426"/>
        <v>1.0002405636189764</v>
      </c>
      <c r="BN238" s="93">
        <f t="shared" si="426"/>
        <v>1.0000755619032686</v>
      </c>
      <c r="BO238" s="93">
        <f t="shared" si="426"/>
        <v>0.99999311426688486</v>
      </c>
      <c r="BP238" s="93">
        <f t="shared" si="426"/>
        <v>0.9999941261500227</v>
      </c>
      <c r="BQ238" s="93">
        <f t="shared" si="426"/>
        <v>0.99999811514729919</v>
      </c>
      <c r="BR238" s="93">
        <f t="shared" si="426"/>
        <v>0.999977529126718</v>
      </c>
      <c r="BS238" s="93">
        <f t="shared" si="426"/>
        <v>0.99995142918498992</v>
      </c>
      <c r="BT238" s="93">
        <f>IF(BT237=0,1,BT237)</f>
        <v>1</v>
      </c>
      <c r="BU238" s="285" t="s">
        <v>40</v>
      </c>
      <c r="BV238" s="107"/>
      <c r="BW238" s="93">
        <f>IF(BW237=0,1,BW237)</f>
        <v>1.0111021433055332</v>
      </c>
      <c r="BX238" s="93">
        <f t="shared" ref="BX238:CE238" si="427">IF(BX237=0,1,BX237)</f>
        <v>1.0262356689625967</v>
      </c>
      <c r="BY238" s="93">
        <f t="shared" si="427"/>
        <v>0.99977634535232729</v>
      </c>
      <c r="BZ238" s="93">
        <f t="shared" si="427"/>
        <v>1.0072113006272967</v>
      </c>
      <c r="CA238" s="93">
        <f t="shared" si="427"/>
        <v>1</v>
      </c>
      <c r="CB238" s="93">
        <f t="shared" si="427"/>
        <v>1</v>
      </c>
      <c r="CC238" s="93">
        <f t="shared" si="427"/>
        <v>1</v>
      </c>
      <c r="CD238" s="93">
        <f t="shared" si="427"/>
        <v>1</v>
      </c>
      <c r="CE238" s="93">
        <f t="shared" si="427"/>
        <v>1</v>
      </c>
      <c r="CF238" s="93">
        <f>IF(CF237=0,1,CF237)</f>
        <v>1</v>
      </c>
      <c r="CG238" s="285" t="s">
        <v>40</v>
      </c>
      <c r="CH238" s="107"/>
      <c r="CI238" s="93">
        <f>IF(CI237=0,1,CI237)</f>
        <v>1</v>
      </c>
      <c r="CJ238" s="93">
        <f t="shared" ref="CJ238:CQ238" si="428">IF(CJ237=0,1,CJ237)</f>
        <v>1</v>
      </c>
      <c r="CK238" s="93">
        <f t="shared" si="428"/>
        <v>1</v>
      </c>
      <c r="CL238" s="93">
        <f t="shared" si="428"/>
        <v>1</v>
      </c>
      <c r="CM238" s="93">
        <f t="shared" si="428"/>
        <v>1</v>
      </c>
      <c r="CN238" s="93">
        <f t="shared" si="428"/>
        <v>1</v>
      </c>
      <c r="CO238" s="93">
        <f t="shared" si="428"/>
        <v>1</v>
      </c>
      <c r="CP238" s="93">
        <f t="shared" si="428"/>
        <v>1</v>
      </c>
      <c r="CQ238" s="93">
        <f t="shared" si="428"/>
        <v>1</v>
      </c>
      <c r="CR238" s="93">
        <f>IF(CR237=0,1,CR237)</f>
        <v>1</v>
      </c>
      <c r="CS238" s="285"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5"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1.3975617987971174</v>
      </c>
      <c r="D239" s="113">
        <f>PRODUCT(D238:L238)</f>
        <v>1.163377151552349</v>
      </c>
      <c r="E239" s="113">
        <f>PRODUCT(E238:L238)</f>
        <v>1.0785219757884481</v>
      </c>
      <c r="F239" s="113">
        <f>PRODUCT(F238:L238)</f>
        <v>1.033628136241618</v>
      </c>
      <c r="G239" s="113">
        <f>PRODUCT(G238:L238)</f>
        <v>1.0129599025847467</v>
      </c>
      <c r="H239" s="113">
        <f>PRODUCT(H238:L238)</f>
        <v>1.0023439488021764</v>
      </c>
      <c r="I239" s="113">
        <f>PRODUCT(I238:L238)</f>
        <v>1.0006627329621329</v>
      </c>
      <c r="J239" s="113">
        <f>PRODUCT(J238:L238)</f>
        <v>1.0000903348558003</v>
      </c>
      <c r="K239" s="113">
        <f>PRODUCT(K238:L238)</f>
        <v>1.0000981198346177</v>
      </c>
      <c r="L239" s="114">
        <f>PRODUCT(L238:L238)</f>
        <v>1</v>
      </c>
      <c r="M239" s="111" t="s">
        <v>39</v>
      </c>
      <c r="N239" s="115"/>
      <c r="O239" s="113">
        <f>PRODUCT(O238:X238)</f>
        <v>1.3942162442515211</v>
      </c>
      <c r="P239" s="113">
        <f>PRODUCT(P238:X238)</f>
        <v>1.0544303189102615</v>
      </c>
      <c r="Q239" s="113">
        <f>PRODUCT(Q238:X238)</f>
        <v>1.0095502408974086</v>
      </c>
      <c r="R239" s="113">
        <f>PRODUCT(R238:X238)</f>
        <v>1.0030365570135733</v>
      </c>
      <c r="S239" s="113">
        <f>PRODUCT(S238:X238)</f>
        <v>1.001847517625543</v>
      </c>
      <c r="T239" s="113">
        <f>PRODUCT(T238:X238)</f>
        <v>1.0013637936552136</v>
      </c>
      <c r="U239" s="113">
        <f>PRODUCT(U238:X238)</f>
        <v>1.0005003381127071</v>
      </c>
      <c r="V239" s="113">
        <f>PRODUCT(V238:X238)</f>
        <v>0.99989891193655733</v>
      </c>
      <c r="W239" s="113">
        <f>PRODUCT(W238:X238)</f>
        <v>0.99996832407131842</v>
      </c>
      <c r="X239" s="114">
        <f>PRODUCT(X238:X238)</f>
        <v>1</v>
      </c>
      <c r="Y239" s="111" t="s">
        <v>39</v>
      </c>
      <c r="Z239" s="115"/>
      <c r="AA239" s="113">
        <f>PRODUCT(AA238:AJ238)</f>
        <v>2.0095490930065942</v>
      </c>
      <c r="AB239" s="113">
        <f>PRODUCT(AB238:AJ238)</f>
        <v>1.2813758622824882</v>
      </c>
      <c r="AC239" s="113">
        <f>PRODUCT(AC238:AJ238)</f>
        <v>1.104043147293752</v>
      </c>
      <c r="AD239" s="113">
        <f>PRODUCT(AD238:AJ238)</f>
        <v>1.0446698307807663</v>
      </c>
      <c r="AE239" s="113">
        <f>PRODUCT(AE238:AJ238)</f>
        <v>1.0215483456815679</v>
      </c>
      <c r="AF239" s="113">
        <f>PRODUCT(AF238:AJ238)</f>
        <v>1.0084025302311412</v>
      </c>
      <c r="AG239" s="113">
        <f>PRODUCT(AG238:AJ238)</f>
        <v>1.0045376191312838</v>
      </c>
      <c r="AH239" s="113">
        <f>PRODUCT(AH238:AJ238)</f>
        <v>1.002210843570192</v>
      </c>
      <c r="AI239" s="113">
        <f>PRODUCT(AI238:AJ238)</f>
        <v>1.0016004764112982</v>
      </c>
      <c r="AJ239" s="114">
        <f>PRODUCT(AJ238:AJ238)</f>
        <v>1</v>
      </c>
      <c r="AK239" s="111" t="s">
        <v>39</v>
      </c>
      <c r="AL239" s="115"/>
      <c r="AM239" s="113">
        <f>PRODUCT(AM238:AV238)</f>
        <v>1.0100095894028551</v>
      </c>
      <c r="AN239" s="113">
        <f>PRODUCT(AN238:AV238)</f>
        <v>1.0009051343993212</v>
      </c>
      <c r="AO239" s="113">
        <f>PRODUCT(AO238:AV238)</f>
        <v>1.0007796882976763</v>
      </c>
      <c r="AP239" s="113">
        <f>PRODUCT(AP238:AV238)</f>
        <v>1.0003051755485504</v>
      </c>
      <c r="AQ239" s="113">
        <f>PRODUCT(AQ238:AV238)</f>
        <v>1.0002173780026324</v>
      </c>
      <c r="AR239" s="113">
        <f>PRODUCT(AR238:AV238)</f>
        <v>1.0000864018410176</v>
      </c>
      <c r="AS239" s="113">
        <f>PRODUCT(AS238:AV238)</f>
        <v>1.0000009397396554</v>
      </c>
      <c r="AT239" s="113">
        <f>PRODUCT(AT238:AV238)</f>
        <v>0.99997828472661832</v>
      </c>
      <c r="AU239" s="113">
        <f>PRODUCT(AU238:AV238)</f>
        <v>1.0000092425007039</v>
      </c>
      <c r="AV239" s="114">
        <f>PRODUCT(AV238:AV238)</f>
        <v>1</v>
      </c>
      <c r="AW239" s="111" t="s">
        <v>39</v>
      </c>
      <c r="AX239" s="115"/>
      <c r="AY239" s="113">
        <f>PRODUCT(AY238:BH238)</f>
        <v>0.94566315234638454</v>
      </c>
      <c r="AZ239" s="113">
        <f>PRODUCT(AZ238:BH238)</f>
        <v>0.98919321931460236</v>
      </c>
      <c r="BA239" s="113">
        <f>PRODUCT(BA238:BH238)</f>
        <v>0.99542465813775816</v>
      </c>
      <c r="BB239" s="113">
        <f>PRODUCT(BB238:BH238)</f>
        <v>0.99827333514629191</v>
      </c>
      <c r="BC239" s="113">
        <f>PRODUCT(BC238:BH238)</f>
        <v>0.99916501927247658</v>
      </c>
      <c r="BD239" s="113">
        <f>PRODUCT(BD238:BH238)</f>
        <v>0.99943475417339167</v>
      </c>
      <c r="BE239" s="113">
        <f>PRODUCT(BE238:BH238)</f>
        <v>0.99955691244636657</v>
      </c>
      <c r="BF239" s="113">
        <f>PRODUCT(BF238:BH238)</f>
        <v>0.99971229336698575</v>
      </c>
      <c r="BG239" s="113">
        <f>PRODUCT(BG238:BH238)</f>
        <v>0.99983689567076439</v>
      </c>
      <c r="BH239" s="114">
        <f>PRODUCT(BH238:BH238)</f>
        <v>1</v>
      </c>
      <c r="BI239" s="111" t="s">
        <v>39</v>
      </c>
      <c r="BJ239" s="115"/>
      <c r="BK239" s="113">
        <f>PRODUCT(BK238:BT238)</f>
        <v>0.99052870177856944</v>
      </c>
      <c r="BL239" s="113">
        <f>PRODUCT(BL238:BT238)</f>
        <v>1.000428337041994</v>
      </c>
      <c r="BM239" s="113">
        <f>PRODUCT(BM238:BT238)</f>
        <v>1.0002304326834397</v>
      </c>
      <c r="BN239" s="113">
        <f>PRODUCT(BN238:BT238)</f>
        <v>0.99998987150101182</v>
      </c>
      <c r="BO239" s="113">
        <f>PRODUCT(BO238:BT238)</f>
        <v>0.99991431607218373</v>
      </c>
      <c r="BP239" s="113">
        <f>PRODUCT(BP238:BT238)</f>
        <v>0.99992120126271189</v>
      </c>
      <c r="BQ239" s="113">
        <f>PRODUCT(BQ238:BT238)</f>
        <v>0.99992707468433673</v>
      </c>
      <c r="BR239" s="113">
        <f>PRODUCT(BR238:BT238)</f>
        <v>0.99992895940313653</v>
      </c>
      <c r="BS239" s="113">
        <f>PRODUCT(BS238:BT238)</f>
        <v>0.99995142918498992</v>
      </c>
      <c r="BT239" s="114">
        <f>PRODUCT(BT238:BT238)</f>
        <v>1</v>
      </c>
      <c r="BU239" s="111" t="s">
        <v>39</v>
      </c>
      <c r="BV239" s="115"/>
      <c r="BW239" s="113">
        <f>PRODUCT(BW238:CF238)</f>
        <v>1.0448779955941625</v>
      </c>
      <c r="BX239" s="113">
        <f>PRODUCT(BX238:CF238)</f>
        <v>1.0334049853541087</v>
      </c>
      <c r="BY239" s="113">
        <f>PRODUCT(BY238:CF238)</f>
        <v>1.0069860331387228</v>
      </c>
      <c r="BZ239" s="113">
        <f>PRODUCT(BZ238:CF238)</f>
        <v>1.0072113006272967</v>
      </c>
      <c r="CA239" s="113">
        <f>PRODUCT(CA238:CF238)</f>
        <v>1</v>
      </c>
      <c r="CB239" s="113">
        <f>PRODUCT(CB238:CF238)</f>
        <v>1</v>
      </c>
      <c r="CC239" s="113">
        <f>PRODUCT(CC238:CF238)</f>
        <v>1</v>
      </c>
      <c r="CD239" s="113">
        <f>PRODUCT(CD238:CF238)</f>
        <v>1</v>
      </c>
      <c r="CE239" s="113">
        <f>PRODUCT(CE238:CF238)</f>
        <v>1</v>
      </c>
      <c r="CF239" s="114">
        <f>PRODUCT(CF238:CF238)</f>
        <v>1</v>
      </c>
      <c r="CG239" s="111" t="s">
        <v>39</v>
      </c>
      <c r="CH239" s="115"/>
      <c r="CI239" s="113">
        <f>PRODUCT(CI238:CR238)</f>
        <v>1</v>
      </c>
      <c r="CJ239" s="113">
        <f>PRODUCT(CJ238:CR238)</f>
        <v>1</v>
      </c>
      <c r="CK239" s="113">
        <f>PRODUCT(CK238:CR238)</f>
        <v>1</v>
      </c>
      <c r="CL239" s="113">
        <f>PRODUCT(CL238:CR238)</f>
        <v>1</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1251253054.1177616</v>
      </c>
      <c r="D240" s="99">
        <f>D239*D222</f>
        <v>956074346.85543823</v>
      </c>
      <c r="E240" s="99">
        <f>E239*E221</f>
        <v>914066335.87849927</v>
      </c>
      <c r="F240" s="99">
        <f>F239*F220</f>
        <v>1174127100.2305522</v>
      </c>
      <c r="G240" s="99">
        <f>G239*G219</f>
        <v>1225131403.7641387</v>
      </c>
      <c r="H240" s="99">
        <f>H239*H218</f>
        <v>1285254424.5704341</v>
      </c>
      <c r="I240" s="99">
        <f>I239*I217</f>
        <v>1287931106.1730287</v>
      </c>
      <c r="J240" s="99">
        <f>J239*J216</f>
        <v>1140124211.3832164</v>
      </c>
      <c r="K240" s="99">
        <f>K239*K215</f>
        <v>1064193158.5822048</v>
      </c>
      <c r="L240" s="99">
        <f>L239*L214</f>
        <v>920057675.80000019</v>
      </c>
      <c r="M240" s="95" t="s">
        <v>41</v>
      </c>
      <c r="N240" s="106"/>
      <c r="O240" s="99">
        <f>O239*O223</f>
        <v>58953874.20794864</v>
      </c>
      <c r="P240" s="99">
        <f>P239*P222</f>
        <v>52013918.147174187</v>
      </c>
      <c r="Q240" s="99">
        <f>Q239*Q221</f>
        <v>52087720.954671144</v>
      </c>
      <c r="R240" s="99">
        <f>R239*R220</f>
        <v>70805714.478667989</v>
      </c>
      <c r="S240" s="99">
        <f>S239*S219</f>
        <v>71209699.792117447</v>
      </c>
      <c r="T240" s="99">
        <f>T239*T218</f>
        <v>70624751.489567399</v>
      </c>
      <c r="U240" s="99">
        <f>U239*U217</f>
        <v>64753062.903224528</v>
      </c>
      <c r="V240" s="99">
        <f>V239*V216</f>
        <v>62955455.031573683</v>
      </c>
      <c r="W240" s="99">
        <f>W239*W215</f>
        <v>62493217.966579154</v>
      </c>
      <c r="X240" s="99">
        <f>X239*X214</f>
        <v>63134270.549999997</v>
      </c>
      <c r="Y240" s="95" t="s">
        <v>41</v>
      </c>
      <c r="Z240" s="106"/>
      <c r="AA240" s="99">
        <f>AA239*AA223</f>
        <v>267238322.56361914</v>
      </c>
      <c r="AB240" s="99">
        <f>AB239*AB222</f>
        <v>234597128.01328337</v>
      </c>
      <c r="AC240" s="99">
        <f>AC239*AC221</f>
        <v>187526440.69023901</v>
      </c>
      <c r="AD240" s="99">
        <f>AD239*AD220</f>
        <v>204075691.2701661</v>
      </c>
      <c r="AE240" s="99">
        <f>AE239*AE219</f>
        <v>209090287.24149579</v>
      </c>
      <c r="AF240" s="99">
        <f>AF239*AF218</f>
        <v>206467645.45198521</v>
      </c>
      <c r="AG240" s="99">
        <f>AG239*AG217</f>
        <v>181355033.81049174</v>
      </c>
      <c r="AH240" s="99">
        <f>AH239*AH216</f>
        <v>168724110.10857093</v>
      </c>
      <c r="AI240" s="99">
        <f>AI239*AI215</f>
        <v>146262962.13321468</v>
      </c>
      <c r="AJ240" s="99">
        <f>AJ239*AJ214</f>
        <v>126421553.64000006</v>
      </c>
      <c r="AK240" s="95" t="s">
        <v>41</v>
      </c>
      <c r="AL240" s="106"/>
      <c r="AM240" s="99">
        <f>AM239*AM223</f>
        <v>376110223.50221878</v>
      </c>
      <c r="AN240" s="99">
        <f>AN239*AN222</f>
        <v>283949154.05683118</v>
      </c>
      <c r="AO240" s="99">
        <f>AO239*AO221</f>
        <v>232976088.75098905</v>
      </c>
      <c r="AP240" s="99">
        <f>AP239*AP220</f>
        <v>232942717.50376558</v>
      </c>
      <c r="AQ240" s="99">
        <f>AQ239*AQ219</f>
        <v>217894508.22900918</v>
      </c>
      <c r="AR240" s="99">
        <f>AR239*AR218</f>
        <v>225389504.2256611</v>
      </c>
      <c r="AS240" s="99">
        <f>AS239*AS217</f>
        <v>207363314.84734696</v>
      </c>
      <c r="AT240" s="99">
        <f>AT239*AT216</f>
        <v>193373516.30004087</v>
      </c>
      <c r="AU240" s="99">
        <f>AU239*AU215</f>
        <v>178920713.72953856</v>
      </c>
      <c r="AV240" s="99">
        <f>AV239*AV214</f>
        <v>173144135.10000005</v>
      </c>
      <c r="AW240" s="95" t="s">
        <v>41</v>
      </c>
      <c r="AX240" s="106"/>
      <c r="AY240" s="99">
        <f>AY239*AY223</f>
        <v>1158673262.0354464</v>
      </c>
      <c r="AZ240" s="99">
        <f>AZ239*AZ222</f>
        <v>820931851.57167816</v>
      </c>
      <c r="BA240" s="99">
        <f>BA239*BA221</f>
        <v>706867543.05423367</v>
      </c>
      <c r="BB240" s="99">
        <f>BB239*BB220</f>
        <v>858893146.56209421</v>
      </c>
      <c r="BC240" s="99">
        <f>BC239*BC219</f>
        <v>833830328.87903321</v>
      </c>
      <c r="BD240" s="99">
        <f>BD239*BD218</f>
        <v>849746095.32609677</v>
      </c>
      <c r="BE240" s="99">
        <f>BE239*BE217</f>
        <v>811298485.18886781</v>
      </c>
      <c r="BF240" s="99">
        <f>BF239*BF216</f>
        <v>729989827.90210485</v>
      </c>
      <c r="BG240" s="99">
        <f>BG239*BG215</f>
        <v>637167267.60686588</v>
      </c>
      <c r="BH240" s="99">
        <f>BH239*BH214</f>
        <v>574575258.09999979</v>
      </c>
      <c r="BI240" s="95" t="s">
        <v>41</v>
      </c>
      <c r="BJ240" s="106"/>
      <c r="BK240" s="99">
        <f>BK239*BK223</f>
        <v>68709677.56199187</v>
      </c>
      <c r="BL240" s="99">
        <f>BL239*BL222</f>
        <v>52154504.721452318</v>
      </c>
      <c r="BM240" s="99">
        <f>BM239*BM221</f>
        <v>45401662.516688794</v>
      </c>
      <c r="BN240" s="99">
        <f>BN239*BN220</f>
        <v>53562223.069583021</v>
      </c>
      <c r="BO240" s="99">
        <f>BO239*BO219</f>
        <v>51138267.406911053</v>
      </c>
      <c r="BP240" s="99">
        <f>BP239*BP218</f>
        <v>53896205.342393488</v>
      </c>
      <c r="BQ240" s="99">
        <f>BQ239*BQ217</f>
        <v>49434457.813642636</v>
      </c>
      <c r="BR240" s="99">
        <f>BR239*BR216</f>
        <v>44528924.763864033</v>
      </c>
      <c r="BS240" s="99">
        <f>BS239*BS215</f>
        <v>41011191.016272604</v>
      </c>
      <c r="BT240" s="99">
        <f>BT239*BT214</f>
        <v>38025515.699999988</v>
      </c>
      <c r="BU240" s="95" t="s">
        <v>41</v>
      </c>
      <c r="BV240" s="106"/>
      <c r="BW240" s="99">
        <f>BW239*BW223</f>
        <v>352865.74789210461</v>
      </c>
      <c r="BX240" s="99">
        <f>BX239*BX222</f>
        <v>219133.52714433876</v>
      </c>
      <c r="BY240" s="99">
        <f>BY239*BY221</f>
        <v>168519.11264576527</v>
      </c>
      <c r="BZ240" s="99">
        <f>BZ239*BZ220</f>
        <v>477569.23819243273</v>
      </c>
      <c r="CA240" s="99">
        <f>CA239*CA219</f>
        <v>531671.41999999993</v>
      </c>
      <c r="CB240" s="99">
        <f>CB239*CB218</f>
        <v>379934.12</v>
      </c>
      <c r="CC240" s="99">
        <f>CC239*CC217</f>
        <v>275600</v>
      </c>
      <c r="CD240" s="99">
        <f>CD239*CD216</f>
        <v>501471.43</v>
      </c>
      <c r="CE240" s="99">
        <f>CE239*CE215</f>
        <v>366601.32</v>
      </c>
      <c r="CF240" s="99">
        <f>CF239*CF214</f>
        <v>258250</v>
      </c>
      <c r="CG240" s="95" t="s">
        <v>41</v>
      </c>
      <c r="CH240" s="106"/>
      <c r="CI240" s="99">
        <f>CI239*CI223</f>
        <v>0</v>
      </c>
      <c r="CJ240" s="99">
        <f>CJ239*CJ222</f>
        <v>0</v>
      </c>
      <c r="CK240" s="99">
        <f>CK239*CK221</f>
        <v>0</v>
      </c>
      <c r="CL240" s="99">
        <f>CL239*CL220</f>
        <v>0</v>
      </c>
      <c r="CM240" s="99">
        <f>CM239*CM219</f>
        <v>0</v>
      </c>
      <c r="CN240" s="99">
        <f>CN239*CN218</f>
        <v>0</v>
      </c>
      <c r="CO240" s="99">
        <f>CO239*CO217</f>
        <v>0</v>
      </c>
      <c r="CP240" s="99">
        <f>CP239*CP216</f>
        <v>0</v>
      </c>
      <c r="CQ240" s="99">
        <f>CQ239*CQ215</f>
        <v>0</v>
      </c>
      <c r="CR240" s="99">
        <f>CR239*CR214</f>
        <v>0</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Mutual Automobile Insurance Company</v>
      </c>
      <c r="B241" s="68"/>
      <c r="C241" s="40"/>
      <c r="D241" s="18"/>
      <c r="E241" s="18"/>
      <c r="F241" s="18"/>
      <c r="G241" s="18"/>
      <c r="H241" s="18"/>
      <c r="I241" s="18"/>
      <c r="J241" s="18"/>
      <c r="K241" s="18"/>
      <c r="L241" s="18"/>
      <c r="M241" s="137" t="str">
        <f>Co_Name</f>
        <v>State Farm Mutual Automobile Insurance Company</v>
      </c>
      <c r="N241" s="68"/>
      <c r="O241" s="40"/>
      <c r="P241" s="18"/>
      <c r="Q241" s="18"/>
      <c r="R241" s="18"/>
      <c r="S241" s="18"/>
      <c r="T241" s="18"/>
      <c r="U241" s="18"/>
      <c r="V241" s="18"/>
      <c r="W241" s="18"/>
      <c r="X241" s="18"/>
      <c r="Y241" s="137" t="str">
        <f>Co_Name</f>
        <v>State Farm Mutual Automobile Insurance Company</v>
      </c>
      <c r="Z241" s="68"/>
      <c r="AA241" s="40"/>
      <c r="AB241" s="18"/>
      <c r="AC241" s="18"/>
      <c r="AD241" s="18"/>
      <c r="AE241" s="18"/>
      <c r="AF241" s="18"/>
      <c r="AG241" s="18"/>
      <c r="AH241" s="18"/>
      <c r="AI241" s="18"/>
      <c r="AJ241" s="18"/>
      <c r="AK241" s="137" t="str">
        <f>Co_Name</f>
        <v>State Farm Mutual Automobile Insurance Company</v>
      </c>
      <c r="AL241" s="68"/>
      <c r="AM241" s="40"/>
      <c r="AN241" s="18"/>
      <c r="AO241" s="18"/>
      <c r="AP241" s="18"/>
      <c r="AQ241" s="18"/>
      <c r="AR241" s="18"/>
      <c r="AS241" s="18"/>
      <c r="AT241" s="18"/>
      <c r="AU241" s="18"/>
      <c r="AV241" s="18"/>
      <c r="AW241" s="137" t="str">
        <f>Co_Name</f>
        <v>State Farm Mutual Automobile Insurance Company</v>
      </c>
      <c r="AX241" s="68"/>
      <c r="AY241" s="40"/>
      <c r="AZ241" s="18"/>
      <c r="BA241" s="18"/>
      <c r="BB241" s="18"/>
      <c r="BC241" s="18"/>
      <c r="BD241" s="18"/>
      <c r="BE241" s="18"/>
      <c r="BF241" s="18"/>
      <c r="BG241" s="18"/>
      <c r="BH241" s="18"/>
      <c r="BI241" s="137" t="str">
        <f>Co_Name</f>
        <v>State Farm Mutual Automobile Insurance Company</v>
      </c>
      <c r="BJ241" s="68"/>
      <c r="BK241" s="40"/>
      <c r="BL241" s="18"/>
      <c r="BM241" s="18"/>
      <c r="BN241" s="18"/>
      <c r="BO241" s="18"/>
      <c r="BP241" s="18"/>
      <c r="BQ241" s="18"/>
      <c r="BR241" s="18"/>
      <c r="BS241" s="18"/>
      <c r="BT241" s="18"/>
      <c r="BU241" s="137" t="str">
        <f>Co_Name</f>
        <v>State Farm Mutual Automobile Insurance Company</v>
      </c>
      <c r="BV241" s="68"/>
      <c r="BW241" s="40"/>
      <c r="BX241" s="18"/>
      <c r="BY241" s="18"/>
      <c r="BZ241" s="18"/>
      <c r="CA241" s="18"/>
      <c r="CB241" s="18"/>
      <c r="CC241" s="18"/>
      <c r="CD241" s="18"/>
      <c r="CE241" s="18"/>
      <c r="CF241" s="18"/>
      <c r="CG241" s="137" t="str">
        <f>Co_Name</f>
        <v>State Farm Mutual Automobile Insurance Company</v>
      </c>
      <c r="CH241" s="68"/>
      <c r="CI241" s="40"/>
      <c r="CJ241" s="18"/>
      <c r="CK241" s="18"/>
      <c r="CL241" s="18"/>
      <c r="CM241" s="18"/>
      <c r="CN241" s="18"/>
      <c r="CO241" s="18"/>
      <c r="CP241" s="18"/>
      <c r="CQ241" s="18"/>
      <c r="CR241" s="18"/>
      <c r="CS241" s="137" t="str">
        <f>Co_Name</f>
        <v>State Farm Mutual Automobile Insurance Company</v>
      </c>
      <c r="CT241" s="68"/>
      <c r="CU241" s="40"/>
      <c r="CV241" s="18"/>
      <c r="CW241" s="18"/>
      <c r="CX241" s="18"/>
      <c r="CY241" s="18"/>
      <c r="CZ241" s="18"/>
      <c r="DA241" s="18"/>
      <c r="DB241" s="18"/>
      <c r="DC241" s="18"/>
      <c r="DD241" s="18"/>
      <c r="DE241" s="137" t="str">
        <f>Co_Name</f>
        <v>State Farm Mutual Automobile Insurance Company</v>
      </c>
      <c r="DF241" s="68"/>
      <c r="DG241" s="40"/>
      <c r="DH241" s="18"/>
      <c r="DI241" s="18"/>
      <c r="DJ241" s="18"/>
      <c r="DK241" s="18"/>
      <c r="DL241" s="18"/>
      <c r="DM241" s="18"/>
      <c r="DN241" s="18"/>
      <c r="DO241" s="18"/>
      <c r="DP241" s="18"/>
    </row>
    <row r="242" spans="1:120" ht="21" x14ac:dyDescent="0.35">
      <c r="A242" s="137" t="str">
        <f>A$2</f>
        <v>Private Passenger Auto Liability</v>
      </c>
      <c r="B242" s="68"/>
      <c r="C242" s="40"/>
      <c r="D242" s="18"/>
      <c r="E242" s="18"/>
      <c r="F242" s="18"/>
      <c r="G242" s="18"/>
      <c r="H242" s="18"/>
      <c r="I242" s="18"/>
      <c r="J242" s="18"/>
      <c r="K242" s="18"/>
      <c r="L242" s="18"/>
      <c r="M242" s="137" t="str">
        <f>M$2</f>
        <v>Private Passenger Auto Liability</v>
      </c>
      <c r="N242" s="68"/>
      <c r="O242" s="40"/>
      <c r="P242" s="18"/>
      <c r="Q242" s="18"/>
      <c r="R242" s="18"/>
      <c r="S242" s="18"/>
      <c r="T242" s="18"/>
      <c r="U242" s="18"/>
      <c r="V242" s="18"/>
      <c r="W242" s="18"/>
      <c r="X242" s="18"/>
      <c r="Y242" s="137" t="str">
        <f>Y$2</f>
        <v>Private Passenger Auto Liability</v>
      </c>
      <c r="Z242" s="68"/>
      <c r="AA242" s="40"/>
      <c r="AB242" s="18"/>
      <c r="AC242" s="18"/>
      <c r="AD242" s="18"/>
      <c r="AE242" s="18"/>
      <c r="AF242" s="18"/>
      <c r="AG242" s="18"/>
      <c r="AH242" s="18"/>
      <c r="AI242" s="18"/>
      <c r="AJ242" s="18"/>
      <c r="AK242" s="137" t="str">
        <f>AK$2</f>
        <v>Private Passenger Auto Liability</v>
      </c>
      <c r="AL242" s="68"/>
      <c r="AM242" s="40"/>
      <c r="AN242" s="18"/>
      <c r="AO242" s="18"/>
      <c r="AP242" s="18"/>
      <c r="AQ242" s="18"/>
      <c r="AR242" s="18"/>
      <c r="AS242" s="18"/>
      <c r="AT242" s="18"/>
      <c r="AU242" s="18"/>
      <c r="AV242" s="18"/>
      <c r="AW242" s="137" t="str">
        <f>AW$2</f>
        <v>Private Passenger Auto Physical Damage</v>
      </c>
      <c r="AX242" s="68"/>
      <c r="AY242" s="40"/>
      <c r="AZ242" s="18"/>
      <c r="BA242" s="18"/>
      <c r="BB242" s="18"/>
      <c r="BC242" s="18"/>
      <c r="BD242" s="18"/>
      <c r="BE242" s="18"/>
      <c r="BF242" s="18"/>
      <c r="BG242" s="18"/>
      <c r="BH242" s="18"/>
      <c r="BI242" s="137" t="str">
        <f>BI$2</f>
        <v>Private Passenger Auto Physical Damage</v>
      </c>
      <c r="BJ242" s="68"/>
      <c r="BK242" s="40"/>
      <c r="BL242" s="18"/>
      <c r="BM242" s="18"/>
      <c r="BN242" s="18"/>
      <c r="BO242" s="18"/>
      <c r="BP242" s="18"/>
      <c r="BQ242" s="18"/>
      <c r="BR242" s="18"/>
      <c r="BS242" s="18"/>
      <c r="BT242" s="18"/>
      <c r="BU242" s="137" t="str">
        <f>BU$2</f>
        <v>Private Passenger Auto Physical Damage</v>
      </c>
      <c r="BV242" s="68"/>
      <c r="BW242" s="40"/>
      <c r="BX242" s="18"/>
      <c r="BY242" s="18"/>
      <c r="BZ242" s="18"/>
      <c r="CA242" s="18"/>
      <c r="CB242" s="18"/>
      <c r="CC242" s="18"/>
      <c r="CD242" s="18"/>
      <c r="CE242" s="18"/>
      <c r="CF242" s="18"/>
      <c r="CG242" s="137" t="str">
        <f>CG$2</f>
        <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196</v>
      </c>
      <c r="B244" s="48"/>
      <c r="C244" s="18"/>
      <c r="D244" s="18"/>
      <c r="E244" s="18"/>
      <c r="F244" s="18"/>
      <c r="G244" s="18"/>
      <c r="H244" s="18"/>
      <c r="I244" s="18"/>
      <c r="J244" s="18"/>
      <c r="K244" s="18"/>
      <c r="L244" s="18"/>
      <c r="M244" s="48" t="s">
        <v>196</v>
      </c>
      <c r="N244" s="48"/>
      <c r="O244" s="18"/>
      <c r="P244" s="18"/>
      <c r="Q244" s="18"/>
      <c r="R244" s="18"/>
      <c r="S244" s="18"/>
      <c r="T244" s="18"/>
      <c r="U244" s="18"/>
      <c r="V244" s="18"/>
      <c r="W244" s="18"/>
      <c r="X244" s="18"/>
      <c r="Y244" s="48" t="s">
        <v>196</v>
      </c>
      <c r="Z244" s="48"/>
      <c r="AA244" s="18"/>
      <c r="AB244" s="18"/>
      <c r="AC244" s="18"/>
      <c r="AD244" s="18"/>
      <c r="AE244" s="18"/>
      <c r="AF244" s="18"/>
      <c r="AG244" s="18"/>
      <c r="AH244" s="18"/>
      <c r="AI244" s="18"/>
      <c r="AJ244" s="18"/>
      <c r="AK244" s="48" t="s">
        <v>196</v>
      </c>
      <c r="AL244" s="48"/>
      <c r="AM244" s="18"/>
      <c r="AN244" s="18"/>
      <c r="AO244" s="18"/>
      <c r="AP244" s="18"/>
      <c r="AQ244" s="18"/>
      <c r="AR244" s="18"/>
      <c r="AS244" s="18"/>
      <c r="AT244" s="18"/>
      <c r="AU244" s="18"/>
      <c r="AV244" s="18"/>
      <c r="AW244" s="48" t="s">
        <v>196</v>
      </c>
      <c r="AX244" s="48"/>
      <c r="AY244" s="18"/>
      <c r="AZ244" s="18"/>
      <c r="BA244" s="18"/>
      <c r="BB244" s="18"/>
      <c r="BC244" s="18"/>
      <c r="BD244" s="18"/>
      <c r="BE244" s="18"/>
      <c r="BF244" s="18"/>
      <c r="BG244" s="18"/>
      <c r="BH244" s="18"/>
      <c r="BI244" s="48" t="s">
        <v>196</v>
      </c>
      <c r="BJ244" s="48"/>
      <c r="BK244" s="18"/>
      <c r="BL244" s="18"/>
      <c r="BM244" s="18"/>
      <c r="BN244" s="18"/>
      <c r="BO244" s="18"/>
      <c r="BP244" s="18"/>
      <c r="BQ244" s="18"/>
      <c r="BR244" s="18"/>
      <c r="BS244" s="18"/>
      <c r="BT244" s="18"/>
      <c r="BU244" s="48" t="s">
        <v>196</v>
      </c>
      <c r="BV244" s="48"/>
      <c r="BW244" s="18"/>
      <c r="BX244" s="18"/>
      <c r="BY244" s="18"/>
      <c r="BZ244" s="18"/>
      <c r="CA244" s="18"/>
      <c r="CB244" s="18"/>
      <c r="CC244" s="18"/>
      <c r="CD244" s="18"/>
      <c r="CE244" s="18"/>
      <c r="CF244" s="18"/>
      <c r="CG244" s="48" t="s">
        <v>196</v>
      </c>
      <c r="CH244" s="48"/>
      <c r="CI244" s="18"/>
      <c r="CJ244" s="18"/>
      <c r="CK244" s="18"/>
      <c r="CL244" s="18"/>
      <c r="CM244" s="18"/>
      <c r="CN244" s="18"/>
      <c r="CO244" s="18"/>
      <c r="CP244" s="18"/>
      <c r="CQ244" s="18"/>
      <c r="CR244" s="18"/>
      <c r="CS244" s="48" t="s">
        <v>196</v>
      </c>
      <c r="CT244" s="48"/>
      <c r="CU244" s="18"/>
      <c r="CV244" s="18"/>
      <c r="CW244" s="18"/>
      <c r="CX244" s="18"/>
      <c r="CY244" s="18"/>
      <c r="CZ244" s="18"/>
      <c r="DA244" s="18"/>
      <c r="DB244" s="18"/>
      <c r="DC244" s="18"/>
      <c r="DD244" s="18"/>
      <c r="DE244" s="48" t="s">
        <v>196</v>
      </c>
      <c r="DF244" s="48"/>
      <c r="DG244" s="18"/>
      <c r="DH244" s="18"/>
      <c r="DI244" s="18"/>
      <c r="DJ244" s="18"/>
      <c r="DK244" s="18"/>
      <c r="DL244" s="18"/>
      <c r="DM244" s="18"/>
      <c r="DN244" s="18"/>
      <c r="DO244" s="18"/>
      <c r="DP244" s="18"/>
    </row>
    <row r="245" spans="1:120" x14ac:dyDescent="0.25">
      <c r="A245" s="138" t="str">
        <f>A$5</f>
        <v>BIPD</v>
      </c>
      <c r="B245" s="69"/>
      <c r="C245" s="18"/>
      <c r="D245" s="18"/>
      <c r="E245" s="18"/>
      <c r="F245" s="18"/>
      <c r="G245" s="18"/>
      <c r="H245" s="18"/>
      <c r="I245" s="18"/>
      <c r="J245" s="18"/>
      <c r="K245" s="18"/>
      <c r="L245" s="18"/>
      <c r="M245" s="138" t="str">
        <f>M$5</f>
        <v>MPC</v>
      </c>
      <c r="N245" s="69"/>
      <c r="O245" s="18"/>
      <c r="P245" s="18"/>
      <c r="Q245" s="18"/>
      <c r="R245" s="18"/>
      <c r="S245" s="18"/>
      <c r="T245" s="18"/>
      <c r="U245" s="18"/>
      <c r="V245" s="18"/>
      <c r="W245" s="18"/>
      <c r="X245" s="18"/>
      <c r="Y245" s="138" t="str">
        <f>Y$5</f>
        <v>UM</v>
      </c>
      <c r="Z245" s="69"/>
      <c r="AA245" s="18"/>
      <c r="AB245" s="18"/>
      <c r="AC245" s="18"/>
      <c r="AD245" s="18"/>
      <c r="AE245" s="18"/>
      <c r="AF245" s="18"/>
      <c r="AG245" s="18"/>
      <c r="AH245" s="18"/>
      <c r="AI245" s="18"/>
      <c r="AJ245" s="18"/>
      <c r="AK245" s="138" t="str">
        <f>AK$5</f>
        <v>COMP</v>
      </c>
      <c r="AL245" s="69"/>
      <c r="AM245" s="18"/>
      <c r="AN245" s="18"/>
      <c r="AO245" s="18"/>
      <c r="AP245" s="18"/>
      <c r="AQ245" s="18"/>
      <c r="AR245" s="18"/>
      <c r="AS245" s="18"/>
      <c r="AT245" s="18"/>
      <c r="AU245" s="18"/>
      <c r="AV245" s="18"/>
      <c r="AW245" s="138" t="str">
        <f>AW$5</f>
        <v>COLL</v>
      </c>
      <c r="AX245" s="69"/>
      <c r="AY245" s="18"/>
      <c r="AZ245" s="18"/>
      <c r="BA245" s="18"/>
      <c r="BB245" s="18"/>
      <c r="BC245" s="18"/>
      <c r="BD245" s="18"/>
      <c r="BE245" s="18"/>
      <c r="BF245" s="18"/>
      <c r="BG245" s="18"/>
      <c r="BH245" s="18"/>
      <c r="BI245" s="138" t="str">
        <f>BI$5</f>
        <v>Misc. Damage</v>
      </c>
      <c r="BJ245" s="69"/>
      <c r="BK245" s="18"/>
      <c r="BL245" s="18"/>
      <c r="BM245" s="18"/>
      <c r="BN245" s="18"/>
      <c r="BO245" s="18"/>
      <c r="BP245" s="18"/>
      <c r="BQ245" s="18"/>
      <c r="BR245" s="18"/>
      <c r="BS245" s="18"/>
      <c r="BT245" s="18"/>
      <c r="BU245" s="138" t="str">
        <f>BU$5</f>
        <v>Misc. Liability</v>
      </c>
      <c r="BV245" s="69"/>
      <c r="BW245" s="18"/>
      <c r="BX245" s="18"/>
      <c r="BY245" s="18"/>
      <c r="BZ245" s="18"/>
      <c r="CA245" s="18"/>
      <c r="CB245" s="18"/>
      <c r="CC245" s="18"/>
      <c r="CD245" s="18"/>
      <c r="CE245" s="18"/>
      <c r="CF245" s="18"/>
      <c r="CG245" s="138">
        <f>CG$5</f>
        <v>0</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10" t="str">
        <f>IFERROR(RIGHT('1.General'!I57,LEN('1.General'!I57)-2),"")</f>
        <v/>
      </c>
      <c r="G246" s="3"/>
      <c r="H246" s="18"/>
      <c r="I246" s="18"/>
      <c r="J246" s="18"/>
      <c r="K246" s="18"/>
      <c r="L246" s="18"/>
      <c r="M246" s="3"/>
      <c r="N246" s="3"/>
      <c r="O246" s="3"/>
      <c r="P246" s="3"/>
      <c r="Q246" s="3"/>
      <c r="R246" s="310" t="str">
        <f>F246</f>
        <v/>
      </c>
      <c r="S246" s="3"/>
      <c r="T246" s="18"/>
      <c r="U246" s="18"/>
      <c r="V246" s="18"/>
      <c r="W246" s="18"/>
      <c r="X246" s="18"/>
      <c r="Y246" s="3"/>
      <c r="Z246" s="3"/>
      <c r="AA246" s="3"/>
      <c r="AB246" s="3"/>
      <c r="AC246" s="3"/>
      <c r="AD246" s="310" t="str">
        <f>F246</f>
        <v/>
      </c>
      <c r="AE246" s="3"/>
      <c r="AF246" s="18"/>
      <c r="AG246" s="18"/>
      <c r="AH246" s="18"/>
      <c r="AI246" s="18"/>
      <c r="AJ246" s="18"/>
      <c r="AK246" s="3"/>
      <c r="AL246" s="3"/>
      <c r="AM246" s="3"/>
      <c r="AN246" s="3"/>
      <c r="AO246" s="3"/>
      <c r="AP246" s="310" t="str">
        <f>F246</f>
        <v/>
      </c>
      <c r="AQ246" s="3"/>
      <c r="AR246" s="18"/>
      <c r="AS246" s="18"/>
      <c r="AT246" s="18"/>
      <c r="AU246" s="18"/>
      <c r="AV246" s="18"/>
      <c r="AW246" s="3"/>
      <c r="AX246" s="3"/>
      <c r="AY246" s="3"/>
      <c r="AZ246" s="3"/>
      <c r="BA246" s="3"/>
      <c r="BB246" s="310" t="str">
        <f>F246</f>
        <v/>
      </c>
      <c r="BC246" s="3"/>
      <c r="BD246" s="18"/>
      <c r="BE246" s="18"/>
      <c r="BF246" s="18"/>
      <c r="BG246" s="18"/>
      <c r="BH246" s="18"/>
      <c r="BI246" s="3"/>
      <c r="BJ246" s="3"/>
      <c r="BK246" s="3"/>
      <c r="BL246" s="3"/>
      <c r="BM246" s="3"/>
      <c r="BN246" s="310" t="str">
        <f>F246</f>
        <v/>
      </c>
      <c r="BO246" s="3"/>
      <c r="BP246" s="18"/>
      <c r="BQ246" s="18"/>
      <c r="BR246" s="18"/>
      <c r="BS246" s="18"/>
      <c r="BT246" s="18"/>
      <c r="BU246" s="3"/>
      <c r="BV246" s="3"/>
      <c r="BW246" s="3"/>
      <c r="BX246" s="3"/>
      <c r="BY246" s="3"/>
      <c r="BZ246" s="310" t="str">
        <f>F246</f>
        <v/>
      </c>
      <c r="CA246" s="3"/>
      <c r="CB246" s="18"/>
      <c r="CC246" s="18"/>
      <c r="CD246" s="18"/>
      <c r="CE246" s="18"/>
      <c r="CF246" s="18"/>
      <c r="CG246" s="3"/>
      <c r="CH246" s="3"/>
      <c r="CI246" s="3"/>
      <c r="CJ246" s="3"/>
      <c r="CK246" s="3"/>
      <c r="CL246" s="310" t="str">
        <f>F246</f>
        <v/>
      </c>
      <c r="CM246" s="3"/>
      <c r="CN246" s="18"/>
      <c r="CO246" s="18"/>
      <c r="CP246" s="18"/>
      <c r="CQ246" s="18"/>
      <c r="CR246" s="18"/>
      <c r="CS246" s="3"/>
      <c r="CT246" s="3"/>
      <c r="CU246" s="3"/>
      <c r="CV246" s="3"/>
      <c r="CW246" s="3"/>
      <c r="CX246" s="310" t="str">
        <f>F246</f>
        <v/>
      </c>
      <c r="CY246" s="3"/>
      <c r="CZ246" s="18"/>
      <c r="DA246" s="18"/>
      <c r="DB246" s="18"/>
      <c r="DC246" s="18"/>
      <c r="DD246" s="18"/>
      <c r="DE246" s="3"/>
      <c r="DF246" s="3"/>
      <c r="DG246" s="3"/>
      <c r="DH246" s="3"/>
      <c r="DI246" s="3"/>
      <c r="DJ246" s="310" t="str">
        <f>F246</f>
        <v/>
      </c>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ht="30" x14ac:dyDescent="0.25">
      <c r="A248" s="92" t="str">
        <f>$A$35</f>
        <v>Fiscal Accident Year Data Ending</v>
      </c>
      <c r="B248" s="98">
        <f>$B$35</f>
        <v>3</v>
      </c>
      <c r="C248" s="98" t="str">
        <f>$C$35</f>
        <v>15</v>
      </c>
      <c r="D248" s="98">
        <f>$D$35</f>
        <v>27</v>
      </c>
      <c r="E248" s="98">
        <f>$E$35</f>
        <v>39</v>
      </c>
      <c r="F248" s="98">
        <f>$F$35</f>
        <v>51</v>
      </c>
      <c r="G248" s="98">
        <f>$G$35</f>
        <v>63</v>
      </c>
      <c r="H248" s="98">
        <f>$H$35</f>
        <v>75</v>
      </c>
      <c r="I248" s="98">
        <f>$I$35</f>
        <v>87</v>
      </c>
      <c r="J248" s="98">
        <f>$J$35</f>
        <v>99</v>
      </c>
      <c r="K248" s="98">
        <f>$K$35</f>
        <v>111</v>
      </c>
      <c r="L248" s="98">
        <f>$L$35</f>
        <v>123</v>
      </c>
      <c r="M248" s="92" t="str">
        <f>$A$35</f>
        <v>Fiscal Accident Year Data Ending</v>
      </c>
      <c r="N248" s="98">
        <f>$B$35</f>
        <v>3</v>
      </c>
      <c r="O248" s="98" t="str">
        <f>$C$35</f>
        <v>15</v>
      </c>
      <c r="P248" s="98">
        <f>$D$35</f>
        <v>27</v>
      </c>
      <c r="Q248" s="98">
        <f>$E$35</f>
        <v>39</v>
      </c>
      <c r="R248" s="98">
        <f>$F$35</f>
        <v>51</v>
      </c>
      <c r="S248" s="98">
        <f>$G$35</f>
        <v>63</v>
      </c>
      <c r="T248" s="98">
        <f>$H$35</f>
        <v>75</v>
      </c>
      <c r="U248" s="98">
        <f>$I$35</f>
        <v>87</v>
      </c>
      <c r="V248" s="98">
        <f>$J$35</f>
        <v>99</v>
      </c>
      <c r="W248" s="98">
        <f>$K$35</f>
        <v>111</v>
      </c>
      <c r="X248" s="98">
        <f>$L$35</f>
        <v>123</v>
      </c>
      <c r="Y248" s="92" t="str">
        <f>$A$35</f>
        <v>Fiscal Accident Year Data Ending</v>
      </c>
      <c r="Z248" s="98">
        <f>$B$35</f>
        <v>3</v>
      </c>
      <c r="AA248" s="98" t="str">
        <f>$C$35</f>
        <v>15</v>
      </c>
      <c r="AB248" s="98">
        <f>$D$35</f>
        <v>27</v>
      </c>
      <c r="AC248" s="98">
        <f>$E$35</f>
        <v>39</v>
      </c>
      <c r="AD248" s="98">
        <f>$F$35</f>
        <v>51</v>
      </c>
      <c r="AE248" s="98">
        <f>$G$35</f>
        <v>63</v>
      </c>
      <c r="AF248" s="98">
        <f>$H$35</f>
        <v>75</v>
      </c>
      <c r="AG248" s="98">
        <f>$I$35</f>
        <v>87</v>
      </c>
      <c r="AH248" s="98">
        <f>$J$35</f>
        <v>99</v>
      </c>
      <c r="AI248" s="98">
        <f>$K$35</f>
        <v>111</v>
      </c>
      <c r="AJ248" s="98">
        <f>$L$35</f>
        <v>123</v>
      </c>
      <c r="AK248" s="92" t="str">
        <f>$A$35</f>
        <v>Fiscal Accident Year Data Ending</v>
      </c>
      <c r="AL248" s="98">
        <f>$B$35</f>
        <v>3</v>
      </c>
      <c r="AM248" s="98" t="str">
        <f>$C$35</f>
        <v>15</v>
      </c>
      <c r="AN248" s="98">
        <f>$D$35</f>
        <v>27</v>
      </c>
      <c r="AO248" s="98">
        <f>$E$35</f>
        <v>39</v>
      </c>
      <c r="AP248" s="98">
        <f>$F$35</f>
        <v>51</v>
      </c>
      <c r="AQ248" s="98">
        <f>$G$35</f>
        <v>63</v>
      </c>
      <c r="AR248" s="98">
        <f>$H$35</f>
        <v>75</v>
      </c>
      <c r="AS248" s="98">
        <f>$I$35</f>
        <v>87</v>
      </c>
      <c r="AT248" s="98">
        <f>$J$35</f>
        <v>99</v>
      </c>
      <c r="AU248" s="98">
        <f>$K$35</f>
        <v>111</v>
      </c>
      <c r="AV248" s="98">
        <f>$L$35</f>
        <v>123</v>
      </c>
      <c r="AW248" s="92" t="str">
        <f>$A$35</f>
        <v>Fiscal Accident Year Data Ending</v>
      </c>
      <c r="AX248" s="98">
        <f>$B$35</f>
        <v>3</v>
      </c>
      <c r="AY248" s="98" t="str">
        <f>$C$35</f>
        <v>15</v>
      </c>
      <c r="AZ248" s="98">
        <f>$D$35</f>
        <v>27</v>
      </c>
      <c r="BA248" s="98">
        <f>$E$35</f>
        <v>39</v>
      </c>
      <c r="BB248" s="98">
        <f>$F$35</f>
        <v>51</v>
      </c>
      <c r="BC248" s="98">
        <f>$G$35</f>
        <v>63</v>
      </c>
      <c r="BD248" s="98">
        <f>$H$35</f>
        <v>75</v>
      </c>
      <c r="BE248" s="98">
        <f>$I$35</f>
        <v>87</v>
      </c>
      <c r="BF248" s="98">
        <f>$J$35</f>
        <v>99</v>
      </c>
      <c r="BG248" s="98">
        <f>$K$35</f>
        <v>111</v>
      </c>
      <c r="BH248" s="98">
        <f>$L$35</f>
        <v>123</v>
      </c>
      <c r="BI248" s="92" t="str">
        <f>$A$35</f>
        <v>Fiscal Accident Year Data Ending</v>
      </c>
      <c r="BJ248" s="98">
        <f>$B$35</f>
        <v>3</v>
      </c>
      <c r="BK248" s="98" t="str">
        <f>$C$35</f>
        <v>15</v>
      </c>
      <c r="BL248" s="98">
        <f>$D$35</f>
        <v>27</v>
      </c>
      <c r="BM248" s="98">
        <f>$E$35</f>
        <v>39</v>
      </c>
      <c r="BN248" s="98">
        <f>$F$35</f>
        <v>51</v>
      </c>
      <c r="BO248" s="98">
        <f>$G$35</f>
        <v>63</v>
      </c>
      <c r="BP248" s="98">
        <f>$H$35</f>
        <v>75</v>
      </c>
      <c r="BQ248" s="98">
        <f>$I$35</f>
        <v>87</v>
      </c>
      <c r="BR248" s="98">
        <f>$J$35</f>
        <v>99</v>
      </c>
      <c r="BS248" s="98">
        <f>$K$35</f>
        <v>111</v>
      </c>
      <c r="BT248" s="98">
        <f>$L$35</f>
        <v>123</v>
      </c>
      <c r="BU248" s="92" t="str">
        <f>$A$35</f>
        <v>Fiscal Accident Year Data Ending</v>
      </c>
      <c r="BV248" s="98">
        <f>$B$35</f>
        <v>3</v>
      </c>
      <c r="BW248" s="98" t="str">
        <f>$C$35</f>
        <v>15</v>
      </c>
      <c r="BX248" s="98">
        <f>$D$35</f>
        <v>27</v>
      </c>
      <c r="BY248" s="98">
        <f>$E$35</f>
        <v>39</v>
      </c>
      <c r="BZ248" s="98">
        <f>$F$35</f>
        <v>51</v>
      </c>
      <c r="CA248" s="98">
        <f>$G$35</f>
        <v>63</v>
      </c>
      <c r="CB248" s="98">
        <f>$H$35</f>
        <v>75</v>
      </c>
      <c r="CC248" s="98">
        <f>$I$35</f>
        <v>87</v>
      </c>
      <c r="CD248" s="98">
        <f>$J$35</f>
        <v>99</v>
      </c>
      <c r="CE248" s="98">
        <f>$K$35</f>
        <v>111</v>
      </c>
      <c r="CF248" s="98">
        <f>$L$35</f>
        <v>123</v>
      </c>
      <c r="CG248" s="92" t="str">
        <f>$A$35</f>
        <v>Fiscal Accident Year Data Ending</v>
      </c>
      <c r="CH248" s="98">
        <f>$B$35</f>
        <v>3</v>
      </c>
      <c r="CI248" s="98" t="str">
        <f>$C$35</f>
        <v>15</v>
      </c>
      <c r="CJ248" s="98">
        <f>$D$35</f>
        <v>27</v>
      </c>
      <c r="CK248" s="98">
        <f>$E$35</f>
        <v>39</v>
      </c>
      <c r="CL248" s="98">
        <f>$F$35</f>
        <v>51</v>
      </c>
      <c r="CM248" s="98">
        <f>$G$35</f>
        <v>63</v>
      </c>
      <c r="CN248" s="98">
        <f>$H$35</f>
        <v>75</v>
      </c>
      <c r="CO248" s="98">
        <f>$I$35</f>
        <v>87</v>
      </c>
      <c r="CP248" s="98">
        <f>$J$35</f>
        <v>99</v>
      </c>
      <c r="CQ248" s="98">
        <f>$K$35</f>
        <v>111</v>
      </c>
      <c r="CR248" s="98">
        <f>$L$35</f>
        <v>123</v>
      </c>
      <c r="CS248" s="92" t="str">
        <f>$A$35</f>
        <v>Fiscal Accident Year Data Ending</v>
      </c>
      <c r="CT248" s="98">
        <f>$B$35</f>
        <v>3</v>
      </c>
      <c r="CU248" s="98" t="str">
        <f>$C$35</f>
        <v>15</v>
      </c>
      <c r="CV248" s="98">
        <f>$D$35</f>
        <v>27</v>
      </c>
      <c r="CW248" s="98">
        <f>$E$35</f>
        <v>39</v>
      </c>
      <c r="CX248" s="98">
        <f>$F$35</f>
        <v>51</v>
      </c>
      <c r="CY248" s="98">
        <f>$G$35</f>
        <v>63</v>
      </c>
      <c r="CZ248" s="98">
        <f>$H$35</f>
        <v>75</v>
      </c>
      <c r="DA248" s="98">
        <f>$I$35</f>
        <v>87</v>
      </c>
      <c r="DB248" s="98">
        <f>$J$35</f>
        <v>99</v>
      </c>
      <c r="DC248" s="98">
        <f>$K$35</f>
        <v>111</v>
      </c>
      <c r="DD248" s="98">
        <f>$L$35</f>
        <v>123</v>
      </c>
      <c r="DE248" s="92" t="str">
        <f>$A$35</f>
        <v>Fiscal Accident Year Data Ending</v>
      </c>
      <c r="DF248" s="98">
        <f>$B$35</f>
        <v>3</v>
      </c>
      <c r="DG248" s="98" t="str">
        <f>$C$35</f>
        <v>15</v>
      </c>
      <c r="DH248" s="98">
        <f>$D$35</f>
        <v>27</v>
      </c>
      <c r="DI248" s="98">
        <f>$E$35</f>
        <v>39</v>
      </c>
      <c r="DJ248" s="98">
        <f>$F$35</f>
        <v>51</v>
      </c>
      <c r="DK248" s="98">
        <f>$G$35</f>
        <v>63</v>
      </c>
      <c r="DL248" s="98">
        <f>$H$35</f>
        <v>75</v>
      </c>
      <c r="DM248" s="98">
        <f>$I$35</f>
        <v>87</v>
      </c>
      <c r="DN248" s="98">
        <f>$J$35</f>
        <v>99</v>
      </c>
      <c r="DO248" s="98">
        <f>$K$35</f>
        <v>111</v>
      </c>
      <c r="DP248" s="98">
        <f>$L$35</f>
        <v>123</v>
      </c>
    </row>
    <row r="249" spans="1:120" ht="15" customHeight="1" x14ac:dyDescent="0.25">
      <c r="A249" s="31">
        <f>$A$36</f>
        <v>20133</v>
      </c>
      <c r="B249" s="21"/>
      <c r="C249" s="21"/>
      <c r="D249" s="21"/>
      <c r="E249" s="21"/>
      <c r="F249" s="21"/>
      <c r="G249" s="21"/>
      <c r="H249" s="21"/>
      <c r="I249" s="21"/>
      <c r="J249" s="21"/>
      <c r="K249" s="21"/>
      <c r="L249" s="21"/>
      <c r="M249" s="31">
        <f>$A$36</f>
        <v>20133</v>
      </c>
      <c r="N249" s="21"/>
      <c r="O249" s="21"/>
      <c r="P249" s="21"/>
      <c r="Q249" s="21"/>
      <c r="R249" s="21"/>
      <c r="S249" s="21"/>
      <c r="T249" s="21"/>
      <c r="U249" s="21"/>
      <c r="V249" s="21"/>
      <c r="W249" s="21"/>
      <c r="X249" s="21"/>
      <c r="Y249" s="31">
        <f>$A$36</f>
        <v>20133</v>
      </c>
      <c r="Z249" s="21"/>
      <c r="AA249" s="21"/>
      <c r="AB249" s="21"/>
      <c r="AC249" s="21"/>
      <c r="AD249" s="21"/>
      <c r="AE249" s="21"/>
      <c r="AF249" s="21"/>
      <c r="AG249" s="21"/>
      <c r="AH249" s="21"/>
      <c r="AI249" s="21"/>
      <c r="AJ249" s="21"/>
      <c r="AK249" s="31">
        <f>$A$36</f>
        <v>20133</v>
      </c>
      <c r="AL249" s="21"/>
      <c r="AM249" s="21"/>
      <c r="AN249" s="21"/>
      <c r="AO249" s="21"/>
      <c r="AP249" s="21"/>
      <c r="AQ249" s="21"/>
      <c r="AR249" s="21"/>
      <c r="AS249" s="21"/>
      <c r="AT249" s="21"/>
      <c r="AU249" s="21"/>
      <c r="AV249" s="21"/>
      <c r="AW249" s="31">
        <f>$A$36</f>
        <v>20133</v>
      </c>
      <c r="AX249" s="21"/>
      <c r="AY249" s="21"/>
      <c r="AZ249" s="21"/>
      <c r="BA249" s="21"/>
      <c r="BB249" s="21"/>
      <c r="BC249" s="21"/>
      <c r="BD249" s="21"/>
      <c r="BE249" s="21"/>
      <c r="BF249" s="21"/>
      <c r="BG249" s="21"/>
      <c r="BH249" s="21"/>
      <c r="BI249" s="31">
        <f>$A$36</f>
        <v>20133</v>
      </c>
      <c r="BJ249" s="21"/>
      <c r="BK249" s="21"/>
      <c r="BL249" s="21"/>
      <c r="BM249" s="21"/>
      <c r="BN249" s="21"/>
      <c r="BO249" s="21"/>
      <c r="BP249" s="21"/>
      <c r="BQ249" s="21"/>
      <c r="BR249" s="21"/>
      <c r="BS249" s="21"/>
      <c r="BT249" s="21"/>
      <c r="BU249" s="31">
        <f>$A$36</f>
        <v>20133</v>
      </c>
      <c r="BV249" s="21"/>
      <c r="BW249" s="21"/>
      <c r="BX249" s="21"/>
      <c r="BY249" s="21"/>
      <c r="BZ249" s="21"/>
      <c r="CA249" s="21"/>
      <c r="CB249" s="21"/>
      <c r="CC249" s="21"/>
      <c r="CD249" s="21"/>
      <c r="CE249" s="21"/>
      <c r="CF249" s="21"/>
      <c r="CG249" s="31">
        <f>$A$36</f>
        <v>20133</v>
      </c>
      <c r="CH249" s="21"/>
      <c r="CI249" s="21"/>
      <c r="CJ249" s="21"/>
      <c r="CK249" s="21"/>
      <c r="CL249" s="21"/>
      <c r="CM249" s="21"/>
      <c r="CN249" s="21"/>
      <c r="CO249" s="21"/>
      <c r="CP249" s="21"/>
      <c r="CQ249" s="21"/>
      <c r="CR249" s="21"/>
      <c r="CS249" s="31">
        <f>$A$36</f>
        <v>20133</v>
      </c>
      <c r="CT249" s="21"/>
      <c r="CU249" s="21"/>
      <c r="CV249" s="21"/>
      <c r="CW249" s="21"/>
      <c r="CX249" s="21"/>
      <c r="CY249" s="21"/>
      <c r="CZ249" s="21"/>
      <c r="DA249" s="21"/>
      <c r="DB249" s="21"/>
      <c r="DC249" s="21"/>
      <c r="DD249" s="21"/>
      <c r="DE249" s="31">
        <f>$A$36</f>
        <v>20133</v>
      </c>
      <c r="DF249" s="21"/>
      <c r="DG249" s="21"/>
      <c r="DH249" s="21"/>
      <c r="DI249" s="21"/>
      <c r="DJ249" s="21"/>
      <c r="DK249" s="21"/>
      <c r="DL249" s="21"/>
      <c r="DM249" s="21"/>
      <c r="DN249" s="21"/>
      <c r="DO249" s="21"/>
      <c r="DP249" s="21"/>
    </row>
    <row r="250" spans="1:120" ht="15" customHeight="1" x14ac:dyDescent="0.25">
      <c r="A250" s="31">
        <f>$A$37</f>
        <v>20143</v>
      </c>
      <c r="B250" s="21"/>
      <c r="C250" s="21"/>
      <c r="D250" s="21"/>
      <c r="E250" s="21"/>
      <c r="F250" s="21"/>
      <c r="G250" s="21"/>
      <c r="H250" s="21"/>
      <c r="I250" s="21"/>
      <c r="J250" s="21"/>
      <c r="K250" s="21"/>
      <c r="L250" s="134"/>
      <c r="M250" s="31">
        <f>$A$37</f>
        <v>20143</v>
      </c>
      <c r="N250" s="21"/>
      <c r="O250" s="21"/>
      <c r="P250" s="21"/>
      <c r="Q250" s="21"/>
      <c r="R250" s="21"/>
      <c r="S250" s="21"/>
      <c r="T250" s="21"/>
      <c r="U250" s="21"/>
      <c r="V250" s="21"/>
      <c r="W250" s="21"/>
      <c r="X250" s="134"/>
      <c r="Y250" s="31">
        <f>$A$37</f>
        <v>20143</v>
      </c>
      <c r="Z250" s="21"/>
      <c r="AA250" s="21"/>
      <c r="AB250" s="21"/>
      <c r="AC250" s="21"/>
      <c r="AD250" s="21"/>
      <c r="AE250" s="21"/>
      <c r="AF250" s="21"/>
      <c r="AG250" s="21"/>
      <c r="AH250" s="21"/>
      <c r="AI250" s="21"/>
      <c r="AJ250" s="134"/>
      <c r="AK250" s="31">
        <f>$A$37</f>
        <v>20143</v>
      </c>
      <c r="AL250" s="21"/>
      <c r="AM250" s="21"/>
      <c r="AN250" s="21"/>
      <c r="AO250" s="21"/>
      <c r="AP250" s="21"/>
      <c r="AQ250" s="21"/>
      <c r="AR250" s="21"/>
      <c r="AS250" s="21"/>
      <c r="AT250" s="21"/>
      <c r="AU250" s="21"/>
      <c r="AV250" s="134"/>
      <c r="AW250" s="31">
        <f>$A$37</f>
        <v>20143</v>
      </c>
      <c r="AX250" s="21"/>
      <c r="AY250" s="21"/>
      <c r="AZ250" s="21"/>
      <c r="BA250" s="21"/>
      <c r="BB250" s="21"/>
      <c r="BC250" s="21"/>
      <c r="BD250" s="21"/>
      <c r="BE250" s="21"/>
      <c r="BF250" s="21"/>
      <c r="BG250" s="21"/>
      <c r="BH250" s="134"/>
      <c r="BI250" s="31">
        <f>$A$37</f>
        <v>20143</v>
      </c>
      <c r="BJ250" s="21"/>
      <c r="BK250" s="21"/>
      <c r="BL250" s="21"/>
      <c r="BM250" s="21"/>
      <c r="BN250" s="21"/>
      <c r="BO250" s="21"/>
      <c r="BP250" s="21"/>
      <c r="BQ250" s="21"/>
      <c r="BR250" s="21"/>
      <c r="BS250" s="21"/>
      <c r="BT250" s="134"/>
      <c r="BU250" s="31">
        <f>$A$37</f>
        <v>20143</v>
      </c>
      <c r="BV250" s="21"/>
      <c r="BW250" s="21"/>
      <c r="BX250" s="21"/>
      <c r="BY250" s="21"/>
      <c r="BZ250" s="21"/>
      <c r="CA250" s="21"/>
      <c r="CB250" s="21"/>
      <c r="CC250" s="21"/>
      <c r="CD250" s="21"/>
      <c r="CE250" s="21"/>
      <c r="CF250" s="134"/>
      <c r="CG250" s="31">
        <f>$A$37</f>
        <v>20143</v>
      </c>
      <c r="CH250" s="21"/>
      <c r="CI250" s="21"/>
      <c r="CJ250" s="21"/>
      <c r="CK250" s="21"/>
      <c r="CL250" s="21"/>
      <c r="CM250" s="21"/>
      <c r="CN250" s="21"/>
      <c r="CO250" s="21"/>
      <c r="CP250" s="21"/>
      <c r="CQ250" s="21"/>
      <c r="CR250" s="134"/>
      <c r="CS250" s="31">
        <f>$A$37</f>
        <v>20143</v>
      </c>
      <c r="CT250" s="21"/>
      <c r="CU250" s="21"/>
      <c r="CV250" s="21"/>
      <c r="CW250" s="21"/>
      <c r="CX250" s="21"/>
      <c r="CY250" s="21"/>
      <c r="CZ250" s="21"/>
      <c r="DA250" s="21"/>
      <c r="DB250" s="21"/>
      <c r="DC250" s="21"/>
      <c r="DD250" s="134"/>
      <c r="DE250" s="31">
        <f>$A$37</f>
        <v>20143</v>
      </c>
      <c r="DF250" s="21"/>
      <c r="DG250" s="21"/>
      <c r="DH250" s="21"/>
      <c r="DI250" s="21"/>
      <c r="DJ250" s="21"/>
      <c r="DK250" s="21"/>
      <c r="DL250" s="21"/>
      <c r="DM250" s="21"/>
      <c r="DN250" s="21"/>
      <c r="DO250" s="21"/>
      <c r="DP250" s="134"/>
    </row>
    <row r="251" spans="1:120" ht="15" customHeight="1" x14ac:dyDescent="0.25">
      <c r="A251" s="31">
        <f>$A$38</f>
        <v>20153</v>
      </c>
      <c r="B251" s="21"/>
      <c r="C251" s="21"/>
      <c r="D251" s="21"/>
      <c r="E251" s="21"/>
      <c r="F251" s="21"/>
      <c r="G251" s="21"/>
      <c r="H251" s="21"/>
      <c r="I251" s="21"/>
      <c r="J251" s="21"/>
      <c r="K251" s="134"/>
      <c r="L251" s="134"/>
      <c r="M251" s="31">
        <f>$A$38</f>
        <v>20153</v>
      </c>
      <c r="N251" s="21"/>
      <c r="O251" s="21"/>
      <c r="P251" s="21"/>
      <c r="Q251" s="21"/>
      <c r="R251" s="21"/>
      <c r="S251" s="21"/>
      <c r="T251" s="21"/>
      <c r="U251" s="21"/>
      <c r="V251" s="21"/>
      <c r="W251" s="134"/>
      <c r="X251" s="134"/>
      <c r="Y251" s="31">
        <f>$A$38</f>
        <v>20153</v>
      </c>
      <c r="Z251" s="21"/>
      <c r="AA251" s="21"/>
      <c r="AB251" s="21"/>
      <c r="AC251" s="21"/>
      <c r="AD251" s="21"/>
      <c r="AE251" s="21"/>
      <c r="AF251" s="21"/>
      <c r="AG251" s="21"/>
      <c r="AH251" s="21"/>
      <c r="AI251" s="134"/>
      <c r="AJ251" s="134"/>
      <c r="AK251" s="31">
        <f>$A$38</f>
        <v>20153</v>
      </c>
      <c r="AL251" s="21"/>
      <c r="AM251" s="21"/>
      <c r="AN251" s="21"/>
      <c r="AO251" s="21"/>
      <c r="AP251" s="21"/>
      <c r="AQ251" s="21"/>
      <c r="AR251" s="21"/>
      <c r="AS251" s="21"/>
      <c r="AT251" s="21"/>
      <c r="AU251" s="134"/>
      <c r="AV251" s="134"/>
      <c r="AW251" s="31">
        <f>$A$38</f>
        <v>20153</v>
      </c>
      <c r="AX251" s="21"/>
      <c r="AY251" s="21"/>
      <c r="AZ251" s="21"/>
      <c r="BA251" s="21"/>
      <c r="BB251" s="21"/>
      <c r="BC251" s="21"/>
      <c r="BD251" s="21"/>
      <c r="BE251" s="21"/>
      <c r="BF251" s="21"/>
      <c r="BG251" s="134"/>
      <c r="BH251" s="134"/>
      <c r="BI251" s="31">
        <f>$A$38</f>
        <v>20153</v>
      </c>
      <c r="BJ251" s="21"/>
      <c r="BK251" s="21"/>
      <c r="BL251" s="21"/>
      <c r="BM251" s="21"/>
      <c r="BN251" s="21"/>
      <c r="BO251" s="21"/>
      <c r="BP251" s="21"/>
      <c r="BQ251" s="21"/>
      <c r="BR251" s="21"/>
      <c r="BS251" s="134"/>
      <c r="BT251" s="134"/>
      <c r="BU251" s="31">
        <f>$A$38</f>
        <v>20153</v>
      </c>
      <c r="BV251" s="21"/>
      <c r="BW251" s="21"/>
      <c r="BX251" s="21"/>
      <c r="BY251" s="21"/>
      <c r="BZ251" s="21"/>
      <c r="CA251" s="21"/>
      <c r="CB251" s="21"/>
      <c r="CC251" s="21"/>
      <c r="CD251" s="21"/>
      <c r="CE251" s="134"/>
      <c r="CF251" s="134"/>
      <c r="CG251" s="31">
        <f>$A$38</f>
        <v>20153</v>
      </c>
      <c r="CH251" s="21"/>
      <c r="CI251" s="21"/>
      <c r="CJ251" s="21"/>
      <c r="CK251" s="21"/>
      <c r="CL251" s="21"/>
      <c r="CM251" s="21"/>
      <c r="CN251" s="21"/>
      <c r="CO251" s="21"/>
      <c r="CP251" s="21"/>
      <c r="CQ251" s="134"/>
      <c r="CR251" s="134"/>
      <c r="CS251" s="31">
        <f>$A$38</f>
        <v>20153</v>
      </c>
      <c r="CT251" s="21"/>
      <c r="CU251" s="21"/>
      <c r="CV251" s="21"/>
      <c r="CW251" s="21"/>
      <c r="CX251" s="21"/>
      <c r="CY251" s="21"/>
      <c r="CZ251" s="21"/>
      <c r="DA251" s="21"/>
      <c r="DB251" s="21"/>
      <c r="DC251" s="134"/>
      <c r="DD251" s="134"/>
      <c r="DE251" s="31">
        <f>$A$38</f>
        <v>20153</v>
      </c>
      <c r="DF251" s="21"/>
      <c r="DG251" s="21"/>
      <c r="DH251" s="21"/>
      <c r="DI251" s="21"/>
      <c r="DJ251" s="21"/>
      <c r="DK251" s="21"/>
      <c r="DL251" s="21"/>
      <c r="DM251" s="21"/>
      <c r="DN251" s="21"/>
      <c r="DO251" s="134"/>
      <c r="DP251" s="134"/>
    </row>
    <row r="252" spans="1:120" ht="15" customHeight="1" x14ac:dyDescent="0.25">
      <c r="A252" s="31">
        <f>$A$39</f>
        <v>20163</v>
      </c>
      <c r="B252" s="21"/>
      <c r="C252" s="21"/>
      <c r="D252" s="21"/>
      <c r="E252" s="21"/>
      <c r="F252" s="21"/>
      <c r="G252" s="21"/>
      <c r="H252" s="21"/>
      <c r="I252" s="21"/>
      <c r="J252" s="134"/>
      <c r="K252" s="134"/>
      <c r="L252" s="134"/>
      <c r="M252" s="31">
        <f>$A$39</f>
        <v>20163</v>
      </c>
      <c r="N252" s="21"/>
      <c r="O252" s="21"/>
      <c r="P252" s="21"/>
      <c r="Q252" s="21"/>
      <c r="R252" s="21"/>
      <c r="S252" s="21"/>
      <c r="T252" s="21"/>
      <c r="U252" s="21"/>
      <c r="V252" s="134"/>
      <c r="W252" s="134"/>
      <c r="X252" s="134"/>
      <c r="Y252" s="31">
        <f>$A$39</f>
        <v>20163</v>
      </c>
      <c r="Z252" s="21"/>
      <c r="AA252" s="21"/>
      <c r="AB252" s="21"/>
      <c r="AC252" s="21"/>
      <c r="AD252" s="21"/>
      <c r="AE252" s="21"/>
      <c r="AF252" s="21"/>
      <c r="AG252" s="21"/>
      <c r="AH252" s="134"/>
      <c r="AI252" s="134"/>
      <c r="AJ252" s="134"/>
      <c r="AK252" s="31">
        <f>$A$39</f>
        <v>20163</v>
      </c>
      <c r="AL252" s="21"/>
      <c r="AM252" s="21"/>
      <c r="AN252" s="21"/>
      <c r="AO252" s="21"/>
      <c r="AP252" s="21"/>
      <c r="AQ252" s="21"/>
      <c r="AR252" s="21"/>
      <c r="AS252" s="21"/>
      <c r="AT252" s="134"/>
      <c r="AU252" s="134"/>
      <c r="AV252" s="134"/>
      <c r="AW252" s="31">
        <f>$A$39</f>
        <v>20163</v>
      </c>
      <c r="AX252" s="21"/>
      <c r="AY252" s="21"/>
      <c r="AZ252" s="21"/>
      <c r="BA252" s="21"/>
      <c r="BB252" s="21"/>
      <c r="BC252" s="21"/>
      <c r="BD252" s="21"/>
      <c r="BE252" s="21"/>
      <c r="BF252" s="134"/>
      <c r="BG252" s="134"/>
      <c r="BH252" s="134"/>
      <c r="BI252" s="31">
        <f>$A$39</f>
        <v>20163</v>
      </c>
      <c r="BJ252" s="21"/>
      <c r="BK252" s="21"/>
      <c r="BL252" s="21"/>
      <c r="BM252" s="21"/>
      <c r="BN252" s="21"/>
      <c r="BO252" s="21"/>
      <c r="BP252" s="21"/>
      <c r="BQ252" s="21"/>
      <c r="BR252" s="134"/>
      <c r="BS252" s="134"/>
      <c r="BT252" s="134"/>
      <c r="BU252" s="31">
        <f>$A$39</f>
        <v>20163</v>
      </c>
      <c r="BV252" s="21"/>
      <c r="BW252" s="21"/>
      <c r="BX252" s="21"/>
      <c r="BY252" s="21"/>
      <c r="BZ252" s="21"/>
      <c r="CA252" s="21"/>
      <c r="CB252" s="21"/>
      <c r="CC252" s="21"/>
      <c r="CD252" s="134"/>
      <c r="CE252" s="134"/>
      <c r="CF252" s="134"/>
      <c r="CG252" s="31">
        <f>$A$39</f>
        <v>20163</v>
      </c>
      <c r="CH252" s="21"/>
      <c r="CI252" s="21"/>
      <c r="CJ252" s="21"/>
      <c r="CK252" s="21"/>
      <c r="CL252" s="21"/>
      <c r="CM252" s="21"/>
      <c r="CN252" s="21"/>
      <c r="CO252" s="21"/>
      <c r="CP252" s="134"/>
      <c r="CQ252" s="134"/>
      <c r="CR252" s="134"/>
      <c r="CS252" s="31">
        <f>$A$39</f>
        <v>20163</v>
      </c>
      <c r="CT252" s="21"/>
      <c r="CU252" s="21"/>
      <c r="CV252" s="21"/>
      <c r="CW252" s="21"/>
      <c r="CX252" s="21"/>
      <c r="CY252" s="21"/>
      <c r="CZ252" s="21"/>
      <c r="DA252" s="21"/>
      <c r="DB252" s="134"/>
      <c r="DC252" s="134"/>
      <c r="DD252" s="134"/>
      <c r="DE252" s="31">
        <f>$A$39</f>
        <v>20163</v>
      </c>
      <c r="DF252" s="21"/>
      <c r="DG252" s="21"/>
      <c r="DH252" s="21"/>
      <c r="DI252" s="21"/>
      <c r="DJ252" s="21"/>
      <c r="DK252" s="21"/>
      <c r="DL252" s="21"/>
      <c r="DM252" s="21"/>
      <c r="DN252" s="134"/>
      <c r="DO252" s="134"/>
      <c r="DP252" s="134"/>
    </row>
    <row r="253" spans="1:120" ht="15" customHeight="1" x14ac:dyDescent="0.25">
      <c r="A253" s="31">
        <f>$A$40</f>
        <v>20173</v>
      </c>
      <c r="B253" s="21"/>
      <c r="C253" s="21"/>
      <c r="D253" s="21"/>
      <c r="E253" s="21"/>
      <c r="F253" s="21"/>
      <c r="G253" s="21"/>
      <c r="H253" s="21"/>
      <c r="I253" s="134"/>
      <c r="J253" s="134"/>
      <c r="K253" s="134"/>
      <c r="L253" s="134"/>
      <c r="M253" s="31">
        <f>$A$40</f>
        <v>20173</v>
      </c>
      <c r="N253" s="21"/>
      <c r="O253" s="21"/>
      <c r="P253" s="21"/>
      <c r="Q253" s="21"/>
      <c r="R253" s="21"/>
      <c r="S253" s="21"/>
      <c r="T253" s="21"/>
      <c r="U253" s="134"/>
      <c r="V253" s="134"/>
      <c r="W253" s="134"/>
      <c r="X253" s="134"/>
      <c r="Y253" s="31">
        <f>$A$40</f>
        <v>20173</v>
      </c>
      <c r="Z253" s="21"/>
      <c r="AA253" s="21"/>
      <c r="AB253" s="21"/>
      <c r="AC253" s="21"/>
      <c r="AD253" s="21"/>
      <c r="AE253" s="21"/>
      <c r="AF253" s="21"/>
      <c r="AG253" s="134"/>
      <c r="AH253" s="134"/>
      <c r="AI253" s="134"/>
      <c r="AJ253" s="134"/>
      <c r="AK253" s="31">
        <f>$A$40</f>
        <v>20173</v>
      </c>
      <c r="AL253" s="21"/>
      <c r="AM253" s="21"/>
      <c r="AN253" s="21"/>
      <c r="AO253" s="21"/>
      <c r="AP253" s="21"/>
      <c r="AQ253" s="21"/>
      <c r="AR253" s="21"/>
      <c r="AS253" s="134"/>
      <c r="AT253" s="134"/>
      <c r="AU253" s="134"/>
      <c r="AV253" s="134"/>
      <c r="AW253" s="31">
        <f>$A$40</f>
        <v>20173</v>
      </c>
      <c r="AX253" s="21"/>
      <c r="AY253" s="21"/>
      <c r="AZ253" s="21"/>
      <c r="BA253" s="21"/>
      <c r="BB253" s="21"/>
      <c r="BC253" s="21"/>
      <c r="BD253" s="21"/>
      <c r="BE253" s="134"/>
      <c r="BF253" s="134"/>
      <c r="BG253" s="134"/>
      <c r="BH253" s="134"/>
      <c r="BI253" s="31">
        <f>$A$40</f>
        <v>20173</v>
      </c>
      <c r="BJ253" s="21"/>
      <c r="BK253" s="21"/>
      <c r="BL253" s="21"/>
      <c r="BM253" s="21"/>
      <c r="BN253" s="21"/>
      <c r="BO253" s="21"/>
      <c r="BP253" s="21"/>
      <c r="BQ253" s="134"/>
      <c r="BR253" s="134"/>
      <c r="BS253" s="134"/>
      <c r="BT253" s="134"/>
      <c r="BU253" s="31">
        <f>$A$40</f>
        <v>20173</v>
      </c>
      <c r="BV253" s="21"/>
      <c r="BW253" s="21"/>
      <c r="BX253" s="21"/>
      <c r="BY253" s="21"/>
      <c r="BZ253" s="21"/>
      <c r="CA253" s="21"/>
      <c r="CB253" s="21"/>
      <c r="CC253" s="134"/>
      <c r="CD253" s="134"/>
      <c r="CE253" s="134"/>
      <c r="CF253" s="134"/>
      <c r="CG253" s="31">
        <f>$A$40</f>
        <v>20173</v>
      </c>
      <c r="CH253" s="21"/>
      <c r="CI253" s="21"/>
      <c r="CJ253" s="21"/>
      <c r="CK253" s="21"/>
      <c r="CL253" s="21"/>
      <c r="CM253" s="21"/>
      <c r="CN253" s="21"/>
      <c r="CO253" s="134"/>
      <c r="CP253" s="134"/>
      <c r="CQ253" s="134"/>
      <c r="CR253" s="134"/>
      <c r="CS253" s="31">
        <f>$A$40</f>
        <v>20173</v>
      </c>
      <c r="CT253" s="21"/>
      <c r="CU253" s="21"/>
      <c r="CV253" s="21"/>
      <c r="CW253" s="21"/>
      <c r="CX253" s="21"/>
      <c r="CY253" s="21"/>
      <c r="CZ253" s="21"/>
      <c r="DA253" s="134"/>
      <c r="DB253" s="134"/>
      <c r="DC253" s="134"/>
      <c r="DD253" s="134"/>
      <c r="DE253" s="31">
        <f>$A$40</f>
        <v>20173</v>
      </c>
      <c r="DF253" s="21"/>
      <c r="DG253" s="21"/>
      <c r="DH253" s="21"/>
      <c r="DI253" s="21"/>
      <c r="DJ253" s="21"/>
      <c r="DK253" s="21"/>
      <c r="DL253" s="21"/>
      <c r="DM253" s="134"/>
      <c r="DN253" s="134"/>
      <c r="DO253" s="134"/>
      <c r="DP253" s="134"/>
    </row>
    <row r="254" spans="1:120" ht="15" customHeight="1" x14ac:dyDescent="0.25">
      <c r="A254" s="31">
        <f>$A$41</f>
        <v>20183</v>
      </c>
      <c r="B254" s="21"/>
      <c r="C254" s="21"/>
      <c r="D254" s="21"/>
      <c r="E254" s="21"/>
      <c r="F254" s="21"/>
      <c r="G254" s="21"/>
      <c r="H254" s="134"/>
      <c r="I254" s="134"/>
      <c r="J254" s="134"/>
      <c r="K254" s="134"/>
      <c r="L254" s="134"/>
      <c r="M254" s="31">
        <f>$A$41</f>
        <v>20183</v>
      </c>
      <c r="N254" s="21"/>
      <c r="O254" s="21"/>
      <c r="P254" s="21"/>
      <c r="Q254" s="21"/>
      <c r="R254" s="21"/>
      <c r="S254" s="21"/>
      <c r="T254" s="134"/>
      <c r="U254" s="134"/>
      <c r="V254" s="134"/>
      <c r="W254" s="134"/>
      <c r="X254" s="134"/>
      <c r="Y254" s="31">
        <f>$A$41</f>
        <v>20183</v>
      </c>
      <c r="Z254" s="21"/>
      <c r="AA254" s="21"/>
      <c r="AB254" s="21"/>
      <c r="AC254" s="21"/>
      <c r="AD254" s="21"/>
      <c r="AE254" s="21"/>
      <c r="AF254" s="134"/>
      <c r="AG254" s="134"/>
      <c r="AH254" s="134"/>
      <c r="AI254" s="134"/>
      <c r="AJ254" s="134"/>
      <c r="AK254" s="31">
        <f>$A$41</f>
        <v>20183</v>
      </c>
      <c r="AL254" s="21"/>
      <c r="AM254" s="21"/>
      <c r="AN254" s="21"/>
      <c r="AO254" s="21"/>
      <c r="AP254" s="21"/>
      <c r="AQ254" s="21"/>
      <c r="AR254" s="134"/>
      <c r="AS254" s="134"/>
      <c r="AT254" s="134"/>
      <c r="AU254" s="134"/>
      <c r="AV254" s="134"/>
      <c r="AW254" s="31">
        <f>$A$41</f>
        <v>20183</v>
      </c>
      <c r="AX254" s="21"/>
      <c r="AY254" s="21"/>
      <c r="AZ254" s="21"/>
      <c r="BA254" s="21"/>
      <c r="BB254" s="21"/>
      <c r="BC254" s="21"/>
      <c r="BD254" s="134"/>
      <c r="BE254" s="134"/>
      <c r="BF254" s="134"/>
      <c r="BG254" s="134"/>
      <c r="BH254" s="134"/>
      <c r="BI254" s="31">
        <f>$A$41</f>
        <v>20183</v>
      </c>
      <c r="BJ254" s="21"/>
      <c r="BK254" s="21"/>
      <c r="BL254" s="21"/>
      <c r="BM254" s="21"/>
      <c r="BN254" s="21"/>
      <c r="BO254" s="21"/>
      <c r="BP254" s="134"/>
      <c r="BQ254" s="134"/>
      <c r="BR254" s="134"/>
      <c r="BS254" s="134"/>
      <c r="BT254" s="134"/>
      <c r="BU254" s="31">
        <f>$A$41</f>
        <v>20183</v>
      </c>
      <c r="BV254" s="21"/>
      <c r="BW254" s="21"/>
      <c r="BX254" s="21"/>
      <c r="BY254" s="21"/>
      <c r="BZ254" s="21"/>
      <c r="CA254" s="21"/>
      <c r="CB254" s="134"/>
      <c r="CC254" s="134"/>
      <c r="CD254" s="134"/>
      <c r="CE254" s="134"/>
      <c r="CF254" s="134"/>
      <c r="CG254" s="31">
        <f>$A$41</f>
        <v>20183</v>
      </c>
      <c r="CH254" s="21"/>
      <c r="CI254" s="21"/>
      <c r="CJ254" s="21"/>
      <c r="CK254" s="21"/>
      <c r="CL254" s="21"/>
      <c r="CM254" s="21"/>
      <c r="CN254" s="134"/>
      <c r="CO254" s="134"/>
      <c r="CP254" s="134"/>
      <c r="CQ254" s="134"/>
      <c r="CR254" s="134"/>
      <c r="CS254" s="31">
        <f>$A$41</f>
        <v>20183</v>
      </c>
      <c r="CT254" s="21"/>
      <c r="CU254" s="21"/>
      <c r="CV254" s="21"/>
      <c r="CW254" s="21"/>
      <c r="CX254" s="21"/>
      <c r="CY254" s="21"/>
      <c r="CZ254" s="134"/>
      <c r="DA254" s="134"/>
      <c r="DB254" s="134"/>
      <c r="DC254" s="134"/>
      <c r="DD254" s="134"/>
      <c r="DE254" s="31">
        <f>$A$41</f>
        <v>20183</v>
      </c>
      <c r="DF254" s="21"/>
      <c r="DG254" s="21"/>
      <c r="DH254" s="21"/>
      <c r="DI254" s="21"/>
      <c r="DJ254" s="21"/>
      <c r="DK254" s="21"/>
      <c r="DL254" s="134"/>
      <c r="DM254" s="134"/>
      <c r="DN254" s="134"/>
      <c r="DO254" s="134"/>
      <c r="DP254" s="134"/>
    </row>
    <row r="255" spans="1:120" ht="15" customHeight="1" x14ac:dyDescent="0.25">
      <c r="A255" s="31">
        <f>$A$42</f>
        <v>20193</v>
      </c>
      <c r="B255" s="21"/>
      <c r="C255" s="21"/>
      <c r="D255" s="21"/>
      <c r="E255" s="21"/>
      <c r="F255" s="21"/>
      <c r="G255" s="134"/>
      <c r="H255" s="134"/>
      <c r="I255" s="134"/>
      <c r="J255" s="134"/>
      <c r="K255" s="134"/>
      <c r="L255" s="134"/>
      <c r="M255" s="31">
        <f>$A$42</f>
        <v>20193</v>
      </c>
      <c r="N255" s="21"/>
      <c r="O255" s="21"/>
      <c r="P255" s="21"/>
      <c r="Q255" s="21"/>
      <c r="R255" s="21"/>
      <c r="S255" s="134"/>
      <c r="T255" s="134"/>
      <c r="U255" s="134"/>
      <c r="V255" s="134"/>
      <c r="W255" s="134"/>
      <c r="X255" s="134"/>
      <c r="Y255" s="31">
        <f>$A$42</f>
        <v>20193</v>
      </c>
      <c r="Z255" s="21"/>
      <c r="AA255" s="21"/>
      <c r="AB255" s="21"/>
      <c r="AC255" s="21"/>
      <c r="AD255" s="21"/>
      <c r="AE255" s="134"/>
      <c r="AF255" s="134"/>
      <c r="AG255" s="134"/>
      <c r="AH255" s="134"/>
      <c r="AI255" s="134"/>
      <c r="AJ255" s="134"/>
      <c r="AK255" s="31">
        <f>$A$42</f>
        <v>20193</v>
      </c>
      <c r="AL255" s="21"/>
      <c r="AM255" s="21"/>
      <c r="AN255" s="21"/>
      <c r="AO255" s="21"/>
      <c r="AP255" s="21"/>
      <c r="AQ255" s="134"/>
      <c r="AR255" s="134"/>
      <c r="AS255" s="134"/>
      <c r="AT255" s="134"/>
      <c r="AU255" s="134"/>
      <c r="AV255" s="134"/>
      <c r="AW255" s="31">
        <f>$A$42</f>
        <v>20193</v>
      </c>
      <c r="AX255" s="21"/>
      <c r="AY255" s="21"/>
      <c r="AZ255" s="21"/>
      <c r="BA255" s="21"/>
      <c r="BB255" s="21"/>
      <c r="BC255" s="134"/>
      <c r="BD255" s="134"/>
      <c r="BE255" s="134"/>
      <c r="BF255" s="134"/>
      <c r="BG255" s="134"/>
      <c r="BH255" s="134"/>
      <c r="BI255" s="31">
        <f>$A$42</f>
        <v>20193</v>
      </c>
      <c r="BJ255" s="21"/>
      <c r="BK255" s="21"/>
      <c r="BL255" s="21"/>
      <c r="BM255" s="21"/>
      <c r="BN255" s="21"/>
      <c r="BO255" s="134"/>
      <c r="BP255" s="134"/>
      <c r="BQ255" s="134"/>
      <c r="BR255" s="134"/>
      <c r="BS255" s="134"/>
      <c r="BT255" s="134"/>
      <c r="BU255" s="31">
        <f>$A$42</f>
        <v>20193</v>
      </c>
      <c r="BV255" s="21"/>
      <c r="BW255" s="21"/>
      <c r="BX255" s="21"/>
      <c r="BY255" s="21"/>
      <c r="BZ255" s="21"/>
      <c r="CA255" s="134"/>
      <c r="CB255" s="134"/>
      <c r="CC255" s="134"/>
      <c r="CD255" s="134"/>
      <c r="CE255" s="134"/>
      <c r="CF255" s="134"/>
      <c r="CG255" s="31">
        <f>$A$42</f>
        <v>20193</v>
      </c>
      <c r="CH255" s="21"/>
      <c r="CI255" s="21"/>
      <c r="CJ255" s="21"/>
      <c r="CK255" s="21"/>
      <c r="CL255" s="21"/>
      <c r="CM255" s="134"/>
      <c r="CN255" s="134"/>
      <c r="CO255" s="134"/>
      <c r="CP255" s="134"/>
      <c r="CQ255" s="134"/>
      <c r="CR255" s="134"/>
      <c r="CS255" s="31">
        <f>$A$42</f>
        <v>20193</v>
      </c>
      <c r="CT255" s="21"/>
      <c r="CU255" s="21"/>
      <c r="CV255" s="21"/>
      <c r="CW255" s="21"/>
      <c r="CX255" s="21"/>
      <c r="CY255" s="134"/>
      <c r="CZ255" s="134"/>
      <c r="DA255" s="134"/>
      <c r="DB255" s="134"/>
      <c r="DC255" s="134"/>
      <c r="DD255" s="134"/>
      <c r="DE255" s="31">
        <f>$A$42</f>
        <v>20193</v>
      </c>
      <c r="DF255" s="21"/>
      <c r="DG255" s="21"/>
      <c r="DH255" s="21"/>
      <c r="DI255" s="21"/>
      <c r="DJ255" s="21"/>
      <c r="DK255" s="134"/>
      <c r="DL255" s="134"/>
      <c r="DM255" s="134"/>
      <c r="DN255" s="134"/>
      <c r="DO255" s="134"/>
      <c r="DP255" s="134"/>
    </row>
    <row r="256" spans="1:120" ht="15" customHeight="1" x14ac:dyDescent="0.25">
      <c r="A256" s="31">
        <f>$A$43</f>
        <v>20203</v>
      </c>
      <c r="B256" s="21"/>
      <c r="C256" s="21"/>
      <c r="D256" s="21"/>
      <c r="E256" s="21"/>
      <c r="F256" s="134"/>
      <c r="G256" s="134"/>
      <c r="H256" s="134"/>
      <c r="I256" s="134"/>
      <c r="J256" s="134"/>
      <c r="K256" s="134"/>
      <c r="L256" s="134"/>
      <c r="M256" s="31">
        <f>$A$43</f>
        <v>20203</v>
      </c>
      <c r="N256" s="21"/>
      <c r="O256" s="21"/>
      <c r="P256" s="21"/>
      <c r="Q256" s="21"/>
      <c r="R256" s="134"/>
      <c r="S256" s="134"/>
      <c r="T256" s="134"/>
      <c r="U256" s="134"/>
      <c r="V256" s="134"/>
      <c r="W256" s="134"/>
      <c r="X256" s="134"/>
      <c r="Y256" s="31">
        <f>$A$43</f>
        <v>20203</v>
      </c>
      <c r="Z256" s="21"/>
      <c r="AA256" s="21"/>
      <c r="AB256" s="21"/>
      <c r="AC256" s="21"/>
      <c r="AD256" s="134"/>
      <c r="AE256" s="134"/>
      <c r="AF256" s="134"/>
      <c r="AG256" s="134"/>
      <c r="AH256" s="134"/>
      <c r="AI256" s="134"/>
      <c r="AJ256" s="134"/>
      <c r="AK256" s="31">
        <f>$A$43</f>
        <v>20203</v>
      </c>
      <c r="AL256" s="21"/>
      <c r="AM256" s="21"/>
      <c r="AN256" s="21"/>
      <c r="AO256" s="21"/>
      <c r="AP256" s="134"/>
      <c r="AQ256" s="134"/>
      <c r="AR256" s="134"/>
      <c r="AS256" s="134"/>
      <c r="AT256" s="134"/>
      <c r="AU256" s="134"/>
      <c r="AV256" s="134"/>
      <c r="AW256" s="31">
        <f>$A$43</f>
        <v>20203</v>
      </c>
      <c r="AX256" s="21"/>
      <c r="AY256" s="21"/>
      <c r="AZ256" s="21"/>
      <c r="BA256" s="21"/>
      <c r="BB256" s="134"/>
      <c r="BC256" s="134"/>
      <c r="BD256" s="134"/>
      <c r="BE256" s="134"/>
      <c r="BF256" s="134"/>
      <c r="BG256" s="134"/>
      <c r="BH256" s="134"/>
      <c r="BI256" s="31">
        <f>$A$43</f>
        <v>20203</v>
      </c>
      <c r="BJ256" s="21"/>
      <c r="BK256" s="21"/>
      <c r="BL256" s="21"/>
      <c r="BM256" s="21"/>
      <c r="BN256" s="134"/>
      <c r="BO256" s="134"/>
      <c r="BP256" s="134"/>
      <c r="BQ256" s="134"/>
      <c r="BR256" s="134"/>
      <c r="BS256" s="134"/>
      <c r="BT256" s="134"/>
      <c r="BU256" s="31">
        <f>$A$43</f>
        <v>20203</v>
      </c>
      <c r="BV256" s="21"/>
      <c r="BW256" s="21"/>
      <c r="BX256" s="21"/>
      <c r="BY256" s="21"/>
      <c r="BZ256" s="134"/>
      <c r="CA256" s="134"/>
      <c r="CB256" s="134"/>
      <c r="CC256" s="134"/>
      <c r="CD256" s="134"/>
      <c r="CE256" s="134"/>
      <c r="CF256" s="134"/>
      <c r="CG256" s="31">
        <f>$A$43</f>
        <v>20203</v>
      </c>
      <c r="CH256" s="21"/>
      <c r="CI256" s="21"/>
      <c r="CJ256" s="21"/>
      <c r="CK256" s="21"/>
      <c r="CL256" s="134"/>
      <c r="CM256" s="134"/>
      <c r="CN256" s="134"/>
      <c r="CO256" s="134"/>
      <c r="CP256" s="134"/>
      <c r="CQ256" s="134"/>
      <c r="CR256" s="134"/>
      <c r="CS256" s="31">
        <f>$A$43</f>
        <v>20203</v>
      </c>
      <c r="CT256" s="21"/>
      <c r="CU256" s="21"/>
      <c r="CV256" s="21"/>
      <c r="CW256" s="21"/>
      <c r="CX256" s="134"/>
      <c r="CY256" s="134"/>
      <c r="CZ256" s="134"/>
      <c r="DA256" s="134"/>
      <c r="DB256" s="134"/>
      <c r="DC256" s="134"/>
      <c r="DD256" s="134"/>
      <c r="DE256" s="31">
        <f>$A$43</f>
        <v>20203</v>
      </c>
      <c r="DF256" s="21"/>
      <c r="DG256" s="21"/>
      <c r="DH256" s="21"/>
      <c r="DI256" s="21"/>
      <c r="DJ256" s="134"/>
      <c r="DK256" s="134"/>
      <c r="DL256" s="134"/>
      <c r="DM256" s="134"/>
      <c r="DN256" s="134"/>
      <c r="DO256" s="134"/>
      <c r="DP256" s="134"/>
    </row>
    <row r="257" spans="1:120" ht="15" customHeight="1" x14ac:dyDescent="0.25">
      <c r="A257" s="31">
        <f>$A$44</f>
        <v>20213</v>
      </c>
      <c r="B257" s="21"/>
      <c r="C257" s="21"/>
      <c r="D257" s="21"/>
      <c r="E257" s="134"/>
      <c r="F257" s="134"/>
      <c r="G257" s="134"/>
      <c r="H257" s="134"/>
      <c r="I257" s="134"/>
      <c r="J257" s="134"/>
      <c r="K257" s="134"/>
      <c r="L257" s="134"/>
      <c r="M257" s="31">
        <f>$A$44</f>
        <v>20213</v>
      </c>
      <c r="N257" s="21"/>
      <c r="O257" s="21"/>
      <c r="P257" s="21"/>
      <c r="Q257" s="134"/>
      <c r="R257" s="134"/>
      <c r="S257" s="134"/>
      <c r="T257" s="134"/>
      <c r="U257" s="134"/>
      <c r="V257" s="134"/>
      <c r="W257" s="134"/>
      <c r="X257" s="134"/>
      <c r="Y257" s="31">
        <f>$A$44</f>
        <v>20213</v>
      </c>
      <c r="Z257" s="21"/>
      <c r="AA257" s="21"/>
      <c r="AB257" s="21"/>
      <c r="AC257" s="134"/>
      <c r="AD257" s="134"/>
      <c r="AE257" s="134"/>
      <c r="AF257" s="134"/>
      <c r="AG257" s="134"/>
      <c r="AH257" s="134"/>
      <c r="AI257" s="134"/>
      <c r="AJ257" s="134"/>
      <c r="AK257" s="31">
        <f>$A$44</f>
        <v>20213</v>
      </c>
      <c r="AL257" s="21"/>
      <c r="AM257" s="21"/>
      <c r="AN257" s="21"/>
      <c r="AO257" s="134"/>
      <c r="AP257" s="134"/>
      <c r="AQ257" s="134"/>
      <c r="AR257" s="134"/>
      <c r="AS257" s="134"/>
      <c r="AT257" s="134"/>
      <c r="AU257" s="134"/>
      <c r="AV257" s="134"/>
      <c r="AW257" s="31">
        <f>$A$44</f>
        <v>20213</v>
      </c>
      <c r="AX257" s="21"/>
      <c r="AY257" s="21"/>
      <c r="AZ257" s="21"/>
      <c r="BA257" s="134"/>
      <c r="BB257" s="134"/>
      <c r="BC257" s="134"/>
      <c r="BD257" s="134"/>
      <c r="BE257" s="134"/>
      <c r="BF257" s="134"/>
      <c r="BG257" s="134"/>
      <c r="BH257" s="134"/>
      <c r="BI257" s="31">
        <f>$A$44</f>
        <v>20213</v>
      </c>
      <c r="BJ257" s="21"/>
      <c r="BK257" s="21"/>
      <c r="BL257" s="21"/>
      <c r="BM257" s="134"/>
      <c r="BN257" s="134"/>
      <c r="BO257" s="134"/>
      <c r="BP257" s="134"/>
      <c r="BQ257" s="134"/>
      <c r="BR257" s="134"/>
      <c r="BS257" s="134"/>
      <c r="BT257" s="134"/>
      <c r="BU257" s="31">
        <f>$A$44</f>
        <v>20213</v>
      </c>
      <c r="BV257" s="21"/>
      <c r="BW257" s="21"/>
      <c r="BX257" s="21"/>
      <c r="BY257" s="134"/>
      <c r="BZ257" s="134"/>
      <c r="CA257" s="134"/>
      <c r="CB257" s="134"/>
      <c r="CC257" s="134"/>
      <c r="CD257" s="134"/>
      <c r="CE257" s="134"/>
      <c r="CF257" s="134"/>
      <c r="CG257" s="31">
        <f>$A$44</f>
        <v>20213</v>
      </c>
      <c r="CH257" s="21"/>
      <c r="CI257" s="21"/>
      <c r="CJ257" s="21"/>
      <c r="CK257" s="134"/>
      <c r="CL257" s="134"/>
      <c r="CM257" s="134"/>
      <c r="CN257" s="134"/>
      <c r="CO257" s="134"/>
      <c r="CP257" s="134"/>
      <c r="CQ257" s="134"/>
      <c r="CR257" s="134"/>
      <c r="CS257" s="31">
        <f>$A$44</f>
        <v>20213</v>
      </c>
      <c r="CT257" s="21"/>
      <c r="CU257" s="21"/>
      <c r="CV257" s="21"/>
      <c r="CW257" s="134"/>
      <c r="CX257" s="134"/>
      <c r="CY257" s="134"/>
      <c r="CZ257" s="134"/>
      <c r="DA257" s="134"/>
      <c r="DB257" s="134"/>
      <c r="DC257" s="134"/>
      <c r="DD257" s="134"/>
      <c r="DE257" s="31">
        <f>$A$44</f>
        <v>20213</v>
      </c>
      <c r="DF257" s="21"/>
      <c r="DG257" s="21"/>
      <c r="DH257" s="21"/>
      <c r="DI257" s="134"/>
      <c r="DJ257" s="134"/>
      <c r="DK257" s="134"/>
      <c r="DL257" s="134"/>
      <c r="DM257" s="134"/>
      <c r="DN257" s="134"/>
      <c r="DO257" s="134"/>
      <c r="DP257" s="134"/>
    </row>
    <row r="258" spans="1:120" ht="15" customHeight="1" x14ac:dyDescent="0.25">
      <c r="A258" s="31">
        <f>$A$45</f>
        <v>20223</v>
      </c>
      <c r="B258" s="21"/>
      <c r="C258" s="21"/>
      <c r="D258" s="134"/>
      <c r="E258" s="134"/>
      <c r="F258" s="134"/>
      <c r="G258" s="134"/>
      <c r="H258" s="134"/>
      <c r="I258" s="134"/>
      <c r="J258" s="134"/>
      <c r="K258" s="134"/>
      <c r="L258" s="134"/>
      <c r="M258" s="31">
        <f>$A$45</f>
        <v>20223</v>
      </c>
      <c r="N258" s="21"/>
      <c r="O258" s="21"/>
      <c r="P258" s="134"/>
      <c r="Q258" s="134"/>
      <c r="R258" s="134"/>
      <c r="S258" s="134"/>
      <c r="T258" s="134"/>
      <c r="U258" s="134"/>
      <c r="V258" s="134"/>
      <c r="W258" s="134"/>
      <c r="X258" s="134"/>
      <c r="Y258" s="31">
        <f>$A$45</f>
        <v>20223</v>
      </c>
      <c r="Z258" s="21"/>
      <c r="AA258" s="21"/>
      <c r="AB258" s="134"/>
      <c r="AC258" s="134"/>
      <c r="AD258" s="134"/>
      <c r="AE258" s="134"/>
      <c r="AF258" s="134"/>
      <c r="AG258" s="134"/>
      <c r="AH258" s="134"/>
      <c r="AI258" s="134"/>
      <c r="AJ258" s="134"/>
      <c r="AK258" s="31">
        <f>$A$45</f>
        <v>20223</v>
      </c>
      <c r="AL258" s="21"/>
      <c r="AM258" s="21"/>
      <c r="AN258" s="134"/>
      <c r="AO258" s="134"/>
      <c r="AP258" s="134"/>
      <c r="AQ258" s="134"/>
      <c r="AR258" s="134"/>
      <c r="AS258" s="134"/>
      <c r="AT258" s="134"/>
      <c r="AU258" s="134"/>
      <c r="AV258" s="134"/>
      <c r="AW258" s="31">
        <f>$A$45</f>
        <v>20223</v>
      </c>
      <c r="AX258" s="21"/>
      <c r="AY258" s="21"/>
      <c r="AZ258" s="134"/>
      <c r="BA258" s="134"/>
      <c r="BB258" s="134"/>
      <c r="BC258" s="134"/>
      <c r="BD258" s="134"/>
      <c r="BE258" s="134"/>
      <c r="BF258" s="134"/>
      <c r="BG258" s="134"/>
      <c r="BH258" s="134"/>
      <c r="BI258" s="31">
        <f>$A$45</f>
        <v>20223</v>
      </c>
      <c r="BJ258" s="21"/>
      <c r="BK258" s="21"/>
      <c r="BL258" s="134"/>
      <c r="BM258" s="134"/>
      <c r="BN258" s="134"/>
      <c r="BO258" s="134"/>
      <c r="BP258" s="134"/>
      <c r="BQ258" s="134"/>
      <c r="BR258" s="134"/>
      <c r="BS258" s="134"/>
      <c r="BT258" s="134"/>
      <c r="BU258" s="31">
        <f>$A$45</f>
        <v>20223</v>
      </c>
      <c r="BV258" s="21"/>
      <c r="BW258" s="21"/>
      <c r="BX258" s="134"/>
      <c r="BY258" s="134"/>
      <c r="BZ258" s="134"/>
      <c r="CA258" s="134"/>
      <c r="CB258" s="134"/>
      <c r="CC258" s="134"/>
      <c r="CD258" s="134"/>
      <c r="CE258" s="134"/>
      <c r="CF258" s="134"/>
      <c r="CG258" s="31">
        <f>$A$45</f>
        <v>20223</v>
      </c>
      <c r="CH258" s="21"/>
      <c r="CI258" s="21"/>
      <c r="CJ258" s="134"/>
      <c r="CK258" s="134"/>
      <c r="CL258" s="134"/>
      <c r="CM258" s="134"/>
      <c r="CN258" s="134"/>
      <c r="CO258" s="134"/>
      <c r="CP258" s="134"/>
      <c r="CQ258" s="134"/>
      <c r="CR258" s="134"/>
      <c r="CS258" s="31">
        <f>$A$45</f>
        <v>20223</v>
      </c>
      <c r="CT258" s="21"/>
      <c r="CU258" s="21"/>
      <c r="CV258" s="134"/>
      <c r="CW258" s="134"/>
      <c r="CX258" s="134"/>
      <c r="CY258" s="134"/>
      <c r="CZ258" s="134"/>
      <c r="DA258" s="134"/>
      <c r="DB258" s="134"/>
      <c r="DC258" s="134"/>
      <c r="DD258" s="134"/>
      <c r="DE258" s="31">
        <f>$A$45</f>
        <v>20223</v>
      </c>
      <c r="DF258" s="21"/>
      <c r="DG258" s="21"/>
      <c r="DH258" s="134"/>
      <c r="DI258" s="134"/>
      <c r="DJ258" s="134"/>
      <c r="DK258" s="134"/>
      <c r="DL258" s="134"/>
      <c r="DM258" s="134"/>
      <c r="DN258" s="134"/>
      <c r="DO258" s="134"/>
      <c r="DP258" s="134"/>
    </row>
    <row r="259" spans="1:120" ht="15" customHeight="1" x14ac:dyDescent="0.25">
      <c r="F259" s="310" t="str">
        <f>IF(AND(ISNUMBER(K262),K262&gt;=1.01),"Reminder: If more than ten years of development is deemed to be required, insurers can provide this data in a supplemental exhibit.","")</f>
        <v/>
      </c>
      <c r="R259" s="310" t="str">
        <f>IF(AND(ISNUMBER(W262),W262&gt;=1.01),"Reminder: If more than ten years of development is deemed to be required, insurers can provide this data in a supplemental exhibit.","")</f>
        <v/>
      </c>
      <c r="AD259" s="310" t="str">
        <f>IF(AND(ISNUMBER(AI262),AI262&gt;=1.01),"Reminder: If more than ten years of development is deemed to be required, insurers can provide this data in a supplemental exhibit.","")</f>
        <v/>
      </c>
      <c r="AP259" s="309" t="str">
        <f>IF(AND(ISNUMBER(AU262),AU262&gt;=1.01),"Reminder: If more than ten years of development is deemed to be required, insurers can provide this data in a supplemental exhibit.","")</f>
        <v/>
      </c>
      <c r="BB259" s="310" t="str">
        <f>IF(AND(ISNUMBER(BG262),BG262&gt;=1.01),"Reminder: If more than ten years of development is deemed to be required, insurers can provide this data in a supplemental exhibit.","")</f>
        <v/>
      </c>
      <c r="BN259" s="310" t="str">
        <f>IF(AND(ISNUMBER(BS262),BS262&gt;=1.01),"Reminder: If more than ten years of development is deemed to be required, insurers can provide this data in a supplemental exhibit.","")</f>
        <v/>
      </c>
      <c r="BZ259" s="310" t="str">
        <f>IF(AND(ISNUMBER(CE262),CE262&gt;=1.01),"Reminder: If more than ten years of development is deemed to be required, insurers can provide this data in a supplemental exhibit.","")</f>
        <v/>
      </c>
      <c r="CL259" s="309" t="str">
        <f>IF(AND(ISNUMBER(CQ262),CQ262&gt;=1.01),"Reminder: If more than ten years of development is deemed to be required, insurers can provide this data in a supplemental exhibit.","")</f>
        <v/>
      </c>
      <c r="CX259" s="310" t="str">
        <f>IF(AND(ISNUMBER(DC262),DC262&gt;=1.01),"Reminder: If more than ten years of development is deemed to be required, insurers can provide this data in a supplemental exhibit.","")</f>
        <v/>
      </c>
      <c r="DJ259" s="310" t="str">
        <f>IF(AND(ISNUMBER(DO262),DO262&gt;=1.01),"Reminder: If more than ten years of development is deemed to be required, insurers can provide this data in a supplemental exhibit.","")</f>
        <v/>
      </c>
    </row>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ht="30" x14ac:dyDescent="0.25">
      <c r="A261" s="92" t="str">
        <f>$A$35</f>
        <v>Fiscal Accident Year Data Ending</v>
      </c>
      <c r="B261" s="92"/>
      <c r="C261" s="100" t="str">
        <f>$C$35&amp;"-"&amp;$D$35</f>
        <v>15-27</v>
      </c>
      <c r="D261" s="100" t="str">
        <f>$D$35&amp;"-"&amp;$E$35</f>
        <v>27-39</v>
      </c>
      <c r="E261" s="100" t="str">
        <f>$E$35&amp;"-"&amp;$F$35</f>
        <v>39-51</v>
      </c>
      <c r="F261" s="100" t="str">
        <f>$F$35&amp;"-"&amp;$G$35</f>
        <v>51-63</v>
      </c>
      <c r="G261" s="100" t="str">
        <f>$G$35&amp;"-"&amp;$H$35</f>
        <v>63-75</v>
      </c>
      <c r="H261" s="100" t="str">
        <f>$H$35&amp;"-"&amp;$I$35</f>
        <v>75-87</v>
      </c>
      <c r="I261" s="100" t="str">
        <f>$I$35&amp;"-"&amp;$J$35</f>
        <v>87-99</v>
      </c>
      <c r="J261" s="100" t="str">
        <f>$J$35&amp;"-"&amp;$K$35</f>
        <v>99-111</v>
      </c>
      <c r="K261" s="100" t="str">
        <f>$K$35&amp;"-"&amp;$L$35</f>
        <v>111-123</v>
      </c>
      <c r="L261" s="100" t="str">
        <f>$L$35&amp;"-Ult"</f>
        <v>123-Ult</v>
      </c>
      <c r="M261" s="92" t="str">
        <f>$A$35</f>
        <v>Fiscal Accident Year Data Ending</v>
      </c>
      <c r="N261" s="92"/>
      <c r="O261" s="100" t="str">
        <f>$C$35&amp;"-"&amp;$D$35</f>
        <v>15-27</v>
      </c>
      <c r="P261" s="100" t="str">
        <f>$D$35&amp;"-"&amp;$E$35</f>
        <v>27-39</v>
      </c>
      <c r="Q261" s="100" t="str">
        <f>$E$35&amp;"-"&amp;$F$35</f>
        <v>39-51</v>
      </c>
      <c r="R261" s="100" t="str">
        <f>$F$35&amp;"-"&amp;$G$35</f>
        <v>51-63</v>
      </c>
      <c r="S261" s="100" t="str">
        <f>$G$35&amp;"-"&amp;$H$35</f>
        <v>63-75</v>
      </c>
      <c r="T261" s="100" t="str">
        <f>$H$35&amp;"-"&amp;$I$35</f>
        <v>75-87</v>
      </c>
      <c r="U261" s="100" t="str">
        <f>$I$35&amp;"-"&amp;$J$35</f>
        <v>87-99</v>
      </c>
      <c r="V261" s="100" t="str">
        <f>$J$35&amp;"-"&amp;$K$35</f>
        <v>99-111</v>
      </c>
      <c r="W261" s="100" t="str">
        <f>$K$35&amp;"-"&amp;$L$35</f>
        <v>111-123</v>
      </c>
      <c r="X261" s="100" t="str">
        <f>$L$35&amp;"-Ult"</f>
        <v>123-Ult</v>
      </c>
      <c r="Y261" s="92" t="str">
        <f>$A$35</f>
        <v>Fiscal Accident Year Data Ending</v>
      </c>
      <c r="Z261" s="92"/>
      <c r="AA261" s="100" t="str">
        <f>$C$35&amp;"-"&amp;$D$35</f>
        <v>15-27</v>
      </c>
      <c r="AB261" s="100" t="str">
        <f>$D$35&amp;"-"&amp;$E$35</f>
        <v>27-39</v>
      </c>
      <c r="AC261" s="100" t="str">
        <f>$E$35&amp;"-"&amp;$F$35</f>
        <v>39-51</v>
      </c>
      <c r="AD261" s="100" t="str">
        <f>$F$35&amp;"-"&amp;$G$35</f>
        <v>51-63</v>
      </c>
      <c r="AE261" s="100" t="str">
        <f>$G$35&amp;"-"&amp;$H$35</f>
        <v>63-75</v>
      </c>
      <c r="AF261" s="100" t="str">
        <f>$H$35&amp;"-"&amp;$I$35</f>
        <v>75-87</v>
      </c>
      <c r="AG261" s="100" t="str">
        <f>$I$35&amp;"-"&amp;$J$35</f>
        <v>87-99</v>
      </c>
      <c r="AH261" s="100" t="str">
        <f>$J$35&amp;"-"&amp;$K$35</f>
        <v>99-111</v>
      </c>
      <c r="AI261" s="100" t="str">
        <f>$K$35&amp;"-"&amp;$L$35</f>
        <v>111-123</v>
      </c>
      <c r="AJ261" s="100" t="str">
        <f>$L$35&amp;"-Ult"</f>
        <v>123-Ult</v>
      </c>
      <c r="AK261" s="92" t="str">
        <f>$A$35</f>
        <v>Fiscal Accident Year Data Ending</v>
      </c>
      <c r="AL261" s="92"/>
      <c r="AM261" s="100" t="str">
        <f>$C$35&amp;"-"&amp;$D$35</f>
        <v>15-27</v>
      </c>
      <c r="AN261" s="100" t="str">
        <f>$D$35&amp;"-"&amp;$E$35</f>
        <v>27-39</v>
      </c>
      <c r="AO261" s="100" t="str">
        <f>$E$35&amp;"-"&amp;$F$35</f>
        <v>39-51</v>
      </c>
      <c r="AP261" s="100" t="str">
        <f>$F$35&amp;"-"&amp;$G$35</f>
        <v>51-63</v>
      </c>
      <c r="AQ261" s="100" t="str">
        <f>$G$35&amp;"-"&amp;$H$35</f>
        <v>63-75</v>
      </c>
      <c r="AR261" s="100" t="str">
        <f>$H$35&amp;"-"&amp;$I$35</f>
        <v>75-87</v>
      </c>
      <c r="AS261" s="100" t="str">
        <f>$I$35&amp;"-"&amp;$J$35</f>
        <v>87-99</v>
      </c>
      <c r="AT261" s="100" t="str">
        <f>$J$35&amp;"-"&amp;$K$35</f>
        <v>99-111</v>
      </c>
      <c r="AU261" s="100" t="str">
        <f>$K$35&amp;"-"&amp;$L$35</f>
        <v>111-123</v>
      </c>
      <c r="AV261" s="100" t="str">
        <f>$L$35&amp;"-Ult"</f>
        <v>123-Ult</v>
      </c>
      <c r="AW261" s="92" t="str">
        <f>$A$35</f>
        <v>Fiscal Accident Year Data Ending</v>
      </c>
      <c r="AX261" s="92"/>
      <c r="AY261" s="100" t="str">
        <f>$C$35&amp;"-"&amp;$D$35</f>
        <v>15-27</v>
      </c>
      <c r="AZ261" s="100" t="str">
        <f>$D$35&amp;"-"&amp;$E$35</f>
        <v>27-39</v>
      </c>
      <c r="BA261" s="100" t="str">
        <f>$E$35&amp;"-"&amp;$F$35</f>
        <v>39-51</v>
      </c>
      <c r="BB261" s="100" t="str">
        <f>$F$35&amp;"-"&amp;$G$35</f>
        <v>51-63</v>
      </c>
      <c r="BC261" s="100" t="str">
        <f>$G$35&amp;"-"&amp;$H$35</f>
        <v>63-75</v>
      </c>
      <c r="BD261" s="100" t="str">
        <f>$H$35&amp;"-"&amp;$I$35</f>
        <v>75-87</v>
      </c>
      <c r="BE261" s="100" t="str">
        <f>$I$35&amp;"-"&amp;$J$35</f>
        <v>87-99</v>
      </c>
      <c r="BF261" s="100" t="str">
        <f>$J$35&amp;"-"&amp;$K$35</f>
        <v>99-111</v>
      </c>
      <c r="BG261" s="100" t="str">
        <f>$K$35&amp;"-"&amp;$L$35</f>
        <v>111-123</v>
      </c>
      <c r="BH261" s="100" t="str">
        <f>$L$35&amp;"-Ult"</f>
        <v>123-Ult</v>
      </c>
      <c r="BI261" s="92" t="str">
        <f>$A$35</f>
        <v>Fiscal Accident Year Data Ending</v>
      </c>
      <c r="BJ261" s="92"/>
      <c r="BK261" s="100" t="str">
        <f>$C$35&amp;"-"&amp;$D$35</f>
        <v>15-27</v>
      </c>
      <c r="BL261" s="100" t="str">
        <f>$D$35&amp;"-"&amp;$E$35</f>
        <v>27-39</v>
      </c>
      <c r="BM261" s="100" t="str">
        <f>$E$35&amp;"-"&amp;$F$35</f>
        <v>39-51</v>
      </c>
      <c r="BN261" s="100" t="str">
        <f>$F$35&amp;"-"&amp;$G$35</f>
        <v>51-63</v>
      </c>
      <c r="BO261" s="100" t="str">
        <f>$G$35&amp;"-"&amp;$H$35</f>
        <v>63-75</v>
      </c>
      <c r="BP261" s="100" t="str">
        <f>$H$35&amp;"-"&amp;$I$35</f>
        <v>75-87</v>
      </c>
      <c r="BQ261" s="100" t="str">
        <f>$I$35&amp;"-"&amp;$J$35</f>
        <v>87-99</v>
      </c>
      <c r="BR261" s="100" t="str">
        <f>$J$35&amp;"-"&amp;$K$35</f>
        <v>99-111</v>
      </c>
      <c r="BS261" s="100" t="str">
        <f>$K$35&amp;"-"&amp;$L$35</f>
        <v>111-123</v>
      </c>
      <c r="BT261" s="100" t="str">
        <f>$L$35&amp;"-Ult"</f>
        <v>123-Ult</v>
      </c>
      <c r="BU261" s="92" t="str">
        <f>$A$35</f>
        <v>Fiscal Accident Year Data Ending</v>
      </c>
      <c r="BV261" s="92"/>
      <c r="BW261" s="100" t="str">
        <f>$C$35&amp;"-"&amp;$D$35</f>
        <v>15-27</v>
      </c>
      <c r="BX261" s="100" t="str">
        <f>$D$35&amp;"-"&amp;$E$35</f>
        <v>27-39</v>
      </c>
      <c r="BY261" s="100" t="str">
        <f>$E$35&amp;"-"&amp;$F$35</f>
        <v>39-51</v>
      </c>
      <c r="BZ261" s="100" t="str">
        <f>$F$35&amp;"-"&amp;$G$35</f>
        <v>51-63</v>
      </c>
      <c r="CA261" s="100" t="str">
        <f>$G$35&amp;"-"&amp;$H$35</f>
        <v>63-75</v>
      </c>
      <c r="CB261" s="100" t="str">
        <f>$H$35&amp;"-"&amp;$I$35</f>
        <v>75-87</v>
      </c>
      <c r="CC261" s="100" t="str">
        <f>$I$35&amp;"-"&amp;$J$35</f>
        <v>87-99</v>
      </c>
      <c r="CD261" s="100" t="str">
        <f>$J$35&amp;"-"&amp;$K$35</f>
        <v>99-111</v>
      </c>
      <c r="CE261" s="100" t="str">
        <f>$K$35&amp;"-"&amp;$L$35</f>
        <v>111-123</v>
      </c>
      <c r="CF261" s="100" t="str">
        <f>$L$35&amp;"-Ult"</f>
        <v>123-Ult</v>
      </c>
      <c r="CG261" s="92" t="str">
        <f>$A$35</f>
        <v>Fiscal Accident Year Data Ending</v>
      </c>
      <c r="CH261" s="92"/>
      <c r="CI261" s="100" t="str">
        <f>$C$35&amp;"-"&amp;$D$35</f>
        <v>15-27</v>
      </c>
      <c r="CJ261" s="100" t="str">
        <f>$D$35&amp;"-"&amp;$E$35</f>
        <v>27-39</v>
      </c>
      <c r="CK261" s="100" t="str">
        <f>$E$35&amp;"-"&amp;$F$35</f>
        <v>39-51</v>
      </c>
      <c r="CL261" s="100" t="str">
        <f>$F$35&amp;"-"&amp;$G$35</f>
        <v>51-63</v>
      </c>
      <c r="CM261" s="100" t="str">
        <f>$G$35&amp;"-"&amp;$H$35</f>
        <v>63-75</v>
      </c>
      <c r="CN261" s="100" t="str">
        <f>$H$35&amp;"-"&amp;$I$35</f>
        <v>75-87</v>
      </c>
      <c r="CO261" s="100" t="str">
        <f>$I$35&amp;"-"&amp;$J$35</f>
        <v>87-99</v>
      </c>
      <c r="CP261" s="100" t="str">
        <f>$J$35&amp;"-"&amp;$K$35</f>
        <v>99-111</v>
      </c>
      <c r="CQ261" s="100" t="str">
        <f>$K$35&amp;"-"&amp;$L$35</f>
        <v>111-123</v>
      </c>
      <c r="CR261" s="100" t="str">
        <f>$L$35&amp;"-Ult"</f>
        <v>123-Ult</v>
      </c>
      <c r="CS261" s="92" t="str">
        <f>$A$35</f>
        <v>Fiscal Accident Year Data Ending</v>
      </c>
      <c r="CT261" s="92"/>
      <c r="CU261" s="100" t="str">
        <f>$C$35&amp;"-"&amp;$D$35</f>
        <v>15-27</v>
      </c>
      <c r="CV261" s="100" t="str">
        <f>$D$35&amp;"-"&amp;$E$35</f>
        <v>27-39</v>
      </c>
      <c r="CW261" s="100" t="str">
        <f>$E$35&amp;"-"&amp;$F$35</f>
        <v>39-51</v>
      </c>
      <c r="CX261" s="100" t="str">
        <f>$F$35&amp;"-"&amp;$G$35</f>
        <v>51-63</v>
      </c>
      <c r="CY261" s="100" t="str">
        <f>$G$35&amp;"-"&amp;$H$35</f>
        <v>63-75</v>
      </c>
      <c r="CZ261" s="100" t="str">
        <f>$H$35&amp;"-"&amp;$I$35</f>
        <v>75-87</v>
      </c>
      <c r="DA261" s="100" t="str">
        <f>$I$35&amp;"-"&amp;$J$35</f>
        <v>87-99</v>
      </c>
      <c r="DB261" s="100" t="str">
        <f>$J$35&amp;"-"&amp;$K$35</f>
        <v>99-111</v>
      </c>
      <c r="DC261" s="100" t="str">
        <f>$K$35&amp;"-"&amp;$L$35</f>
        <v>111-123</v>
      </c>
      <c r="DD261" s="100" t="str">
        <f>$L$35&amp;"-Ult"</f>
        <v>123-Ult</v>
      </c>
      <c r="DE261" s="92" t="str">
        <f>$A$35</f>
        <v>Fiscal Accident Year Data Ending</v>
      </c>
      <c r="DF261" s="92"/>
      <c r="DG261" s="100" t="str">
        <f>$C$35&amp;"-"&amp;$D$35</f>
        <v>15-27</v>
      </c>
      <c r="DH261" s="100" t="str">
        <f>$D$35&amp;"-"&amp;$E$35</f>
        <v>27-39</v>
      </c>
      <c r="DI261" s="100" t="str">
        <f>$E$35&amp;"-"&amp;$F$35</f>
        <v>39-51</v>
      </c>
      <c r="DJ261" s="100" t="str">
        <f>$F$35&amp;"-"&amp;$G$35</f>
        <v>51-63</v>
      </c>
      <c r="DK261" s="100" t="str">
        <f>$G$35&amp;"-"&amp;$H$35</f>
        <v>63-75</v>
      </c>
      <c r="DL261" s="100" t="str">
        <f>$H$35&amp;"-"&amp;$I$35</f>
        <v>75-87</v>
      </c>
      <c r="DM261" s="100" t="str">
        <f>$I$35&amp;"-"&amp;$J$35</f>
        <v>87-99</v>
      </c>
      <c r="DN261" s="100" t="str">
        <f>$J$35&amp;"-"&amp;$K$35</f>
        <v>99-111</v>
      </c>
      <c r="DO261" s="100" t="str">
        <f>$K$35&amp;"-"&amp;$L$35</f>
        <v>111-123</v>
      </c>
      <c r="DP261" s="100" t="str">
        <f>$L$35&amp;"-Ult"</f>
        <v>123-Ult</v>
      </c>
    </row>
    <row r="262" spans="1:120" x14ac:dyDescent="0.25">
      <c r="A262" s="91">
        <f>$A$36</f>
        <v>20133</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20133</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20133</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20133</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20133</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20133</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20133</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20133</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20133</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20133</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20143</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20143</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20143</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20143</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20143</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20143</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20143</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20143</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20143</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20143</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20153</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20153</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20153</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20153</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20153</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20153</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20153</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20153</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20153</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20153</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20163</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20163</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20163</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20163</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20163</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20163</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20163</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20163</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20163</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20163</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20173</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20173</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20173</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20173</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20173</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20173</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20173</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20173</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20173</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20173</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20183</v>
      </c>
      <c r="B267" s="105"/>
      <c r="C267" s="90" t="str">
        <f t="shared" si="441"/>
        <v/>
      </c>
      <c r="D267" s="90" t="str">
        <f t="shared" si="441"/>
        <v/>
      </c>
      <c r="E267" s="90" t="str">
        <f t="shared" si="441"/>
        <v/>
      </c>
      <c r="F267" s="90" t="str">
        <f t="shared" si="441"/>
        <v/>
      </c>
      <c r="G267" s="22"/>
      <c r="H267" s="22"/>
      <c r="I267" s="22"/>
      <c r="J267" s="22"/>
      <c r="K267" s="22"/>
      <c r="L267" s="22"/>
      <c r="M267" s="91">
        <f>$A$41</f>
        <v>20183</v>
      </c>
      <c r="N267" s="105"/>
      <c r="O267" s="90" t="str">
        <f t="shared" si="442"/>
        <v/>
      </c>
      <c r="P267" s="90" t="str">
        <f t="shared" si="442"/>
        <v/>
      </c>
      <c r="Q267" s="90" t="str">
        <f t="shared" si="442"/>
        <v/>
      </c>
      <c r="R267" s="90" t="str">
        <f t="shared" si="442"/>
        <v/>
      </c>
      <c r="S267" s="22"/>
      <c r="T267" s="22"/>
      <c r="U267" s="22"/>
      <c r="V267" s="22"/>
      <c r="W267" s="22"/>
      <c r="X267" s="22"/>
      <c r="Y267" s="91">
        <f>$A$41</f>
        <v>20183</v>
      </c>
      <c r="Z267" s="105"/>
      <c r="AA267" s="90" t="str">
        <f t="shared" si="443"/>
        <v/>
      </c>
      <c r="AB267" s="90" t="str">
        <f t="shared" si="443"/>
        <v/>
      </c>
      <c r="AC267" s="90" t="str">
        <f t="shared" si="443"/>
        <v/>
      </c>
      <c r="AD267" s="90" t="str">
        <f t="shared" si="443"/>
        <v/>
      </c>
      <c r="AE267" s="22"/>
      <c r="AF267" s="22"/>
      <c r="AG267" s="22"/>
      <c r="AH267" s="22"/>
      <c r="AI267" s="22"/>
      <c r="AJ267" s="22"/>
      <c r="AK267" s="91">
        <f>$A$41</f>
        <v>20183</v>
      </c>
      <c r="AL267" s="105"/>
      <c r="AM267" s="90" t="str">
        <f t="shared" si="444"/>
        <v/>
      </c>
      <c r="AN267" s="90" t="str">
        <f t="shared" si="444"/>
        <v/>
      </c>
      <c r="AO267" s="90" t="str">
        <f t="shared" si="444"/>
        <v/>
      </c>
      <c r="AP267" s="90" t="str">
        <f t="shared" si="444"/>
        <v/>
      </c>
      <c r="AQ267" s="22"/>
      <c r="AR267" s="22"/>
      <c r="AS267" s="22"/>
      <c r="AT267" s="22"/>
      <c r="AU267" s="22"/>
      <c r="AV267" s="22"/>
      <c r="AW267" s="91">
        <f>$A$41</f>
        <v>20183</v>
      </c>
      <c r="AX267" s="105"/>
      <c r="AY267" s="90" t="str">
        <f t="shared" si="445"/>
        <v/>
      </c>
      <c r="AZ267" s="90" t="str">
        <f t="shared" si="445"/>
        <v/>
      </c>
      <c r="BA267" s="90" t="str">
        <f t="shared" si="445"/>
        <v/>
      </c>
      <c r="BB267" s="90" t="str">
        <f t="shared" si="445"/>
        <v/>
      </c>
      <c r="BC267" s="22"/>
      <c r="BD267" s="22"/>
      <c r="BE267" s="22"/>
      <c r="BF267" s="22"/>
      <c r="BG267" s="22"/>
      <c r="BH267" s="22"/>
      <c r="BI267" s="91">
        <f>$A$41</f>
        <v>20183</v>
      </c>
      <c r="BJ267" s="105"/>
      <c r="BK267" s="90" t="str">
        <f t="shared" si="446"/>
        <v/>
      </c>
      <c r="BL267" s="90" t="str">
        <f t="shared" si="446"/>
        <v/>
      </c>
      <c r="BM267" s="90" t="str">
        <f t="shared" si="446"/>
        <v/>
      </c>
      <c r="BN267" s="90" t="str">
        <f t="shared" si="446"/>
        <v/>
      </c>
      <c r="BO267" s="22"/>
      <c r="BP267" s="22"/>
      <c r="BQ267" s="22"/>
      <c r="BR267" s="22"/>
      <c r="BS267" s="22"/>
      <c r="BT267" s="22"/>
      <c r="BU267" s="91">
        <f>$A$41</f>
        <v>20183</v>
      </c>
      <c r="BV267" s="105"/>
      <c r="BW267" s="90" t="str">
        <f t="shared" si="447"/>
        <v/>
      </c>
      <c r="BX267" s="90" t="str">
        <f t="shared" si="447"/>
        <v/>
      </c>
      <c r="BY267" s="90" t="str">
        <f t="shared" si="447"/>
        <v/>
      </c>
      <c r="BZ267" s="90" t="str">
        <f t="shared" si="447"/>
        <v/>
      </c>
      <c r="CA267" s="22"/>
      <c r="CB267" s="22"/>
      <c r="CC267" s="22"/>
      <c r="CD267" s="22"/>
      <c r="CE267" s="22"/>
      <c r="CF267" s="22"/>
      <c r="CG267" s="91">
        <f>$A$41</f>
        <v>20183</v>
      </c>
      <c r="CH267" s="105"/>
      <c r="CI267" s="90" t="str">
        <f t="shared" si="448"/>
        <v/>
      </c>
      <c r="CJ267" s="90" t="str">
        <f t="shared" si="448"/>
        <v/>
      </c>
      <c r="CK267" s="90" t="str">
        <f t="shared" si="448"/>
        <v/>
      </c>
      <c r="CL267" s="90" t="str">
        <f t="shared" si="448"/>
        <v/>
      </c>
      <c r="CM267" s="22"/>
      <c r="CN267" s="22"/>
      <c r="CO267" s="22"/>
      <c r="CP267" s="22"/>
      <c r="CQ267" s="22"/>
      <c r="CR267" s="22"/>
      <c r="CS267" s="91">
        <f>$A$41</f>
        <v>20183</v>
      </c>
      <c r="CT267" s="105"/>
      <c r="CU267" s="90" t="str">
        <f t="shared" si="449"/>
        <v/>
      </c>
      <c r="CV267" s="90" t="str">
        <f t="shared" si="449"/>
        <v/>
      </c>
      <c r="CW267" s="90" t="str">
        <f t="shared" si="449"/>
        <v/>
      </c>
      <c r="CX267" s="90" t="str">
        <f t="shared" si="449"/>
        <v/>
      </c>
      <c r="CY267" s="22"/>
      <c r="CZ267" s="22"/>
      <c r="DA267" s="22"/>
      <c r="DB267" s="22"/>
      <c r="DC267" s="22"/>
      <c r="DD267" s="22"/>
      <c r="DE267" s="91">
        <f>$A$41</f>
        <v>20183</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20193</v>
      </c>
      <c r="B268" s="105"/>
      <c r="C268" s="90" t="str">
        <f t="shared" si="441"/>
        <v/>
      </c>
      <c r="D268" s="90" t="str">
        <f t="shared" si="441"/>
        <v/>
      </c>
      <c r="E268" s="90" t="str">
        <f t="shared" si="441"/>
        <v/>
      </c>
      <c r="F268" s="22"/>
      <c r="G268" s="22"/>
      <c r="H268" s="22"/>
      <c r="I268" s="22"/>
      <c r="J268" s="22"/>
      <c r="K268" s="22"/>
      <c r="L268" s="22"/>
      <c r="M268" s="91">
        <f>$A$42</f>
        <v>20193</v>
      </c>
      <c r="N268" s="105"/>
      <c r="O268" s="90" t="str">
        <f t="shared" si="442"/>
        <v/>
      </c>
      <c r="P268" s="90" t="str">
        <f t="shared" si="442"/>
        <v/>
      </c>
      <c r="Q268" s="90" t="str">
        <f t="shared" si="442"/>
        <v/>
      </c>
      <c r="R268" s="22"/>
      <c r="S268" s="22"/>
      <c r="T268" s="22"/>
      <c r="U268" s="22"/>
      <c r="V268" s="22"/>
      <c r="W268" s="22"/>
      <c r="X268" s="22"/>
      <c r="Y268" s="91">
        <f>$A$42</f>
        <v>20193</v>
      </c>
      <c r="Z268" s="105"/>
      <c r="AA268" s="90" t="str">
        <f t="shared" si="443"/>
        <v/>
      </c>
      <c r="AB268" s="90" t="str">
        <f t="shared" si="443"/>
        <v/>
      </c>
      <c r="AC268" s="90" t="str">
        <f t="shared" si="443"/>
        <v/>
      </c>
      <c r="AD268" s="22"/>
      <c r="AE268" s="22"/>
      <c r="AF268" s="22"/>
      <c r="AG268" s="22"/>
      <c r="AH268" s="22"/>
      <c r="AI268" s="22"/>
      <c r="AJ268" s="22"/>
      <c r="AK268" s="91">
        <f>$A$42</f>
        <v>20193</v>
      </c>
      <c r="AL268" s="105"/>
      <c r="AM268" s="90" t="str">
        <f t="shared" si="444"/>
        <v/>
      </c>
      <c r="AN268" s="90" t="str">
        <f t="shared" si="444"/>
        <v/>
      </c>
      <c r="AO268" s="90" t="str">
        <f t="shared" si="444"/>
        <v/>
      </c>
      <c r="AP268" s="22"/>
      <c r="AQ268" s="22"/>
      <c r="AR268" s="22"/>
      <c r="AS268" s="22"/>
      <c r="AT268" s="22"/>
      <c r="AU268" s="22"/>
      <c r="AV268" s="22"/>
      <c r="AW268" s="91">
        <f>$A$42</f>
        <v>20193</v>
      </c>
      <c r="AX268" s="105"/>
      <c r="AY268" s="90" t="str">
        <f t="shared" si="445"/>
        <v/>
      </c>
      <c r="AZ268" s="90" t="str">
        <f t="shared" si="445"/>
        <v/>
      </c>
      <c r="BA268" s="90" t="str">
        <f t="shared" si="445"/>
        <v/>
      </c>
      <c r="BB268" s="22"/>
      <c r="BC268" s="22"/>
      <c r="BD268" s="22"/>
      <c r="BE268" s="22"/>
      <c r="BF268" s="22"/>
      <c r="BG268" s="22"/>
      <c r="BH268" s="22"/>
      <c r="BI268" s="91">
        <f>$A$42</f>
        <v>20193</v>
      </c>
      <c r="BJ268" s="105"/>
      <c r="BK268" s="90" t="str">
        <f t="shared" si="446"/>
        <v/>
      </c>
      <c r="BL268" s="90" t="str">
        <f t="shared" si="446"/>
        <v/>
      </c>
      <c r="BM268" s="90" t="str">
        <f t="shared" si="446"/>
        <v/>
      </c>
      <c r="BN268" s="22"/>
      <c r="BO268" s="22"/>
      <c r="BP268" s="22"/>
      <c r="BQ268" s="22"/>
      <c r="BR268" s="22"/>
      <c r="BS268" s="22"/>
      <c r="BT268" s="22"/>
      <c r="BU268" s="91">
        <f>$A$42</f>
        <v>20193</v>
      </c>
      <c r="BV268" s="105"/>
      <c r="BW268" s="90" t="str">
        <f t="shared" si="447"/>
        <v/>
      </c>
      <c r="BX268" s="90" t="str">
        <f t="shared" si="447"/>
        <v/>
      </c>
      <c r="BY268" s="90" t="str">
        <f t="shared" si="447"/>
        <v/>
      </c>
      <c r="BZ268" s="22"/>
      <c r="CA268" s="22"/>
      <c r="CB268" s="22"/>
      <c r="CC268" s="22"/>
      <c r="CD268" s="22"/>
      <c r="CE268" s="22"/>
      <c r="CF268" s="22"/>
      <c r="CG268" s="91">
        <f>$A$42</f>
        <v>20193</v>
      </c>
      <c r="CH268" s="105"/>
      <c r="CI268" s="90" t="str">
        <f t="shared" si="448"/>
        <v/>
      </c>
      <c r="CJ268" s="90" t="str">
        <f t="shared" si="448"/>
        <v/>
      </c>
      <c r="CK268" s="90" t="str">
        <f t="shared" si="448"/>
        <v/>
      </c>
      <c r="CL268" s="22"/>
      <c r="CM268" s="22"/>
      <c r="CN268" s="22"/>
      <c r="CO268" s="22"/>
      <c r="CP268" s="22"/>
      <c r="CQ268" s="22"/>
      <c r="CR268" s="22"/>
      <c r="CS268" s="91">
        <f>$A$42</f>
        <v>20193</v>
      </c>
      <c r="CT268" s="105"/>
      <c r="CU268" s="90" t="str">
        <f t="shared" si="449"/>
        <v/>
      </c>
      <c r="CV268" s="90" t="str">
        <f t="shared" si="449"/>
        <v/>
      </c>
      <c r="CW268" s="90" t="str">
        <f t="shared" si="449"/>
        <v/>
      </c>
      <c r="CX268" s="22"/>
      <c r="CY268" s="22"/>
      <c r="CZ268" s="22"/>
      <c r="DA268" s="22"/>
      <c r="DB268" s="22"/>
      <c r="DC268" s="22"/>
      <c r="DD268" s="22"/>
      <c r="DE268" s="91">
        <f>$A$42</f>
        <v>20193</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20203</v>
      </c>
      <c r="B269" s="105"/>
      <c r="C269" s="90" t="str">
        <f t="shared" si="441"/>
        <v/>
      </c>
      <c r="D269" s="90" t="str">
        <f t="shared" si="441"/>
        <v/>
      </c>
      <c r="E269" s="22"/>
      <c r="F269" s="22"/>
      <c r="G269" s="22"/>
      <c r="H269" s="22"/>
      <c r="I269" s="22"/>
      <c r="J269" s="22"/>
      <c r="K269" s="22"/>
      <c r="L269" s="22"/>
      <c r="M269" s="91">
        <f>$A$43</f>
        <v>20203</v>
      </c>
      <c r="N269" s="105"/>
      <c r="O269" s="90" t="str">
        <f t="shared" si="442"/>
        <v/>
      </c>
      <c r="P269" s="90" t="str">
        <f t="shared" si="442"/>
        <v/>
      </c>
      <c r="Q269" s="22"/>
      <c r="R269" s="22"/>
      <c r="S269" s="22"/>
      <c r="T269" s="22"/>
      <c r="U269" s="22"/>
      <c r="V269" s="22"/>
      <c r="W269" s="22"/>
      <c r="X269" s="22"/>
      <c r="Y269" s="91">
        <f>$A$43</f>
        <v>20203</v>
      </c>
      <c r="Z269" s="105"/>
      <c r="AA269" s="90" t="str">
        <f t="shared" si="443"/>
        <v/>
      </c>
      <c r="AB269" s="90" t="str">
        <f t="shared" si="443"/>
        <v/>
      </c>
      <c r="AC269" s="22"/>
      <c r="AD269" s="22"/>
      <c r="AE269" s="22"/>
      <c r="AF269" s="22"/>
      <c r="AG269" s="22"/>
      <c r="AH269" s="22"/>
      <c r="AI269" s="22"/>
      <c r="AJ269" s="22"/>
      <c r="AK269" s="91">
        <f>$A$43</f>
        <v>20203</v>
      </c>
      <c r="AL269" s="105"/>
      <c r="AM269" s="90" t="str">
        <f t="shared" si="444"/>
        <v/>
      </c>
      <c r="AN269" s="90" t="str">
        <f t="shared" si="444"/>
        <v/>
      </c>
      <c r="AO269" s="22"/>
      <c r="AP269" s="22"/>
      <c r="AQ269" s="22"/>
      <c r="AR269" s="22"/>
      <c r="AS269" s="22"/>
      <c r="AT269" s="22"/>
      <c r="AU269" s="22"/>
      <c r="AV269" s="22"/>
      <c r="AW269" s="91">
        <f>$A$43</f>
        <v>20203</v>
      </c>
      <c r="AX269" s="105"/>
      <c r="AY269" s="90" t="str">
        <f t="shared" si="445"/>
        <v/>
      </c>
      <c r="AZ269" s="90" t="str">
        <f t="shared" si="445"/>
        <v/>
      </c>
      <c r="BA269" s="22"/>
      <c r="BB269" s="22"/>
      <c r="BC269" s="22"/>
      <c r="BD269" s="22"/>
      <c r="BE269" s="22"/>
      <c r="BF269" s="22"/>
      <c r="BG269" s="22"/>
      <c r="BH269" s="22"/>
      <c r="BI269" s="91">
        <f>$A$43</f>
        <v>20203</v>
      </c>
      <c r="BJ269" s="105"/>
      <c r="BK269" s="90" t="str">
        <f t="shared" si="446"/>
        <v/>
      </c>
      <c r="BL269" s="90" t="str">
        <f t="shared" si="446"/>
        <v/>
      </c>
      <c r="BM269" s="22"/>
      <c r="BN269" s="22"/>
      <c r="BO269" s="22"/>
      <c r="BP269" s="22"/>
      <c r="BQ269" s="22"/>
      <c r="BR269" s="22"/>
      <c r="BS269" s="22"/>
      <c r="BT269" s="22"/>
      <c r="BU269" s="91">
        <f>$A$43</f>
        <v>20203</v>
      </c>
      <c r="BV269" s="105"/>
      <c r="BW269" s="90" t="str">
        <f t="shared" si="447"/>
        <v/>
      </c>
      <c r="BX269" s="90" t="str">
        <f t="shared" si="447"/>
        <v/>
      </c>
      <c r="BY269" s="22"/>
      <c r="BZ269" s="22"/>
      <c r="CA269" s="22"/>
      <c r="CB269" s="22"/>
      <c r="CC269" s="22"/>
      <c r="CD269" s="22"/>
      <c r="CE269" s="22"/>
      <c r="CF269" s="22"/>
      <c r="CG269" s="91">
        <f>$A$43</f>
        <v>20203</v>
      </c>
      <c r="CH269" s="105"/>
      <c r="CI269" s="90" t="str">
        <f t="shared" si="448"/>
        <v/>
      </c>
      <c r="CJ269" s="90" t="str">
        <f t="shared" si="448"/>
        <v/>
      </c>
      <c r="CK269" s="22"/>
      <c r="CL269" s="22"/>
      <c r="CM269" s="22"/>
      <c r="CN269" s="22"/>
      <c r="CO269" s="22"/>
      <c r="CP269" s="22"/>
      <c r="CQ269" s="22"/>
      <c r="CR269" s="22"/>
      <c r="CS269" s="91">
        <f>$A$43</f>
        <v>20203</v>
      </c>
      <c r="CT269" s="105"/>
      <c r="CU269" s="90" t="str">
        <f t="shared" si="449"/>
        <v/>
      </c>
      <c r="CV269" s="90" t="str">
        <f t="shared" si="449"/>
        <v/>
      </c>
      <c r="CW269" s="22"/>
      <c r="CX269" s="22"/>
      <c r="CY269" s="22"/>
      <c r="CZ269" s="22"/>
      <c r="DA269" s="22"/>
      <c r="DB269" s="22"/>
      <c r="DC269" s="22"/>
      <c r="DD269" s="22"/>
      <c r="DE269" s="91">
        <f>$A$43</f>
        <v>20203</v>
      </c>
      <c r="DF269" s="105"/>
      <c r="DG269" s="90" t="str">
        <f t="shared" si="450"/>
        <v/>
      </c>
      <c r="DH269" s="90" t="str">
        <f t="shared" si="450"/>
        <v/>
      </c>
      <c r="DI269" s="22"/>
      <c r="DJ269" s="22"/>
      <c r="DK269" s="22"/>
      <c r="DL269" s="22"/>
      <c r="DM269" s="22"/>
      <c r="DN269" s="22"/>
      <c r="DO269" s="22"/>
      <c r="DP269" s="22"/>
    </row>
    <row r="270" spans="1:120" x14ac:dyDescent="0.25">
      <c r="A270" s="91">
        <f>$A$44</f>
        <v>20213</v>
      </c>
      <c r="B270" s="105"/>
      <c r="C270" s="90" t="str">
        <f t="shared" si="441"/>
        <v/>
      </c>
      <c r="D270" s="22"/>
      <c r="E270" s="22"/>
      <c r="F270" s="22"/>
      <c r="G270" s="22"/>
      <c r="H270" s="22"/>
      <c r="I270" s="22"/>
      <c r="J270" s="22"/>
      <c r="K270" s="22"/>
      <c r="L270" s="22"/>
      <c r="M270" s="91">
        <f>$A$44</f>
        <v>20213</v>
      </c>
      <c r="N270" s="105"/>
      <c r="O270" s="90" t="str">
        <f t="shared" si="442"/>
        <v/>
      </c>
      <c r="P270" s="22"/>
      <c r="Q270" s="22"/>
      <c r="R270" s="22"/>
      <c r="S270" s="22"/>
      <c r="T270" s="22"/>
      <c r="U270" s="22"/>
      <c r="V270" s="22"/>
      <c r="W270" s="22"/>
      <c r="X270" s="22"/>
      <c r="Y270" s="91">
        <f>$A$44</f>
        <v>20213</v>
      </c>
      <c r="Z270" s="105"/>
      <c r="AA270" s="90" t="str">
        <f t="shared" si="443"/>
        <v/>
      </c>
      <c r="AB270" s="22"/>
      <c r="AC270" s="22"/>
      <c r="AD270" s="22"/>
      <c r="AE270" s="22"/>
      <c r="AF270" s="22"/>
      <c r="AG270" s="22"/>
      <c r="AH270" s="22"/>
      <c r="AI270" s="22"/>
      <c r="AJ270" s="22"/>
      <c r="AK270" s="91">
        <f>$A$44</f>
        <v>20213</v>
      </c>
      <c r="AL270" s="105"/>
      <c r="AM270" s="90" t="str">
        <f t="shared" si="444"/>
        <v/>
      </c>
      <c r="AN270" s="22"/>
      <c r="AO270" s="22"/>
      <c r="AP270" s="22"/>
      <c r="AQ270" s="22"/>
      <c r="AR270" s="22"/>
      <c r="AS270" s="22"/>
      <c r="AT270" s="22"/>
      <c r="AU270" s="22"/>
      <c r="AV270" s="22"/>
      <c r="AW270" s="91">
        <f>$A$44</f>
        <v>20213</v>
      </c>
      <c r="AX270" s="105"/>
      <c r="AY270" s="90" t="str">
        <f t="shared" si="445"/>
        <v/>
      </c>
      <c r="AZ270" s="22"/>
      <c r="BA270" s="22"/>
      <c r="BB270" s="22"/>
      <c r="BC270" s="22"/>
      <c r="BD270" s="22"/>
      <c r="BE270" s="22"/>
      <c r="BF270" s="22"/>
      <c r="BG270" s="22"/>
      <c r="BH270" s="22"/>
      <c r="BI270" s="91">
        <f>$A$44</f>
        <v>20213</v>
      </c>
      <c r="BJ270" s="105"/>
      <c r="BK270" s="90" t="str">
        <f t="shared" si="446"/>
        <v/>
      </c>
      <c r="BL270" s="22"/>
      <c r="BM270" s="22"/>
      <c r="BN270" s="22"/>
      <c r="BO270" s="22"/>
      <c r="BP270" s="22"/>
      <c r="BQ270" s="22"/>
      <c r="BR270" s="22"/>
      <c r="BS270" s="22"/>
      <c r="BT270" s="22"/>
      <c r="BU270" s="91">
        <f>$A$44</f>
        <v>20213</v>
      </c>
      <c r="BV270" s="105"/>
      <c r="BW270" s="90" t="str">
        <f t="shared" si="447"/>
        <v/>
      </c>
      <c r="BX270" s="22"/>
      <c r="BY270" s="22"/>
      <c r="BZ270" s="22"/>
      <c r="CA270" s="22"/>
      <c r="CB270" s="22"/>
      <c r="CC270" s="22"/>
      <c r="CD270" s="22"/>
      <c r="CE270" s="22"/>
      <c r="CF270" s="22"/>
      <c r="CG270" s="91">
        <f>$A$44</f>
        <v>20213</v>
      </c>
      <c r="CH270" s="105"/>
      <c r="CI270" s="90" t="str">
        <f t="shared" si="448"/>
        <v/>
      </c>
      <c r="CJ270" s="22"/>
      <c r="CK270" s="22"/>
      <c r="CL270" s="22"/>
      <c r="CM270" s="22"/>
      <c r="CN270" s="22"/>
      <c r="CO270" s="22"/>
      <c r="CP270" s="22"/>
      <c r="CQ270" s="22"/>
      <c r="CR270" s="22"/>
      <c r="CS270" s="91">
        <f>$A$44</f>
        <v>20213</v>
      </c>
      <c r="CT270" s="105"/>
      <c r="CU270" s="90" t="str">
        <f t="shared" si="449"/>
        <v/>
      </c>
      <c r="CV270" s="22"/>
      <c r="CW270" s="22"/>
      <c r="CX270" s="22"/>
      <c r="CY270" s="22"/>
      <c r="CZ270" s="22"/>
      <c r="DA270" s="22"/>
      <c r="DB270" s="22"/>
      <c r="DC270" s="22"/>
      <c r="DD270" s="22"/>
      <c r="DE270" s="91">
        <f>$A$44</f>
        <v>20213</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5"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5"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5"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5"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5"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5"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5"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5"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5"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5"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5"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5"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5"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5"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5"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5"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5"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5"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Mutual Automobile Insurance Company</v>
      </c>
      <c r="B276" s="68"/>
      <c r="C276" s="40"/>
      <c r="D276" s="18"/>
      <c r="E276" s="18"/>
      <c r="F276" s="18"/>
      <c r="G276" s="18"/>
      <c r="H276" s="18"/>
      <c r="I276" s="18"/>
      <c r="J276" s="18"/>
      <c r="K276" s="18"/>
      <c r="L276" s="18"/>
      <c r="M276" s="137" t="str">
        <f>Co_Name</f>
        <v>State Farm Mutual Automobile Insurance Company</v>
      </c>
      <c r="N276" s="68"/>
      <c r="O276" s="40"/>
      <c r="P276" s="18"/>
      <c r="Q276" s="18"/>
      <c r="R276" s="18"/>
      <c r="S276" s="18"/>
      <c r="T276" s="18"/>
      <c r="U276" s="18"/>
      <c r="V276" s="18"/>
      <c r="W276" s="18"/>
      <c r="X276" s="18"/>
      <c r="Y276" s="137" t="str">
        <f>Co_Name</f>
        <v>State Farm Mutual Automobile Insurance Company</v>
      </c>
      <c r="Z276" s="68"/>
      <c r="AA276" s="40"/>
      <c r="AB276" s="18"/>
      <c r="AC276" s="18"/>
      <c r="AD276" s="18"/>
      <c r="AE276" s="18"/>
      <c r="AF276" s="18"/>
      <c r="AG276" s="18"/>
      <c r="AH276" s="18"/>
      <c r="AI276" s="18"/>
      <c r="AJ276" s="18"/>
      <c r="AK276" s="137" t="str">
        <f>Co_Name</f>
        <v>State Farm Mutual Automobile Insurance Company</v>
      </c>
      <c r="AL276" s="68"/>
      <c r="AM276" s="40"/>
      <c r="AN276" s="18"/>
      <c r="AO276" s="18"/>
      <c r="AP276" s="18"/>
      <c r="AQ276" s="18"/>
      <c r="AR276" s="18"/>
      <c r="AS276" s="18"/>
      <c r="AT276" s="18"/>
      <c r="AU276" s="18"/>
      <c r="AV276" s="18"/>
      <c r="AW276" s="137" t="str">
        <f>Co_Name</f>
        <v>State Farm Mutual Automobile Insurance Company</v>
      </c>
      <c r="AX276" s="68"/>
      <c r="AY276" s="40"/>
      <c r="AZ276" s="18"/>
      <c r="BA276" s="18"/>
      <c r="BB276" s="18"/>
      <c r="BC276" s="18"/>
      <c r="BD276" s="18"/>
      <c r="BE276" s="18"/>
      <c r="BF276" s="18"/>
      <c r="BG276" s="18"/>
      <c r="BH276" s="18"/>
      <c r="BI276" s="137" t="str">
        <f>Co_Name</f>
        <v>State Farm Mutual Automobile Insurance Company</v>
      </c>
      <c r="BJ276" s="68"/>
      <c r="BK276" s="40"/>
      <c r="BL276" s="18"/>
      <c r="BM276" s="18"/>
      <c r="BN276" s="18"/>
      <c r="BO276" s="18"/>
      <c r="BP276" s="18"/>
      <c r="BQ276" s="18"/>
      <c r="BR276" s="18"/>
      <c r="BS276" s="18"/>
      <c r="BT276" s="18"/>
      <c r="BU276" s="137" t="str">
        <f>Co_Name</f>
        <v>State Farm Mutual Automobile Insurance Company</v>
      </c>
      <c r="BV276" s="68"/>
      <c r="BW276" s="40"/>
      <c r="BX276" s="18"/>
      <c r="BY276" s="18"/>
      <c r="BZ276" s="18"/>
      <c r="CA276" s="18"/>
      <c r="CB276" s="18"/>
      <c r="CC276" s="18"/>
      <c r="CD276" s="18"/>
      <c r="CE276" s="18"/>
      <c r="CF276" s="18"/>
      <c r="CG276" s="137" t="str">
        <f>Co_Name</f>
        <v>State Farm Mutual Automobile Insurance Company</v>
      </c>
      <c r="CH276" s="68"/>
      <c r="CI276" s="40"/>
      <c r="CJ276" s="18"/>
      <c r="CK276" s="18"/>
      <c r="CL276" s="18"/>
      <c r="CM276" s="18"/>
      <c r="CN276" s="18"/>
      <c r="CO276" s="18"/>
      <c r="CP276" s="18"/>
      <c r="CQ276" s="18"/>
      <c r="CR276" s="18"/>
      <c r="CS276" s="137" t="str">
        <f>Co_Name</f>
        <v>State Farm Mutual Automobile Insurance Company</v>
      </c>
      <c r="CT276" s="68"/>
      <c r="CU276" s="40"/>
      <c r="CV276" s="18"/>
      <c r="CW276" s="18"/>
      <c r="CX276" s="18"/>
      <c r="CY276" s="18"/>
      <c r="CZ276" s="18"/>
      <c r="DA276" s="18"/>
      <c r="DB276" s="18"/>
      <c r="DC276" s="18"/>
      <c r="DD276" s="18"/>
      <c r="DE276" s="137" t="str">
        <f>Co_Name</f>
        <v>State Farm Mutual Automobile Insurance Company</v>
      </c>
      <c r="DF276" s="68"/>
      <c r="DG276" s="40"/>
      <c r="DH276" s="18"/>
      <c r="DI276" s="18"/>
      <c r="DJ276" s="18"/>
      <c r="DK276" s="18"/>
      <c r="DL276" s="18"/>
      <c r="DM276" s="18"/>
      <c r="DN276" s="18"/>
      <c r="DO276" s="18"/>
      <c r="DP276" s="18"/>
    </row>
    <row r="277" spans="1:120" ht="21" x14ac:dyDescent="0.35">
      <c r="A277" s="137" t="str">
        <f>A$2</f>
        <v>Private Passenger Auto Liability</v>
      </c>
      <c r="B277" s="68"/>
      <c r="C277" s="40"/>
      <c r="D277" s="18"/>
      <c r="E277" s="18"/>
      <c r="F277" s="18"/>
      <c r="G277" s="18"/>
      <c r="H277" s="18"/>
      <c r="I277" s="18"/>
      <c r="J277" s="18"/>
      <c r="K277" s="18"/>
      <c r="L277" s="18"/>
      <c r="M277" s="137" t="str">
        <f>M$2</f>
        <v>Private Passenger Auto Liability</v>
      </c>
      <c r="N277" s="68"/>
      <c r="O277" s="40"/>
      <c r="P277" s="18"/>
      <c r="Q277" s="18"/>
      <c r="R277" s="18"/>
      <c r="S277" s="18"/>
      <c r="T277" s="18"/>
      <c r="U277" s="18"/>
      <c r="V277" s="18"/>
      <c r="W277" s="18"/>
      <c r="X277" s="18"/>
      <c r="Y277" s="137" t="str">
        <f>Y$2</f>
        <v>Private Passenger Auto Liability</v>
      </c>
      <c r="Z277" s="68"/>
      <c r="AA277" s="40"/>
      <c r="AB277" s="18"/>
      <c r="AC277" s="18"/>
      <c r="AD277" s="18"/>
      <c r="AE277" s="18"/>
      <c r="AF277" s="18"/>
      <c r="AG277" s="18"/>
      <c r="AH277" s="18"/>
      <c r="AI277" s="18"/>
      <c r="AJ277" s="18"/>
      <c r="AK277" s="137" t="str">
        <f>AK$2</f>
        <v>Private Passenger Auto Liability</v>
      </c>
      <c r="AL277" s="68"/>
      <c r="AM277" s="40"/>
      <c r="AN277" s="18"/>
      <c r="AO277" s="18"/>
      <c r="AP277" s="18"/>
      <c r="AQ277" s="18"/>
      <c r="AR277" s="18"/>
      <c r="AS277" s="18"/>
      <c r="AT277" s="18"/>
      <c r="AU277" s="18"/>
      <c r="AV277" s="18"/>
      <c r="AW277" s="137" t="str">
        <f>AW$2</f>
        <v>Private Passenger Auto Physical Damage</v>
      </c>
      <c r="AX277" s="68"/>
      <c r="AY277" s="40"/>
      <c r="AZ277" s="18"/>
      <c r="BA277" s="18"/>
      <c r="BB277" s="18"/>
      <c r="BC277" s="18"/>
      <c r="BD277" s="18"/>
      <c r="BE277" s="18"/>
      <c r="BF277" s="18"/>
      <c r="BG277" s="18"/>
      <c r="BH277" s="18"/>
      <c r="BI277" s="137" t="str">
        <f>BI$2</f>
        <v>Private Passenger Auto Physical Damage</v>
      </c>
      <c r="BJ277" s="68"/>
      <c r="BK277" s="40"/>
      <c r="BL277" s="18"/>
      <c r="BM277" s="18"/>
      <c r="BN277" s="18"/>
      <c r="BO277" s="18"/>
      <c r="BP277" s="18"/>
      <c r="BQ277" s="18"/>
      <c r="BR277" s="18"/>
      <c r="BS277" s="18"/>
      <c r="BT277" s="18"/>
      <c r="BU277" s="137" t="str">
        <f>BU$2</f>
        <v>Private Passenger Auto Physical Damage</v>
      </c>
      <c r="BV277" s="68"/>
      <c r="BW277" s="40"/>
      <c r="BX277" s="18"/>
      <c r="BY277" s="18"/>
      <c r="BZ277" s="18"/>
      <c r="CA277" s="18"/>
      <c r="CB277" s="18"/>
      <c r="CC277" s="18"/>
      <c r="CD277" s="18"/>
      <c r="CE277" s="18"/>
      <c r="CF277" s="18"/>
      <c r="CG277" s="137" t="str">
        <f>CG$2</f>
        <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195</v>
      </c>
      <c r="B279" s="48"/>
      <c r="C279" s="18"/>
      <c r="D279" s="18"/>
      <c r="E279" s="18"/>
      <c r="F279" s="18"/>
      <c r="G279" s="18"/>
      <c r="H279" s="18"/>
      <c r="I279" s="18"/>
      <c r="J279" s="18"/>
      <c r="K279" s="18"/>
      <c r="L279" s="18"/>
      <c r="M279" s="48" t="s">
        <v>195</v>
      </c>
      <c r="N279" s="48"/>
      <c r="O279" s="18"/>
      <c r="P279" s="18"/>
      <c r="Q279" s="18"/>
      <c r="R279" s="18"/>
      <c r="S279" s="18"/>
      <c r="T279" s="18"/>
      <c r="U279" s="18"/>
      <c r="V279" s="18"/>
      <c r="W279" s="18"/>
      <c r="X279" s="18"/>
      <c r="Y279" s="48" t="s">
        <v>195</v>
      </c>
      <c r="Z279" s="48"/>
      <c r="AA279" s="18"/>
      <c r="AB279" s="18"/>
      <c r="AC279" s="18"/>
      <c r="AD279" s="18"/>
      <c r="AE279" s="18"/>
      <c r="AF279" s="18"/>
      <c r="AG279" s="18"/>
      <c r="AH279" s="18"/>
      <c r="AI279" s="18"/>
      <c r="AJ279" s="18"/>
      <c r="AK279" s="48" t="s">
        <v>195</v>
      </c>
      <c r="AL279" s="48"/>
      <c r="AM279" s="18"/>
      <c r="AN279" s="18"/>
      <c r="AO279" s="18"/>
      <c r="AP279" s="18"/>
      <c r="AQ279" s="18"/>
      <c r="AR279" s="18"/>
      <c r="AS279" s="18"/>
      <c r="AT279" s="18"/>
      <c r="AU279" s="18"/>
      <c r="AV279" s="18"/>
      <c r="AW279" s="48" t="s">
        <v>195</v>
      </c>
      <c r="AX279" s="48"/>
      <c r="AY279" s="18"/>
      <c r="AZ279" s="18"/>
      <c r="BA279" s="18"/>
      <c r="BB279" s="18"/>
      <c r="BC279" s="18"/>
      <c r="BD279" s="18"/>
      <c r="BE279" s="18"/>
      <c r="BF279" s="18"/>
      <c r="BG279" s="18"/>
      <c r="BH279" s="18"/>
      <c r="BI279" s="48" t="s">
        <v>195</v>
      </c>
      <c r="BJ279" s="48"/>
      <c r="BK279" s="18"/>
      <c r="BL279" s="18"/>
      <c r="BM279" s="18"/>
      <c r="BN279" s="18"/>
      <c r="BO279" s="18"/>
      <c r="BP279" s="18"/>
      <c r="BQ279" s="18"/>
      <c r="BR279" s="18"/>
      <c r="BS279" s="18"/>
      <c r="BT279" s="18"/>
      <c r="BU279" s="48" t="s">
        <v>195</v>
      </c>
      <c r="BV279" s="48"/>
      <c r="BW279" s="18"/>
      <c r="BX279" s="18"/>
      <c r="BY279" s="18"/>
      <c r="BZ279" s="18"/>
      <c r="CA279" s="18"/>
      <c r="CB279" s="18"/>
      <c r="CC279" s="18"/>
      <c r="CD279" s="18"/>
      <c r="CE279" s="18"/>
      <c r="CF279" s="18"/>
      <c r="CG279" s="48" t="s">
        <v>195</v>
      </c>
      <c r="CH279" s="48"/>
      <c r="CI279" s="18"/>
      <c r="CJ279" s="18"/>
      <c r="CK279" s="18"/>
      <c r="CL279" s="18"/>
      <c r="CM279" s="18"/>
      <c r="CN279" s="18"/>
      <c r="CO279" s="18"/>
      <c r="CP279" s="18"/>
      <c r="CQ279" s="18"/>
      <c r="CR279" s="18"/>
      <c r="CS279" s="48" t="s">
        <v>195</v>
      </c>
      <c r="CT279" s="48"/>
      <c r="CU279" s="18"/>
      <c r="CV279" s="18"/>
      <c r="CW279" s="18"/>
      <c r="CX279" s="18"/>
      <c r="CY279" s="18"/>
      <c r="CZ279" s="18"/>
      <c r="DA279" s="18"/>
      <c r="DB279" s="18"/>
      <c r="DC279" s="18"/>
      <c r="DD279" s="18"/>
      <c r="DE279" s="48" t="s">
        <v>195</v>
      </c>
      <c r="DF279" s="48"/>
      <c r="DG279" s="18"/>
      <c r="DH279" s="18"/>
      <c r="DI279" s="18"/>
      <c r="DJ279" s="18"/>
      <c r="DK279" s="18"/>
      <c r="DL279" s="18"/>
      <c r="DM279" s="18"/>
      <c r="DN279" s="18"/>
      <c r="DO279" s="18"/>
      <c r="DP279" s="18"/>
    </row>
    <row r="280" spans="1:120" x14ac:dyDescent="0.25">
      <c r="A280" s="138" t="str">
        <f>A$5</f>
        <v>BIPD</v>
      </c>
      <c r="B280" s="69"/>
      <c r="C280" s="18"/>
      <c r="D280" s="18"/>
      <c r="E280" s="18"/>
      <c r="F280" s="18"/>
      <c r="G280" s="18"/>
      <c r="H280" s="18"/>
      <c r="I280" s="18"/>
      <c r="J280" s="18"/>
      <c r="K280" s="18"/>
      <c r="L280" s="18"/>
      <c r="M280" s="138" t="str">
        <f>M$5</f>
        <v>MPC</v>
      </c>
      <c r="N280" s="69"/>
      <c r="O280" s="18"/>
      <c r="P280" s="18"/>
      <c r="Q280" s="18"/>
      <c r="R280" s="18"/>
      <c r="S280" s="18"/>
      <c r="T280" s="18"/>
      <c r="U280" s="18"/>
      <c r="V280" s="18"/>
      <c r="W280" s="18"/>
      <c r="X280" s="18"/>
      <c r="Y280" s="138" t="str">
        <f>Y$5</f>
        <v>UM</v>
      </c>
      <c r="Z280" s="69"/>
      <c r="AA280" s="18"/>
      <c r="AB280" s="18"/>
      <c r="AC280" s="18"/>
      <c r="AD280" s="18"/>
      <c r="AE280" s="18"/>
      <c r="AF280" s="18"/>
      <c r="AG280" s="18"/>
      <c r="AH280" s="18"/>
      <c r="AI280" s="18"/>
      <c r="AJ280" s="18"/>
      <c r="AK280" s="138" t="str">
        <f>AK$5</f>
        <v>COMP</v>
      </c>
      <c r="AL280" s="69"/>
      <c r="AM280" s="18"/>
      <c r="AN280" s="18"/>
      <c r="AO280" s="18"/>
      <c r="AP280" s="18"/>
      <c r="AQ280" s="18"/>
      <c r="AR280" s="18"/>
      <c r="AS280" s="18"/>
      <c r="AT280" s="18"/>
      <c r="AU280" s="18"/>
      <c r="AV280" s="18"/>
      <c r="AW280" s="138" t="str">
        <f>AW$5</f>
        <v>COLL</v>
      </c>
      <c r="AX280" s="69"/>
      <c r="AY280" s="18"/>
      <c r="AZ280" s="18"/>
      <c r="BA280" s="18"/>
      <c r="BB280" s="18"/>
      <c r="BC280" s="18"/>
      <c r="BD280" s="18"/>
      <c r="BE280" s="18"/>
      <c r="BF280" s="18"/>
      <c r="BG280" s="18"/>
      <c r="BH280" s="18"/>
      <c r="BI280" s="138" t="str">
        <f>BI$5</f>
        <v>Misc. Damage</v>
      </c>
      <c r="BJ280" s="69"/>
      <c r="BK280" s="18"/>
      <c r="BL280" s="18"/>
      <c r="BM280" s="18"/>
      <c r="BN280" s="18"/>
      <c r="BO280" s="18"/>
      <c r="BP280" s="18"/>
      <c r="BQ280" s="18"/>
      <c r="BR280" s="18"/>
      <c r="BS280" s="18"/>
      <c r="BT280" s="18"/>
      <c r="BU280" s="138" t="str">
        <f>BU$5</f>
        <v>Misc. Liability</v>
      </c>
      <c r="BV280" s="69"/>
      <c r="BW280" s="18"/>
      <c r="BX280" s="18"/>
      <c r="BY280" s="18"/>
      <c r="BZ280" s="18"/>
      <c r="CA280" s="18"/>
      <c r="CB280" s="18"/>
      <c r="CC280" s="18"/>
      <c r="CD280" s="18"/>
      <c r="CE280" s="18"/>
      <c r="CF280" s="18"/>
      <c r="CG280" s="138">
        <f>CG$5</f>
        <v>0</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ht="30" x14ac:dyDescent="0.25">
      <c r="A283" s="92" t="str">
        <f>$A$35</f>
        <v>Fiscal Accident Year Data Ending</v>
      </c>
      <c r="B283" s="98">
        <f>$B$35</f>
        <v>3</v>
      </c>
      <c r="C283" s="98" t="str">
        <f>$C$35</f>
        <v>15</v>
      </c>
      <c r="D283" s="98">
        <f>$D$35</f>
        <v>27</v>
      </c>
      <c r="E283" s="98">
        <f>$E$35</f>
        <v>39</v>
      </c>
      <c r="F283" s="98">
        <f>$F$35</f>
        <v>51</v>
      </c>
      <c r="G283" s="98">
        <f>$G$35</f>
        <v>63</v>
      </c>
      <c r="H283" s="98">
        <f>$H$35</f>
        <v>75</v>
      </c>
      <c r="I283" s="98">
        <f>$I$35</f>
        <v>87</v>
      </c>
      <c r="J283" s="98">
        <f>$J$35</f>
        <v>99</v>
      </c>
      <c r="K283" s="98">
        <f>$K$35</f>
        <v>111</v>
      </c>
      <c r="L283" s="98">
        <f>$L$35</f>
        <v>123</v>
      </c>
      <c r="M283" s="92" t="str">
        <f>$A$35</f>
        <v>Fiscal Accident Year Data Ending</v>
      </c>
      <c r="N283" s="98">
        <f>$B$35</f>
        <v>3</v>
      </c>
      <c r="O283" s="98" t="str">
        <f>$C$35</f>
        <v>15</v>
      </c>
      <c r="P283" s="98">
        <f>$D$35</f>
        <v>27</v>
      </c>
      <c r="Q283" s="98">
        <f>$E$35</f>
        <v>39</v>
      </c>
      <c r="R283" s="98">
        <f>$F$35</f>
        <v>51</v>
      </c>
      <c r="S283" s="98">
        <f>$G$35</f>
        <v>63</v>
      </c>
      <c r="T283" s="98">
        <f>$H$35</f>
        <v>75</v>
      </c>
      <c r="U283" s="98">
        <f>$I$35</f>
        <v>87</v>
      </c>
      <c r="V283" s="98">
        <f>$J$35</f>
        <v>99</v>
      </c>
      <c r="W283" s="98">
        <f>$K$35</f>
        <v>111</v>
      </c>
      <c r="X283" s="98">
        <f>$L$35</f>
        <v>123</v>
      </c>
      <c r="Y283" s="92" t="str">
        <f>$A$35</f>
        <v>Fiscal Accident Year Data Ending</v>
      </c>
      <c r="Z283" s="98">
        <f>$B$35</f>
        <v>3</v>
      </c>
      <c r="AA283" s="98" t="str">
        <f>$C$35</f>
        <v>15</v>
      </c>
      <c r="AB283" s="98">
        <f>$D$35</f>
        <v>27</v>
      </c>
      <c r="AC283" s="98">
        <f>$E$35</f>
        <v>39</v>
      </c>
      <c r="AD283" s="98">
        <f>$F$35</f>
        <v>51</v>
      </c>
      <c r="AE283" s="98">
        <f>$G$35</f>
        <v>63</v>
      </c>
      <c r="AF283" s="98">
        <f>$H$35</f>
        <v>75</v>
      </c>
      <c r="AG283" s="98">
        <f>$I$35</f>
        <v>87</v>
      </c>
      <c r="AH283" s="98">
        <f>$J$35</f>
        <v>99</v>
      </c>
      <c r="AI283" s="98">
        <f>$K$35</f>
        <v>111</v>
      </c>
      <c r="AJ283" s="98">
        <f>$L$35</f>
        <v>123</v>
      </c>
      <c r="AK283" s="92" t="str">
        <f>$A$35</f>
        <v>Fiscal Accident Year Data Ending</v>
      </c>
      <c r="AL283" s="98">
        <f>$B$35</f>
        <v>3</v>
      </c>
      <c r="AM283" s="98" t="str">
        <f>$C$35</f>
        <v>15</v>
      </c>
      <c r="AN283" s="98">
        <f>$D$35</f>
        <v>27</v>
      </c>
      <c r="AO283" s="98">
        <f>$E$35</f>
        <v>39</v>
      </c>
      <c r="AP283" s="98">
        <f>$F$35</f>
        <v>51</v>
      </c>
      <c r="AQ283" s="98">
        <f>$G$35</f>
        <v>63</v>
      </c>
      <c r="AR283" s="98">
        <f>$H$35</f>
        <v>75</v>
      </c>
      <c r="AS283" s="98">
        <f>$I$35</f>
        <v>87</v>
      </c>
      <c r="AT283" s="98">
        <f>$J$35</f>
        <v>99</v>
      </c>
      <c r="AU283" s="98">
        <f>$K$35</f>
        <v>111</v>
      </c>
      <c r="AV283" s="98">
        <f>$L$35</f>
        <v>123</v>
      </c>
      <c r="AW283" s="92" t="str">
        <f>$A$35</f>
        <v>Fiscal Accident Year Data Ending</v>
      </c>
      <c r="AX283" s="98">
        <f>$B$35</f>
        <v>3</v>
      </c>
      <c r="AY283" s="98" t="str">
        <f>$C$35</f>
        <v>15</v>
      </c>
      <c r="AZ283" s="98">
        <f>$D$35</f>
        <v>27</v>
      </c>
      <c r="BA283" s="98">
        <f>$E$35</f>
        <v>39</v>
      </c>
      <c r="BB283" s="98">
        <f>$F$35</f>
        <v>51</v>
      </c>
      <c r="BC283" s="98">
        <f>$G$35</f>
        <v>63</v>
      </c>
      <c r="BD283" s="98">
        <f>$H$35</f>
        <v>75</v>
      </c>
      <c r="BE283" s="98">
        <f>$I$35</f>
        <v>87</v>
      </c>
      <c r="BF283" s="98">
        <f>$J$35</f>
        <v>99</v>
      </c>
      <c r="BG283" s="98">
        <f>$K$35</f>
        <v>111</v>
      </c>
      <c r="BH283" s="98">
        <f>$L$35</f>
        <v>123</v>
      </c>
      <c r="BI283" s="92" t="str">
        <f>$A$35</f>
        <v>Fiscal Accident Year Data Ending</v>
      </c>
      <c r="BJ283" s="98">
        <f>$B$35</f>
        <v>3</v>
      </c>
      <c r="BK283" s="98" t="str">
        <f>$C$35</f>
        <v>15</v>
      </c>
      <c r="BL283" s="98">
        <f>$D$35</f>
        <v>27</v>
      </c>
      <c r="BM283" s="98">
        <f>$E$35</f>
        <v>39</v>
      </c>
      <c r="BN283" s="98">
        <f>$F$35</f>
        <v>51</v>
      </c>
      <c r="BO283" s="98">
        <f>$G$35</f>
        <v>63</v>
      </c>
      <c r="BP283" s="98">
        <f>$H$35</f>
        <v>75</v>
      </c>
      <c r="BQ283" s="98">
        <f>$I$35</f>
        <v>87</v>
      </c>
      <c r="BR283" s="98">
        <f>$J$35</f>
        <v>99</v>
      </c>
      <c r="BS283" s="98">
        <f>$K$35</f>
        <v>111</v>
      </c>
      <c r="BT283" s="98">
        <f>$L$35</f>
        <v>123</v>
      </c>
      <c r="BU283" s="92" t="str">
        <f>$A$35</f>
        <v>Fiscal Accident Year Data Ending</v>
      </c>
      <c r="BV283" s="98">
        <f>$B$35</f>
        <v>3</v>
      </c>
      <c r="BW283" s="98" t="str">
        <f>$C$35</f>
        <v>15</v>
      </c>
      <c r="BX283" s="98">
        <f>$D$35</f>
        <v>27</v>
      </c>
      <c r="BY283" s="98">
        <f>$E$35</f>
        <v>39</v>
      </c>
      <c r="BZ283" s="98">
        <f>$F$35</f>
        <v>51</v>
      </c>
      <c r="CA283" s="98">
        <f>$G$35</f>
        <v>63</v>
      </c>
      <c r="CB283" s="98">
        <f>$H$35</f>
        <v>75</v>
      </c>
      <c r="CC283" s="98">
        <f>$I$35</f>
        <v>87</v>
      </c>
      <c r="CD283" s="98">
        <f>$J$35</f>
        <v>99</v>
      </c>
      <c r="CE283" s="98">
        <f>$K$35</f>
        <v>111</v>
      </c>
      <c r="CF283" s="98">
        <f>$L$35</f>
        <v>123</v>
      </c>
      <c r="CG283" s="92" t="str">
        <f>$A$35</f>
        <v>Fiscal Accident Year Data Ending</v>
      </c>
      <c r="CH283" s="98">
        <f>$B$35</f>
        <v>3</v>
      </c>
      <c r="CI283" s="98" t="str">
        <f>$C$35</f>
        <v>15</v>
      </c>
      <c r="CJ283" s="98">
        <f>$D$35</f>
        <v>27</v>
      </c>
      <c r="CK283" s="98">
        <f>$E$35</f>
        <v>39</v>
      </c>
      <c r="CL283" s="98">
        <f>$F$35</f>
        <v>51</v>
      </c>
      <c r="CM283" s="98">
        <f>$G$35</f>
        <v>63</v>
      </c>
      <c r="CN283" s="98">
        <f>$H$35</f>
        <v>75</v>
      </c>
      <c r="CO283" s="98">
        <f>$I$35</f>
        <v>87</v>
      </c>
      <c r="CP283" s="98">
        <f>$J$35</f>
        <v>99</v>
      </c>
      <c r="CQ283" s="98">
        <f>$K$35</f>
        <v>111</v>
      </c>
      <c r="CR283" s="98">
        <f>$L$35</f>
        <v>123</v>
      </c>
      <c r="CS283" s="92" t="str">
        <f>$A$35</f>
        <v>Fiscal Accident Year Data Ending</v>
      </c>
      <c r="CT283" s="98">
        <f>$B$35</f>
        <v>3</v>
      </c>
      <c r="CU283" s="98" t="str">
        <f>$C$35</f>
        <v>15</v>
      </c>
      <c r="CV283" s="98">
        <f>$D$35</f>
        <v>27</v>
      </c>
      <c r="CW283" s="98">
        <f>$E$35</f>
        <v>39</v>
      </c>
      <c r="CX283" s="98">
        <f>$F$35</f>
        <v>51</v>
      </c>
      <c r="CY283" s="98">
        <f>$G$35</f>
        <v>63</v>
      </c>
      <c r="CZ283" s="98">
        <f>$H$35</f>
        <v>75</v>
      </c>
      <c r="DA283" s="98">
        <f>$I$35</f>
        <v>87</v>
      </c>
      <c r="DB283" s="98">
        <f>$J$35</f>
        <v>99</v>
      </c>
      <c r="DC283" s="98">
        <f>$K$35</f>
        <v>111</v>
      </c>
      <c r="DD283" s="98">
        <f>$L$35</f>
        <v>123</v>
      </c>
      <c r="DE283" s="92" t="str">
        <f>$A$35</f>
        <v>Fiscal Accident Year Data Ending</v>
      </c>
      <c r="DF283" s="98">
        <f>$B$35</f>
        <v>3</v>
      </c>
      <c r="DG283" s="98" t="str">
        <f>$C$35</f>
        <v>15</v>
      </c>
      <c r="DH283" s="98">
        <f>$D$35</f>
        <v>27</v>
      </c>
      <c r="DI283" s="98">
        <f>$E$35</f>
        <v>39</v>
      </c>
      <c r="DJ283" s="98">
        <f>$F$35</f>
        <v>51</v>
      </c>
      <c r="DK283" s="98">
        <f>$G$35</f>
        <v>63</v>
      </c>
      <c r="DL283" s="98">
        <f>$H$35</f>
        <v>75</v>
      </c>
      <c r="DM283" s="98">
        <f>$I$35</f>
        <v>87</v>
      </c>
      <c r="DN283" s="98">
        <f>$J$35</f>
        <v>99</v>
      </c>
      <c r="DO283" s="98">
        <f>$K$35</f>
        <v>111</v>
      </c>
      <c r="DP283" s="98">
        <f>$L$35</f>
        <v>123</v>
      </c>
    </row>
    <row r="284" spans="1:120" ht="15" customHeight="1" x14ac:dyDescent="0.25">
      <c r="A284" s="31">
        <f>$A$36</f>
        <v>20133</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20133</v>
      </c>
      <c r="N284" s="116"/>
      <c r="O284" s="117">
        <f>IFERROR(O249/O214,"")</f>
        <v>0</v>
      </c>
      <c r="P284" s="117">
        <f t="shared" ref="P284:X284" si="462">IFERROR(P249/P214,"")</f>
        <v>0</v>
      </c>
      <c r="Q284" s="117">
        <f t="shared" si="462"/>
        <v>0</v>
      </c>
      <c r="R284" s="117">
        <f t="shared" si="462"/>
        <v>0</v>
      </c>
      <c r="S284" s="117">
        <f t="shared" si="462"/>
        <v>0</v>
      </c>
      <c r="T284" s="117">
        <f t="shared" si="462"/>
        <v>0</v>
      </c>
      <c r="U284" s="117">
        <f t="shared" si="462"/>
        <v>0</v>
      </c>
      <c r="V284" s="117">
        <f t="shared" si="462"/>
        <v>0</v>
      </c>
      <c r="W284" s="117">
        <f t="shared" si="462"/>
        <v>0</v>
      </c>
      <c r="X284" s="117">
        <f t="shared" si="462"/>
        <v>0</v>
      </c>
      <c r="Y284" s="31">
        <f>$A$36</f>
        <v>20133</v>
      </c>
      <c r="Z284" s="116"/>
      <c r="AA284" s="117">
        <f>IFERROR(AA249/AA214,"")</f>
        <v>0</v>
      </c>
      <c r="AB284" s="117">
        <f t="shared" ref="AB284:AJ284" si="463">IFERROR(AB249/AB214,"")</f>
        <v>0</v>
      </c>
      <c r="AC284" s="117">
        <f t="shared" si="463"/>
        <v>0</v>
      </c>
      <c r="AD284" s="117">
        <f t="shared" si="463"/>
        <v>0</v>
      </c>
      <c r="AE284" s="117">
        <f t="shared" si="463"/>
        <v>0</v>
      </c>
      <c r="AF284" s="117">
        <f t="shared" si="463"/>
        <v>0</v>
      </c>
      <c r="AG284" s="117">
        <f t="shared" si="463"/>
        <v>0</v>
      </c>
      <c r="AH284" s="117">
        <f t="shared" si="463"/>
        <v>0</v>
      </c>
      <c r="AI284" s="117">
        <f t="shared" si="463"/>
        <v>0</v>
      </c>
      <c r="AJ284" s="117">
        <f t="shared" si="463"/>
        <v>0</v>
      </c>
      <c r="AK284" s="31">
        <f>$A$36</f>
        <v>20133</v>
      </c>
      <c r="AL284" s="116"/>
      <c r="AM284" s="117">
        <f>IFERROR(AM249/AM214,"")</f>
        <v>0</v>
      </c>
      <c r="AN284" s="117">
        <f t="shared" ref="AN284:AV284" si="464">IFERROR(AN249/AN214,"")</f>
        <v>0</v>
      </c>
      <c r="AO284" s="117">
        <f t="shared" si="464"/>
        <v>0</v>
      </c>
      <c r="AP284" s="117">
        <f t="shared" si="464"/>
        <v>0</v>
      </c>
      <c r="AQ284" s="117">
        <f t="shared" si="464"/>
        <v>0</v>
      </c>
      <c r="AR284" s="117">
        <f t="shared" si="464"/>
        <v>0</v>
      </c>
      <c r="AS284" s="117">
        <f t="shared" si="464"/>
        <v>0</v>
      </c>
      <c r="AT284" s="117">
        <f t="shared" si="464"/>
        <v>0</v>
      </c>
      <c r="AU284" s="117">
        <f t="shared" si="464"/>
        <v>0</v>
      </c>
      <c r="AV284" s="117">
        <f t="shared" si="464"/>
        <v>0</v>
      </c>
      <c r="AW284" s="31">
        <f>$A$36</f>
        <v>20133</v>
      </c>
      <c r="AX284" s="116"/>
      <c r="AY284" s="117">
        <f>IFERROR(AY249/AY214,"")</f>
        <v>0</v>
      </c>
      <c r="AZ284" s="117">
        <f t="shared" ref="AZ284:BH284" si="465">IFERROR(AZ249/AZ214,"")</f>
        <v>0</v>
      </c>
      <c r="BA284" s="117">
        <f t="shared" si="465"/>
        <v>0</v>
      </c>
      <c r="BB284" s="117">
        <f t="shared" si="465"/>
        <v>0</v>
      </c>
      <c r="BC284" s="117">
        <f t="shared" si="465"/>
        <v>0</v>
      </c>
      <c r="BD284" s="117">
        <f t="shared" si="465"/>
        <v>0</v>
      </c>
      <c r="BE284" s="117">
        <f t="shared" si="465"/>
        <v>0</v>
      </c>
      <c r="BF284" s="117">
        <f t="shared" si="465"/>
        <v>0</v>
      </c>
      <c r="BG284" s="117">
        <f t="shared" si="465"/>
        <v>0</v>
      </c>
      <c r="BH284" s="117">
        <f t="shared" si="465"/>
        <v>0</v>
      </c>
      <c r="BI284" s="31">
        <f>$A$36</f>
        <v>20133</v>
      </c>
      <c r="BJ284" s="116"/>
      <c r="BK284" s="117">
        <f>IFERROR(BK249/BK214,"")</f>
        <v>0</v>
      </c>
      <c r="BL284" s="117">
        <f t="shared" ref="BL284:BT284" si="466">IFERROR(BL249/BL214,"")</f>
        <v>0</v>
      </c>
      <c r="BM284" s="117">
        <f t="shared" si="466"/>
        <v>0</v>
      </c>
      <c r="BN284" s="117">
        <f t="shared" si="466"/>
        <v>0</v>
      </c>
      <c r="BO284" s="117">
        <f t="shared" si="466"/>
        <v>0</v>
      </c>
      <c r="BP284" s="117">
        <f t="shared" si="466"/>
        <v>0</v>
      </c>
      <c r="BQ284" s="117">
        <f t="shared" si="466"/>
        <v>0</v>
      </c>
      <c r="BR284" s="117">
        <f t="shared" si="466"/>
        <v>0</v>
      </c>
      <c r="BS284" s="117">
        <f t="shared" si="466"/>
        <v>0</v>
      </c>
      <c r="BT284" s="117">
        <f t="shared" si="466"/>
        <v>0</v>
      </c>
      <c r="BU284" s="31">
        <f>$A$36</f>
        <v>20133</v>
      </c>
      <c r="BV284" s="116"/>
      <c r="BW284" s="117">
        <f>IFERROR(BW249/BW214,"")</f>
        <v>0</v>
      </c>
      <c r="BX284" s="117">
        <f t="shared" ref="BX284:CF284" si="467">IFERROR(BX249/BX214,"")</f>
        <v>0</v>
      </c>
      <c r="BY284" s="117">
        <f t="shared" si="467"/>
        <v>0</v>
      </c>
      <c r="BZ284" s="117">
        <f t="shared" si="467"/>
        <v>0</v>
      </c>
      <c r="CA284" s="117">
        <f t="shared" si="467"/>
        <v>0</v>
      </c>
      <c r="CB284" s="117">
        <f t="shared" si="467"/>
        <v>0</v>
      </c>
      <c r="CC284" s="117">
        <f t="shared" si="467"/>
        <v>0</v>
      </c>
      <c r="CD284" s="117">
        <f t="shared" si="467"/>
        <v>0</v>
      </c>
      <c r="CE284" s="117">
        <f t="shared" si="467"/>
        <v>0</v>
      </c>
      <c r="CF284" s="117">
        <f t="shared" si="467"/>
        <v>0</v>
      </c>
      <c r="CG284" s="31">
        <f>$A$36</f>
        <v>20133</v>
      </c>
      <c r="CH284" s="116"/>
      <c r="CI284" s="117" t="str">
        <f>IFERROR(CI249/CI214,"")</f>
        <v/>
      </c>
      <c r="CJ284" s="117" t="str">
        <f t="shared" ref="CJ284:CR284" si="468">IFERROR(CJ249/CJ214,"")</f>
        <v/>
      </c>
      <c r="CK284" s="117" t="str">
        <f t="shared" si="468"/>
        <v/>
      </c>
      <c r="CL284" s="117" t="str">
        <f t="shared" si="468"/>
        <v/>
      </c>
      <c r="CM284" s="117" t="str">
        <f t="shared" si="468"/>
        <v/>
      </c>
      <c r="CN284" s="117" t="str">
        <f t="shared" si="468"/>
        <v/>
      </c>
      <c r="CO284" s="117" t="str">
        <f t="shared" si="468"/>
        <v/>
      </c>
      <c r="CP284" s="117" t="str">
        <f t="shared" si="468"/>
        <v/>
      </c>
      <c r="CQ284" s="117" t="str">
        <f t="shared" si="468"/>
        <v/>
      </c>
      <c r="CR284" s="117" t="str">
        <f t="shared" si="468"/>
        <v/>
      </c>
      <c r="CS284" s="31">
        <f>$A$36</f>
        <v>20133</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20133</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20143</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20143</v>
      </c>
      <c r="N285" s="116"/>
      <c r="O285" s="117">
        <f t="shared" ref="O285:W285" si="472">IFERROR(O250/O215,"")</f>
        <v>0</v>
      </c>
      <c r="P285" s="117">
        <f t="shared" si="472"/>
        <v>0</v>
      </c>
      <c r="Q285" s="117">
        <f t="shared" si="472"/>
        <v>0</v>
      </c>
      <c r="R285" s="117">
        <f t="shared" si="472"/>
        <v>0</v>
      </c>
      <c r="S285" s="117">
        <f t="shared" si="472"/>
        <v>0</v>
      </c>
      <c r="T285" s="117">
        <f t="shared" si="472"/>
        <v>0</v>
      </c>
      <c r="U285" s="117">
        <f t="shared" si="472"/>
        <v>0</v>
      </c>
      <c r="V285" s="117">
        <f t="shared" si="472"/>
        <v>0</v>
      </c>
      <c r="W285" s="117">
        <f t="shared" si="472"/>
        <v>0</v>
      </c>
      <c r="X285" s="134"/>
      <c r="Y285" s="31">
        <f>$A$37</f>
        <v>20143</v>
      </c>
      <c r="Z285" s="116"/>
      <c r="AA285" s="117">
        <f t="shared" ref="AA285:AI285" si="473">IFERROR(AA250/AA215,"")</f>
        <v>0</v>
      </c>
      <c r="AB285" s="117">
        <f t="shared" si="473"/>
        <v>0</v>
      </c>
      <c r="AC285" s="117">
        <f t="shared" si="473"/>
        <v>0</v>
      </c>
      <c r="AD285" s="117">
        <f t="shared" si="473"/>
        <v>0</v>
      </c>
      <c r="AE285" s="117">
        <f t="shared" si="473"/>
        <v>0</v>
      </c>
      <c r="AF285" s="117">
        <f t="shared" si="473"/>
        <v>0</v>
      </c>
      <c r="AG285" s="117">
        <f t="shared" si="473"/>
        <v>0</v>
      </c>
      <c r="AH285" s="117">
        <f t="shared" si="473"/>
        <v>0</v>
      </c>
      <c r="AI285" s="117">
        <f t="shared" si="473"/>
        <v>0</v>
      </c>
      <c r="AJ285" s="134"/>
      <c r="AK285" s="31">
        <f>$A$37</f>
        <v>20143</v>
      </c>
      <c r="AL285" s="116"/>
      <c r="AM285" s="117">
        <f t="shared" ref="AM285:AU285" si="474">IFERROR(AM250/AM215,"")</f>
        <v>0</v>
      </c>
      <c r="AN285" s="117">
        <f t="shared" si="474"/>
        <v>0</v>
      </c>
      <c r="AO285" s="117">
        <f t="shared" si="474"/>
        <v>0</v>
      </c>
      <c r="AP285" s="117">
        <f t="shared" si="474"/>
        <v>0</v>
      </c>
      <c r="AQ285" s="117">
        <f t="shared" si="474"/>
        <v>0</v>
      </c>
      <c r="AR285" s="117">
        <f t="shared" si="474"/>
        <v>0</v>
      </c>
      <c r="AS285" s="117">
        <f t="shared" si="474"/>
        <v>0</v>
      </c>
      <c r="AT285" s="117">
        <f t="shared" si="474"/>
        <v>0</v>
      </c>
      <c r="AU285" s="117">
        <f t="shared" si="474"/>
        <v>0</v>
      </c>
      <c r="AV285" s="134"/>
      <c r="AW285" s="31">
        <f>$A$37</f>
        <v>20143</v>
      </c>
      <c r="AX285" s="116"/>
      <c r="AY285" s="117">
        <f t="shared" ref="AY285:BG285" si="475">IFERROR(AY250/AY215,"")</f>
        <v>0</v>
      </c>
      <c r="AZ285" s="117">
        <f t="shared" si="475"/>
        <v>0</v>
      </c>
      <c r="BA285" s="117">
        <f t="shared" si="475"/>
        <v>0</v>
      </c>
      <c r="BB285" s="117">
        <f t="shared" si="475"/>
        <v>0</v>
      </c>
      <c r="BC285" s="117">
        <f t="shared" si="475"/>
        <v>0</v>
      </c>
      <c r="BD285" s="117">
        <f t="shared" si="475"/>
        <v>0</v>
      </c>
      <c r="BE285" s="117">
        <f t="shared" si="475"/>
        <v>0</v>
      </c>
      <c r="BF285" s="117">
        <f t="shared" si="475"/>
        <v>0</v>
      </c>
      <c r="BG285" s="117">
        <f t="shared" si="475"/>
        <v>0</v>
      </c>
      <c r="BH285" s="134"/>
      <c r="BI285" s="31">
        <f>$A$37</f>
        <v>20143</v>
      </c>
      <c r="BJ285" s="116"/>
      <c r="BK285" s="117">
        <f t="shared" ref="BK285:BS285" si="476">IFERROR(BK250/BK215,"")</f>
        <v>0</v>
      </c>
      <c r="BL285" s="117">
        <f t="shared" si="476"/>
        <v>0</v>
      </c>
      <c r="BM285" s="117">
        <f t="shared" si="476"/>
        <v>0</v>
      </c>
      <c r="BN285" s="117">
        <f t="shared" si="476"/>
        <v>0</v>
      </c>
      <c r="BO285" s="117">
        <f t="shared" si="476"/>
        <v>0</v>
      </c>
      <c r="BP285" s="117">
        <f t="shared" si="476"/>
        <v>0</v>
      </c>
      <c r="BQ285" s="117">
        <f t="shared" si="476"/>
        <v>0</v>
      </c>
      <c r="BR285" s="117">
        <f t="shared" si="476"/>
        <v>0</v>
      </c>
      <c r="BS285" s="117">
        <f t="shared" si="476"/>
        <v>0</v>
      </c>
      <c r="BT285" s="134"/>
      <c r="BU285" s="31">
        <f>$A$37</f>
        <v>20143</v>
      </c>
      <c r="BV285" s="116"/>
      <c r="BW285" s="117">
        <f t="shared" ref="BW285:CE285" si="477">IFERROR(BW250/BW215,"")</f>
        <v>0</v>
      </c>
      <c r="BX285" s="117">
        <f t="shared" si="477"/>
        <v>0</v>
      </c>
      <c r="BY285" s="117">
        <f t="shared" si="477"/>
        <v>0</v>
      </c>
      <c r="BZ285" s="117">
        <f t="shared" si="477"/>
        <v>0</v>
      </c>
      <c r="CA285" s="117">
        <f t="shared" si="477"/>
        <v>0</v>
      </c>
      <c r="CB285" s="117">
        <f t="shared" si="477"/>
        <v>0</v>
      </c>
      <c r="CC285" s="117">
        <f t="shared" si="477"/>
        <v>0</v>
      </c>
      <c r="CD285" s="117">
        <f t="shared" si="477"/>
        <v>0</v>
      </c>
      <c r="CE285" s="117">
        <f t="shared" si="477"/>
        <v>0</v>
      </c>
      <c r="CF285" s="134"/>
      <c r="CG285" s="31">
        <f>$A$37</f>
        <v>20143</v>
      </c>
      <c r="CH285" s="116"/>
      <c r="CI285" s="117" t="str">
        <f t="shared" ref="CI285:CQ285" si="478">IFERROR(CI250/CI215,"")</f>
        <v/>
      </c>
      <c r="CJ285" s="117" t="str">
        <f t="shared" si="478"/>
        <v/>
      </c>
      <c r="CK285" s="117" t="str">
        <f t="shared" si="478"/>
        <v/>
      </c>
      <c r="CL285" s="117" t="str">
        <f t="shared" si="478"/>
        <v/>
      </c>
      <c r="CM285" s="117" t="str">
        <f t="shared" si="478"/>
        <v/>
      </c>
      <c r="CN285" s="117" t="str">
        <f t="shared" si="478"/>
        <v/>
      </c>
      <c r="CO285" s="117" t="str">
        <f t="shared" si="478"/>
        <v/>
      </c>
      <c r="CP285" s="117" t="str">
        <f t="shared" si="478"/>
        <v/>
      </c>
      <c r="CQ285" s="117" t="str">
        <f t="shared" si="478"/>
        <v/>
      </c>
      <c r="CR285" s="134"/>
      <c r="CS285" s="31">
        <f>$A$37</f>
        <v>20143</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20143</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20153</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20153</v>
      </c>
      <c r="N286" s="116"/>
      <c r="O286" s="117">
        <f t="shared" ref="O286:V286" si="482">IFERROR(O251/O216,"")</f>
        <v>0</v>
      </c>
      <c r="P286" s="117">
        <f t="shared" si="482"/>
        <v>0</v>
      </c>
      <c r="Q286" s="117">
        <f t="shared" si="482"/>
        <v>0</v>
      </c>
      <c r="R286" s="117">
        <f t="shared" si="482"/>
        <v>0</v>
      </c>
      <c r="S286" s="117">
        <f t="shared" si="482"/>
        <v>0</v>
      </c>
      <c r="T286" s="117">
        <f t="shared" si="482"/>
        <v>0</v>
      </c>
      <c r="U286" s="117">
        <f t="shared" si="482"/>
        <v>0</v>
      </c>
      <c r="V286" s="117">
        <f t="shared" si="482"/>
        <v>0</v>
      </c>
      <c r="W286" s="134"/>
      <c r="X286" s="134"/>
      <c r="Y286" s="31">
        <f>$A$38</f>
        <v>20153</v>
      </c>
      <c r="Z286" s="116"/>
      <c r="AA286" s="117">
        <f t="shared" ref="AA286:AH286" si="483">IFERROR(AA251/AA216,"")</f>
        <v>0</v>
      </c>
      <c r="AB286" s="117">
        <f t="shared" si="483"/>
        <v>0</v>
      </c>
      <c r="AC286" s="117">
        <f t="shared" si="483"/>
        <v>0</v>
      </c>
      <c r="AD286" s="117">
        <f t="shared" si="483"/>
        <v>0</v>
      </c>
      <c r="AE286" s="117">
        <f t="shared" si="483"/>
        <v>0</v>
      </c>
      <c r="AF286" s="117">
        <f t="shared" si="483"/>
        <v>0</v>
      </c>
      <c r="AG286" s="117">
        <f t="shared" si="483"/>
        <v>0</v>
      </c>
      <c r="AH286" s="117">
        <f t="shared" si="483"/>
        <v>0</v>
      </c>
      <c r="AI286" s="134"/>
      <c r="AJ286" s="134"/>
      <c r="AK286" s="31">
        <f>$A$38</f>
        <v>20153</v>
      </c>
      <c r="AL286" s="116"/>
      <c r="AM286" s="117">
        <f t="shared" ref="AM286:AT286" si="484">IFERROR(AM251/AM216,"")</f>
        <v>0</v>
      </c>
      <c r="AN286" s="117">
        <f t="shared" si="484"/>
        <v>0</v>
      </c>
      <c r="AO286" s="117">
        <f t="shared" si="484"/>
        <v>0</v>
      </c>
      <c r="AP286" s="117">
        <f t="shared" si="484"/>
        <v>0</v>
      </c>
      <c r="AQ286" s="117">
        <f t="shared" si="484"/>
        <v>0</v>
      </c>
      <c r="AR286" s="117">
        <f t="shared" si="484"/>
        <v>0</v>
      </c>
      <c r="AS286" s="117">
        <f t="shared" si="484"/>
        <v>0</v>
      </c>
      <c r="AT286" s="117">
        <f t="shared" si="484"/>
        <v>0</v>
      </c>
      <c r="AU286" s="134"/>
      <c r="AV286" s="134"/>
      <c r="AW286" s="31">
        <f>$A$38</f>
        <v>20153</v>
      </c>
      <c r="AX286" s="116"/>
      <c r="AY286" s="117">
        <f t="shared" ref="AY286:BF286" si="485">IFERROR(AY251/AY216,"")</f>
        <v>0</v>
      </c>
      <c r="AZ286" s="117">
        <f t="shared" si="485"/>
        <v>0</v>
      </c>
      <c r="BA286" s="117">
        <f t="shared" si="485"/>
        <v>0</v>
      </c>
      <c r="BB286" s="117">
        <f t="shared" si="485"/>
        <v>0</v>
      </c>
      <c r="BC286" s="117">
        <f t="shared" si="485"/>
        <v>0</v>
      </c>
      <c r="BD286" s="117">
        <f t="shared" si="485"/>
        <v>0</v>
      </c>
      <c r="BE286" s="117">
        <f t="shared" si="485"/>
        <v>0</v>
      </c>
      <c r="BF286" s="117">
        <f t="shared" si="485"/>
        <v>0</v>
      </c>
      <c r="BG286" s="134"/>
      <c r="BH286" s="134"/>
      <c r="BI286" s="31">
        <f>$A$38</f>
        <v>20153</v>
      </c>
      <c r="BJ286" s="116"/>
      <c r="BK286" s="117">
        <f t="shared" ref="BK286:BR286" si="486">IFERROR(BK251/BK216,"")</f>
        <v>0</v>
      </c>
      <c r="BL286" s="117">
        <f t="shared" si="486"/>
        <v>0</v>
      </c>
      <c r="BM286" s="117">
        <f t="shared" si="486"/>
        <v>0</v>
      </c>
      <c r="BN286" s="117">
        <f t="shared" si="486"/>
        <v>0</v>
      </c>
      <c r="BO286" s="117">
        <f t="shared" si="486"/>
        <v>0</v>
      </c>
      <c r="BP286" s="117">
        <f t="shared" si="486"/>
        <v>0</v>
      </c>
      <c r="BQ286" s="117">
        <f t="shared" si="486"/>
        <v>0</v>
      </c>
      <c r="BR286" s="117">
        <f t="shared" si="486"/>
        <v>0</v>
      </c>
      <c r="BS286" s="134"/>
      <c r="BT286" s="134"/>
      <c r="BU286" s="31">
        <f>$A$38</f>
        <v>20153</v>
      </c>
      <c r="BV286" s="116"/>
      <c r="BW286" s="117">
        <f t="shared" ref="BW286:CD286" si="487">IFERROR(BW251/BW216,"")</f>
        <v>0</v>
      </c>
      <c r="BX286" s="117">
        <f t="shared" si="487"/>
        <v>0</v>
      </c>
      <c r="BY286" s="117">
        <f t="shared" si="487"/>
        <v>0</v>
      </c>
      <c r="BZ286" s="117">
        <f t="shared" si="487"/>
        <v>0</v>
      </c>
      <c r="CA286" s="117">
        <f t="shared" si="487"/>
        <v>0</v>
      </c>
      <c r="CB286" s="117">
        <f t="shared" si="487"/>
        <v>0</v>
      </c>
      <c r="CC286" s="117">
        <f t="shared" si="487"/>
        <v>0</v>
      </c>
      <c r="CD286" s="117">
        <f t="shared" si="487"/>
        <v>0</v>
      </c>
      <c r="CE286" s="134"/>
      <c r="CF286" s="134"/>
      <c r="CG286" s="31">
        <f>$A$38</f>
        <v>20153</v>
      </c>
      <c r="CH286" s="116"/>
      <c r="CI286" s="117" t="str">
        <f t="shared" ref="CI286:CP286" si="488">IFERROR(CI251/CI216,"")</f>
        <v/>
      </c>
      <c r="CJ286" s="117" t="str">
        <f t="shared" si="488"/>
        <v/>
      </c>
      <c r="CK286" s="117" t="str">
        <f t="shared" si="488"/>
        <v/>
      </c>
      <c r="CL286" s="117" t="str">
        <f t="shared" si="488"/>
        <v/>
      </c>
      <c r="CM286" s="117" t="str">
        <f t="shared" si="488"/>
        <v/>
      </c>
      <c r="CN286" s="117" t="str">
        <f t="shared" si="488"/>
        <v/>
      </c>
      <c r="CO286" s="117" t="str">
        <f t="shared" si="488"/>
        <v/>
      </c>
      <c r="CP286" s="117" t="str">
        <f t="shared" si="488"/>
        <v/>
      </c>
      <c r="CQ286" s="134"/>
      <c r="CR286" s="134"/>
      <c r="CS286" s="31">
        <f>$A$38</f>
        <v>20153</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20153</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20163</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20163</v>
      </c>
      <c r="N287" s="116"/>
      <c r="O287" s="117">
        <f t="shared" ref="O287:U287" si="492">IFERROR(O252/O217,"")</f>
        <v>0</v>
      </c>
      <c r="P287" s="117">
        <f t="shared" si="492"/>
        <v>0</v>
      </c>
      <c r="Q287" s="117">
        <f t="shared" si="492"/>
        <v>0</v>
      </c>
      <c r="R287" s="117">
        <f t="shared" si="492"/>
        <v>0</v>
      </c>
      <c r="S287" s="117">
        <f t="shared" si="492"/>
        <v>0</v>
      </c>
      <c r="T287" s="117">
        <f t="shared" si="492"/>
        <v>0</v>
      </c>
      <c r="U287" s="117">
        <f t="shared" si="492"/>
        <v>0</v>
      </c>
      <c r="V287" s="134"/>
      <c r="W287" s="134"/>
      <c r="X287" s="134"/>
      <c r="Y287" s="31">
        <f>$A$39</f>
        <v>20163</v>
      </c>
      <c r="Z287" s="116"/>
      <c r="AA287" s="117">
        <f t="shared" ref="AA287:AG287" si="493">IFERROR(AA252/AA217,"")</f>
        <v>0</v>
      </c>
      <c r="AB287" s="117">
        <f t="shared" si="493"/>
        <v>0</v>
      </c>
      <c r="AC287" s="117">
        <f t="shared" si="493"/>
        <v>0</v>
      </c>
      <c r="AD287" s="117">
        <f t="shared" si="493"/>
        <v>0</v>
      </c>
      <c r="AE287" s="117">
        <f t="shared" si="493"/>
        <v>0</v>
      </c>
      <c r="AF287" s="117">
        <f t="shared" si="493"/>
        <v>0</v>
      </c>
      <c r="AG287" s="117">
        <f t="shared" si="493"/>
        <v>0</v>
      </c>
      <c r="AH287" s="134"/>
      <c r="AI287" s="134"/>
      <c r="AJ287" s="134"/>
      <c r="AK287" s="31">
        <f>$A$39</f>
        <v>20163</v>
      </c>
      <c r="AL287" s="116"/>
      <c r="AM287" s="117">
        <f t="shared" ref="AM287:AS287" si="494">IFERROR(AM252/AM217,"")</f>
        <v>0</v>
      </c>
      <c r="AN287" s="117">
        <f t="shared" si="494"/>
        <v>0</v>
      </c>
      <c r="AO287" s="117">
        <f t="shared" si="494"/>
        <v>0</v>
      </c>
      <c r="AP287" s="117">
        <f t="shared" si="494"/>
        <v>0</v>
      </c>
      <c r="AQ287" s="117">
        <f t="shared" si="494"/>
        <v>0</v>
      </c>
      <c r="AR287" s="117">
        <f t="shared" si="494"/>
        <v>0</v>
      </c>
      <c r="AS287" s="117">
        <f t="shared" si="494"/>
        <v>0</v>
      </c>
      <c r="AT287" s="134"/>
      <c r="AU287" s="134"/>
      <c r="AV287" s="134"/>
      <c r="AW287" s="31">
        <f>$A$39</f>
        <v>20163</v>
      </c>
      <c r="AX287" s="116"/>
      <c r="AY287" s="117">
        <f t="shared" ref="AY287:BE287" si="495">IFERROR(AY252/AY217,"")</f>
        <v>0</v>
      </c>
      <c r="AZ287" s="117">
        <f t="shared" si="495"/>
        <v>0</v>
      </c>
      <c r="BA287" s="117">
        <f t="shared" si="495"/>
        <v>0</v>
      </c>
      <c r="BB287" s="117">
        <f t="shared" si="495"/>
        <v>0</v>
      </c>
      <c r="BC287" s="117">
        <f t="shared" si="495"/>
        <v>0</v>
      </c>
      <c r="BD287" s="117">
        <f t="shared" si="495"/>
        <v>0</v>
      </c>
      <c r="BE287" s="117">
        <f t="shared" si="495"/>
        <v>0</v>
      </c>
      <c r="BF287" s="134"/>
      <c r="BG287" s="134"/>
      <c r="BH287" s="134"/>
      <c r="BI287" s="31">
        <f>$A$39</f>
        <v>20163</v>
      </c>
      <c r="BJ287" s="116"/>
      <c r="BK287" s="117">
        <f t="shared" ref="BK287:BQ287" si="496">IFERROR(BK252/BK217,"")</f>
        <v>0</v>
      </c>
      <c r="BL287" s="117">
        <f t="shared" si="496"/>
        <v>0</v>
      </c>
      <c r="BM287" s="117">
        <f t="shared" si="496"/>
        <v>0</v>
      </c>
      <c r="BN287" s="117">
        <f t="shared" si="496"/>
        <v>0</v>
      </c>
      <c r="BO287" s="117">
        <f t="shared" si="496"/>
        <v>0</v>
      </c>
      <c r="BP287" s="117">
        <f t="shared" si="496"/>
        <v>0</v>
      </c>
      <c r="BQ287" s="117">
        <f t="shared" si="496"/>
        <v>0</v>
      </c>
      <c r="BR287" s="134"/>
      <c r="BS287" s="134"/>
      <c r="BT287" s="134"/>
      <c r="BU287" s="31">
        <f>$A$39</f>
        <v>20163</v>
      </c>
      <c r="BV287" s="116"/>
      <c r="BW287" s="117">
        <f t="shared" ref="BW287:CC287" si="497">IFERROR(BW252/BW217,"")</f>
        <v>0</v>
      </c>
      <c r="BX287" s="117">
        <f t="shared" si="497"/>
        <v>0</v>
      </c>
      <c r="BY287" s="117">
        <f t="shared" si="497"/>
        <v>0</v>
      </c>
      <c r="BZ287" s="117">
        <f t="shared" si="497"/>
        <v>0</v>
      </c>
      <c r="CA287" s="117">
        <f t="shared" si="497"/>
        <v>0</v>
      </c>
      <c r="CB287" s="117">
        <f t="shared" si="497"/>
        <v>0</v>
      </c>
      <c r="CC287" s="117">
        <f t="shared" si="497"/>
        <v>0</v>
      </c>
      <c r="CD287" s="134"/>
      <c r="CE287" s="134"/>
      <c r="CF287" s="134"/>
      <c r="CG287" s="31">
        <f>$A$39</f>
        <v>20163</v>
      </c>
      <c r="CH287" s="116"/>
      <c r="CI287" s="117" t="str">
        <f t="shared" ref="CI287:CO287" si="498">IFERROR(CI252/CI217,"")</f>
        <v/>
      </c>
      <c r="CJ287" s="117" t="str">
        <f t="shared" si="498"/>
        <v/>
      </c>
      <c r="CK287" s="117" t="str">
        <f t="shared" si="498"/>
        <v/>
      </c>
      <c r="CL287" s="117" t="str">
        <f t="shared" si="498"/>
        <v/>
      </c>
      <c r="CM287" s="117" t="str">
        <f t="shared" si="498"/>
        <v/>
      </c>
      <c r="CN287" s="117" t="str">
        <f t="shared" si="498"/>
        <v/>
      </c>
      <c r="CO287" s="117" t="str">
        <f t="shared" si="498"/>
        <v/>
      </c>
      <c r="CP287" s="134"/>
      <c r="CQ287" s="134"/>
      <c r="CR287" s="134"/>
      <c r="CS287" s="31">
        <f>$A$39</f>
        <v>20163</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20163</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20173</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20173</v>
      </c>
      <c r="N288" s="116"/>
      <c r="O288" s="117">
        <f t="shared" ref="O288:T288" si="502">IFERROR(O253/O218,"")</f>
        <v>0</v>
      </c>
      <c r="P288" s="117">
        <f t="shared" si="502"/>
        <v>0</v>
      </c>
      <c r="Q288" s="117">
        <f t="shared" si="502"/>
        <v>0</v>
      </c>
      <c r="R288" s="117">
        <f t="shared" si="502"/>
        <v>0</v>
      </c>
      <c r="S288" s="117">
        <f t="shared" si="502"/>
        <v>0</v>
      </c>
      <c r="T288" s="117">
        <f t="shared" si="502"/>
        <v>0</v>
      </c>
      <c r="U288" s="134"/>
      <c r="V288" s="134"/>
      <c r="W288" s="134"/>
      <c r="X288" s="134"/>
      <c r="Y288" s="31">
        <f>$A$40</f>
        <v>20173</v>
      </c>
      <c r="Z288" s="116"/>
      <c r="AA288" s="117">
        <f t="shared" ref="AA288:AF288" si="503">IFERROR(AA253/AA218,"")</f>
        <v>0</v>
      </c>
      <c r="AB288" s="117">
        <f t="shared" si="503"/>
        <v>0</v>
      </c>
      <c r="AC288" s="117">
        <f t="shared" si="503"/>
        <v>0</v>
      </c>
      <c r="AD288" s="117">
        <f t="shared" si="503"/>
        <v>0</v>
      </c>
      <c r="AE288" s="117">
        <f t="shared" si="503"/>
        <v>0</v>
      </c>
      <c r="AF288" s="117">
        <f t="shared" si="503"/>
        <v>0</v>
      </c>
      <c r="AG288" s="134"/>
      <c r="AH288" s="134"/>
      <c r="AI288" s="134"/>
      <c r="AJ288" s="134"/>
      <c r="AK288" s="31">
        <f>$A$40</f>
        <v>20173</v>
      </c>
      <c r="AL288" s="116"/>
      <c r="AM288" s="117">
        <f t="shared" ref="AM288:AR288" si="504">IFERROR(AM253/AM218,"")</f>
        <v>0</v>
      </c>
      <c r="AN288" s="117">
        <f t="shared" si="504"/>
        <v>0</v>
      </c>
      <c r="AO288" s="117">
        <f t="shared" si="504"/>
        <v>0</v>
      </c>
      <c r="AP288" s="117">
        <f t="shared" si="504"/>
        <v>0</v>
      </c>
      <c r="AQ288" s="117">
        <f t="shared" si="504"/>
        <v>0</v>
      </c>
      <c r="AR288" s="117">
        <f t="shared" si="504"/>
        <v>0</v>
      </c>
      <c r="AS288" s="134"/>
      <c r="AT288" s="134"/>
      <c r="AU288" s="134"/>
      <c r="AV288" s="134"/>
      <c r="AW288" s="31">
        <f>$A$40</f>
        <v>20173</v>
      </c>
      <c r="AX288" s="116"/>
      <c r="AY288" s="117">
        <f t="shared" ref="AY288:BD288" si="505">IFERROR(AY253/AY218,"")</f>
        <v>0</v>
      </c>
      <c r="AZ288" s="117">
        <f t="shared" si="505"/>
        <v>0</v>
      </c>
      <c r="BA288" s="117">
        <f t="shared" si="505"/>
        <v>0</v>
      </c>
      <c r="BB288" s="117">
        <f t="shared" si="505"/>
        <v>0</v>
      </c>
      <c r="BC288" s="117">
        <f t="shared" si="505"/>
        <v>0</v>
      </c>
      <c r="BD288" s="117">
        <f t="shared" si="505"/>
        <v>0</v>
      </c>
      <c r="BE288" s="134"/>
      <c r="BF288" s="134"/>
      <c r="BG288" s="134"/>
      <c r="BH288" s="134"/>
      <c r="BI288" s="31">
        <f>$A$40</f>
        <v>20173</v>
      </c>
      <c r="BJ288" s="116"/>
      <c r="BK288" s="117">
        <f t="shared" ref="BK288:BP288" si="506">IFERROR(BK253/BK218,"")</f>
        <v>0</v>
      </c>
      <c r="BL288" s="117">
        <f t="shared" si="506"/>
        <v>0</v>
      </c>
      <c r="BM288" s="117">
        <f t="shared" si="506"/>
        <v>0</v>
      </c>
      <c r="BN288" s="117">
        <f t="shared" si="506"/>
        <v>0</v>
      </c>
      <c r="BO288" s="117">
        <f t="shared" si="506"/>
        <v>0</v>
      </c>
      <c r="BP288" s="117">
        <f t="shared" si="506"/>
        <v>0</v>
      </c>
      <c r="BQ288" s="134"/>
      <c r="BR288" s="134"/>
      <c r="BS288" s="134"/>
      <c r="BT288" s="134"/>
      <c r="BU288" s="31">
        <f>$A$40</f>
        <v>20173</v>
      </c>
      <c r="BV288" s="116"/>
      <c r="BW288" s="117">
        <f t="shared" ref="BW288:CB288" si="507">IFERROR(BW253/BW218,"")</f>
        <v>0</v>
      </c>
      <c r="BX288" s="117">
        <f t="shared" si="507"/>
        <v>0</v>
      </c>
      <c r="BY288" s="117">
        <f t="shared" si="507"/>
        <v>0</v>
      </c>
      <c r="BZ288" s="117">
        <f t="shared" si="507"/>
        <v>0</v>
      </c>
      <c r="CA288" s="117">
        <f t="shared" si="507"/>
        <v>0</v>
      </c>
      <c r="CB288" s="117">
        <f t="shared" si="507"/>
        <v>0</v>
      </c>
      <c r="CC288" s="134"/>
      <c r="CD288" s="134"/>
      <c r="CE288" s="134"/>
      <c r="CF288" s="134"/>
      <c r="CG288" s="31">
        <f>$A$40</f>
        <v>20173</v>
      </c>
      <c r="CH288" s="116"/>
      <c r="CI288" s="117" t="str">
        <f t="shared" ref="CI288:CN288" si="508">IFERROR(CI253/CI218,"")</f>
        <v/>
      </c>
      <c r="CJ288" s="117" t="str">
        <f t="shared" si="508"/>
        <v/>
      </c>
      <c r="CK288" s="117" t="str">
        <f t="shared" si="508"/>
        <v/>
      </c>
      <c r="CL288" s="117" t="str">
        <f t="shared" si="508"/>
        <v/>
      </c>
      <c r="CM288" s="117" t="str">
        <f t="shared" si="508"/>
        <v/>
      </c>
      <c r="CN288" s="117" t="str">
        <f t="shared" si="508"/>
        <v/>
      </c>
      <c r="CO288" s="134"/>
      <c r="CP288" s="134"/>
      <c r="CQ288" s="134"/>
      <c r="CR288" s="134"/>
      <c r="CS288" s="31">
        <f>$A$40</f>
        <v>20173</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20173</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20183</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20183</v>
      </c>
      <c r="N289" s="116"/>
      <c r="O289" s="117">
        <f t="shared" ref="O289:S289" si="512">IFERROR(O254/O219,"")</f>
        <v>0</v>
      </c>
      <c r="P289" s="117">
        <f t="shared" si="512"/>
        <v>0</v>
      </c>
      <c r="Q289" s="117">
        <f t="shared" si="512"/>
        <v>0</v>
      </c>
      <c r="R289" s="117">
        <f t="shared" si="512"/>
        <v>0</v>
      </c>
      <c r="S289" s="117">
        <f t="shared" si="512"/>
        <v>0</v>
      </c>
      <c r="T289" s="134"/>
      <c r="U289" s="134"/>
      <c r="V289" s="134"/>
      <c r="W289" s="134"/>
      <c r="X289" s="134"/>
      <c r="Y289" s="31">
        <f>$A$41</f>
        <v>20183</v>
      </c>
      <c r="Z289" s="116"/>
      <c r="AA289" s="117">
        <f t="shared" ref="AA289:AE289" si="513">IFERROR(AA254/AA219,"")</f>
        <v>0</v>
      </c>
      <c r="AB289" s="117">
        <f t="shared" si="513"/>
        <v>0</v>
      </c>
      <c r="AC289" s="117">
        <f t="shared" si="513"/>
        <v>0</v>
      </c>
      <c r="AD289" s="117">
        <f t="shared" si="513"/>
        <v>0</v>
      </c>
      <c r="AE289" s="117">
        <f t="shared" si="513"/>
        <v>0</v>
      </c>
      <c r="AF289" s="134"/>
      <c r="AG289" s="134"/>
      <c r="AH289" s="134"/>
      <c r="AI289" s="134"/>
      <c r="AJ289" s="134"/>
      <c r="AK289" s="31">
        <f>$A$41</f>
        <v>20183</v>
      </c>
      <c r="AL289" s="116"/>
      <c r="AM289" s="117">
        <f t="shared" ref="AM289:AQ289" si="514">IFERROR(AM254/AM219,"")</f>
        <v>0</v>
      </c>
      <c r="AN289" s="117">
        <f t="shared" si="514"/>
        <v>0</v>
      </c>
      <c r="AO289" s="117">
        <f t="shared" si="514"/>
        <v>0</v>
      </c>
      <c r="AP289" s="117">
        <f t="shared" si="514"/>
        <v>0</v>
      </c>
      <c r="AQ289" s="117">
        <f t="shared" si="514"/>
        <v>0</v>
      </c>
      <c r="AR289" s="134"/>
      <c r="AS289" s="134"/>
      <c r="AT289" s="134"/>
      <c r="AU289" s="134"/>
      <c r="AV289" s="134"/>
      <c r="AW289" s="31">
        <f>$A$41</f>
        <v>20183</v>
      </c>
      <c r="AX289" s="116"/>
      <c r="AY289" s="117">
        <f t="shared" ref="AY289:BC289" si="515">IFERROR(AY254/AY219,"")</f>
        <v>0</v>
      </c>
      <c r="AZ289" s="117">
        <f t="shared" si="515"/>
        <v>0</v>
      </c>
      <c r="BA289" s="117">
        <f t="shared" si="515"/>
        <v>0</v>
      </c>
      <c r="BB289" s="117">
        <f t="shared" si="515"/>
        <v>0</v>
      </c>
      <c r="BC289" s="117">
        <f t="shared" si="515"/>
        <v>0</v>
      </c>
      <c r="BD289" s="134"/>
      <c r="BE289" s="134"/>
      <c r="BF289" s="134"/>
      <c r="BG289" s="134"/>
      <c r="BH289" s="134"/>
      <c r="BI289" s="31">
        <f>$A$41</f>
        <v>20183</v>
      </c>
      <c r="BJ289" s="116"/>
      <c r="BK289" s="117">
        <f t="shared" ref="BK289:BO289" si="516">IFERROR(BK254/BK219,"")</f>
        <v>0</v>
      </c>
      <c r="BL289" s="117">
        <f t="shared" si="516"/>
        <v>0</v>
      </c>
      <c r="BM289" s="117">
        <f t="shared" si="516"/>
        <v>0</v>
      </c>
      <c r="BN289" s="117">
        <f t="shared" si="516"/>
        <v>0</v>
      </c>
      <c r="BO289" s="117">
        <f t="shared" si="516"/>
        <v>0</v>
      </c>
      <c r="BP289" s="134"/>
      <c r="BQ289" s="134"/>
      <c r="BR289" s="134"/>
      <c r="BS289" s="134"/>
      <c r="BT289" s="134"/>
      <c r="BU289" s="31">
        <f>$A$41</f>
        <v>20183</v>
      </c>
      <c r="BV289" s="116"/>
      <c r="BW289" s="117">
        <f t="shared" ref="BW289:CA289" si="517">IFERROR(BW254/BW219,"")</f>
        <v>0</v>
      </c>
      <c r="BX289" s="117">
        <f t="shared" si="517"/>
        <v>0</v>
      </c>
      <c r="BY289" s="117">
        <f t="shared" si="517"/>
        <v>0</v>
      </c>
      <c r="BZ289" s="117">
        <f t="shared" si="517"/>
        <v>0</v>
      </c>
      <c r="CA289" s="117">
        <f t="shared" si="517"/>
        <v>0</v>
      </c>
      <c r="CB289" s="134"/>
      <c r="CC289" s="134"/>
      <c r="CD289" s="134"/>
      <c r="CE289" s="134"/>
      <c r="CF289" s="134"/>
      <c r="CG289" s="31">
        <f>$A$41</f>
        <v>20183</v>
      </c>
      <c r="CH289" s="116"/>
      <c r="CI289" s="117" t="str">
        <f t="shared" ref="CI289:CM289" si="518">IFERROR(CI254/CI219,"")</f>
        <v/>
      </c>
      <c r="CJ289" s="117" t="str">
        <f t="shared" si="518"/>
        <v/>
      </c>
      <c r="CK289" s="117" t="str">
        <f t="shared" si="518"/>
        <v/>
      </c>
      <c r="CL289" s="117" t="str">
        <f t="shared" si="518"/>
        <v/>
      </c>
      <c r="CM289" s="117" t="str">
        <f t="shared" si="518"/>
        <v/>
      </c>
      <c r="CN289" s="134"/>
      <c r="CO289" s="134"/>
      <c r="CP289" s="134"/>
      <c r="CQ289" s="134"/>
      <c r="CR289" s="134"/>
      <c r="CS289" s="31">
        <f>$A$41</f>
        <v>20183</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20183</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20193</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20193</v>
      </c>
      <c r="N290" s="116"/>
      <c r="O290" s="117">
        <f t="shared" ref="O290:R290" si="522">IFERROR(O255/O220,"")</f>
        <v>0</v>
      </c>
      <c r="P290" s="117">
        <f t="shared" si="522"/>
        <v>0</v>
      </c>
      <c r="Q290" s="117">
        <f t="shared" si="522"/>
        <v>0</v>
      </c>
      <c r="R290" s="117">
        <f t="shared" si="522"/>
        <v>0</v>
      </c>
      <c r="S290" s="134"/>
      <c r="T290" s="134"/>
      <c r="U290" s="134"/>
      <c r="V290" s="134"/>
      <c r="W290" s="134"/>
      <c r="X290" s="134"/>
      <c r="Y290" s="31">
        <f>$A$42</f>
        <v>20193</v>
      </c>
      <c r="Z290" s="116"/>
      <c r="AA290" s="117">
        <f t="shared" ref="AA290:AD290" si="523">IFERROR(AA255/AA220,"")</f>
        <v>0</v>
      </c>
      <c r="AB290" s="117">
        <f t="shared" si="523"/>
        <v>0</v>
      </c>
      <c r="AC290" s="117">
        <f t="shared" si="523"/>
        <v>0</v>
      </c>
      <c r="AD290" s="117">
        <f t="shared" si="523"/>
        <v>0</v>
      </c>
      <c r="AE290" s="134"/>
      <c r="AF290" s="134"/>
      <c r="AG290" s="134"/>
      <c r="AH290" s="134"/>
      <c r="AI290" s="134"/>
      <c r="AJ290" s="134"/>
      <c r="AK290" s="31">
        <f>$A$42</f>
        <v>20193</v>
      </c>
      <c r="AL290" s="116"/>
      <c r="AM290" s="117">
        <f t="shared" ref="AM290:AP290" si="524">IFERROR(AM255/AM220,"")</f>
        <v>0</v>
      </c>
      <c r="AN290" s="117">
        <f t="shared" si="524"/>
        <v>0</v>
      </c>
      <c r="AO290" s="117">
        <f t="shared" si="524"/>
        <v>0</v>
      </c>
      <c r="AP290" s="117">
        <f t="shared" si="524"/>
        <v>0</v>
      </c>
      <c r="AQ290" s="134"/>
      <c r="AR290" s="134"/>
      <c r="AS290" s="134"/>
      <c r="AT290" s="134"/>
      <c r="AU290" s="134"/>
      <c r="AV290" s="134"/>
      <c r="AW290" s="31">
        <f>$A$42</f>
        <v>20193</v>
      </c>
      <c r="AX290" s="116"/>
      <c r="AY290" s="117">
        <f t="shared" ref="AY290:BB290" si="525">IFERROR(AY255/AY220,"")</f>
        <v>0</v>
      </c>
      <c r="AZ290" s="117">
        <f t="shared" si="525"/>
        <v>0</v>
      </c>
      <c r="BA290" s="117">
        <f t="shared" si="525"/>
        <v>0</v>
      </c>
      <c r="BB290" s="117">
        <f t="shared" si="525"/>
        <v>0</v>
      </c>
      <c r="BC290" s="134"/>
      <c r="BD290" s="134"/>
      <c r="BE290" s="134"/>
      <c r="BF290" s="134"/>
      <c r="BG290" s="134"/>
      <c r="BH290" s="134"/>
      <c r="BI290" s="31">
        <f>$A$42</f>
        <v>20193</v>
      </c>
      <c r="BJ290" s="116"/>
      <c r="BK290" s="117">
        <f t="shared" ref="BK290:BN290" si="526">IFERROR(BK255/BK220,"")</f>
        <v>0</v>
      </c>
      <c r="BL290" s="117">
        <f t="shared" si="526"/>
        <v>0</v>
      </c>
      <c r="BM290" s="117">
        <f t="shared" si="526"/>
        <v>0</v>
      </c>
      <c r="BN290" s="117">
        <f t="shared" si="526"/>
        <v>0</v>
      </c>
      <c r="BO290" s="134"/>
      <c r="BP290" s="134"/>
      <c r="BQ290" s="134"/>
      <c r="BR290" s="134"/>
      <c r="BS290" s="134"/>
      <c r="BT290" s="134"/>
      <c r="BU290" s="31">
        <f>$A$42</f>
        <v>20193</v>
      </c>
      <c r="BV290" s="116"/>
      <c r="BW290" s="117">
        <f t="shared" ref="BW290:BZ290" si="527">IFERROR(BW255/BW220,"")</f>
        <v>0</v>
      </c>
      <c r="BX290" s="117">
        <f t="shared" si="527"/>
        <v>0</v>
      </c>
      <c r="BY290" s="117">
        <f t="shared" si="527"/>
        <v>0</v>
      </c>
      <c r="BZ290" s="117">
        <f t="shared" si="527"/>
        <v>0</v>
      </c>
      <c r="CA290" s="134"/>
      <c r="CB290" s="134"/>
      <c r="CC290" s="134"/>
      <c r="CD290" s="134"/>
      <c r="CE290" s="134"/>
      <c r="CF290" s="134"/>
      <c r="CG290" s="31">
        <f>$A$42</f>
        <v>20193</v>
      </c>
      <c r="CH290" s="116"/>
      <c r="CI290" s="117" t="str">
        <f t="shared" ref="CI290:CL290" si="528">IFERROR(CI255/CI220,"")</f>
        <v/>
      </c>
      <c r="CJ290" s="117" t="str">
        <f t="shared" si="528"/>
        <v/>
      </c>
      <c r="CK290" s="117" t="str">
        <f t="shared" si="528"/>
        <v/>
      </c>
      <c r="CL290" s="117" t="str">
        <f t="shared" si="528"/>
        <v/>
      </c>
      <c r="CM290" s="134"/>
      <c r="CN290" s="134"/>
      <c r="CO290" s="134"/>
      <c r="CP290" s="134"/>
      <c r="CQ290" s="134"/>
      <c r="CR290" s="134"/>
      <c r="CS290" s="31">
        <f>$A$42</f>
        <v>20193</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20193</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20203</v>
      </c>
      <c r="B291" s="116"/>
      <c r="C291" s="117">
        <f t="shared" ref="C291:E293" si="531">IFERROR(C256/C221,"")</f>
        <v>0</v>
      </c>
      <c r="D291" s="117">
        <f t="shared" si="531"/>
        <v>0</v>
      </c>
      <c r="E291" s="117">
        <f t="shared" si="531"/>
        <v>0</v>
      </c>
      <c r="F291" s="134"/>
      <c r="G291" s="134"/>
      <c r="H291" s="134"/>
      <c r="I291" s="134"/>
      <c r="J291" s="134"/>
      <c r="K291" s="134"/>
      <c r="L291" s="134"/>
      <c r="M291" s="31">
        <f>$A$43</f>
        <v>20203</v>
      </c>
      <c r="N291" s="116"/>
      <c r="O291" s="117">
        <f t="shared" ref="O291:Q291" si="532">IFERROR(O256/O221,"")</f>
        <v>0</v>
      </c>
      <c r="P291" s="117">
        <f t="shared" si="532"/>
        <v>0</v>
      </c>
      <c r="Q291" s="117">
        <f t="shared" si="532"/>
        <v>0</v>
      </c>
      <c r="R291" s="134"/>
      <c r="S291" s="134"/>
      <c r="T291" s="134"/>
      <c r="U291" s="134"/>
      <c r="V291" s="134"/>
      <c r="W291" s="134"/>
      <c r="X291" s="134"/>
      <c r="Y291" s="31">
        <f>$A$43</f>
        <v>20203</v>
      </c>
      <c r="Z291" s="116"/>
      <c r="AA291" s="117">
        <f t="shared" ref="AA291:AC291" si="533">IFERROR(AA256/AA221,"")</f>
        <v>0</v>
      </c>
      <c r="AB291" s="117">
        <f t="shared" si="533"/>
        <v>0</v>
      </c>
      <c r="AC291" s="117">
        <f t="shared" si="533"/>
        <v>0</v>
      </c>
      <c r="AD291" s="134"/>
      <c r="AE291" s="134"/>
      <c r="AF291" s="134"/>
      <c r="AG291" s="134"/>
      <c r="AH291" s="134"/>
      <c r="AI291" s="134"/>
      <c r="AJ291" s="134"/>
      <c r="AK291" s="31">
        <f>$A$43</f>
        <v>20203</v>
      </c>
      <c r="AL291" s="116"/>
      <c r="AM291" s="117">
        <f t="shared" ref="AM291:AO291" si="534">IFERROR(AM256/AM221,"")</f>
        <v>0</v>
      </c>
      <c r="AN291" s="117">
        <f t="shared" si="534"/>
        <v>0</v>
      </c>
      <c r="AO291" s="117">
        <f t="shared" si="534"/>
        <v>0</v>
      </c>
      <c r="AP291" s="134"/>
      <c r="AQ291" s="134"/>
      <c r="AR291" s="134"/>
      <c r="AS291" s="134"/>
      <c r="AT291" s="134"/>
      <c r="AU291" s="134"/>
      <c r="AV291" s="134"/>
      <c r="AW291" s="31">
        <f>$A$43</f>
        <v>20203</v>
      </c>
      <c r="AX291" s="116"/>
      <c r="AY291" s="117">
        <f t="shared" ref="AY291:BA291" si="535">IFERROR(AY256/AY221,"")</f>
        <v>0</v>
      </c>
      <c r="AZ291" s="117">
        <f t="shared" si="535"/>
        <v>0</v>
      </c>
      <c r="BA291" s="117">
        <f t="shared" si="535"/>
        <v>0</v>
      </c>
      <c r="BB291" s="134"/>
      <c r="BC291" s="134"/>
      <c r="BD291" s="134"/>
      <c r="BE291" s="134"/>
      <c r="BF291" s="134"/>
      <c r="BG291" s="134"/>
      <c r="BH291" s="134"/>
      <c r="BI291" s="31">
        <f>$A$43</f>
        <v>20203</v>
      </c>
      <c r="BJ291" s="116"/>
      <c r="BK291" s="117">
        <f t="shared" ref="BK291:BM291" si="536">IFERROR(BK256/BK221,"")</f>
        <v>0</v>
      </c>
      <c r="BL291" s="117">
        <f t="shared" si="536"/>
        <v>0</v>
      </c>
      <c r="BM291" s="117">
        <f t="shared" si="536"/>
        <v>0</v>
      </c>
      <c r="BN291" s="134"/>
      <c r="BO291" s="134"/>
      <c r="BP291" s="134"/>
      <c r="BQ291" s="134"/>
      <c r="BR291" s="134"/>
      <c r="BS291" s="134"/>
      <c r="BT291" s="134"/>
      <c r="BU291" s="31">
        <f>$A$43</f>
        <v>20203</v>
      </c>
      <c r="BV291" s="116"/>
      <c r="BW291" s="117">
        <f t="shared" ref="BW291:BY291" si="537">IFERROR(BW256/BW221,"")</f>
        <v>0</v>
      </c>
      <c r="BX291" s="117">
        <f t="shared" si="537"/>
        <v>0</v>
      </c>
      <c r="BY291" s="117">
        <f t="shared" si="537"/>
        <v>0</v>
      </c>
      <c r="BZ291" s="134"/>
      <c r="CA291" s="134"/>
      <c r="CB291" s="134"/>
      <c r="CC291" s="134"/>
      <c r="CD291" s="134"/>
      <c r="CE291" s="134"/>
      <c r="CF291" s="134"/>
      <c r="CG291" s="31">
        <f>$A$43</f>
        <v>20203</v>
      </c>
      <c r="CH291" s="116"/>
      <c r="CI291" s="117" t="str">
        <f t="shared" ref="CI291:CK291" si="538">IFERROR(CI256/CI221,"")</f>
        <v/>
      </c>
      <c r="CJ291" s="117" t="str">
        <f t="shared" si="538"/>
        <v/>
      </c>
      <c r="CK291" s="117" t="str">
        <f t="shared" si="538"/>
        <v/>
      </c>
      <c r="CL291" s="134"/>
      <c r="CM291" s="134"/>
      <c r="CN291" s="134"/>
      <c r="CO291" s="134"/>
      <c r="CP291" s="134"/>
      <c r="CQ291" s="134"/>
      <c r="CR291" s="134"/>
      <c r="CS291" s="31">
        <f>$A$43</f>
        <v>20203</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20203</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20213</v>
      </c>
      <c r="B292" s="116"/>
      <c r="C292" s="117">
        <f t="shared" si="531"/>
        <v>0</v>
      </c>
      <c r="D292" s="117">
        <f>IFERROR(D257/D222,"")</f>
        <v>0</v>
      </c>
      <c r="E292" s="134"/>
      <c r="F292" s="134"/>
      <c r="G292" s="134"/>
      <c r="H292" s="134"/>
      <c r="I292" s="134"/>
      <c r="J292" s="134"/>
      <c r="K292" s="134"/>
      <c r="L292" s="134"/>
      <c r="M292" s="31">
        <f>$A$44</f>
        <v>20213</v>
      </c>
      <c r="N292" s="116"/>
      <c r="O292" s="117">
        <f t="shared" ref="O292" si="541">IFERROR(O257/O222,"")</f>
        <v>0</v>
      </c>
      <c r="P292" s="117">
        <f>IFERROR(P257/P222,"")</f>
        <v>0</v>
      </c>
      <c r="Q292" s="134"/>
      <c r="R292" s="134"/>
      <c r="S292" s="134"/>
      <c r="T292" s="134"/>
      <c r="U292" s="134"/>
      <c r="V292" s="134"/>
      <c r="W292" s="134"/>
      <c r="X292" s="134"/>
      <c r="Y292" s="31">
        <f>$A$44</f>
        <v>20213</v>
      </c>
      <c r="Z292" s="116"/>
      <c r="AA292" s="117">
        <f t="shared" ref="AA292" si="542">IFERROR(AA257/AA222,"")</f>
        <v>0</v>
      </c>
      <c r="AB292" s="117">
        <f>IFERROR(AB257/AB222,"")</f>
        <v>0</v>
      </c>
      <c r="AC292" s="134"/>
      <c r="AD292" s="134"/>
      <c r="AE292" s="134"/>
      <c r="AF292" s="134"/>
      <c r="AG292" s="134"/>
      <c r="AH292" s="134"/>
      <c r="AI292" s="134"/>
      <c r="AJ292" s="134"/>
      <c r="AK292" s="31">
        <f>$A$44</f>
        <v>20213</v>
      </c>
      <c r="AL292" s="116"/>
      <c r="AM292" s="117">
        <f t="shared" ref="AM292" si="543">IFERROR(AM257/AM222,"")</f>
        <v>0</v>
      </c>
      <c r="AN292" s="117">
        <f>IFERROR(AN257/AN222,"")</f>
        <v>0</v>
      </c>
      <c r="AO292" s="134"/>
      <c r="AP292" s="134"/>
      <c r="AQ292" s="134"/>
      <c r="AR292" s="134"/>
      <c r="AS292" s="134"/>
      <c r="AT292" s="134"/>
      <c r="AU292" s="134"/>
      <c r="AV292" s="134"/>
      <c r="AW292" s="31">
        <f>$A$44</f>
        <v>20213</v>
      </c>
      <c r="AX292" s="116"/>
      <c r="AY292" s="117">
        <f t="shared" ref="AY292" si="544">IFERROR(AY257/AY222,"")</f>
        <v>0</v>
      </c>
      <c r="AZ292" s="117">
        <f>IFERROR(AZ257/AZ222,"")</f>
        <v>0</v>
      </c>
      <c r="BA292" s="134"/>
      <c r="BB292" s="134"/>
      <c r="BC292" s="134"/>
      <c r="BD292" s="134"/>
      <c r="BE292" s="134"/>
      <c r="BF292" s="134"/>
      <c r="BG292" s="134"/>
      <c r="BH292" s="134"/>
      <c r="BI292" s="31">
        <f>$A$44</f>
        <v>20213</v>
      </c>
      <c r="BJ292" s="116"/>
      <c r="BK292" s="117">
        <f t="shared" ref="BK292" si="545">IFERROR(BK257/BK222,"")</f>
        <v>0</v>
      </c>
      <c r="BL292" s="117">
        <f>IFERROR(BL257/BL222,"")</f>
        <v>0</v>
      </c>
      <c r="BM292" s="134"/>
      <c r="BN292" s="134"/>
      <c r="BO292" s="134"/>
      <c r="BP292" s="134"/>
      <c r="BQ292" s="134"/>
      <c r="BR292" s="134"/>
      <c r="BS292" s="134"/>
      <c r="BT292" s="134"/>
      <c r="BU292" s="31">
        <f>$A$44</f>
        <v>20213</v>
      </c>
      <c r="BV292" s="116"/>
      <c r="BW292" s="117">
        <f t="shared" ref="BW292" si="546">IFERROR(BW257/BW222,"")</f>
        <v>0</v>
      </c>
      <c r="BX292" s="117">
        <f>IFERROR(BX257/BX222,"")</f>
        <v>0</v>
      </c>
      <c r="BY292" s="134"/>
      <c r="BZ292" s="134"/>
      <c r="CA292" s="134"/>
      <c r="CB292" s="134"/>
      <c r="CC292" s="134"/>
      <c r="CD292" s="134"/>
      <c r="CE292" s="134"/>
      <c r="CF292" s="134"/>
      <c r="CG292" s="31">
        <f>$A$44</f>
        <v>20213</v>
      </c>
      <c r="CH292" s="116"/>
      <c r="CI292" s="117" t="str">
        <f t="shared" ref="CI292" si="547">IFERROR(CI257/CI222,"")</f>
        <v/>
      </c>
      <c r="CJ292" s="117" t="str">
        <f>IFERROR(CJ257/CJ222,"")</f>
        <v/>
      </c>
      <c r="CK292" s="134"/>
      <c r="CL292" s="134"/>
      <c r="CM292" s="134"/>
      <c r="CN292" s="134"/>
      <c r="CO292" s="134"/>
      <c r="CP292" s="134"/>
      <c r="CQ292" s="134"/>
      <c r="CR292" s="134"/>
      <c r="CS292" s="31">
        <f>$A$44</f>
        <v>20213</v>
      </c>
      <c r="CT292" s="116"/>
      <c r="CU292" s="117" t="str">
        <f t="shared" ref="CU292" si="548">IFERROR(CU257/CU222,"")</f>
        <v/>
      </c>
      <c r="CV292" s="117" t="str">
        <f>IFERROR(CV257/CV222,"")</f>
        <v/>
      </c>
      <c r="CW292" s="134"/>
      <c r="CX292" s="134"/>
      <c r="CY292" s="134"/>
      <c r="CZ292" s="134"/>
      <c r="DA292" s="134"/>
      <c r="DB292" s="134"/>
      <c r="DC292" s="134"/>
      <c r="DD292" s="134"/>
      <c r="DE292" s="31">
        <f>$A$44</f>
        <v>20213</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20223</v>
      </c>
      <c r="B293" s="116"/>
      <c r="C293" s="117">
        <f t="shared" si="531"/>
        <v>0</v>
      </c>
      <c r="D293" s="134"/>
      <c r="E293" s="134"/>
      <c r="F293" s="134"/>
      <c r="G293" s="134"/>
      <c r="H293" s="134"/>
      <c r="I293" s="134"/>
      <c r="J293" s="134"/>
      <c r="K293" s="134"/>
      <c r="L293" s="134"/>
      <c r="M293" s="31">
        <f>$A$45</f>
        <v>20223</v>
      </c>
      <c r="N293" s="116"/>
      <c r="O293" s="117">
        <f t="shared" ref="O293" si="550">IFERROR(O258/O223,"")</f>
        <v>0</v>
      </c>
      <c r="P293" s="134"/>
      <c r="Q293" s="134"/>
      <c r="R293" s="134"/>
      <c r="S293" s="134"/>
      <c r="T293" s="134"/>
      <c r="U293" s="134"/>
      <c r="V293" s="134"/>
      <c r="W293" s="134"/>
      <c r="X293" s="134"/>
      <c r="Y293" s="31">
        <f>$A$45</f>
        <v>20223</v>
      </c>
      <c r="Z293" s="116"/>
      <c r="AA293" s="117">
        <f t="shared" ref="AA293" si="551">IFERROR(AA258/AA223,"")</f>
        <v>0</v>
      </c>
      <c r="AB293" s="134"/>
      <c r="AC293" s="134"/>
      <c r="AD293" s="134"/>
      <c r="AE293" s="134"/>
      <c r="AF293" s="134"/>
      <c r="AG293" s="134"/>
      <c r="AH293" s="134"/>
      <c r="AI293" s="134"/>
      <c r="AJ293" s="134"/>
      <c r="AK293" s="31">
        <f>$A$45</f>
        <v>20223</v>
      </c>
      <c r="AL293" s="116"/>
      <c r="AM293" s="117">
        <f t="shared" ref="AM293" si="552">IFERROR(AM258/AM223,"")</f>
        <v>0</v>
      </c>
      <c r="AN293" s="134"/>
      <c r="AO293" s="134"/>
      <c r="AP293" s="134"/>
      <c r="AQ293" s="134"/>
      <c r="AR293" s="134"/>
      <c r="AS293" s="134"/>
      <c r="AT293" s="134"/>
      <c r="AU293" s="134"/>
      <c r="AV293" s="134"/>
      <c r="AW293" s="31">
        <f>$A$45</f>
        <v>20223</v>
      </c>
      <c r="AX293" s="116"/>
      <c r="AY293" s="117">
        <f t="shared" ref="AY293" si="553">IFERROR(AY258/AY223,"")</f>
        <v>0</v>
      </c>
      <c r="AZ293" s="134"/>
      <c r="BA293" s="134"/>
      <c r="BB293" s="134"/>
      <c r="BC293" s="134"/>
      <c r="BD293" s="134"/>
      <c r="BE293" s="134"/>
      <c r="BF293" s="134"/>
      <c r="BG293" s="134"/>
      <c r="BH293" s="134"/>
      <c r="BI293" s="31">
        <f>$A$45</f>
        <v>20223</v>
      </c>
      <c r="BJ293" s="116"/>
      <c r="BK293" s="117">
        <f t="shared" ref="BK293" si="554">IFERROR(BK258/BK223,"")</f>
        <v>0</v>
      </c>
      <c r="BL293" s="134"/>
      <c r="BM293" s="134"/>
      <c r="BN293" s="134"/>
      <c r="BO293" s="134"/>
      <c r="BP293" s="134"/>
      <c r="BQ293" s="134"/>
      <c r="BR293" s="134"/>
      <c r="BS293" s="134"/>
      <c r="BT293" s="134"/>
      <c r="BU293" s="31">
        <f>$A$45</f>
        <v>20223</v>
      </c>
      <c r="BV293" s="116"/>
      <c r="BW293" s="117">
        <f t="shared" ref="BW293" si="555">IFERROR(BW258/BW223,"")</f>
        <v>0</v>
      </c>
      <c r="BX293" s="134"/>
      <c r="BY293" s="134"/>
      <c r="BZ293" s="134"/>
      <c r="CA293" s="134"/>
      <c r="CB293" s="134"/>
      <c r="CC293" s="134"/>
      <c r="CD293" s="134"/>
      <c r="CE293" s="134"/>
      <c r="CF293" s="134"/>
      <c r="CG293" s="31">
        <f>$A$45</f>
        <v>20223</v>
      </c>
      <c r="CH293" s="116"/>
      <c r="CI293" s="117" t="str">
        <f t="shared" ref="CI293" si="556">IFERROR(CI258/CI223,"")</f>
        <v/>
      </c>
      <c r="CJ293" s="134"/>
      <c r="CK293" s="134"/>
      <c r="CL293" s="134"/>
      <c r="CM293" s="134"/>
      <c r="CN293" s="134"/>
      <c r="CO293" s="134"/>
      <c r="CP293" s="134"/>
      <c r="CQ293" s="134"/>
      <c r="CR293" s="134"/>
      <c r="CS293" s="31">
        <f>$A$45</f>
        <v>20223</v>
      </c>
      <c r="CT293" s="116"/>
      <c r="CU293" s="117" t="str">
        <f t="shared" ref="CU293" si="557">IFERROR(CU258/CU223,"")</f>
        <v/>
      </c>
      <c r="CV293" s="134"/>
      <c r="CW293" s="134"/>
      <c r="CX293" s="134"/>
      <c r="CY293" s="134"/>
      <c r="CZ293" s="134"/>
      <c r="DA293" s="134"/>
      <c r="DB293" s="134"/>
      <c r="DC293" s="134"/>
      <c r="DD293" s="134"/>
      <c r="DE293" s="31">
        <f>$A$45</f>
        <v>20223</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ht="30" x14ac:dyDescent="0.25">
      <c r="A296" s="92" t="str">
        <f>$A$35</f>
        <v>Fiscal Accident Year Data Ending</v>
      </c>
      <c r="B296" s="92"/>
      <c r="C296" s="100" t="str">
        <f>$C$35&amp;"-"&amp;$D$35</f>
        <v>15-27</v>
      </c>
      <c r="D296" s="100" t="str">
        <f>$D$35&amp;"-"&amp;$E$35</f>
        <v>27-39</v>
      </c>
      <c r="E296" s="100" t="str">
        <f>$E$35&amp;"-"&amp;$F$35</f>
        <v>39-51</v>
      </c>
      <c r="F296" s="100" t="str">
        <f>$F$35&amp;"-"&amp;$G$35</f>
        <v>51-63</v>
      </c>
      <c r="G296" s="100" t="str">
        <f>$G$35&amp;"-"&amp;$H$35</f>
        <v>63-75</v>
      </c>
      <c r="H296" s="100" t="str">
        <f>$H$35&amp;"-"&amp;$I$35</f>
        <v>75-87</v>
      </c>
      <c r="I296" s="100" t="str">
        <f>$I$35&amp;"-"&amp;$J$35</f>
        <v>87-99</v>
      </c>
      <c r="J296" s="100" t="str">
        <f>$J$35&amp;"-"&amp;$K$35</f>
        <v>99-111</v>
      </c>
      <c r="K296" s="100" t="str">
        <f>$K$35&amp;"-"&amp;$L$35</f>
        <v>111-123</v>
      </c>
      <c r="L296" s="100" t="str">
        <f>$L$35&amp;"-Ult"</f>
        <v>123-Ult</v>
      </c>
      <c r="M296" s="92" t="str">
        <f>$A$35</f>
        <v>Fiscal Accident Year Data Ending</v>
      </c>
      <c r="N296" s="92"/>
      <c r="O296" s="100" t="str">
        <f>$C$35&amp;"-"&amp;$D$35</f>
        <v>15-27</v>
      </c>
      <c r="P296" s="100" t="str">
        <f>$D$35&amp;"-"&amp;$E$35</f>
        <v>27-39</v>
      </c>
      <c r="Q296" s="100" t="str">
        <f>$E$35&amp;"-"&amp;$F$35</f>
        <v>39-51</v>
      </c>
      <c r="R296" s="100" t="str">
        <f>$F$35&amp;"-"&amp;$G$35</f>
        <v>51-63</v>
      </c>
      <c r="S296" s="100" t="str">
        <f>$G$35&amp;"-"&amp;$H$35</f>
        <v>63-75</v>
      </c>
      <c r="T296" s="100" t="str">
        <f>$H$35&amp;"-"&amp;$I$35</f>
        <v>75-87</v>
      </c>
      <c r="U296" s="100" t="str">
        <f>$I$35&amp;"-"&amp;$J$35</f>
        <v>87-99</v>
      </c>
      <c r="V296" s="100" t="str">
        <f>$J$35&amp;"-"&amp;$K$35</f>
        <v>99-111</v>
      </c>
      <c r="W296" s="100" t="str">
        <f>$K$35&amp;"-"&amp;$L$35</f>
        <v>111-123</v>
      </c>
      <c r="X296" s="100" t="str">
        <f>$L$35&amp;"-Ult"</f>
        <v>123-Ult</v>
      </c>
      <c r="Y296" s="92" t="str">
        <f>$A$35</f>
        <v>Fiscal Accident Year Data Ending</v>
      </c>
      <c r="Z296" s="92"/>
      <c r="AA296" s="100" t="str">
        <f>$C$35&amp;"-"&amp;$D$35</f>
        <v>15-27</v>
      </c>
      <c r="AB296" s="100" t="str">
        <f>$D$35&amp;"-"&amp;$E$35</f>
        <v>27-39</v>
      </c>
      <c r="AC296" s="100" t="str">
        <f>$E$35&amp;"-"&amp;$F$35</f>
        <v>39-51</v>
      </c>
      <c r="AD296" s="100" t="str">
        <f>$F$35&amp;"-"&amp;$G$35</f>
        <v>51-63</v>
      </c>
      <c r="AE296" s="100" t="str">
        <f>$G$35&amp;"-"&amp;$H$35</f>
        <v>63-75</v>
      </c>
      <c r="AF296" s="100" t="str">
        <f>$H$35&amp;"-"&amp;$I$35</f>
        <v>75-87</v>
      </c>
      <c r="AG296" s="100" t="str">
        <f>$I$35&amp;"-"&amp;$J$35</f>
        <v>87-99</v>
      </c>
      <c r="AH296" s="100" t="str">
        <f>$J$35&amp;"-"&amp;$K$35</f>
        <v>99-111</v>
      </c>
      <c r="AI296" s="100" t="str">
        <f>$K$35&amp;"-"&amp;$L$35</f>
        <v>111-123</v>
      </c>
      <c r="AJ296" s="100" t="str">
        <f>$L$35&amp;"-Ult"</f>
        <v>123-Ult</v>
      </c>
      <c r="AK296" s="92" t="str">
        <f>$A$35</f>
        <v>Fiscal Accident Year Data Ending</v>
      </c>
      <c r="AL296" s="92"/>
      <c r="AM296" s="100" t="str">
        <f>$C$35&amp;"-"&amp;$D$35</f>
        <v>15-27</v>
      </c>
      <c r="AN296" s="100" t="str">
        <f>$D$35&amp;"-"&amp;$E$35</f>
        <v>27-39</v>
      </c>
      <c r="AO296" s="100" t="str">
        <f>$E$35&amp;"-"&amp;$F$35</f>
        <v>39-51</v>
      </c>
      <c r="AP296" s="100" t="str">
        <f>$F$35&amp;"-"&amp;$G$35</f>
        <v>51-63</v>
      </c>
      <c r="AQ296" s="100" t="str">
        <f>$G$35&amp;"-"&amp;$H$35</f>
        <v>63-75</v>
      </c>
      <c r="AR296" s="100" t="str">
        <f>$H$35&amp;"-"&amp;$I$35</f>
        <v>75-87</v>
      </c>
      <c r="AS296" s="100" t="str">
        <f>$I$35&amp;"-"&amp;$J$35</f>
        <v>87-99</v>
      </c>
      <c r="AT296" s="100" t="str">
        <f>$J$35&amp;"-"&amp;$K$35</f>
        <v>99-111</v>
      </c>
      <c r="AU296" s="100" t="str">
        <f>$K$35&amp;"-"&amp;$L$35</f>
        <v>111-123</v>
      </c>
      <c r="AV296" s="100" t="str">
        <f>$L$35&amp;"-Ult"</f>
        <v>123-Ult</v>
      </c>
      <c r="AW296" s="92" t="str">
        <f>$A$35</f>
        <v>Fiscal Accident Year Data Ending</v>
      </c>
      <c r="AX296" s="92"/>
      <c r="AY296" s="100" t="str">
        <f>$C$35&amp;"-"&amp;$D$35</f>
        <v>15-27</v>
      </c>
      <c r="AZ296" s="100" t="str">
        <f>$D$35&amp;"-"&amp;$E$35</f>
        <v>27-39</v>
      </c>
      <c r="BA296" s="100" t="str">
        <f>$E$35&amp;"-"&amp;$F$35</f>
        <v>39-51</v>
      </c>
      <c r="BB296" s="100" t="str">
        <f>$F$35&amp;"-"&amp;$G$35</f>
        <v>51-63</v>
      </c>
      <c r="BC296" s="100" t="str">
        <f>$G$35&amp;"-"&amp;$H$35</f>
        <v>63-75</v>
      </c>
      <c r="BD296" s="100" t="str">
        <f>$H$35&amp;"-"&amp;$I$35</f>
        <v>75-87</v>
      </c>
      <c r="BE296" s="100" t="str">
        <f>$I$35&amp;"-"&amp;$J$35</f>
        <v>87-99</v>
      </c>
      <c r="BF296" s="100" t="str">
        <f>$J$35&amp;"-"&amp;$K$35</f>
        <v>99-111</v>
      </c>
      <c r="BG296" s="100" t="str">
        <f>$K$35&amp;"-"&amp;$L$35</f>
        <v>111-123</v>
      </c>
      <c r="BH296" s="100" t="str">
        <f>$L$35&amp;"-Ult"</f>
        <v>123-Ult</v>
      </c>
      <c r="BI296" s="92" t="str">
        <f>$A$35</f>
        <v>Fiscal Accident Year Data Ending</v>
      </c>
      <c r="BJ296" s="92"/>
      <c r="BK296" s="100" t="str">
        <f>$C$35&amp;"-"&amp;$D$35</f>
        <v>15-27</v>
      </c>
      <c r="BL296" s="100" t="str">
        <f>$D$35&amp;"-"&amp;$E$35</f>
        <v>27-39</v>
      </c>
      <c r="BM296" s="100" t="str">
        <f>$E$35&amp;"-"&amp;$F$35</f>
        <v>39-51</v>
      </c>
      <c r="BN296" s="100" t="str">
        <f>$F$35&amp;"-"&amp;$G$35</f>
        <v>51-63</v>
      </c>
      <c r="BO296" s="100" t="str">
        <f>$G$35&amp;"-"&amp;$H$35</f>
        <v>63-75</v>
      </c>
      <c r="BP296" s="100" t="str">
        <f>$H$35&amp;"-"&amp;$I$35</f>
        <v>75-87</v>
      </c>
      <c r="BQ296" s="100" t="str">
        <f>$I$35&amp;"-"&amp;$J$35</f>
        <v>87-99</v>
      </c>
      <c r="BR296" s="100" t="str">
        <f>$J$35&amp;"-"&amp;$K$35</f>
        <v>99-111</v>
      </c>
      <c r="BS296" s="100" t="str">
        <f>$K$35&amp;"-"&amp;$L$35</f>
        <v>111-123</v>
      </c>
      <c r="BT296" s="100" t="str">
        <f>$L$35&amp;"-Ult"</f>
        <v>123-Ult</v>
      </c>
      <c r="BU296" s="92" t="str">
        <f>$A$35</f>
        <v>Fiscal Accident Year Data Ending</v>
      </c>
      <c r="BV296" s="92"/>
      <c r="BW296" s="100" t="str">
        <f>$C$35&amp;"-"&amp;$D$35</f>
        <v>15-27</v>
      </c>
      <c r="BX296" s="100" t="str">
        <f>$D$35&amp;"-"&amp;$E$35</f>
        <v>27-39</v>
      </c>
      <c r="BY296" s="100" t="str">
        <f>$E$35&amp;"-"&amp;$F$35</f>
        <v>39-51</v>
      </c>
      <c r="BZ296" s="100" t="str">
        <f>$F$35&amp;"-"&amp;$G$35</f>
        <v>51-63</v>
      </c>
      <c r="CA296" s="100" t="str">
        <f>$G$35&amp;"-"&amp;$H$35</f>
        <v>63-75</v>
      </c>
      <c r="CB296" s="100" t="str">
        <f>$H$35&amp;"-"&amp;$I$35</f>
        <v>75-87</v>
      </c>
      <c r="CC296" s="100" t="str">
        <f>$I$35&amp;"-"&amp;$J$35</f>
        <v>87-99</v>
      </c>
      <c r="CD296" s="100" t="str">
        <f>$J$35&amp;"-"&amp;$K$35</f>
        <v>99-111</v>
      </c>
      <c r="CE296" s="100" t="str">
        <f>$K$35&amp;"-"&amp;$L$35</f>
        <v>111-123</v>
      </c>
      <c r="CF296" s="100" t="str">
        <f>$L$35&amp;"-Ult"</f>
        <v>123-Ult</v>
      </c>
      <c r="CG296" s="92" t="str">
        <f>$A$35</f>
        <v>Fiscal Accident Year Data Ending</v>
      </c>
      <c r="CH296" s="92"/>
      <c r="CI296" s="100" t="str">
        <f>$C$35&amp;"-"&amp;$D$35</f>
        <v>15-27</v>
      </c>
      <c r="CJ296" s="100" t="str">
        <f>$D$35&amp;"-"&amp;$E$35</f>
        <v>27-39</v>
      </c>
      <c r="CK296" s="100" t="str">
        <f>$E$35&amp;"-"&amp;$F$35</f>
        <v>39-51</v>
      </c>
      <c r="CL296" s="100" t="str">
        <f>$F$35&amp;"-"&amp;$G$35</f>
        <v>51-63</v>
      </c>
      <c r="CM296" s="100" t="str">
        <f>$G$35&amp;"-"&amp;$H$35</f>
        <v>63-75</v>
      </c>
      <c r="CN296" s="100" t="str">
        <f>$H$35&amp;"-"&amp;$I$35</f>
        <v>75-87</v>
      </c>
      <c r="CO296" s="100" t="str">
        <f>$I$35&amp;"-"&amp;$J$35</f>
        <v>87-99</v>
      </c>
      <c r="CP296" s="100" t="str">
        <f>$J$35&amp;"-"&amp;$K$35</f>
        <v>99-111</v>
      </c>
      <c r="CQ296" s="100" t="str">
        <f>$K$35&amp;"-"&amp;$L$35</f>
        <v>111-123</v>
      </c>
      <c r="CR296" s="100" t="str">
        <f>$L$35&amp;"-Ult"</f>
        <v>123-Ult</v>
      </c>
      <c r="CS296" s="92" t="str">
        <f>$A$35</f>
        <v>Fiscal Accident Year Data Ending</v>
      </c>
      <c r="CT296" s="92"/>
      <c r="CU296" s="100" t="str">
        <f>$C$35&amp;"-"&amp;$D$35</f>
        <v>15-27</v>
      </c>
      <c r="CV296" s="100" t="str">
        <f>$D$35&amp;"-"&amp;$E$35</f>
        <v>27-39</v>
      </c>
      <c r="CW296" s="100" t="str">
        <f>$E$35&amp;"-"&amp;$F$35</f>
        <v>39-51</v>
      </c>
      <c r="CX296" s="100" t="str">
        <f>$F$35&amp;"-"&amp;$G$35</f>
        <v>51-63</v>
      </c>
      <c r="CY296" s="100" t="str">
        <f>$G$35&amp;"-"&amp;$H$35</f>
        <v>63-75</v>
      </c>
      <c r="CZ296" s="100" t="str">
        <f>$H$35&amp;"-"&amp;$I$35</f>
        <v>75-87</v>
      </c>
      <c r="DA296" s="100" t="str">
        <f>$I$35&amp;"-"&amp;$J$35</f>
        <v>87-99</v>
      </c>
      <c r="DB296" s="100" t="str">
        <f>$J$35&amp;"-"&amp;$K$35</f>
        <v>99-111</v>
      </c>
      <c r="DC296" s="100" t="str">
        <f>$K$35&amp;"-"&amp;$L$35</f>
        <v>111-123</v>
      </c>
      <c r="DD296" s="100" t="str">
        <f>$L$35&amp;"-Ult"</f>
        <v>123-Ult</v>
      </c>
      <c r="DE296" s="92" t="str">
        <f>$A$35</f>
        <v>Fiscal Accident Year Data Ending</v>
      </c>
      <c r="DF296" s="92"/>
      <c r="DG296" s="100" t="str">
        <f>$C$35&amp;"-"&amp;$D$35</f>
        <v>15-27</v>
      </c>
      <c r="DH296" s="100" t="str">
        <f>$D$35&amp;"-"&amp;$E$35</f>
        <v>27-39</v>
      </c>
      <c r="DI296" s="100" t="str">
        <f>$E$35&amp;"-"&amp;$F$35</f>
        <v>39-51</v>
      </c>
      <c r="DJ296" s="100" t="str">
        <f>$F$35&amp;"-"&amp;$G$35</f>
        <v>51-63</v>
      </c>
      <c r="DK296" s="100" t="str">
        <f>$G$35&amp;"-"&amp;$H$35</f>
        <v>63-75</v>
      </c>
      <c r="DL296" s="100" t="str">
        <f>$H$35&amp;"-"&amp;$I$35</f>
        <v>75-87</v>
      </c>
      <c r="DM296" s="100" t="str">
        <f>$I$35&amp;"-"&amp;$J$35</f>
        <v>87-99</v>
      </c>
      <c r="DN296" s="100" t="str">
        <f>$J$35&amp;"-"&amp;$K$35</f>
        <v>99-111</v>
      </c>
      <c r="DO296" s="100" t="str">
        <f>$K$35&amp;"-"&amp;$L$35</f>
        <v>111-123</v>
      </c>
      <c r="DP296" s="100" t="str">
        <f>$L$35&amp;"-Ult"</f>
        <v>123-Ult</v>
      </c>
    </row>
    <row r="297" spans="1:120" x14ac:dyDescent="0.25">
      <c r="A297" s="91">
        <f>$A$36</f>
        <v>20133</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20133</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20133</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20133</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20133</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20133</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20133</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20133</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20133</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20133</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20143</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20143</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20143</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20143</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20143</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20143</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20143</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20143</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20143</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20143</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20153</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20153</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20153</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20153</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20153</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20153</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20153</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20153</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20153</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20153</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20163</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20163</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20163</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20163</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20163</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20163</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20163</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20163</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20163</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20163</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20173</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20173</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20173</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20173</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20173</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20173</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20173</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20173</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20173</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20173</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20183</v>
      </c>
      <c r="B302" s="105"/>
      <c r="C302" s="90" t="str">
        <f t="shared" si="569"/>
        <v/>
      </c>
      <c r="D302" s="90" t="str">
        <f t="shared" si="569"/>
        <v/>
      </c>
      <c r="E302" s="90" t="str">
        <f t="shared" si="569"/>
        <v/>
      </c>
      <c r="F302" s="90" t="str">
        <f t="shared" si="569"/>
        <v/>
      </c>
      <c r="G302" s="22"/>
      <c r="H302" s="22"/>
      <c r="I302" s="22"/>
      <c r="J302" s="22"/>
      <c r="K302" s="22"/>
      <c r="L302" s="22"/>
      <c r="M302" s="91">
        <f>$A$41</f>
        <v>20183</v>
      </c>
      <c r="N302" s="105"/>
      <c r="O302" s="90" t="str">
        <f t="shared" si="570"/>
        <v/>
      </c>
      <c r="P302" s="90" t="str">
        <f t="shared" si="570"/>
        <v/>
      </c>
      <c r="Q302" s="90" t="str">
        <f t="shared" si="570"/>
        <v/>
      </c>
      <c r="R302" s="90" t="str">
        <f t="shared" si="570"/>
        <v/>
      </c>
      <c r="S302" s="22"/>
      <c r="T302" s="22"/>
      <c r="U302" s="22"/>
      <c r="V302" s="22"/>
      <c r="W302" s="22"/>
      <c r="X302" s="22"/>
      <c r="Y302" s="91">
        <f>$A$41</f>
        <v>20183</v>
      </c>
      <c r="Z302" s="105"/>
      <c r="AA302" s="90" t="str">
        <f t="shared" si="571"/>
        <v/>
      </c>
      <c r="AB302" s="90" t="str">
        <f t="shared" si="571"/>
        <v/>
      </c>
      <c r="AC302" s="90" t="str">
        <f t="shared" si="571"/>
        <v/>
      </c>
      <c r="AD302" s="90" t="str">
        <f t="shared" si="571"/>
        <v/>
      </c>
      <c r="AE302" s="22"/>
      <c r="AF302" s="22"/>
      <c r="AG302" s="22"/>
      <c r="AH302" s="22"/>
      <c r="AI302" s="22"/>
      <c r="AJ302" s="22"/>
      <c r="AK302" s="91">
        <f>$A$41</f>
        <v>20183</v>
      </c>
      <c r="AL302" s="105"/>
      <c r="AM302" s="90" t="str">
        <f t="shared" si="572"/>
        <v/>
      </c>
      <c r="AN302" s="90" t="str">
        <f t="shared" si="572"/>
        <v/>
      </c>
      <c r="AO302" s="90" t="str">
        <f t="shared" si="572"/>
        <v/>
      </c>
      <c r="AP302" s="90" t="str">
        <f t="shared" si="572"/>
        <v/>
      </c>
      <c r="AQ302" s="22"/>
      <c r="AR302" s="22"/>
      <c r="AS302" s="22"/>
      <c r="AT302" s="22"/>
      <c r="AU302" s="22"/>
      <c r="AV302" s="22"/>
      <c r="AW302" s="91">
        <f>$A$41</f>
        <v>20183</v>
      </c>
      <c r="AX302" s="105"/>
      <c r="AY302" s="90" t="str">
        <f t="shared" si="573"/>
        <v/>
      </c>
      <c r="AZ302" s="90" t="str">
        <f t="shared" si="573"/>
        <v/>
      </c>
      <c r="BA302" s="90" t="str">
        <f t="shared" si="573"/>
        <v/>
      </c>
      <c r="BB302" s="90" t="str">
        <f t="shared" si="573"/>
        <v/>
      </c>
      <c r="BC302" s="22"/>
      <c r="BD302" s="22"/>
      <c r="BE302" s="22"/>
      <c r="BF302" s="22"/>
      <c r="BG302" s="22"/>
      <c r="BH302" s="22"/>
      <c r="BI302" s="91">
        <f>$A$41</f>
        <v>20183</v>
      </c>
      <c r="BJ302" s="105"/>
      <c r="BK302" s="90" t="str">
        <f t="shared" si="574"/>
        <v/>
      </c>
      <c r="BL302" s="90" t="str">
        <f t="shared" si="574"/>
        <v/>
      </c>
      <c r="BM302" s="90" t="str">
        <f t="shared" si="574"/>
        <v/>
      </c>
      <c r="BN302" s="90" t="str">
        <f t="shared" si="574"/>
        <v/>
      </c>
      <c r="BO302" s="22"/>
      <c r="BP302" s="22"/>
      <c r="BQ302" s="22"/>
      <c r="BR302" s="22"/>
      <c r="BS302" s="22"/>
      <c r="BT302" s="22"/>
      <c r="BU302" s="91">
        <f>$A$41</f>
        <v>20183</v>
      </c>
      <c r="BV302" s="105"/>
      <c r="BW302" s="90" t="str">
        <f t="shared" si="575"/>
        <v/>
      </c>
      <c r="BX302" s="90" t="str">
        <f t="shared" si="575"/>
        <v/>
      </c>
      <c r="BY302" s="90" t="str">
        <f t="shared" si="575"/>
        <v/>
      </c>
      <c r="BZ302" s="90" t="str">
        <f t="shared" si="575"/>
        <v/>
      </c>
      <c r="CA302" s="22"/>
      <c r="CB302" s="22"/>
      <c r="CC302" s="22"/>
      <c r="CD302" s="22"/>
      <c r="CE302" s="22"/>
      <c r="CF302" s="22"/>
      <c r="CG302" s="91">
        <f>$A$41</f>
        <v>20183</v>
      </c>
      <c r="CH302" s="105"/>
      <c r="CI302" s="90" t="str">
        <f t="shared" si="576"/>
        <v/>
      </c>
      <c r="CJ302" s="90" t="str">
        <f t="shared" si="576"/>
        <v/>
      </c>
      <c r="CK302" s="90" t="str">
        <f t="shared" si="576"/>
        <v/>
      </c>
      <c r="CL302" s="90" t="str">
        <f t="shared" si="576"/>
        <v/>
      </c>
      <c r="CM302" s="22"/>
      <c r="CN302" s="22"/>
      <c r="CO302" s="22"/>
      <c r="CP302" s="22"/>
      <c r="CQ302" s="22"/>
      <c r="CR302" s="22"/>
      <c r="CS302" s="91">
        <f>$A$41</f>
        <v>20183</v>
      </c>
      <c r="CT302" s="105"/>
      <c r="CU302" s="90" t="str">
        <f t="shared" si="577"/>
        <v/>
      </c>
      <c r="CV302" s="90" t="str">
        <f t="shared" si="577"/>
        <v/>
      </c>
      <c r="CW302" s="90" t="str">
        <f t="shared" si="577"/>
        <v/>
      </c>
      <c r="CX302" s="90" t="str">
        <f t="shared" si="577"/>
        <v/>
      </c>
      <c r="CY302" s="22"/>
      <c r="CZ302" s="22"/>
      <c r="DA302" s="22"/>
      <c r="DB302" s="22"/>
      <c r="DC302" s="22"/>
      <c r="DD302" s="22"/>
      <c r="DE302" s="91">
        <f>$A$41</f>
        <v>20183</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20193</v>
      </c>
      <c r="B303" s="105"/>
      <c r="C303" s="90" t="str">
        <f t="shared" si="569"/>
        <v/>
      </c>
      <c r="D303" s="90" t="str">
        <f t="shared" si="569"/>
        <v/>
      </c>
      <c r="E303" s="90" t="str">
        <f t="shared" si="569"/>
        <v/>
      </c>
      <c r="F303" s="22"/>
      <c r="G303" s="22"/>
      <c r="H303" s="22"/>
      <c r="I303" s="22"/>
      <c r="J303" s="22"/>
      <c r="K303" s="22"/>
      <c r="L303" s="22"/>
      <c r="M303" s="91">
        <f>$A$42</f>
        <v>20193</v>
      </c>
      <c r="N303" s="105"/>
      <c r="O303" s="90" t="str">
        <f t="shared" si="570"/>
        <v/>
      </c>
      <c r="P303" s="90" t="str">
        <f t="shared" si="570"/>
        <v/>
      </c>
      <c r="Q303" s="90" t="str">
        <f t="shared" si="570"/>
        <v/>
      </c>
      <c r="R303" s="22"/>
      <c r="S303" s="22"/>
      <c r="T303" s="22"/>
      <c r="U303" s="22"/>
      <c r="V303" s="22"/>
      <c r="W303" s="22"/>
      <c r="X303" s="22"/>
      <c r="Y303" s="91">
        <f>$A$42</f>
        <v>20193</v>
      </c>
      <c r="Z303" s="105"/>
      <c r="AA303" s="90" t="str">
        <f t="shared" si="571"/>
        <v/>
      </c>
      <c r="AB303" s="90" t="str">
        <f t="shared" si="571"/>
        <v/>
      </c>
      <c r="AC303" s="90" t="str">
        <f t="shared" si="571"/>
        <v/>
      </c>
      <c r="AD303" s="22"/>
      <c r="AE303" s="22"/>
      <c r="AF303" s="22"/>
      <c r="AG303" s="22"/>
      <c r="AH303" s="22"/>
      <c r="AI303" s="22"/>
      <c r="AJ303" s="22"/>
      <c r="AK303" s="91">
        <f>$A$42</f>
        <v>20193</v>
      </c>
      <c r="AL303" s="105"/>
      <c r="AM303" s="90" t="str">
        <f t="shared" si="572"/>
        <v/>
      </c>
      <c r="AN303" s="90" t="str">
        <f t="shared" si="572"/>
        <v/>
      </c>
      <c r="AO303" s="90" t="str">
        <f t="shared" si="572"/>
        <v/>
      </c>
      <c r="AP303" s="22"/>
      <c r="AQ303" s="22"/>
      <c r="AR303" s="22"/>
      <c r="AS303" s="22"/>
      <c r="AT303" s="22"/>
      <c r="AU303" s="22"/>
      <c r="AV303" s="22"/>
      <c r="AW303" s="91">
        <f>$A$42</f>
        <v>20193</v>
      </c>
      <c r="AX303" s="105"/>
      <c r="AY303" s="90" t="str">
        <f t="shared" si="573"/>
        <v/>
      </c>
      <c r="AZ303" s="90" t="str">
        <f t="shared" si="573"/>
        <v/>
      </c>
      <c r="BA303" s="90" t="str">
        <f t="shared" si="573"/>
        <v/>
      </c>
      <c r="BB303" s="22"/>
      <c r="BC303" s="22"/>
      <c r="BD303" s="22"/>
      <c r="BE303" s="22"/>
      <c r="BF303" s="22"/>
      <c r="BG303" s="22"/>
      <c r="BH303" s="22"/>
      <c r="BI303" s="91">
        <f>$A$42</f>
        <v>20193</v>
      </c>
      <c r="BJ303" s="105"/>
      <c r="BK303" s="90" t="str">
        <f t="shared" si="574"/>
        <v/>
      </c>
      <c r="BL303" s="90" t="str">
        <f t="shared" si="574"/>
        <v/>
      </c>
      <c r="BM303" s="90" t="str">
        <f t="shared" si="574"/>
        <v/>
      </c>
      <c r="BN303" s="22"/>
      <c r="BO303" s="22"/>
      <c r="BP303" s="22"/>
      <c r="BQ303" s="22"/>
      <c r="BR303" s="22"/>
      <c r="BS303" s="22"/>
      <c r="BT303" s="22"/>
      <c r="BU303" s="91">
        <f>$A$42</f>
        <v>20193</v>
      </c>
      <c r="BV303" s="105"/>
      <c r="BW303" s="90" t="str">
        <f t="shared" si="575"/>
        <v/>
      </c>
      <c r="BX303" s="90" t="str">
        <f t="shared" si="575"/>
        <v/>
      </c>
      <c r="BY303" s="90" t="str">
        <f t="shared" si="575"/>
        <v/>
      </c>
      <c r="BZ303" s="22"/>
      <c r="CA303" s="22"/>
      <c r="CB303" s="22"/>
      <c r="CC303" s="22"/>
      <c r="CD303" s="22"/>
      <c r="CE303" s="22"/>
      <c r="CF303" s="22"/>
      <c r="CG303" s="91">
        <f>$A$42</f>
        <v>20193</v>
      </c>
      <c r="CH303" s="105"/>
      <c r="CI303" s="90" t="str">
        <f t="shared" si="576"/>
        <v/>
      </c>
      <c r="CJ303" s="90" t="str">
        <f t="shared" si="576"/>
        <v/>
      </c>
      <c r="CK303" s="90" t="str">
        <f t="shared" si="576"/>
        <v/>
      </c>
      <c r="CL303" s="22"/>
      <c r="CM303" s="22"/>
      <c r="CN303" s="22"/>
      <c r="CO303" s="22"/>
      <c r="CP303" s="22"/>
      <c r="CQ303" s="22"/>
      <c r="CR303" s="22"/>
      <c r="CS303" s="91">
        <f>$A$42</f>
        <v>20193</v>
      </c>
      <c r="CT303" s="105"/>
      <c r="CU303" s="90" t="str">
        <f t="shared" si="577"/>
        <v/>
      </c>
      <c r="CV303" s="90" t="str">
        <f t="shared" si="577"/>
        <v/>
      </c>
      <c r="CW303" s="90" t="str">
        <f t="shared" si="577"/>
        <v/>
      </c>
      <c r="CX303" s="22"/>
      <c r="CY303" s="22"/>
      <c r="CZ303" s="22"/>
      <c r="DA303" s="22"/>
      <c r="DB303" s="22"/>
      <c r="DC303" s="22"/>
      <c r="DD303" s="22"/>
      <c r="DE303" s="91">
        <f>$A$42</f>
        <v>20193</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20203</v>
      </c>
      <c r="B304" s="105"/>
      <c r="C304" s="90" t="str">
        <f t="shared" si="569"/>
        <v/>
      </c>
      <c r="D304" s="90" t="str">
        <f t="shared" si="569"/>
        <v/>
      </c>
      <c r="E304" s="22"/>
      <c r="F304" s="22"/>
      <c r="G304" s="22"/>
      <c r="H304" s="22"/>
      <c r="I304" s="22"/>
      <c r="J304" s="22"/>
      <c r="K304" s="22"/>
      <c r="L304" s="22"/>
      <c r="M304" s="91">
        <f>$A$43</f>
        <v>20203</v>
      </c>
      <c r="N304" s="105"/>
      <c r="O304" s="90" t="str">
        <f t="shared" si="570"/>
        <v/>
      </c>
      <c r="P304" s="90" t="str">
        <f t="shared" si="570"/>
        <v/>
      </c>
      <c r="Q304" s="22"/>
      <c r="R304" s="22"/>
      <c r="S304" s="22"/>
      <c r="T304" s="22"/>
      <c r="U304" s="22"/>
      <c r="V304" s="22"/>
      <c r="W304" s="22"/>
      <c r="X304" s="22"/>
      <c r="Y304" s="91">
        <f>$A$43</f>
        <v>20203</v>
      </c>
      <c r="Z304" s="105"/>
      <c r="AA304" s="90" t="str">
        <f t="shared" si="571"/>
        <v/>
      </c>
      <c r="AB304" s="90" t="str">
        <f t="shared" si="571"/>
        <v/>
      </c>
      <c r="AC304" s="22"/>
      <c r="AD304" s="22"/>
      <c r="AE304" s="22"/>
      <c r="AF304" s="22"/>
      <c r="AG304" s="22"/>
      <c r="AH304" s="22"/>
      <c r="AI304" s="22"/>
      <c r="AJ304" s="22"/>
      <c r="AK304" s="91">
        <f>$A$43</f>
        <v>20203</v>
      </c>
      <c r="AL304" s="105"/>
      <c r="AM304" s="90" t="str">
        <f t="shared" si="572"/>
        <v/>
      </c>
      <c r="AN304" s="90" t="str">
        <f t="shared" si="572"/>
        <v/>
      </c>
      <c r="AO304" s="22"/>
      <c r="AP304" s="22"/>
      <c r="AQ304" s="22"/>
      <c r="AR304" s="22"/>
      <c r="AS304" s="22"/>
      <c r="AT304" s="22"/>
      <c r="AU304" s="22"/>
      <c r="AV304" s="22"/>
      <c r="AW304" s="91">
        <f>$A$43</f>
        <v>20203</v>
      </c>
      <c r="AX304" s="105"/>
      <c r="AY304" s="90" t="str">
        <f t="shared" si="573"/>
        <v/>
      </c>
      <c r="AZ304" s="90" t="str">
        <f t="shared" si="573"/>
        <v/>
      </c>
      <c r="BA304" s="22"/>
      <c r="BB304" s="22"/>
      <c r="BC304" s="22"/>
      <c r="BD304" s="22"/>
      <c r="BE304" s="22"/>
      <c r="BF304" s="22"/>
      <c r="BG304" s="22"/>
      <c r="BH304" s="22"/>
      <c r="BI304" s="91">
        <f>$A$43</f>
        <v>20203</v>
      </c>
      <c r="BJ304" s="105"/>
      <c r="BK304" s="90" t="str">
        <f t="shared" si="574"/>
        <v/>
      </c>
      <c r="BL304" s="90" t="str">
        <f t="shared" si="574"/>
        <v/>
      </c>
      <c r="BM304" s="22"/>
      <c r="BN304" s="22"/>
      <c r="BO304" s="22"/>
      <c r="BP304" s="22"/>
      <c r="BQ304" s="22"/>
      <c r="BR304" s="22"/>
      <c r="BS304" s="22"/>
      <c r="BT304" s="22"/>
      <c r="BU304" s="91">
        <f>$A$43</f>
        <v>20203</v>
      </c>
      <c r="BV304" s="105"/>
      <c r="BW304" s="90" t="str">
        <f t="shared" si="575"/>
        <v/>
      </c>
      <c r="BX304" s="90" t="str">
        <f t="shared" si="575"/>
        <v/>
      </c>
      <c r="BY304" s="22"/>
      <c r="BZ304" s="22"/>
      <c r="CA304" s="22"/>
      <c r="CB304" s="22"/>
      <c r="CC304" s="22"/>
      <c r="CD304" s="22"/>
      <c r="CE304" s="22"/>
      <c r="CF304" s="22"/>
      <c r="CG304" s="91">
        <f>$A$43</f>
        <v>20203</v>
      </c>
      <c r="CH304" s="105"/>
      <c r="CI304" s="90" t="str">
        <f t="shared" si="576"/>
        <v/>
      </c>
      <c r="CJ304" s="90" t="str">
        <f t="shared" si="576"/>
        <v/>
      </c>
      <c r="CK304" s="22"/>
      <c r="CL304" s="22"/>
      <c r="CM304" s="22"/>
      <c r="CN304" s="22"/>
      <c r="CO304" s="22"/>
      <c r="CP304" s="22"/>
      <c r="CQ304" s="22"/>
      <c r="CR304" s="22"/>
      <c r="CS304" s="91">
        <f>$A$43</f>
        <v>20203</v>
      </c>
      <c r="CT304" s="105"/>
      <c r="CU304" s="90" t="str">
        <f t="shared" si="577"/>
        <v/>
      </c>
      <c r="CV304" s="90" t="str">
        <f t="shared" si="577"/>
        <v/>
      </c>
      <c r="CW304" s="22"/>
      <c r="CX304" s="22"/>
      <c r="CY304" s="22"/>
      <c r="CZ304" s="22"/>
      <c r="DA304" s="22"/>
      <c r="DB304" s="22"/>
      <c r="DC304" s="22"/>
      <c r="DD304" s="22"/>
      <c r="DE304" s="91">
        <f>$A$43</f>
        <v>20203</v>
      </c>
      <c r="DF304" s="105"/>
      <c r="DG304" s="90" t="str">
        <f t="shared" si="578"/>
        <v/>
      </c>
      <c r="DH304" s="90" t="str">
        <f t="shared" si="578"/>
        <v/>
      </c>
      <c r="DI304" s="22"/>
      <c r="DJ304" s="22"/>
      <c r="DK304" s="22"/>
      <c r="DL304" s="22"/>
      <c r="DM304" s="22"/>
      <c r="DN304" s="22"/>
      <c r="DO304" s="22"/>
      <c r="DP304" s="22"/>
    </row>
    <row r="305" spans="1:120" x14ac:dyDescent="0.25">
      <c r="A305" s="91">
        <f>$A$44</f>
        <v>20213</v>
      </c>
      <c r="B305" s="105"/>
      <c r="C305" s="90" t="str">
        <f t="shared" si="569"/>
        <v/>
      </c>
      <c r="D305" s="22"/>
      <c r="E305" s="22"/>
      <c r="F305" s="22"/>
      <c r="G305" s="22"/>
      <c r="H305" s="22"/>
      <c r="I305" s="22"/>
      <c r="J305" s="22"/>
      <c r="K305" s="22"/>
      <c r="L305" s="22"/>
      <c r="M305" s="91">
        <f>$A$44</f>
        <v>20213</v>
      </c>
      <c r="N305" s="105"/>
      <c r="O305" s="90" t="str">
        <f t="shared" si="570"/>
        <v/>
      </c>
      <c r="P305" s="22"/>
      <c r="Q305" s="22"/>
      <c r="R305" s="22"/>
      <c r="S305" s="22"/>
      <c r="T305" s="22"/>
      <c r="U305" s="22"/>
      <c r="V305" s="22"/>
      <c r="W305" s="22"/>
      <c r="X305" s="22"/>
      <c r="Y305" s="91">
        <f>$A$44</f>
        <v>20213</v>
      </c>
      <c r="Z305" s="105"/>
      <c r="AA305" s="90" t="str">
        <f t="shared" si="571"/>
        <v/>
      </c>
      <c r="AB305" s="22"/>
      <c r="AC305" s="22"/>
      <c r="AD305" s="22"/>
      <c r="AE305" s="22"/>
      <c r="AF305" s="22"/>
      <c r="AG305" s="22"/>
      <c r="AH305" s="22"/>
      <c r="AI305" s="22"/>
      <c r="AJ305" s="22"/>
      <c r="AK305" s="91">
        <f>$A$44</f>
        <v>20213</v>
      </c>
      <c r="AL305" s="105"/>
      <c r="AM305" s="90" t="str">
        <f t="shared" si="572"/>
        <v/>
      </c>
      <c r="AN305" s="22"/>
      <c r="AO305" s="22"/>
      <c r="AP305" s="22"/>
      <c r="AQ305" s="22"/>
      <c r="AR305" s="22"/>
      <c r="AS305" s="22"/>
      <c r="AT305" s="22"/>
      <c r="AU305" s="22"/>
      <c r="AV305" s="22"/>
      <c r="AW305" s="91">
        <f>$A$44</f>
        <v>20213</v>
      </c>
      <c r="AX305" s="105"/>
      <c r="AY305" s="90" t="str">
        <f t="shared" si="573"/>
        <v/>
      </c>
      <c r="AZ305" s="22"/>
      <c r="BA305" s="22"/>
      <c r="BB305" s="22"/>
      <c r="BC305" s="22"/>
      <c r="BD305" s="22"/>
      <c r="BE305" s="22"/>
      <c r="BF305" s="22"/>
      <c r="BG305" s="22"/>
      <c r="BH305" s="22"/>
      <c r="BI305" s="91">
        <f>$A$44</f>
        <v>20213</v>
      </c>
      <c r="BJ305" s="105"/>
      <c r="BK305" s="90" t="str">
        <f t="shared" si="574"/>
        <v/>
      </c>
      <c r="BL305" s="22"/>
      <c r="BM305" s="22"/>
      <c r="BN305" s="22"/>
      <c r="BO305" s="22"/>
      <c r="BP305" s="22"/>
      <c r="BQ305" s="22"/>
      <c r="BR305" s="22"/>
      <c r="BS305" s="22"/>
      <c r="BT305" s="22"/>
      <c r="BU305" s="91">
        <f>$A$44</f>
        <v>20213</v>
      </c>
      <c r="BV305" s="105"/>
      <c r="BW305" s="90" t="str">
        <f t="shared" si="575"/>
        <v/>
      </c>
      <c r="BX305" s="22"/>
      <c r="BY305" s="22"/>
      <c r="BZ305" s="22"/>
      <c r="CA305" s="22"/>
      <c r="CB305" s="22"/>
      <c r="CC305" s="22"/>
      <c r="CD305" s="22"/>
      <c r="CE305" s="22"/>
      <c r="CF305" s="22"/>
      <c r="CG305" s="91">
        <f>$A$44</f>
        <v>20213</v>
      </c>
      <c r="CH305" s="105"/>
      <c r="CI305" s="90" t="str">
        <f t="shared" si="576"/>
        <v/>
      </c>
      <c r="CJ305" s="22"/>
      <c r="CK305" s="22"/>
      <c r="CL305" s="22"/>
      <c r="CM305" s="22"/>
      <c r="CN305" s="22"/>
      <c r="CO305" s="22"/>
      <c r="CP305" s="22"/>
      <c r="CQ305" s="22"/>
      <c r="CR305" s="22"/>
      <c r="CS305" s="91">
        <f>$A$44</f>
        <v>20213</v>
      </c>
      <c r="CT305" s="105"/>
      <c r="CU305" s="90" t="str">
        <f t="shared" si="577"/>
        <v/>
      </c>
      <c r="CV305" s="22"/>
      <c r="CW305" s="22"/>
      <c r="CX305" s="22"/>
      <c r="CY305" s="22"/>
      <c r="CZ305" s="22"/>
      <c r="DA305" s="22"/>
      <c r="DB305" s="22"/>
      <c r="DC305" s="22"/>
      <c r="DD305" s="22"/>
      <c r="DE305" s="91">
        <f>$A$44</f>
        <v>20213</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2" t="s">
        <v>52</v>
      </c>
      <c r="B307" s="263"/>
      <c r="C307" s="264">
        <f>IFERROR(AVERAGE(C303:C305),1)</f>
        <v>1</v>
      </c>
      <c r="D307" s="264">
        <f>IFERROR(AVERAGE(D302:D304),1)</f>
        <v>1</v>
      </c>
      <c r="E307" s="264">
        <f>IFERROR(AVERAGE(E301:E303),1)</f>
        <v>1</v>
      </c>
      <c r="F307" s="264">
        <f>IFERROR(AVERAGE(F300:F302),1)</f>
        <v>1</v>
      </c>
      <c r="G307" s="264">
        <f>IFERROR(AVERAGE(G299:G301),1)</f>
        <v>1</v>
      </c>
      <c r="H307" s="264">
        <f>IFERROR(AVERAGE(H298:H300),1)</f>
        <v>1</v>
      </c>
      <c r="I307" s="264">
        <f>IFERROR(AVERAGE(I297:I299),1)</f>
        <v>1</v>
      </c>
      <c r="J307" s="264">
        <f>IFERROR(AVERAGE(J297:J298),1)</f>
        <v>1</v>
      </c>
      <c r="K307" s="264">
        <f>IFERROR(AVERAGE(K297:K297),1)</f>
        <v>1</v>
      </c>
      <c r="L307" s="264">
        <v>1</v>
      </c>
      <c r="M307" s="262" t="s">
        <v>52</v>
      </c>
      <c r="N307" s="263"/>
      <c r="O307" s="264">
        <f>IFERROR(AVERAGE(O303:O305),1)</f>
        <v>1</v>
      </c>
      <c r="P307" s="264">
        <f>IFERROR(AVERAGE(P302:P304),1)</f>
        <v>1</v>
      </c>
      <c r="Q307" s="264">
        <f>IFERROR(AVERAGE(Q301:Q303),1)</f>
        <v>1</v>
      </c>
      <c r="R307" s="264">
        <f>IFERROR(AVERAGE(R300:R302),1)</f>
        <v>1</v>
      </c>
      <c r="S307" s="264">
        <f>IFERROR(AVERAGE(S299:S301),1)</f>
        <v>1</v>
      </c>
      <c r="T307" s="264">
        <f>IFERROR(AVERAGE(T298:T300),1)</f>
        <v>1</v>
      </c>
      <c r="U307" s="264">
        <f>IFERROR(AVERAGE(U297:U299),1)</f>
        <v>1</v>
      </c>
      <c r="V307" s="264">
        <f>IFERROR(AVERAGE(V297:V298),1)</f>
        <v>1</v>
      </c>
      <c r="W307" s="264">
        <f>IFERROR(AVERAGE(W297:W297),1)</f>
        <v>1</v>
      </c>
      <c r="X307" s="264">
        <v>1</v>
      </c>
      <c r="Y307" s="262" t="s">
        <v>52</v>
      </c>
      <c r="Z307" s="263"/>
      <c r="AA307" s="264">
        <f>IFERROR(AVERAGE(AA303:AA305),1)</f>
        <v>1</v>
      </c>
      <c r="AB307" s="264">
        <f>IFERROR(AVERAGE(AB302:AB304),1)</f>
        <v>1</v>
      </c>
      <c r="AC307" s="264">
        <f>IFERROR(AVERAGE(AC301:AC303),1)</f>
        <v>1</v>
      </c>
      <c r="AD307" s="264">
        <f>IFERROR(AVERAGE(AD300:AD302),1)</f>
        <v>1</v>
      </c>
      <c r="AE307" s="264">
        <f>IFERROR(AVERAGE(AE299:AE301),1)</f>
        <v>1</v>
      </c>
      <c r="AF307" s="264">
        <f>IFERROR(AVERAGE(AF298:AF300),1)</f>
        <v>1</v>
      </c>
      <c r="AG307" s="264">
        <f>IFERROR(AVERAGE(AG297:AG299),1)</f>
        <v>1</v>
      </c>
      <c r="AH307" s="264">
        <f>IFERROR(AVERAGE(AH297:AH298),1)</f>
        <v>1</v>
      </c>
      <c r="AI307" s="264">
        <f>IFERROR(AVERAGE(AI297:AI297),1)</f>
        <v>1</v>
      </c>
      <c r="AJ307" s="264">
        <v>1</v>
      </c>
      <c r="AK307" s="262" t="s">
        <v>52</v>
      </c>
      <c r="AL307" s="263"/>
      <c r="AM307" s="264">
        <f>IFERROR(AVERAGE(AM303:AM305),1)</f>
        <v>1</v>
      </c>
      <c r="AN307" s="264">
        <f>IFERROR(AVERAGE(AN302:AN304),1)</f>
        <v>1</v>
      </c>
      <c r="AO307" s="264">
        <f>IFERROR(AVERAGE(AO301:AO303),1)</f>
        <v>1</v>
      </c>
      <c r="AP307" s="264">
        <f>IFERROR(AVERAGE(AP300:AP302),1)</f>
        <v>1</v>
      </c>
      <c r="AQ307" s="264">
        <f>IFERROR(AVERAGE(AQ299:AQ301),1)</f>
        <v>1</v>
      </c>
      <c r="AR307" s="264">
        <f>IFERROR(AVERAGE(AR298:AR300),1)</f>
        <v>1</v>
      </c>
      <c r="AS307" s="264">
        <f>IFERROR(AVERAGE(AS297:AS299),1)</f>
        <v>1</v>
      </c>
      <c r="AT307" s="264">
        <f>IFERROR(AVERAGE(AT297:AT298),1)</f>
        <v>1</v>
      </c>
      <c r="AU307" s="264">
        <f>IFERROR(AVERAGE(AU297:AU297),1)</f>
        <v>1</v>
      </c>
      <c r="AV307" s="264">
        <v>1</v>
      </c>
      <c r="AW307" s="262" t="s">
        <v>52</v>
      </c>
      <c r="AX307" s="263"/>
      <c r="AY307" s="264">
        <f>IFERROR(AVERAGE(AY303:AY305),1)</f>
        <v>1</v>
      </c>
      <c r="AZ307" s="264">
        <f>IFERROR(AVERAGE(AZ302:AZ304),1)</f>
        <v>1</v>
      </c>
      <c r="BA307" s="264">
        <f>IFERROR(AVERAGE(BA301:BA303),1)</f>
        <v>1</v>
      </c>
      <c r="BB307" s="264">
        <f>IFERROR(AVERAGE(BB300:BB302),1)</f>
        <v>1</v>
      </c>
      <c r="BC307" s="264">
        <f>IFERROR(AVERAGE(BC299:BC301),1)</f>
        <v>1</v>
      </c>
      <c r="BD307" s="264">
        <f>IFERROR(AVERAGE(BD298:BD300),1)</f>
        <v>1</v>
      </c>
      <c r="BE307" s="264">
        <f>IFERROR(AVERAGE(BE297:BE299),1)</f>
        <v>1</v>
      </c>
      <c r="BF307" s="264">
        <f>IFERROR(AVERAGE(BF297:BF298),1)</f>
        <v>1</v>
      </c>
      <c r="BG307" s="264">
        <f>IFERROR(AVERAGE(BG297:BG297),1)</f>
        <v>1</v>
      </c>
      <c r="BH307" s="264">
        <v>1</v>
      </c>
      <c r="BI307" s="262" t="s">
        <v>52</v>
      </c>
      <c r="BJ307" s="263"/>
      <c r="BK307" s="264">
        <f>IFERROR(AVERAGE(BK303:BK305),1)</f>
        <v>1</v>
      </c>
      <c r="BL307" s="264">
        <f>IFERROR(AVERAGE(BL302:BL304),1)</f>
        <v>1</v>
      </c>
      <c r="BM307" s="264">
        <f>IFERROR(AVERAGE(BM301:BM303),1)</f>
        <v>1</v>
      </c>
      <c r="BN307" s="264">
        <f>IFERROR(AVERAGE(BN300:BN302),1)</f>
        <v>1</v>
      </c>
      <c r="BO307" s="264">
        <f>IFERROR(AVERAGE(BO299:BO301),1)</f>
        <v>1</v>
      </c>
      <c r="BP307" s="264">
        <f>IFERROR(AVERAGE(BP298:BP300),1)</f>
        <v>1</v>
      </c>
      <c r="BQ307" s="264">
        <f>IFERROR(AVERAGE(BQ297:BQ299),1)</f>
        <v>1</v>
      </c>
      <c r="BR307" s="264">
        <f>IFERROR(AVERAGE(BR297:BR298),1)</f>
        <v>1</v>
      </c>
      <c r="BS307" s="264">
        <f>IFERROR(AVERAGE(BS297:BS297),1)</f>
        <v>1</v>
      </c>
      <c r="BT307" s="264">
        <v>1</v>
      </c>
      <c r="BU307" s="262" t="s">
        <v>52</v>
      </c>
      <c r="BV307" s="263"/>
      <c r="BW307" s="264">
        <f>IFERROR(AVERAGE(BW303:BW305),1)</f>
        <v>1</v>
      </c>
      <c r="BX307" s="264">
        <f>IFERROR(AVERAGE(BX302:BX304),1)</f>
        <v>1</v>
      </c>
      <c r="BY307" s="264">
        <f>IFERROR(AVERAGE(BY301:BY303),1)</f>
        <v>1</v>
      </c>
      <c r="BZ307" s="264">
        <f>IFERROR(AVERAGE(BZ300:BZ302),1)</f>
        <v>1</v>
      </c>
      <c r="CA307" s="264">
        <f>IFERROR(AVERAGE(CA299:CA301),1)</f>
        <v>1</v>
      </c>
      <c r="CB307" s="264">
        <f>IFERROR(AVERAGE(CB298:CB300),1)</f>
        <v>1</v>
      </c>
      <c r="CC307" s="264">
        <f>IFERROR(AVERAGE(CC297:CC299),1)</f>
        <v>1</v>
      </c>
      <c r="CD307" s="264">
        <f>IFERROR(AVERAGE(CD297:CD298),1)</f>
        <v>1</v>
      </c>
      <c r="CE307" s="264">
        <f>IFERROR(AVERAGE(CE297:CE297),1)</f>
        <v>1</v>
      </c>
      <c r="CF307" s="264">
        <v>1</v>
      </c>
      <c r="CG307" s="262" t="s">
        <v>52</v>
      </c>
      <c r="CH307" s="263"/>
      <c r="CI307" s="264">
        <f>IFERROR(AVERAGE(CI303:CI305),1)</f>
        <v>1</v>
      </c>
      <c r="CJ307" s="264">
        <f>IFERROR(AVERAGE(CJ302:CJ304),1)</f>
        <v>1</v>
      </c>
      <c r="CK307" s="264">
        <f>IFERROR(AVERAGE(CK301:CK303),1)</f>
        <v>1</v>
      </c>
      <c r="CL307" s="264">
        <f>IFERROR(AVERAGE(CL300:CL302),1)</f>
        <v>1</v>
      </c>
      <c r="CM307" s="264">
        <f>IFERROR(AVERAGE(CM299:CM301),1)</f>
        <v>1</v>
      </c>
      <c r="CN307" s="264">
        <f>IFERROR(AVERAGE(CN298:CN300),1)</f>
        <v>1</v>
      </c>
      <c r="CO307" s="264">
        <f>IFERROR(AVERAGE(CO297:CO299),1)</f>
        <v>1</v>
      </c>
      <c r="CP307" s="264">
        <f>IFERROR(AVERAGE(CP297:CP298),1)</f>
        <v>1</v>
      </c>
      <c r="CQ307" s="264">
        <f>IFERROR(AVERAGE(CQ297:CQ297),1)</f>
        <v>1</v>
      </c>
      <c r="CR307" s="264">
        <v>1</v>
      </c>
      <c r="CS307" s="262" t="s">
        <v>52</v>
      </c>
      <c r="CT307" s="263"/>
      <c r="CU307" s="264">
        <f>IFERROR(AVERAGE(CU303:CU305),1)</f>
        <v>1</v>
      </c>
      <c r="CV307" s="264">
        <f>IFERROR(AVERAGE(CV302:CV304),1)</f>
        <v>1</v>
      </c>
      <c r="CW307" s="264">
        <f>IFERROR(AVERAGE(CW301:CW303),1)</f>
        <v>1</v>
      </c>
      <c r="CX307" s="264">
        <f>IFERROR(AVERAGE(CX300:CX302),1)</f>
        <v>1</v>
      </c>
      <c r="CY307" s="264">
        <f>IFERROR(AVERAGE(CY299:CY301),1)</f>
        <v>1</v>
      </c>
      <c r="CZ307" s="264">
        <f>IFERROR(AVERAGE(CZ298:CZ300),1)</f>
        <v>1</v>
      </c>
      <c r="DA307" s="264">
        <f>IFERROR(AVERAGE(DA297:DA299),1)</f>
        <v>1</v>
      </c>
      <c r="DB307" s="264">
        <f>IFERROR(AVERAGE(DB297:DB298),1)</f>
        <v>1</v>
      </c>
      <c r="DC307" s="264">
        <f>IFERROR(AVERAGE(DC297:DC297),1)</f>
        <v>1</v>
      </c>
      <c r="DD307" s="264">
        <v>1</v>
      </c>
      <c r="DE307" s="262" t="s">
        <v>52</v>
      </c>
      <c r="DF307" s="263"/>
      <c r="DG307" s="264">
        <f>IFERROR(AVERAGE(DG303:DG305),1)</f>
        <v>1</v>
      </c>
      <c r="DH307" s="264">
        <f>IFERROR(AVERAGE(DH302:DH304),1)</f>
        <v>1</v>
      </c>
      <c r="DI307" s="264">
        <f>IFERROR(AVERAGE(DI301:DI303),1)</f>
        <v>1</v>
      </c>
      <c r="DJ307" s="264">
        <f>IFERROR(AVERAGE(DJ300:DJ302),1)</f>
        <v>1</v>
      </c>
      <c r="DK307" s="264">
        <f>IFERROR(AVERAGE(DK299:DK301),1)</f>
        <v>1</v>
      </c>
      <c r="DL307" s="264">
        <f>IFERROR(AVERAGE(DL298:DL300),1)</f>
        <v>1</v>
      </c>
      <c r="DM307" s="264">
        <f>IFERROR(AVERAGE(DM297:DM299),1)</f>
        <v>1</v>
      </c>
      <c r="DN307" s="264">
        <f>IFERROR(AVERAGE(DN297:DN298),1)</f>
        <v>1</v>
      </c>
      <c r="DO307" s="264">
        <f>IFERROR(AVERAGE(DO297:DO297),1)</f>
        <v>1</v>
      </c>
      <c r="DP307" s="264">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5"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5"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5"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5"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5"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5"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5"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5"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5"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f>IFERROR(O309*O293,"")</f>
        <v>0</v>
      </c>
      <c r="P310" s="101">
        <f>IFERROR(P309*P292,"")</f>
        <v>0</v>
      </c>
      <c r="Q310" s="101">
        <f>IFERROR(Q309*Q291,"")</f>
        <v>0</v>
      </c>
      <c r="R310" s="101">
        <f>IFERROR(R309*R290,"")</f>
        <v>0</v>
      </c>
      <c r="S310" s="101">
        <f>IFERROR(S309*S289,"")</f>
        <v>0</v>
      </c>
      <c r="T310" s="101">
        <f>IFERROR(T309*T288,"")</f>
        <v>0</v>
      </c>
      <c r="U310" s="101">
        <f>IFERROR(U309*U287,"")</f>
        <v>0</v>
      </c>
      <c r="V310" s="101">
        <f>IFERROR(V309*V286,"")</f>
        <v>0</v>
      </c>
      <c r="W310" s="101">
        <f>IFERROR(W309*W285,"")</f>
        <v>0</v>
      </c>
      <c r="X310" s="101">
        <f>IFERROR(X309*X284,"")</f>
        <v>0</v>
      </c>
      <c r="Y310" s="95" t="s">
        <v>58</v>
      </c>
      <c r="Z310" s="105"/>
      <c r="AA310" s="101">
        <f>IFERROR(AA309*AA293,"")</f>
        <v>0</v>
      </c>
      <c r="AB310" s="101">
        <f>IFERROR(AB309*AB292,"")</f>
        <v>0</v>
      </c>
      <c r="AC310" s="101">
        <f>IFERROR(AC309*AC291,"")</f>
        <v>0</v>
      </c>
      <c r="AD310" s="101">
        <f>IFERROR(AD309*AD290,"")</f>
        <v>0</v>
      </c>
      <c r="AE310" s="101">
        <f>IFERROR(AE309*AE289,"")</f>
        <v>0</v>
      </c>
      <c r="AF310" s="101">
        <f>IFERROR(AF309*AF288,"")</f>
        <v>0</v>
      </c>
      <c r="AG310" s="101">
        <f>IFERROR(AG309*AG287,"")</f>
        <v>0</v>
      </c>
      <c r="AH310" s="101">
        <f>IFERROR(AH309*AH286,"")</f>
        <v>0</v>
      </c>
      <c r="AI310" s="101">
        <f>IFERROR(AI309*AI285,"")</f>
        <v>0</v>
      </c>
      <c r="AJ310" s="101">
        <f>IFERROR(AJ309*AJ284,"")</f>
        <v>0</v>
      </c>
      <c r="AK310" s="95" t="s">
        <v>58</v>
      </c>
      <c r="AL310" s="105"/>
      <c r="AM310" s="101">
        <f>IFERROR(AM309*AM293,"")</f>
        <v>0</v>
      </c>
      <c r="AN310" s="101">
        <f>IFERROR(AN309*AN292,"")</f>
        <v>0</v>
      </c>
      <c r="AO310" s="101">
        <f>IFERROR(AO309*AO291,"")</f>
        <v>0</v>
      </c>
      <c r="AP310" s="101">
        <f>IFERROR(AP309*AP290,"")</f>
        <v>0</v>
      </c>
      <c r="AQ310" s="101">
        <f>IFERROR(AQ309*AQ289,"")</f>
        <v>0</v>
      </c>
      <c r="AR310" s="101">
        <f>IFERROR(AR309*AR288,"")</f>
        <v>0</v>
      </c>
      <c r="AS310" s="101">
        <f>IFERROR(AS309*AS287,"")</f>
        <v>0</v>
      </c>
      <c r="AT310" s="101">
        <f>IFERROR(AT309*AT286,"")</f>
        <v>0</v>
      </c>
      <c r="AU310" s="101">
        <f>IFERROR(AU309*AU285,"")</f>
        <v>0</v>
      </c>
      <c r="AV310" s="101">
        <f>IFERROR(AV309*AV284,"")</f>
        <v>0</v>
      </c>
      <c r="AW310" s="95" t="s">
        <v>58</v>
      </c>
      <c r="AX310" s="105"/>
      <c r="AY310" s="101">
        <f>IFERROR(AY309*AY293,"")</f>
        <v>0</v>
      </c>
      <c r="AZ310" s="101">
        <f>IFERROR(AZ309*AZ292,"")</f>
        <v>0</v>
      </c>
      <c r="BA310" s="101">
        <f>IFERROR(BA309*BA291,"")</f>
        <v>0</v>
      </c>
      <c r="BB310" s="101">
        <f>IFERROR(BB309*BB290,"")</f>
        <v>0</v>
      </c>
      <c r="BC310" s="101">
        <f>IFERROR(BC309*BC289,"")</f>
        <v>0</v>
      </c>
      <c r="BD310" s="101">
        <f>IFERROR(BD309*BD288,"")</f>
        <v>0</v>
      </c>
      <c r="BE310" s="101">
        <f>IFERROR(BE309*BE287,"")</f>
        <v>0</v>
      </c>
      <c r="BF310" s="101">
        <f>IFERROR(BF309*BF286,"")</f>
        <v>0</v>
      </c>
      <c r="BG310" s="101">
        <f>IFERROR(BG309*BG285,"")</f>
        <v>0</v>
      </c>
      <c r="BH310" s="101">
        <f>IFERROR(BH309*BH284,"")</f>
        <v>0</v>
      </c>
      <c r="BI310" s="95" t="s">
        <v>58</v>
      </c>
      <c r="BJ310" s="105"/>
      <c r="BK310" s="101">
        <f>IFERROR(BK309*BK293,"")</f>
        <v>0</v>
      </c>
      <c r="BL310" s="101">
        <f>IFERROR(BL309*BL292,"")</f>
        <v>0</v>
      </c>
      <c r="BM310" s="101">
        <f>IFERROR(BM309*BM291,"")</f>
        <v>0</v>
      </c>
      <c r="BN310" s="101">
        <f>IFERROR(BN309*BN290,"")</f>
        <v>0</v>
      </c>
      <c r="BO310" s="101">
        <f>IFERROR(BO309*BO289,"")</f>
        <v>0</v>
      </c>
      <c r="BP310" s="101">
        <f>IFERROR(BP309*BP288,"")</f>
        <v>0</v>
      </c>
      <c r="BQ310" s="101">
        <f>IFERROR(BQ309*BQ287,"")</f>
        <v>0</v>
      </c>
      <c r="BR310" s="101">
        <f>IFERROR(BR309*BR286,"")</f>
        <v>0</v>
      </c>
      <c r="BS310" s="101">
        <f>IFERROR(BS309*BS285,"")</f>
        <v>0</v>
      </c>
      <c r="BT310" s="101">
        <f>IFERROR(BT309*BT284,"")</f>
        <v>0</v>
      </c>
      <c r="BU310" s="95" t="s">
        <v>58</v>
      </c>
      <c r="BV310" s="105"/>
      <c r="BW310" s="101">
        <f>IFERROR(BW309*BW293,"")</f>
        <v>0</v>
      </c>
      <c r="BX310" s="101">
        <f>IFERROR(BX309*BX292,"")</f>
        <v>0</v>
      </c>
      <c r="BY310" s="101">
        <f>IFERROR(BY309*BY291,"")</f>
        <v>0</v>
      </c>
      <c r="BZ310" s="101">
        <f>IFERROR(BZ309*BZ290,"")</f>
        <v>0</v>
      </c>
      <c r="CA310" s="101">
        <f>IFERROR(CA309*CA289,"")</f>
        <v>0</v>
      </c>
      <c r="CB310" s="101">
        <f>IFERROR(CB309*CB288,"")</f>
        <v>0</v>
      </c>
      <c r="CC310" s="101">
        <f>IFERROR(CC309*CC287,"")</f>
        <v>0</v>
      </c>
      <c r="CD310" s="101">
        <f>IFERROR(CD309*CD286,"")</f>
        <v>0</v>
      </c>
      <c r="CE310" s="101">
        <f>IFERROR(CE309*CE285,"")</f>
        <v>0</v>
      </c>
      <c r="CF310" s="101">
        <f>IFERROR(CF309*CF284,"")</f>
        <v>0</v>
      </c>
      <c r="CG310" s="95" t="s">
        <v>58</v>
      </c>
      <c r="CH310" s="105"/>
      <c r="CI310" s="101" t="str">
        <f>IFERROR(CI309*CI293,"")</f>
        <v/>
      </c>
      <c r="CJ310" s="101" t="str">
        <f>IFERROR(CJ309*CJ292,"")</f>
        <v/>
      </c>
      <c r="CK310" s="101" t="str">
        <f>IFERROR(CK309*CK291,"")</f>
        <v/>
      </c>
      <c r="CL310" s="101" t="str">
        <f>IFERROR(CL309*CL290,"")</f>
        <v/>
      </c>
      <c r="CM310" s="101" t="str">
        <f>IFERROR(CM309*CM289,"")</f>
        <v/>
      </c>
      <c r="CN310" s="101" t="str">
        <f>IFERROR(CN309*CN288,"")</f>
        <v/>
      </c>
      <c r="CO310" s="101" t="str">
        <f>IFERROR(CO309*CO287,"")</f>
        <v/>
      </c>
      <c r="CP310" s="101" t="str">
        <f>IFERROR(CP309*CP286,"")</f>
        <v/>
      </c>
      <c r="CQ310" s="101" t="str">
        <f>IFERROR(CQ309*CQ285,"")</f>
        <v/>
      </c>
      <c r="CR310" s="101" t="str">
        <f>IFERROR(CR309*CR284,"")</f>
        <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215</v>
      </c>
      <c r="B311" s="105"/>
      <c r="C311" s="141">
        <f>IF(OR(D7="Paid - Loss &amp; DCCE",D7="Incurred - Loss &amp; DCCE"),"N/A",IF(D7="Paid - Pure Loss", C97, IF(D7="Incurred - Pure Loss", C240, 0)))</f>
        <v>1251253054.1177616</v>
      </c>
      <c r="D311" s="141">
        <f>IF(OR(D7="Paid - Loss &amp; DCCE",D7="Incurred - Loss &amp; DCCE"),"N/A",IF(D7="Paid - Pure Loss", D97, IF(D7="Incurred - Pure Loss", D240, 0)))</f>
        <v>956074346.85543823</v>
      </c>
      <c r="E311" s="141">
        <f>IF(OR(D7="Paid - Loss &amp; DCCE",D7="Incurred - Loss &amp; DCCE"),"N/A",IF(D7="Paid - Pure Loss", E97, IF(D7="Incurred - Pure Loss", E240, 0)))</f>
        <v>914066335.87849927</v>
      </c>
      <c r="F311" s="141">
        <f>IF(OR(D7="Paid - Loss &amp; DCCE",D7="Incurred - Loss &amp; DCCE"),"N/A",IF(D7="Paid - Pure Loss", F97, IF(D7="Incurred - Pure Loss", F240, 0)))</f>
        <v>1174127100.2305522</v>
      </c>
      <c r="G311" s="141">
        <f>IF(OR(D7="Paid - Loss &amp; DCCE",D7="Incurred - Loss &amp; DCCE"),"N/A",IF(D7="Paid - Pure Loss", G97, IF(D7="Incurred - Pure Loss", G240, 0)))</f>
        <v>1225131403.7641387</v>
      </c>
      <c r="H311" s="141">
        <f>IF(OR(D7="Paid - Loss &amp; DCCE",D7="Incurred - Loss &amp; DCCE"),"N/A",IF(D7="Paid - Pure Loss", H97, IF(D7="Incurred - Pure Loss", H240, 0)))</f>
        <v>1285254424.5704341</v>
      </c>
      <c r="I311" s="141">
        <f>IF(OR(D7="Paid - Loss &amp; DCCE",D7="Incurred - Loss &amp; DCCE"),"N/A",IF(D7="Paid - Pure Loss", I97, IF(D7="Incurred - Pure Loss", I240, 0)))</f>
        <v>1287931106.1730287</v>
      </c>
      <c r="J311" s="141">
        <f>IF(OR(D7="Paid - Loss &amp; DCCE",D7="Incurred - Loss &amp; DCCE"),"N/A",IF(D7="Paid - Pure Loss", J97, IF(D7="Incurred - Pure Loss", J240, 0)))</f>
        <v>1140124211.3832164</v>
      </c>
      <c r="K311" s="141">
        <f>IF(OR(D7="Paid - Loss &amp; DCCE",D7="Incurred - Loss &amp; DCCE"),"N/A",IF(D7="Paid - Pure Loss", K97, IF(D7="Incurred - Pure Loss", K240, 0)))</f>
        <v>1064193158.5822048</v>
      </c>
      <c r="L311" s="141">
        <f>IF(OR(D7="Paid - Loss &amp; DCCE",D7="Incurred - Loss &amp; DCCE"),"N/A",IF(D7="Paid - Pure Loss", L97, IF(D7="Incurred - Pure Loss", L240, 0)))</f>
        <v>920057675.80000019</v>
      </c>
      <c r="M311" s="140" t="s">
        <v>215</v>
      </c>
      <c r="N311" s="105"/>
      <c r="O311" s="141">
        <f>IF(OR(P7="Paid - Loss &amp; DCCE",P7="Incurred - Loss &amp; DCCE"),"N/A",IF(P7="Paid - Pure Loss", O97, IF(P7="Incurred - Pure Loss", O240, 0)))</f>
        <v>58953874.20794864</v>
      </c>
      <c r="P311" s="141">
        <f>IF(OR(P7="Paid - Loss &amp; DCCE",P7="Incurred - Loss &amp; DCCE"),"N/A",IF(P7="Paid - Pure Loss", P97, IF(P7="Incurred - Pure Loss", P240, 0)))</f>
        <v>52013918.147174187</v>
      </c>
      <c r="Q311" s="141">
        <f>IF(OR(P7="Paid - Loss &amp; DCCE",P7="Incurred - Loss &amp; DCCE"),"N/A",IF(P7="Paid - Pure Loss", Q97, IF(P7="Incurred - Pure Loss", Q240, 0)))</f>
        <v>52087720.954671144</v>
      </c>
      <c r="R311" s="141">
        <f>IF(OR(P7="Paid - Loss &amp; DCCE",P7="Incurred - Loss &amp; DCCE"),"N/A",IF(P7="Paid - Pure Loss", R97, IF(P7="Incurred - Pure Loss", R240, 0)))</f>
        <v>70805714.478667989</v>
      </c>
      <c r="S311" s="141">
        <f>IF(OR(P7="Paid - Loss &amp; DCCE",P7="Incurred - Loss &amp; DCCE"),"N/A",IF(P7="Paid - Pure Loss", S97, IF(P7="Incurred - Pure Loss", S240, 0)))</f>
        <v>71209699.792117447</v>
      </c>
      <c r="T311" s="141">
        <f>IF(OR(P7="Paid - Loss &amp; DCCE",P7="Incurred - Loss &amp; DCCE"),"N/A",IF(P7="Paid - Pure Loss", T97, IF(P7="Incurred - Pure Loss", T240, 0)))</f>
        <v>70624751.489567399</v>
      </c>
      <c r="U311" s="141">
        <f>IF(OR(P7="Paid - Loss &amp; DCCE",P7="Incurred - Loss &amp; DCCE"),"N/A",IF(P7="Paid - Pure Loss", U97, IF(P7="Incurred - Pure Loss", U240, 0)))</f>
        <v>64753062.903224528</v>
      </c>
      <c r="V311" s="141">
        <f>IF(OR(P7="Paid - Loss &amp; DCCE",P7="Incurred - Loss &amp; DCCE"),"N/A",IF(P7="Paid - Pure Loss", V97, IF(P7="Incurred - Pure Loss", V240, 0)))</f>
        <v>62955455.031573683</v>
      </c>
      <c r="W311" s="141">
        <f>IF(OR(P7="Paid - Loss &amp; DCCE",P7="Incurred - Loss &amp; DCCE"),"N/A",IF(P7="Paid - Pure Loss", W97, IF(P7="Incurred - Pure Loss", W240, 0)))</f>
        <v>62493217.966579154</v>
      </c>
      <c r="X311" s="141">
        <f>IF(OR(P7="Paid - Loss &amp; DCCE",P7="Incurred - Loss &amp; DCCE"),"N/A",IF(P7="Paid - Pure Loss", X97, IF(P7="Incurred - Pure Loss", X240, 0)))</f>
        <v>63134270.549999997</v>
      </c>
      <c r="Y311" s="140" t="s">
        <v>215</v>
      </c>
      <c r="Z311" s="105"/>
      <c r="AA311" s="141">
        <f>IF(OR(AB7="Paid - Loss &amp; DCCE",AB7="Incurred - Loss &amp; DCCE"),"N/A",IF(AB7="Paid - Pure Loss", AA97, IF(AB7="Incurred - Pure Loss", AA240, 0)))</f>
        <v>267238322.56361914</v>
      </c>
      <c r="AB311" s="141">
        <f>IF(OR(AB7="Paid - Loss &amp; DCCE",AB7="Incurred - Loss &amp; DCCE"),"N/A",IF(AB7="Paid - Pure Loss", AB97, IF(AB7="Incurred - Pure Loss", AB240, 0)))</f>
        <v>234597128.01328337</v>
      </c>
      <c r="AC311" s="141">
        <f>IF(OR(AB7="Paid - Loss &amp; DCCE",AB7="Incurred - Loss &amp; DCCE"),"N/A",IF(AB7="Paid - Pure Loss", AC97, IF(AB7="Incurred - Pure Loss", AC240, 0)))</f>
        <v>187526440.69023901</v>
      </c>
      <c r="AD311" s="141">
        <f>IF(OR(AB7="Paid - Loss &amp; DCCE",AB7="Incurred - Loss &amp; DCCE"),"N/A",IF(AB7="Paid - Pure Loss", AD97, IF(AB7="Incurred - Pure Loss", AD240, 0)))</f>
        <v>204075691.2701661</v>
      </c>
      <c r="AE311" s="141">
        <f>IF(OR(AB7="Paid - Loss &amp; DCCE",AB7="Incurred - Loss &amp; DCCE"),"N/A",IF(AB7="Paid - Pure Loss", AE97, IF(AB7="Incurred - Pure Loss", AE240, 0)))</f>
        <v>209090287.24149579</v>
      </c>
      <c r="AF311" s="141">
        <f>IF(OR(AB7="Paid - Loss &amp; DCCE",AB7="Incurred - Loss &amp; DCCE"),"N/A",IF(AB7="Paid - Pure Loss", AF97, IF(AB7="Incurred - Pure Loss", AF240, 0)))</f>
        <v>206467645.45198521</v>
      </c>
      <c r="AG311" s="141">
        <f>IF(OR(AB7="Paid - Loss &amp; DCCE",AB7="Incurred - Loss &amp; DCCE"),"N/A",IF(AB7="Paid - Pure Loss", AG97, IF(AB7="Incurred - Pure Loss", AG240, 0)))</f>
        <v>181355033.81049174</v>
      </c>
      <c r="AH311" s="141">
        <f>IF(OR(AB7="Paid - Loss &amp; DCCE",AB7="Incurred - Loss &amp; DCCE"),"N/A",IF(AB7="Paid - Pure Loss", AH97, IF(AB7="Incurred - Pure Loss", AH240, 0)))</f>
        <v>168724110.10857093</v>
      </c>
      <c r="AI311" s="141">
        <f>IF(OR(AB7="Paid - Loss &amp; DCCE",AB7="Incurred - Loss &amp; DCCE"),"N/A",IF(AB7="Paid - Pure Loss", AI97, IF(AB7="Incurred - Pure Loss", AI240, 0)))</f>
        <v>146262962.13321468</v>
      </c>
      <c r="AJ311" s="141">
        <f>IF(OR(AB7="Paid - Loss &amp; DCCE",AB7="Incurred - Loss &amp; DCCE"),"N/A",IF(AB7="Paid - Pure Loss", AJ97, IF(AB7="Incurred - Pure Loss", AJ240, 0)))</f>
        <v>126421553.64000006</v>
      </c>
      <c r="AK311" s="140" t="s">
        <v>215</v>
      </c>
      <c r="AL311" s="105"/>
      <c r="AM311" s="141">
        <f>IF(OR(AN7="Paid - Loss &amp; DCCE",AN7="Incurred - Loss &amp; DCCE"),"N/A",IF(AN7="Paid - Pure Loss", AM97, IF(AN7="Incurred - Pure Loss", AM240, 0)))</f>
        <v>376110223.50221878</v>
      </c>
      <c r="AN311" s="141">
        <f>IF(OR(AN7="Paid - Loss &amp; DCCE",AN7="Incurred - Loss &amp; DCCE"),"N/A",IF(AN7="Paid - Pure Loss", AN97, IF(AN7="Incurred - Pure Loss", AN240, 0)))</f>
        <v>283949154.05683118</v>
      </c>
      <c r="AO311" s="141">
        <f>IF(OR(AN7="Paid - Loss &amp; DCCE",AN7="Incurred - Loss &amp; DCCE"),"N/A",IF(AN7="Paid - Pure Loss", AO97, IF(AN7="Incurred - Pure Loss", AO240, 0)))</f>
        <v>232976088.75098905</v>
      </c>
      <c r="AP311" s="141">
        <f>IF(OR(AN7="Paid - Loss &amp; DCCE",AN7="Incurred - Loss &amp; DCCE"),"N/A",IF(AN7="Paid - Pure Loss", AP97, IF(AN7="Incurred - Pure Loss", AP240, 0)))</f>
        <v>232942717.50376558</v>
      </c>
      <c r="AQ311" s="141">
        <f>IF(OR(AN7="Paid - Loss &amp; DCCE",AN7="Incurred - Loss &amp; DCCE"),"N/A",IF(AN7="Paid - Pure Loss", AQ97, IF(AN7="Incurred - Pure Loss", AQ240, 0)))</f>
        <v>217894508.22900918</v>
      </c>
      <c r="AR311" s="141">
        <f>IF(OR(AN7="Paid - Loss &amp; DCCE",AN7="Incurred - Loss &amp; DCCE"),"N/A",IF(AN7="Paid - Pure Loss", AR97, IF(AN7="Incurred - Pure Loss", AR240, 0)))</f>
        <v>225389504.2256611</v>
      </c>
      <c r="AS311" s="141">
        <f>IF(OR(AN7="Paid - Loss &amp; DCCE",AN7="Incurred - Loss &amp; DCCE"),"N/A",IF(AN7="Paid - Pure Loss", AS97, IF(AN7="Incurred - Pure Loss", AS240, 0)))</f>
        <v>207363314.84734696</v>
      </c>
      <c r="AT311" s="141">
        <f>IF(OR(AN7="Paid - Loss &amp; DCCE",AN7="Incurred - Loss &amp; DCCE"),"N/A",IF(AN7="Paid - Pure Loss", AT97, IF(AN7="Incurred - Pure Loss", AT240, 0)))</f>
        <v>193373516.30004087</v>
      </c>
      <c r="AU311" s="141">
        <f>IF(OR(AN7="Paid - Loss &amp; DCCE",AN7="Incurred - Loss &amp; DCCE"),"N/A",IF(AN7="Paid - Pure Loss", AU97, IF(AN7="Incurred - Pure Loss", AU240, 0)))</f>
        <v>178920713.72953856</v>
      </c>
      <c r="AV311" s="141">
        <f>IF(OR(AN7="Paid - Loss &amp; DCCE",AN7="Incurred - Loss &amp; DCCE"),"N/A",IF(AN7="Paid - Pure Loss", AV97, IF(AN7="Incurred - Pure Loss", AV240, 0)))</f>
        <v>173144135.10000005</v>
      </c>
      <c r="AW311" s="140" t="s">
        <v>215</v>
      </c>
      <c r="AX311" s="105"/>
      <c r="AY311" s="141">
        <f>IF(OR(AZ7="Paid - Loss &amp; DCCE",AZ7="Incurred - Loss &amp; DCCE"),"N/A",IF(AZ7="Paid - Pure Loss", AY97, IF(AZ7="Incurred - Pure Loss", AY240, 0)))</f>
        <v>1158673262.0354464</v>
      </c>
      <c r="AZ311" s="141">
        <f>IF(OR(AZ7="Paid - Loss &amp; DCCE",AZ7="Incurred - Loss &amp; DCCE"),"N/A",IF(AZ7="Paid - Pure Loss", AZ97, IF(AZ7="Incurred - Pure Loss", AZ240, 0)))</f>
        <v>820931851.57167816</v>
      </c>
      <c r="BA311" s="141">
        <f>IF(OR(AZ7="Paid - Loss &amp; DCCE",AZ7="Incurred - Loss &amp; DCCE"),"N/A",IF(AZ7="Paid - Pure Loss",BA97,IF(AZ7="Incurred - Pure Loss",BA240,0)))</f>
        <v>706867543.05423367</v>
      </c>
      <c r="BB311" s="141">
        <f>IF(OR(AZ7="Paid - Loss &amp; DCCE",AZ7="Incurred - Loss &amp; DCCE"),"N/A",IF(AZ7="Paid - Pure Loss", BB97, IF(AZ7="Incurred - Pure Loss", BB240, 0)))</f>
        <v>858893146.56209421</v>
      </c>
      <c r="BC311" s="141">
        <f>IF(OR(AZ7="Paid - Loss &amp; DCCE",AZ7="Incurred - Loss &amp; DCCE"),"N/A",IF(AZ7="Paid - Pure Loss", BC97, IF(AZ7="Incurred - Pure Loss", BC240, 0)))</f>
        <v>833830328.87903321</v>
      </c>
      <c r="BD311" s="141">
        <f>IF(OR(AZ7="Paid - Loss &amp; DCCE",AZ7="Incurred - Loss &amp; DCCE"),"N/A",IF(AZ7="Paid - Pure Loss", BD97, IF(AZ7="Incurred - Pure Loss", BD240, 0)))</f>
        <v>849746095.32609677</v>
      </c>
      <c r="BE311" s="141">
        <f>IF(OR(AZ7="Paid - Loss &amp; DCCE",AZ7="Incurred - Loss &amp; DCCE"),"N/A",IF(AZ7="Paid - Pure Loss", BE97, IF(AZ7="Incurred - Pure Loss", BE240, 0)))</f>
        <v>811298485.18886781</v>
      </c>
      <c r="BF311" s="141">
        <f>IF(OR(AZ7="Paid - Loss &amp; DCCE",AZ7="Incurred - Loss &amp; DCCE"),"N/A",IF(AZ7="Paid - Pure Loss", BF97, IF(AZ7="Incurred - Pure Loss", BF240, 0)))</f>
        <v>729989827.90210485</v>
      </c>
      <c r="BG311" s="141">
        <f>IF(OR(AZ7="Paid - Loss &amp; DCCE",AZ7="Incurred - Loss &amp; DCCE"),"N/A",IF(AZ7="Paid - Pure Loss", BG97, IF(AZ7="Incurred - Pure Loss", BG240, 0)))</f>
        <v>637167267.60686588</v>
      </c>
      <c r="BH311" s="141">
        <f>IF(OR(AZ7="Paid - Loss &amp; DCCE",AZ7="Incurred - Loss &amp; DCCE"),"N/A",IF(AZ7="Paid - Pure Loss", BH97, IF(AZ7="Incurred - Pure Loss", BH240, 0)))</f>
        <v>574575258.09999979</v>
      </c>
      <c r="BI311" s="140" t="s">
        <v>215</v>
      </c>
      <c r="BJ311" s="105"/>
      <c r="BK311" s="141">
        <f>IF(OR(BL7="Paid - Loss &amp; DCCE",BL7="Incurred - Loss &amp; DCCE"),"N/A",IF(BL7="Paid - Pure Loss", BK97, IF(BL7="Incurred - Pure Loss", BK240, 0)))</f>
        <v>68709677.56199187</v>
      </c>
      <c r="BL311" s="141">
        <f>IF(OR(BL7="Paid - Loss &amp; DCCE",BL7="Incurred - Loss &amp; DCCE"),"N/A",IF(BL7="Paid - Pure Loss", BL97, IF(BL7="Incurred - Pure Loss", BL240, 0)))</f>
        <v>52154504.721452318</v>
      </c>
      <c r="BM311" s="141">
        <f>IF(OR(BL7="Paid - Loss &amp; DCCE",BL7="Incurred - Loss &amp; DCCE"),"N/A",IF(BL7="Paid - Pure Loss", BM97, IF(BL7="Incurred - Pure Loss", BM240, 0)))</f>
        <v>45401662.516688794</v>
      </c>
      <c r="BN311" s="141">
        <f>IF(OR(BL7="Paid - Loss &amp; DCCE",BL7="Incurred - Loss &amp; DCCE"),"N/A",IF(BL7="Paid - Pure Loss", BN97, IF(BL7="Incurred - Pure Loss", BN240, 0)))</f>
        <v>53562223.069583021</v>
      </c>
      <c r="BO311" s="141">
        <f>IF(OR(BL7="Paid - Loss &amp; DCCE",BL7="Incurred - Loss &amp; DCCE"),"N/A",IF(BL7="Paid - Pure Loss", BO97, IF(BL7="Incurred - Pure Loss", BO240, 0)))</f>
        <v>51138267.406911053</v>
      </c>
      <c r="BP311" s="141">
        <f>IF(OR(BL7="Paid - Loss &amp; DCCE",BL7="Incurred - Loss &amp; DCCE"),"N/A",IF(BL7="Paid - Pure Loss", BP97, IF(BL7="Incurred - Pure Loss", BP240, 0)))</f>
        <v>53896205.342393488</v>
      </c>
      <c r="BQ311" s="141">
        <f>IF(OR(BL7="Paid - Loss &amp; DCCE",BL7="Incurred - Loss &amp; DCCE"),"N/A",IF(BL7="Paid - Pure Loss", BQ97, IF(BL7="Incurred - Pure Loss", BQ240, 0)))</f>
        <v>49434457.813642636</v>
      </c>
      <c r="BR311" s="141">
        <f>IF(OR(BL7="Paid - Loss &amp; DCCE",BL7="Incurred - Loss &amp; DCCE"),"N/A",IF(BL7="Paid - Pure Loss", BR97, IF(BL7="Incurred - Pure Loss", BR240, 0)))</f>
        <v>44528924.763864033</v>
      </c>
      <c r="BS311" s="141">
        <f>IF(OR(BL7="Paid - Loss &amp; DCCE",BL7="Incurred - Loss &amp; DCCE"),"N/A",IF(BL7="Paid - Pure Loss", BS97, IF(BL7="Incurred - Pure Loss", BS240, 0)))</f>
        <v>41011191.016272604</v>
      </c>
      <c r="BT311" s="141">
        <f>IF(OR(BL7="Paid - Loss &amp; DCCE",BL7="Incurred - Loss &amp; DCCE"),"N/A",IF(BL7="Paid - Pure Loss", BT97, IF(BL7="Incurred - Pure Loss", BT240, 0)))</f>
        <v>38025515.699999988</v>
      </c>
      <c r="BU311" s="140" t="s">
        <v>215</v>
      </c>
      <c r="BV311" s="105"/>
      <c r="BW311" s="141">
        <f>IF(OR(BX7="Paid - Loss &amp; DCCE",BX7="Incurred - Loss &amp; DCCE"),"N/A",IF(BX7="Paid - Pure Loss", BW97, IF(BX7="Incurred - Pure Loss", BW240, 0)))</f>
        <v>352865.74789210461</v>
      </c>
      <c r="BX311" s="141">
        <f>IF(OR(BX7="Paid - Loss &amp; DCCE",BX7="Incurred - Loss &amp; DCCE"),"N/A",IF(BX7="Paid - Pure Loss", BX97, IF(BX7="Incurred - Pure Loss", BX240, 0)))</f>
        <v>219133.52714433876</v>
      </c>
      <c r="BY311" s="141">
        <f>IF(OR(BX7="Paid - Loss &amp; DCCE",BX7="Incurred - Loss &amp; DCCE"),"N/A",IF(BX7="Paid - Pure Loss", BY97, IF(BX7="Incurred - Pure Loss", BY240, 0)))</f>
        <v>168519.11264576527</v>
      </c>
      <c r="BZ311" s="141">
        <f>IF(OR(BX7="Paid - Loss &amp; DCCE",BX7="Incurred - Loss &amp; DCCE"),"N/A",IF(BX7="Paid - Pure Loss", BZ97, IF(BX7="Incurred - Pure Loss", BZ240, 0)))</f>
        <v>477569.23819243273</v>
      </c>
      <c r="CA311" s="141">
        <f>IF(OR(BX7="Paid - Loss &amp; DCCE",BX7="Incurred - Loss &amp; DCCE"),"N/A",IF(BX7="Paid - Pure Loss", CA97, IF(BX7="Incurred - Pure Loss", CA240, 0)))</f>
        <v>531671.41999999993</v>
      </c>
      <c r="CB311" s="141">
        <f>IF(OR(BX7="Paid - Loss &amp; DCCE",BX7="Incurred - Loss &amp; DCCE"),"N/A",IF(BX7="Paid - Pure Loss", CB97, IF(BX7="Incurred - Pure Loss", CB240, 0)))</f>
        <v>379934.12</v>
      </c>
      <c r="CC311" s="141">
        <f>IF(OR(BX7="Paid - Loss &amp; DCCE",BX7="Incurred - Loss &amp; DCCE"),"N/A",IF(BX7="Paid - Pure Loss", CC97, IF(BX7="Incurred - Pure Loss", CC240, 0)))</f>
        <v>275600</v>
      </c>
      <c r="CD311" s="141">
        <f>IF(OR(BX7="Paid - Loss &amp; DCCE",BX7="Incurred - Loss &amp; DCCE"),"N/A",IF(BX7="Paid - Pure Loss", CD97, IF(BX7="Incurred - Pure Loss", CD240, 0)))</f>
        <v>501471.43</v>
      </c>
      <c r="CE311" s="141">
        <f>IF(OR(BX7="Paid - Loss &amp; DCCE",BX7="Incurred - Loss &amp; DCCE"),"N/A",IF(BX7="Paid - Pure Loss", CE97, IF(BX7="Incurred - Pure Loss", CE240, 0)))</f>
        <v>366601.32</v>
      </c>
      <c r="CF311" s="141">
        <f>IF(OR(BX7="Paid - Loss &amp; DCCE",BX7="Incurred - Loss &amp; DCCE"),"N/A",IF(BX7="Paid - Pure Loss", CF97, IF(BX7="Incurred - Pure Loss", CF240, 0)))</f>
        <v>258250</v>
      </c>
      <c r="CG311" s="140" t="s">
        <v>215</v>
      </c>
      <c r="CH311" s="105"/>
      <c r="CI311" s="141">
        <f>IF(OR(CJ7="Paid - Loss &amp; DCCE",CJ7="Incurred - Loss &amp; DCCE"),"N/A",IF(CJ7="Paid - Pure Loss", CI97, IF(CJ7="Incurred - Pure Loss", CI240, 0)))</f>
        <v>0</v>
      </c>
      <c r="CJ311" s="141">
        <f>IF(OR(CJ7="Paid - Loss &amp; DCCE",CJ7="Incurred - Loss &amp; DCCE"),"N/A",IF(CJ7="Paid - Pure Loss", CJ97, IF(CJ7="Incurred - Pure Loss", CJ240, 0)))</f>
        <v>0</v>
      </c>
      <c r="CK311" s="141">
        <f>IF(OR(CJ7="Paid - Loss &amp; DCCE",CJ7="Incurred - Loss &amp; DCCE"),"N/A",IF(CJ7="Paid - Pure Loss", CK97, IF(CJ7="Incurred - Pure Loss", CK240, 0)))</f>
        <v>0</v>
      </c>
      <c r="CL311" s="141">
        <f>IF(OR(CJ7="Paid - Loss &amp; DCCE",CJ7="Incurred - Loss &amp; DCCE"),"N/A",IF(CJ7="Paid - Pure Loss", CL97, IF(CJ7="Incurred - Pure Loss", CL240, 0)))</f>
        <v>0</v>
      </c>
      <c r="CM311" s="141">
        <f>IF(OR(CJ7="Paid - Loss &amp; DCCE",CJ7="Incurred - Loss &amp; DCCE"),"N/A",IF(CJ7="Paid - Pure Loss", CM97, IF(CJ7="Incurred - Pure Loss", CM240, 0)))</f>
        <v>0</v>
      </c>
      <c r="CN311" s="141">
        <f>IF(OR(CJ7="Paid - Loss &amp; DCCE",CJ7="Incurred - Loss &amp; DCCE"),"N/A",IF(CJ7="Paid - Pure Loss", CN97, IF(CJ7="Incurred - Pure Loss", CN240, 0)))</f>
        <v>0</v>
      </c>
      <c r="CO311" s="141">
        <f>IF(OR(CJ7="Paid - Loss &amp; DCCE",CJ7="Incurred - Loss &amp; DCCE"),"N/A",IF(CJ7="Paid - Pure Loss", CO97, IF(CJ7="Incurred - Pure Loss", CO240, 0)))</f>
        <v>0</v>
      </c>
      <c r="CP311" s="141">
        <f>IF(OR(CJ7="Paid - Loss &amp; DCCE",CJ7="Incurred - Loss &amp; DCCE"),"N/A",IF(CJ7="Paid - Pure Loss", CP97, IF(CJ7="Incurred - Pure Loss", CP240, 0)))</f>
        <v>0</v>
      </c>
      <c r="CQ311" s="141">
        <f>IF(OR(CJ7="Paid - Loss &amp; DCCE",CJ7="Incurred - Loss &amp; DCCE"),"N/A",IF(CJ7="Paid - Pure Loss", CQ97, IF(CJ7="Incurred - Pure Loss", CQ240, 0)))</f>
        <v>0</v>
      </c>
      <c r="CR311" s="141">
        <f>IF(OR(CJ7="Paid - Loss &amp; DCCE",CJ7="Incurred - Loss &amp; DCCE"),"N/A",IF(CJ7="Paid - Pure Loss", CR97, IF(CJ7="Incurred - Pure Loss", CR240, 0)))</f>
        <v>0</v>
      </c>
      <c r="CS311" s="140" t="s">
        <v>215</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215</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Mutual Automobile Insurance Company</v>
      </c>
      <c r="B314" s="68"/>
      <c r="C314" s="40"/>
      <c r="D314" s="18"/>
      <c r="E314" s="18"/>
      <c r="F314" s="18"/>
      <c r="G314" s="18"/>
      <c r="H314" s="18"/>
      <c r="I314" s="18"/>
      <c r="J314" s="18"/>
      <c r="K314" s="18"/>
      <c r="L314" s="18"/>
      <c r="M314" s="137" t="str">
        <f>Co_Name</f>
        <v>State Farm Mutual Automobile Insurance Company</v>
      </c>
      <c r="N314" s="68"/>
      <c r="O314" s="40"/>
      <c r="P314" s="18"/>
      <c r="Q314" s="18"/>
      <c r="R314" s="18"/>
      <c r="S314" s="18"/>
      <c r="T314" s="18"/>
      <c r="U314" s="18"/>
      <c r="V314" s="18"/>
      <c r="W314" s="18"/>
      <c r="X314" s="18"/>
      <c r="Y314" s="137" t="str">
        <f>Co_Name</f>
        <v>State Farm Mutual Automobile Insurance Company</v>
      </c>
      <c r="Z314" s="68"/>
      <c r="AA314" s="40"/>
      <c r="AB314" s="18"/>
      <c r="AC314" s="18"/>
      <c r="AD314" s="18"/>
      <c r="AE314" s="18"/>
      <c r="AF314" s="18"/>
      <c r="AG314" s="18"/>
      <c r="AH314" s="18"/>
      <c r="AI314" s="18"/>
      <c r="AJ314" s="18"/>
      <c r="AK314" s="137" t="str">
        <f>Co_Name</f>
        <v>State Farm Mutual Automobile Insurance Company</v>
      </c>
      <c r="AL314" s="68"/>
      <c r="AM314" s="40"/>
      <c r="AN314" s="18"/>
      <c r="AO314" s="18"/>
      <c r="AP314" s="18"/>
      <c r="AQ314" s="18"/>
      <c r="AR314" s="18"/>
      <c r="AS314" s="18"/>
      <c r="AT314" s="18"/>
      <c r="AU314" s="18"/>
      <c r="AV314" s="18"/>
      <c r="AW314" s="137" t="str">
        <f>Co_Name</f>
        <v>State Farm Mutual Automobile Insurance Company</v>
      </c>
      <c r="AX314" s="68"/>
      <c r="AY314" s="40"/>
      <c r="AZ314" s="18"/>
      <c r="BA314" s="18"/>
      <c r="BB314" s="18"/>
      <c r="BC314" s="18"/>
      <c r="BD314" s="18"/>
      <c r="BE314" s="18"/>
      <c r="BF314" s="18"/>
      <c r="BG314" s="18"/>
      <c r="BH314" s="18"/>
      <c r="BI314" s="137" t="str">
        <f>Co_Name</f>
        <v>State Farm Mutual Automobile Insurance Company</v>
      </c>
      <c r="BJ314" s="68"/>
      <c r="BK314" s="40"/>
      <c r="BL314" s="18"/>
      <c r="BM314" s="18"/>
      <c r="BN314" s="18"/>
      <c r="BO314" s="18"/>
      <c r="BP314" s="18"/>
      <c r="BQ314" s="18"/>
      <c r="BR314" s="18"/>
      <c r="BS314" s="18"/>
      <c r="BT314" s="18"/>
      <c r="BU314" s="137" t="str">
        <f>Co_Name</f>
        <v>State Farm Mutual Automobile Insurance Company</v>
      </c>
      <c r="BV314" s="68"/>
      <c r="BW314" s="40"/>
      <c r="BX314" s="18"/>
      <c r="BY314" s="18"/>
      <c r="BZ314" s="18"/>
      <c r="CA314" s="18"/>
      <c r="CB314" s="18"/>
      <c r="CC314" s="18"/>
      <c r="CD314" s="18"/>
      <c r="CE314" s="18"/>
      <c r="CF314" s="18"/>
      <c r="CG314" s="137" t="str">
        <f>Co_Name</f>
        <v>State Farm Mutual Automobile Insurance Company</v>
      </c>
      <c r="CH314" s="68"/>
      <c r="CI314" s="40"/>
      <c r="CJ314" s="18"/>
      <c r="CK314" s="18"/>
      <c r="CL314" s="18"/>
      <c r="CM314" s="18"/>
      <c r="CN314" s="18"/>
      <c r="CO314" s="18"/>
      <c r="CP314" s="18"/>
      <c r="CQ314" s="18"/>
      <c r="CR314" s="18"/>
      <c r="CS314" s="137" t="str">
        <f>Co_Name</f>
        <v>State Farm Mutual Automobile Insurance Company</v>
      </c>
      <c r="CT314" s="68"/>
      <c r="CU314" s="40"/>
      <c r="CV314" s="18"/>
      <c r="CW314" s="18"/>
      <c r="CX314" s="18"/>
      <c r="CY314" s="18"/>
      <c r="CZ314" s="18"/>
      <c r="DA314" s="18"/>
      <c r="DB314" s="18"/>
      <c r="DC314" s="18"/>
      <c r="DD314" s="18"/>
      <c r="DE314" s="137" t="str">
        <f>Co_Name</f>
        <v>State Farm Mutual Automobile Insurance Company</v>
      </c>
      <c r="DF314" s="68"/>
      <c r="DG314" s="40"/>
      <c r="DH314" s="18"/>
      <c r="DI314" s="18"/>
      <c r="DJ314" s="18"/>
      <c r="DK314" s="18"/>
      <c r="DL314" s="18"/>
      <c r="DM314" s="18"/>
      <c r="DN314" s="18"/>
      <c r="DO314" s="18"/>
      <c r="DP314" s="18"/>
    </row>
    <row r="315" spans="1:120" ht="21" x14ac:dyDescent="0.35">
      <c r="A315" s="137" t="str">
        <f>A$2</f>
        <v>Private Passenger Auto Liability</v>
      </c>
      <c r="B315" s="68"/>
      <c r="C315" s="40"/>
      <c r="D315" s="18"/>
      <c r="E315" s="18"/>
      <c r="F315" s="18"/>
      <c r="G315" s="18"/>
      <c r="H315" s="18"/>
      <c r="I315" s="18"/>
      <c r="J315" s="18"/>
      <c r="K315" s="18"/>
      <c r="L315" s="18"/>
      <c r="M315" s="137" t="str">
        <f>M$2</f>
        <v>Private Passenger Auto Liability</v>
      </c>
      <c r="N315" s="68"/>
      <c r="O315" s="40"/>
      <c r="P315" s="18"/>
      <c r="Q315" s="18"/>
      <c r="R315" s="18"/>
      <c r="S315" s="18"/>
      <c r="T315" s="18"/>
      <c r="U315" s="18"/>
      <c r="V315" s="18"/>
      <c r="W315" s="18"/>
      <c r="X315" s="18"/>
      <c r="Y315" s="137" t="str">
        <f>Y$2</f>
        <v>Private Passenger Auto Liability</v>
      </c>
      <c r="Z315" s="68"/>
      <c r="AA315" s="40"/>
      <c r="AB315" s="18"/>
      <c r="AC315" s="18"/>
      <c r="AD315" s="18"/>
      <c r="AE315" s="18"/>
      <c r="AF315" s="18"/>
      <c r="AG315" s="18"/>
      <c r="AH315" s="18"/>
      <c r="AI315" s="18"/>
      <c r="AJ315" s="18"/>
      <c r="AK315" s="137" t="str">
        <f>AK$2</f>
        <v>Private Passenger Auto Liability</v>
      </c>
      <c r="AL315" s="68"/>
      <c r="AM315" s="40"/>
      <c r="AN315" s="18"/>
      <c r="AO315" s="18"/>
      <c r="AP315" s="18"/>
      <c r="AQ315" s="18"/>
      <c r="AR315" s="18"/>
      <c r="AS315" s="18"/>
      <c r="AT315" s="18"/>
      <c r="AU315" s="18"/>
      <c r="AV315" s="18"/>
      <c r="AW315" s="137" t="str">
        <f>AW$2</f>
        <v>Private Passenger Auto Physical Damage</v>
      </c>
      <c r="AX315" s="68"/>
      <c r="AY315" s="40"/>
      <c r="AZ315" s="18"/>
      <c r="BA315" s="18"/>
      <c r="BB315" s="18"/>
      <c r="BC315" s="18"/>
      <c r="BD315" s="18"/>
      <c r="BE315" s="18"/>
      <c r="BF315" s="18"/>
      <c r="BG315" s="18"/>
      <c r="BH315" s="18"/>
      <c r="BI315" s="137" t="str">
        <f>BI$2</f>
        <v>Private Passenger Auto Physical Damage</v>
      </c>
      <c r="BJ315" s="68"/>
      <c r="BK315" s="40"/>
      <c r="BL315" s="18"/>
      <c r="BM315" s="18"/>
      <c r="BN315" s="18"/>
      <c r="BO315" s="18"/>
      <c r="BP315" s="18"/>
      <c r="BQ315" s="18"/>
      <c r="BR315" s="18"/>
      <c r="BS315" s="18"/>
      <c r="BT315" s="18"/>
      <c r="BU315" s="137" t="str">
        <f>BU$2</f>
        <v>Private Passenger Auto Physical Damage</v>
      </c>
      <c r="BV315" s="68"/>
      <c r="BW315" s="40"/>
      <c r="BX315" s="18"/>
      <c r="BY315" s="18"/>
      <c r="BZ315" s="18"/>
      <c r="CA315" s="18"/>
      <c r="CB315" s="18"/>
      <c r="CC315" s="18"/>
      <c r="CD315" s="18"/>
      <c r="CE315" s="18"/>
      <c r="CF315" s="18"/>
      <c r="CG315" s="137" t="str">
        <f>CG$2</f>
        <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BIPD</v>
      </c>
      <c r="B318" s="69"/>
      <c r="C318" s="18"/>
      <c r="D318" s="18"/>
      <c r="E318" s="18"/>
      <c r="F318" s="18"/>
      <c r="G318" s="18"/>
      <c r="H318" s="18"/>
      <c r="I318" s="18"/>
      <c r="J318" s="18"/>
      <c r="K318" s="18"/>
      <c r="L318" s="18"/>
      <c r="M318" s="138" t="str">
        <f>M$5</f>
        <v>MPC</v>
      </c>
      <c r="N318" s="69"/>
      <c r="O318" s="18"/>
      <c r="P318" s="18"/>
      <c r="Q318" s="18"/>
      <c r="R318" s="18"/>
      <c r="S318" s="18"/>
      <c r="T318" s="18"/>
      <c r="U318" s="18"/>
      <c r="V318" s="18"/>
      <c r="W318" s="18"/>
      <c r="X318" s="18"/>
      <c r="Y318" s="138" t="str">
        <f>Y$5</f>
        <v>UM</v>
      </c>
      <c r="Z318" s="69"/>
      <c r="AA318" s="18"/>
      <c r="AB318" s="18"/>
      <c r="AC318" s="18"/>
      <c r="AD318" s="18"/>
      <c r="AE318" s="18"/>
      <c r="AF318" s="18"/>
      <c r="AG318" s="18"/>
      <c r="AH318" s="18"/>
      <c r="AI318" s="18"/>
      <c r="AJ318" s="18"/>
      <c r="AK318" s="138" t="str">
        <f>AK$5</f>
        <v>COMP</v>
      </c>
      <c r="AL318" s="69"/>
      <c r="AM318" s="18"/>
      <c r="AN318" s="18"/>
      <c r="AO318" s="18"/>
      <c r="AP318" s="18"/>
      <c r="AQ318" s="18"/>
      <c r="AR318" s="18"/>
      <c r="AS318" s="18"/>
      <c r="AT318" s="18"/>
      <c r="AU318" s="18"/>
      <c r="AV318" s="18"/>
      <c r="AW318" s="138" t="str">
        <f>AW$5</f>
        <v>COLL</v>
      </c>
      <c r="AX318" s="69"/>
      <c r="AY318" s="18"/>
      <c r="AZ318" s="18"/>
      <c r="BA318" s="18"/>
      <c r="BB318" s="18"/>
      <c r="BC318" s="18"/>
      <c r="BD318" s="18"/>
      <c r="BE318" s="18"/>
      <c r="BF318" s="18"/>
      <c r="BG318" s="18"/>
      <c r="BH318" s="18"/>
      <c r="BI318" s="138" t="str">
        <f>BI$5</f>
        <v>Misc. Damage</v>
      </c>
      <c r="BJ318" s="69"/>
      <c r="BK318" s="18"/>
      <c r="BL318" s="18"/>
      <c r="BM318" s="18"/>
      <c r="BN318" s="18"/>
      <c r="BO318" s="18"/>
      <c r="BP318" s="18"/>
      <c r="BQ318" s="18"/>
      <c r="BR318" s="18"/>
      <c r="BS318" s="18"/>
      <c r="BT318" s="18"/>
      <c r="BU318" s="138" t="str">
        <f>BU$5</f>
        <v>Misc. Liability</v>
      </c>
      <c r="BV318" s="69"/>
      <c r="BW318" s="18"/>
      <c r="BX318" s="18"/>
      <c r="BY318" s="18"/>
      <c r="BZ318" s="18"/>
      <c r="CA318" s="18"/>
      <c r="CB318" s="18"/>
      <c r="CC318" s="18"/>
      <c r="CD318" s="18"/>
      <c r="CE318" s="18"/>
      <c r="CF318" s="18"/>
      <c r="CG318" s="138">
        <f>CG$5</f>
        <v>0</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ht="30" x14ac:dyDescent="0.25">
      <c r="A321" s="92" t="str">
        <f>$A$35</f>
        <v>Fiscal Accident Year Data Ending</v>
      </c>
      <c r="B321" s="98">
        <f>$B$35</f>
        <v>3</v>
      </c>
      <c r="C321" s="98" t="str">
        <f>$C$35</f>
        <v>15</v>
      </c>
      <c r="D321" s="98">
        <f>$D$35</f>
        <v>27</v>
      </c>
      <c r="E321" s="98">
        <f>$E$35</f>
        <v>39</v>
      </c>
      <c r="F321" s="98">
        <f>$F$35</f>
        <v>51</v>
      </c>
      <c r="G321" s="98">
        <f>$G$35</f>
        <v>63</v>
      </c>
      <c r="H321" s="98">
        <f>$H$35</f>
        <v>75</v>
      </c>
      <c r="I321" s="98">
        <f>$I$35</f>
        <v>87</v>
      </c>
      <c r="J321" s="98">
        <f>$J$35</f>
        <v>99</v>
      </c>
      <c r="K321" s="98">
        <f>$K$35</f>
        <v>111</v>
      </c>
      <c r="L321" s="98">
        <f>$L$35</f>
        <v>123</v>
      </c>
      <c r="M321" s="92" t="str">
        <f>$A$35</f>
        <v>Fiscal Accident Year Data Ending</v>
      </c>
      <c r="N321" s="98">
        <f>$B$35</f>
        <v>3</v>
      </c>
      <c r="O321" s="98" t="str">
        <f>$C$35</f>
        <v>15</v>
      </c>
      <c r="P321" s="98">
        <f>$D$35</f>
        <v>27</v>
      </c>
      <c r="Q321" s="98">
        <f>$E$35</f>
        <v>39</v>
      </c>
      <c r="R321" s="98">
        <f>$F$35</f>
        <v>51</v>
      </c>
      <c r="S321" s="98">
        <f>$G$35</f>
        <v>63</v>
      </c>
      <c r="T321" s="98">
        <f>$H$35</f>
        <v>75</v>
      </c>
      <c r="U321" s="98">
        <f>$I$35</f>
        <v>87</v>
      </c>
      <c r="V321" s="98">
        <f>$J$35</f>
        <v>99</v>
      </c>
      <c r="W321" s="98">
        <f>$K$35</f>
        <v>111</v>
      </c>
      <c r="X321" s="98">
        <f>$L$35</f>
        <v>123</v>
      </c>
      <c r="Y321" s="92" t="str">
        <f>$A$35</f>
        <v>Fiscal Accident Year Data Ending</v>
      </c>
      <c r="Z321" s="98">
        <f>$B$35</f>
        <v>3</v>
      </c>
      <c r="AA321" s="98" t="str">
        <f>$C$35</f>
        <v>15</v>
      </c>
      <c r="AB321" s="98">
        <f>$D$35</f>
        <v>27</v>
      </c>
      <c r="AC321" s="98">
        <f>$E$35</f>
        <v>39</v>
      </c>
      <c r="AD321" s="98">
        <f>$F$35</f>
        <v>51</v>
      </c>
      <c r="AE321" s="98">
        <f>$G$35</f>
        <v>63</v>
      </c>
      <c r="AF321" s="98">
        <f>$H$35</f>
        <v>75</v>
      </c>
      <c r="AG321" s="98">
        <f>$I$35</f>
        <v>87</v>
      </c>
      <c r="AH321" s="98">
        <f>$J$35</f>
        <v>99</v>
      </c>
      <c r="AI321" s="98">
        <f>$K$35</f>
        <v>111</v>
      </c>
      <c r="AJ321" s="98">
        <f>$L$35</f>
        <v>123</v>
      </c>
      <c r="AK321" s="92" t="str">
        <f>$A$35</f>
        <v>Fiscal Accident Year Data Ending</v>
      </c>
      <c r="AL321" s="98">
        <f>$B$35</f>
        <v>3</v>
      </c>
      <c r="AM321" s="98" t="str">
        <f>$C$35</f>
        <v>15</v>
      </c>
      <c r="AN321" s="98">
        <f>$D$35</f>
        <v>27</v>
      </c>
      <c r="AO321" s="98">
        <f>$E$35</f>
        <v>39</v>
      </c>
      <c r="AP321" s="98">
        <f>$F$35</f>
        <v>51</v>
      </c>
      <c r="AQ321" s="98">
        <f>$G$35</f>
        <v>63</v>
      </c>
      <c r="AR321" s="98">
        <f>$H$35</f>
        <v>75</v>
      </c>
      <c r="AS321" s="98">
        <f>$I$35</f>
        <v>87</v>
      </c>
      <c r="AT321" s="98">
        <f>$J$35</f>
        <v>99</v>
      </c>
      <c r="AU321" s="98">
        <f>$K$35</f>
        <v>111</v>
      </c>
      <c r="AV321" s="98">
        <f>$L$35</f>
        <v>123</v>
      </c>
      <c r="AW321" s="92" t="str">
        <f>$A$35</f>
        <v>Fiscal Accident Year Data Ending</v>
      </c>
      <c r="AX321" s="98">
        <f>$B$35</f>
        <v>3</v>
      </c>
      <c r="AY321" s="98" t="str">
        <f>$C$35</f>
        <v>15</v>
      </c>
      <c r="AZ321" s="98">
        <f>$D$35</f>
        <v>27</v>
      </c>
      <c r="BA321" s="98">
        <f>$E$35</f>
        <v>39</v>
      </c>
      <c r="BB321" s="98">
        <f>$F$35</f>
        <v>51</v>
      </c>
      <c r="BC321" s="98">
        <f>$G$35</f>
        <v>63</v>
      </c>
      <c r="BD321" s="98">
        <f>$H$35</f>
        <v>75</v>
      </c>
      <c r="BE321" s="98">
        <f>$I$35</f>
        <v>87</v>
      </c>
      <c r="BF321" s="98">
        <f>$J$35</f>
        <v>99</v>
      </c>
      <c r="BG321" s="98">
        <f>$K$35</f>
        <v>111</v>
      </c>
      <c r="BH321" s="98">
        <f>$L$35</f>
        <v>123</v>
      </c>
      <c r="BI321" s="92" t="str">
        <f>$A$35</f>
        <v>Fiscal Accident Year Data Ending</v>
      </c>
      <c r="BJ321" s="98">
        <f>$B$35</f>
        <v>3</v>
      </c>
      <c r="BK321" s="98" t="str">
        <f>$C$35</f>
        <v>15</v>
      </c>
      <c r="BL321" s="98">
        <f>$D$35</f>
        <v>27</v>
      </c>
      <c r="BM321" s="98">
        <f>$E$35</f>
        <v>39</v>
      </c>
      <c r="BN321" s="98">
        <f>$F$35</f>
        <v>51</v>
      </c>
      <c r="BO321" s="98">
        <f>$G$35</f>
        <v>63</v>
      </c>
      <c r="BP321" s="98">
        <f>$H$35</f>
        <v>75</v>
      </c>
      <c r="BQ321" s="98">
        <f>$I$35</f>
        <v>87</v>
      </c>
      <c r="BR321" s="98">
        <f>$J$35</f>
        <v>99</v>
      </c>
      <c r="BS321" s="98">
        <f>$K$35</f>
        <v>111</v>
      </c>
      <c r="BT321" s="98">
        <f>$L$35</f>
        <v>123</v>
      </c>
      <c r="BU321" s="92" t="str">
        <f>$A$35</f>
        <v>Fiscal Accident Year Data Ending</v>
      </c>
      <c r="BV321" s="98">
        <f>$B$35</f>
        <v>3</v>
      </c>
      <c r="BW321" s="98" t="str">
        <f>$C$35</f>
        <v>15</v>
      </c>
      <c r="BX321" s="98">
        <f>$D$35</f>
        <v>27</v>
      </c>
      <c r="BY321" s="98">
        <f>$E$35</f>
        <v>39</v>
      </c>
      <c r="BZ321" s="98">
        <f>$F$35</f>
        <v>51</v>
      </c>
      <c r="CA321" s="98">
        <f>$G$35</f>
        <v>63</v>
      </c>
      <c r="CB321" s="98">
        <f>$H$35</f>
        <v>75</v>
      </c>
      <c r="CC321" s="98">
        <f>$I$35</f>
        <v>87</v>
      </c>
      <c r="CD321" s="98">
        <f>$J$35</f>
        <v>99</v>
      </c>
      <c r="CE321" s="98">
        <f>$K$35</f>
        <v>111</v>
      </c>
      <c r="CF321" s="98">
        <f>$L$35</f>
        <v>123</v>
      </c>
      <c r="CG321" s="92" t="str">
        <f>$A$35</f>
        <v>Fiscal Accident Year Data Ending</v>
      </c>
      <c r="CH321" s="98">
        <f>$B$35</f>
        <v>3</v>
      </c>
      <c r="CI321" s="98" t="str">
        <f>$C$35</f>
        <v>15</v>
      </c>
      <c r="CJ321" s="98">
        <f>$D$35</f>
        <v>27</v>
      </c>
      <c r="CK321" s="98">
        <f>$E$35</f>
        <v>39</v>
      </c>
      <c r="CL321" s="98">
        <f>$F$35</f>
        <v>51</v>
      </c>
      <c r="CM321" s="98">
        <f>$G$35</f>
        <v>63</v>
      </c>
      <c r="CN321" s="98">
        <f>$H$35</f>
        <v>75</v>
      </c>
      <c r="CO321" s="98">
        <f>$I$35</f>
        <v>87</v>
      </c>
      <c r="CP321" s="98">
        <f>$J$35</f>
        <v>99</v>
      </c>
      <c r="CQ321" s="98">
        <f>$K$35</f>
        <v>111</v>
      </c>
      <c r="CR321" s="98">
        <f>$L$35</f>
        <v>123</v>
      </c>
      <c r="CS321" s="92" t="str">
        <f>$A$35</f>
        <v>Fiscal Accident Year Data Ending</v>
      </c>
      <c r="CT321" s="98">
        <f>$B$35</f>
        <v>3</v>
      </c>
      <c r="CU321" s="98" t="str">
        <f>$C$35</f>
        <v>15</v>
      </c>
      <c r="CV321" s="98">
        <f>$D$35</f>
        <v>27</v>
      </c>
      <c r="CW321" s="98">
        <f>$E$35</f>
        <v>39</v>
      </c>
      <c r="CX321" s="98">
        <f>$F$35</f>
        <v>51</v>
      </c>
      <c r="CY321" s="98">
        <f>$G$35</f>
        <v>63</v>
      </c>
      <c r="CZ321" s="98">
        <f>$H$35</f>
        <v>75</v>
      </c>
      <c r="DA321" s="98">
        <f>$I$35</f>
        <v>87</v>
      </c>
      <c r="DB321" s="98">
        <f>$J$35</f>
        <v>99</v>
      </c>
      <c r="DC321" s="98">
        <f>$K$35</f>
        <v>111</v>
      </c>
      <c r="DD321" s="98">
        <f>$L$35</f>
        <v>123</v>
      </c>
      <c r="DE321" s="92" t="str">
        <f>$A$35</f>
        <v>Fiscal Accident Year Data Ending</v>
      </c>
      <c r="DF321" s="98">
        <f>$B$35</f>
        <v>3</v>
      </c>
      <c r="DG321" s="98" t="str">
        <f>$C$35</f>
        <v>15</v>
      </c>
      <c r="DH321" s="98">
        <f>$D$35</f>
        <v>27</v>
      </c>
      <c r="DI321" s="98">
        <f>$E$35</f>
        <v>39</v>
      </c>
      <c r="DJ321" s="98">
        <f>$F$35</f>
        <v>51</v>
      </c>
      <c r="DK321" s="98">
        <f>$G$35</f>
        <v>63</v>
      </c>
      <c r="DL321" s="98">
        <f>$H$35</f>
        <v>75</v>
      </c>
      <c r="DM321" s="98">
        <f>$I$35</f>
        <v>87</v>
      </c>
      <c r="DN321" s="98">
        <f>$J$35</f>
        <v>99</v>
      </c>
      <c r="DO321" s="98">
        <f>$K$35</f>
        <v>111</v>
      </c>
      <c r="DP321" s="98">
        <f>$L$35</f>
        <v>123</v>
      </c>
    </row>
    <row r="322" spans="1:120" ht="15" customHeight="1" x14ac:dyDescent="0.25">
      <c r="A322" s="31">
        <f>$A$36</f>
        <v>20133</v>
      </c>
      <c r="B322" s="21">
        <v>49113</v>
      </c>
      <c r="C322" s="21">
        <v>246267</v>
      </c>
      <c r="D322" s="21">
        <v>254514</v>
      </c>
      <c r="E322" s="21">
        <v>256403</v>
      </c>
      <c r="F322" s="21">
        <v>256715</v>
      </c>
      <c r="G322" s="21">
        <v>256763</v>
      </c>
      <c r="H322" s="21">
        <v>256778</v>
      </c>
      <c r="I322" s="21">
        <v>256786</v>
      </c>
      <c r="J322" s="21">
        <v>256790</v>
      </c>
      <c r="K322" s="21">
        <v>256794</v>
      </c>
      <c r="L322" s="21">
        <v>256795</v>
      </c>
      <c r="M322" s="31">
        <f>$A$36</f>
        <v>20133</v>
      </c>
      <c r="N322" s="21">
        <v>7888</v>
      </c>
      <c r="O322" s="21">
        <v>40418</v>
      </c>
      <c r="P322" s="21">
        <v>42702</v>
      </c>
      <c r="Q322" s="21">
        <v>43129</v>
      </c>
      <c r="R322" s="21">
        <v>43206</v>
      </c>
      <c r="S322" s="21">
        <v>43235</v>
      </c>
      <c r="T322" s="21">
        <v>43240</v>
      </c>
      <c r="U322" s="21">
        <v>43244</v>
      </c>
      <c r="V322" s="21">
        <v>43250</v>
      </c>
      <c r="W322" s="21">
        <v>43251</v>
      </c>
      <c r="X322" s="21">
        <v>43251</v>
      </c>
      <c r="Y322" s="31">
        <f>$A$36</f>
        <v>20133</v>
      </c>
      <c r="Z322" s="21">
        <v>2632</v>
      </c>
      <c r="AA322" s="21">
        <v>21140</v>
      </c>
      <c r="AB322" s="21">
        <v>23407</v>
      </c>
      <c r="AC322" s="21">
        <v>24155</v>
      </c>
      <c r="AD322" s="21">
        <v>24316</v>
      </c>
      <c r="AE322" s="21">
        <v>24373</v>
      </c>
      <c r="AF322" s="21">
        <v>24401</v>
      </c>
      <c r="AG322" s="21">
        <v>24411</v>
      </c>
      <c r="AH322" s="21">
        <v>24420</v>
      </c>
      <c r="AI322" s="21">
        <v>24422</v>
      </c>
      <c r="AJ322" s="21">
        <v>24425</v>
      </c>
      <c r="AK322" s="31">
        <f>$A$36</f>
        <v>20133</v>
      </c>
      <c r="AL322" s="21">
        <v>19778</v>
      </c>
      <c r="AM322" s="21">
        <v>105466</v>
      </c>
      <c r="AN322" s="21">
        <v>107741</v>
      </c>
      <c r="AO322" s="21">
        <v>108038</v>
      </c>
      <c r="AP322" s="21">
        <v>108139</v>
      </c>
      <c r="AQ322" s="21">
        <v>108172</v>
      </c>
      <c r="AR322" s="21">
        <v>108181</v>
      </c>
      <c r="AS322" s="21">
        <v>108189</v>
      </c>
      <c r="AT322" s="21">
        <v>108189</v>
      </c>
      <c r="AU322" s="21">
        <v>108190</v>
      </c>
      <c r="AV322" s="21">
        <v>108194</v>
      </c>
      <c r="AW322" s="31">
        <f>$A$36</f>
        <v>20133</v>
      </c>
      <c r="AX322" s="21">
        <v>74539</v>
      </c>
      <c r="AY322" s="21">
        <v>337049</v>
      </c>
      <c r="AZ322" s="21">
        <v>341902</v>
      </c>
      <c r="BA322" s="21">
        <v>342699</v>
      </c>
      <c r="BB322" s="21">
        <v>342951</v>
      </c>
      <c r="BC322" s="21">
        <v>343033</v>
      </c>
      <c r="BD322" s="21">
        <v>343052</v>
      </c>
      <c r="BE322" s="21">
        <v>343081</v>
      </c>
      <c r="BF322" s="21">
        <v>343088</v>
      </c>
      <c r="BG322" s="21">
        <v>343090</v>
      </c>
      <c r="BH322" s="21">
        <v>343094</v>
      </c>
      <c r="BI322" s="31">
        <f>$A$36</f>
        <v>20133</v>
      </c>
      <c r="BJ322" s="21">
        <v>79700</v>
      </c>
      <c r="BK322" s="21">
        <v>400654</v>
      </c>
      <c r="BL322" s="21">
        <v>404217</v>
      </c>
      <c r="BM322" s="21">
        <v>404657</v>
      </c>
      <c r="BN322" s="21">
        <v>404783</v>
      </c>
      <c r="BO322" s="21">
        <v>404836</v>
      </c>
      <c r="BP322" s="21">
        <v>404845</v>
      </c>
      <c r="BQ322" s="21">
        <v>404854</v>
      </c>
      <c r="BR322" s="21">
        <v>404854</v>
      </c>
      <c r="BS322" s="21">
        <v>404856</v>
      </c>
      <c r="BT322" s="21">
        <v>404857</v>
      </c>
      <c r="BU322" s="31">
        <f>$A$36</f>
        <v>20133</v>
      </c>
      <c r="BV322" s="21">
        <v>5</v>
      </c>
      <c r="BW322" s="21">
        <v>32</v>
      </c>
      <c r="BX322" s="21">
        <v>34</v>
      </c>
      <c r="BY322" s="21">
        <v>34</v>
      </c>
      <c r="BZ322" s="21">
        <v>34</v>
      </c>
      <c r="CA322" s="21">
        <v>33</v>
      </c>
      <c r="CB322" s="21">
        <v>33</v>
      </c>
      <c r="CC322" s="21">
        <v>33</v>
      </c>
      <c r="CD322" s="21">
        <v>33</v>
      </c>
      <c r="CE322" s="21">
        <v>33</v>
      </c>
      <c r="CF322" s="21">
        <v>33</v>
      </c>
      <c r="CG322" s="31">
        <f>$A$36</f>
        <v>20133</v>
      </c>
      <c r="CH322" s="21"/>
      <c r="CI322" s="21"/>
      <c r="CJ322" s="21"/>
      <c r="CK322" s="21"/>
      <c r="CL322" s="21"/>
      <c r="CM322" s="21"/>
      <c r="CN322" s="21"/>
      <c r="CO322" s="21"/>
      <c r="CP322" s="21"/>
      <c r="CQ322" s="21"/>
      <c r="CR322" s="21"/>
      <c r="CS322" s="31">
        <f>$A$36</f>
        <v>20133</v>
      </c>
      <c r="CT322" s="21"/>
      <c r="CU322" s="21"/>
      <c r="CV322" s="21"/>
      <c r="CW322" s="21"/>
      <c r="CX322" s="21"/>
      <c r="CY322" s="21"/>
      <c r="CZ322" s="21"/>
      <c r="DA322" s="21"/>
      <c r="DB322" s="21"/>
      <c r="DC322" s="21"/>
      <c r="DD322" s="21"/>
      <c r="DE322" s="31">
        <f>$A$36</f>
        <v>20133</v>
      </c>
      <c r="DF322" s="21"/>
      <c r="DG322" s="21"/>
      <c r="DH322" s="21"/>
      <c r="DI322" s="21"/>
      <c r="DJ322" s="21"/>
      <c r="DK322" s="21"/>
      <c r="DL322" s="21"/>
      <c r="DM322" s="21"/>
      <c r="DN322" s="21"/>
      <c r="DO322" s="21"/>
      <c r="DP322" s="21"/>
    </row>
    <row r="323" spans="1:120" ht="15" customHeight="1" x14ac:dyDescent="0.25">
      <c r="A323" s="31">
        <f>$A$37</f>
        <v>20143</v>
      </c>
      <c r="B323" s="21">
        <v>50413</v>
      </c>
      <c r="C323" s="21">
        <v>260265</v>
      </c>
      <c r="D323" s="21">
        <v>269228</v>
      </c>
      <c r="E323" s="21">
        <v>271326</v>
      </c>
      <c r="F323" s="21">
        <v>271695</v>
      </c>
      <c r="G323" s="21">
        <v>271769</v>
      </c>
      <c r="H323" s="21">
        <v>271787</v>
      </c>
      <c r="I323" s="21">
        <v>271797</v>
      </c>
      <c r="J323" s="21">
        <v>271798</v>
      </c>
      <c r="K323" s="21">
        <v>271800</v>
      </c>
      <c r="L323" s="134" t="s">
        <v>246</v>
      </c>
      <c r="M323" s="31">
        <f>$A$37</f>
        <v>20143</v>
      </c>
      <c r="N323" s="21">
        <v>8420</v>
      </c>
      <c r="O323" s="21">
        <v>39541</v>
      </c>
      <c r="P323" s="21">
        <v>42053</v>
      </c>
      <c r="Q323" s="21">
        <v>42466</v>
      </c>
      <c r="R323" s="21">
        <v>42547</v>
      </c>
      <c r="S323" s="21">
        <v>42572</v>
      </c>
      <c r="T323" s="21">
        <v>42581</v>
      </c>
      <c r="U323" s="21">
        <v>42584</v>
      </c>
      <c r="V323" s="21">
        <v>42586</v>
      </c>
      <c r="W323" s="21">
        <v>42591</v>
      </c>
      <c r="X323" s="134" t="s">
        <v>246</v>
      </c>
      <c r="Y323" s="31">
        <f>$A$37</f>
        <v>20143</v>
      </c>
      <c r="Z323" s="21">
        <v>2818</v>
      </c>
      <c r="AA323" s="21">
        <v>22545</v>
      </c>
      <c r="AB323" s="21">
        <v>25633</v>
      </c>
      <c r="AC323" s="21">
        <v>26566</v>
      </c>
      <c r="AD323" s="21">
        <v>26754</v>
      </c>
      <c r="AE323" s="21">
        <v>26810</v>
      </c>
      <c r="AF323" s="21">
        <v>26829</v>
      </c>
      <c r="AG323" s="21">
        <v>26840</v>
      </c>
      <c r="AH323" s="21">
        <v>26841</v>
      </c>
      <c r="AI323" s="21">
        <v>26850</v>
      </c>
      <c r="AJ323" s="134" t="s">
        <v>246</v>
      </c>
      <c r="AK323" s="31">
        <f>$A$37</f>
        <v>20143</v>
      </c>
      <c r="AL323" s="21">
        <v>19842</v>
      </c>
      <c r="AM323" s="21">
        <v>102391</v>
      </c>
      <c r="AN323" s="21">
        <v>104394</v>
      </c>
      <c r="AO323" s="21">
        <v>104645</v>
      </c>
      <c r="AP323" s="21">
        <v>104753</v>
      </c>
      <c r="AQ323" s="21">
        <v>104784</v>
      </c>
      <c r="AR323" s="21">
        <v>104804</v>
      </c>
      <c r="AS323" s="21">
        <v>104816</v>
      </c>
      <c r="AT323" s="21">
        <v>104823</v>
      </c>
      <c r="AU323" s="21">
        <v>104824</v>
      </c>
      <c r="AV323" s="134" t="s">
        <v>246</v>
      </c>
      <c r="AW323" s="31">
        <f>$A$37</f>
        <v>20143</v>
      </c>
      <c r="AX323" s="21">
        <v>78459</v>
      </c>
      <c r="AY323" s="21">
        <v>351558</v>
      </c>
      <c r="AZ323" s="21">
        <v>356540</v>
      </c>
      <c r="BA323" s="21">
        <v>357347</v>
      </c>
      <c r="BB323" s="21">
        <v>357559</v>
      </c>
      <c r="BC323" s="21">
        <v>357640</v>
      </c>
      <c r="BD323" s="21">
        <v>357673</v>
      </c>
      <c r="BE323" s="21">
        <v>357687</v>
      </c>
      <c r="BF323" s="21">
        <v>357693</v>
      </c>
      <c r="BG323" s="21">
        <v>357696</v>
      </c>
      <c r="BH323" s="134" t="s">
        <v>246</v>
      </c>
      <c r="BI323" s="31">
        <f>$A$37</f>
        <v>20143</v>
      </c>
      <c r="BJ323" s="21">
        <v>89557</v>
      </c>
      <c r="BK323" s="21">
        <v>415554</v>
      </c>
      <c r="BL323" s="21">
        <v>419056</v>
      </c>
      <c r="BM323" s="21">
        <v>419488</v>
      </c>
      <c r="BN323" s="21">
        <v>419613</v>
      </c>
      <c r="BO323" s="21">
        <v>419654</v>
      </c>
      <c r="BP323" s="21">
        <v>419662</v>
      </c>
      <c r="BQ323" s="21">
        <v>419665</v>
      </c>
      <c r="BR323" s="21">
        <v>419670</v>
      </c>
      <c r="BS323" s="21">
        <v>419670</v>
      </c>
      <c r="BT323" s="134" t="s">
        <v>246</v>
      </c>
      <c r="BU323" s="31">
        <f>$A$37</f>
        <v>20143</v>
      </c>
      <c r="BV323" s="21">
        <v>6</v>
      </c>
      <c r="BW323" s="21">
        <v>45</v>
      </c>
      <c r="BX323" s="21">
        <v>51</v>
      </c>
      <c r="BY323" s="21">
        <v>52</v>
      </c>
      <c r="BZ323" s="21">
        <v>52</v>
      </c>
      <c r="CA323" s="21">
        <v>52</v>
      </c>
      <c r="CB323" s="21">
        <v>52</v>
      </c>
      <c r="CC323" s="21">
        <v>52</v>
      </c>
      <c r="CD323" s="21">
        <v>52</v>
      </c>
      <c r="CE323" s="21">
        <v>52</v>
      </c>
      <c r="CF323" s="134" t="s">
        <v>246</v>
      </c>
      <c r="CG323" s="31">
        <f>$A$37</f>
        <v>20143</v>
      </c>
      <c r="CH323" s="21"/>
      <c r="CI323" s="21"/>
      <c r="CJ323" s="21"/>
      <c r="CK323" s="21"/>
      <c r="CL323" s="21"/>
      <c r="CM323" s="21"/>
      <c r="CN323" s="21"/>
      <c r="CO323" s="21"/>
      <c r="CP323" s="21"/>
      <c r="CQ323" s="21"/>
      <c r="CR323" s="134"/>
      <c r="CS323" s="31">
        <f>$A$37</f>
        <v>20143</v>
      </c>
      <c r="CT323" s="21"/>
      <c r="CU323" s="21"/>
      <c r="CV323" s="21"/>
      <c r="CW323" s="21"/>
      <c r="CX323" s="21"/>
      <c r="CY323" s="21"/>
      <c r="CZ323" s="21"/>
      <c r="DA323" s="21"/>
      <c r="DB323" s="21"/>
      <c r="DC323" s="21"/>
      <c r="DD323" s="134"/>
      <c r="DE323" s="31">
        <f>$A$37</f>
        <v>20143</v>
      </c>
      <c r="DF323" s="21"/>
      <c r="DG323" s="21"/>
      <c r="DH323" s="21"/>
      <c r="DI323" s="21"/>
      <c r="DJ323" s="21"/>
      <c r="DK323" s="21"/>
      <c r="DL323" s="21"/>
      <c r="DM323" s="21"/>
      <c r="DN323" s="21"/>
      <c r="DO323" s="21"/>
      <c r="DP323" s="134"/>
    </row>
    <row r="324" spans="1:120" ht="15" customHeight="1" x14ac:dyDescent="0.25">
      <c r="A324" s="31">
        <f>$A$38</f>
        <v>20153</v>
      </c>
      <c r="B324" s="21">
        <v>54153</v>
      </c>
      <c r="C324" s="21">
        <v>281228</v>
      </c>
      <c r="D324" s="21">
        <v>290534</v>
      </c>
      <c r="E324" s="21">
        <v>292627</v>
      </c>
      <c r="F324" s="21">
        <v>292994</v>
      </c>
      <c r="G324" s="21">
        <v>293093</v>
      </c>
      <c r="H324" s="21">
        <v>293113</v>
      </c>
      <c r="I324" s="21">
        <v>293119</v>
      </c>
      <c r="J324" s="21">
        <v>293131</v>
      </c>
      <c r="K324" s="134" t="s">
        <v>246</v>
      </c>
      <c r="L324" s="134" t="s">
        <v>246</v>
      </c>
      <c r="M324" s="31">
        <f>$A$38</f>
        <v>20153</v>
      </c>
      <c r="N324" s="21">
        <v>8737</v>
      </c>
      <c r="O324" s="21">
        <v>41883</v>
      </c>
      <c r="P324" s="21">
        <v>44582</v>
      </c>
      <c r="Q324" s="21">
        <v>45025</v>
      </c>
      <c r="R324" s="21">
        <v>45134</v>
      </c>
      <c r="S324" s="21">
        <v>45166</v>
      </c>
      <c r="T324" s="21">
        <v>45177</v>
      </c>
      <c r="U324" s="21">
        <v>45180</v>
      </c>
      <c r="V324" s="21">
        <v>45182</v>
      </c>
      <c r="W324" s="134" t="s">
        <v>246</v>
      </c>
      <c r="X324" s="134" t="s">
        <v>246</v>
      </c>
      <c r="Y324" s="31">
        <f>$A$38</f>
        <v>20153</v>
      </c>
      <c r="Z324" s="21">
        <v>2557</v>
      </c>
      <c r="AA324" s="21">
        <v>25898</v>
      </c>
      <c r="AB324" s="21">
        <v>30085</v>
      </c>
      <c r="AC324" s="21">
        <v>31118</v>
      </c>
      <c r="AD324" s="21">
        <v>31346</v>
      </c>
      <c r="AE324" s="21">
        <v>31429</v>
      </c>
      <c r="AF324" s="21">
        <v>31449</v>
      </c>
      <c r="AG324" s="21">
        <v>31459</v>
      </c>
      <c r="AH324" s="21">
        <v>31464</v>
      </c>
      <c r="AI324" s="134" t="s">
        <v>246</v>
      </c>
      <c r="AJ324" s="134" t="s">
        <v>246</v>
      </c>
      <c r="AK324" s="31">
        <f>$A$38</f>
        <v>20153</v>
      </c>
      <c r="AL324" s="21">
        <v>19544</v>
      </c>
      <c r="AM324" s="21">
        <v>105869</v>
      </c>
      <c r="AN324" s="21">
        <v>108026</v>
      </c>
      <c r="AO324" s="21">
        <v>108355</v>
      </c>
      <c r="AP324" s="21">
        <v>108462</v>
      </c>
      <c r="AQ324" s="21">
        <v>108514</v>
      </c>
      <c r="AR324" s="21">
        <v>108539</v>
      </c>
      <c r="AS324" s="21">
        <v>108544</v>
      </c>
      <c r="AT324" s="21">
        <v>108547</v>
      </c>
      <c r="AU324" s="134" t="s">
        <v>246</v>
      </c>
      <c r="AV324" s="134" t="s">
        <v>246</v>
      </c>
      <c r="AW324" s="31">
        <f>$A$38</f>
        <v>20153</v>
      </c>
      <c r="AX324" s="21">
        <v>79933</v>
      </c>
      <c r="AY324" s="21">
        <v>370635</v>
      </c>
      <c r="AZ324" s="21">
        <v>376031</v>
      </c>
      <c r="BA324" s="21">
        <v>376901</v>
      </c>
      <c r="BB324" s="21">
        <v>377130</v>
      </c>
      <c r="BC324" s="21">
        <v>377227</v>
      </c>
      <c r="BD324" s="21">
        <v>377259</v>
      </c>
      <c r="BE324" s="21">
        <v>377276</v>
      </c>
      <c r="BF324" s="21">
        <v>377282</v>
      </c>
      <c r="BG324" s="134" t="s">
        <v>246</v>
      </c>
      <c r="BH324" s="134" t="s">
        <v>246</v>
      </c>
      <c r="BI324" s="31">
        <f>$A$38</f>
        <v>20153</v>
      </c>
      <c r="BJ324" s="21">
        <v>92622</v>
      </c>
      <c r="BK324" s="21">
        <v>451049</v>
      </c>
      <c r="BL324" s="21">
        <v>455241</v>
      </c>
      <c r="BM324" s="21">
        <v>455645</v>
      </c>
      <c r="BN324" s="21">
        <v>455737</v>
      </c>
      <c r="BO324" s="21">
        <v>455774</v>
      </c>
      <c r="BP324" s="21">
        <v>455778</v>
      </c>
      <c r="BQ324" s="21">
        <v>455786</v>
      </c>
      <c r="BR324" s="21">
        <v>455788</v>
      </c>
      <c r="BS324" s="134" t="s">
        <v>246</v>
      </c>
      <c r="BT324" s="134" t="s">
        <v>246</v>
      </c>
      <c r="BU324" s="31">
        <f>$A$38</f>
        <v>20153</v>
      </c>
      <c r="BV324" s="21">
        <v>9</v>
      </c>
      <c r="BW324" s="21">
        <v>59</v>
      </c>
      <c r="BX324" s="21">
        <v>62</v>
      </c>
      <c r="BY324" s="21">
        <v>63</v>
      </c>
      <c r="BZ324" s="21">
        <v>63</v>
      </c>
      <c r="CA324" s="21">
        <v>63</v>
      </c>
      <c r="CB324" s="21">
        <v>63</v>
      </c>
      <c r="CC324" s="21">
        <v>63</v>
      </c>
      <c r="CD324" s="21">
        <v>63</v>
      </c>
      <c r="CE324" s="134" t="s">
        <v>246</v>
      </c>
      <c r="CF324" s="134" t="s">
        <v>246</v>
      </c>
      <c r="CG324" s="31">
        <f>$A$38</f>
        <v>20153</v>
      </c>
      <c r="CH324" s="21"/>
      <c r="CI324" s="21"/>
      <c r="CJ324" s="21"/>
      <c r="CK324" s="21"/>
      <c r="CL324" s="21"/>
      <c r="CM324" s="21"/>
      <c r="CN324" s="21"/>
      <c r="CO324" s="21"/>
      <c r="CP324" s="21"/>
      <c r="CQ324" s="134"/>
      <c r="CR324" s="134"/>
      <c r="CS324" s="31">
        <f>$A$38</f>
        <v>20153</v>
      </c>
      <c r="CT324" s="21"/>
      <c r="CU324" s="21"/>
      <c r="CV324" s="21"/>
      <c r="CW324" s="21"/>
      <c r="CX324" s="21"/>
      <c r="CY324" s="21"/>
      <c r="CZ324" s="21"/>
      <c r="DA324" s="21"/>
      <c r="DB324" s="21"/>
      <c r="DC324" s="134"/>
      <c r="DD324" s="134"/>
      <c r="DE324" s="31">
        <f>$A$38</f>
        <v>20153</v>
      </c>
      <c r="DF324" s="21"/>
      <c r="DG324" s="21"/>
      <c r="DH324" s="21"/>
      <c r="DI324" s="21"/>
      <c r="DJ324" s="21"/>
      <c r="DK324" s="21"/>
      <c r="DL324" s="21"/>
      <c r="DM324" s="21"/>
      <c r="DN324" s="21"/>
      <c r="DO324" s="134"/>
      <c r="DP324" s="134"/>
    </row>
    <row r="325" spans="1:120" ht="15" customHeight="1" x14ac:dyDescent="0.25">
      <c r="A325" s="31">
        <f>$A$39</f>
        <v>20163</v>
      </c>
      <c r="B325" s="21">
        <v>58469</v>
      </c>
      <c r="C325" s="21">
        <v>298877</v>
      </c>
      <c r="D325" s="21">
        <v>308615</v>
      </c>
      <c r="E325" s="21">
        <v>310873</v>
      </c>
      <c r="F325" s="21">
        <v>311280</v>
      </c>
      <c r="G325" s="21">
        <v>311357</v>
      </c>
      <c r="H325" s="21">
        <v>311380</v>
      </c>
      <c r="I325" s="21">
        <v>311402</v>
      </c>
      <c r="J325" s="134" t="s">
        <v>246</v>
      </c>
      <c r="K325" s="134" t="s">
        <v>246</v>
      </c>
      <c r="L325" s="134" t="s">
        <v>246</v>
      </c>
      <c r="M325" s="31">
        <f>$A$39</f>
        <v>20163</v>
      </c>
      <c r="N325" s="21">
        <v>8526</v>
      </c>
      <c r="O325" s="21">
        <v>41092</v>
      </c>
      <c r="P325" s="21">
        <v>44058</v>
      </c>
      <c r="Q325" s="21">
        <v>44606</v>
      </c>
      <c r="R325" s="21">
        <v>44697</v>
      </c>
      <c r="S325" s="21">
        <v>44730</v>
      </c>
      <c r="T325" s="21">
        <v>44746</v>
      </c>
      <c r="U325" s="21">
        <v>44749</v>
      </c>
      <c r="V325" s="134" t="s">
        <v>246</v>
      </c>
      <c r="W325" s="134" t="s">
        <v>246</v>
      </c>
      <c r="X325" s="134" t="s">
        <v>246</v>
      </c>
      <c r="Y325" s="31">
        <f>$A$39</f>
        <v>20163</v>
      </c>
      <c r="Z325" s="21">
        <v>3177</v>
      </c>
      <c r="AA325" s="21">
        <v>30076</v>
      </c>
      <c r="AB325" s="21">
        <v>34957</v>
      </c>
      <c r="AC325" s="21">
        <v>36111</v>
      </c>
      <c r="AD325" s="21">
        <v>36374</v>
      </c>
      <c r="AE325" s="21">
        <v>36447</v>
      </c>
      <c r="AF325" s="21">
        <v>36470</v>
      </c>
      <c r="AG325" s="21">
        <v>36477</v>
      </c>
      <c r="AH325" s="134" t="s">
        <v>246</v>
      </c>
      <c r="AI325" s="134" t="s">
        <v>246</v>
      </c>
      <c r="AJ325" s="134" t="s">
        <v>246</v>
      </c>
      <c r="AK325" s="31">
        <f>$A$39</f>
        <v>20163</v>
      </c>
      <c r="AL325" s="21">
        <v>20528</v>
      </c>
      <c r="AM325" s="21">
        <v>112028</v>
      </c>
      <c r="AN325" s="21">
        <v>114437</v>
      </c>
      <c r="AO325" s="21">
        <v>114741</v>
      </c>
      <c r="AP325" s="21">
        <v>114866</v>
      </c>
      <c r="AQ325" s="21">
        <v>114916</v>
      </c>
      <c r="AR325" s="21">
        <v>114945</v>
      </c>
      <c r="AS325" s="21">
        <v>114958</v>
      </c>
      <c r="AT325" s="134" t="s">
        <v>246</v>
      </c>
      <c r="AU325" s="134" t="s">
        <v>246</v>
      </c>
      <c r="AV325" s="134" t="s">
        <v>246</v>
      </c>
      <c r="AW325" s="31">
        <f>$A$39</f>
        <v>20163</v>
      </c>
      <c r="AX325" s="21">
        <v>87878</v>
      </c>
      <c r="AY325" s="21">
        <v>404211</v>
      </c>
      <c r="AZ325" s="21">
        <v>410272</v>
      </c>
      <c r="BA325" s="21">
        <v>411258</v>
      </c>
      <c r="BB325" s="21">
        <v>411559</v>
      </c>
      <c r="BC325" s="21">
        <v>411671</v>
      </c>
      <c r="BD325" s="21">
        <v>411731</v>
      </c>
      <c r="BE325" s="21">
        <v>411749</v>
      </c>
      <c r="BF325" s="134" t="s">
        <v>246</v>
      </c>
      <c r="BG325" s="134" t="s">
        <v>246</v>
      </c>
      <c r="BH325" s="134" t="s">
        <v>246</v>
      </c>
      <c r="BI325" s="31">
        <f>$A$39</f>
        <v>20163</v>
      </c>
      <c r="BJ325" s="21">
        <v>98482</v>
      </c>
      <c r="BK325" s="21">
        <v>479098</v>
      </c>
      <c r="BL325" s="21">
        <v>483401</v>
      </c>
      <c r="BM325" s="21">
        <v>483879</v>
      </c>
      <c r="BN325" s="21">
        <v>484031</v>
      </c>
      <c r="BO325" s="21">
        <v>484072</v>
      </c>
      <c r="BP325" s="21">
        <v>484083</v>
      </c>
      <c r="BQ325" s="21">
        <v>484087</v>
      </c>
      <c r="BR325" s="134" t="s">
        <v>246</v>
      </c>
      <c r="BS325" s="134" t="s">
        <v>246</v>
      </c>
      <c r="BT325" s="134" t="s">
        <v>246</v>
      </c>
      <c r="BU325" s="31">
        <f>$A$39</f>
        <v>20163</v>
      </c>
      <c r="BV325" s="21">
        <v>5</v>
      </c>
      <c r="BW325" s="21">
        <v>32</v>
      </c>
      <c r="BX325" s="21">
        <v>37</v>
      </c>
      <c r="BY325" s="21">
        <v>37</v>
      </c>
      <c r="BZ325" s="21">
        <v>37</v>
      </c>
      <c r="CA325" s="21">
        <v>37</v>
      </c>
      <c r="CB325" s="21">
        <v>37</v>
      </c>
      <c r="CC325" s="21">
        <v>37</v>
      </c>
      <c r="CD325" s="134" t="s">
        <v>246</v>
      </c>
      <c r="CE325" s="134" t="s">
        <v>246</v>
      </c>
      <c r="CF325" s="134" t="s">
        <v>246</v>
      </c>
      <c r="CG325" s="31">
        <f>$A$39</f>
        <v>20163</v>
      </c>
      <c r="CH325" s="21"/>
      <c r="CI325" s="21"/>
      <c r="CJ325" s="21"/>
      <c r="CK325" s="21"/>
      <c r="CL325" s="21"/>
      <c r="CM325" s="21"/>
      <c r="CN325" s="21"/>
      <c r="CO325" s="21"/>
      <c r="CP325" s="134"/>
      <c r="CQ325" s="134"/>
      <c r="CR325" s="134"/>
      <c r="CS325" s="31">
        <f>$A$39</f>
        <v>20163</v>
      </c>
      <c r="CT325" s="21"/>
      <c r="CU325" s="21"/>
      <c r="CV325" s="21"/>
      <c r="CW325" s="21"/>
      <c r="CX325" s="21"/>
      <c r="CY325" s="21"/>
      <c r="CZ325" s="21"/>
      <c r="DA325" s="21"/>
      <c r="DB325" s="134"/>
      <c r="DC325" s="134"/>
      <c r="DD325" s="134"/>
      <c r="DE325" s="31">
        <f>$A$39</f>
        <v>20163</v>
      </c>
      <c r="DF325" s="21"/>
      <c r="DG325" s="21"/>
      <c r="DH325" s="21"/>
      <c r="DI325" s="21"/>
      <c r="DJ325" s="21"/>
      <c r="DK325" s="21"/>
      <c r="DL325" s="21"/>
      <c r="DM325" s="21"/>
      <c r="DN325" s="134"/>
      <c r="DO325" s="134"/>
      <c r="DP325" s="134"/>
    </row>
    <row r="326" spans="1:120" ht="15" customHeight="1" x14ac:dyDescent="0.25">
      <c r="A326" s="31">
        <f>$A$40</f>
        <v>20173</v>
      </c>
      <c r="B326" s="21">
        <v>57701</v>
      </c>
      <c r="C326" s="21">
        <v>291872</v>
      </c>
      <c r="D326" s="21">
        <v>302422</v>
      </c>
      <c r="E326" s="21">
        <v>304968</v>
      </c>
      <c r="F326" s="21">
        <v>305384</v>
      </c>
      <c r="G326" s="21">
        <v>305467</v>
      </c>
      <c r="H326" s="21">
        <v>305505</v>
      </c>
      <c r="I326" s="134" t="s">
        <v>246</v>
      </c>
      <c r="J326" s="134" t="s">
        <v>246</v>
      </c>
      <c r="K326" s="134" t="s">
        <v>246</v>
      </c>
      <c r="L326" s="134" t="s">
        <v>246</v>
      </c>
      <c r="M326" s="31">
        <f>$A$40</f>
        <v>20173</v>
      </c>
      <c r="N326" s="21">
        <v>8445</v>
      </c>
      <c r="O326" s="21">
        <v>38922</v>
      </c>
      <c r="P326" s="21">
        <v>41984</v>
      </c>
      <c r="Q326" s="21">
        <v>42497</v>
      </c>
      <c r="R326" s="21">
        <v>42598</v>
      </c>
      <c r="S326" s="21">
        <v>42633</v>
      </c>
      <c r="T326" s="21">
        <v>42647</v>
      </c>
      <c r="U326" s="134" t="s">
        <v>246</v>
      </c>
      <c r="V326" s="134" t="s">
        <v>246</v>
      </c>
      <c r="W326" s="134" t="s">
        <v>246</v>
      </c>
      <c r="X326" s="134" t="s">
        <v>246</v>
      </c>
      <c r="Y326" s="31">
        <f>$A$40</f>
        <v>20173</v>
      </c>
      <c r="Z326" s="21">
        <v>3563</v>
      </c>
      <c r="AA326" s="21">
        <v>31029</v>
      </c>
      <c r="AB326" s="21">
        <v>36520</v>
      </c>
      <c r="AC326" s="21">
        <v>37585</v>
      </c>
      <c r="AD326" s="21">
        <v>37810</v>
      </c>
      <c r="AE326" s="21">
        <v>37884</v>
      </c>
      <c r="AF326" s="21">
        <v>37929</v>
      </c>
      <c r="AG326" s="134" t="s">
        <v>246</v>
      </c>
      <c r="AH326" s="134" t="s">
        <v>246</v>
      </c>
      <c r="AI326" s="134" t="s">
        <v>246</v>
      </c>
      <c r="AJ326" s="134" t="s">
        <v>246</v>
      </c>
      <c r="AK326" s="31">
        <f>$A$40</f>
        <v>20173</v>
      </c>
      <c r="AL326" s="21">
        <v>21217</v>
      </c>
      <c r="AM326" s="21">
        <v>126057</v>
      </c>
      <c r="AN326" s="21">
        <v>128641</v>
      </c>
      <c r="AO326" s="21">
        <v>129023</v>
      </c>
      <c r="AP326" s="21">
        <v>129172</v>
      </c>
      <c r="AQ326" s="21">
        <v>129238</v>
      </c>
      <c r="AR326" s="21">
        <v>129261</v>
      </c>
      <c r="AS326" s="134" t="s">
        <v>246</v>
      </c>
      <c r="AT326" s="134" t="s">
        <v>246</v>
      </c>
      <c r="AU326" s="134" t="s">
        <v>246</v>
      </c>
      <c r="AV326" s="134" t="s">
        <v>246</v>
      </c>
      <c r="AW326" s="31">
        <f>$A$40</f>
        <v>20173</v>
      </c>
      <c r="AX326" s="21">
        <v>89939</v>
      </c>
      <c r="AY326" s="21">
        <v>406966</v>
      </c>
      <c r="AZ326" s="21">
        <v>413087</v>
      </c>
      <c r="BA326" s="21">
        <v>414123</v>
      </c>
      <c r="BB326" s="21">
        <v>414516</v>
      </c>
      <c r="BC326" s="21">
        <v>414691</v>
      </c>
      <c r="BD326" s="21">
        <v>414722</v>
      </c>
      <c r="BE326" s="134" t="s">
        <v>246</v>
      </c>
      <c r="BF326" s="134" t="s">
        <v>246</v>
      </c>
      <c r="BG326" s="134" t="s">
        <v>246</v>
      </c>
      <c r="BH326" s="134" t="s">
        <v>246</v>
      </c>
      <c r="BI326" s="31">
        <f>$A$40</f>
        <v>20173</v>
      </c>
      <c r="BJ326" s="21">
        <v>104585</v>
      </c>
      <c r="BK326" s="21">
        <v>495539</v>
      </c>
      <c r="BL326" s="21">
        <v>499827</v>
      </c>
      <c r="BM326" s="21">
        <v>500362</v>
      </c>
      <c r="BN326" s="21">
        <v>500494</v>
      </c>
      <c r="BO326" s="21">
        <v>500542</v>
      </c>
      <c r="BP326" s="21">
        <v>500550</v>
      </c>
      <c r="BQ326" s="134" t="s">
        <v>246</v>
      </c>
      <c r="BR326" s="134" t="s">
        <v>246</v>
      </c>
      <c r="BS326" s="134" t="s">
        <v>246</v>
      </c>
      <c r="BT326" s="134" t="s">
        <v>246</v>
      </c>
      <c r="BU326" s="31">
        <f>$A$40</f>
        <v>20173</v>
      </c>
      <c r="BV326" s="21">
        <v>7</v>
      </c>
      <c r="BW326" s="21">
        <v>45</v>
      </c>
      <c r="BX326" s="21">
        <v>47</v>
      </c>
      <c r="BY326" s="21">
        <v>48</v>
      </c>
      <c r="BZ326" s="21">
        <v>48</v>
      </c>
      <c r="CA326" s="21">
        <v>48</v>
      </c>
      <c r="CB326" s="21">
        <v>48</v>
      </c>
      <c r="CC326" s="134" t="s">
        <v>246</v>
      </c>
      <c r="CD326" s="134" t="s">
        <v>246</v>
      </c>
      <c r="CE326" s="134" t="s">
        <v>246</v>
      </c>
      <c r="CF326" s="134" t="s">
        <v>246</v>
      </c>
      <c r="CG326" s="31">
        <f>$A$40</f>
        <v>20173</v>
      </c>
      <c r="CH326" s="21"/>
      <c r="CI326" s="21"/>
      <c r="CJ326" s="21"/>
      <c r="CK326" s="21"/>
      <c r="CL326" s="21"/>
      <c r="CM326" s="21"/>
      <c r="CN326" s="21"/>
      <c r="CO326" s="134"/>
      <c r="CP326" s="134"/>
      <c r="CQ326" s="134"/>
      <c r="CR326" s="134"/>
      <c r="CS326" s="31">
        <f>$A$40</f>
        <v>20173</v>
      </c>
      <c r="CT326" s="21"/>
      <c r="CU326" s="21"/>
      <c r="CV326" s="21"/>
      <c r="CW326" s="21"/>
      <c r="CX326" s="21"/>
      <c r="CY326" s="21"/>
      <c r="CZ326" s="21"/>
      <c r="DA326" s="134"/>
      <c r="DB326" s="134"/>
      <c r="DC326" s="134"/>
      <c r="DD326" s="134"/>
      <c r="DE326" s="31">
        <f>$A$40</f>
        <v>20173</v>
      </c>
      <c r="DF326" s="21"/>
      <c r="DG326" s="21"/>
      <c r="DH326" s="21"/>
      <c r="DI326" s="21"/>
      <c r="DJ326" s="21"/>
      <c r="DK326" s="21"/>
      <c r="DL326" s="21"/>
      <c r="DM326" s="134"/>
      <c r="DN326" s="134"/>
      <c r="DO326" s="134"/>
      <c r="DP326" s="134"/>
    </row>
    <row r="327" spans="1:120" ht="15" customHeight="1" x14ac:dyDescent="0.25">
      <c r="A327" s="31">
        <f>$A$41</f>
        <v>20183</v>
      </c>
      <c r="B327" s="21">
        <v>57939</v>
      </c>
      <c r="C327" s="21">
        <v>303827</v>
      </c>
      <c r="D327" s="21">
        <v>316633</v>
      </c>
      <c r="E327" s="21">
        <v>318986</v>
      </c>
      <c r="F327" s="21">
        <v>319396</v>
      </c>
      <c r="G327" s="21">
        <v>319512</v>
      </c>
      <c r="H327" s="134" t="s">
        <v>246</v>
      </c>
      <c r="I327" s="134" t="s">
        <v>246</v>
      </c>
      <c r="J327" s="134" t="s">
        <v>246</v>
      </c>
      <c r="K327" s="134" t="s">
        <v>246</v>
      </c>
      <c r="L327" s="134" t="s">
        <v>246</v>
      </c>
      <c r="M327" s="31">
        <f>$A$41</f>
        <v>20183</v>
      </c>
      <c r="N327" s="21">
        <v>7585</v>
      </c>
      <c r="O327" s="21">
        <v>35796</v>
      </c>
      <c r="P327" s="21">
        <v>38616</v>
      </c>
      <c r="Q327" s="21">
        <v>39093</v>
      </c>
      <c r="R327" s="21">
        <v>39192</v>
      </c>
      <c r="S327" s="21">
        <v>39237</v>
      </c>
      <c r="T327" s="134" t="s">
        <v>246</v>
      </c>
      <c r="U327" s="134" t="s">
        <v>246</v>
      </c>
      <c r="V327" s="134" t="s">
        <v>246</v>
      </c>
      <c r="W327" s="134" t="s">
        <v>246</v>
      </c>
      <c r="X327" s="134" t="s">
        <v>246</v>
      </c>
      <c r="Y327" s="31">
        <f>$A$41</f>
        <v>20183</v>
      </c>
      <c r="Z327" s="21">
        <v>3793</v>
      </c>
      <c r="AA327" s="21">
        <v>31873</v>
      </c>
      <c r="AB327" s="21">
        <v>36381</v>
      </c>
      <c r="AC327" s="21">
        <v>37443</v>
      </c>
      <c r="AD327" s="21">
        <v>37667</v>
      </c>
      <c r="AE327" s="21">
        <v>37741</v>
      </c>
      <c r="AF327" s="134" t="s">
        <v>246</v>
      </c>
      <c r="AG327" s="134" t="s">
        <v>246</v>
      </c>
      <c r="AH327" s="134" t="s">
        <v>246</v>
      </c>
      <c r="AI327" s="134" t="s">
        <v>246</v>
      </c>
      <c r="AJ327" s="134" t="s">
        <v>246</v>
      </c>
      <c r="AK327" s="31">
        <f>$A$41</f>
        <v>20183</v>
      </c>
      <c r="AL327" s="21">
        <v>22087</v>
      </c>
      <c r="AM327" s="21">
        <v>114969</v>
      </c>
      <c r="AN327" s="21">
        <v>118147</v>
      </c>
      <c r="AO327" s="21">
        <v>118578</v>
      </c>
      <c r="AP327" s="21">
        <v>118726</v>
      </c>
      <c r="AQ327" s="21">
        <v>118768</v>
      </c>
      <c r="AR327" s="134" t="s">
        <v>246</v>
      </c>
      <c r="AS327" s="134" t="s">
        <v>246</v>
      </c>
      <c r="AT327" s="134" t="s">
        <v>246</v>
      </c>
      <c r="AU327" s="134" t="s">
        <v>246</v>
      </c>
      <c r="AV327" s="134" t="s">
        <v>246</v>
      </c>
      <c r="AW327" s="31">
        <f>$A$41</f>
        <v>20183</v>
      </c>
      <c r="AX327" s="21">
        <v>85979</v>
      </c>
      <c r="AY327" s="21">
        <v>371128</v>
      </c>
      <c r="AZ327" s="21">
        <v>376735</v>
      </c>
      <c r="BA327" s="21">
        <v>377934</v>
      </c>
      <c r="BB327" s="21">
        <v>378389</v>
      </c>
      <c r="BC327" s="21">
        <v>378489</v>
      </c>
      <c r="BD327" s="134" t="s">
        <v>246</v>
      </c>
      <c r="BE327" s="134" t="s">
        <v>246</v>
      </c>
      <c r="BF327" s="134" t="s">
        <v>246</v>
      </c>
      <c r="BG327" s="134" t="s">
        <v>246</v>
      </c>
      <c r="BH327" s="134" t="s">
        <v>246</v>
      </c>
      <c r="BI327" s="31">
        <f>$A$41</f>
        <v>20183</v>
      </c>
      <c r="BJ327" s="21">
        <v>102992</v>
      </c>
      <c r="BK327" s="21">
        <v>449085</v>
      </c>
      <c r="BL327" s="21">
        <v>452706</v>
      </c>
      <c r="BM327" s="21">
        <v>453162</v>
      </c>
      <c r="BN327" s="21">
        <v>453322</v>
      </c>
      <c r="BO327" s="21">
        <v>453366</v>
      </c>
      <c r="BP327" s="134" t="s">
        <v>246</v>
      </c>
      <c r="BQ327" s="134" t="s">
        <v>246</v>
      </c>
      <c r="BR327" s="134" t="s">
        <v>246</v>
      </c>
      <c r="BS327" s="134" t="s">
        <v>246</v>
      </c>
      <c r="BT327" s="134" t="s">
        <v>246</v>
      </c>
      <c r="BU327" s="31">
        <f>$A$41</f>
        <v>20183</v>
      </c>
      <c r="BV327" s="21">
        <v>11</v>
      </c>
      <c r="BW327" s="21">
        <v>47</v>
      </c>
      <c r="BX327" s="21">
        <v>49</v>
      </c>
      <c r="BY327" s="21">
        <v>51</v>
      </c>
      <c r="BZ327" s="21">
        <v>51</v>
      </c>
      <c r="CA327" s="21">
        <v>51</v>
      </c>
      <c r="CB327" s="134" t="s">
        <v>246</v>
      </c>
      <c r="CC327" s="134" t="s">
        <v>246</v>
      </c>
      <c r="CD327" s="134" t="s">
        <v>246</v>
      </c>
      <c r="CE327" s="134" t="s">
        <v>246</v>
      </c>
      <c r="CF327" s="134" t="s">
        <v>246</v>
      </c>
      <c r="CG327" s="31">
        <f>$A$41</f>
        <v>20183</v>
      </c>
      <c r="CH327" s="21"/>
      <c r="CI327" s="21"/>
      <c r="CJ327" s="21"/>
      <c r="CK327" s="21"/>
      <c r="CL327" s="21"/>
      <c r="CM327" s="21"/>
      <c r="CN327" s="134"/>
      <c r="CO327" s="134"/>
      <c r="CP327" s="134"/>
      <c r="CQ327" s="134"/>
      <c r="CR327" s="134"/>
      <c r="CS327" s="31">
        <f>$A$41</f>
        <v>20183</v>
      </c>
      <c r="CT327" s="21"/>
      <c r="CU327" s="21"/>
      <c r="CV327" s="21"/>
      <c r="CW327" s="21"/>
      <c r="CX327" s="21"/>
      <c r="CY327" s="21"/>
      <c r="CZ327" s="134"/>
      <c r="DA327" s="134"/>
      <c r="DB327" s="134"/>
      <c r="DC327" s="134"/>
      <c r="DD327" s="134"/>
      <c r="DE327" s="31">
        <f>$A$41</f>
        <v>20183</v>
      </c>
      <c r="DF327" s="21"/>
      <c r="DG327" s="21"/>
      <c r="DH327" s="21"/>
      <c r="DI327" s="21"/>
      <c r="DJ327" s="21"/>
      <c r="DK327" s="21"/>
      <c r="DL327" s="134"/>
      <c r="DM327" s="134"/>
      <c r="DN327" s="134"/>
      <c r="DO327" s="134"/>
      <c r="DP327" s="134"/>
    </row>
    <row r="328" spans="1:120" ht="15" customHeight="1" x14ac:dyDescent="0.25">
      <c r="A328" s="31">
        <f>$A$42</f>
        <v>20193</v>
      </c>
      <c r="B328" s="21">
        <v>60169</v>
      </c>
      <c r="C328" s="21">
        <v>312612</v>
      </c>
      <c r="D328" s="21">
        <v>323374</v>
      </c>
      <c r="E328" s="21">
        <v>325712</v>
      </c>
      <c r="F328" s="21">
        <v>326191</v>
      </c>
      <c r="G328" s="134" t="s">
        <v>246</v>
      </c>
      <c r="H328" s="134" t="s">
        <v>246</v>
      </c>
      <c r="I328" s="134" t="s">
        <v>246</v>
      </c>
      <c r="J328" s="134" t="s">
        <v>246</v>
      </c>
      <c r="K328" s="134" t="s">
        <v>246</v>
      </c>
      <c r="L328" s="134" t="s">
        <v>246</v>
      </c>
      <c r="M328" s="31">
        <f>$A$42</f>
        <v>20193</v>
      </c>
      <c r="N328" s="21">
        <v>6870</v>
      </c>
      <c r="O328" s="21">
        <v>33045</v>
      </c>
      <c r="P328" s="21">
        <v>35929</v>
      </c>
      <c r="Q328" s="21">
        <v>36452</v>
      </c>
      <c r="R328" s="21">
        <v>36564</v>
      </c>
      <c r="S328" s="134" t="s">
        <v>246</v>
      </c>
      <c r="T328" s="134" t="s">
        <v>246</v>
      </c>
      <c r="U328" s="134" t="s">
        <v>246</v>
      </c>
      <c r="V328" s="134" t="s">
        <v>246</v>
      </c>
      <c r="W328" s="134" t="s">
        <v>246</v>
      </c>
      <c r="X328" s="134" t="s">
        <v>246</v>
      </c>
      <c r="Y328" s="31">
        <f>$A$42</f>
        <v>20193</v>
      </c>
      <c r="Z328" s="21">
        <v>3527</v>
      </c>
      <c r="AA328" s="21">
        <v>27371</v>
      </c>
      <c r="AB328" s="21">
        <v>32098</v>
      </c>
      <c r="AC328" s="21">
        <v>33296</v>
      </c>
      <c r="AD328" s="21">
        <v>33536</v>
      </c>
      <c r="AE328" s="134" t="s">
        <v>246</v>
      </c>
      <c r="AF328" s="134" t="s">
        <v>246</v>
      </c>
      <c r="AG328" s="134" t="s">
        <v>246</v>
      </c>
      <c r="AH328" s="134" t="s">
        <v>246</v>
      </c>
      <c r="AI328" s="134" t="s">
        <v>246</v>
      </c>
      <c r="AJ328" s="134" t="s">
        <v>246</v>
      </c>
      <c r="AK328" s="31">
        <f>$A$42</f>
        <v>20193</v>
      </c>
      <c r="AL328" s="21">
        <v>21063</v>
      </c>
      <c r="AM328" s="21">
        <v>165695</v>
      </c>
      <c r="AN328" s="21">
        <v>169636</v>
      </c>
      <c r="AO328" s="21">
        <v>170195</v>
      </c>
      <c r="AP328" s="21">
        <v>170356</v>
      </c>
      <c r="AQ328" s="134" t="s">
        <v>246</v>
      </c>
      <c r="AR328" s="134" t="s">
        <v>246</v>
      </c>
      <c r="AS328" s="134" t="s">
        <v>246</v>
      </c>
      <c r="AT328" s="134" t="s">
        <v>246</v>
      </c>
      <c r="AU328" s="134" t="s">
        <v>246</v>
      </c>
      <c r="AV328" s="134" t="s">
        <v>246</v>
      </c>
      <c r="AW328" s="31">
        <f>$A$42</f>
        <v>20193</v>
      </c>
      <c r="AX328" s="21">
        <v>79767</v>
      </c>
      <c r="AY328" s="21">
        <v>352128</v>
      </c>
      <c r="AZ328" s="21">
        <v>357867</v>
      </c>
      <c r="BA328" s="21">
        <v>359064</v>
      </c>
      <c r="BB328" s="21">
        <v>359378</v>
      </c>
      <c r="BC328" s="134" t="s">
        <v>246</v>
      </c>
      <c r="BD328" s="134" t="s">
        <v>246</v>
      </c>
      <c r="BE328" s="134" t="s">
        <v>246</v>
      </c>
      <c r="BF328" s="134" t="s">
        <v>246</v>
      </c>
      <c r="BG328" s="134" t="s">
        <v>246</v>
      </c>
      <c r="BH328" s="134" t="s">
        <v>246</v>
      </c>
      <c r="BI328" s="31">
        <f>$A$42</f>
        <v>20193</v>
      </c>
      <c r="BJ328" s="21">
        <v>95499</v>
      </c>
      <c r="BK328" s="21">
        <v>425724</v>
      </c>
      <c r="BL328" s="21">
        <v>429303</v>
      </c>
      <c r="BM328" s="21">
        <v>429755</v>
      </c>
      <c r="BN328" s="21">
        <v>429906</v>
      </c>
      <c r="BO328" s="134" t="s">
        <v>246</v>
      </c>
      <c r="BP328" s="134" t="s">
        <v>246</v>
      </c>
      <c r="BQ328" s="134" t="s">
        <v>246</v>
      </c>
      <c r="BR328" s="134" t="s">
        <v>246</v>
      </c>
      <c r="BS328" s="134" t="s">
        <v>246</v>
      </c>
      <c r="BT328" s="134" t="s">
        <v>246</v>
      </c>
      <c r="BU328" s="31">
        <f>$A$42</f>
        <v>20193</v>
      </c>
      <c r="BV328" s="21">
        <v>9</v>
      </c>
      <c r="BW328" s="21">
        <v>52</v>
      </c>
      <c r="BX328" s="21">
        <v>54</v>
      </c>
      <c r="BY328" s="21">
        <v>55</v>
      </c>
      <c r="BZ328" s="21">
        <v>55</v>
      </c>
      <c r="CA328" s="134" t="s">
        <v>246</v>
      </c>
      <c r="CB328" s="134" t="s">
        <v>246</v>
      </c>
      <c r="CC328" s="134" t="s">
        <v>246</v>
      </c>
      <c r="CD328" s="134" t="s">
        <v>246</v>
      </c>
      <c r="CE328" s="134" t="s">
        <v>246</v>
      </c>
      <c r="CF328" s="134" t="s">
        <v>246</v>
      </c>
      <c r="CG328" s="31">
        <f>$A$42</f>
        <v>20193</v>
      </c>
      <c r="CH328" s="21"/>
      <c r="CI328" s="21"/>
      <c r="CJ328" s="21"/>
      <c r="CK328" s="21"/>
      <c r="CL328" s="21"/>
      <c r="CM328" s="134"/>
      <c r="CN328" s="134"/>
      <c r="CO328" s="134"/>
      <c r="CP328" s="134"/>
      <c r="CQ328" s="134"/>
      <c r="CR328" s="134"/>
      <c r="CS328" s="31">
        <f>$A$42</f>
        <v>20193</v>
      </c>
      <c r="CT328" s="21"/>
      <c r="CU328" s="21"/>
      <c r="CV328" s="21"/>
      <c r="CW328" s="21"/>
      <c r="CX328" s="21"/>
      <c r="CY328" s="134"/>
      <c r="CZ328" s="134"/>
      <c r="DA328" s="134"/>
      <c r="DB328" s="134"/>
      <c r="DC328" s="134"/>
      <c r="DD328" s="134"/>
      <c r="DE328" s="31">
        <f>$A$42</f>
        <v>20193</v>
      </c>
      <c r="DF328" s="21"/>
      <c r="DG328" s="21"/>
      <c r="DH328" s="21"/>
      <c r="DI328" s="21"/>
      <c r="DJ328" s="21"/>
      <c r="DK328" s="134"/>
      <c r="DL328" s="134"/>
      <c r="DM328" s="134"/>
      <c r="DN328" s="134"/>
      <c r="DO328" s="134"/>
      <c r="DP328" s="134"/>
    </row>
    <row r="329" spans="1:120" ht="15" customHeight="1" x14ac:dyDescent="0.25">
      <c r="A329" s="31">
        <f>$A$43</f>
        <v>20203</v>
      </c>
      <c r="B329" s="21">
        <v>63757</v>
      </c>
      <c r="C329" s="21">
        <v>230773</v>
      </c>
      <c r="D329" s="21">
        <v>236715</v>
      </c>
      <c r="E329" s="21">
        <v>238279</v>
      </c>
      <c r="F329" s="134" t="s">
        <v>246</v>
      </c>
      <c r="G329" s="134" t="s">
        <v>246</v>
      </c>
      <c r="H329" s="134" t="s">
        <v>246</v>
      </c>
      <c r="I329" s="134" t="s">
        <v>246</v>
      </c>
      <c r="J329" s="134" t="s">
        <v>246</v>
      </c>
      <c r="K329" s="134" t="s">
        <v>246</v>
      </c>
      <c r="L329" s="134" t="s">
        <v>246</v>
      </c>
      <c r="M329" s="31">
        <f>$A$43</f>
        <v>20203</v>
      </c>
      <c r="N329" s="21">
        <v>6580</v>
      </c>
      <c r="O329" s="21">
        <v>24154</v>
      </c>
      <c r="P329" s="21">
        <v>26029</v>
      </c>
      <c r="Q329" s="21">
        <v>26421</v>
      </c>
      <c r="R329" s="134" t="s">
        <v>246</v>
      </c>
      <c r="S329" s="134" t="s">
        <v>246</v>
      </c>
      <c r="T329" s="134" t="s">
        <v>246</v>
      </c>
      <c r="U329" s="134" t="s">
        <v>246</v>
      </c>
      <c r="V329" s="134" t="s">
        <v>246</v>
      </c>
      <c r="W329" s="134" t="s">
        <v>246</v>
      </c>
      <c r="X329" s="134" t="s">
        <v>246</v>
      </c>
      <c r="Y329" s="31">
        <f>$A$43</f>
        <v>20203</v>
      </c>
      <c r="Z329" s="21">
        <v>3189</v>
      </c>
      <c r="AA329" s="21">
        <v>22578</v>
      </c>
      <c r="AB329" s="21">
        <v>26495</v>
      </c>
      <c r="AC329" s="21">
        <v>27394</v>
      </c>
      <c r="AD329" s="134" t="s">
        <v>246</v>
      </c>
      <c r="AE329" s="134" t="s">
        <v>246</v>
      </c>
      <c r="AF329" s="134" t="s">
        <v>246</v>
      </c>
      <c r="AG329" s="134" t="s">
        <v>246</v>
      </c>
      <c r="AH329" s="134" t="s">
        <v>246</v>
      </c>
      <c r="AI329" s="134" t="s">
        <v>246</v>
      </c>
      <c r="AJ329" s="134" t="s">
        <v>246</v>
      </c>
      <c r="AK329" s="31">
        <f>$A$43</f>
        <v>20203</v>
      </c>
      <c r="AL329" s="21">
        <v>32399</v>
      </c>
      <c r="AM329" s="21">
        <v>171976</v>
      </c>
      <c r="AN329" s="21">
        <v>175732</v>
      </c>
      <c r="AO329" s="21">
        <v>176247</v>
      </c>
      <c r="AP329" s="134" t="s">
        <v>246</v>
      </c>
      <c r="AQ329" s="134" t="s">
        <v>246</v>
      </c>
      <c r="AR329" s="134" t="s">
        <v>246</v>
      </c>
      <c r="AS329" s="134" t="s">
        <v>246</v>
      </c>
      <c r="AT329" s="134" t="s">
        <v>246</v>
      </c>
      <c r="AU329" s="134" t="s">
        <v>246</v>
      </c>
      <c r="AV329" s="134" t="s">
        <v>246</v>
      </c>
      <c r="AW329" s="31">
        <f>$A$43</f>
        <v>20203</v>
      </c>
      <c r="AX329" s="21">
        <v>78637</v>
      </c>
      <c r="AY329" s="21">
        <v>264609</v>
      </c>
      <c r="AZ329" s="21">
        <v>268901</v>
      </c>
      <c r="BA329" s="21">
        <v>269701</v>
      </c>
      <c r="BB329" s="134" t="s">
        <v>246</v>
      </c>
      <c r="BC329" s="134" t="s">
        <v>246</v>
      </c>
      <c r="BD329" s="134" t="s">
        <v>246</v>
      </c>
      <c r="BE329" s="134" t="s">
        <v>246</v>
      </c>
      <c r="BF329" s="134" t="s">
        <v>246</v>
      </c>
      <c r="BG329" s="134" t="s">
        <v>246</v>
      </c>
      <c r="BH329" s="134" t="s">
        <v>246</v>
      </c>
      <c r="BI329" s="31">
        <f>$A$43</f>
        <v>20203</v>
      </c>
      <c r="BJ329" s="21">
        <v>92186</v>
      </c>
      <c r="BK329" s="21">
        <v>350000</v>
      </c>
      <c r="BL329" s="21">
        <v>352705</v>
      </c>
      <c r="BM329" s="21">
        <v>353133</v>
      </c>
      <c r="BN329" s="134" t="s">
        <v>246</v>
      </c>
      <c r="BO329" s="134" t="s">
        <v>246</v>
      </c>
      <c r="BP329" s="134" t="s">
        <v>246</v>
      </c>
      <c r="BQ329" s="134" t="s">
        <v>246</v>
      </c>
      <c r="BR329" s="134" t="s">
        <v>246</v>
      </c>
      <c r="BS329" s="134" t="s">
        <v>246</v>
      </c>
      <c r="BT329" s="134" t="s">
        <v>246</v>
      </c>
      <c r="BU329" s="31">
        <f>$A$43</f>
        <v>20203</v>
      </c>
      <c r="BV329" s="21">
        <v>1</v>
      </c>
      <c r="BW329" s="21">
        <v>27</v>
      </c>
      <c r="BX329" s="21">
        <v>28</v>
      </c>
      <c r="BY329" s="21">
        <v>28</v>
      </c>
      <c r="BZ329" s="134" t="s">
        <v>246</v>
      </c>
      <c r="CA329" s="134" t="s">
        <v>246</v>
      </c>
      <c r="CB329" s="134" t="s">
        <v>246</v>
      </c>
      <c r="CC329" s="134" t="s">
        <v>246</v>
      </c>
      <c r="CD329" s="134" t="s">
        <v>246</v>
      </c>
      <c r="CE329" s="134" t="s">
        <v>246</v>
      </c>
      <c r="CF329" s="134" t="s">
        <v>246</v>
      </c>
      <c r="CG329" s="31">
        <f>$A$43</f>
        <v>20203</v>
      </c>
      <c r="CH329" s="21"/>
      <c r="CI329" s="21"/>
      <c r="CJ329" s="21"/>
      <c r="CK329" s="21"/>
      <c r="CL329" s="134"/>
      <c r="CM329" s="134"/>
      <c r="CN329" s="134"/>
      <c r="CO329" s="134"/>
      <c r="CP329" s="134"/>
      <c r="CQ329" s="134"/>
      <c r="CR329" s="134"/>
      <c r="CS329" s="31">
        <f>$A$43</f>
        <v>20203</v>
      </c>
      <c r="CT329" s="21"/>
      <c r="CU329" s="21"/>
      <c r="CV329" s="21"/>
      <c r="CW329" s="21"/>
      <c r="CX329" s="134"/>
      <c r="CY329" s="134"/>
      <c r="CZ329" s="134"/>
      <c r="DA329" s="134"/>
      <c r="DB329" s="134"/>
      <c r="DC329" s="134"/>
      <c r="DD329" s="134"/>
      <c r="DE329" s="31">
        <f>$A$43</f>
        <v>20203</v>
      </c>
      <c r="DF329" s="21"/>
      <c r="DG329" s="21"/>
      <c r="DH329" s="21"/>
      <c r="DI329" s="21"/>
      <c r="DJ329" s="134"/>
      <c r="DK329" s="134"/>
      <c r="DL329" s="134"/>
      <c r="DM329" s="134"/>
      <c r="DN329" s="134"/>
      <c r="DO329" s="134"/>
      <c r="DP329" s="134"/>
    </row>
    <row r="330" spans="1:120" ht="15" customHeight="1" x14ac:dyDescent="0.25">
      <c r="A330" s="31">
        <f>$A$44</f>
        <v>20213</v>
      </c>
      <c r="B330" s="21">
        <v>40326</v>
      </c>
      <c r="C330" s="21">
        <v>224810</v>
      </c>
      <c r="D330" s="21">
        <v>234188</v>
      </c>
      <c r="E330" s="134" t="s">
        <v>246</v>
      </c>
      <c r="F330" s="134" t="s">
        <v>246</v>
      </c>
      <c r="G330" s="134" t="s">
        <v>246</v>
      </c>
      <c r="H330" s="134" t="s">
        <v>246</v>
      </c>
      <c r="I330" s="134" t="s">
        <v>246</v>
      </c>
      <c r="J330" s="134" t="s">
        <v>246</v>
      </c>
      <c r="K330" s="134" t="s">
        <v>246</v>
      </c>
      <c r="L330" s="134" t="s">
        <v>246</v>
      </c>
      <c r="M330" s="31">
        <f>$A$44</f>
        <v>20213</v>
      </c>
      <c r="N330" s="21">
        <v>4495</v>
      </c>
      <c r="O330" s="21">
        <v>26290</v>
      </c>
      <c r="P330" s="21">
        <v>28770</v>
      </c>
      <c r="Q330" s="134" t="s">
        <v>246</v>
      </c>
      <c r="R330" s="134" t="s">
        <v>246</v>
      </c>
      <c r="S330" s="134" t="s">
        <v>246</v>
      </c>
      <c r="T330" s="134" t="s">
        <v>246</v>
      </c>
      <c r="U330" s="134" t="s">
        <v>246</v>
      </c>
      <c r="V330" s="134" t="s">
        <v>246</v>
      </c>
      <c r="W330" s="134" t="s">
        <v>246</v>
      </c>
      <c r="X330" s="134" t="s">
        <v>246</v>
      </c>
      <c r="Y330" s="31">
        <f>$A$44</f>
        <v>20213</v>
      </c>
      <c r="Z330" s="21">
        <v>2885</v>
      </c>
      <c r="AA330" s="21">
        <v>23571</v>
      </c>
      <c r="AB330" s="21">
        <v>29112</v>
      </c>
      <c r="AC330" s="134" t="s">
        <v>246</v>
      </c>
      <c r="AD330" s="134" t="s">
        <v>246</v>
      </c>
      <c r="AE330" s="134" t="s">
        <v>246</v>
      </c>
      <c r="AF330" s="134" t="s">
        <v>246</v>
      </c>
      <c r="AG330" s="134" t="s">
        <v>246</v>
      </c>
      <c r="AH330" s="134" t="s">
        <v>246</v>
      </c>
      <c r="AI330" s="134" t="s">
        <v>246</v>
      </c>
      <c r="AJ330" s="134" t="s">
        <v>246</v>
      </c>
      <c r="AK330" s="31">
        <f>$A$44</f>
        <v>20213</v>
      </c>
      <c r="AL330" s="21">
        <v>31989</v>
      </c>
      <c r="AM330" s="21">
        <v>199450</v>
      </c>
      <c r="AN330" s="21">
        <v>204079</v>
      </c>
      <c r="AO330" s="134" t="s">
        <v>246</v>
      </c>
      <c r="AP330" s="134" t="s">
        <v>246</v>
      </c>
      <c r="AQ330" s="134" t="s">
        <v>246</v>
      </c>
      <c r="AR330" s="134" t="s">
        <v>246</v>
      </c>
      <c r="AS330" s="134" t="s">
        <v>246</v>
      </c>
      <c r="AT330" s="134" t="s">
        <v>246</v>
      </c>
      <c r="AU330" s="134" t="s">
        <v>246</v>
      </c>
      <c r="AV330" s="134" t="s">
        <v>246</v>
      </c>
      <c r="AW330" s="31">
        <f>$A$44</f>
        <v>20213</v>
      </c>
      <c r="AX330" s="21">
        <v>52133</v>
      </c>
      <c r="AY330" s="21">
        <v>271917</v>
      </c>
      <c r="AZ330" s="21">
        <v>277736</v>
      </c>
      <c r="BA330" s="134" t="s">
        <v>246</v>
      </c>
      <c r="BB330" s="134" t="s">
        <v>246</v>
      </c>
      <c r="BC330" s="134" t="s">
        <v>246</v>
      </c>
      <c r="BD330" s="134" t="s">
        <v>246</v>
      </c>
      <c r="BE330" s="134" t="s">
        <v>246</v>
      </c>
      <c r="BF330" s="134" t="s">
        <v>246</v>
      </c>
      <c r="BG330" s="134" t="s">
        <v>246</v>
      </c>
      <c r="BH330" s="134" t="s">
        <v>246</v>
      </c>
      <c r="BI330" s="31">
        <f>$A$44</f>
        <v>20213</v>
      </c>
      <c r="BJ330" s="21">
        <v>75002</v>
      </c>
      <c r="BK330" s="21">
        <v>357541</v>
      </c>
      <c r="BL330" s="21">
        <v>361296</v>
      </c>
      <c r="BM330" s="134" t="s">
        <v>246</v>
      </c>
      <c r="BN330" s="134" t="s">
        <v>246</v>
      </c>
      <c r="BO330" s="134" t="s">
        <v>246</v>
      </c>
      <c r="BP330" s="134" t="s">
        <v>246</v>
      </c>
      <c r="BQ330" s="134" t="s">
        <v>246</v>
      </c>
      <c r="BR330" s="134" t="s">
        <v>246</v>
      </c>
      <c r="BS330" s="134" t="s">
        <v>246</v>
      </c>
      <c r="BT330" s="134" t="s">
        <v>246</v>
      </c>
      <c r="BU330" s="31">
        <f>$A$44</f>
        <v>20213</v>
      </c>
      <c r="BV330" s="21">
        <v>2</v>
      </c>
      <c r="BW330" s="21">
        <v>24</v>
      </c>
      <c r="BX330" s="21">
        <v>26</v>
      </c>
      <c r="BY330" s="134" t="s">
        <v>246</v>
      </c>
      <c r="BZ330" s="134" t="s">
        <v>246</v>
      </c>
      <c r="CA330" s="134" t="s">
        <v>246</v>
      </c>
      <c r="CB330" s="134" t="s">
        <v>246</v>
      </c>
      <c r="CC330" s="134" t="s">
        <v>246</v>
      </c>
      <c r="CD330" s="134" t="s">
        <v>246</v>
      </c>
      <c r="CE330" s="134" t="s">
        <v>246</v>
      </c>
      <c r="CF330" s="134" t="s">
        <v>246</v>
      </c>
      <c r="CG330" s="31">
        <f>$A$44</f>
        <v>20213</v>
      </c>
      <c r="CH330" s="21"/>
      <c r="CI330" s="21"/>
      <c r="CJ330" s="21"/>
      <c r="CK330" s="134"/>
      <c r="CL330" s="134"/>
      <c r="CM330" s="134"/>
      <c r="CN330" s="134"/>
      <c r="CO330" s="134"/>
      <c r="CP330" s="134"/>
      <c r="CQ330" s="134"/>
      <c r="CR330" s="134"/>
      <c r="CS330" s="31">
        <f>$A$44</f>
        <v>20213</v>
      </c>
      <c r="CT330" s="21"/>
      <c r="CU330" s="21"/>
      <c r="CV330" s="21"/>
      <c r="CW330" s="134"/>
      <c r="CX330" s="134"/>
      <c r="CY330" s="134"/>
      <c r="CZ330" s="134"/>
      <c r="DA330" s="134"/>
      <c r="DB330" s="134"/>
      <c r="DC330" s="134"/>
      <c r="DD330" s="134"/>
      <c r="DE330" s="31">
        <f>$A$44</f>
        <v>20213</v>
      </c>
      <c r="DF330" s="21"/>
      <c r="DG330" s="21"/>
      <c r="DH330" s="21"/>
      <c r="DI330" s="134"/>
      <c r="DJ330" s="134"/>
      <c r="DK330" s="134"/>
      <c r="DL330" s="134"/>
      <c r="DM330" s="134"/>
      <c r="DN330" s="134"/>
      <c r="DO330" s="134"/>
      <c r="DP330" s="134"/>
    </row>
    <row r="331" spans="1:120" ht="15" customHeight="1" x14ac:dyDescent="0.25">
      <c r="A331" s="31">
        <f>$A$45</f>
        <v>20223</v>
      </c>
      <c r="B331" s="21">
        <v>48549</v>
      </c>
      <c r="C331" s="21">
        <v>259115</v>
      </c>
      <c r="D331" s="134" t="s">
        <v>246</v>
      </c>
      <c r="E331" s="134" t="s">
        <v>246</v>
      </c>
      <c r="F331" s="134" t="s">
        <v>246</v>
      </c>
      <c r="G331" s="134" t="s">
        <v>246</v>
      </c>
      <c r="H331" s="134" t="s">
        <v>246</v>
      </c>
      <c r="I331" s="134" t="s">
        <v>246</v>
      </c>
      <c r="J331" s="134" t="s">
        <v>246</v>
      </c>
      <c r="K331" s="134" t="s">
        <v>246</v>
      </c>
      <c r="L331" s="134"/>
      <c r="M331" s="31">
        <f>$A$45</f>
        <v>20223</v>
      </c>
      <c r="N331" s="21">
        <v>6217</v>
      </c>
      <c r="O331" s="21">
        <v>30228</v>
      </c>
      <c r="P331" s="134" t="s">
        <v>246</v>
      </c>
      <c r="Q331" s="134" t="s">
        <v>246</v>
      </c>
      <c r="R331" s="134" t="s">
        <v>246</v>
      </c>
      <c r="S331" s="134" t="s">
        <v>246</v>
      </c>
      <c r="T331" s="134" t="s">
        <v>246</v>
      </c>
      <c r="U331" s="134" t="s">
        <v>246</v>
      </c>
      <c r="V331" s="134" t="s">
        <v>246</v>
      </c>
      <c r="W331" s="134" t="s">
        <v>246</v>
      </c>
      <c r="X331" s="134" t="s">
        <v>246</v>
      </c>
      <c r="Y331" s="31">
        <f>$A$45</f>
        <v>20223</v>
      </c>
      <c r="Z331" s="21">
        <v>2465</v>
      </c>
      <c r="AA331" s="21">
        <v>24047</v>
      </c>
      <c r="AB331" s="134" t="s">
        <v>246</v>
      </c>
      <c r="AC331" s="134" t="s">
        <v>246</v>
      </c>
      <c r="AD331" s="134" t="s">
        <v>246</v>
      </c>
      <c r="AE331" s="134" t="s">
        <v>246</v>
      </c>
      <c r="AF331" s="134" t="s">
        <v>246</v>
      </c>
      <c r="AG331" s="134" t="s">
        <v>246</v>
      </c>
      <c r="AH331" s="134" t="s">
        <v>246</v>
      </c>
      <c r="AI331" s="134" t="s">
        <v>246</v>
      </c>
      <c r="AJ331" s="134" t="s">
        <v>246</v>
      </c>
      <c r="AK331" s="31">
        <f>$A$45</f>
        <v>20223</v>
      </c>
      <c r="AL331" s="21">
        <v>39526</v>
      </c>
      <c r="AM331" s="21">
        <v>237302</v>
      </c>
      <c r="AN331" s="134" t="s">
        <v>246</v>
      </c>
      <c r="AO331" s="134" t="s">
        <v>246</v>
      </c>
      <c r="AP331" s="134" t="s">
        <v>246</v>
      </c>
      <c r="AQ331" s="134" t="s">
        <v>246</v>
      </c>
      <c r="AR331" s="134" t="s">
        <v>246</v>
      </c>
      <c r="AS331" s="134" t="s">
        <v>246</v>
      </c>
      <c r="AT331" s="134" t="s">
        <v>246</v>
      </c>
      <c r="AU331" s="134" t="s">
        <v>246</v>
      </c>
      <c r="AV331" s="134" t="s">
        <v>246</v>
      </c>
      <c r="AW331" s="31">
        <f>$A$45</f>
        <v>20223</v>
      </c>
      <c r="AX331" s="21">
        <v>70851</v>
      </c>
      <c r="AY331" s="21">
        <v>340586</v>
      </c>
      <c r="AZ331" s="134" t="s">
        <v>246</v>
      </c>
      <c r="BA331" s="134" t="s">
        <v>246</v>
      </c>
      <c r="BB331" s="134" t="s">
        <v>246</v>
      </c>
      <c r="BC331" s="134" t="s">
        <v>246</v>
      </c>
      <c r="BD331" s="134" t="s">
        <v>246</v>
      </c>
      <c r="BE331" s="134" t="s">
        <v>246</v>
      </c>
      <c r="BF331" s="134" t="s">
        <v>246</v>
      </c>
      <c r="BG331" s="134" t="s">
        <v>246</v>
      </c>
      <c r="BH331" s="134" t="s">
        <v>246</v>
      </c>
      <c r="BI331" s="31">
        <f>$A$45</f>
        <v>20223</v>
      </c>
      <c r="BJ331" s="21">
        <v>85912</v>
      </c>
      <c r="BK331" s="21">
        <v>394328</v>
      </c>
      <c r="BL331" s="134" t="s">
        <v>246</v>
      </c>
      <c r="BM331" s="134" t="s">
        <v>246</v>
      </c>
      <c r="BN331" s="134" t="s">
        <v>246</v>
      </c>
      <c r="BO331" s="134" t="s">
        <v>246</v>
      </c>
      <c r="BP331" s="134" t="s">
        <v>246</v>
      </c>
      <c r="BQ331" s="134" t="s">
        <v>246</v>
      </c>
      <c r="BR331" s="134" t="s">
        <v>246</v>
      </c>
      <c r="BS331" s="134" t="s">
        <v>246</v>
      </c>
      <c r="BT331" s="134" t="s">
        <v>246</v>
      </c>
      <c r="BU331" s="31">
        <f>$A$45</f>
        <v>20223</v>
      </c>
      <c r="BV331" s="21">
        <v>2</v>
      </c>
      <c r="BW331" s="21">
        <v>31</v>
      </c>
      <c r="BX331" s="134" t="s">
        <v>246</v>
      </c>
      <c r="BY331" s="134" t="s">
        <v>246</v>
      </c>
      <c r="BZ331" s="134" t="s">
        <v>246</v>
      </c>
      <c r="CA331" s="134" t="s">
        <v>246</v>
      </c>
      <c r="CB331" s="134" t="s">
        <v>246</v>
      </c>
      <c r="CC331" s="134" t="s">
        <v>246</v>
      </c>
      <c r="CD331" s="134" t="s">
        <v>246</v>
      </c>
      <c r="CE331" s="134" t="s">
        <v>246</v>
      </c>
      <c r="CF331" s="134" t="s">
        <v>246</v>
      </c>
      <c r="CG331" s="31">
        <f>$A$45</f>
        <v>20223</v>
      </c>
      <c r="CH331" s="21"/>
      <c r="CI331" s="21"/>
      <c r="CJ331" s="134"/>
      <c r="CK331" s="134"/>
      <c r="CL331" s="134"/>
      <c r="CM331" s="134"/>
      <c r="CN331" s="134"/>
      <c r="CO331" s="134"/>
      <c r="CP331" s="134"/>
      <c r="CQ331" s="134"/>
      <c r="CR331" s="134"/>
      <c r="CS331" s="31">
        <f>$A$45</f>
        <v>20223</v>
      </c>
      <c r="CT331" s="21"/>
      <c r="CU331" s="21"/>
      <c r="CV331" s="134"/>
      <c r="CW331" s="134"/>
      <c r="CX331" s="134"/>
      <c r="CY331" s="134"/>
      <c r="CZ331" s="134"/>
      <c r="DA331" s="134"/>
      <c r="DB331" s="134"/>
      <c r="DC331" s="134"/>
      <c r="DD331" s="134"/>
      <c r="DE331" s="31">
        <f>$A$45</f>
        <v>20223</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ht="30" x14ac:dyDescent="0.25">
      <c r="A334" s="92" t="str">
        <f>$A$35</f>
        <v>Fiscal Accident Year Data Ending</v>
      </c>
      <c r="B334" s="92"/>
      <c r="C334" s="100" t="str">
        <f>$C$35&amp;"-"&amp;$D$35</f>
        <v>15-27</v>
      </c>
      <c r="D334" s="100" t="str">
        <f>$D$35&amp;"-"&amp;$E$35</f>
        <v>27-39</v>
      </c>
      <c r="E334" s="100" t="str">
        <f>$E$35&amp;"-"&amp;$F$35</f>
        <v>39-51</v>
      </c>
      <c r="F334" s="100" t="str">
        <f>$F$35&amp;"-"&amp;$G$35</f>
        <v>51-63</v>
      </c>
      <c r="G334" s="100" t="str">
        <f>$G$35&amp;"-"&amp;$H$35</f>
        <v>63-75</v>
      </c>
      <c r="H334" s="100" t="str">
        <f>$H$35&amp;"-"&amp;$I$35</f>
        <v>75-87</v>
      </c>
      <c r="I334" s="100" t="str">
        <f>$I$35&amp;"-"&amp;$J$35</f>
        <v>87-99</v>
      </c>
      <c r="J334" s="100" t="str">
        <f>$J$35&amp;"-"&amp;$K$35</f>
        <v>99-111</v>
      </c>
      <c r="K334" s="100" t="str">
        <f>$K$35&amp;"-"&amp;$L$35</f>
        <v>111-123</v>
      </c>
      <c r="L334" s="100" t="str">
        <f>$L$35&amp;"-Ult"</f>
        <v>123-Ult</v>
      </c>
      <c r="M334" s="92" t="str">
        <f>$A$35</f>
        <v>Fiscal Accident Year Data Ending</v>
      </c>
      <c r="N334" s="92"/>
      <c r="O334" s="100" t="str">
        <f>$C$35&amp;"-"&amp;$D$35</f>
        <v>15-27</v>
      </c>
      <c r="P334" s="100" t="str">
        <f>$D$35&amp;"-"&amp;$E$35</f>
        <v>27-39</v>
      </c>
      <c r="Q334" s="100" t="str">
        <f>$E$35&amp;"-"&amp;$F$35</f>
        <v>39-51</v>
      </c>
      <c r="R334" s="100" t="str">
        <f>$F$35&amp;"-"&amp;$G$35</f>
        <v>51-63</v>
      </c>
      <c r="S334" s="100" t="str">
        <f>$G$35&amp;"-"&amp;$H$35</f>
        <v>63-75</v>
      </c>
      <c r="T334" s="100" t="str">
        <f>$H$35&amp;"-"&amp;$I$35</f>
        <v>75-87</v>
      </c>
      <c r="U334" s="100" t="str">
        <f>$I$35&amp;"-"&amp;$J$35</f>
        <v>87-99</v>
      </c>
      <c r="V334" s="100" t="str">
        <f>$J$35&amp;"-"&amp;$K$35</f>
        <v>99-111</v>
      </c>
      <c r="W334" s="100" t="str">
        <f>$K$35&amp;"-"&amp;$L$35</f>
        <v>111-123</v>
      </c>
      <c r="X334" s="100" t="str">
        <f>$L$35&amp;"-Ult"</f>
        <v>123-Ult</v>
      </c>
      <c r="Y334" s="92" t="str">
        <f>$A$35</f>
        <v>Fiscal Accident Year Data Ending</v>
      </c>
      <c r="Z334" s="92"/>
      <c r="AA334" s="100" t="str">
        <f>$C$35&amp;"-"&amp;$D$35</f>
        <v>15-27</v>
      </c>
      <c r="AB334" s="100" t="str">
        <f>$D$35&amp;"-"&amp;$E$35</f>
        <v>27-39</v>
      </c>
      <c r="AC334" s="100" t="str">
        <f>$E$35&amp;"-"&amp;$F$35</f>
        <v>39-51</v>
      </c>
      <c r="AD334" s="100" t="str">
        <f>$F$35&amp;"-"&amp;$G$35</f>
        <v>51-63</v>
      </c>
      <c r="AE334" s="100" t="str">
        <f>$G$35&amp;"-"&amp;$H$35</f>
        <v>63-75</v>
      </c>
      <c r="AF334" s="100" t="str">
        <f>$H$35&amp;"-"&amp;$I$35</f>
        <v>75-87</v>
      </c>
      <c r="AG334" s="100" t="str">
        <f>$I$35&amp;"-"&amp;$J$35</f>
        <v>87-99</v>
      </c>
      <c r="AH334" s="100" t="str">
        <f>$J$35&amp;"-"&amp;$K$35</f>
        <v>99-111</v>
      </c>
      <c r="AI334" s="100" t="str">
        <f>$K$35&amp;"-"&amp;$L$35</f>
        <v>111-123</v>
      </c>
      <c r="AJ334" s="100" t="str">
        <f>$L$35&amp;"-Ult"</f>
        <v>123-Ult</v>
      </c>
      <c r="AK334" s="92" t="str">
        <f>$A$35</f>
        <v>Fiscal Accident Year Data Ending</v>
      </c>
      <c r="AL334" s="92"/>
      <c r="AM334" s="100" t="str">
        <f>$C$35&amp;"-"&amp;$D$35</f>
        <v>15-27</v>
      </c>
      <c r="AN334" s="100" t="str">
        <f>$D$35&amp;"-"&amp;$E$35</f>
        <v>27-39</v>
      </c>
      <c r="AO334" s="100" t="str">
        <f>$E$35&amp;"-"&amp;$F$35</f>
        <v>39-51</v>
      </c>
      <c r="AP334" s="100" t="str">
        <f>$F$35&amp;"-"&amp;$G$35</f>
        <v>51-63</v>
      </c>
      <c r="AQ334" s="100" t="str">
        <f>$G$35&amp;"-"&amp;$H$35</f>
        <v>63-75</v>
      </c>
      <c r="AR334" s="100" t="str">
        <f>$H$35&amp;"-"&amp;$I$35</f>
        <v>75-87</v>
      </c>
      <c r="AS334" s="100" t="str">
        <f>$I$35&amp;"-"&amp;$J$35</f>
        <v>87-99</v>
      </c>
      <c r="AT334" s="100" t="str">
        <f>$J$35&amp;"-"&amp;$K$35</f>
        <v>99-111</v>
      </c>
      <c r="AU334" s="100" t="str">
        <f>$K$35&amp;"-"&amp;$L$35</f>
        <v>111-123</v>
      </c>
      <c r="AV334" s="100" t="str">
        <f>$L$35&amp;"-Ult"</f>
        <v>123-Ult</v>
      </c>
      <c r="AW334" s="92" t="str">
        <f>$A$35</f>
        <v>Fiscal Accident Year Data Ending</v>
      </c>
      <c r="AX334" s="92"/>
      <c r="AY334" s="100" t="str">
        <f>$C$35&amp;"-"&amp;$D$35</f>
        <v>15-27</v>
      </c>
      <c r="AZ334" s="100" t="str">
        <f>$D$35&amp;"-"&amp;$E$35</f>
        <v>27-39</v>
      </c>
      <c r="BA334" s="100" t="str">
        <f>$E$35&amp;"-"&amp;$F$35</f>
        <v>39-51</v>
      </c>
      <c r="BB334" s="100" t="str">
        <f>$F$35&amp;"-"&amp;$G$35</f>
        <v>51-63</v>
      </c>
      <c r="BC334" s="100" t="str">
        <f>$G$35&amp;"-"&amp;$H$35</f>
        <v>63-75</v>
      </c>
      <c r="BD334" s="100" t="str">
        <f>$H$35&amp;"-"&amp;$I$35</f>
        <v>75-87</v>
      </c>
      <c r="BE334" s="100" t="str">
        <f>$I$35&amp;"-"&amp;$J$35</f>
        <v>87-99</v>
      </c>
      <c r="BF334" s="100" t="str">
        <f>$J$35&amp;"-"&amp;$K$35</f>
        <v>99-111</v>
      </c>
      <c r="BG334" s="100" t="str">
        <f>$K$35&amp;"-"&amp;$L$35</f>
        <v>111-123</v>
      </c>
      <c r="BH334" s="100" t="str">
        <f>$L$35&amp;"-Ult"</f>
        <v>123-Ult</v>
      </c>
      <c r="BI334" s="92" t="str">
        <f>$A$35</f>
        <v>Fiscal Accident Year Data Ending</v>
      </c>
      <c r="BJ334" s="92"/>
      <c r="BK334" s="100" t="str">
        <f>$C$35&amp;"-"&amp;$D$35</f>
        <v>15-27</v>
      </c>
      <c r="BL334" s="100" t="str">
        <f>$D$35&amp;"-"&amp;$E$35</f>
        <v>27-39</v>
      </c>
      <c r="BM334" s="100" t="str">
        <f>$E$35&amp;"-"&amp;$F$35</f>
        <v>39-51</v>
      </c>
      <c r="BN334" s="100" t="str">
        <f>$F$35&amp;"-"&amp;$G$35</f>
        <v>51-63</v>
      </c>
      <c r="BO334" s="100" t="str">
        <f>$G$35&amp;"-"&amp;$H$35</f>
        <v>63-75</v>
      </c>
      <c r="BP334" s="100" t="str">
        <f>$H$35&amp;"-"&amp;$I$35</f>
        <v>75-87</v>
      </c>
      <c r="BQ334" s="100" t="str">
        <f>$I$35&amp;"-"&amp;$J$35</f>
        <v>87-99</v>
      </c>
      <c r="BR334" s="100" t="str">
        <f>$J$35&amp;"-"&amp;$K$35</f>
        <v>99-111</v>
      </c>
      <c r="BS334" s="100" t="str">
        <f>$K$35&amp;"-"&amp;$L$35</f>
        <v>111-123</v>
      </c>
      <c r="BT334" s="100" t="str">
        <f>$L$35&amp;"-Ult"</f>
        <v>123-Ult</v>
      </c>
      <c r="BU334" s="92" t="str">
        <f>$A$35</f>
        <v>Fiscal Accident Year Data Ending</v>
      </c>
      <c r="BV334" s="92"/>
      <c r="BW334" s="100" t="str">
        <f>$C$35&amp;"-"&amp;$D$35</f>
        <v>15-27</v>
      </c>
      <c r="BX334" s="100" t="str">
        <f>$D$35&amp;"-"&amp;$E$35</f>
        <v>27-39</v>
      </c>
      <c r="BY334" s="100" t="str">
        <f>$E$35&amp;"-"&amp;$F$35</f>
        <v>39-51</v>
      </c>
      <c r="BZ334" s="100" t="str">
        <f>$F$35&amp;"-"&amp;$G$35</f>
        <v>51-63</v>
      </c>
      <c r="CA334" s="100" t="str">
        <f>$G$35&amp;"-"&amp;$H$35</f>
        <v>63-75</v>
      </c>
      <c r="CB334" s="100" t="str">
        <f>$H$35&amp;"-"&amp;$I$35</f>
        <v>75-87</v>
      </c>
      <c r="CC334" s="100" t="str">
        <f>$I$35&amp;"-"&amp;$J$35</f>
        <v>87-99</v>
      </c>
      <c r="CD334" s="100" t="str">
        <f>$J$35&amp;"-"&amp;$K$35</f>
        <v>99-111</v>
      </c>
      <c r="CE334" s="100" t="str">
        <f>$K$35&amp;"-"&amp;$L$35</f>
        <v>111-123</v>
      </c>
      <c r="CF334" s="100" t="str">
        <f>$L$35&amp;"-Ult"</f>
        <v>123-Ult</v>
      </c>
      <c r="CG334" s="92" t="str">
        <f>$A$35</f>
        <v>Fiscal Accident Year Data Ending</v>
      </c>
      <c r="CH334" s="92"/>
      <c r="CI334" s="100" t="str">
        <f>$C$35&amp;"-"&amp;$D$35</f>
        <v>15-27</v>
      </c>
      <c r="CJ334" s="100" t="str">
        <f>$D$35&amp;"-"&amp;$E$35</f>
        <v>27-39</v>
      </c>
      <c r="CK334" s="100" t="str">
        <f>$E$35&amp;"-"&amp;$F$35</f>
        <v>39-51</v>
      </c>
      <c r="CL334" s="100" t="str">
        <f>$F$35&amp;"-"&amp;$G$35</f>
        <v>51-63</v>
      </c>
      <c r="CM334" s="100" t="str">
        <f>$G$35&amp;"-"&amp;$H$35</f>
        <v>63-75</v>
      </c>
      <c r="CN334" s="100" t="str">
        <f>$H$35&amp;"-"&amp;$I$35</f>
        <v>75-87</v>
      </c>
      <c r="CO334" s="100" t="str">
        <f>$I$35&amp;"-"&amp;$J$35</f>
        <v>87-99</v>
      </c>
      <c r="CP334" s="100" t="str">
        <f>$J$35&amp;"-"&amp;$K$35</f>
        <v>99-111</v>
      </c>
      <c r="CQ334" s="100" t="str">
        <f>$K$35&amp;"-"&amp;$L$35</f>
        <v>111-123</v>
      </c>
      <c r="CR334" s="100" t="str">
        <f>$L$35&amp;"-Ult"</f>
        <v>123-Ult</v>
      </c>
      <c r="CS334" s="92" t="str">
        <f>$A$35</f>
        <v>Fiscal Accident Year Data Ending</v>
      </c>
      <c r="CT334" s="92"/>
      <c r="CU334" s="100" t="str">
        <f>$C$35&amp;"-"&amp;$D$35</f>
        <v>15-27</v>
      </c>
      <c r="CV334" s="100" t="str">
        <f>$D$35&amp;"-"&amp;$E$35</f>
        <v>27-39</v>
      </c>
      <c r="CW334" s="100" t="str">
        <f>$E$35&amp;"-"&amp;$F$35</f>
        <v>39-51</v>
      </c>
      <c r="CX334" s="100" t="str">
        <f>$F$35&amp;"-"&amp;$G$35</f>
        <v>51-63</v>
      </c>
      <c r="CY334" s="100" t="str">
        <f>$G$35&amp;"-"&amp;$H$35</f>
        <v>63-75</v>
      </c>
      <c r="CZ334" s="100" t="str">
        <f>$H$35&amp;"-"&amp;$I$35</f>
        <v>75-87</v>
      </c>
      <c r="DA334" s="100" t="str">
        <f>$I$35&amp;"-"&amp;$J$35</f>
        <v>87-99</v>
      </c>
      <c r="DB334" s="100" t="str">
        <f>$J$35&amp;"-"&amp;$K$35</f>
        <v>99-111</v>
      </c>
      <c r="DC334" s="100" t="str">
        <f>$K$35&amp;"-"&amp;$L$35</f>
        <v>111-123</v>
      </c>
      <c r="DD334" s="100" t="str">
        <f>$L$35&amp;"-Ult"</f>
        <v>123-Ult</v>
      </c>
      <c r="DE334" s="92" t="str">
        <f>$A$35</f>
        <v>Fiscal Accident Year Data Ending</v>
      </c>
      <c r="DF334" s="92"/>
      <c r="DG334" s="100" t="str">
        <f>$C$35&amp;"-"&amp;$D$35</f>
        <v>15-27</v>
      </c>
      <c r="DH334" s="100" t="str">
        <f>$D$35&amp;"-"&amp;$E$35</f>
        <v>27-39</v>
      </c>
      <c r="DI334" s="100" t="str">
        <f>$E$35&amp;"-"&amp;$F$35</f>
        <v>39-51</v>
      </c>
      <c r="DJ334" s="100" t="str">
        <f>$F$35&amp;"-"&amp;$G$35</f>
        <v>51-63</v>
      </c>
      <c r="DK334" s="100" t="str">
        <f>$G$35&amp;"-"&amp;$H$35</f>
        <v>63-75</v>
      </c>
      <c r="DL334" s="100" t="str">
        <f>$H$35&amp;"-"&amp;$I$35</f>
        <v>75-87</v>
      </c>
      <c r="DM334" s="100" t="str">
        <f>$I$35&amp;"-"&amp;$J$35</f>
        <v>87-99</v>
      </c>
      <c r="DN334" s="100" t="str">
        <f>$J$35&amp;"-"&amp;$K$35</f>
        <v>99-111</v>
      </c>
      <c r="DO334" s="100" t="str">
        <f>$K$35&amp;"-"&amp;$L$35</f>
        <v>111-123</v>
      </c>
      <c r="DP334" s="100" t="str">
        <f>$L$35&amp;"-Ult"</f>
        <v>123-Ult</v>
      </c>
    </row>
    <row r="335" spans="1:120" x14ac:dyDescent="0.25">
      <c r="A335" s="91">
        <f>$A$36</f>
        <v>20133</v>
      </c>
      <c r="B335" s="105"/>
      <c r="C335" s="90">
        <f>IFERROR(D322/C322,"")</f>
        <v>1.0334880434650198</v>
      </c>
      <c r="D335" s="90">
        <f t="shared" ref="D335:K335" si="589">IFERROR(E322/D322,"")</f>
        <v>1.0074219885743023</v>
      </c>
      <c r="E335" s="90">
        <f t="shared" si="589"/>
        <v>1.0012168344364145</v>
      </c>
      <c r="F335" s="90">
        <f t="shared" si="589"/>
        <v>1.0001869777769121</v>
      </c>
      <c r="G335" s="90">
        <f t="shared" si="589"/>
        <v>1.0000584196321121</v>
      </c>
      <c r="H335" s="90">
        <f t="shared" si="589"/>
        <v>1.0000311553170442</v>
      </c>
      <c r="I335" s="90">
        <f t="shared" si="589"/>
        <v>1.0000155771732104</v>
      </c>
      <c r="J335" s="90">
        <f t="shared" si="589"/>
        <v>1.0000155769305659</v>
      </c>
      <c r="K335" s="90">
        <f t="shared" si="589"/>
        <v>1.0000038941719822</v>
      </c>
      <c r="L335" s="22"/>
      <c r="M335" s="91">
        <f>$A$36</f>
        <v>20133</v>
      </c>
      <c r="N335" s="105"/>
      <c r="O335" s="90">
        <f>IFERROR(P322/O322,"")</f>
        <v>1.0565094759760503</v>
      </c>
      <c r="P335" s="90">
        <f t="shared" ref="P335:W335" si="590">IFERROR(Q322/P322,"")</f>
        <v>1.0099995316378625</v>
      </c>
      <c r="Q335" s="90">
        <f t="shared" si="590"/>
        <v>1.0017853416494702</v>
      </c>
      <c r="R335" s="90">
        <f t="shared" si="590"/>
        <v>1.0006712030736471</v>
      </c>
      <c r="S335" s="90">
        <f t="shared" si="590"/>
        <v>1.0001156470452179</v>
      </c>
      <c r="T335" s="90">
        <f t="shared" si="590"/>
        <v>1.0000925069380204</v>
      </c>
      <c r="U335" s="90">
        <f t="shared" si="590"/>
        <v>1.0001387475719175</v>
      </c>
      <c r="V335" s="90">
        <f t="shared" si="590"/>
        <v>1.0000231213872832</v>
      </c>
      <c r="W335" s="90">
        <f t="shared" si="590"/>
        <v>1</v>
      </c>
      <c r="X335" s="22"/>
      <c r="Y335" s="91">
        <f>$A$36</f>
        <v>20133</v>
      </c>
      <c r="Z335" s="105"/>
      <c r="AA335" s="90">
        <f>IFERROR(AB322/AA322,"")</f>
        <v>1.1072374645222327</v>
      </c>
      <c r="AB335" s="90">
        <f t="shared" ref="AB335:AI335" si="591">IFERROR(AC322/AB322,"")</f>
        <v>1.0319562524031272</v>
      </c>
      <c r="AC335" s="90">
        <f t="shared" si="591"/>
        <v>1.0066652866901262</v>
      </c>
      <c r="AD335" s="90">
        <f t="shared" si="591"/>
        <v>1.00234413554861</v>
      </c>
      <c r="AE335" s="90">
        <f t="shared" si="591"/>
        <v>1.0011488122102326</v>
      </c>
      <c r="AF335" s="90">
        <f t="shared" si="591"/>
        <v>1.000409819269702</v>
      </c>
      <c r="AG335" s="90">
        <f t="shared" si="591"/>
        <v>1.000368686248003</v>
      </c>
      <c r="AH335" s="90">
        <f t="shared" si="591"/>
        <v>1.0000819000819001</v>
      </c>
      <c r="AI335" s="90">
        <f t="shared" si="591"/>
        <v>1.0001228400622391</v>
      </c>
      <c r="AJ335" s="22"/>
      <c r="AK335" s="91">
        <f>$A$36</f>
        <v>20133</v>
      </c>
      <c r="AL335" s="105"/>
      <c r="AM335" s="90">
        <f>IFERROR(AN322/AM322,"")</f>
        <v>1.0215709328124705</v>
      </c>
      <c r="AN335" s="90">
        <f t="shared" ref="AN335:AU335" si="592">IFERROR(AO322/AN322,"")</f>
        <v>1.0027566107609915</v>
      </c>
      <c r="AO335" s="90">
        <f t="shared" si="592"/>
        <v>1.0009348562542808</v>
      </c>
      <c r="AP335" s="90">
        <f t="shared" si="592"/>
        <v>1.0003051627997299</v>
      </c>
      <c r="AQ335" s="90">
        <f t="shared" si="592"/>
        <v>1.0000832008283105</v>
      </c>
      <c r="AR335" s="90">
        <f t="shared" si="592"/>
        <v>1.0000739501391187</v>
      </c>
      <c r="AS335" s="90">
        <f t="shared" si="592"/>
        <v>1</v>
      </c>
      <c r="AT335" s="90">
        <f t="shared" si="592"/>
        <v>1.0000092430838625</v>
      </c>
      <c r="AU335" s="90">
        <f t="shared" si="592"/>
        <v>1.0000369719937148</v>
      </c>
      <c r="AV335" s="22"/>
      <c r="AW335" s="91">
        <f>$A$36</f>
        <v>20133</v>
      </c>
      <c r="AX335" s="105"/>
      <c r="AY335" s="90">
        <f>IFERROR(AZ322/AY322,"")</f>
        <v>1.0143984999213764</v>
      </c>
      <c r="AZ335" s="90">
        <f t="shared" ref="AZ335:BG335" si="593">IFERROR(BA322/AZ322,"")</f>
        <v>1.0023310773262515</v>
      </c>
      <c r="BA335" s="90">
        <f t="shared" si="593"/>
        <v>1.0007353391751945</v>
      </c>
      <c r="BB335" s="90">
        <f t="shared" si="593"/>
        <v>1.0002391012127096</v>
      </c>
      <c r="BC335" s="90">
        <f t="shared" si="593"/>
        <v>1.0000553882571064</v>
      </c>
      <c r="BD335" s="90">
        <f t="shared" si="593"/>
        <v>1.0000845352891108</v>
      </c>
      <c r="BE335" s="90">
        <f t="shared" si="593"/>
        <v>1.0000204033449827</v>
      </c>
      <c r="BF335" s="90">
        <f t="shared" si="593"/>
        <v>1.0000058294081984</v>
      </c>
      <c r="BG335" s="90">
        <f t="shared" si="593"/>
        <v>1.0000116587484333</v>
      </c>
      <c r="BH335" s="22"/>
      <c r="BI335" s="91">
        <f>$A$36</f>
        <v>20133</v>
      </c>
      <c r="BJ335" s="105"/>
      <c r="BK335" s="90">
        <f>IFERROR(BL322/BK322,"")</f>
        <v>1.0088929600103831</v>
      </c>
      <c r="BL335" s="90">
        <f t="shared" ref="BL335:BS335" si="594">IFERROR(BM322/BL322,"")</f>
        <v>1.0010885242332708</v>
      </c>
      <c r="BM335" s="90">
        <f t="shared" si="594"/>
        <v>1.0003113748186736</v>
      </c>
      <c r="BN335" s="90">
        <f t="shared" si="594"/>
        <v>1.0001309343524802</v>
      </c>
      <c r="BO335" s="90">
        <f t="shared" si="594"/>
        <v>1.0000222312244957</v>
      </c>
      <c r="BP335" s="90">
        <f t="shared" si="594"/>
        <v>1.0000222307302795</v>
      </c>
      <c r="BQ335" s="90">
        <f t="shared" si="594"/>
        <v>1</v>
      </c>
      <c r="BR335" s="90">
        <f t="shared" si="594"/>
        <v>1.0000049400524633</v>
      </c>
      <c r="BS335" s="90">
        <f t="shared" si="594"/>
        <v>1.0000024700140298</v>
      </c>
      <c r="BT335" s="22"/>
      <c r="BU335" s="91">
        <f>$A$36</f>
        <v>20133</v>
      </c>
      <c r="BV335" s="105"/>
      <c r="BW335" s="90">
        <f>IFERROR(BX322/BW322,"")</f>
        <v>1.0625</v>
      </c>
      <c r="BX335" s="90">
        <f t="shared" ref="BX335:CE335" si="595">IFERROR(BY322/BX322,"")</f>
        <v>1</v>
      </c>
      <c r="BY335" s="90">
        <f t="shared" si="595"/>
        <v>1</v>
      </c>
      <c r="BZ335" s="90">
        <f t="shared" si="595"/>
        <v>0.97058823529411764</v>
      </c>
      <c r="CA335" s="90">
        <f t="shared" si="595"/>
        <v>1</v>
      </c>
      <c r="CB335" s="90">
        <f t="shared" si="595"/>
        <v>1</v>
      </c>
      <c r="CC335" s="90">
        <f t="shared" si="595"/>
        <v>1</v>
      </c>
      <c r="CD335" s="90">
        <f t="shared" si="595"/>
        <v>1</v>
      </c>
      <c r="CE335" s="90">
        <f t="shared" si="595"/>
        <v>1</v>
      </c>
      <c r="CF335" s="22"/>
      <c r="CG335" s="91">
        <f>$A$36</f>
        <v>20133</v>
      </c>
      <c r="CH335" s="105"/>
      <c r="CI335" s="90" t="str">
        <f>IFERROR(CJ322/CI322,"")</f>
        <v/>
      </c>
      <c r="CJ335" s="90" t="str">
        <f t="shared" ref="CJ335:CQ335" si="596">IFERROR(CK322/CJ322,"")</f>
        <v/>
      </c>
      <c r="CK335" s="90" t="str">
        <f t="shared" si="596"/>
        <v/>
      </c>
      <c r="CL335" s="90" t="str">
        <f t="shared" si="596"/>
        <v/>
      </c>
      <c r="CM335" s="90" t="str">
        <f t="shared" si="596"/>
        <v/>
      </c>
      <c r="CN335" s="90" t="str">
        <f t="shared" si="596"/>
        <v/>
      </c>
      <c r="CO335" s="90" t="str">
        <f t="shared" si="596"/>
        <v/>
      </c>
      <c r="CP335" s="90" t="str">
        <f t="shared" si="596"/>
        <v/>
      </c>
      <c r="CQ335" s="90" t="str">
        <f t="shared" si="596"/>
        <v/>
      </c>
      <c r="CR335" s="22"/>
      <c r="CS335" s="91">
        <f>$A$36</f>
        <v>20133</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20133</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20143</v>
      </c>
      <c r="B336" s="105"/>
      <c r="C336" s="90">
        <f t="shared" ref="C336:J343" si="599">IFERROR(D323/C323,"")</f>
        <v>1.0344379766776171</v>
      </c>
      <c r="D336" s="90">
        <f t="shared" si="599"/>
        <v>1.0077926515815592</v>
      </c>
      <c r="E336" s="90">
        <f t="shared" si="599"/>
        <v>1.001359987616373</v>
      </c>
      <c r="F336" s="90">
        <f t="shared" si="599"/>
        <v>1.0002723642319513</v>
      </c>
      <c r="G336" s="90">
        <f t="shared" si="599"/>
        <v>1.0000662327196994</v>
      </c>
      <c r="H336" s="90">
        <f t="shared" si="599"/>
        <v>1.0000367935184538</v>
      </c>
      <c r="I336" s="90">
        <f t="shared" si="599"/>
        <v>1.0000036792164742</v>
      </c>
      <c r="J336" s="90">
        <f t="shared" si="599"/>
        <v>1.0000073584058748</v>
      </c>
      <c r="K336" s="22"/>
      <c r="L336" s="22"/>
      <c r="M336" s="91">
        <f>$A$37</f>
        <v>20143</v>
      </c>
      <c r="N336" s="105"/>
      <c r="O336" s="90">
        <f t="shared" ref="O336:V343" si="600">IFERROR(P323/O323,"")</f>
        <v>1.0635289952201512</v>
      </c>
      <c r="P336" s="90">
        <f t="shared" si="600"/>
        <v>1.0098209402420755</v>
      </c>
      <c r="Q336" s="90">
        <f t="shared" si="600"/>
        <v>1.0019074082795649</v>
      </c>
      <c r="R336" s="90">
        <f t="shared" si="600"/>
        <v>1.0005875854936894</v>
      </c>
      <c r="S336" s="90">
        <f t="shared" si="600"/>
        <v>1.0002114065583012</v>
      </c>
      <c r="T336" s="90">
        <f t="shared" si="600"/>
        <v>1.0000704539583383</v>
      </c>
      <c r="U336" s="90">
        <f t="shared" si="600"/>
        <v>1.0000469659966185</v>
      </c>
      <c r="V336" s="90">
        <f t="shared" si="600"/>
        <v>1.0001174094772931</v>
      </c>
      <c r="W336" s="22"/>
      <c r="X336" s="22"/>
      <c r="Y336" s="91">
        <f>$A$37</f>
        <v>20143</v>
      </c>
      <c r="Z336" s="105"/>
      <c r="AA336" s="90">
        <f t="shared" ref="AA336:AH343" si="601">IFERROR(AB323/AA323,"")</f>
        <v>1.1369705034375692</v>
      </c>
      <c r="AB336" s="90">
        <f t="shared" si="601"/>
        <v>1.036398392696914</v>
      </c>
      <c r="AC336" s="90">
        <f t="shared" si="601"/>
        <v>1.0070767145976061</v>
      </c>
      <c r="AD336" s="90">
        <f t="shared" si="601"/>
        <v>1.0020931449502879</v>
      </c>
      <c r="AE336" s="90">
        <f t="shared" si="601"/>
        <v>1.0007086907870197</v>
      </c>
      <c r="AF336" s="90">
        <f t="shared" si="601"/>
        <v>1.000410004100041</v>
      </c>
      <c r="AG336" s="90">
        <f t="shared" si="601"/>
        <v>1.000037257824143</v>
      </c>
      <c r="AH336" s="90">
        <f t="shared" si="601"/>
        <v>1.0003353079244439</v>
      </c>
      <c r="AI336" s="22"/>
      <c r="AJ336" s="22"/>
      <c r="AK336" s="91">
        <f>$A$37</f>
        <v>20143</v>
      </c>
      <c r="AL336" s="105"/>
      <c r="AM336" s="90">
        <f t="shared" ref="AM336:AT343" si="602">IFERROR(AN323/AM323,"")</f>
        <v>1.0195622662148041</v>
      </c>
      <c r="AN336" s="90">
        <f t="shared" si="602"/>
        <v>1.002404352740579</v>
      </c>
      <c r="AO336" s="90">
        <f t="shared" si="602"/>
        <v>1.0010320607769123</v>
      </c>
      <c r="AP336" s="90">
        <f t="shared" si="602"/>
        <v>1.0002959342453199</v>
      </c>
      <c r="AQ336" s="90">
        <f t="shared" si="602"/>
        <v>1.0001908688349366</v>
      </c>
      <c r="AR336" s="90">
        <f t="shared" si="602"/>
        <v>1.000114499446586</v>
      </c>
      <c r="AS336" s="90">
        <f t="shared" si="602"/>
        <v>1.0000667836971455</v>
      </c>
      <c r="AT336" s="90">
        <f t="shared" si="602"/>
        <v>1.0000095398910545</v>
      </c>
      <c r="AU336" s="22"/>
      <c r="AV336" s="22"/>
      <c r="AW336" s="91">
        <f>$A$37</f>
        <v>20143</v>
      </c>
      <c r="AX336" s="105"/>
      <c r="AY336" s="90">
        <f t="shared" ref="AY336:BF343" si="603">IFERROR(AZ323/AY323,"")</f>
        <v>1.0141712036136286</v>
      </c>
      <c r="AZ336" s="90">
        <f t="shared" si="603"/>
        <v>1.0022634206540642</v>
      </c>
      <c r="BA336" s="90">
        <f t="shared" si="603"/>
        <v>1.000593260892074</v>
      </c>
      <c r="BB336" s="90">
        <f t="shared" si="603"/>
        <v>1.0002265360402061</v>
      </c>
      <c r="BC336" s="90">
        <f t="shared" si="603"/>
        <v>1.0000922715579912</v>
      </c>
      <c r="BD336" s="90">
        <f t="shared" si="603"/>
        <v>1.000039141897767</v>
      </c>
      <c r="BE336" s="90">
        <f t="shared" si="603"/>
        <v>1.0000167744424595</v>
      </c>
      <c r="BF336" s="90">
        <f t="shared" si="603"/>
        <v>1.0000083870805412</v>
      </c>
      <c r="BG336" s="22"/>
      <c r="BH336" s="22"/>
      <c r="BI336" s="91">
        <f>$A$37</f>
        <v>20143</v>
      </c>
      <c r="BJ336" s="105"/>
      <c r="BK336" s="90">
        <f t="shared" ref="BK336:BR343" si="604">IFERROR(BL323/BK323,"")</f>
        <v>1.0084273042733316</v>
      </c>
      <c r="BL336" s="90">
        <f t="shared" si="604"/>
        <v>1.0010308884731396</v>
      </c>
      <c r="BM336" s="90">
        <f t="shared" si="604"/>
        <v>1.0002979823022351</v>
      </c>
      <c r="BN336" s="90">
        <f t="shared" si="604"/>
        <v>1.0000977090795566</v>
      </c>
      <c r="BO336" s="90">
        <f t="shared" si="604"/>
        <v>1.0000190633235952</v>
      </c>
      <c r="BP336" s="90">
        <f t="shared" si="604"/>
        <v>1.0000071486100719</v>
      </c>
      <c r="BQ336" s="90">
        <f t="shared" si="604"/>
        <v>1.0000119142649495</v>
      </c>
      <c r="BR336" s="90">
        <f t="shared" si="604"/>
        <v>1</v>
      </c>
      <c r="BS336" s="22"/>
      <c r="BT336" s="22"/>
      <c r="BU336" s="91">
        <f>$A$37</f>
        <v>20143</v>
      </c>
      <c r="BV336" s="105"/>
      <c r="BW336" s="90">
        <f t="shared" ref="BW336:CD343" si="605">IFERROR(BX323/BW323,"")</f>
        <v>1.1333333333333333</v>
      </c>
      <c r="BX336" s="90">
        <f t="shared" si="605"/>
        <v>1.0196078431372548</v>
      </c>
      <c r="BY336" s="90">
        <f t="shared" si="605"/>
        <v>1</v>
      </c>
      <c r="BZ336" s="90">
        <f t="shared" si="605"/>
        <v>1</v>
      </c>
      <c r="CA336" s="90">
        <f t="shared" si="605"/>
        <v>1</v>
      </c>
      <c r="CB336" s="90">
        <f t="shared" si="605"/>
        <v>1</v>
      </c>
      <c r="CC336" s="90">
        <f t="shared" si="605"/>
        <v>1</v>
      </c>
      <c r="CD336" s="90">
        <f t="shared" si="605"/>
        <v>1</v>
      </c>
      <c r="CE336" s="22"/>
      <c r="CF336" s="22"/>
      <c r="CG336" s="91">
        <f>$A$37</f>
        <v>20143</v>
      </c>
      <c r="CH336" s="105"/>
      <c r="CI336" s="90" t="str">
        <f t="shared" ref="CI336:CP343" si="606">IFERROR(CJ323/CI323,"")</f>
        <v/>
      </c>
      <c r="CJ336" s="90" t="str">
        <f t="shared" si="606"/>
        <v/>
      </c>
      <c r="CK336" s="90" t="str">
        <f t="shared" si="606"/>
        <v/>
      </c>
      <c r="CL336" s="90" t="str">
        <f t="shared" si="606"/>
        <v/>
      </c>
      <c r="CM336" s="90" t="str">
        <f t="shared" si="606"/>
        <v/>
      </c>
      <c r="CN336" s="90" t="str">
        <f t="shared" si="606"/>
        <v/>
      </c>
      <c r="CO336" s="90" t="str">
        <f t="shared" si="606"/>
        <v/>
      </c>
      <c r="CP336" s="90" t="str">
        <f t="shared" si="606"/>
        <v/>
      </c>
      <c r="CQ336" s="22"/>
      <c r="CR336" s="22"/>
      <c r="CS336" s="91">
        <f>$A$37</f>
        <v>20143</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20143</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20153</v>
      </c>
      <c r="B337" s="105"/>
      <c r="C337" s="90">
        <f t="shared" si="599"/>
        <v>1.0330905884193609</v>
      </c>
      <c r="D337" s="90">
        <f t="shared" si="599"/>
        <v>1.0072039761267184</v>
      </c>
      <c r="E337" s="90">
        <f t="shared" si="599"/>
        <v>1.0012541563150359</v>
      </c>
      <c r="F337" s="90">
        <f t="shared" si="599"/>
        <v>1.0003378908783116</v>
      </c>
      <c r="G337" s="90">
        <f t="shared" si="599"/>
        <v>1.0000682377265919</v>
      </c>
      <c r="H337" s="90">
        <f t="shared" si="599"/>
        <v>1.0000204699211568</v>
      </c>
      <c r="I337" s="90">
        <f t="shared" si="599"/>
        <v>1.0000409390042952</v>
      </c>
      <c r="J337" s="22"/>
      <c r="K337" s="22"/>
      <c r="L337" s="22"/>
      <c r="M337" s="91">
        <f>$A$38</f>
        <v>20153</v>
      </c>
      <c r="N337" s="105"/>
      <c r="O337" s="90">
        <f t="shared" si="600"/>
        <v>1.0644414201465988</v>
      </c>
      <c r="P337" s="90">
        <f t="shared" si="600"/>
        <v>1.0099367457718362</v>
      </c>
      <c r="Q337" s="90">
        <f t="shared" si="600"/>
        <v>1.0024208772903942</v>
      </c>
      <c r="R337" s="90">
        <f t="shared" si="600"/>
        <v>1.0007089998670626</v>
      </c>
      <c r="S337" s="90">
        <f t="shared" si="600"/>
        <v>1.0002435460301997</v>
      </c>
      <c r="T337" s="90">
        <f t="shared" si="600"/>
        <v>1.0000664054718109</v>
      </c>
      <c r="U337" s="90">
        <f t="shared" si="600"/>
        <v>1.0000442673749446</v>
      </c>
      <c r="V337" s="22"/>
      <c r="W337" s="22"/>
      <c r="X337" s="22"/>
      <c r="Y337" s="91">
        <f>$A$38</f>
        <v>20153</v>
      </c>
      <c r="Z337" s="105"/>
      <c r="AA337" s="90">
        <f t="shared" si="601"/>
        <v>1.1616727160398486</v>
      </c>
      <c r="AB337" s="90">
        <f t="shared" si="601"/>
        <v>1.0343360478643842</v>
      </c>
      <c r="AC337" s="90">
        <f t="shared" si="601"/>
        <v>1.0073269490327141</v>
      </c>
      <c r="AD337" s="90">
        <f t="shared" si="601"/>
        <v>1.0026478657563964</v>
      </c>
      <c r="AE337" s="90">
        <f t="shared" si="601"/>
        <v>1.000636354958796</v>
      </c>
      <c r="AF337" s="90">
        <f t="shared" si="601"/>
        <v>1.0003179751343445</v>
      </c>
      <c r="AG337" s="90">
        <f t="shared" si="601"/>
        <v>1.000158937029149</v>
      </c>
      <c r="AH337" s="22"/>
      <c r="AI337" s="22"/>
      <c r="AJ337" s="22"/>
      <c r="AK337" s="91">
        <f>$A$38</f>
        <v>20153</v>
      </c>
      <c r="AL337" s="105"/>
      <c r="AM337" s="90">
        <f t="shared" si="602"/>
        <v>1.0203742360842172</v>
      </c>
      <c r="AN337" s="90">
        <f t="shared" si="602"/>
        <v>1.0030455631051785</v>
      </c>
      <c r="AO337" s="90">
        <f t="shared" si="602"/>
        <v>1.0009874948087305</v>
      </c>
      <c r="AP337" s="90">
        <f t="shared" si="602"/>
        <v>1.0004794305839833</v>
      </c>
      <c r="AQ337" s="90">
        <f t="shared" si="602"/>
        <v>1.0002303850194445</v>
      </c>
      <c r="AR337" s="90">
        <f t="shared" si="602"/>
        <v>1.0000460663908826</v>
      </c>
      <c r="AS337" s="90">
        <f t="shared" si="602"/>
        <v>1.0000276385613207</v>
      </c>
      <c r="AT337" s="22"/>
      <c r="AU337" s="22"/>
      <c r="AV337" s="22"/>
      <c r="AW337" s="91">
        <f>$A$38</f>
        <v>20153</v>
      </c>
      <c r="AX337" s="105"/>
      <c r="AY337" s="90">
        <f t="shared" si="603"/>
        <v>1.0145587977390156</v>
      </c>
      <c r="AZ337" s="90">
        <f t="shared" si="603"/>
        <v>1.0023136390350795</v>
      </c>
      <c r="BA337" s="90">
        <f t="shared" si="603"/>
        <v>1.0006075866076238</v>
      </c>
      <c r="BB337" s="90">
        <f t="shared" si="603"/>
        <v>1.0002572057380743</v>
      </c>
      <c r="BC337" s="90">
        <f t="shared" si="603"/>
        <v>1.0000848295588598</v>
      </c>
      <c r="BD337" s="90">
        <f t="shared" si="603"/>
        <v>1.0000450618805647</v>
      </c>
      <c r="BE337" s="90">
        <f t="shared" si="603"/>
        <v>1.0000159034764999</v>
      </c>
      <c r="BF337" s="22"/>
      <c r="BG337" s="22"/>
      <c r="BH337" s="22"/>
      <c r="BI337" s="91">
        <f>$A$38</f>
        <v>20153</v>
      </c>
      <c r="BJ337" s="105"/>
      <c r="BK337" s="90">
        <f t="shared" si="604"/>
        <v>1.009293890464229</v>
      </c>
      <c r="BL337" s="90">
        <f t="shared" si="604"/>
        <v>1.0008874420361962</v>
      </c>
      <c r="BM337" s="90">
        <f t="shared" si="604"/>
        <v>1.000201911575898</v>
      </c>
      <c r="BN337" s="90">
        <f t="shared" si="604"/>
        <v>1.000081187175937</v>
      </c>
      <c r="BO337" s="90">
        <f t="shared" si="604"/>
        <v>1.0000087762794718</v>
      </c>
      <c r="BP337" s="90">
        <f t="shared" si="604"/>
        <v>1.0000175524048989</v>
      </c>
      <c r="BQ337" s="90">
        <f t="shared" si="604"/>
        <v>1.0000043880242044</v>
      </c>
      <c r="BR337" s="22"/>
      <c r="BS337" s="22"/>
      <c r="BT337" s="22"/>
      <c r="BU337" s="91">
        <f>$A$38</f>
        <v>20153</v>
      </c>
      <c r="BV337" s="105"/>
      <c r="BW337" s="90">
        <f t="shared" si="605"/>
        <v>1.0508474576271187</v>
      </c>
      <c r="BX337" s="90">
        <f t="shared" si="605"/>
        <v>1.0161290322580645</v>
      </c>
      <c r="BY337" s="90">
        <f t="shared" si="605"/>
        <v>1</v>
      </c>
      <c r="BZ337" s="90">
        <f t="shared" si="605"/>
        <v>1</v>
      </c>
      <c r="CA337" s="90">
        <f t="shared" si="605"/>
        <v>1</v>
      </c>
      <c r="CB337" s="90">
        <f t="shared" si="605"/>
        <v>1</v>
      </c>
      <c r="CC337" s="90">
        <f t="shared" si="605"/>
        <v>1</v>
      </c>
      <c r="CD337" s="22"/>
      <c r="CE337" s="22"/>
      <c r="CF337" s="22"/>
      <c r="CG337" s="91">
        <f>$A$38</f>
        <v>20153</v>
      </c>
      <c r="CH337" s="105"/>
      <c r="CI337" s="90" t="str">
        <f t="shared" si="606"/>
        <v/>
      </c>
      <c r="CJ337" s="90" t="str">
        <f t="shared" si="606"/>
        <v/>
      </c>
      <c r="CK337" s="90" t="str">
        <f t="shared" si="606"/>
        <v/>
      </c>
      <c r="CL337" s="90" t="str">
        <f t="shared" si="606"/>
        <v/>
      </c>
      <c r="CM337" s="90" t="str">
        <f t="shared" si="606"/>
        <v/>
      </c>
      <c r="CN337" s="90" t="str">
        <f t="shared" si="606"/>
        <v/>
      </c>
      <c r="CO337" s="90" t="str">
        <f t="shared" si="606"/>
        <v/>
      </c>
      <c r="CP337" s="22"/>
      <c r="CQ337" s="22"/>
      <c r="CR337" s="22"/>
      <c r="CS337" s="91">
        <f>$A$38</f>
        <v>20153</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20153</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20163</v>
      </c>
      <c r="B338" s="105"/>
      <c r="C338" s="90">
        <f t="shared" si="599"/>
        <v>1.0325819651562349</v>
      </c>
      <c r="D338" s="90">
        <f t="shared" si="599"/>
        <v>1.0073165594672975</v>
      </c>
      <c r="E338" s="90">
        <f t="shared" si="599"/>
        <v>1.001309216303764</v>
      </c>
      <c r="F338" s="90">
        <f t="shared" si="599"/>
        <v>1.0002473657157542</v>
      </c>
      <c r="G338" s="90">
        <f t="shared" si="599"/>
        <v>1.0000738701875982</v>
      </c>
      <c r="H338" s="90">
        <f t="shared" si="599"/>
        <v>1.0000706532211445</v>
      </c>
      <c r="I338" s="22"/>
      <c r="J338" s="22"/>
      <c r="K338" s="22"/>
      <c r="L338" s="22"/>
      <c r="M338" s="91">
        <f>$A$39</f>
        <v>20163</v>
      </c>
      <c r="N338" s="105"/>
      <c r="O338" s="90">
        <f t="shared" si="600"/>
        <v>1.072179499659301</v>
      </c>
      <c r="P338" s="90">
        <f t="shared" si="600"/>
        <v>1.0124381497117436</v>
      </c>
      <c r="Q338" s="90">
        <f t="shared" si="600"/>
        <v>1.0020400842935928</v>
      </c>
      <c r="R338" s="90">
        <f t="shared" si="600"/>
        <v>1.0007383045842002</v>
      </c>
      <c r="S338" s="90">
        <f t="shared" si="600"/>
        <v>1.0003577017661525</v>
      </c>
      <c r="T338" s="90">
        <f t="shared" si="600"/>
        <v>1.0000670450990032</v>
      </c>
      <c r="U338" s="22"/>
      <c r="V338" s="22"/>
      <c r="W338" s="22"/>
      <c r="X338" s="22"/>
      <c r="Y338" s="91">
        <f>$A$39</f>
        <v>20163</v>
      </c>
      <c r="Z338" s="105"/>
      <c r="AA338" s="90">
        <f t="shared" si="601"/>
        <v>1.1622888682005585</v>
      </c>
      <c r="AB338" s="90">
        <f t="shared" si="601"/>
        <v>1.0330119861544182</v>
      </c>
      <c r="AC338" s="90">
        <f t="shared" si="601"/>
        <v>1.0072830993326134</v>
      </c>
      <c r="AD338" s="90">
        <f t="shared" si="601"/>
        <v>1.0020069280255128</v>
      </c>
      <c r="AE338" s="90">
        <f t="shared" si="601"/>
        <v>1.0006310533102862</v>
      </c>
      <c r="AF338" s="90">
        <f t="shared" si="601"/>
        <v>1.0001919385796545</v>
      </c>
      <c r="AG338" s="22"/>
      <c r="AH338" s="22"/>
      <c r="AI338" s="22"/>
      <c r="AJ338" s="22"/>
      <c r="AK338" s="91">
        <f>$A$39</f>
        <v>20163</v>
      </c>
      <c r="AL338" s="105"/>
      <c r="AM338" s="90">
        <f t="shared" si="602"/>
        <v>1.0215035526832577</v>
      </c>
      <c r="AN338" s="90">
        <f t="shared" si="602"/>
        <v>1.0026564834799934</v>
      </c>
      <c r="AO338" s="90">
        <f t="shared" si="602"/>
        <v>1.0010894100626628</v>
      </c>
      <c r="AP338" s="90">
        <f t="shared" si="602"/>
        <v>1.0004352898159594</v>
      </c>
      <c r="AQ338" s="90">
        <f t="shared" si="602"/>
        <v>1.0002523582442828</v>
      </c>
      <c r="AR338" s="90">
        <f t="shared" si="602"/>
        <v>1.0001130975684023</v>
      </c>
      <c r="AS338" s="22"/>
      <c r="AT338" s="22"/>
      <c r="AU338" s="22"/>
      <c r="AV338" s="22"/>
      <c r="AW338" s="91">
        <f>$A$39</f>
        <v>20163</v>
      </c>
      <c r="AX338" s="105"/>
      <c r="AY338" s="90">
        <f t="shared" si="603"/>
        <v>1.014994643886485</v>
      </c>
      <c r="AZ338" s="90">
        <f t="shared" si="603"/>
        <v>1.0024032836752204</v>
      </c>
      <c r="BA338" s="90">
        <f t="shared" si="603"/>
        <v>1.0007319006560358</v>
      </c>
      <c r="BB338" s="90">
        <f t="shared" si="603"/>
        <v>1.000272135951346</v>
      </c>
      <c r="BC338" s="90">
        <f t="shared" si="603"/>
        <v>1.0001457474536706</v>
      </c>
      <c r="BD338" s="90">
        <f t="shared" si="603"/>
        <v>1.0000437178643338</v>
      </c>
      <c r="BE338" s="22"/>
      <c r="BF338" s="22"/>
      <c r="BG338" s="22"/>
      <c r="BH338" s="22"/>
      <c r="BI338" s="91">
        <f>$A$39</f>
        <v>20163</v>
      </c>
      <c r="BJ338" s="105"/>
      <c r="BK338" s="90">
        <f t="shared" si="604"/>
        <v>1.0089814609954539</v>
      </c>
      <c r="BL338" s="90">
        <f t="shared" si="604"/>
        <v>1.00098882708145</v>
      </c>
      <c r="BM338" s="90">
        <f t="shared" si="604"/>
        <v>1.0003141281188066</v>
      </c>
      <c r="BN338" s="90">
        <f t="shared" si="604"/>
        <v>1.0000847053184609</v>
      </c>
      <c r="BO338" s="90">
        <f t="shared" si="604"/>
        <v>1.0000227238923136</v>
      </c>
      <c r="BP338" s="90">
        <f t="shared" si="604"/>
        <v>1.0000082630458</v>
      </c>
      <c r="BQ338" s="22"/>
      <c r="BR338" s="22"/>
      <c r="BS338" s="22"/>
      <c r="BT338" s="22"/>
      <c r="BU338" s="91">
        <f>$A$39</f>
        <v>20163</v>
      </c>
      <c r="BV338" s="105"/>
      <c r="BW338" s="90">
        <f t="shared" si="605"/>
        <v>1.15625</v>
      </c>
      <c r="BX338" s="90">
        <f t="shared" si="605"/>
        <v>1</v>
      </c>
      <c r="BY338" s="90">
        <f t="shared" si="605"/>
        <v>1</v>
      </c>
      <c r="BZ338" s="90">
        <f t="shared" si="605"/>
        <v>1</v>
      </c>
      <c r="CA338" s="90">
        <f t="shared" si="605"/>
        <v>1</v>
      </c>
      <c r="CB338" s="90">
        <f t="shared" si="605"/>
        <v>1</v>
      </c>
      <c r="CC338" s="22"/>
      <c r="CD338" s="22"/>
      <c r="CE338" s="22"/>
      <c r="CF338" s="22"/>
      <c r="CG338" s="91">
        <f>$A$39</f>
        <v>20163</v>
      </c>
      <c r="CH338" s="105"/>
      <c r="CI338" s="90" t="str">
        <f t="shared" si="606"/>
        <v/>
      </c>
      <c r="CJ338" s="90" t="str">
        <f t="shared" si="606"/>
        <v/>
      </c>
      <c r="CK338" s="90" t="str">
        <f t="shared" si="606"/>
        <v/>
      </c>
      <c r="CL338" s="90" t="str">
        <f t="shared" si="606"/>
        <v/>
      </c>
      <c r="CM338" s="90" t="str">
        <f t="shared" si="606"/>
        <v/>
      </c>
      <c r="CN338" s="90" t="str">
        <f t="shared" si="606"/>
        <v/>
      </c>
      <c r="CO338" s="22"/>
      <c r="CP338" s="22"/>
      <c r="CQ338" s="22"/>
      <c r="CR338" s="22"/>
      <c r="CS338" s="91">
        <f>$A$39</f>
        <v>20163</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20163</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20173</v>
      </c>
      <c r="B339" s="105"/>
      <c r="C339" s="90">
        <f t="shared" si="599"/>
        <v>1.0361459818002412</v>
      </c>
      <c r="D339" s="90">
        <f t="shared" si="599"/>
        <v>1.0084186996977733</v>
      </c>
      <c r="E339" s="90">
        <f t="shared" si="599"/>
        <v>1.0013640775425618</v>
      </c>
      <c r="F339" s="90">
        <f t="shared" si="599"/>
        <v>1.0002717889607837</v>
      </c>
      <c r="G339" s="90">
        <f t="shared" si="599"/>
        <v>1.0001243996896556</v>
      </c>
      <c r="H339" s="22"/>
      <c r="I339" s="22"/>
      <c r="J339" s="22"/>
      <c r="K339" s="22"/>
      <c r="L339" s="22"/>
      <c r="M339" s="91">
        <f>$A$40</f>
        <v>20173</v>
      </c>
      <c r="N339" s="105"/>
      <c r="O339" s="90">
        <f t="shared" si="600"/>
        <v>1.0786701608344895</v>
      </c>
      <c r="P339" s="90">
        <f t="shared" si="600"/>
        <v>1.0122189405487805</v>
      </c>
      <c r="Q339" s="90">
        <f t="shared" si="600"/>
        <v>1.0023766383509425</v>
      </c>
      <c r="R339" s="90">
        <f t="shared" si="600"/>
        <v>1.0008216348185361</v>
      </c>
      <c r="S339" s="90">
        <f t="shared" si="600"/>
        <v>1.0003283841155912</v>
      </c>
      <c r="T339" s="22"/>
      <c r="U339" s="22"/>
      <c r="V339" s="22"/>
      <c r="W339" s="22"/>
      <c r="X339" s="22"/>
      <c r="Y339" s="91">
        <f>$A$40</f>
        <v>20173</v>
      </c>
      <c r="Z339" s="105"/>
      <c r="AA339" s="90">
        <f t="shared" si="601"/>
        <v>1.1769634857713751</v>
      </c>
      <c r="AB339" s="90">
        <f t="shared" si="601"/>
        <v>1.0291621029572837</v>
      </c>
      <c r="AC339" s="90">
        <f t="shared" si="601"/>
        <v>1.0059864307569508</v>
      </c>
      <c r="AD339" s="90">
        <f t="shared" si="601"/>
        <v>1.0019571541920127</v>
      </c>
      <c r="AE339" s="90">
        <f t="shared" si="601"/>
        <v>1.0011878365536901</v>
      </c>
      <c r="AF339" s="22"/>
      <c r="AG339" s="22"/>
      <c r="AH339" s="22"/>
      <c r="AI339" s="22"/>
      <c r="AJ339" s="22"/>
      <c r="AK339" s="91">
        <f>$A$40</f>
        <v>20173</v>
      </c>
      <c r="AL339" s="105"/>
      <c r="AM339" s="90">
        <f t="shared" si="602"/>
        <v>1.020498663303109</v>
      </c>
      <c r="AN339" s="90">
        <f t="shared" si="602"/>
        <v>1.0029695042793512</v>
      </c>
      <c r="AO339" s="90">
        <f t="shared" si="602"/>
        <v>1.0011548328592577</v>
      </c>
      <c r="AP339" s="90">
        <f t="shared" si="602"/>
        <v>1.0005109466447837</v>
      </c>
      <c r="AQ339" s="90">
        <f t="shared" si="602"/>
        <v>1.0001779662328418</v>
      </c>
      <c r="AR339" s="22"/>
      <c r="AS339" s="22"/>
      <c r="AT339" s="22"/>
      <c r="AU339" s="22"/>
      <c r="AV339" s="22"/>
      <c r="AW339" s="91">
        <f>$A$40</f>
        <v>20173</v>
      </c>
      <c r="AX339" s="105"/>
      <c r="AY339" s="90">
        <f t="shared" si="603"/>
        <v>1.0150405684995798</v>
      </c>
      <c r="AZ339" s="90">
        <f t="shared" si="603"/>
        <v>1.0025079462679773</v>
      </c>
      <c r="BA339" s="90">
        <f t="shared" si="603"/>
        <v>1.000948993415</v>
      </c>
      <c r="BB339" s="90">
        <f t="shared" si="603"/>
        <v>1.0004221791197445</v>
      </c>
      <c r="BC339" s="90">
        <f t="shared" si="603"/>
        <v>1.0000747544557274</v>
      </c>
      <c r="BD339" s="22"/>
      <c r="BE339" s="22"/>
      <c r="BF339" s="22"/>
      <c r="BG339" s="22"/>
      <c r="BH339" s="22"/>
      <c r="BI339" s="91">
        <f>$A$40</f>
        <v>20173</v>
      </c>
      <c r="BJ339" s="105"/>
      <c r="BK339" s="90">
        <f t="shared" si="604"/>
        <v>1.0086532038850626</v>
      </c>
      <c r="BL339" s="90">
        <f t="shared" si="604"/>
        <v>1.0010703703481405</v>
      </c>
      <c r="BM339" s="90">
        <f t="shared" si="604"/>
        <v>1.0002638090022824</v>
      </c>
      <c r="BN339" s="90">
        <f t="shared" si="604"/>
        <v>1.0000959052456173</v>
      </c>
      <c r="BO339" s="90">
        <f t="shared" si="604"/>
        <v>1.0000159826747805</v>
      </c>
      <c r="BP339" s="22"/>
      <c r="BQ339" s="22"/>
      <c r="BR339" s="22"/>
      <c r="BS339" s="22"/>
      <c r="BT339" s="22"/>
      <c r="BU339" s="91">
        <f>$A$40</f>
        <v>20173</v>
      </c>
      <c r="BV339" s="105"/>
      <c r="BW339" s="90">
        <f t="shared" si="605"/>
        <v>1.0444444444444445</v>
      </c>
      <c r="BX339" s="90">
        <f t="shared" si="605"/>
        <v>1.0212765957446808</v>
      </c>
      <c r="BY339" s="90">
        <f t="shared" si="605"/>
        <v>1</v>
      </c>
      <c r="BZ339" s="90">
        <f t="shared" si="605"/>
        <v>1</v>
      </c>
      <c r="CA339" s="90">
        <f t="shared" si="605"/>
        <v>1</v>
      </c>
      <c r="CB339" s="22"/>
      <c r="CC339" s="22"/>
      <c r="CD339" s="22"/>
      <c r="CE339" s="22"/>
      <c r="CF339" s="22"/>
      <c r="CG339" s="91">
        <f>$A$40</f>
        <v>20173</v>
      </c>
      <c r="CH339" s="105"/>
      <c r="CI339" s="90" t="str">
        <f t="shared" si="606"/>
        <v/>
      </c>
      <c r="CJ339" s="90" t="str">
        <f t="shared" si="606"/>
        <v/>
      </c>
      <c r="CK339" s="90" t="str">
        <f t="shared" si="606"/>
        <v/>
      </c>
      <c r="CL339" s="90" t="str">
        <f t="shared" si="606"/>
        <v/>
      </c>
      <c r="CM339" s="90" t="str">
        <f t="shared" si="606"/>
        <v/>
      </c>
      <c r="CN339" s="22"/>
      <c r="CO339" s="22"/>
      <c r="CP339" s="22"/>
      <c r="CQ339" s="22"/>
      <c r="CR339" s="22"/>
      <c r="CS339" s="91">
        <f>$A$40</f>
        <v>20173</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20173</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20183</v>
      </c>
      <c r="B340" s="105"/>
      <c r="C340" s="90">
        <f t="shared" si="599"/>
        <v>1.0421489861006428</v>
      </c>
      <c r="D340" s="90">
        <f t="shared" si="599"/>
        <v>1.0074313163820574</v>
      </c>
      <c r="E340" s="90">
        <f t="shared" si="599"/>
        <v>1.0012853228668344</v>
      </c>
      <c r="F340" s="90">
        <f t="shared" si="599"/>
        <v>1.0003631855126551</v>
      </c>
      <c r="G340" s="22"/>
      <c r="H340" s="22"/>
      <c r="I340" s="22"/>
      <c r="J340" s="22"/>
      <c r="K340" s="22"/>
      <c r="L340" s="22"/>
      <c r="M340" s="91">
        <f>$A$41</f>
        <v>20183</v>
      </c>
      <c r="N340" s="105"/>
      <c r="O340" s="90">
        <f t="shared" si="600"/>
        <v>1.0787797519275897</v>
      </c>
      <c r="P340" s="90">
        <f t="shared" si="600"/>
        <v>1.0123523927905531</v>
      </c>
      <c r="Q340" s="90">
        <f t="shared" si="600"/>
        <v>1.0025324226843682</v>
      </c>
      <c r="R340" s="90">
        <f t="shared" si="600"/>
        <v>1.0011481935088793</v>
      </c>
      <c r="S340" s="22"/>
      <c r="T340" s="22"/>
      <c r="U340" s="22"/>
      <c r="V340" s="22"/>
      <c r="W340" s="22"/>
      <c r="X340" s="22"/>
      <c r="Y340" s="91">
        <f>$A$41</f>
        <v>20183</v>
      </c>
      <c r="Z340" s="105"/>
      <c r="AA340" s="90">
        <f t="shared" si="601"/>
        <v>1.1414363254164968</v>
      </c>
      <c r="AB340" s="90">
        <f t="shared" si="601"/>
        <v>1.0291910612682444</v>
      </c>
      <c r="AC340" s="90">
        <f t="shared" si="601"/>
        <v>1.0059824266217985</v>
      </c>
      <c r="AD340" s="90">
        <f t="shared" si="601"/>
        <v>1.0019645843842089</v>
      </c>
      <c r="AE340" s="22"/>
      <c r="AF340" s="22"/>
      <c r="AG340" s="22"/>
      <c r="AH340" s="22"/>
      <c r="AI340" s="22"/>
      <c r="AJ340" s="22"/>
      <c r="AK340" s="91">
        <f>$A$41</f>
        <v>20183</v>
      </c>
      <c r="AL340" s="105"/>
      <c r="AM340" s="90">
        <f t="shared" si="602"/>
        <v>1.0276422339935114</v>
      </c>
      <c r="AN340" s="90">
        <f t="shared" si="602"/>
        <v>1.0036479978332078</v>
      </c>
      <c r="AO340" s="90">
        <f t="shared" si="602"/>
        <v>1.0012481235979693</v>
      </c>
      <c r="AP340" s="90">
        <f t="shared" si="602"/>
        <v>1.0003537557064164</v>
      </c>
      <c r="AQ340" s="22"/>
      <c r="AR340" s="22"/>
      <c r="AS340" s="22"/>
      <c r="AT340" s="22"/>
      <c r="AU340" s="22"/>
      <c r="AV340" s="22"/>
      <c r="AW340" s="91">
        <f>$A$41</f>
        <v>20183</v>
      </c>
      <c r="AX340" s="105"/>
      <c r="AY340" s="90">
        <f t="shared" si="603"/>
        <v>1.0151079950852535</v>
      </c>
      <c r="AZ340" s="90">
        <f t="shared" si="603"/>
        <v>1.0031826084648361</v>
      </c>
      <c r="BA340" s="90">
        <f t="shared" si="603"/>
        <v>1.0012039139108946</v>
      </c>
      <c r="BB340" s="90">
        <f t="shared" si="603"/>
        <v>1.0002642782956164</v>
      </c>
      <c r="BC340" s="22"/>
      <c r="BD340" s="22"/>
      <c r="BE340" s="22"/>
      <c r="BF340" s="22"/>
      <c r="BG340" s="22"/>
      <c r="BH340" s="22"/>
      <c r="BI340" s="91">
        <f>$A$41</f>
        <v>20183</v>
      </c>
      <c r="BJ340" s="105"/>
      <c r="BK340" s="90">
        <f t="shared" si="604"/>
        <v>1.0080630615585022</v>
      </c>
      <c r="BL340" s="90">
        <f t="shared" si="604"/>
        <v>1.0010072762455102</v>
      </c>
      <c r="BM340" s="90">
        <f t="shared" si="604"/>
        <v>1.000353074617907</v>
      </c>
      <c r="BN340" s="90">
        <f t="shared" si="604"/>
        <v>1.0000970612500606</v>
      </c>
      <c r="BO340" s="22"/>
      <c r="BP340" s="22"/>
      <c r="BQ340" s="22"/>
      <c r="BR340" s="22"/>
      <c r="BS340" s="22"/>
      <c r="BT340" s="22"/>
      <c r="BU340" s="91">
        <f>$A$41</f>
        <v>20183</v>
      </c>
      <c r="BV340" s="105"/>
      <c r="BW340" s="90">
        <f t="shared" si="605"/>
        <v>1.0425531914893618</v>
      </c>
      <c r="BX340" s="90">
        <f t="shared" si="605"/>
        <v>1.0408163265306123</v>
      </c>
      <c r="BY340" s="90">
        <f t="shared" si="605"/>
        <v>1</v>
      </c>
      <c r="BZ340" s="90">
        <f t="shared" si="605"/>
        <v>1</v>
      </c>
      <c r="CA340" s="22"/>
      <c r="CB340" s="22"/>
      <c r="CC340" s="22"/>
      <c r="CD340" s="22"/>
      <c r="CE340" s="22"/>
      <c r="CF340" s="22"/>
      <c r="CG340" s="91">
        <f>$A$41</f>
        <v>20183</v>
      </c>
      <c r="CH340" s="105"/>
      <c r="CI340" s="90" t="str">
        <f t="shared" si="606"/>
        <v/>
      </c>
      <c r="CJ340" s="90" t="str">
        <f t="shared" si="606"/>
        <v/>
      </c>
      <c r="CK340" s="90" t="str">
        <f t="shared" si="606"/>
        <v/>
      </c>
      <c r="CL340" s="90" t="str">
        <f t="shared" si="606"/>
        <v/>
      </c>
      <c r="CM340" s="22"/>
      <c r="CN340" s="22"/>
      <c r="CO340" s="22"/>
      <c r="CP340" s="22"/>
      <c r="CQ340" s="22"/>
      <c r="CR340" s="22"/>
      <c r="CS340" s="91">
        <f>$A$41</f>
        <v>20183</v>
      </c>
      <c r="CT340" s="105"/>
      <c r="CU340" s="90" t="str">
        <f t="shared" si="607"/>
        <v/>
      </c>
      <c r="CV340" s="90" t="str">
        <f t="shared" si="607"/>
        <v/>
      </c>
      <c r="CW340" s="90" t="str">
        <f t="shared" si="607"/>
        <v/>
      </c>
      <c r="CX340" s="90" t="str">
        <f t="shared" si="607"/>
        <v/>
      </c>
      <c r="CY340" s="22"/>
      <c r="CZ340" s="22"/>
      <c r="DA340" s="22"/>
      <c r="DB340" s="22"/>
      <c r="DC340" s="22"/>
      <c r="DD340" s="22"/>
      <c r="DE340" s="91">
        <f>$A$41</f>
        <v>20183</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20193</v>
      </c>
      <c r="B341" s="105"/>
      <c r="C341" s="90">
        <f t="shared" si="599"/>
        <v>1.0344260616994869</v>
      </c>
      <c r="D341" s="90">
        <f t="shared" si="599"/>
        <v>1.0072300184925196</v>
      </c>
      <c r="E341" s="90">
        <f t="shared" si="599"/>
        <v>1.0014706243552587</v>
      </c>
      <c r="F341" s="22"/>
      <c r="G341" s="22"/>
      <c r="H341" s="22"/>
      <c r="I341" s="22"/>
      <c r="J341" s="22"/>
      <c r="K341" s="22"/>
      <c r="L341" s="22"/>
      <c r="M341" s="91">
        <f>$A$42</f>
        <v>20193</v>
      </c>
      <c r="N341" s="105"/>
      <c r="O341" s="90">
        <f t="shared" si="600"/>
        <v>1.0872749281283098</v>
      </c>
      <c r="P341" s="90">
        <f t="shared" si="600"/>
        <v>1.0145564864037406</v>
      </c>
      <c r="Q341" s="90">
        <f t="shared" si="600"/>
        <v>1.0030725337430044</v>
      </c>
      <c r="R341" s="22"/>
      <c r="S341" s="22"/>
      <c r="T341" s="22"/>
      <c r="U341" s="22"/>
      <c r="V341" s="22"/>
      <c r="W341" s="22"/>
      <c r="X341" s="22"/>
      <c r="Y341" s="91">
        <f>$A$42</f>
        <v>20193</v>
      </c>
      <c r="Z341" s="105"/>
      <c r="AA341" s="90">
        <f t="shared" si="601"/>
        <v>1.1727010339410324</v>
      </c>
      <c r="AB341" s="90">
        <f t="shared" si="601"/>
        <v>1.0373231977070223</v>
      </c>
      <c r="AC341" s="90">
        <f t="shared" si="601"/>
        <v>1.0072080730418069</v>
      </c>
      <c r="AD341" s="22"/>
      <c r="AE341" s="22"/>
      <c r="AF341" s="22"/>
      <c r="AG341" s="22"/>
      <c r="AH341" s="22"/>
      <c r="AI341" s="22"/>
      <c r="AJ341" s="22"/>
      <c r="AK341" s="91">
        <f>$A$42</f>
        <v>20193</v>
      </c>
      <c r="AL341" s="105"/>
      <c r="AM341" s="90">
        <f t="shared" si="602"/>
        <v>1.0237846645945865</v>
      </c>
      <c r="AN341" s="90">
        <f t="shared" si="602"/>
        <v>1.0032952910938715</v>
      </c>
      <c r="AO341" s="90">
        <f t="shared" si="602"/>
        <v>1.0009459737360087</v>
      </c>
      <c r="AP341" s="22"/>
      <c r="AQ341" s="22"/>
      <c r="AR341" s="22"/>
      <c r="AS341" s="22"/>
      <c r="AT341" s="22"/>
      <c r="AU341" s="22"/>
      <c r="AV341" s="22"/>
      <c r="AW341" s="91">
        <f>$A$42</f>
        <v>20193</v>
      </c>
      <c r="AX341" s="105"/>
      <c r="AY341" s="90">
        <f t="shared" si="603"/>
        <v>1.0162980507088331</v>
      </c>
      <c r="AZ341" s="90">
        <f t="shared" si="603"/>
        <v>1.003344818046928</v>
      </c>
      <c r="BA341" s="90">
        <f t="shared" si="603"/>
        <v>1.0008744959115923</v>
      </c>
      <c r="BB341" s="22"/>
      <c r="BC341" s="22"/>
      <c r="BD341" s="22"/>
      <c r="BE341" s="22"/>
      <c r="BF341" s="22"/>
      <c r="BG341" s="22"/>
      <c r="BH341" s="22"/>
      <c r="BI341" s="91">
        <f>$A$42</f>
        <v>20193</v>
      </c>
      <c r="BJ341" s="105"/>
      <c r="BK341" s="90">
        <f t="shared" si="604"/>
        <v>1.0084068551455874</v>
      </c>
      <c r="BL341" s="90">
        <f t="shared" si="604"/>
        <v>1.0010528694185692</v>
      </c>
      <c r="BM341" s="90">
        <f t="shared" si="604"/>
        <v>1.0003513629858873</v>
      </c>
      <c r="BN341" s="22"/>
      <c r="BO341" s="22"/>
      <c r="BP341" s="22"/>
      <c r="BQ341" s="22"/>
      <c r="BR341" s="22"/>
      <c r="BS341" s="22"/>
      <c r="BT341" s="22"/>
      <c r="BU341" s="91">
        <f>$A$42</f>
        <v>20193</v>
      </c>
      <c r="BV341" s="105"/>
      <c r="BW341" s="90">
        <f t="shared" si="605"/>
        <v>1.0384615384615385</v>
      </c>
      <c r="BX341" s="90">
        <f t="shared" si="605"/>
        <v>1.0185185185185186</v>
      </c>
      <c r="BY341" s="90">
        <f t="shared" si="605"/>
        <v>1</v>
      </c>
      <c r="BZ341" s="22"/>
      <c r="CA341" s="22"/>
      <c r="CB341" s="22"/>
      <c r="CC341" s="22"/>
      <c r="CD341" s="22"/>
      <c r="CE341" s="22"/>
      <c r="CF341" s="22"/>
      <c r="CG341" s="91">
        <f>$A$42</f>
        <v>20193</v>
      </c>
      <c r="CH341" s="105"/>
      <c r="CI341" s="90" t="str">
        <f t="shared" si="606"/>
        <v/>
      </c>
      <c r="CJ341" s="90" t="str">
        <f t="shared" si="606"/>
        <v/>
      </c>
      <c r="CK341" s="90" t="str">
        <f t="shared" si="606"/>
        <v/>
      </c>
      <c r="CL341" s="22"/>
      <c r="CM341" s="22"/>
      <c r="CN341" s="22"/>
      <c r="CO341" s="22"/>
      <c r="CP341" s="22"/>
      <c r="CQ341" s="22"/>
      <c r="CR341" s="22"/>
      <c r="CS341" s="91">
        <f>$A$42</f>
        <v>20193</v>
      </c>
      <c r="CT341" s="105"/>
      <c r="CU341" s="90" t="str">
        <f t="shared" si="607"/>
        <v/>
      </c>
      <c r="CV341" s="90" t="str">
        <f t="shared" si="607"/>
        <v/>
      </c>
      <c r="CW341" s="90" t="str">
        <f t="shared" si="607"/>
        <v/>
      </c>
      <c r="CX341" s="22"/>
      <c r="CY341" s="22"/>
      <c r="CZ341" s="22"/>
      <c r="DA341" s="22"/>
      <c r="DB341" s="22"/>
      <c r="DC341" s="22"/>
      <c r="DD341" s="22"/>
      <c r="DE341" s="91">
        <f>$A$42</f>
        <v>20193</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20203</v>
      </c>
      <c r="B342" s="105"/>
      <c r="C342" s="90">
        <f t="shared" si="599"/>
        <v>1.0257482461119802</v>
      </c>
      <c r="D342" s="90">
        <f t="shared" si="599"/>
        <v>1.0066071013666222</v>
      </c>
      <c r="E342" s="22"/>
      <c r="F342" s="22"/>
      <c r="G342" s="22"/>
      <c r="H342" s="22"/>
      <c r="I342" s="22"/>
      <c r="J342" s="22"/>
      <c r="K342" s="22"/>
      <c r="L342" s="22"/>
      <c r="M342" s="91">
        <f>$A$43</f>
        <v>20203</v>
      </c>
      <c r="N342" s="105"/>
      <c r="O342" s="90">
        <f t="shared" si="600"/>
        <v>1.0776268940962159</v>
      </c>
      <c r="P342" s="90">
        <f t="shared" si="600"/>
        <v>1.0150601252449192</v>
      </c>
      <c r="Q342" s="22"/>
      <c r="R342" s="22"/>
      <c r="S342" s="22"/>
      <c r="T342" s="22"/>
      <c r="U342" s="22"/>
      <c r="V342" s="22"/>
      <c r="W342" s="22"/>
      <c r="X342" s="22"/>
      <c r="Y342" s="91">
        <f>$A$43</f>
        <v>20203</v>
      </c>
      <c r="Z342" s="105"/>
      <c r="AA342" s="90">
        <f t="shared" si="601"/>
        <v>1.1734874656745504</v>
      </c>
      <c r="AB342" s="90">
        <f t="shared" si="601"/>
        <v>1.0339309303642197</v>
      </c>
      <c r="AC342" s="22"/>
      <c r="AD342" s="22"/>
      <c r="AE342" s="22"/>
      <c r="AF342" s="22"/>
      <c r="AG342" s="22"/>
      <c r="AH342" s="22"/>
      <c r="AI342" s="22"/>
      <c r="AJ342" s="22"/>
      <c r="AK342" s="91">
        <f>$A$43</f>
        <v>20203</v>
      </c>
      <c r="AL342" s="105"/>
      <c r="AM342" s="90">
        <f t="shared" si="602"/>
        <v>1.0218402567800158</v>
      </c>
      <c r="AN342" s="90">
        <f t="shared" si="602"/>
        <v>1.0029305988664556</v>
      </c>
      <c r="AO342" s="22"/>
      <c r="AP342" s="22"/>
      <c r="AQ342" s="22"/>
      <c r="AR342" s="22"/>
      <c r="AS342" s="22"/>
      <c r="AT342" s="22"/>
      <c r="AU342" s="22"/>
      <c r="AV342" s="22"/>
      <c r="AW342" s="91">
        <f>$A$43</f>
        <v>20203</v>
      </c>
      <c r="AX342" s="105"/>
      <c r="AY342" s="90">
        <f t="shared" si="603"/>
        <v>1.0162201588003432</v>
      </c>
      <c r="AZ342" s="90">
        <f t="shared" si="603"/>
        <v>1.0029750726103659</v>
      </c>
      <c r="BA342" s="22"/>
      <c r="BB342" s="22"/>
      <c r="BC342" s="22"/>
      <c r="BD342" s="22"/>
      <c r="BE342" s="22"/>
      <c r="BF342" s="22"/>
      <c r="BG342" s="22"/>
      <c r="BH342" s="22"/>
      <c r="BI342" s="91">
        <f>$A$43</f>
        <v>20203</v>
      </c>
      <c r="BJ342" s="105"/>
      <c r="BK342" s="90">
        <f t="shared" si="604"/>
        <v>1.0077285714285715</v>
      </c>
      <c r="BL342" s="90">
        <f t="shared" si="604"/>
        <v>1.0012134786861542</v>
      </c>
      <c r="BM342" s="22"/>
      <c r="BN342" s="22"/>
      <c r="BO342" s="22"/>
      <c r="BP342" s="22"/>
      <c r="BQ342" s="22"/>
      <c r="BR342" s="22"/>
      <c r="BS342" s="22"/>
      <c r="BT342" s="22"/>
      <c r="BU342" s="91">
        <f>$A$43</f>
        <v>20203</v>
      </c>
      <c r="BV342" s="105"/>
      <c r="BW342" s="90">
        <f t="shared" si="605"/>
        <v>1.037037037037037</v>
      </c>
      <c r="BX342" s="90">
        <f t="shared" si="605"/>
        <v>1</v>
      </c>
      <c r="BY342" s="22"/>
      <c r="BZ342" s="22"/>
      <c r="CA342" s="22"/>
      <c r="CB342" s="22"/>
      <c r="CC342" s="22"/>
      <c r="CD342" s="22"/>
      <c r="CE342" s="22"/>
      <c r="CF342" s="22"/>
      <c r="CG342" s="91">
        <f>$A$43</f>
        <v>20203</v>
      </c>
      <c r="CH342" s="105"/>
      <c r="CI342" s="90" t="str">
        <f t="shared" si="606"/>
        <v/>
      </c>
      <c r="CJ342" s="90" t="str">
        <f t="shared" si="606"/>
        <v/>
      </c>
      <c r="CK342" s="22"/>
      <c r="CL342" s="22"/>
      <c r="CM342" s="22"/>
      <c r="CN342" s="22"/>
      <c r="CO342" s="22"/>
      <c r="CP342" s="22"/>
      <c r="CQ342" s="22"/>
      <c r="CR342" s="22"/>
      <c r="CS342" s="91">
        <f>$A$43</f>
        <v>20203</v>
      </c>
      <c r="CT342" s="105"/>
      <c r="CU342" s="90" t="str">
        <f t="shared" si="607"/>
        <v/>
      </c>
      <c r="CV342" s="90" t="str">
        <f t="shared" si="607"/>
        <v/>
      </c>
      <c r="CW342" s="22"/>
      <c r="CX342" s="22"/>
      <c r="CY342" s="22"/>
      <c r="CZ342" s="22"/>
      <c r="DA342" s="22"/>
      <c r="DB342" s="22"/>
      <c r="DC342" s="22"/>
      <c r="DD342" s="22"/>
      <c r="DE342" s="91">
        <f>$A$43</f>
        <v>20203</v>
      </c>
      <c r="DF342" s="105"/>
      <c r="DG342" s="90" t="str">
        <f t="shared" si="608"/>
        <v/>
      </c>
      <c r="DH342" s="90" t="str">
        <f t="shared" si="608"/>
        <v/>
      </c>
      <c r="DI342" s="22"/>
      <c r="DJ342" s="22"/>
      <c r="DK342" s="22"/>
      <c r="DL342" s="22"/>
      <c r="DM342" s="22"/>
      <c r="DN342" s="22"/>
      <c r="DO342" s="22"/>
      <c r="DP342" s="22"/>
    </row>
    <row r="343" spans="1:120" x14ac:dyDescent="0.25">
      <c r="A343" s="91">
        <f>$A$44</f>
        <v>20213</v>
      </c>
      <c r="B343" s="105"/>
      <c r="C343" s="90">
        <f t="shared" si="599"/>
        <v>1.0417152261910056</v>
      </c>
      <c r="D343" s="22"/>
      <c r="E343" s="22"/>
      <c r="F343" s="22"/>
      <c r="G343" s="22"/>
      <c r="H343" s="22"/>
      <c r="I343" s="22"/>
      <c r="J343" s="22"/>
      <c r="K343" s="22"/>
      <c r="L343" s="22"/>
      <c r="M343" s="91">
        <f>$A$44</f>
        <v>20213</v>
      </c>
      <c r="N343" s="105"/>
      <c r="O343" s="90">
        <f t="shared" si="600"/>
        <v>1.094332445796881</v>
      </c>
      <c r="P343" s="22"/>
      <c r="Q343" s="22"/>
      <c r="R343" s="22"/>
      <c r="S343" s="22"/>
      <c r="T343" s="22"/>
      <c r="U343" s="22"/>
      <c r="V343" s="22"/>
      <c r="W343" s="22"/>
      <c r="X343" s="22"/>
      <c r="Y343" s="91">
        <f>$A$44</f>
        <v>20213</v>
      </c>
      <c r="Z343" s="105"/>
      <c r="AA343" s="90">
        <f t="shared" si="601"/>
        <v>1.2350770014000254</v>
      </c>
      <c r="AB343" s="22"/>
      <c r="AC343" s="22"/>
      <c r="AD343" s="22"/>
      <c r="AE343" s="22"/>
      <c r="AF343" s="22"/>
      <c r="AG343" s="22"/>
      <c r="AH343" s="22"/>
      <c r="AI343" s="22"/>
      <c r="AJ343" s="22"/>
      <c r="AK343" s="91">
        <f>$A$44</f>
        <v>20213</v>
      </c>
      <c r="AL343" s="105"/>
      <c r="AM343" s="90">
        <f t="shared" si="602"/>
        <v>1.0232088242667334</v>
      </c>
      <c r="AN343" s="22"/>
      <c r="AO343" s="22"/>
      <c r="AP343" s="22"/>
      <c r="AQ343" s="22"/>
      <c r="AR343" s="22"/>
      <c r="AS343" s="22"/>
      <c r="AT343" s="22"/>
      <c r="AU343" s="22"/>
      <c r="AV343" s="22"/>
      <c r="AW343" s="91">
        <f>$A$44</f>
        <v>20213</v>
      </c>
      <c r="AX343" s="105"/>
      <c r="AY343" s="90">
        <f t="shared" si="603"/>
        <v>1.0213999124732915</v>
      </c>
      <c r="AZ343" s="22"/>
      <c r="BA343" s="22"/>
      <c r="BB343" s="22"/>
      <c r="BC343" s="22"/>
      <c r="BD343" s="22"/>
      <c r="BE343" s="22"/>
      <c r="BF343" s="22"/>
      <c r="BG343" s="22"/>
      <c r="BH343" s="22"/>
      <c r="BI343" s="91">
        <f>$A$44</f>
        <v>20213</v>
      </c>
      <c r="BJ343" s="105"/>
      <c r="BK343" s="90">
        <f t="shared" si="604"/>
        <v>1.0105022920448283</v>
      </c>
      <c r="BL343" s="22"/>
      <c r="BM343" s="22"/>
      <c r="BN343" s="22"/>
      <c r="BO343" s="22"/>
      <c r="BP343" s="22"/>
      <c r="BQ343" s="22"/>
      <c r="BR343" s="22"/>
      <c r="BS343" s="22"/>
      <c r="BT343" s="22"/>
      <c r="BU343" s="91">
        <f>$A$44</f>
        <v>20213</v>
      </c>
      <c r="BV343" s="105"/>
      <c r="BW343" s="90">
        <f t="shared" si="605"/>
        <v>1.0833333333333333</v>
      </c>
      <c r="BX343" s="22"/>
      <c r="BY343" s="22"/>
      <c r="BZ343" s="22"/>
      <c r="CA343" s="22"/>
      <c r="CB343" s="22"/>
      <c r="CC343" s="22"/>
      <c r="CD343" s="22"/>
      <c r="CE343" s="22"/>
      <c r="CF343" s="22"/>
      <c r="CG343" s="91">
        <f>$A$44</f>
        <v>20213</v>
      </c>
      <c r="CH343" s="105"/>
      <c r="CI343" s="90" t="str">
        <f t="shared" si="606"/>
        <v/>
      </c>
      <c r="CJ343" s="22"/>
      <c r="CK343" s="22"/>
      <c r="CL343" s="22"/>
      <c r="CM343" s="22"/>
      <c r="CN343" s="22"/>
      <c r="CO343" s="22"/>
      <c r="CP343" s="22"/>
      <c r="CQ343" s="22"/>
      <c r="CR343" s="22"/>
      <c r="CS343" s="91">
        <f>$A$44</f>
        <v>20213</v>
      </c>
      <c r="CT343" s="105"/>
      <c r="CU343" s="90" t="str">
        <f t="shared" si="607"/>
        <v/>
      </c>
      <c r="CV343" s="22"/>
      <c r="CW343" s="22"/>
      <c r="CX343" s="22"/>
      <c r="CY343" s="22"/>
      <c r="CZ343" s="22"/>
      <c r="DA343" s="22"/>
      <c r="DB343" s="22"/>
      <c r="DC343" s="22"/>
      <c r="DD343" s="22"/>
      <c r="DE343" s="91">
        <f>$A$44</f>
        <v>20213</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1.0339523167945639</v>
      </c>
      <c r="D345" s="93">
        <f>IFERROR(SUM(E327:E329)/SUM(D327:D329),1)</f>
        <v>1.0071345306722086</v>
      </c>
      <c r="E345" s="93">
        <f>IFERROR(SUM(F326:F328)/SUM(E326:E328),1)</f>
        <v>1.0013741673388328</v>
      </c>
      <c r="F345" s="93">
        <f>IFERROR(SUM(G325:G327)/SUM(F325:F327),1)</f>
        <v>1.0002948528940452</v>
      </c>
      <c r="G345" s="93">
        <f>IFERROR(SUM(H324:H326)/SUM(G324:G326),1)</f>
        <v>1.0000890191083363</v>
      </c>
      <c r="H345" s="93">
        <f>IFERROR(SUM(I323:I325)/SUM(H323:H325),1)</f>
        <v>1.0000433651344318</v>
      </c>
      <c r="I345" s="93">
        <f>IFERROR(SUM(J322:J324)/SUM(I322:I324),1)</f>
        <v>1.0000206887655134</v>
      </c>
      <c r="J345" s="93">
        <f>IFERROR(SUM(K322:K323)/SUM(J322:J323),1)</f>
        <v>1.0000113509954822</v>
      </c>
      <c r="K345" s="93">
        <f>IFERROR(SUM(L322:L322)/SUM(K322:K322),1)</f>
        <v>1.0000038941719822</v>
      </c>
      <c r="L345" s="93">
        <v>1</v>
      </c>
      <c r="M345" s="285" t="s">
        <v>37</v>
      </c>
      <c r="N345" s="107"/>
      <c r="O345" s="93">
        <f>IFERROR(SUM(P328:P330)/SUM(O328:O330),1)</f>
        <v>1.086706033130113</v>
      </c>
      <c r="P345" s="93">
        <f>IFERROR(SUM(Q327:Q329)/SUM(P327:P329),1)</f>
        <v>1.0138405552130769</v>
      </c>
      <c r="Q345" s="93">
        <f>IFERROR(SUM(R326:R328)/SUM(Q326:Q328),1)</f>
        <v>1.0026431270225853</v>
      </c>
      <c r="R345" s="93">
        <f>IFERROR(SUM(S325:S327)/SUM(R325:R327),1)</f>
        <v>1.0008933724414366</v>
      </c>
      <c r="S345" s="93">
        <f>IFERROR(SUM(T324:T326)/SUM(S324:S326),1)</f>
        <v>1.0003093662519147</v>
      </c>
      <c r="T345" s="93">
        <f>IFERROR(SUM(U323:U325)/SUM(T323:T325),1)</f>
        <v>1.000067922477812</v>
      </c>
      <c r="U345" s="93">
        <f>IFERROR(SUM(V322:V324)/SUM(U322:U324),1)</f>
        <v>1.0000763312164143</v>
      </c>
      <c r="V345" s="93">
        <f>IFERROR(SUM(W322:W323)/SUM(V322:V323),1)</f>
        <v>1.0000699007409479</v>
      </c>
      <c r="W345" s="93">
        <f>IFERROR(SUM(X322:X322)/SUM(W322:W322),1)</f>
        <v>1</v>
      </c>
      <c r="X345" s="93">
        <v>1</v>
      </c>
      <c r="Y345" s="285" t="s">
        <v>37</v>
      </c>
      <c r="Z345" s="107"/>
      <c r="AA345" s="93">
        <f>IFERROR(SUM(AB328:AB330)/SUM(AA328:AA330),1)</f>
        <v>1.1929406964091405</v>
      </c>
      <c r="AB345" s="93">
        <f>IFERROR(SUM(AC327:AC329)/SUM(AB327:AB329),1)</f>
        <v>1.0332617347905744</v>
      </c>
      <c r="AC345" s="93">
        <f>IFERROR(SUM(AD326:AD328)/SUM(AC326:AC328),1)</f>
        <v>1.0063605479856725</v>
      </c>
      <c r="AD345" s="93">
        <f>IFERROR(SUM(AE325:AE327)/SUM(AD325:AD327),1)</f>
        <v>1.0019758428623795</v>
      </c>
      <c r="AE345" s="93">
        <f>IFERROR(SUM(AF324:AF326)/SUM(AE324:AE326),1)</f>
        <v>1.0008320726172466</v>
      </c>
      <c r="AF345" s="93">
        <f>IFERROR(SUM(AG323:AG325)/SUM(AF323:AF325),1)</f>
        <v>1.0002955207497783</v>
      </c>
      <c r="AG345" s="93">
        <f>IFERROR(SUM(AH322:AH324)/SUM(AG322:AG324),1)</f>
        <v>1.0001813565469713</v>
      </c>
      <c r="AH345" s="93">
        <f>IFERROR(SUM(AI322:AI323)/SUM(AH322:AH323),1)</f>
        <v>1.0002145880884104</v>
      </c>
      <c r="AI345" s="93">
        <f>IFERROR(SUM(AJ322:AJ322)/SUM(AI322:AI322),1)</f>
        <v>1.0001228400622391</v>
      </c>
      <c r="AJ345" s="93">
        <v>1</v>
      </c>
      <c r="AK345" s="285" t="s">
        <v>37</v>
      </c>
      <c r="AL345" s="107"/>
      <c r="AM345" s="93">
        <f>IFERROR(SUM(AN328:AN330)/SUM(AM328:AM330),1)</f>
        <v>1.0229482742249885</v>
      </c>
      <c r="AN345" s="93">
        <f>IFERROR(SUM(AO327:AO329)/SUM(AN327:AN329),1)</f>
        <v>1.0032469283626204</v>
      </c>
      <c r="AO345" s="93">
        <f>IFERROR(SUM(AP326:AP328)/SUM(AO326:AO328),1)</f>
        <v>1.0010962287815106</v>
      </c>
      <c r="AP345" s="93">
        <f>IFERROR(SUM(AQ325:AQ327)/SUM(AP325:AP327),1)</f>
        <v>1.0004355448721483</v>
      </c>
      <c r="AQ345" s="93">
        <f>IFERROR(SUM(AR324:AR326)/SUM(AQ324:AQ326),1)</f>
        <v>1.0002183356584664</v>
      </c>
      <c r="AR345" s="93">
        <f>IFERROR(SUM(AS323:AS325)/SUM(AR323:AR325),1)</f>
        <v>1.0000913831757481</v>
      </c>
      <c r="AS345" s="93">
        <f>IFERROR(SUM(AT322:AT324)/SUM(AS322:AS324),1)</f>
        <v>1.0000310994591803</v>
      </c>
      <c r="AT345" s="93">
        <f>IFERROR(SUM(AU322:AU323)/SUM(AT322:AT323),1)</f>
        <v>1.0000093891423958</v>
      </c>
      <c r="AU345" s="93">
        <f>IFERROR(SUM(AV322:AV322)/SUM(AU322:AU322),1)</f>
        <v>1.0000369719937148</v>
      </c>
      <c r="AV345" s="93">
        <v>1</v>
      </c>
      <c r="AW345" s="285" t="s">
        <v>37</v>
      </c>
      <c r="AX345" s="107"/>
      <c r="AY345" s="93">
        <f>IFERROR(SUM(AZ328:AZ330)/SUM(AY328:AY330),1)</f>
        <v>1.0178359631532632</v>
      </c>
      <c r="AZ345" s="93">
        <f>IFERROR(SUM(BA327:BA329)/SUM(AZ327:AZ329),1)</f>
        <v>1.0031848434932431</v>
      </c>
      <c r="BA345" s="93">
        <f>IFERROR(SUM(BB326:BB328)/SUM(BA326:BA328),1)</f>
        <v>1.0010094507875367</v>
      </c>
      <c r="BB345" s="93">
        <f>IFERROR(SUM(BC325:BC327)/SUM(BB325:BB327),1)</f>
        <v>1.0003213047463435</v>
      </c>
      <c r="BC345" s="93">
        <f>IFERROR(SUM(BD324:BD326)/SUM(BC324:BC326),1)</f>
        <v>1.0001021943537205</v>
      </c>
      <c r="BD345" s="93">
        <f>IFERROR(SUM(BE323:BE325)/SUM(BD323:BD325),1)</f>
        <v>1.0000427326947847</v>
      </c>
      <c r="BE345" s="93">
        <f>IFERROR(SUM(BF322:BF324)/SUM(BE322:BE324),1)</f>
        <v>1.0000176245125432</v>
      </c>
      <c r="BF345" s="93">
        <f>IFERROR(SUM(BG322:BG323)/SUM(BF322:BF323),1)</f>
        <v>1.0000071348966368</v>
      </c>
      <c r="BG345" s="93">
        <f>IFERROR(SUM(BH322:BH322)/SUM(BG322:BG322),1)</f>
        <v>1.0000116587484333</v>
      </c>
      <c r="BH345" s="93">
        <v>1</v>
      </c>
      <c r="BI345" s="285" t="s">
        <v>37</v>
      </c>
      <c r="BJ345" s="107"/>
      <c r="BK345" s="93">
        <f>IFERROR(SUM(BL328:BL330)/SUM(BK328:BK330),1)</f>
        <v>1.0088584752904219</v>
      </c>
      <c r="BL345" s="93">
        <f>IFERROR(SUM(BM327:BM329)/SUM(BL327:BL329),1)</f>
        <v>1.0010820319523388</v>
      </c>
      <c r="BM345" s="93">
        <f>IFERROR(SUM(BN326:BN328)/SUM(BM326:BM328),1)</f>
        <v>1.0003202535424884</v>
      </c>
      <c r="BN345" s="93">
        <f>IFERROR(SUM(BO325:BO327)/SUM(BN325:BN327),1)</f>
        <v>1.0000924994105771</v>
      </c>
      <c r="BO345" s="93">
        <f>IFERROR(SUM(BP324:BP326)/SUM(BO324:BO326),1)</f>
        <v>1.0000159679197549</v>
      </c>
      <c r="BP345" s="93">
        <f>IFERROR(SUM(BQ323:BQ325)/SUM(BP323:BP325),1)</f>
        <v>1.000011033281526</v>
      </c>
      <c r="BQ345" s="93">
        <f>IFERROR(SUM(BR322:BR324)/SUM(BQ322:BQ324),1)</f>
        <v>1.0000054674472099</v>
      </c>
      <c r="BR345" s="93">
        <f>IFERROR(SUM(BS322:BS323)/SUM(BR322:BR323),1)</f>
        <v>1.0000024256419462</v>
      </c>
      <c r="BS345" s="93">
        <f>IFERROR(SUM(BT322:BT322)/SUM(BS322:BS322),1)</f>
        <v>1.0000024700140298</v>
      </c>
      <c r="BT345" s="93">
        <v>1</v>
      </c>
      <c r="BU345" s="285" t="s">
        <v>37</v>
      </c>
      <c r="BV345" s="107"/>
      <c r="BW345" s="93">
        <f>IFERROR(SUM(BX328:BX330)/SUM(BW328:BW330),1)</f>
        <v>1.0485436893203883</v>
      </c>
      <c r="BX345" s="93">
        <f>IFERROR(SUM(BY327:BY329)/SUM(BX327:BX329),1)</f>
        <v>1.0229007633587786</v>
      </c>
      <c r="BY345" s="93">
        <f>IFERROR(SUM(BZ326:BZ328)/SUM(BY326:BY328),1)</f>
        <v>1</v>
      </c>
      <c r="BZ345" s="93">
        <f>IFERROR(SUM(CA325:CA327)/SUM(BZ325:BZ327),1)</f>
        <v>1</v>
      </c>
      <c r="CA345" s="93">
        <f>IFERROR(SUM(CB324:CB326)/SUM(CA324:CA326),1)</f>
        <v>1</v>
      </c>
      <c r="CB345" s="93">
        <f>IFERROR(SUM(CC323:CC325)/SUM(CB323:CB325),1)</f>
        <v>1</v>
      </c>
      <c r="CC345" s="93">
        <f>IFERROR(SUM(CD322:CD324)/SUM(CC322:CC324),1)</f>
        <v>1</v>
      </c>
      <c r="CD345" s="93">
        <f>IFERROR(SUM(CE322:CE323)/SUM(CD322:CD323),1)</f>
        <v>1</v>
      </c>
      <c r="CE345" s="93">
        <f>IFERROR(SUM(CF322:CF322)/SUM(CE322:CE322),1)</f>
        <v>1</v>
      </c>
      <c r="CF345" s="93">
        <v>1</v>
      </c>
      <c r="CG345" s="285" t="s">
        <v>37</v>
      </c>
      <c r="CH345" s="107"/>
      <c r="CI345" s="93">
        <f>IFERROR(SUM(CJ328:CJ330)/SUM(CI328:CI330),1)</f>
        <v>1</v>
      </c>
      <c r="CJ345" s="93">
        <f>IFERROR(SUM(CK327:CK329)/SUM(CJ327:CJ329),1)</f>
        <v>1</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5"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5"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1.0339523167945639</v>
      </c>
      <c r="D346" s="93">
        <f t="shared" ref="D346:K346" si="609">IF(D345=0,1,D345)</f>
        <v>1.0071345306722086</v>
      </c>
      <c r="E346" s="93">
        <f t="shared" si="609"/>
        <v>1.0013741673388328</v>
      </c>
      <c r="F346" s="93">
        <f t="shared" si="609"/>
        <v>1.0002948528940452</v>
      </c>
      <c r="G346" s="93">
        <f t="shared" si="609"/>
        <v>1.0000890191083363</v>
      </c>
      <c r="H346" s="93">
        <f t="shared" si="609"/>
        <v>1.0000433651344318</v>
      </c>
      <c r="I346" s="93">
        <f t="shared" si="609"/>
        <v>1.0000206887655134</v>
      </c>
      <c r="J346" s="93">
        <f t="shared" si="609"/>
        <v>1.0000113509954822</v>
      </c>
      <c r="K346" s="93">
        <f t="shared" si="609"/>
        <v>1.0000038941719822</v>
      </c>
      <c r="L346" s="93">
        <f>IF(L345=0,1,L345)</f>
        <v>1</v>
      </c>
      <c r="M346" s="285" t="s">
        <v>40</v>
      </c>
      <c r="N346" s="107"/>
      <c r="O346" s="93">
        <f>IF(O345=0,1,O345)</f>
        <v>1.086706033130113</v>
      </c>
      <c r="P346" s="93">
        <f t="shared" ref="P346:W346" si="610">IF(P345=0,1,P345)</f>
        <v>1.0138405552130769</v>
      </c>
      <c r="Q346" s="93">
        <f t="shared" si="610"/>
        <v>1.0026431270225853</v>
      </c>
      <c r="R346" s="93">
        <f t="shared" si="610"/>
        <v>1.0008933724414366</v>
      </c>
      <c r="S346" s="93">
        <f t="shared" si="610"/>
        <v>1.0003093662519147</v>
      </c>
      <c r="T346" s="93">
        <f t="shared" si="610"/>
        <v>1.000067922477812</v>
      </c>
      <c r="U346" s="93">
        <f t="shared" si="610"/>
        <v>1.0000763312164143</v>
      </c>
      <c r="V346" s="93">
        <f t="shared" si="610"/>
        <v>1.0000699007409479</v>
      </c>
      <c r="W346" s="93">
        <f t="shared" si="610"/>
        <v>1</v>
      </c>
      <c r="X346" s="93">
        <f>IF(X345=0,1,X345)</f>
        <v>1</v>
      </c>
      <c r="Y346" s="285" t="s">
        <v>40</v>
      </c>
      <c r="Z346" s="107"/>
      <c r="AA346" s="93">
        <f>IF(AA345=0,1,AA345)</f>
        <v>1.1929406964091405</v>
      </c>
      <c r="AB346" s="93">
        <f t="shared" ref="AB346:AI346" si="611">IF(AB345=0,1,AB345)</f>
        <v>1.0332617347905744</v>
      </c>
      <c r="AC346" s="93">
        <f t="shared" si="611"/>
        <v>1.0063605479856725</v>
      </c>
      <c r="AD346" s="93">
        <f t="shared" si="611"/>
        <v>1.0019758428623795</v>
      </c>
      <c r="AE346" s="93">
        <f t="shared" si="611"/>
        <v>1.0008320726172466</v>
      </c>
      <c r="AF346" s="93">
        <f t="shared" si="611"/>
        <v>1.0002955207497783</v>
      </c>
      <c r="AG346" s="93">
        <f t="shared" si="611"/>
        <v>1.0001813565469713</v>
      </c>
      <c r="AH346" s="93">
        <f t="shared" si="611"/>
        <v>1.0002145880884104</v>
      </c>
      <c r="AI346" s="93">
        <f t="shared" si="611"/>
        <v>1.0001228400622391</v>
      </c>
      <c r="AJ346" s="93">
        <f>IF(AJ345=0,1,AJ345)</f>
        <v>1</v>
      </c>
      <c r="AK346" s="285" t="s">
        <v>40</v>
      </c>
      <c r="AL346" s="107"/>
      <c r="AM346" s="93">
        <f>IF(AM345=0,1,AM345)</f>
        <v>1.0229482742249885</v>
      </c>
      <c r="AN346" s="93">
        <f t="shared" ref="AN346:AU346" si="612">IF(AN345=0,1,AN345)</f>
        <v>1.0032469283626204</v>
      </c>
      <c r="AO346" s="93">
        <f t="shared" si="612"/>
        <v>1.0010962287815106</v>
      </c>
      <c r="AP346" s="93">
        <f t="shared" si="612"/>
        <v>1.0004355448721483</v>
      </c>
      <c r="AQ346" s="93">
        <f t="shared" si="612"/>
        <v>1.0002183356584664</v>
      </c>
      <c r="AR346" s="93">
        <f t="shared" si="612"/>
        <v>1.0000913831757481</v>
      </c>
      <c r="AS346" s="93">
        <f t="shared" si="612"/>
        <v>1.0000310994591803</v>
      </c>
      <c r="AT346" s="93">
        <f t="shared" si="612"/>
        <v>1.0000093891423958</v>
      </c>
      <c r="AU346" s="93">
        <f t="shared" si="612"/>
        <v>1.0000369719937148</v>
      </c>
      <c r="AV346" s="93">
        <f>IF(AV345=0,1,AV345)</f>
        <v>1</v>
      </c>
      <c r="AW346" s="285" t="s">
        <v>40</v>
      </c>
      <c r="AX346" s="107"/>
      <c r="AY346" s="93">
        <f>IF(AY345=0,1,AY345)</f>
        <v>1.0178359631532632</v>
      </c>
      <c r="AZ346" s="93">
        <f t="shared" ref="AZ346:BG346" si="613">IF(AZ345=0,1,AZ345)</f>
        <v>1.0031848434932431</v>
      </c>
      <c r="BA346" s="93">
        <f t="shared" si="613"/>
        <v>1.0010094507875367</v>
      </c>
      <c r="BB346" s="93">
        <f t="shared" si="613"/>
        <v>1.0003213047463435</v>
      </c>
      <c r="BC346" s="93">
        <f t="shared" si="613"/>
        <v>1.0001021943537205</v>
      </c>
      <c r="BD346" s="93">
        <f t="shared" si="613"/>
        <v>1.0000427326947847</v>
      </c>
      <c r="BE346" s="93">
        <f t="shared" si="613"/>
        <v>1.0000176245125432</v>
      </c>
      <c r="BF346" s="93">
        <f t="shared" si="613"/>
        <v>1.0000071348966368</v>
      </c>
      <c r="BG346" s="93">
        <f t="shared" si="613"/>
        <v>1.0000116587484333</v>
      </c>
      <c r="BH346" s="93">
        <f>IF(BH345=0,1,BH345)</f>
        <v>1</v>
      </c>
      <c r="BI346" s="285" t="s">
        <v>40</v>
      </c>
      <c r="BJ346" s="107"/>
      <c r="BK346" s="93">
        <f>IF(BK345=0,1,BK345)</f>
        <v>1.0088584752904219</v>
      </c>
      <c r="BL346" s="93">
        <f t="shared" ref="BL346:BS346" si="614">IF(BL345=0,1,BL345)</f>
        <v>1.0010820319523388</v>
      </c>
      <c r="BM346" s="93">
        <f t="shared" si="614"/>
        <v>1.0003202535424884</v>
      </c>
      <c r="BN346" s="93">
        <f t="shared" si="614"/>
        <v>1.0000924994105771</v>
      </c>
      <c r="BO346" s="93">
        <f t="shared" si="614"/>
        <v>1.0000159679197549</v>
      </c>
      <c r="BP346" s="93">
        <f t="shared" si="614"/>
        <v>1.000011033281526</v>
      </c>
      <c r="BQ346" s="93">
        <f t="shared" si="614"/>
        <v>1.0000054674472099</v>
      </c>
      <c r="BR346" s="93">
        <f t="shared" si="614"/>
        <v>1.0000024256419462</v>
      </c>
      <c r="BS346" s="93">
        <f t="shared" si="614"/>
        <v>1.0000024700140298</v>
      </c>
      <c r="BT346" s="93">
        <f>IF(BT345=0,1,BT345)</f>
        <v>1</v>
      </c>
      <c r="BU346" s="285" t="s">
        <v>40</v>
      </c>
      <c r="BV346" s="107"/>
      <c r="BW346" s="93">
        <f>IF(BW345=0,1,BW345)</f>
        <v>1.0485436893203883</v>
      </c>
      <c r="BX346" s="93">
        <f t="shared" ref="BX346:CE346" si="615">IF(BX345=0,1,BX345)</f>
        <v>1.0229007633587786</v>
      </c>
      <c r="BY346" s="93">
        <f t="shared" si="615"/>
        <v>1</v>
      </c>
      <c r="BZ346" s="93">
        <f t="shared" si="615"/>
        <v>1</v>
      </c>
      <c r="CA346" s="93">
        <f t="shared" si="615"/>
        <v>1</v>
      </c>
      <c r="CB346" s="93">
        <f t="shared" si="615"/>
        <v>1</v>
      </c>
      <c r="CC346" s="93">
        <f t="shared" si="615"/>
        <v>1</v>
      </c>
      <c r="CD346" s="93">
        <f t="shared" si="615"/>
        <v>1</v>
      </c>
      <c r="CE346" s="93">
        <f t="shared" si="615"/>
        <v>1</v>
      </c>
      <c r="CF346" s="93">
        <f>IF(CF345=0,1,CF345)</f>
        <v>1</v>
      </c>
      <c r="CG346" s="285" t="s">
        <v>40</v>
      </c>
      <c r="CH346" s="107"/>
      <c r="CI346" s="93">
        <f>IF(CI345=0,1,CI345)</f>
        <v>1</v>
      </c>
      <c r="CJ346" s="93">
        <f t="shared" ref="CJ346:CQ346" si="616">IF(CJ345=0,1,CJ345)</f>
        <v>1</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5"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5"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1.0432430791239886</v>
      </c>
      <c r="D347" s="113">
        <f>PRODUCT(D346:L346)</f>
        <v>1.0089856777517823</v>
      </c>
      <c r="E347" s="113">
        <f>PRODUCT(E346:L346)</f>
        <v>1.0018380335726726</v>
      </c>
      <c r="F347" s="113">
        <f>PRODUCT(F346:L346)</f>
        <v>1.000463229678745</v>
      </c>
      <c r="G347" s="113">
        <f>PRODUCT(G346:L346)</f>
        <v>1.0001683271529516</v>
      </c>
      <c r="H347" s="113">
        <f>PRODUCT(H346:L346)</f>
        <v>1.0000793009853124</v>
      </c>
      <c r="I347" s="113">
        <f>PRODUCT(I346:L346)</f>
        <v>1.0000359342925853</v>
      </c>
      <c r="J347" s="113">
        <f>PRODUCT(J346:L346)</f>
        <v>1.0000152452116671</v>
      </c>
      <c r="K347" s="113">
        <f>PRODUCT(K346:L346)</f>
        <v>1.0000038941719822</v>
      </c>
      <c r="L347" s="114">
        <f>PRODUCT(L346:L346)</f>
        <v>1</v>
      </c>
      <c r="M347" s="111" t="s">
        <v>39</v>
      </c>
      <c r="N347" s="115"/>
      <c r="O347" s="113">
        <f>PRODUCT(O346:X346)</f>
        <v>1.1062244944326673</v>
      </c>
      <c r="P347" s="113">
        <f>PRODUCT(P346:X346)</f>
        <v>1.0179611235306514</v>
      </c>
      <c r="Q347" s="113">
        <f>PRODUCT(Q346:X346)</f>
        <v>1.004064315928562</v>
      </c>
      <c r="R347" s="113">
        <f>PRODUCT(R346:X346)</f>
        <v>1.0014174424255986</v>
      </c>
      <c r="S347" s="113">
        <f>PRODUCT(S346:X346)</f>
        <v>1.0005236022123749</v>
      </c>
      <c r="T347" s="113">
        <f>PRODUCT(T346:X346)</f>
        <v>1.000214169703582</v>
      </c>
      <c r="U347" s="113">
        <f>PRODUCT(U346:X346)</f>
        <v>1.0001462372929708</v>
      </c>
      <c r="V347" s="113">
        <f>PRODUCT(V346:X346)</f>
        <v>1.0000699007409479</v>
      </c>
      <c r="W347" s="113">
        <f>PRODUCT(W346:X346)</f>
        <v>1</v>
      </c>
      <c r="X347" s="114">
        <f>PRODUCT(X346:X346)</f>
        <v>1</v>
      </c>
      <c r="Y347" s="111" t="s">
        <v>39</v>
      </c>
      <c r="Z347" s="115"/>
      <c r="AA347" s="113">
        <f>PRODUCT(AA346:AJ346)</f>
        <v>1.2449585095486071</v>
      </c>
      <c r="AB347" s="113">
        <f>PRODUCT(AB346:AJ346)</f>
        <v>1.0436046932559555</v>
      </c>
      <c r="AC347" s="113">
        <f>PRODUCT(AC346:AJ346)</f>
        <v>1.0100100082264996</v>
      </c>
      <c r="AD347" s="113">
        <f>PRODUCT(AD346:AJ346)</f>
        <v>1.0036263943853243</v>
      </c>
      <c r="AE347" s="113">
        <f>PRODUCT(AE346:AJ346)</f>
        <v>1.001647296723472</v>
      </c>
      <c r="AF347" s="113">
        <f>PRODUCT(AF346:AJ346)</f>
        <v>1.0008145463445164</v>
      </c>
      <c r="AG347" s="113">
        <f>PRODUCT(AG346:AJ346)</f>
        <v>1.0005188722572196</v>
      </c>
      <c r="AH347" s="113">
        <f>PRODUCT(AH346:AJ346)</f>
        <v>1.0003374545106636</v>
      </c>
      <c r="AI347" s="113">
        <f>PRODUCT(AI346:AJ346)</f>
        <v>1.0001228400622391</v>
      </c>
      <c r="AJ347" s="114">
        <f>PRODUCT(AJ346:AJ346)</f>
        <v>1</v>
      </c>
      <c r="AK347" s="111" t="s">
        <v>39</v>
      </c>
      <c r="AL347" s="115"/>
      <c r="AM347" s="113">
        <f>PRODUCT(AM346:AV346)</f>
        <v>1.028240223269747</v>
      </c>
      <c r="AN347" s="113">
        <f>PRODUCT(AN346:AV346)</f>
        <v>1.0051732322915035</v>
      </c>
      <c r="AO347" s="113">
        <f>PRODUCT(AO346:AV346)</f>
        <v>1.0019200696004391</v>
      </c>
      <c r="AP347" s="113">
        <f>PRODUCT(AP346:AV346)</f>
        <v>1.0008229386898513</v>
      </c>
      <c r="AQ347" s="113">
        <f>PRODUCT(AQ346:AV346)</f>
        <v>1.0003872251637684</v>
      </c>
      <c r="AR347" s="113">
        <f>PRODUCT(AR346:AV346)</f>
        <v>1.00016885263875</v>
      </c>
      <c r="AS347" s="113">
        <f>PRODUCT(AS346:AV346)</f>
        <v>1.0000774623842434</v>
      </c>
      <c r="AT347" s="113">
        <f>PRODUCT(AT346:AV346)</f>
        <v>1.0000463614832458</v>
      </c>
      <c r="AU347" s="113">
        <f>PRODUCT(AU346:AV346)</f>
        <v>1.0000369719937148</v>
      </c>
      <c r="AV347" s="114">
        <f>PRODUCT(AV346:AV346)</f>
        <v>1</v>
      </c>
      <c r="AW347" s="111" t="s">
        <v>39</v>
      </c>
      <c r="AX347" s="115"/>
      <c r="AY347" s="113">
        <f>PRODUCT(AY346:BH346)</f>
        <v>1.0226221715452892</v>
      </c>
      <c r="AZ347" s="113">
        <f>PRODUCT(AZ346:BH346)</f>
        <v>1.004702337670599</v>
      </c>
      <c r="BA347" s="113">
        <f>PRODUCT(BA346:BH346)</f>
        <v>1.0015126765393219</v>
      </c>
      <c r="BB347" s="113">
        <f>PRODUCT(BB346:BH346)</f>
        <v>1.0005027182824195</v>
      </c>
      <c r="BC347" s="113">
        <f>PRODUCT(BC346:BH346)</f>
        <v>1.0001813552657681</v>
      </c>
      <c r="BD347" s="113">
        <f>PRODUCT(BD346:BH346)</f>
        <v>1.0000791528230759</v>
      </c>
      <c r="BE347" s="113">
        <f>PRODUCT(BE346:BH346)</f>
        <v>1.0000364185720274</v>
      </c>
      <c r="BF347" s="113">
        <f>PRODUCT(BF346:BH346)</f>
        <v>1.0000187937282541</v>
      </c>
      <c r="BG347" s="113">
        <f>PRODUCT(BG346:BH346)</f>
        <v>1.0000116587484333</v>
      </c>
      <c r="BH347" s="114">
        <f>PRODUCT(BH346:BH346)</f>
        <v>1</v>
      </c>
      <c r="BI347" s="111" t="s">
        <v>39</v>
      </c>
      <c r="BJ347" s="115"/>
      <c r="BK347" s="113">
        <f>PRODUCT(BK346:BT346)</f>
        <v>1.0104047343505456</v>
      </c>
      <c r="BL347" s="113">
        <f>PRODUCT(BL346:BT346)</f>
        <v>1.001532681835952</v>
      </c>
      <c r="BM347" s="113">
        <f>PRODUCT(BM346:BT346)</f>
        <v>1.0004501627930875</v>
      </c>
      <c r="BN347" s="113">
        <f>PRODUCT(BN346:BT346)</f>
        <v>1.0001298676600205</v>
      </c>
      <c r="BO347" s="113">
        <f>PRODUCT(BO346:BT346)</f>
        <v>1.0000373647932224</v>
      </c>
      <c r="BP347" s="113">
        <f>PRODUCT(BP346:BT346)</f>
        <v>1.0000213965318094</v>
      </c>
      <c r="BQ347" s="113">
        <f>PRODUCT(BQ346:BT346)</f>
        <v>1.000010363135944</v>
      </c>
      <c r="BR347" s="113">
        <f>PRODUCT(BR346:BT346)</f>
        <v>1.0000048956619674</v>
      </c>
      <c r="BS347" s="113">
        <f>PRODUCT(BS346:BT346)</f>
        <v>1.0000024700140298</v>
      </c>
      <c r="BT347" s="114">
        <f>PRODUCT(BT346:BT346)</f>
        <v>1</v>
      </c>
      <c r="BU347" s="111" t="s">
        <v>39</v>
      </c>
      <c r="BV347" s="115"/>
      <c r="BW347" s="113">
        <f>PRODUCT(BW346:CF346)</f>
        <v>1.0725561402208552</v>
      </c>
      <c r="BX347" s="113">
        <f>PRODUCT(BX346:CF346)</f>
        <v>1.0229007633587786</v>
      </c>
      <c r="BY347" s="113">
        <f>PRODUCT(BY346:CF346)</f>
        <v>1</v>
      </c>
      <c r="BZ347" s="113">
        <f>PRODUCT(BZ346:CF346)</f>
        <v>1</v>
      </c>
      <c r="CA347" s="113">
        <f>PRODUCT(CA346:CF346)</f>
        <v>1</v>
      </c>
      <c r="CB347" s="113">
        <f>PRODUCT(CB346:CF346)</f>
        <v>1</v>
      </c>
      <c r="CC347" s="113">
        <f>PRODUCT(CC346:CF346)</f>
        <v>1</v>
      </c>
      <c r="CD347" s="113">
        <f>PRODUCT(CD346:CF346)</f>
        <v>1</v>
      </c>
      <c r="CE347" s="113">
        <f>PRODUCT(CE346:CF346)</f>
        <v>1</v>
      </c>
      <c r="CF347" s="114">
        <f>PRODUCT(CF346:CF346)</f>
        <v>1</v>
      </c>
      <c r="CG347" s="111" t="s">
        <v>39</v>
      </c>
      <c r="CH347" s="115"/>
      <c r="CI347" s="113">
        <f>PRODUCT(CI346:CR346)</f>
        <v>1</v>
      </c>
      <c r="CJ347" s="113">
        <f>PRODUCT(CJ346:CR346)</f>
        <v>1</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208</v>
      </c>
      <c r="B348" s="106"/>
      <c r="C348" s="99">
        <f>C347*C331</f>
        <v>270319.9304472123</v>
      </c>
      <c r="D348" s="99">
        <f>D347*D330</f>
        <v>236292.33790133439</v>
      </c>
      <c r="E348" s="99">
        <f>E347*E329</f>
        <v>238716.96480166286</v>
      </c>
      <c r="F348" s="99">
        <f>F347*F328</f>
        <v>326342.10135213949</v>
      </c>
      <c r="G348" s="99">
        <f>G347*G327</f>
        <v>319565.78254529386</v>
      </c>
      <c r="H348" s="99">
        <f>H347*H326</f>
        <v>305529.22684751789</v>
      </c>
      <c r="I348" s="99">
        <f>I347*I325</f>
        <v>311413.19001057965</v>
      </c>
      <c r="J348" s="99">
        <f>J347*J324</f>
        <v>293135.46884414117</v>
      </c>
      <c r="K348" s="99">
        <f>K347*K323</f>
        <v>271801.05843594478</v>
      </c>
      <c r="L348" s="99">
        <f>L347*L322</f>
        <v>256795</v>
      </c>
      <c r="M348" s="95" t="s">
        <v>208</v>
      </c>
      <c r="N348" s="106"/>
      <c r="O348" s="99">
        <f>O347*O331</f>
        <v>33438.954017710668</v>
      </c>
      <c r="P348" s="99">
        <f>P347*P330</f>
        <v>29286.741523976842</v>
      </c>
      <c r="Q348" s="99">
        <f>Q347*Q329</f>
        <v>26528.383291148537</v>
      </c>
      <c r="R348" s="99">
        <f>R347*R328</f>
        <v>36615.827364849589</v>
      </c>
      <c r="S348" s="99">
        <f>S347*S327</f>
        <v>39257.544580006957</v>
      </c>
      <c r="T348" s="99">
        <f>T347*T326</f>
        <v>42656.133695348661</v>
      </c>
      <c r="U348" s="99">
        <f>U347*U325</f>
        <v>44755.543972623149</v>
      </c>
      <c r="V348" s="99">
        <f>V347*V324</f>
        <v>45185.158255277507</v>
      </c>
      <c r="W348" s="99">
        <f>W347*W323</f>
        <v>42591</v>
      </c>
      <c r="X348" s="99">
        <f>X347*X322</f>
        <v>43251</v>
      </c>
      <c r="Y348" s="95" t="s">
        <v>208</v>
      </c>
      <c r="Z348" s="106"/>
      <c r="AA348" s="99">
        <f>AA347*AA331</f>
        <v>29937.517279115356</v>
      </c>
      <c r="AB348" s="99">
        <f>AB347*AB330</f>
        <v>30381.419830067378</v>
      </c>
      <c r="AC348" s="99">
        <f>AC347*AC329</f>
        <v>27668.214165356731</v>
      </c>
      <c r="AD348" s="99">
        <f>AD347*AD328</f>
        <v>33657.614762106234</v>
      </c>
      <c r="AE348" s="99">
        <f>AE347*AE327</f>
        <v>37803.170625640552</v>
      </c>
      <c r="AF348" s="99">
        <f>AF347*AF326</f>
        <v>37959.894928301161</v>
      </c>
      <c r="AG348" s="99">
        <f>AG347*AG325</f>
        <v>36495.926903326595</v>
      </c>
      <c r="AH348" s="99">
        <f>AH347*AH324</f>
        <v>31474.61766872352</v>
      </c>
      <c r="AI348" s="99">
        <f>AI347*AI323</f>
        <v>26853.298255671118</v>
      </c>
      <c r="AJ348" s="99">
        <f>AJ347*AJ322</f>
        <v>24425</v>
      </c>
      <c r="AK348" s="95" t="s">
        <v>208</v>
      </c>
      <c r="AL348" s="106"/>
      <c r="AM348" s="99">
        <f>AM347*AM331</f>
        <v>244003.46146235749</v>
      </c>
      <c r="AN348" s="99">
        <f>AN347*AN330</f>
        <v>205134.74807281775</v>
      </c>
      <c r="AO348" s="99">
        <f>AO347*AO329</f>
        <v>176585.4065068686</v>
      </c>
      <c r="AP348" s="99">
        <f>AP347*AP328</f>
        <v>170496.1925434483</v>
      </c>
      <c r="AQ348" s="99">
        <f>AQ347*AQ327</f>
        <v>118813.98995825044</v>
      </c>
      <c r="AR348" s="99">
        <f>AR347*AR326</f>
        <v>129282.82606093747</v>
      </c>
      <c r="AS348" s="99">
        <f>AS347*AS325</f>
        <v>114966.90492076786</v>
      </c>
      <c r="AT348" s="99">
        <f>AT347*AT324</f>
        <v>108552.03239992188</v>
      </c>
      <c r="AU348" s="99">
        <f>AU347*AU323</f>
        <v>104827.87555226916</v>
      </c>
      <c r="AV348" s="99">
        <f>AV347*AV322</f>
        <v>108194</v>
      </c>
      <c r="AW348" s="95" t="s">
        <v>208</v>
      </c>
      <c r="AX348" s="106"/>
      <c r="AY348" s="99">
        <f>AY347*AY331</f>
        <v>348290.79491792386</v>
      </c>
      <c r="AZ348" s="99">
        <f>AZ347*AZ330</f>
        <v>279042.0084552815</v>
      </c>
      <c r="BA348" s="99">
        <f>BA347*BA329</f>
        <v>270108.97037533164</v>
      </c>
      <c r="BB348" s="99">
        <f>BB347*BB328</f>
        <v>359558.66589089937</v>
      </c>
      <c r="BC348" s="99">
        <f>BC347*BC327</f>
        <v>378557.64097318531</v>
      </c>
      <c r="BD348" s="99">
        <f>BD347*BD326</f>
        <v>414754.82641709171</v>
      </c>
      <c r="BE348" s="99">
        <f>BE347*BE325</f>
        <v>411763.99531061371</v>
      </c>
      <c r="BF348" s="99">
        <f>BF347*BF324</f>
        <v>377289.09053538315</v>
      </c>
      <c r="BG348" s="99">
        <f>BG347*BG323</f>
        <v>357700.17028767959</v>
      </c>
      <c r="BH348" s="99">
        <f>BH347*BH322</f>
        <v>343094</v>
      </c>
      <c r="BI348" s="95" t="s">
        <v>208</v>
      </c>
      <c r="BJ348" s="106"/>
      <c r="BK348" s="99">
        <f>BK347*BK331</f>
        <v>398430.87808698195</v>
      </c>
      <c r="BL348" s="99">
        <f>BL347*BL330</f>
        <v>361849.75181660213</v>
      </c>
      <c r="BM348" s="99">
        <f>BM347*BM329</f>
        <v>353291.96733761136</v>
      </c>
      <c r="BN348" s="99">
        <f>BN347*BN328</f>
        <v>429961.83088624879</v>
      </c>
      <c r="BO348" s="99">
        <f>BO347*BO327</f>
        <v>453382.93992684403</v>
      </c>
      <c r="BP348" s="99">
        <f>BP347*BP326</f>
        <v>500560.71003399719</v>
      </c>
      <c r="BQ348" s="99">
        <f>BQ347*BQ325</f>
        <v>484092.01665938977</v>
      </c>
      <c r="BR348" s="99">
        <f>BR347*BR324</f>
        <v>455790.23138397676</v>
      </c>
      <c r="BS348" s="99">
        <f>BS347*BS323</f>
        <v>419671.03659078787</v>
      </c>
      <c r="BT348" s="99">
        <f>BT347*BT322</f>
        <v>404857</v>
      </c>
      <c r="BU348" s="95" t="s">
        <v>208</v>
      </c>
      <c r="BV348" s="106"/>
      <c r="BW348" s="99">
        <f>BW347*BW331</f>
        <v>33.249240346846513</v>
      </c>
      <c r="BX348" s="99">
        <f>BX347*BX330</f>
        <v>26.595419847328241</v>
      </c>
      <c r="BY348" s="99">
        <f>BY347*BY329</f>
        <v>28</v>
      </c>
      <c r="BZ348" s="99">
        <f>BZ347*BZ328</f>
        <v>55</v>
      </c>
      <c r="CA348" s="99">
        <f>CA347*CA327</f>
        <v>51</v>
      </c>
      <c r="CB348" s="99">
        <f>CB347*CB326</f>
        <v>48</v>
      </c>
      <c r="CC348" s="99">
        <f>CC347*CC325</f>
        <v>37</v>
      </c>
      <c r="CD348" s="99">
        <f>CD347*CD324</f>
        <v>63</v>
      </c>
      <c r="CE348" s="99">
        <f>CE347*CE323</f>
        <v>52</v>
      </c>
      <c r="CF348" s="99">
        <f>CF347*CF322</f>
        <v>33</v>
      </c>
      <c r="CG348" s="95" t="s">
        <v>208</v>
      </c>
      <c r="CH348" s="106"/>
      <c r="CI348" s="99">
        <f>CI347*CI331</f>
        <v>0</v>
      </c>
      <c r="CJ348" s="99">
        <f>CJ347*CJ330</f>
        <v>0</v>
      </c>
      <c r="CK348" s="99">
        <f>CK347*CK329</f>
        <v>0</v>
      </c>
      <c r="CL348" s="99">
        <f>CL347*CL328</f>
        <v>0</v>
      </c>
      <c r="CM348" s="99">
        <f>CM347*CM327</f>
        <v>0</v>
      </c>
      <c r="CN348" s="99">
        <f>CN347*CN326</f>
        <v>0</v>
      </c>
      <c r="CO348" s="99">
        <f>CO347*CO325</f>
        <v>0</v>
      </c>
      <c r="CP348" s="99">
        <f>CP347*CP324</f>
        <v>0</v>
      </c>
      <c r="CQ348" s="99">
        <f>CQ347*CQ323</f>
        <v>0</v>
      </c>
      <c r="CR348" s="99">
        <f>CR347*CR322</f>
        <v>0</v>
      </c>
      <c r="CS348" s="95" t="s">
        <v>208</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208</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Mutual Automobile Insurance Company</v>
      </c>
      <c r="B349" s="68"/>
      <c r="C349" s="40"/>
      <c r="D349" s="18"/>
      <c r="E349" s="18"/>
      <c r="F349" s="18"/>
      <c r="G349" s="18"/>
      <c r="H349" s="18"/>
      <c r="I349" s="18"/>
      <c r="J349" s="18"/>
      <c r="K349" s="18"/>
      <c r="L349" s="18"/>
      <c r="M349" s="137" t="str">
        <f>Co_Name</f>
        <v>State Farm Mutual Automobile Insurance Company</v>
      </c>
      <c r="N349" s="68"/>
      <c r="O349" s="40"/>
      <c r="P349" s="18"/>
      <c r="Q349" s="18"/>
      <c r="R349" s="18"/>
      <c r="S349" s="18"/>
      <c r="T349" s="18"/>
      <c r="U349" s="18"/>
      <c r="V349" s="18"/>
      <c r="W349" s="18"/>
      <c r="X349" s="18"/>
      <c r="Y349" s="137" t="str">
        <f>Co_Name</f>
        <v>State Farm Mutual Automobile Insurance Company</v>
      </c>
      <c r="Z349" s="68"/>
      <c r="AA349" s="40"/>
      <c r="AB349" s="18"/>
      <c r="AC349" s="18"/>
      <c r="AD349" s="18"/>
      <c r="AE349" s="18"/>
      <c r="AF349" s="18"/>
      <c r="AG349" s="18"/>
      <c r="AH349" s="18"/>
      <c r="AI349" s="18"/>
      <c r="AJ349" s="18"/>
      <c r="AK349" s="137" t="str">
        <f>Co_Name</f>
        <v>State Farm Mutual Automobile Insurance Company</v>
      </c>
      <c r="AL349" s="68"/>
      <c r="AM349" s="40"/>
      <c r="AN349" s="18"/>
      <c r="AO349" s="18"/>
      <c r="AP349" s="18"/>
      <c r="AQ349" s="18"/>
      <c r="AR349" s="18"/>
      <c r="AS349" s="18"/>
      <c r="AT349" s="18"/>
      <c r="AU349" s="18"/>
      <c r="AV349" s="18"/>
      <c r="AW349" s="137" t="str">
        <f>Co_Name</f>
        <v>State Farm Mutual Automobile Insurance Company</v>
      </c>
      <c r="AX349" s="68"/>
      <c r="AY349" s="40"/>
      <c r="AZ349" s="18"/>
      <c r="BA349" s="18"/>
      <c r="BB349" s="18"/>
      <c r="BC349" s="18"/>
      <c r="BD349" s="18"/>
      <c r="BE349" s="18"/>
      <c r="BF349" s="18"/>
      <c r="BG349" s="18"/>
      <c r="BH349" s="18"/>
      <c r="BI349" s="137" t="str">
        <f>Co_Name</f>
        <v>State Farm Mutual Automobile Insurance Company</v>
      </c>
      <c r="BJ349" s="68"/>
      <c r="BK349" s="40"/>
      <c r="BL349" s="18"/>
      <c r="BM349" s="18"/>
      <c r="BN349" s="18"/>
      <c r="BO349" s="18"/>
      <c r="BP349" s="18"/>
      <c r="BQ349" s="18"/>
      <c r="BR349" s="18"/>
      <c r="BS349" s="18"/>
      <c r="BT349" s="18"/>
      <c r="BU349" s="137" t="str">
        <f>Co_Name</f>
        <v>State Farm Mutual Automobile Insurance Company</v>
      </c>
      <c r="BV349" s="68"/>
      <c r="BW349" s="40"/>
      <c r="BX349" s="18"/>
      <c r="BY349" s="18"/>
      <c r="BZ349" s="18"/>
      <c r="CA349" s="18"/>
      <c r="CB349" s="18"/>
      <c r="CC349" s="18"/>
      <c r="CD349" s="18"/>
      <c r="CE349" s="18"/>
      <c r="CF349" s="18"/>
      <c r="CG349" s="137" t="str">
        <f>Co_Name</f>
        <v>State Farm Mutual Automobile Insurance Company</v>
      </c>
      <c r="CH349" s="68"/>
      <c r="CI349" s="40"/>
      <c r="CJ349" s="18"/>
      <c r="CK349" s="18"/>
      <c r="CL349" s="18"/>
      <c r="CM349" s="18"/>
      <c r="CN349" s="18"/>
      <c r="CO349" s="18"/>
      <c r="CP349" s="18"/>
      <c r="CQ349" s="18"/>
      <c r="CR349" s="18"/>
      <c r="CS349" s="137" t="str">
        <f>Co_Name</f>
        <v>State Farm Mutual Automobile Insurance Company</v>
      </c>
      <c r="CT349" s="68"/>
      <c r="CU349" s="40"/>
      <c r="CV349" s="18"/>
      <c r="CW349" s="18"/>
      <c r="CX349" s="18"/>
      <c r="CY349" s="18"/>
      <c r="CZ349" s="18"/>
      <c r="DA349" s="18"/>
      <c r="DB349" s="18"/>
      <c r="DC349" s="18"/>
      <c r="DD349" s="18"/>
      <c r="DE349" s="137" t="str">
        <f>Co_Name</f>
        <v>State Farm Mutual Automobile Insurance Company</v>
      </c>
      <c r="DF349" s="68"/>
      <c r="DG349" s="40"/>
      <c r="DH349" s="18"/>
      <c r="DI349" s="18"/>
      <c r="DJ349" s="18"/>
      <c r="DK349" s="18"/>
      <c r="DL349" s="18"/>
      <c r="DM349" s="18"/>
      <c r="DN349" s="18"/>
      <c r="DO349" s="18"/>
      <c r="DP349" s="18"/>
    </row>
    <row r="350" spans="1:120" ht="21" x14ac:dyDescent="0.35">
      <c r="A350" s="137" t="str">
        <f>A$2</f>
        <v>Private Passenger Auto Liability</v>
      </c>
      <c r="B350" s="68"/>
      <c r="C350" s="40"/>
      <c r="D350" s="18"/>
      <c r="E350" s="18"/>
      <c r="F350" s="18"/>
      <c r="G350" s="18"/>
      <c r="H350" s="18"/>
      <c r="I350" s="18"/>
      <c r="J350" s="18"/>
      <c r="K350" s="18"/>
      <c r="L350" s="18"/>
      <c r="M350" s="137" t="str">
        <f>M$2</f>
        <v>Private Passenger Auto Liability</v>
      </c>
      <c r="N350" s="68"/>
      <c r="O350" s="40"/>
      <c r="P350" s="18"/>
      <c r="Q350" s="18"/>
      <c r="R350" s="18"/>
      <c r="S350" s="18"/>
      <c r="T350" s="18"/>
      <c r="U350" s="18"/>
      <c r="V350" s="18"/>
      <c r="W350" s="18"/>
      <c r="X350" s="18"/>
      <c r="Y350" s="137" t="str">
        <f>Y$2</f>
        <v>Private Passenger Auto Liability</v>
      </c>
      <c r="Z350" s="68"/>
      <c r="AA350" s="40"/>
      <c r="AB350" s="18"/>
      <c r="AC350" s="18"/>
      <c r="AD350" s="18"/>
      <c r="AE350" s="18"/>
      <c r="AF350" s="18"/>
      <c r="AG350" s="18"/>
      <c r="AH350" s="18"/>
      <c r="AI350" s="18"/>
      <c r="AJ350" s="18"/>
      <c r="AK350" s="137" t="str">
        <f>AK$2</f>
        <v>Private Passenger Auto Liability</v>
      </c>
      <c r="AL350" s="68"/>
      <c r="AM350" s="40"/>
      <c r="AN350" s="18"/>
      <c r="AO350" s="18"/>
      <c r="AP350" s="18"/>
      <c r="AQ350" s="18"/>
      <c r="AR350" s="18"/>
      <c r="AS350" s="18"/>
      <c r="AT350" s="18"/>
      <c r="AU350" s="18"/>
      <c r="AV350" s="18"/>
      <c r="AW350" s="137" t="str">
        <f>AW$2</f>
        <v>Private Passenger Auto Physical Damage</v>
      </c>
      <c r="AX350" s="68"/>
      <c r="AY350" s="40"/>
      <c r="AZ350" s="18"/>
      <c r="BA350" s="18"/>
      <c r="BB350" s="18"/>
      <c r="BC350" s="18"/>
      <c r="BD350" s="18"/>
      <c r="BE350" s="18"/>
      <c r="BF350" s="18"/>
      <c r="BG350" s="18"/>
      <c r="BH350" s="18"/>
      <c r="BI350" s="137" t="str">
        <f>BI$2</f>
        <v>Private Passenger Auto Physical Damage</v>
      </c>
      <c r="BJ350" s="68"/>
      <c r="BK350" s="40"/>
      <c r="BL350" s="18"/>
      <c r="BM350" s="18"/>
      <c r="BN350" s="18"/>
      <c r="BO350" s="18"/>
      <c r="BP350" s="18"/>
      <c r="BQ350" s="18"/>
      <c r="BR350" s="18"/>
      <c r="BS350" s="18"/>
      <c r="BT350" s="18"/>
      <c r="BU350" s="137" t="str">
        <f>BU$2</f>
        <v>Private Passenger Auto Physical Damage</v>
      </c>
      <c r="BV350" s="68"/>
      <c r="BW350" s="40"/>
      <c r="BX350" s="18"/>
      <c r="BY350" s="18"/>
      <c r="BZ350" s="18"/>
      <c r="CA350" s="18"/>
      <c r="CB350" s="18"/>
      <c r="CC350" s="18"/>
      <c r="CD350" s="18"/>
      <c r="CE350" s="18"/>
      <c r="CF350" s="18"/>
      <c r="CG350" s="137" t="str">
        <f>CG$2</f>
        <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212</v>
      </c>
      <c r="B352" s="48"/>
      <c r="C352" s="18"/>
      <c r="D352" s="18"/>
      <c r="E352" s="18"/>
      <c r="F352" s="18"/>
      <c r="G352" s="18"/>
      <c r="H352" s="18"/>
      <c r="I352" s="18"/>
      <c r="J352" s="18"/>
      <c r="K352" s="18"/>
      <c r="L352" s="18"/>
      <c r="M352" s="48" t="s">
        <v>212</v>
      </c>
      <c r="N352" s="48"/>
      <c r="O352" s="18"/>
      <c r="P352" s="18"/>
      <c r="Q352" s="18"/>
      <c r="R352" s="18"/>
      <c r="S352" s="18"/>
      <c r="T352" s="18"/>
      <c r="U352" s="18"/>
      <c r="V352" s="18"/>
      <c r="W352" s="18"/>
      <c r="X352" s="18"/>
      <c r="Y352" s="48" t="s">
        <v>212</v>
      </c>
      <c r="Z352" s="48"/>
      <c r="AA352" s="18"/>
      <c r="AB352" s="18"/>
      <c r="AC352" s="18"/>
      <c r="AD352" s="18"/>
      <c r="AE352" s="18"/>
      <c r="AF352" s="18"/>
      <c r="AG352" s="18"/>
      <c r="AH352" s="18"/>
      <c r="AI352" s="18"/>
      <c r="AJ352" s="18"/>
      <c r="AK352" s="48" t="s">
        <v>212</v>
      </c>
      <c r="AL352" s="48"/>
      <c r="AM352" s="18"/>
      <c r="AN352" s="18"/>
      <c r="AO352" s="18"/>
      <c r="AP352" s="18"/>
      <c r="AQ352" s="18"/>
      <c r="AR352" s="18"/>
      <c r="AS352" s="18"/>
      <c r="AT352" s="18"/>
      <c r="AU352" s="18"/>
      <c r="AV352" s="18"/>
      <c r="AW352" s="48" t="s">
        <v>212</v>
      </c>
      <c r="AX352" s="48"/>
      <c r="AY352" s="18"/>
      <c r="AZ352" s="18"/>
      <c r="BA352" s="18"/>
      <c r="BB352" s="18"/>
      <c r="BC352" s="18"/>
      <c r="BD352" s="18"/>
      <c r="BE352" s="18"/>
      <c r="BF352" s="18"/>
      <c r="BG352" s="18"/>
      <c r="BH352" s="18"/>
      <c r="BI352" s="48" t="s">
        <v>212</v>
      </c>
      <c r="BJ352" s="48"/>
      <c r="BK352" s="18"/>
      <c r="BL352" s="18"/>
      <c r="BM352" s="18"/>
      <c r="BN352" s="18"/>
      <c r="BO352" s="18"/>
      <c r="BP352" s="18"/>
      <c r="BQ352" s="18"/>
      <c r="BR352" s="18"/>
      <c r="BS352" s="18"/>
      <c r="BT352" s="18"/>
      <c r="BU352" s="48" t="s">
        <v>212</v>
      </c>
      <c r="BV352" s="48"/>
      <c r="BW352" s="18"/>
      <c r="BX352" s="18"/>
      <c r="BY352" s="18"/>
      <c r="BZ352" s="18"/>
      <c r="CA352" s="18"/>
      <c r="CB352" s="18"/>
      <c r="CC352" s="18"/>
      <c r="CD352" s="18"/>
      <c r="CE352" s="18"/>
      <c r="CF352" s="18"/>
      <c r="CG352" s="48" t="s">
        <v>212</v>
      </c>
      <c r="CH352" s="48"/>
      <c r="CI352" s="18"/>
      <c r="CJ352" s="18"/>
      <c r="CK352" s="18"/>
      <c r="CL352" s="18"/>
      <c r="CM352" s="18"/>
      <c r="CN352" s="18"/>
      <c r="CO352" s="18"/>
      <c r="CP352" s="18"/>
      <c r="CQ352" s="18"/>
      <c r="CR352" s="18"/>
      <c r="CS352" s="48" t="s">
        <v>212</v>
      </c>
      <c r="CT352" s="48"/>
      <c r="CU352" s="18"/>
      <c r="CV352" s="18"/>
      <c r="CW352" s="18"/>
      <c r="CX352" s="18"/>
      <c r="CY352" s="18"/>
      <c r="CZ352" s="18"/>
      <c r="DA352" s="18"/>
      <c r="DB352" s="18"/>
      <c r="DC352" s="18"/>
      <c r="DD352" s="18"/>
      <c r="DE352" s="48" t="s">
        <v>212</v>
      </c>
      <c r="DF352" s="48"/>
      <c r="DG352" s="18"/>
      <c r="DH352" s="18"/>
      <c r="DI352" s="18"/>
      <c r="DJ352" s="18"/>
      <c r="DK352" s="18"/>
      <c r="DL352" s="18"/>
      <c r="DM352" s="18"/>
      <c r="DN352" s="18"/>
      <c r="DO352" s="18"/>
      <c r="DP352" s="18"/>
    </row>
    <row r="353" spans="1:120" x14ac:dyDescent="0.25">
      <c r="A353" s="138" t="str">
        <f>A$5</f>
        <v>BIPD</v>
      </c>
      <c r="B353" s="69"/>
      <c r="C353" s="18"/>
      <c r="D353" s="18"/>
      <c r="E353" s="18"/>
      <c r="F353" s="18"/>
      <c r="G353" s="18"/>
      <c r="H353" s="18"/>
      <c r="I353" s="18"/>
      <c r="J353" s="18"/>
      <c r="K353" s="18"/>
      <c r="L353" s="18"/>
      <c r="M353" s="138" t="str">
        <f>M$5</f>
        <v>MPC</v>
      </c>
      <c r="N353" s="69"/>
      <c r="O353" s="18"/>
      <c r="P353" s="18"/>
      <c r="Q353" s="18"/>
      <c r="R353" s="18"/>
      <c r="S353" s="18"/>
      <c r="T353" s="18"/>
      <c r="U353" s="18"/>
      <c r="V353" s="18"/>
      <c r="W353" s="18"/>
      <c r="X353" s="18"/>
      <c r="Y353" s="138" t="str">
        <f>Y$5</f>
        <v>UM</v>
      </c>
      <c r="Z353" s="69"/>
      <c r="AA353" s="18"/>
      <c r="AB353" s="18"/>
      <c r="AC353" s="18"/>
      <c r="AD353" s="18"/>
      <c r="AE353" s="18"/>
      <c r="AF353" s="18"/>
      <c r="AG353" s="18"/>
      <c r="AH353" s="18"/>
      <c r="AI353" s="18"/>
      <c r="AJ353" s="18"/>
      <c r="AK353" s="138" t="str">
        <f>AK$5</f>
        <v>COMP</v>
      </c>
      <c r="AL353" s="69"/>
      <c r="AM353" s="18"/>
      <c r="AN353" s="18"/>
      <c r="AO353" s="18"/>
      <c r="AP353" s="18"/>
      <c r="AQ353" s="18"/>
      <c r="AR353" s="18"/>
      <c r="AS353" s="18"/>
      <c r="AT353" s="18"/>
      <c r="AU353" s="18"/>
      <c r="AV353" s="18"/>
      <c r="AW353" s="138" t="str">
        <f>AW$5</f>
        <v>COLL</v>
      </c>
      <c r="AX353" s="69"/>
      <c r="AY353" s="18"/>
      <c r="AZ353" s="18"/>
      <c r="BA353" s="18"/>
      <c r="BB353" s="18"/>
      <c r="BC353" s="18"/>
      <c r="BD353" s="18"/>
      <c r="BE353" s="18"/>
      <c r="BF353" s="18"/>
      <c r="BG353" s="18"/>
      <c r="BH353" s="18"/>
      <c r="BI353" s="138" t="str">
        <f>BI$5</f>
        <v>Misc. Damage</v>
      </c>
      <c r="BJ353" s="69"/>
      <c r="BK353" s="18"/>
      <c r="BL353" s="18"/>
      <c r="BM353" s="18"/>
      <c r="BN353" s="18"/>
      <c r="BO353" s="18"/>
      <c r="BP353" s="18"/>
      <c r="BQ353" s="18"/>
      <c r="BR353" s="18"/>
      <c r="BS353" s="18"/>
      <c r="BT353" s="18"/>
      <c r="BU353" s="138" t="str">
        <f>BU$5</f>
        <v>Misc. Liability</v>
      </c>
      <c r="BV353" s="69"/>
      <c r="BW353" s="18"/>
      <c r="BX353" s="18"/>
      <c r="BY353" s="18"/>
      <c r="BZ353" s="18"/>
      <c r="CA353" s="18"/>
      <c r="CB353" s="18"/>
      <c r="CC353" s="18"/>
      <c r="CD353" s="18"/>
      <c r="CE353" s="18"/>
      <c r="CF353" s="18"/>
      <c r="CG353" s="138">
        <f>CG$5</f>
        <v>0</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ht="30" x14ac:dyDescent="0.25">
      <c r="A356" s="92" t="str">
        <f>$A$35</f>
        <v>Fiscal Accident Year Data Ending</v>
      </c>
      <c r="B356" s="98">
        <f>$B$35</f>
        <v>3</v>
      </c>
      <c r="C356" s="98" t="str">
        <f>$C$35</f>
        <v>15</v>
      </c>
      <c r="D356" s="98">
        <f>$D$35</f>
        <v>27</v>
      </c>
      <c r="E356" s="98">
        <f>$E$35</f>
        <v>39</v>
      </c>
      <c r="F356" s="98">
        <f>$F$35</f>
        <v>51</v>
      </c>
      <c r="G356" s="98">
        <f>$G$35</f>
        <v>63</v>
      </c>
      <c r="H356" s="98">
        <f>$H$35</f>
        <v>75</v>
      </c>
      <c r="I356" s="98">
        <f>$I$35</f>
        <v>87</v>
      </c>
      <c r="J356" s="98">
        <f>$J$35</f>
        <v>99</v>
      </c>
      <c r="K356" s="98">
        <f>$K$35</f>
        <v>111</v>
      </c>
      <c r="L356" s="98">
        <f>$L$35</f>
        <v>123</v>
      </c>
      <c r="M356" s="92" t="str">
        <f>$A$35</f>
        <v>Fiscal Accident Year Data Ending</v>
      </c>
      <c r="N356" s="98">
        <f>$B$35</f>
        <v>3</v>
      </c>
      <c r="O356" s="98" t="str">
        <f>$C$35</f>
        <v>15</v>
      </c>
      <c r="P356" s="98">
        <f>$D$35</f>
        <v>27</v>
      </c>
      <c r="Q356" s="98">
        <f>$E$35</f>
        <v>39</v>
      </c>
      <c r="R356" s="98">
        <f>$F$35</f>
        <v>51</v>
      </c>
      <c r="S356" s="98">
        <f>$G$35</f>
        <v>63</v>
      </c>
      <c r="T356" s="98">
        <f>$H$35</f>
        <v>75</v>
      </c>
      <c r="U356" s="98">
        <f>$I$35</f>
        <v>87</v>
      </c>
      <c r="V356" s="98">
        <f>$J$35</f>
        <v>99</v>
      </c>
      <c r="W356" s="98">
        <f>$K$35</f>
        <v>111</v>
      </c>
      <c r="X356" s="98">
        <f>$L$35</f>
        <v>123</v>
      </c>
      <c r="Y356" s="92" t="str">
        <f>$A$35</f>
        <v>Fiscal Accident Year Data Ending</v>
      </c>
      <c r="Z356" s="98">
        <f>$B$35</f>
        <v>3</v>
      </c>
      <c r="AA356" s="98" t="str">
        <f>$C$35</f>
        <v>15</v>
      </c>
      <c r="AB356" s="98">
        <f>$D$35</f>
        <v>27</v>
      </c>
      <c r="AC356" s="98">
        <f>$E$35</f>
        <v>39</v>
      </c>
      <c r="AD356" s="98">
        <f>$F$35</f>
        <v>51</v>
      </c>
      <c r="AE356" s="98">
        <f>$G$35</f>
        <v>63</v>
      </c>
      <c r="AF356" s="98">
        <f>$H$35</f>
        <v>75</v>
      </c>
      <c r="AG356" s="98">
        <f>$I$35</f>
        <v>87</v>
      </c>
      <c r="AH356" s="98">
        <f>$J$35</f>
        <v>99</v>
      </c>
      <c r="AI356" s="98">
        <f>$K$35</f>
        <v>111</v>
      </c>
      <c r="AJ356" s="98">
        <f>$L$35</f>
        <v>123</v>
      </c>
      <c r="AK356" s="92" t="str">
        <f>$A$35</f>
        <v>Fiscal Accident Year Data Ending</v>
      </c>
      <c r="AL356" s="98">
        <f>$B$35</f>
        <v>3</v>
      </c>
      <c r="AM356" s="98" t="str">
        <f>$C$35</f>
        <v>15</v>
      </c>
      <c r="AN356" s="98">
        <f>$D$35</f>
        <v>27</v>
      </c>
      <c r="AO356" s="98">
        <f>$E$35</f>
        <v>39</v>
      </c>
      <c r="AP356" s="98">
        <f>$F$35</f>
        <v>51</v>
      </c>
      <c r="AQ356" s="98">
        <f>$G$35</f>
        <v>63</v>
      </c>
      <c r="AR356" s="98">
        <f>$H$35</f>
        <v>75</v>
      </c>
      <c r="AS356" s="98">
        <f>$I$35</f>
        <v>87</v>
      </c>
      <c r="AT356" s="98">
        <f>$J$35</f>
        <v>99</v>
      </c>
      <c r="AU356" s="98">
        <f>$K$35</f>
        <v>111</v>
      </c>
      <c r="AV356" s="98">
        <f>$L$35</f>
        <v>123</v>
      </c>
      <c r="AW356" s="92" t="str">
        <f>$A$35</f>
        <v>Fiscal Accident Year Data Ending</v>
      </c>
      <c r="AX356" s="98">
        <f>$B$35</f>
        <v>3</v>
      </c>
      <c r="AY356" s="98" t="str">
        <f>$C$35</f>
        <v>15</v>
      </c>
      <c r="AZ356" s="98">
        <f>$D$35</f>
        <v>27</v>
      </c>
      <c r="BA356" s="98">
        <f>$E$35</f>
        <v>39</v>
      </c>
      <c r="BB356" s="98">
        <f>$F$35</f>
        <v>51</v>
      </c>
      <c r="BC356" s="98">
        <f>$G$35</f>
        <v>63</v>
      </c>
      <c r="BD356" s="98">
        <f>$H$35</f>
        <v>75</v>
      </c>
      <c r="BE356" s="98">
        <f>$I$35</f>
        <v>87</v>
      </c>
      <c r="BF356" s="98">
        <f>$J$35</f>
        <v>99</v>
      </c>
      <c r="BG356" s="98">
        <f>$K$35</f>
        <v>111</v>
      </c>
      <c r="BH356" s="98">
        <f>$L$35</f>
        <v>123</v>
      </c>
      <c r="BI356" s="92" t="str">
        <f>$A$35</f>
        <v>Fiscal Accident Year Data Ending</v>
      </c>
      <c r="BJ356" s="98">
        <f>$B$35</f>
        <v>3</v>
      </c>
      <c r="BK356" s="98" t="str">
        <f>$C$35</f>
        <v>15</v>
      </c>
      <c r="BL356" s="98">
        <f>$D$35</f>
        <v>27</v>
      </c>
      <c r="BM356" s="98">
        <f>$E$35</f>
        <v>39</v>
      </c>
      <c r="BN356" s="98">
        <f>$F$35</f>
        <v>51</v>
      </c>
      <c r="BO356" s="98">
        <f>$G$35</f>
        <v>63</v>
      </c>
      <c r="BP356" s="98">
        <f>$H$35</f>
        <v>75</v>
      </c>
      <c r="BQ356" s="98">
        <f>$I$35</f>
        <v>87</v>
      </c>
      <c r="BR356" s="98">
        <f>$J$35</f>
        <v>99</v>
      </c>
      <c r="BS356" s="98">
        <f>$K$35</f>
        <v>111</v>
      </c>
      <c r="BT356" s="98">
        <f>$L$35</f>
        <v>123</v>
      </c>
      <c r="BU356" s="92" t="str">
        <f>$A$35</f>
        <v>Fiscal Accident Year Data Ending</v>
      </c>
      <c r="BV356" s="98">
        <f>$B$35</f>
        <v>3</v>
      </c>
      <c r="BW356" s="98" t="str">
        <f>$C$35</f>
        <v>15</v>
      </c>
      <c r="BX356" s="98">
        <f>$D$35</f>
        <v>27</v>
      </c>
      <c r="BY356" s="98">
        <f>$E$35</f>
        <v>39</v>
      </c>
      <c r="BZ356" s="98">
        <f>$F$35</f>
        <v>51</v>
      </c>
      <c r="CA356" s="98">
        <f>$G$35</f>
        <v>63</v>
      </c>
      <c r="CB356" s="98">
        <f>$H$35</f>
        <v>75</v>
      </c>
      <c r="CC356" s="98">
        <f>$I$35</f>
        <v>87</v>
      </c>
      <c r="CD356" s="98">
        <f>$J$35</f>
        <v>99</v>
      </c>
      <c r="CE356" s="98">
        <f>$K$35</f>
        <v>111</v>
      </c>
      <c r="CF356" s="98">
        <f>$L$35</f>
        <v>123</v>
      </c>
      <c r="CG356" s="92" t="str">
        <f>$A$35</f>
        <v>Fiscal Accident Year Data Ending</v>
      </c>
      <c r="CH356" s="98">
        <f>$B$35</f>
        <v>3</v>
      </c>
      <c r="CI356" s="98" t="str">
        <f>$C$35</f>
        <v>15</v>
      </c>
      <c r="CJ356" s="98">
        <f>$D$35</f>
        <v>27</v>
      </c>
      <c r="CK356" s="98">
        <f>$E$35</f>
        <v>39</v>
      </c>
      <c r="CL356" s="98">
        <f>$F$35</f>
        <v>51</v>
      </c>
      <c r="CM356" s="98">
        <f>$G$35</f>
        <v>63</v>
      </c>
      <c r="CN356" s="98">
        <f>$H$35</f>
        <v>75</v>
      </c>
      <c r="CO356" s="98">
        <f>$I$35</f>
        <v>87</v>
      </c>
      <c r="CP356" s="98">
        <f>$J$35</f>
        <v>99</v>
      </c>
      <c r="CQ356" s="98">
        <f>$K$35</f>
        <v>111</v>
      </c>
      <c r="CR356" s="98">
        <f>$L$35</f>
        <v>123</v>
      </c>
      <c r="CS356" s="92" t="str">
        <f>$A$35</f>
        <v>Fiscal Accident Year Data Ending</v>
      </c>
      <c r="CT356" s="98">
        <f>$B$35</f>
        <v>3</v>
      </c>
      <c r="CU356" s="98" t="str">
        <f>$C$35</f>
        <v>15</v>
      </c>
      <c r="CV356" s="98">
        <f>$D$35</f>
        <v>27</v>
      </c>
      <c r="CW356" s="98">
        <f>$E$35</f>
        <v>39</v>
      </c>
      <c r="CX356" s="98">
        <f>$F$35</f>
        <v>51</v>
      </c>
      <c r="CY356" s="98">
        <f>$G$35</f>
        <v>63</v>
      </c>
      <c r="CZ356" s="98">
        <f>$H$35</f>
        <v>75</v>
      </c>
      <c r="DA356" s="98">
        <f>$I$35</f>
        <v>87</v>
      </c>
      <c r="DB356" s="98">
        <f>$J$35</f>
        <v>99</v>
      </c>
      <c r="DC356" s="98">
        <f>$K$35</f>
        <v>111</v>
      </c>
      <c r="DD356" s="98">
        <f>$L$35</f>
        <v>123</v>
      </c>
      <c r="DE356" s="92" t="str">
        <f>$A$35</f>
        <v>Fiscal Accident Year Data Ending</v>
      </c>
      <c r="DF356" s="98">
        <f>$B$35</f>
        <v>3</v>
      </c>
      <c r="DG356" s="98" t="str">
        <f>$C$35</f>
        <v>15</v>
      </c>
      <c r="DH356" s="98">
        <f>$D$35</f>
        <v>27</v>
      </c>
      <c r="DI356" s="98">
        <f>$E$35</f>
        <v>39</v>
      </c>
      <c r="DJ356" s="98">
        <f>$F$35</f>
        <v>51</v>
      </c>
      <c r="DK356" s="98">
        <f>$G$35</f>
        <v>63</v>
      </c>
      <c r="DL356" s="98">
        <f>$H$35</f>
        <v>75</v>
      </c>
      <c r="DM356" s="98">
        <f>$I$35</f>
        <v>87</v>
      </c>
      <c r="DN356" s="98">
        <f>$J$35</f>
        <v>99</v>
      </c>
      <c r="DO356" s="98">
        <f>$K$35</f>
        <v>111</v>
      </c>
      <c r="DP356" s="98">
        <f>$L$35</f>
        <v>123</v>
      </c>
    </row>
    <row r="357" spans="1:120" ht="15" customHeight="1" x14ac:dyDescent="0.25">
      <c r="A357" s="31">
        <f>$A$36</f>
        <v>20133</v>
      </c>
      <c r="B357" s="21">
        <v>17550</v>
      </c>
      <c r="C357" s="21">
        <v>132722</v>
      </c>
      <c r="D357" s="21">
        <v>147033</v>
      </c>
      <c r="E357" s="21">
        <v>151595</v>
      </c>
      <c r="F357" s="21">
        <v>152926</v>
      </c>
      <c r="G357" s="21">
        <v>153229</v>
      </c>
      <c r="H357" s="21">
        <v>153289</v>
      </c>
      <c r="I357" s="21">
        <v>153307</v>
      </c>
      <c r="J357" s="21">
        <v>153311</v>
      </c>
      <c r="K357" s="21">
        <v>153314</v>
      </c>
      <c r="L357" s="21">
        <v>153316</v>
      </c>
      <c r="M357" s="31">
        <f>$A$36</f>
        <v>20133</v>
      </c>
      <c r="N357" s="21">
        <v>1214</v>
      </c>
      <c r="O357" s="21">
        <v>13757</v>
      </c>
      <c r="P357" s="21">
        <v>15917</v>
      </c>
      <c r="Q357" s="21">
        <v>16215</v>
      </c>
      <c r="R357" s="21">
        <v>16257</v>
      </c>
      <c r="S357" s="21">
        <v>16272</v>
      </c>
      <c r="T357" s="21">
        <v>16273</v>
      </c>
      <c r="U357" s="21">
        <v>16273</v>
      </c>
      <c r="V357" s="21">
        <v>16277</v>
      </c>
      <c r="W357" s="21">
        <v>16277</v>
      </c>
      <c r="X357" s="21">
        <v>16277</v>
      </c>
      <c r="Y357" s="31">
        <f>$A$36</f>
        <v>20133</v>
      </c>
      <c r="Z357" s="21">
        <v>1302</v>
      </c>
      <c r="AA357" s="21">
        <v>14487</v>
      </c>
      <c r="AB357" s="21">
        <v>17545</v>
      </c>
      <c r="AC357" s="21">
        <v>18552</v>
      </c>
      <c r="AD357" s="21">
        <v>18826</v>
      </c>
      <c r="AE357" s="21">
        <v>18919</v>
      </c>
      <c r="AF357" s="21">
        <v>18957</v>
      </c>
      <c r="AG357" s="21">
        <v>18981</v>
      </c>
      <c r="AH357" s="21">
        <v>18989</v>
      </c>
      <c r="AI357" s="21">
        <v>18996</v>
      </c>
      <c r="AJ357" s="21">
        <v>18999</v>
      </c>
      <c r="AK357" s="31">
        <f>$A$36</f>
        <v>20133</v>
      </c>
      <c r="AL357" s="21">
        <v>13987</v>
      </c>
      <c r="AM357" s="21">
        <v>87628</v>
      </c>
      <c r="AN357" s="21">
        <v>89676</v>
      </c>
      <c r="AO357" s="21">
        <v>89916</v>
      </c>
      <c r="AP357" s="21">
        <v>89990</v>
      </c>
      <c r="AQ357" s="21">
        <v>90019</v>
      </c>
      <c r="AR357" s="21">
        <v>90025</v>
      </c>
      <c r="AS357" s="21">
        <v>90028</v>
      </c>
      <c r="AT357" s="21">
        <v>90028</v>
      </c>
      <c r="AU357" s="21">
        <v>90029</v>
      </c>
      <c r="AV357" s="21">
        <v>90032</v>
      </c>
      <c r="AW357" s="31">
        <f>$A$36</f>
        <v>20133</v>
      </c>
      <c r="AX357" s="21">
        <v>32435</v>
      </c>
      <c r="AY357" s="21">
        <v>185596</v>
      </c>
      <c r="AZ357" s="21">
        <v>189468</v>
      </c>
      <c r="BA357" s="21">
        <v>190038</v>
      </c>
      <c r="BB357" s="21">
        <v>190219</v>
      </c>
      <c r="BC357" s="21">
        <v>190280</v>
      </c>
      <c r="BD357" s="21">
        <v>190296</v>
      </c>
      <c r="BE357" s="21">
        <v>190307</v>
      </c>
      <c r="BF357" s="21">
        <v>190311</v>
      </c>
      <c r="BG357" s="21">
        <v>190311</v>
      </c>
      <c r="BH357" s="21">
        <v>190313</v>
      </c>
      <c r="BI357" s="31">
        <f>$A$36</f>
        <v>20133</v>
      </c>
      <c r="BJ357" s="21">
        <v>46058</v>
      </c>
      <c r="BK357" s="21">
        <v>274235</v>
      </c>
      <c r="BL357" s="21">
        <v>276632</v>
      </c>
      <c r="BM357" s="21">
        <v>276834</v>
      </c>
      <c r="BN357" s="21">
        <v>276900</v>
      </c>
      <c r="BO357" s="21">
        <v>276929</v>
      </c>
      <c r="BP357" s="21">
        <v>276932</v>
      </c>
      <c r="BQ357" s="21">
        <v>276935</v>
      </c>
      <c r="BR357" s="21">
        <v>276935</v>
      </c>
      <c r="BS357" s="21">
        <v>276937</v>
      </c>
      <c r="BT357" s="21">
        <v>276937</v>
      </c>
      <c r="BU357" s="31">
        <f>$A$36</f>
        <v>20133</v>
      </c>
      <c r="BV357" s="21">
        <v>3</v>
      </c>
      <c r="BW357" s="21">
        <v>21</v>
      </c>
      <c r="BX357" s="21">
        <v>22</v>
      </c>
      <c r="BY357" s="21">
        <v>22</v>
      </c>
      <c r="BZ357" s="21">
        <v>22</v>
      </c>
      <c r="CA357" s="21">
        <v>22</v>
      </c>
      <c r="CB357" s="21">
        <v>22</v>
      </c>
      <c r="CC357" s="21">
        <v>22</v>
      </c>
      <c r="CD357" s="21">
        <v>22</v>
      </c>
      <c r="CE357" s="21">
        <v>22</v>
      </c>
      <c r="CF357" s="21">
        <v>22</v>
      </c>
      <c r="CG357" s="31">
        <f>$A$36</f>
        <v>20133</v>
      </c>
      <c r="CH357" s="21"/>
      <c r="CI357" s="21"/>
      <c r="CJ357" s="21"/>
      <c r="CK357" s="21"/>
      <c r="CL357" s="21"/>
      <c r="CM357" s="21"/>
      <c r="CN357" s="21"/>
      <c r="CO357" s="21"/>
      <c r="CP357" s="21"/>
      <c r="CQ357" s="21"/>
      <c r="CR357" s="21"/>
      <c r="CS357" s="31">
        <f>$A$36</f>
        <v>20133</v>
      </c>
      <c r="CT357" s="21"/>
      <c r="CU357" s="21"/>
      <c r="CV357" s="21"/>
      <c r="CW357" s="21"/>
      <c r="CX357" s="21"/>
      <c r="CY357" s="21"/>
      <c r="CZ357" s="21"/>
      <c r="DA357" s="21"/>
      <c r="DB357" s="21"/>
      <c r="DC357" s="21"/>
      <c r="DD357" s="21"/>
      <c r="DE357" s="31">
        <f>$A$36</f>
        <v>20133</v>
      </c>
      <c r="DF357" s="21"/>
      <c r="DG357" s="21"/>
      <c r="DH357" s="21"/>
      <c r="DI357" s="21"/>
      <c r="DJ357" s="21"/>
      <c r="DK357" s="21"/>
      <c r="DL357" s="21"/>
      <c r="DM357" s="21"/>
      <c r="DN357" s="21"/>
      <c r="DO357" s="21"/>
      <c r="DP357" s="21"/>
    </row>
    <row r="358" spans="1:120" ht="15" customHeight="1" x14ac:dyDescent="0.25">
      <c r="A358" s="31">
        <f>$A$37</f>
        <v>20143</v>
      </c>
      <c r="B358" s="21">
        <v>18204</v>
      </c>
      <c r="C358" s="21">
        <v>139085</v>
      </c>
      <c r="D358" s="21">
        <v>155646</v>
      </c>
      <c r="E358" s="21">
        <v>159840</v>
      </c>
      <c r="F358" s="21">
        <v>161037</v>
      </c>
      <c r="G358" s="21">
        <v>161366</v>
      </c>
      <c r="H358" s="21">
        <v>161434</v>
      </c>
      <c r="I358" s="21">
        <v>161449</v>
      </c>
      <c r="J358" s="21">
        <v>161460</v>
      </c>
      <c r="K358" s="21">
        <v>161465</v>
      </c>
      <c r="L358" s="134" t="s">
        <v>246</v>
      </c>
      <c r="M358" s="31">
        <f>$A$37</f>
        <v>20143</v>
      </c>
      <c r="N358" s="21">
        <v>1340</v>
      </c>
      <c r="O358" s="21">
        <v>13864</v>
      </c>
      <c r="P358" s="21">
        <v>16088</v>
      </c>
      <c r="Q358" s="21">
        <v>16389</v>
      </c>
      <c r="R358" s="21">
        <v>16442</v>
      </c>
      <c r="S358" s="21">
        <v>16458</v>
      </c>
      <c r="T358" s="21">
        <v>16463</v>
      </c>
      <c r="U358" s="21">
        <v>16466</v>
      </c>
      <c r="V358" s="21">
        <v>16467</v>
      </c>
      <c r="W358" s="21">
        <v>16467</v>
      </c>
      <c r="X358" s="134" t="s">
        <v>246</v>
      </c>
      <c r="Y358" s="31">
        <f>$A$37</f>
        <v>20143</v>
      </c>
      <c r="Z358" s="21">
        <v>1406</v>
      </c>
      <c r="AA358" s="21">
        <v>14724</v>
      </c>
      <c r="AB358" s="21">
        <v>18430</v>
      </c>
      <c r="AC358" s="21">
        <v>19587</v>
      </c>
      <c r="AD358" s="21">
        <v>19867</v>
      </c>
      <c r="AE358" s="21">
        <v>19971</v>
      </c>
      <c r="AF358" s="21">
        <v>20009</v>
      </c>
      <c r="AG358" s="21">
        <v>20022</v>
      </c>
      <c r="AH358" s="21">
        <v>20030</v>
      </c>
      <c r="AI358" s="21">
        <v>20037</v>
      </c>
      <c r="AJ358" s="134" t="s">
        <v>246</v>
      </c>
      <c r="AK358" s="31">
        <f>$A$37</f>
        <v>20143</v>
      </c>
      <c r="AL358" s="21">
        <v>14282</v>
      </c>
      <c r="AM358" s="21">
        <v>84491</v>
      </c>
      <c r="AN358" s="21">
        <v>86477</v>
      </c>
      <c r="AO358" s="21">
        <v>86708</v>
      </c>
      <c r="AP358" s="21">
        <v>86788</v>
      </c>
      <c r="AQ358" s="21">
        <v>86811</v>
      </c>
      <c r="AR358" s="21">
        <v>86824</v>
      </c>
      <c r="AS358" s="21">
        <v>86831</v>
      </c>
      <c r="AT358" s="21">
        <v>86836</v>
      </c>
      <c r="AU358" s="21">
        <v>86837</v>
      </c>
      <c r="AV358" s="134" t="s">
        <v>246</v>
      </c>
      <c r="AW358" s="31">
        <f>$A$37</f>
        <v>20143</v>
      </c>
      <c r="AX358" s="21">
        <v>34010</v>
      </c>
      <c r="AY358" s="21">
        <v>195791</v>
      </c>
      <c r="AZ358" s="21">
        <v>199656</v>
      </c>
      <c r="BA358" s="21">
        <v>200216</v>
      </c>
      <c r="BB358" s="21">
        <v>200370</v>
      </c>
      <c r="BC358" s="21">
        <v>200434</v>
      </c>
      <c r="BD358" s="21">
        <v>200451</v>
      </c>
      <c r="BE358" s="21">
        <v>200457</v>
      </c>
      <c r="BF358" s="21">
        <v>200460</v>
      </c>
      <c r="BG358" s="21">
        <v>200460</v>
      </c>
      <c r="BH358" s="134" t="s">
        <v>246</v>
      </c>
      <c r="BI358" s="31">
        <f>$A$37</f>
        <v>20143</v>
      </c>
      <c r="BJ358" s="21">
        <v>55498</v>
      </c>
      <c r="BK358" s="21">
        <v>295808</v>
      </c>
      <c r="BL358" s="21">
        <v>298055</v>
      </c>
      <c r="BM358" s="21">
        <v>298300</v>
      </c>
      <c r="BN358" s="21">
        <v>298380</v>
      </c>
      <c r="BO358" s="21">
        <v>298401</v>
      </c>
      <c r="BP358" s="21">
        <v>298404</v>
      </c>
      <c r="BQ358" s="21">
        <v>298404</v>
      </c>
      <c r="BR358" s="21">
        <v>298405</v>
      </c>
      <c r="BS358" s="21">
        <v>298406</v>
      </c>
      <c r="BT358" s="134" t="s">
        <v>246</v>
      </c>
      <c r="BU358" s="31">
        <f>$A$37</f>
        <v>20143</v>
      </c>
      <c r="BV358" s="21">
        <v>2</v>
      </c>
      <c r="BW358" s="21">
        <v>30</v>
      </c>
      <c r="BX358" s="21">
        <v>33</v>
      </c>
      <c r="BY358" s="21">
        <v>33</v>
      </c>
      <c r="BZ358" s="21">
        <v>35</v>
      </c>
      <c r="CA358" s="21">
        <v>35</v>
      </c>
      <c r="CB358" s="21">
        <v>35</v>
      </c>
      <c r="CC358" s="21">
        <v>35</v>
      </c>
      <c r="CD358" s="21">
        <v>35</v>
      </c>
      <c r="CE358" s="21">
        <v>35</v>
      </c>
      <c r="CF358" s="134" t="s">
        <v>246</v>
      </c>
      <c r="CG358" s="31">
        <f>$A$37</f>
        <v>20143</v>
      </c>
      <c r="CH358" s="21"/>
      <c r="CI358" s="21"/>
      <c r="CJ358" s="21"/>
      <c r="CK358" s="21"/>
      <c r="CL358" s="21"/>
      <c r="CM358" s="21"/>
      <c r="CN358" s="21"/>
      <c r="CO358" s="21"/>
      <c r="CP358" s="21"/>
      <c r="CQ358" s="21"/>
      <c r="CR358" s="134"/>
      <c r="CS358" s="31">
        <f>$A$37</f>
        <v>20143</v>
      </c>
      <c r="CT358" s="21"/>
      <c r="CU358" s="21"/>
      <c r="CV358" s="21"/>
      <c r="CW358" s="21"/>
      <c r="CX358" s="21"/>
      <c r="CY358" s="21"/>
      <c r="CZ358" s="21"/>
      <c r="DA358" s="21"/>
      <c r="DB358" s="21"/>
      <c r="DC358" s="21"/>
      <c r="DD358" s="134"/>
      <c r="DE358" s="31">
        <f>$A$37</f>
        <v>20143</v>
      </c>
      <c r="DF358" s="21"/>
      <c r="DG358" s="21"/>
      <c r="DH358" s="21"/>
      <c r="DI358" s="21"/>
      <c r="DJ358" s="21"/>
      <c r="DK358" s="21"/>
      <c r="DL358" s="21"/>
      <c r="DM358" s="21"/>
      <c r="DN358" s="21"/>
      <c r="DO358" s="21"/>
      <c r="DP358" s="134"/>
    </row>
    <row r="359" spans="1:120" ht="15" customHeight="1" x14ac:dyDescent="0.25">
      <c r="A359" s="31">
        <f>$A$38</f>
        <v>20153</v>
      </c>
      <c r="B359" s="21">
        <v>19466</v>
      </c>
      <c r="C359" s="21">
        <v>150557</v>
      </c>
      <c r="D359" s="21">
        <v>166453</v>
      </c>
      <c r="E359" s="21">
        <v>170247</v>
      </c>
      <c r="F359" s="21">
        <v>171332</v>
      </c>
      <c r="G359" s="21">
        <v>171739</v>
      </c>
      <c r="H359" s="21">
        <v>171818</v>
      </c>
      <c r="I359" s="21">
        <v>171852</v>
      </c>
      <c r="J359" s="21">
        <v>171874</v>
      </c>
      <c r="K359" s="134" t="s">
        <v>246</v>
      </c>
      <c r="L359" s="134" t="s">
        <v>246</v>
      </c>
      <c r="M359" s="31">
        <f>$A$38</f>
        <v>20153</v>
      </c>
      <c r="N359" s="21">
        <v>1178</v>
      </c>
      <c r="O359" s="21">
        <v>13604</v>
      </c>
      <c r="P359" s="21">
        <v>15960</v>
      </c>
      <c r="Q359" s="21">
        <v>16305</v>
      </c>
      <c r="R359" s="21">
        <v>16382</v>
      </c>
      <c r="S359" s="21">
        <v>16406</v>
      </c>
      <c r="T359" s="21">
        <v>16412</v>
      </c>
      <c r="U359" s="21">
        <v>16413</v>
      </c>
      <c r="V359" s="21">
        <v>16414</v>
      </c>
      <c r="W359" s="134" t="s">
        <v>246</v>
      </c>
      <c r="X359" s="134" t="s">
        <v>246</v>
      </c>
      <c r="Y359" s="31">
        <f>$A$38</f>
        <v>20153</v>
      </c>
      <c r="Z359" s="21">
        <v>1104</v>
      </c>
      <c r="AA359" s="21">
        <v>16338</v>
      </c>
      <c r="AB359" s="21">
        <v>20939</v>
      </c>
      <c r="AC359" s="21">
        <v>22124</v>
      </c>
      <c r="AD359" s="21">
        <v>22424</v>
      </c>
      <c r="AE359" s="21">
        <v>22569</v>
      </c>
      <c r="AF359" s="21">
        <v>22611</v>
      </c>
      <c r="AG359" s="21">
        <v>22631</v>
      </c>
      <c r="AH359" s="21">
        <v>22636</v>
      </c>
      <c r="AI359" s="134" t="s">
        <v>246</v>
      </c>
      <c r="AJ359" s="134" t="s">
        <v>246</v>
      </c>
      <c r="AK359" s="31">
        <f>$A$38</f>
        <v>20153</v>
      </c>
      <c r="AL359" s="21">
        <v>13684</v>
      </c>
      <c r="AM359" s="21">
        <v>88013</v>
      </c>
      <c r="AN359" s="21">
        <v>89953</v>
      </c>
      <c r="AO359" s="21">
        <v>90213</v>
      </c>
      <c r="AP359" s="21">
        <v>90303</v>
      </c>
      <c r="AQ359" s="21">
        <v>90331</v>
      </c>
      <c r="AR359" s="21">
        <v>90345</v>
      </c>
      <c r="AS359" s="21">
        <v>90348</v>
      </c>
      <c r="AT359" s="21">
        <v>90350</v>
      </c>
      <c r="AU359" s="134" t="s">
        <v>246</v>
      </c>
      <c r="AV359" s="134" t="s">
        <v>246</v>
      </c>
      <c r="AW359" s="31">
        <f>$A$38</f>
        <v>20153</v>
      </c>
      <c r="AX359" s="21">
        <v>35535</v>
      </c>
      <c r="AY359" s="21">
        <v>208878</v>
      </c>
      <c r="AZ359" s="21">
        <v>213088</v>
      </c>
      <c r="BA359" s="21">
        <v>213694</v>
      </c>
      <c r="BB359" s="21">
        <v>213858</v>
      </c>
      <c r="BC359" s="21">
        <v>213917</v>
      </c>
      <c r="BD359" s="21">
        <v>213934</v>
      </c>
      <c r="BE359" s="21">
        <v>213943</v>
      </c>
      <c r="BF359" s="21">
        <v>213947</v>
      </c>
      <c r="BG359" s="134" t="s">
        <v>246</v>
      </c>
      <c r="BH359" s="134" t="s">
        <v>246</v>
      </c>
      <c r="BI359" s="31">
        <f>$A$38</f>
        <v>20153</v>
      </c>
      <c r="BJ359" s="21">
        <v>61997</v>
      </c>
      <c r="BK359" s="21">
        <v>326305</v>
      </c>
      <c r="BL359" s="21">
        <v>329215</v>
      </c>
      <c r="BM359" s="21">
        <v>329445</v>
      </c>
      <c r="BN359" s="21">
        <v>329505</v>
      </c>
      <c r="BO359" s="21">
        <v>329522</v>
      </c>
      <c r="BP359" s="21">
        <v>329523</v>
      </c>
      <c r="BQ359" s="21">
        <v>329526</v>
      </c>
      <c r="BR359" s="21">
        <v>329527</v>
      </c>
      <c r="BS359" s="134" t="s">
        <v>246</v>
      </c>
      <c r="BT359" s="134" t="s">
        <v>246</v>
      </c>
      <c r="BU359" s="31">
        <f>$A$38</f>
        <v>20153</v>
      </c>
      <c r="BV359" s="21">
        <v>4</v>
      </c>
      <c r="BW359" s="21">
        <v>40</v>
      </c>
      <c r="BX359" s="21">
        <v>45</v>
      </c>
      <c r="BY359" s="21">
        <v>45</v>
      </c>
      <c r="BZ359" s="21">
        <v>45</v>
      </c>
      <c r="CA359" s="21">
        <v>45</v>
      </c>
      <c r="CB359" s="21">
        <v>45</v>
      </c>
      <c r="CC359" s="21">
        <v>45</v>
      </c>
      <c r="CD359" s="21">
        <v>45</v>
      </c>
      <c r="CE359" s="134" t="s">
        <v>246</v>
      </c>
      <c r="CF359" s="134" t="s">
        <v>246</v>
      </c>
      <c r="CG359" s="31">
        <f>$A$38</f>
        <v>20153</v>
      </c>
      <c r="CH359" s="21"/>
      <c r="CI359" s="21"/>
      <c r="CJ359" s="21"/>
      <c r="CK359" s="21"/>
      <c r="CL359" s="21"/>
      <c r="CM359" s="21"/>
      <c r="CN359" s="21"/>
      <c r="CO359" s="21"/>
      <c r="CP359" s="21"/>
      <c r="CQ359" s="134"/>
      <c r="CR359" s="134"/>
      <c r="CS359" s="31">
        <f>$A$38</f>
        <v>20153</v>
      </c>
      <c r="CT359" s="21"/>
      <c r="CU359" s="21"/>
      <c r="CV359" s="21"/>
      <c r="CW359" s="21"/>
      <c r="CX359" s="21"/>
      <c r="CY359" s="21"/>
      <c r="CZ359" s="21"/>
      <c r="DA359" s="21"/>
      <c r="DB359" s="21"/>
      <c r="DC359" s="134"/>
      <c r="DD359" s="134"/>
      <c r="DE359" s="31">
        <f>$A$38</f>
        <v>20153</v>
      </c>
      <c r="DF359" s="21"/>
      <c r="DG359" s="21"/>
      <c r="DH359" s="21"/>
      <c r="DI359" s="21"/>
      <c r="DJ359" s="21"/>
      <c r="DK359" s="21"/>
      <c r="DL359" s="21"/>
      <c r="DM359" s="21"/>
      <c r="DN359" s="21"/>
      <c r="DO359" s="134"/>
      <c r="DP359" s="134"/>
    </row>
    <row r="360" spans="1:120" ht="15" customHeight="1" x14ac:dyDescent="0.25">
      <c r="A360" s="31">
        <f>$A$39</f>
        <v>20163</v>
      </c>
      <c r="B360" s="21">
        <v>19814</v>
      </c>
      <c r="C360" s="21">
        <v>158932</v>
      </c>
      <c r="D360" s="21">
        <v>175095</v>
      </c>
      <c r="E360" s="21">
        <v>179189</v>
      </c>
      <c r="F360" s="21">
        <v>180594</v>
      </c>
      <c r="G360" s="21">
        <v>180945</v>
      </c>
      <c r="H360" s="21">
        <v>181088</v>
      </c>
      <c r="I360" s="21">
        <v>181179</v>
      </c>
      <c r="J360" s="134" t="s">
        <v>246</v>
      </c>
      <c r="K360" s="134" t="s">
        <v>246</v>
      </c>
      <c r="L360" s="134" t="s">
        <v>246</v>
      </c>
      <c r="M360" s="31">
        <f>$A$39</f>
        <v>20163</v>
      </c>
      <c r="N360" s="21">
        <v>1150</v>
      </c>
      <c r="O360" s="21">
        <v>13625</v>
      </c>
      <c r="P360" s="21">
        <v>16222</v>
      </c>
      <c r="Q360" s="21">
        <v>16636</v>
      </c>
      <c r="R360" s="21">
        <v>16695</v>
      </c>
      <c r="S360" s="21">
        <v>16716</v>
      </c>
      <c r="T360" s="21">
        <v>16726</v>
      </c>
      <c r="U360" s="21">
        <v>16728</v>
      </c>
      <c r="V360" s="134" t="s">
        <v>246</v>
      </c>
      <c r="W360" s="134" t="s">
        <v>246</v>
      </c>
      <c r="X360" s="134" t="s">
        <v>246</v>
      </c>
      <c r="Y360" s="31">
        <f>$A$39</f>
        <v>20163</v>
      </c>
      <c r="Z360" s="21">
        <v>1354</v>
      </c>
      <c r="AA360" s="21">
        <v>19041</v>
      </c>
      <c r="AB360" s="21">
        <v>24296</v>
      </c>
      <c r="AC360" s="21">
        <v>25531</v>
      </c>
      <c r="AD360" s="21">
        <v>25889</v>
      </c>
      <c r="AE360" s="21">
        <v>26019</v>
      </c>
      <c r="AF360" s="21">
        <v>26072</v>
      </c>
      <c r="AG360" s="21">
        <v>26100</v>
      </c>
      <c r="AH360" s="134" t="s">
        <v>246</v>
      </c>
      <c r="AI360" s="134" t="s">
        <v>246</v>
      </c>
      <c r="AJ360" s="134" t="s">
        <v>246</v>
      </c>
      <c r="AK360" s="31">
        <f>$A$39</f>
        <v>20163</v>
      </c>
      <c r="AL360" s="21">
        <v>14470</v>
      </c>
      <c r="AM360" s="21">
        <v>93002</v>
      </c>
      <c r="AN360" s="21">
        <v>95138</v>
      </c>
      <c r="AO360" s="21">
        <v>95395</v>
      </c>
      <c r="AP360" s="21">
        <v>95471</v>
      </c>
      <c r="AQ360" s="21">
        <v>95500</v>
      </c>
      <c r="AR360" s="21">
        <v>95520</v>
      </c>
      <c r="AS360" s="21">
        <v>95526</v>
      </c>
      <c r="AT360" s="134" t="s">
        <v>246</v>
      </c>
      <c r="AU360" s="134" t="s">
        <v>246</v>
      </c>
      <c r="AV360" s="134" t="s">
        <v>246</v>
      </c>
      <c r="AW360" s="31">
        <f>$A$39</f>
        <v>20163</v>
      </c>
      <c r="AX360" s="21">
        <v>37217</v>
      </c>
      <c r="AY360" s="21">
        <v>222524</v>
      </c>
      <c r="AZ360" s="21">
        <v>227100</v>
      </c>
      <c r="BA360" s="21">
        <v>227747</v>
      </c>
      <c r="BB360" s="21">
        <v>227956</v>
      </c>
      <c r="BC360" s="21">
        <v>228026</v>
      </c>
      <c r="BD360" s="21">
        <v>228059</v>
      </c>
      <c r="BE360" s="21">
        <v>228068</v>
      </c>
      <c r="BF360" s="134" t="s">
        <v>246</v>
      </c>
      <c r="BG360" s="134" t="s">
        <v>246</v>
      </c>
      <c r="BH360" s="134" t="s">
        <v>246</v>
      </c>
      <c r="BI360" s="31">
        <f>$A$39</f>
        <v>20163</v>
      </c>
      <c r="BJ360" s="21">
        <v>64125</v>
      </c>
      <c r="BK360" s="21">
        <v>347955</v>
      </c>
      <c r="BL360" s="21">
        <v>351028</v>
      </c>
      <c r="BM360" s="21">
        <v>351307</v>
      </c>
      <c r="BN360" s="21">
        <v>351385</v>
      </c>
      <c r="BO360" s="21">
        <v>351404</v>
      </c>
      <c r="BP360" s="21">
        <v>351411</v>
      </c>
      <c r="BQ360" s="21">
        <v>351413</v>
      </c>
      <c r="BR360" s="134" t="s">
        <v>246</v>
      </c>
      <c r="BS360" s="134" t="s">
        <v>246</v>
      </c>
      <c r="BT360" s="134" t="s">
        <v>246</v>
      </c>
      <c r="BU360" s="31">
        <f>$A$39</f>
        <v>20163</v>
      </c>
      <c r="BV360" s="21">
        <v>2</v>
      </c>
      <c r="BW360" s="21">
        <v>20</v>
      </c>
      <c r="BX360" s="21">
        <v>25</v>
      </c>
      <c r="BY360" s="21">
        <v>26</v>
      </c>
      <c r="BZ360" s="21">
        <v>26</v>
      </c>
      <c r="CA360" s="21">
        <v>26</v>
      </c>
      <c r="CB360" s="21">
        <v>26</v>
      </c>
      <c r="CC360" s="21">
        <v>26</v>
      </c>
      <c r="CD360" s="134" t="s">
        <v>246</v>
      </c>
      <c r="CE360" s="134" t="s">
        <v>246</v>
      </c>
      <c r="CF360" s="134" t="s">
        <v>246</v>
      </c>
      <c r="CG360" s="31">
        <f>$A$39</f>
        <v>20163</v>
      </c>
      <c r="CH360" s="21"/>
      <c r="CI360" s="21"/>
      <c r="CJ360" s="21"/>
      <c r="CK360" s="21"/>
      <c r="CL360" s="21"/>
      <c r="CM360" s="21"/>
      <c r="CN360" s="21"/>
      <c r="CO360" s="21"/>
      <c r="CP360" s="134"/>
      <c r="CQ360" s="134"/>
      <c r="CR360" s="134"/>
      <c r="CS360" s="31">
        <f>$A$39</f>
        <v>20163</v>
      </c>
      <c r="CT360" s="21"/>
      <c r="CU360" s="21"/>
      <c r="CV360" s="21"/>
      <c r="CW360" s="21"/>
      <c r="CX360" s="21"/>
      <c r="CY360" s="21"/>
      <c r="CZ360" s="21"/>
      <c r="DA360" s="21"/>
      <c r="DB360" s="134"/>
      <c r="DC360" s="134"/>
      <c r="DD360" s="134"/>
      <c r="DE360" s="31">
        <f>$A$39</f>
        <v>20163</v>
      </c>
      <c r="DF360" s="21"/>
      <c r="DG360" s="21"/>
      <c r="DH360" s="21"/>
      <c r="DI360" s="21"/>
      <c r="DJ360" s="21"/>
      <c r="DK360" s="21"/>
      <c r="DL360" s="21"/>
      <c r="DM360" s="21"/>
      <c r="DN360" s="134"/>
      <c r="DO360" s="134"/>
      <c r="DP360" s="134"/>
    </row>
    <row r="361" spans="1:120" ht="15" customHeight="1" x14ac:dyDescent="0.25">
      <c r="A361" s="31">
        <f>$A$40</f>
        <v>20173</v>
      </c>
      <c r="B361" s="21">
        <v>20573</v>
      </c>
      <c r="C361" s="21">
        <v>156489</v>
      </c>
      <c r="D361" s="21">
        <v>172191</v>
      </c>
      <c r="E361" s="21">
        <v>176528</v>
      </c>
      <c r="F361" s="21">
        <v>177765</v>
      </c>
      <c r="G361" s="21">
        <v>178312</v>
      </c>
      <c r="H361" s="21">
        <v>178638</v>
      </c>
      <c r="I361" s="134" t="s">
        <v>246</v>
      </c>
      <c r="J361" s="134" t="s">
        <v>246</v>
      </c>
      <c r="K361" s="134" t="s">
        <v>246</v>
      </c>
      <c r="L361" s="134" t="s">
        <v>246</v>
      </c>
      <c r="M361" s="31">
        <f>$A$40</f>
        <v>20173</v>
      </c>
      <c r="N361" s="21">
        <v>1292</v>
      </c>
      <c r="O361" s="21">
        <v>13470</v>
      </c>
      <c r="P361" s="21">
        <v>16129</v>
      </c>
      <c r="Q361" s="21">
        <v>16520</v>
      </c>
      <c r="R361" s="21">
        <v>16582</v>
      </c>
      <c r="S361" s="21">
        <v>16601</v>
      </c>
      <c r="T361" s="21">
        <v>16607</v>
      </c>
      <c r="U361" s="134" t="s">
        <v>246</v>
      </c>
      <c r="V361" s="134" t="s">
        <v>246</v>
      </c>
      <c r="W361" s="134" t="s">
        <v>246</v>
      </c>
      <c r="X361" s="134" t="s">
        <v>246</v>
      </c>
      <c r="Y361" s="31">
        <f>$A$40</f>
        <v>20173</v>
      </c>
      <c r="Z361" s="21">
        <v>1589</v>
      </c>
      <c r="AA361" s="21">
        <v>20262</v>
      </c>
      <c r="AB361" s="21">
        <v>26031</v>
      </c>
      <c r="AC361" s="21">
        <v>27354</v>
      </c>
      <c r="AD361" s="21">
        <v>27667</v>
      </c>
      <c r="AE361" s="21">
        <v>27797</v>
      </c>
      <c r="AF361" s="21">
        <v>27856</v>
      </c>
      <c r="AG361" s="134" t="s">
        <v>246</v>
      </c>
      <c r="AH361" s="134" t="s">
        <v>246</v>
      </c>
      <c r="AI361" s="134" t="s">
        <v>246</v>
      </c>
      <c r="AJ361" s="134" t="s">
        <v>246</v>
      </c>
      <c r="AK361" s="31">
        <f>$A$40</f>
        <v>20173</v>
      </c>
      <c r="AL361" s="21">
        <v>14734</v>
      </c>
      <c r="AM361" s="21">
        <v>103089</v>
      </c>
      <c r="AN361" s="21">
        <v>105376</v>
      </c>
      <c r="AO361" s="21">
        <v>105632</v>
      </c>
      <c r="AP361" s="21">
        <v>105713</v>
      </c>
      <c r="AQ361" s="21">
        <v>105755</v>
      </c>
      <c r="AR361" s="21">
        <v>105764</v>
      </c>
      <c r="AS361" s="134" t="s">
        <v>246</v>
      </c>
      <c r="AT361" s="134" t="s">
        <v>246</v>
      </c>
      <c r="AU361" s="134" t="s">
        <v>246</v>
      </c>
      <c r="AV361" s="134" t="s">
        <v>246</v>
      </c>
      <c r="AW361" s="31">
        <f>$A$40</f>
        <v>20173</v>
      </c>
      <c r="AX361" s="21">
        <v>38477</v>
      </c>
      <c r="AY361" s="21">
        <v>225594</v>
      </c>
      <c r="AZ361" s="21">
        <v>230207</v>
      </c>
      <c r="BA361" s="21">
        <v>230921</v>
      </c>
      <c r="BB361" s="21">
        <v>231176</v>
      </c>
      <c r="BC361" s="21">
        <v>231275</v>
      </c>
      <c r="BD361" s="21">
        <v>231292</v>
      </c>
      <c r="BE361" s="134" t="s">
        <v>246</v>
      </c>
      <c r="BF361" s="134" t="s">
        <v>246</v>
      </c>
      <c r="BG361" s="134" t="s">
        <v>246</v>
      </c>
      <c r="BH361" s="134" t="s">
        <v>246</v>
      </c>
      <c r="BI361" s="31">
        <f>$A$40</f>
        <v>20173</v>
      </c>
      <c r="BJ361" s="21">
        <v>69438</v>
      </c>
      <c r="BK361" s="21">
        <v>374553</v>
      </c>
      <c r="BL361" s="21">
        <v>377647</v>
      </c>
      <c r="BM361" s="21">
        <v>377979</v>
      </c>
      <c r="BN361" s="21">
        <v>378040</v>
      </c>
      <c r="BO361" s="21">
        <v>378068</v>
      </c>
      <c r="BP361" s="21">
        <v>378074</v>
      </c>
      <c r="BQ361" s="134" t="s">
        <v>246</v>
      </c>
      <c r="BR361" s="134" t="s">
        <v>246</v>
      </c>
      <c r="BS361" s="134" t="s">
        <v>246</v>
      </c>
      <c r="BT361" s="134" t="s">
        <v>246</v>
      </c>
      <c r="BU361" s="31">
        <f>$A$40</f>
        <v>20173</v>
      </c>
      <c r="BV361" s="21">
        <v>3</v>
      </c>
      <c r="BW361" s="21">
        <v>28</v>
      </c>
      <c r="BX361" s="21">
        <v>30</v>
      </c>
      <c r="BY361" s="21">
        <v>31</v>
      </c>
      <c r="BZ361" s="21">
        <v>31</v>
      </c>
      <c r="CA361" s="21">
        <v>31</v>
      </c>
      <c r="CB361" s="21">
        <v>31</v>
      </c>
      <c r="CC361" s="134" t="s">
        <v>246</v>
      </c>
      <c r="CD361" s="134" t="s">
        <v>246</v>
      </c>
      <c r="CE361" s="134" t="s">
        <v>246</v>
      </c>
      <c r="CF361" s="134" t="s">
        <v>246</v>
      </c>
      <c r="CG361" s="31">
        <f>$A$40</f>
        <v>20173</v>
      </c>
      <c r="CH361" s="21"/>
      <c r="CI361" s="21"/>
      <c r="CJ361" s="21"/>
      <c r="CK361" s="21"/>
      <c r="CL361" s="21"/>
      <c r="CM361" s="21"/>
      <c r="CN361" s="21"/>
      <c r="CO361" s="134"/>
      <c r="CP361" s="134"/>
      <c r="CQ361" s="134"/>
      <c r="CR361" s="134"/>
      <c r="CS361" s="31">
        <f>$A$40</f>
        <v>20173</v>
      </c>
      <c r="CT361" s="21"/>
      <c r="CU361" s="21"/>
      <c r="CV361" s="21"/>
      <c r="CW361" s="21"/>
      <c r="CX361" s="21"/>
      <c r="CY361" s="21"/>
      <c r="CZ361" s="21"/>
      <c r="DA361" s="134"/>
      <c r="DB361" s="134"/>
      <c r="DC361" s="134"/>
      <c r="DD361" s="134"/>
      <c r="DE361" s="31">
        <f>$A$40</f>
        <v>20173</v>
      </c>
      <c r="DF361" s="21"/>
      <c r="DG361" s="21"/>
      <c r="DH361" s="21"/>
      <c r="DI361" s="21"/>
      <c r="DJ361" s="21"/>
      <c r="DK361" s="21"/>
      <c r="DL361" s="21"/>
      <c r="DM361" s="134"/>
      <c r="DN361" s="134"/>
      <c r="DO361" s="134"/>
      <c r="DP361" s="134"/>
    </row>
    <row r="362" spans="1:120" ht="15" customHeight="1" x14ac:dyDescent="0.25">
      <c r="A362" s="31">
        <f>$A$41</f>
        <v>20183</v>
      </c>
      <c r="B362" s="21">
        <v>20382</v>
      </c>
      <c r="C362" s="21">
        <v>145073</v>
      </c>
      <c r="D362" s="21">
        <v>161397</v>
      </c>
      <c r="E362" s="21">
        <v>165387</v>
      </c>
      <c r="F362" s="21">
        <v>166783</v>
      </c>
      <c r="G362" s="21">
        <v>167521</v>
      </c>
      <c r="H362" s="134" t="s">
        <v>246</v>
      </c>
      <c r="I362" s="134" t="s">
        <v>246</v>
      </c>
      <c r="J362" s="134" t="s">
        <v>246</v>
      </c>
      <c r="K362" s="134" t="s">
        <v>246</v>
      </c>
      <c r="L362" s="134" t="s">
        <v>246</v>
      </c>
      <c r="M362" s="31">
        <f>$A$41</f>
        <v>20183</v>
      </c>
      <c r="N362" s="21">
        <v>1158</v>
      </c>
      <c r="O362" s="21">
        <v>12859</v>
      </c>
      <c r="P362" s="21">
        <v>15377</v>
      </c>
      <c r="Q362" s="21">
        <v>15729</v>
      </c>
      <c r="R362" s="21">
        <v>15801</v>
      </c>
      <c r="S362" s="21">
        <v>15832</v>
      </c>
      <c r="T362" s="134" t="s">
        <v>246</v>
      </c>
      <c r="U362" s="134" t="s">
        <v>246</v>
      </c>
      <c r="V362" s="134" t="s">
        <v>246</v>
      </c>
      <c r="W362" s="134" t="s">
        <v>246</v>
      </c>
      <c r="X362" s="134" t="s">
        <v>246</v>
      </c>
      <c r="Y362" s="31">
        <f>$A$41</f>
        <v>20183</v>
      </c>
      <c r="Z362" s="21">
        <v>1707</v>
      </c>
      <c r="AA362" s="21">
        <v>20686</v>
      </c>
      <c r="AB362" s="21">
        <v>25616</v>
      </c>
      <c r="AC362" s="21">
        <v>26796</v>
      </c>
      <c r="AD362" s="21">
        <v>27128</v>
      </c>
      <c r="AE362" s="21">
        <v>27264</v>
      </c>
      <c r="AF362" s="134" t="s">
        <v>246</v>
      </c>
      <c r="AG362" s="134" t="s">
        <v>246</v>
      </c>
      <c r="AH362" s="134" t="s">
        <v>246</v>
      </c>
      <c r="AI362" s="134" t="s">
        <v>246</v>
      </c>
      <c r="AJ362" s="134" t="s">
        <v>246</v>
      </c>
      <c r="AK362" s="31">
        <f>$A$41</f>
        <v>20183</v>
      </c>
      <c r="AL362" s="21">
        <v>16054</v>
      </c>
      <c r="AM362" s="21">
        <v>95999</v>
      </c>
      <c r="AN362" s="21">
        <v>98253</v>
      </c>
      <c r="AO362" s="21">
        <v>98528</v>
      </c>
      <c r="AP362" s="21">
        <v>98632</v>
      </c>
      <c r="AQ362" s="21">
        <v>98655</v>
      </c>
      <c r="AR362" s="134" t="s">
        <v>246</v>
      </c>
      <c r="AS362" s="134" t="s">
        <v>246</v>
      </c>
      <c r="AT362" s="134" t="s">
        <v>246</v>
      </c>
      <c r="AU362" s="134" t="s">
        <v>246</v>
      </c>
      <c r="AV362" s="134" t="s">
        <v>246</v>
      </c>
      <c r="AW362" s="31">
        <f>$A$41</f>
        <v>20183</v>
      </c>
      <c r="AX362" s="21">
        <v>39773</v>
      </c>
      <c r="AY362" s="21">
        <v>214968</v>
      </c>
      <c r="AZ362" s="21">
        <v>219240</v>
      </c>
      <c r="BA362" s="21">
        <v>220022</v>
      </c>
      <c r="BB362" s="21">
        <v>220331</v>
      </c>
      <c r="BC362" s="21">
        <v>220393</v>
      </c>
      <c r="BD362" s="134" t="s">
        <v>246</v>
      </c>
      <c r="BE362" s="134" t="s">
        <v>246</v>
      </c>
      <c r="BF362" s="134" t="s">
        <v>246</v>
      </c>
      <c r="BG362" s="134" t="s">
        <v>246</v>
      </c>
      <c r="BH362" s="134" t="s">
        <v>246</v>
      </c>
      <c r="BI362" s="31">
        <f>$A$41</f>
        <v>20183</v>
      </c>
      <c r="BJ362" s="21">
        <v>74687</v>
      </c>
      <c r="BK362" s="21">
        <v>351902</v>
      </c>
      <c r="BL362" s="21">
        <v>354526</v>
      </c>
      <c r="BM362" s="21">
        <v>354811</v>
      </c>
      <c r="BN362" s="21">
        <v>354906</v>
      </c>
      <c r="BO362" s="21">
        <v>354932</v>
      </c>
      <c r="BP362" s="134" t="s">
        <v>246</v>
      </c>
      <c r="BQ362" s="134" t="s">
        <v>246</v>
      </c>
      <c r="BR362" s="134" t="s">
        <v>246</v>
      </c>
      <c r="BS362" s="134" t="s">
        <v>246</v>
      </c>
      <c r="BT362" s="134" t="s">
        <v>246</v>
      </c>
      <c r="BU362" s="31">
        <f>$A$41</f>
        <v>20183</v>
      </c>
      <c r="BV362" s="21">
        <v>6</v>
      </c>
      <c r="BW362" s="21">
        <v>31</v>
      </c>
      <c r="BX362" s="21">
        <v>36</v>
      </c>
      <c r="BY362" s="21">
        <v>37</v>
      </c>
      <c r="BZ362" s="21">
        <v>38</v>
      </c>
      <c r="CA362" s="21">
        <v>38</v>
      </c>
      <c r="CB362" s="134" t="s">
        <v>246</v>
      </c>
      <c r="CC362" s="134" t="s">
        <v>246</v>
      </c>
      <c r="CD362" s="134" t="s">
        <v>246</v>
      </c>
      <c r="CE362" s="134" t="s">
        <v>246</v>
      </c>
      <c r="CF362" s="134" t="s">
        <v>246</v>
      </c>
      <c r="CG362" s="31">
        <f>$A$41</f>
        <v>20183</v>
      </c>
      <c r="CH362" s="21"/>
      <c r="CI362" s="21"/>
      <c r="CJ362" s="21"/>
      <c r="CK362" s="21"/>
      <c r="CL362" s="21"/>
      <c r="CM362" s="21"/>
      <c r="CN362" s="134"/>
      <c r="CO362" s="134"/>
      <c r="CP362" s="134"/>
      <c r="CQ362" s="134"/>
      <c r="CR362" s="134"/>
      <c r="CS362" s="31">
        <f>$A$41</f>
        <v>20183</v>
      </c>
      <c r="CT362" s="21"/>
      <c r="CU362" s="21"/>
      <c r="CV362" s="21"/>
      <c r="CW362" s="21"/>
      <c r="CX362" s="21"/>
      <c r="CY362" s="21"/>
      <c r="CZ362" s="134"/>
      <c r="DA362" s="134"/>
      <c r="DB362" s="134"/>
      <c r="DC362" s="134"/>
      <c r="DD362" s="134"/>
      <c r="DE362" s="31">
        <f>$A$41</f>
        <v>20183</v>
      </c>
      <c r="DF362" s="21"/>
      <c r="DG362" s="21"/>
      <c r="DH362" s="21"/>
      <c r="DI362" s="21"/>
      <c r="DJ362" s="21"/>
      <c r="DK362" s="21"/>
      <c r="DL362" s="134"/>
      <c r="DM362" s="134"/>
      <c r="DN362" s="134"/>
      <c r="DO362" s="134"/>
      <c r="DP362" s="134"/>
    </row>
    <row r="363" spans="1:120" ht="15" customHeight="1" x14ac:dyDescent="0.25">
      <c r="A363" s="31">
        <f>$A$42</f>
        <v>20193</v>
      </c>
      <c r="B363" s="21">
        <v>17577</v>
      </c>
      <c r="C363" s="21">
        <v>134359</v>
      </c>
      <c r="D363" s="21">
        <v>148587</v>
      </c>
      <c r="E363" s="21">
        <v>152647</v>
      </c>
      <c r="F363" s="21">
        <v>154339</v>
      </c>
      <c r="G363" s="134" t="s">
        <v>246</v>
      </c>
      <c r="H363" s="134" t="s">
        <v>246</v>
      </c>
      <c r="I363" s="134" t="s">
        <v>246</v>
      </c>
      <c r="J363" s="134" t="s">
        <v>246</v>
      </c>
      <c r="K363" s="134" t="s">
        <v>246</v>
      </c>
      <c r="L363" s="134" t="s">
        <v>246</v>
      </c>
      <c r="M363" s="31">
        <f>$A$42</f>
        <v>20193</v>
      </c>
      <c r="N363" s="21">
        <v>1089</v>
      </c>
      <c r="O363" s="21">
        <v>11914</v>
      </c>
      <c r="P363" s="21">
        <v>14296</v>
      </c>
      <c r="Q363" s="21">
        <v>14706</v>
      </c>
      <c r="R363" s="21">
        <v>14779</v>
      </c>
      <c r="S363" s="134" t="s">
        <v>246</v>
      </c>
      <c r="T363" s="134" t="s">
        <v>246</v>
      </c>
      <c r="U363" s="134" t="s">
        <v>246</v>
      </c>
      <c r="V363" s="134" t="s">
        <v>246</v>
      </c>
      <c r="W363" s="134" t="s">
        <v>246</v>
      </c>
      <c r="X363" s="134" t="s">
        <v>246</v>
      </c>
      <c r="Y363" s="31">
        <f>$A$42</f>
        <v>20193</v>
      </c>
      <c r="Z363" s="21">
        <v>1606</v>
      </c>
      <c r="AA363" s="21">
        <v>17364</v>
      </c>
      <c r="AB363" s="21">
        <v>22134</v>
      </c>
      <c r="AC363" s="21">
        <v>23554</v>
      </c>
      <c r="AD363" s="21">
        <v>23912</v>
      </c>
      <c r="AE363" s="134" t="s">
        <v>246</v>
      </c>
      <c r="AF363" s="134" t="s">
        <v>246</v>
      </c>
      <c r="AG363" s="134" t="s">
        <v>246</v>
      </c>
      <c r="AH363" s="134" t="s">
        <v>246</v>
      </c>
      <c r="AI363" s="134" t="s">
        <v>246</v>
      </c>
      <c r="AJ363" s="134" t="s">
        <v>246</v>
      </c>
      <c r="AK363" s="31">
        <f>$A$42</f>
        <v>20193</v>
      </c>
      <c r="AL363" s="21">
        <v>15307</v>
      </c>
      <c r="AM363" s="21">
        <v>100564</v>
      </c>
      <c r="AN363" s="21">
        <v>103213</v>
      </c>
      <c r="AO363" s="21">
        <v>103579</v>
      </c>
      <c r="AP363" s="21">
        <v>103681</v>
      </c>
      <c r="AQ363" s="134" t="s">
        <v>246</v>
      </c>
      <c r="AR363" s="134" t="s">
        <v>246</v>
      </c>
      <c r="AS363" s="134" t="s">
        <v>246</v>
      </c>
      <c r="AT363" s="134" t="s">
        <v>246</v>
      </c>
      <c r="AU363" s="134" t="s">
        <v>246</v>
      </c>
      <c r="AV363" s="134" t="s">
        <v>246</v>
      </c>
      <c r="AW363" s="31">
        <f>$A$42</f>
        <v>20193</v>
      </c>
      <c r="AX363" s="21">
        <v>37259</v>
      </c>
      <c r="AY363" s="21">
        <v>206206</v>
      </c>
      <c r="AZ363" s="21">
        <v>210423</v>
      </c>
      <c r="BA363" s="21">
        <v>211190</v>
      </c>
      <c r="BB363" s="21">
        <v>211399</v>
      </c>
      <c r="BC363" s="134" t="s">
        <v>246</v>
      </c>
      <c r="BD363" s="134" t="s">
        <v>246</v>
      </c>
      <c r="BE363" s="134" t="s">
        <v>246</v>
      </c>
      <c r="BF363" s="134" t="s">
        <v>246</v>
      </c>
      <c r="BG363" s="134" t="s">
        <v>246</v>
      </c>
      <c r="BH363" s="134" t="s">
        <v>246</v>
      </c>
      <c r="BI363" s="31">
        <f>$A$42</f>
        <v>20193</v>
      </c>
      <c r="BJ363" s="21">
        <v>69363</v>
      </c>
      <c r="BK363" s="21">
        <v>337597</v>
      </c>
      <c r="BL363" s="21">
        <v>340132</v>
      </c>
      <c r="BM363" s="21">
        <v>340394</v>
      </c>
      <c r="BN363" s="21">
        <v>340474</v>
      </c>
      <c r="BO363" s="134" t="s">
        <v>246</v>
      </c>
      <c r="BP363" s="134" t="s">
        <v>246</v>
      </c>
      <c r="BQ363" s="134" t="s">
        <v>246</v>
      </c>
      <c r="BR363" s="134" t="s">
        <v>246</v>
      </c>
      <c r="BS363" s="134" t="s">
        <v>246</v>
      </c>
      <c r="BT363" s="134" t="s">
        <v>246</v>
      </c>
      <c r="BU363" s="31">
        <f>$A$42</f>
        <v>20193</v>
      </c>
      <c r="BV363" s="21">
        <v>4</v>
      </c>
      <c r="BW363" s="21">
        <v>35</v>
      </c>
      <c r="BX363" s="21">
        <v>38</v>
      </c>
      <c r="BY363" s="21">
        <v>39</v>
      </c>
      <c r="BZ363" s="21">
        <v>39</v>
      </c>
      <c r="CA363" s="134" t="s">
        <v>246</v>
      </c>
      <c r="CB363" s="134" t="s">
        <v>246</v>
      </c>
      <c r="CC363" s="134" t="s">
        <v>246</v>
      </c>
      <c r="CD363" s="134" t="s">
        <v>246</v>
      </c>
      <c r="CE363" s="134" t="s">
        <v>246</v>
      </c>
      <c r="CF363" s="134" t="s">
        <v>246</v>
      </c>
      <c r="CG363" s="31">
        <f>$A$42</f>
        <v>20193</v>
      </c>
      <c r="CH363" s="21"/>
      <c r="CI363" s="21"/>
      <c r="CJ363" s="21"/>
      <c r="CK363" s="21"/>
      <c r="CL363" s="21"/>
      <c r="CM363" s="134"/>
      <c r="CN363" s="134"/>
      <c r="CO363" s="134"/>
      <c r="CP363" s="134"/>
      <c r="CQ363" s="134"/>
      <c r="CR363" s="134"/>
      <c r="CS363" s="31">
        <f>$A$42</f>
        <v>20193</v>
      </c>
      <c r="CT363" s="21"/>
      <c r="CU363" s="21"/>
      <c r="CV363" s="21"/>
      <c r="CW363" s="21"/>
      <c r="CX363" s="21"/>
      <c r="CY363" s="134"/>
      <c r="CZ363" s="134"/>
      <c r="DA363" s="134"/>
      <c r="DB363" s="134"/>
      <c r="DC363" s="134"/>
      <c r="DD363" s="134"/>
      <c r="DE363" s="31">
        <f>$A$42</f>
        <v>20193</v>
      </c>
      <c r="DF363" s="21"/>
      <c r="DG363" s="21"/>
      <c r="DH363" s="21"/>
      <c r="DI363" s="21"/>
      <c r="DJ363" s="21"/>
      <c r="DK363" s="134"/>
      <c r="DL363" s="134"/>
      <c r="DM363" s="134"/>
      <c r="DN363" s="134"/>
      <c r="DO363" s="134"/>
      <c r="DP363" s="134"/>
    </row>
    <row r="364" spans="1:120" ht="15" customHeight="1" x14ac:dyDescent="0.25">
      <c r="A364" s="31">
        <f>$A$43</f>
        <v>20203</v>
      </c>
      <c r="B364" s="21">
        <v>17847</v>
      </c>
      <c r="C364" s="21">
        <v>96930</v>
      </c>
      <c r="D364" s="21">
        <v>105234</v>
      </c>
      <c r="E364" s="21">
        <v>108333</v>
      </c>
      <c r="F364" s="134" t="s">
        <v>246</v>
      </c>
      <c r="G364" s="134" t="s">
        <v>246</v>
      </c>
      <c r="H364" s="134" t="s">
        <v>246</v>
      </c>
      <c r="I364" s="134" t="s">
        <v>246</v>
      </c>
      <c r="J364" s="134" t="s">
        <v>246</v>
      </c>
      <c r="K364" s="134" t="s">
        <v>246</v>
      </c>
      <c r="L364" s="134" t="s">
        <v>246</v>
      </c>
      <c r="M364" s="31">
        <f>$A$43</f>
        <v>20203</v>
      </c>
      <c r="N364" s="21">
        <v>1017</v>
      </c>
      <c r="O364" s="21">
        <v>8436</v>
      </c>
      <c r="P364" s="21">
        <v>10033</v>
      </c>
      <c r="Q364" s="21">
        <v>10346</v>
      </c>
      <c r="R364" s="134" t="s">
        <v>246</v>
      </c>
      <c r="S364" s="134" t="s">
        <v>246</v>
      </c>
      <c r="T364" s="134" t="s">
        <v>246</v>
      </c>
      <c r="U364" s="134" t="s">
        <v>246</v>
      </c>
      <c r="V364" s="134" t="s">
        <v>246</v>
      </c>
      <c r="W364" s="134" t="s">
        <v>246</v>
      </c>
      <c r="X364" s="134" t="s">
        <v>246</v>
      </c>
      <c r="Y364" s="31">
        <f>$A$43</f>
        <v>20203</v>
      </c>
      <c r="Z364" s="21">
        <v>1406</v>
      </c>
      <c r="AA364" s="21">
        <v>13799</v>
      </c>
      <c r="AB364" s="21">
        <v>17955</v>
      </c>
      <c r="AC364" s="21">
        <v>19052</v>
      </c>
      <c r="AD364" s="134" t="s">
        <v>246</v>
      </c>
      <c r="AE364" s="134" t="s">
        <v>246</v>
      </c>
      <c r="AF364" s="134" t="s">
        <v>246</v>
      </c>
      <c r="AG364" s="134" t="s">
        <v>246</v>
      </c>
      <c r="AH364" s="134" t="s">
        <v>246</v>
      </c>
      <c r="AI364" s="134" t="s">
        <v>246</v>
      </c>
      <c r="AJ364" s="134" t="s">
        <v>246</v>
      </c>
      <c r="AK364" s="31">
        <f>$A$43</f>
        <v>20203</v>
      </c>
      <c r="AL364" s="21">
        <v>16638</v>
      </c>
      <c r="AM364" s="21">
        <v>97066</v>
      </c>
      <c r="AN364" s="21">
        <v>99540</v>
      </c>
      <c r="AO364" s="21">
        <v>99877</v>
      </c>
      <c r="AP364" s="134" t="s">
        <v>246</v>
      </c>
      <c r="AQ364" s="134" t="s">
        <v>246</v>
      </c>
      <c r="AR364" s="134" t="s">
        <v>246</v>
      </c>
      <c r="AS364" s="134" t="s">
        <v>246</v>
      </c>
      <c r="AT364" s="134" t="s">
        <v>246</v>
      </c>
      <c r="AU364" s="134" t="s">
        <v>246</v>
      </c>
      <c r="AV364" s="134" t="s">
        <v>246</v>
      </c>
      <c r="AW364" s="31">
        <f>$A$43</f>
        <v>20203</v>
      </c>
      <c r="AX364" s="21">
        <v>36636</v>
      </c>
      <c r="AY364" s="21">
        <v>158377</v>
      </c>
      <c r="AZ364" s="21">
        <v>161612</v>
      </c>
      <c r="BA364" s="21">
        <v>162164</v>
      </c>
      <c r="BB364" s="134" t="s">
        <v>246</v>
      </c>
      <c r="BC364" s="134" t="s">
        <v>246</v>
      </c>
      <c r="BD364" s="134" t="s">
        <v>246</v>
      </c>
      <c r="BE364" s="134" t="s">
        <v>246</v>
      </c>
      <c r="BF364" s="134" t="s">
        <v>246</v>
      </c>
      <c r="BG364" s="134" t="s">
        <v>246</v>
      </c>
      <c r="BH364" s="134" t="s">
        <v>246</v>
      </c>
      <c r="BI364" s="31">
        <f>$A$43</f>
        <v>20203</v>
      </c>
      <c r="BJ364" s="21">
        <v>67793</v>
      </c>
      <c r="BK364" s="21">
        <v>279965</v>
      </c>
      <c r="BL364" s="21">
        <v>281896</v>
      </c>
      <c r="BM364" s="21">
        <v>282133</v>
      </c>
      <c r="BN364" s="134" t="s">
        <v>246</v>
      </c>
      <c r="BO364" s="134" t="s">
        <v>246</v>
      </c>
      <c r="BP364" s="134" t="s">
        <v>246</v>
      </c>
      <c r="BQ364" s="134" t="s">
        <v>246</v>
      </c>
      <c r="BR364" s="134" t="s">
        <v>246</v>
      </c>
      <c r="BS364" s="134" t="s">
        <v>246</v>
      </c>
      <c r="BT364" s="134" t="s">
        <v>246</v>
      </c>
      <c r="BU364" s="31">
        <f>$A$43</f>
        <v>20203</v>
      </c>
      <c r="BV364" s="21">
        <v>1</v>
      </c>
      <c r="BW364" s="21">
        <v>15</v>
      </c>
      <c r="BX364" s="21">
        <v>17</v>
      </c>
      <c r="BY364" s="21">
        <v>17</v>
      </c>
      <c r="BZ364" s="134" t="s">
        <v>246</v>
      </c>
      <c r="CA364" s="134" t="s">
        <v>246</v>
      </c>
      <c r="CB364" s="134" t="s">
        <v>246</v>
      </c>
      <c r="CC364" s="134" t="s">
        <v>246</v>
      </c>
      <c r="CD364" s="134" t="s">
        <v>246</v>
      </c>
      <c r="CE364" s="134" t="s">
        <v>246</v>
      </c>
      <c r="CF364" s="134" t="s">
        <v>246</v>
      </c>
      <c r="CG364" s="31">
        <f>$A$43</f>
        <v>20203</v>
      </c>
      <c r="CH364" s="21"/>
      <c r="CI364" s="21"/>
      <c r="CJ364" s="21"/>
      <c r="CK364" s="21"/>
      <c r="CL364" s="134"/>
      <c r="CM364" s="134"/>
      <c r="CN364" s="134"/>
      <c r="CO364" s="134"/>
      <c r="CP364" s="134"/>
      <c r="CQ364" s="134"/>
      <c r="CR364" s="134"/>
      <c r="CS364" s="31">
        <f>$A$43</f>
        <v>20203</v>
      </c>
      <c r="CT364" s="21"/>
      <c r="CU364" s="21"/>
      <c r="CV364" s="21"/>
      <c r="CW364" s="21"/>
      <c r="CX364" s="134"/>
      <c r="CY364" s="134"/>
      <c r="CZ364" s="134"/>
      <c r="DA364" s="134"/>
      <c r="DB364" s="134"/>
      <c r="DC364" s="134"/>
      <c r="DD364" s="134"/>
      <c r="DE364" s="31">
        <f>$A$43</f>
        <v>20203</v>
      </c>
      <c r="DF364" s="21"/>
      <c r="DG364" s="21"/>
      <c r="DH364" s="21"/>
      <c r="DI364" s="21"/>
      <c r="DJ364" s="134"/>
      <c r="DK364" s="134"/>
      <c r="DL364" s="134"/>
      <c r="DM364" s="134"/>
      <c r="DN364" s="134"/>
      <c r="DO364" s="134"/>
      <c r="DP364" s="134"/>
    </row>
    <row r="365" spans="1:120" ht="15" customHeight="1" x14ac:dyDescent="0.25">
      <c r="A365" s="31">
        <f>$A$44</f>
        <v>20213</v>
      </c>
      <c r="B365" s="21">
        <v>10962</v>
      </c>
      <c r="C365" s="21">
        <v>86811</v>
      </c>
      <c r="D365" s="21">
        <v>98352</v>
      </c>
      <c r="E365" s="134" t="s">
        <v>246</v>
      </c>
      <c r="F365" s="134" t="s">
        <v>246</v>
      </c>
      <c r="G365" s="134" t="s">
        <v>246</v>
      </c>
      <c r="H365" s="134" t="s">
        <v>246</v>
      </c>
      <c r="I365" s="134" t="s">
        <v>246</v>
      </c>
      <c r="J365" s="134" t="s">
        <v>246</v>
      </c>
      <c r="K365" s="134" t="s">
        <v>246</v>
      </c>
      <c r="L365" s="134" t="s">
        <v>246</v>
      </c>
      <c r="M365" s="31">
        <f>$A$44</f>
        <v>20213</v>
      </c>
      <c r="N365" s="21">
        <v>720</v>
      </c>
      <c r="O365" s="21">
        <v>7852</v>
      </c>
      <c r="P365" s="21">
        <v>9990</v>
      </c>
      <c r="Q365" s="134" t="s">
        <v>246</v>
      </c>
      <c r="R365" s="134" t="s">
        <v>246</v>
      </c>
      <c r="S365" s="134" t="s">
        <v>246</v>
      </c>
      <c r="T365" s="134" t="s">
        <v>246</v>
      </c>
      <c r="U365" s="134" t="s">
        <v>246</v>
      </c>
      <c r="V365" s="134" t="s">
        <v>246</v>
      </c>
      <c r="W365" s="134" t="s">
        <v>246</v>
      </c>
      <c r="X365" s="134" t="s">
        <v>246</v>
      </c>
      <c r="Y365" s="31">
        <f>$A$44</f>
        <v>20213</v>
      </c>
      <c r="Z365" s="21">
        <v>1273</v>
      </c>
      <c r="AA365" s="21">
        <v>14126</v>
      </c>
      <c r="AB365" s="21">
        <v>19361</v>
      </c>
      <c r="AC365" s="134" t="s">
        <v>246</v>
      </c>
      <c r="AD365" s="134" t="s">
        <v>246</v>
      </c>
      <c r="AE365" s="134" t="s">
        <v>246</v>
      </c>
      <c r="AF365" s="134" t="s">
        <v>246</v>
      </c>
      <c r="AG365" s="134" t="s">
        <v>246</v>
      </c>
      <c r="AH365" s="134" t="s">
        <v>246</v>
      </c>
      <c r="AI365" s="134" t="s">
        <v>246</v>
      </c>
      <c r="AJ365" s="134" t="s">
        <v>246</v>
      </c>
      <c r="AK365" s="31">
        <f>$A$44</f>
        <v>20213</v>
      </c>
      <c r="AL365" s="21">
        <v>17133</v>
      </c>
      <c r="AM365" s="21">
        <v>112501</v>
      </c>
      <c r="AN365" s="21">
        <v>115839</v>
      </c>
      <c r="AO365" s="134" t="s">
        <v>246</v>
      </c>
      <c r="AP365" s="134" t="s">
        <v>246</v>
      </c>
      <c r="AQ365" s="134" t="s">
        <v>246</v>
      </c>
      <c r="AR365" s="134" t="s">
        <v>246</v>
      </c>
      <c r="AS365" s="134" t="s">
        <v>246</v>
      </c>
      <c r="AT365" s="134" t="s">
        <v>246</v>
      </c>
      <c r="AU365" s="134" t="s">
        <v>246</v>
      </c>
      <c r="AV365" s="134" t="s">
        <v>246</v>
      </c>
      <c r="AW365" s="31">
        <f>$A$44</f>
        <v>20213</v>
      </c>
      <c r="AX365" s="21">
        <v>26753</v>
      </c>
      <c r="AY365" s="21">
        <v>164800</v>
      </c>
      <c r="AZ365" s="21">
        <v>169308</v>
      </c>
      <c r="BA365" s="134" t="s">
        <v>246</v>
      </c>
      <c r="BB365" s="134" t="s">
        <v>246</v>
      </c>
      <c r="BC365" s="134" t="s">
        <v>246</v>
      </c>
      <c r="BD365" s="134" t="s">
        <v>246</v>
      </c>
      <c r="BE365" s="134" t="s">
        <v>246</v>
      </c>
      <c r="BF365" s="134" t="s">
        <v>246</v>
      </c>
      <c r="BG365" s="134" t="s">
        <v>246</v>
      </c>
      <c r="BH365" s="134" t="s">
        <v>246</v>
      </c>
      <c r="BI365" s="31">
        <f>$A$44</f>
        <v>20213</v>
      </c>
      <c r="BJ365" s="21">
        <v>55505</v>
      </c>
      <c r="BK365" s="21">
        <v>276441</v>
      </c>
      <c r="BL365" s="21">
        <v>279333</v>
      </c>
      <c r="BM365" s="134" t="s">
        <v>246</v>
      </c>
      <c r="BN365" s="134" t="s">
        <v>246</v>
      </c>
      <c r="BO365" s="134" t="s">
        <v>246</v>
      </c>
      <c r="BP365" s="134" t="s">
        <v>246</v>
      </c>
      <c r="BQ365" s="134" t="s">
        <v>246</v>
      </c>
      <c r="BR365" s="134" t="s">
        <v>246</v>
      </c>
      <c r="BS365" s="134" t="s">
        <v>246</v>
      </c>
      <c r="BT365" s="134" t="s">
        <v>246</v>
      </c>
      <c r="BU365" s="31">
        <f>$A$44</f>
        <v>20213</v>
      </c>
      <c r="BV365" s="21">
        <v>0</v>
      </c>
      <c r="BW365" s="21">
        <v>15</v>
      </c>
      <c r="BX365" s="21">
        <v>16</v>
      </c>
      <c r="BY365" s="134" t="s">
        <v>246</v>
      </c>
      <c r="BZ365" s="134" t="s">
        <v>246</v>
      </c>
      <c r="CA365" s="134" t="s">
        <v>246</v>
      </c>
      <c r="CB365" s="134" t="s">
        <v>246</v>
      </c>
      <c r="CC365" s="134" t="s">
        <v>246</v>
      </c>
      <c r="CD365" s="134" t="s">
        <v>246</v>
      </c>
      <c r="CE365" s="134" t="s">
        <v>246</v>
      </c>
      <c r="CF365" s="134" t="s">
        <v>246</v>
      </c>
      <c r="CG365" s="31">
        <f>$A$44</f>
        <v>20213</v>
      </c>
      <c r="CH365" s="21"/>
      <c r="CI365" s="21"/>
      <c r="CJ365" s="21"/>
      <c r="CK365" s="134"/>
      <c r="CL365" s="134"/>
      <c r="CM365" s="134"/>
      <c r="CN365" s="134"/>
      <c r="CO365" s="134"/>
      <c r="CP365" s="134"/>
      <c r="CQ365" s="134"/>
      <c r="CR365" s="134"/>
      <c r="CS365" s="31">
        <f>$A$44</f>
        <v>20213</v>
      </c>
      <c r="CT365" s="21"/>
      <c r="CU365" s="21"/>
      <c r="CV365" s="21"/>
      <c r="CW365" s="134"/>
      <c r="CX365" s="134"/>
      <c r="CY365" s="134"/>
      <c r="CZ365" s="134"/>
      <c r="DA365" s="134"/>
      <c r="DB365" s="134"/>
      <c r="DC365" s="134"/>
      <c r="DD365" s="134"/>
      <c r="DE365" s="31">
        <f>$A$44</f>
        <v>20213</v>
      </c>
      <c r="DF365" s="21"/>
      <c r="DG365" s="21"/>
      <c r="DH365" s="21"/>
      <c r="DI365" s="134"/>
      <c r="DJ365" s="134"/>
      <c r="DK365" s="134"/>
      <c r="DL365" s="134"/>
      <c r="DM365" s="134"/>
      <c r="DN365" s="134"/>
      <c r="DO365" s="134"/>
      <c r="DP365" s="134"/>
    </row>
    <row r="366" spans="1:120" ht="15" customHeight="1" x14ac:dyDescent="0.25">
      <c r="A366" s="31">
        <f>$A$45</f>
        <v>20223</v>
      </c>
      <c r="B366" s="21">
        <v>10286</v>
      </c>
      <c r="C366" s="21">
        <v>103007</v>
      </c>
      <c r="D366" s="134" t="s">
        <v>246</v>
      </c>
      <c r="E366" s="134" t="s">
        <v>246</v>
      </c>
      <c r="F366" s="134" t="s">
        <v>246</v>
      </c>
      <c r="G366" s="134" t="s">
        <v>246</v>
      </c>
      <c r="H366" s="134" t="s">
        <v>246</v>
      </c>
      <c r="I366" s="134" t="s">
        <v>246</v>
      </c>
      <c r="J366" s="134" t="s">
        <v>246</v>
      </c>
      <c r="K366" s="134" t="s">
        <v>246</v>
      </c>
      <c r="L366" s="134"/>
      <c r="M366" s="31">
        <f>$A$45</f>
        <v>20223</v>
      </c>
      <c r="N366" s="21">
        <v>711</v>
      </c>
      <c r="O366" s="21">
        <v>9064</v>
      </c>
      <c r="P366" s="134" t="s">
        <v>246</v>
      </c>
      <c r="Q366" s="134" t="s">
        <v>246</v>
      </c>
      <c r="R366" s="134" t="s">
        <v>246</v>
      </c>
      <c r="S366" s="134" t="s">
        <v>246</v>
      </c>
      <c r="T366" s="134" t="s">
        <v>246</v>
      </c>
      <c r="U366" s="134" t="s">
        <v>246</v>
      </c>
      <c r="V366" s="134" t="s">
        <v>246</v>
      </c>
      <c r="W366" s="134" t="s">
        <v>246</v>
      </c>
      <c r="X366" s="134" t="s">
        <v>246</v>
      </c>
      <c r="Y366" s="31">
        <f>$A$45</f>
        <v>20223</v>
      </c>
      <c r="Z366" s="21">
        <v>804</v>
      </c>
      <c r="AA366" s="21">
        <v>13523</v>
      </c>
      <c r="AB366" s="134" t="s">
        <v>246</v>
      </c>
      <c r="AC366" s="134" t="s">
        <v>246</v>
      </c>
      <c r="AD366" s="134" t="s">
        <v>246</v>
      </c>
      <c r="AE366" s="134" t="s">
        <v>246</v>
      </c>
      <c r="AF366" s="134" t="s">
        <v>246</v>
      </c>
      <c r="AG366" s="134" t="s">
        <v>246</v>
      </c>
      <c r="AH366" s="134" t="s">
        <v>246</v>
      </c>
      <c r="AI366" s="134" t="s">
        <v>246</v>
      </c>
      <c r="AJ366" s="134" t="s">
        <v>246</v>
      </c>
      <c r="AK366" s="31">
        <f>$A$45</f>
        <v>20223</v>
      </c>
      <c r="AL366" s="21">
        <v>18492</v>
      </c>
      <c r="AM366" s="21">
        <v>130583</v>
      </c>
      <c r="AN366" s="134" t="s">
        <v>246</v>
      </c>
      <c r="AO366" s="134" t="s">
        <v>246</v>
      </c>
      <c r="AP366" s="134" t="s">
        <v>246</v>
      </c>
      <c r="AQ366" s="134" t="s">
        <v>246</v>
      </c>
      <c r="AR366" s="134" t="s">
        <v>246</v>
      </c>
      <c r="AS366" s="134" t="s">
        <v>246</v>
      </c>
      <c r="AT366" s="134" t="s">
        <v>246</v>
      </c>
      <c r="AU366" s="134" t="s">
        <v>246</v>
      </c>
      <c r="AV366" s="134" t="s">
        <v>246</v>
      </c>
      <c r="AW366" s="31">
        <f>$A$45</f>
        <v>20223</v>
      </c>
      <c r="AX366" s="21">
        <v>29083</v>
      </c>
      <c r="AY366" s="21">
        <v>192536</v>
      </c>
      <c r="AZ366" s="134" t="s">
        <v>246</v>
      </c>
      <c r="BA366" s="134" t="s">
        <v>246</v>
      </c>
      <c r="BB366" s="134" t="s">
        <v>246</v>
      </c>
      <c r="BC366" s="134" t="s">
        <v>246</v>
      </c>
      <c r="BD366" s="134" t="s">
        <v>246</v>
      </c>
      <c r="BE366" s="134" t="s">
        <v>246</v>
      </c>
      <c r="BF366" s="134" t="s">
        <v>246</v>
      </c>
      <c r="BG366" s="134" t="s">
        <v>246</v>
      </c>
      <c r="BH366" s="134" t="s">
        <v>246</v>
      </c>
      <c r="BI366" s="31">
        <f>$A$45</f>
        <v>20223</v>
      </c>
      <c r="BJ366" s="21">
        <v>58105</v>
      </c>
      <c r="BK366" s="21">
        <v>293474</v>
      </c>
      <c r="BL366" s="134" t="s">
        <v>246</v>
      </c>
      <c r="BM366" s="134" t="s">
        <v>246</v>
      </c>
      <c r="BN366" s="134" t="s">
        <v>246</v>
      </c>
      <c r="BO366" s="134" t="s">
        <v>246</v>
      </c>
      <c r="BP366" s="134" t="s">
        <v>246</v>
      </c>
      <c r="BQ366" s="134" t="s">
        <v>246</v>
      </c>
      <c r="BR366" s="134" t="s">
        <v>246</v>
      </c>
      <c r="BS366" s="134" t="s">
        <v>246</v>
      </c>
      <c r="BT366" s="134" t="s">
        <v>246</v>
      </c>
      <c r="BU366" s="31">
        <f>$A$45</f>
        <v>20223</v>
      </c>
      <c r="BV366" s="21">
        <v>1</v>
      </c>
      <c r="BW366" s="21">
        <v>25</v>
      </c>
      <c r="BX366" s="134" t="s">
        <v>246</v>
      </c>
      <c r="BY366" s="134" t="s">
        <v>246</v>
      </c>
      <c r="BZ366" s="134" t="s">
        <v>246</v>
      </c>
      <c r="CA366" s="134" t="s">
        <v>246</v>
      </c>
      <c r="CB366" s="134" t="s">
        <v>246</v>
      </c>
      <c r="CC366" s="134" t="s">
        <v>246</v>
      </c>
      <c r="CD366" s="134" t="s">
        <v>246</v>
      </c>
      <c r="CE366" s="134" t="s">
        <v>246</v>
      </c>
      <c r="CF366" s="134" t="s">
        <v>246</v>
      </c>
      <c r="CG366" s="31">
        <f>$A$45</f>
        <v>20223</v>
      </c>
      <c r="CH366" s="21"/>
      <c r="CI366" s="21"/>
      <c r="CJ366" s="134"/>
      <c r="CK366" s="134"/>
      <c r="CL366" s="134"/>
      <c r="CM366" s="134"/>
      <c r="CN366" s="134"/>
      <c r="CO366" s="134"/>
      <c r="CP366" s="134"/>
      <c r="CQ366" s="134"/>
      <c r="CR366" s="134"/>
      <c r="CS366" s="31">
        <f>$A$45</f>
        <v>20223</v>
      </c>
      <c r="CT366" s="21"/>
      <c r="CU366" s="21"/>
      <c r="CV366" s="134"/>
      <c r="CW366" s="134"/>
      <c r="CX366" s="134"/>
      <c r="CY366" s="134"/>
      <c r="CZ366" s="134"/>
      <c r="DA366" s="134"/>
      <c r="DB366" s="134"/>
      <c r="DC366" s="134"/>
      <c r="DD366" s="134"/>
      <c r="DE366" s="31">
        <f>$A$45</f>
        <v>20223</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ht="30" x14ac:dyDescent="0.25">
      <c r="A369" s="92" t="str">
        <f>$A$35</f>
        <v>Fiscal Accident Year Data Ending</v>
      </c>
      <c r="B369" s="92"/>
      <c r="C369" s="100" t="str">
        <f>$C$35&amp;"-"&amp;$D$35</f>
        <v>15-27</v>
      </c>
      <c r="D369" s="100" t="str">
        <f>$D$35&amp;"-"&amp;$E$35</f>
        <v>27-39</v>
      </c>
      <c r="E369" s="100" t="str">
        <f>$E$35&amp;"-"&amp;$F$35</f>
        <v>39-51</v>
      </c>
      <c r="F369" s="100" t="str">
        <f>$F$35&amp;"-"&amp;$G$35</f>
        <v>51-63</v>
      </c>
      <c r="G369" s="100" t="str">
        <f>$G$35&amp;"-"&amp;$H$35</f>
        <v>63-75</v>
      </c>
      <c r="H369" s="100" t="str">
        <f>$H$35&amp;"-"&amp;$I$35</f>
        <v>75-87</v>
      </c>
      <c r="I369" s="100" t="str">
        <f>$I$35&amp;"-"&amp;$J$35</f>
        <v>87-99</v>
      </c>
      <c r="J369" s="100" t="str">
        <f>$J$35&amp;"-"&amp;$K$35</f>
        <v>99-111</v>
      </c>
      <c r="K369" s="100" t="str">
        <f>$K$35&amp;"-"&amp;$L$35</f>
        <v>111-123</v>
      </c>
      <c r="L369" s="100" t="str">
        <f>$L$35&amp;"-Ult"</f>
        <v>123-Ult</v>
      </c>
      <c r="M369" s="92" t="str">
        <f>$A$35</f>
        <v>Fiscal Accident Year Data Ending</v>
      </c>
      <c r="N369" s="92"/>
      <c r="O369" s="100" t="str">
        <f>$C$35&amp;"-"&amp;$D$35</f>
        <v>15-27</v>
      </c>
      <c r="P369" s="100" t="str">
        <f>$D$35&amp;"-"&amp;$E$35</f>
        <v>27-39</v>
      </c>
      <c r="Q369" s="100" t="str">
        <f>$E$35&amp;"-"&amp;$F$35</f>
        <v>39-51</v>
      </c>
      <c r="R369" s="100" t="str">
        <f>$F$35&amp;"-"&amp;$G$35</f>
        <v>51-63</v>
      </c>
      <c r="S369" s="100" t="str">
        <f>$G$35&amp;"-"&amp;$H$35</f>
        <v>63-75</v>
      </c>
      <c r="T369" s="100" t="str">
        <f>$H$35&amp;"-"&amp;$I$35</f>
        <v>75-87</v>
      </c>
      <c r="U369" s="100" t="str">
        <f>$I$35&amp;"-"&amp;$J$35</f>
        <v>87-99</v>
      </c>
      <c r="V369" s="100" t="str">
        <f>$J$35&amp;"-"&amp;$K$35</f>
        <v>99-111</v>
      </c>
      <c r="W369" s="100" t="str">
        <f>$K$35&amp;"-"&amp;$L$35</f>
        <v>111-123</v>
      </c>
      <c r="X369" s="100" t="str">
        <f>$L$35&amp;"-Ult"</f>
        <v>123-Ult</v>
      </c>
      <c r="Y369" s="92" t="str">
        <f>$A$35</f>
        <v>Fiscal Accident Year Data Ending</v>
      </c>
      <c r="Z369" s="92"/>
      <c r="AA369" s="100" t="str">
        <f>$C$35&amp;"-"&amp;$D$35</f>
        <v>15-27</v>
      </c>
      <c r="AB369" s="100" t="str">
        <f>$D$35&amp;"-"&amp;$E$35</f>
        <v>27-39</v>
      </c>
      <c r="AC369" s="100" t="str">
        <f>$E$35&amp;"-"&amp;$F$35</f>
        <v>39-51</v>
      </c>
      <c r="AD369" s="100" t="str">
        <f>$F$35&amp;"-"&amp;$G$35</f>
        <v>51-63</v>
      </c>
      <c r="AE369" s="100" t="str">
        <f>$G$35&amp;"-"&amp;$H$35</f>
        <v>63-75</v>
      </c>
      <c r="AF369" s="100" t="str">
        <f>$H$35&amp;"-"&amp;$I$35</f>
        <v>75-87</v>
      </c>
      <c r="AG369" s="100" t="str">
        <f>$I$35&amp;"-"&amp;$J$35</f>
        <v>87-99</v>
      </c>
      <c r="AH369" s="100" t="str">
        <f>$J$35&amp;"-"&amp;$K$35</f>
        <v>99-111</v>
      </c>
      <c r="AI369" s="100" t="str">
        <f>$K$35&amp;"-"&amp;$L$35</f>
        <v>111-123</v>
      </c>
      <c r="AJ369" s="100" t="str">
        <f>$L$35&amp;"-Ult"</f>
        <v>123-Ult</v>
      </c>
      <c r="AK369" s="92" t="str">
        <f>$A$35</f>
        <v>Fiscal Accident Year Data Ending</v>
      </c>
      <c r="AL369" s="92"/>
      <c r="AM369" s="100" t="str">
        <f>$C$35&amp;"-"&amp;$D$35</f>
        <v>15-27</v>
      </c>
      <c r="AN369" s="100" t="str">
        <f>$D$35&amp;"-"&amp;$E$35</f>
        <v>27-39</v>
      </c>
      <c r="AO369" s="100" t="str">
        <f>$E$35&amp;"-"&amp;$F$35</f>
        <v>39-51</v>
      </c>
      <c r="AP369" s="100" t="str">
        <f>$F$35&amp;"-"&amp;$G$35</f>
        <v>51-63</v>
      </c>
      <c r="AQ369" s="100" t="str">
        <f>$G$35&amp;"-"&amp;$H$35</f>
        <v>63-75</v>
      </c>
      <c r="AR369" s="100" t="str">
        <f>$H$35&amp;"-"&amp;$I$35</f>
        <v>75-87</v>
      </c>
      <c r="AS369" s="100" t="str">
        <f>$I$35&amp;"-"&amp;$J$35</f>
        <v>87-99</v>
      </c>
      <c r="AT369" s="100" t="str">
        <f>$J$35&amp;"-"&amp;$K$35</f>
        <v>99-111</v>
      </c>
      <c r="AU369" s="100" t="str">
        <f>$K$35&amp;"-"&amp;$L$35</f>
        <v>111-123</v>
      </c>
      <c r="AV369" s="100" t="str">
        <f>$L$35&amp;"-Ult"</f>
        <v>123-Ult</v>
      </c>
      <c r="AW369" s="92" t="str">
        <f>$A$35</f>
        <v>Fiscal Accident Year Data Ending</v>
      </c>
      <c r="AX369" s="92"/>
      <c r="AY369" s="100" t="str">
        <f>$C$35&amp;"-"&amp;$D$35</f>
        <v>15-27</v>
      </c>
      <c r="AZ369" s="100" t="str">
        <f>$D$35&amp;"-"&amp;$E$35</f>
        <v>27-39</v>
      </c>
      <c r="BA369" s="100" t="str">
        <f>$E$35&amp;"-"&amp;$F$35</f>
        <v>39-51</v>
      </c>
      <c r="BB369" s="100" t="str">
        <f>$F$35&amp;"-"&amp;$G$35</f>
        <v>51-63</v>
      </c>
      <c r="BC369" s="100" t="str">
        <f>$G$35&amp;"-"&amp;$H$35</f>
        <v>63-75</v>
      </c>
      <c r="BD369" s="100" t="str">
        <f>$H$35&amp;"-"&amp;$I$35</f>
        <v>75-87</v>
      </c>
      <c r="BE369" s="100" t="str">
        <f>$I$35&amp;"-"&amp;$J$35</f>
        <v>87-99</v>
      </c>
      <c r="BF369" s="100" t="str">
        <f>$J$35&amp;"-"&amp;$K$35</f>
        <v>99-111</v>
      </c>
      <c r="BG369" s="100" t="str">
        <f>$K$35&amp;"-"&amp;$L$35</f>
        <v>111-123</v>
      </c>
      <c r="BH369" s="100" t="str">
        <f>$L$35&amp;"-Ult"</f>
        <v>123-Ult</v>
      </c>
      <c r="BI369" s="92" t="str">
        <f>$A$35</f>
        <v>Fiscal Accident Year Data Ending</v>
      </c>
      <c r="BJ369" s="92"/>
      <c r="BK369" s="100" t="str">
        <f>$C$35&amp;"-"&amp;$D$35</f>
        <v>15-27</v>
      </c>
      <c r="BL369" s="100" t="str">
        <f>$D$35&amp;"-"&amp;$E$35</f>
        <v>27-39</v>
      </c>
      <c r="BM369" s="100" t="str">
        <f>$E$35&amp;"-"&amp;$F$35</f>
        <v>39-51</v>
      </c>
      <c r="BN369" s="100" t="str">
        <f>$F$35&amp;"-"&amp;$G$35</f>
        <v>51-63</v>
      </c>
      <c r="BO369" s="100" t="str">
        <f>$G$35&amp;"-"&amp;$H$35</f>
        <v>63-75</v>
      </c>
      <c r="BP369" s="100" t="str">
        <f>$H$35&amp;"-"&amp;$I$35</f>
        <v>75-87</v>
      </c>
      <c r="BQ369" s="100" t="str">
        <f>$I$35&amp;"-"&amp;$J$35</f>
        <v>87-99</v>
      </c>
      <c r="BR369" s="100" t="str">
        <f>$J$35&amp;"-"&amp;$K$35</f>
        <v>99-111</v>
      </c>
      <c r="BS369" s="100" t="str">
        <f>$K$35&amp;"-"&amp;$L$35</f>
        <v>111-123</v>
      </c>
      <c r="BT369" s="100" t="str">
        <f>$L$35&amp;"-Ult"</f>
        <v>123-Ult</v>
      </c>
      <c r="BU369" s="92" t="str">
        <f>$A$35</f>
        <v>Fiscal Accident Year Data Ending</v>
      </c>
      <c r="BV369" s="92"/>
      <c r="BW369" s="100" t="str">
        <f>$C$35&amp;"-"&amp;$D$35</f>
        <v>15-27</v>
      </c>
      <c r="BX369" s="100" t="str">
        <f>$D$35&amp;"-"&amp;$E$35</f>
        <v>27-39</v>
      </c>
      <c r="BY369" s="100" t="str">
        <f>$E$35&amp;"-"&amp;$F$35</f>
        <v>39-51</v>
      </c>
      <c r="BZ369" s="100" t="str">
        <f>$F$35&amp;"-"&amp;$G$35</f>
        <v>51-63</v>
      </c>
      <c r="CA369" s="100" t="str">
        <f>$G$35&amp;"-"&amp;$H$35</f>
        <v>63-75</v>
      </c>
      <c r="CB369" s="100" t="str">
        <f>$H$35&amp;"-"&amp;$I$35</f>
        <v>75-87</v>
      </c>
      <c r="CC369" s="100" t="str">
        <f>$I$35&amp;"-"&amp;$J$35</f>
        <v>87-99</v>
      </c>
      <c r="CD369" s="100" t="str">
        <f>$J$35&amp;"-"&amp;$K$35</f>
        <v>99-111</v>
      </c>
      <c r="CE369" s="100" t="str">
        <f>$K$35&amp;"-"&amp;$L$35</f>
        <v>111-123</v>
      </c>
      <c r="CF369" s="100" t="str">
        <f>$L$35&amp;"-Ult"</f>
        <v>123-Ult</v>
      </c>
      <c r="CG369" s="92" t="str">
        <f>$A$35</f>
        <v>Fiscal Accident Year Data Ending</v>
      </c>
      <c r="CH369" s="92"/>
      <c r="CI369" s="100" t="str">
        <f>$C$35&amp;"-"&amp;$D$35</f>
        <v>15-27</v>
      </c>
      <c r="CJ369" s="100" t="str">
        <f>$D$35&amp;"-"&amp;$E$35</f>
        <v>27-39</v>
      </c>
      <c r="CK369" s="100" t="str">
        <f>$E$35&amp;"-"&amp;$F$35</f>
        <v>39-51</v>
      </c>
      <c r="CL369" s="100" t="str">
        <f>$F$35&amp;"-"&amp;$G$35</f>
        <v>51-63</v>
      </c>
      <c r="CM369" s="100" t="str">
        <f>$G$35&amp;"-"&amp;$H$35</f>
        <v>63-75</v>
      </c>
      <c r="CN369" s="100" t="str">
        <f>$H$35&amp;"-"&amp;$I$35</f>
        <v>75-87</v>
      </c>
      <c r="CO369" s="100" t="str">
        <f>$I$35&amp;"-"&amp;$J$35</f>
        <v>87-99</v>
      </c>
      <c r="CP369" s="100" t="str">
        <f>$J$35&amp;"-"&amp;$K$35</f>
        <v>99-111</v>
      </c>
      <c r="CQ369" s="100" t="str">
        <f>$K$35&amp;"-"&amp;$L$35</f>
        <v>111-123</v>
      </c>
      <c r="CR369" s="100" t="str">
        <f>$L$35&amp;"-Ult"</f>
        <v>123-Ult</v>
      </c>
      <c r="CS369" s="92" t="str">
        <f>$A$35</f>
        <v>Fiscal Accident Year Data Ending</v>
      </c>
      <c r="CT369" s="92"/>
      <c r="CU369" s="100" t="str">
        <f>$C$35&amp;"-"&amp;$D$35</f>
        <v>15-27</v>
      </c>
      <c r="CV369" s="100" t="str">
        <f>$D$35&amp;"-"&amp;$E$35</f>
        <v>27-39</v>
      </c>
      <c r="CW369" s="100" t="str">
        <f>$E$35&amp;"-"&amp;$F$35</f>
        <v>39-51</v>
      </c>
      <c r="CX369" s="100" t="str">
        <f>$F$35&amp;"-"&amp;$G$35</f>
        <v>51-63</v>
      </c>
      <c r="CY369" s="100" t="str">
        <f>$G$35&amp;"-"&amp;$H$35</f>
        <v>63-75</v>
      </c>
      <c r="CZ369" s="100" t="str">
        <f>$H$35&amp;"-"&amp;$I$35</f>
        <v>75-87</v>
      </c>
      <c r="DA369" s="100" t="str">
        <f>$I$35&amp;"-"&amp;$J$35</f>
        <v>87-99</v>
      </c>
      <c r="DB369" s="100" t="str">
        <f>$J$35&amp;"-"&amp;$K$35</f>
        <v>99-111</v>
      </c>
      <c r="DC369" s="100" t="str">
        <f>$K$35&amp;"-"&amp;$L$35</f>
        <v>111-123</v>
      </c>
      <c r="DD369" s="100" t="str">
        <f>$L$35&amp;"-Ult"</f>
        <v>123-Ult</v>
      </c>
      <c r="DE369" s="92" t="str">
        <f>$A$35</f>
        <v>Fiscal Accident Year Data Ending</v>
      </c>
      <c r="DF369" s="92"/>
      <c r="DG369" s="100" t="str">
        <f>$C$35&amp;"-"&amp;$D$35</f>
        <v>15-27</v>
      </c>
      <c r="DH369" s="100" t="str">
        <f>$D$35&amp;"-"&amp;$E$35</f>
        <v>27-39</v>
      </c>
      <c r="DI369" s="100" t="str">
        <f>$E$35&amp;"-"&amp;$F$35</f>
        <v>39-51</v>
      </c>
      <c r="DJ369" s="100" t="str">
        <f>$F$35&amp;"-"&amp;$G$35</f>
        <v>51-63</v>
      </c>
      <c r="DK369" s="100" t="str">
        <f>$G$35&amp;"-"&amp;$H$35</f>
        <v>63-75</v>
      </c>
      <c r="DL369" s="100" t="str">
        <f>$H$35&amp;"-"&amp;$I$35</f>
        <v>75-87</v>
      </c>
      <c r="DM369" s="100" t="str">
        <f>$I$35&amp;"-"&amp;$J$35</f>
        <v>87-99</v>
      </c>
      <c r="DN369" s="100" t="str">
        <f>$J$35&amp;"-"&amp;$K$35</f>
        <v>99-111</v>
      </c>
      <c r="DO369" s="100" t="str">
        <f>$K$35&amp;"-"&amp;$L$35</f>
        <v>111-123</v>
      </c>
      <c r="DP369" s="100" t="str">
        <f>$L$35&amp;"-Ult"</f>
        <v>123-Ult</v>
      </c>
    </row>
    <row r="370" spans="1:120" x14ac:dyDescent="0.25">
      <c r="A370" s="91">
        <f>$A$36</f>
        <v>20133</v>
      </c>
      <c r="B370" s="105"/>
      <c r="C370" s="90">
        <f>IFERROR(D357/C357,"")</f>
        <v>1.1078268862735643</v>
      </c>
      <c r="D370" s="90">
        <f t="shared" ref="D370:K370" si="619">IFERROR(E357/D357,"")</f>
        <v>1.0310270483496902</v>
      </c>
      <c r="E370" s="90">
        <f t="shared" si="619"/>
        <v>1.008779972954253</v>
      </c>
      <c r="F370" s="90">
        <f t="shared" si="619"/>
        <v>1.0019813504570838</v>
      </c>
      <c r="G370" s="90">
        <f t="shared" si="619"/>
        <v>1.0003915707862088</v>
      </c>
      <c r="H370" s="90">
        <f t="shared" si="619"/>
        <v>1.0001174252555631</v>
      </c>
      <c r="I370" s="90">
        <f t="shared" si="619"/>
        <v>1.0000260914374426</v>
      </c>
      <c r="J370" s="90">
        <f t="shared" si="619"/>
        <v>1.0000195680675228</v>
      </c>
      <c r="K370" s="90">
        <f t="shared" si="619"/>
        <v>1.0000130451230806</v>
      </c>
      <c r="L370" s="22"/>
      <c r="M370" s="91">
        <f>$A$36</f>
        <v>20133</v>
      </c>
      <c r="N370" s="105"/>
      <c r="O370" s="90">
        <f>IFERROR(P357/O357,"")</f>
        <v>1.1570109762302827</v>
      </c>
      <c r="P370" s="90">
        <f t="shared" ref="P370:W370" si="620">IFERROR(Q357/P357,"")</f>
        <v>1.0187221210027015</v>
      </c>
      <c r="Q370" s="90">
        <f t="shared" si="620"/>
        <v>1.0025901942645699</v>
      </c>
      <c r="R370" s="90">
        <f t="shared" si="620"/>
        <v>1.0009226794611552</v>
      </c>
      <c r="S370" s="90">
        <f t="shared" si="620"/>
        <v>1.0000614552605702</v>
      </c>
      <c r="T370" s="90">
        <f t="shared" si="620"/>
        <v>1</v>
      </c>
      <c r="U370" s="90">
        <f t="shared" si="620"/>
        <v>1.0002458059362134</v>
      </c>
      <c r="V370" s="90">
        <f t="shared" si="620"/>
        <v>1</v>
      </c>
      <c r="W370" s="90">
        <f t="shared" si="620"/>
        <v>1</v>
      </c>
      <c r="X370" s="22"/>
      <c r="Y370" s="91">
        <f>$A$36</f>
        <v>20133</v>
      </c>
      <c r="Z370" s="105"/>
      <c r="AA370" s="90">
        <f>IFERROR(AB357/AA357,"")</f>
        <v>1.2110858010630221</v>
      </c>
      <c r="AB370" s="90">
        <f t="shared" ref="AB370:AI370" si="621">IFERROR(AC357/AB357,"")</f>
        <v>1.0573952693074951</v>
      </c>
      <c r="AC370" s="90">
        <f t="shared" si="621"/>
        <v>1.0147692971108235</v>
      </c>
      <c r="AD370" s="90">
        <f t="shared" si="621"/>
        <v>1.0049399766280676</v>
      </c>
      <c r="AE370" s="90">
        <f t="shared" si="621"/>
        <v>1.0020085628204451</v>
      </c>
      <c r="AF370" s="90">
        <f t="shared" si="621"/>
        <v>1.0012660231049217</v>
      </c>
      <c r="AG370" s="90">
        <f t="shared" si="621"/>
        <v>1.0004214741056847</v>
      </c>
      <c r="AH370" s="90">
        <f t="shared" si="621"/>
        <v>1.0003686344725895</v>
      </c>
      <c r="AI370" s="90">
        <f t="shared" si="621"/>
        <v>1.0001579279848389</v>
      </c>
      <c r="AJ370" s="22"/>
      <c r="AK370" s="91">
        <f>$A$36</f>
        <v>20133</v>
      </c>
      <c r="AL370" s="105"/>
      <c r="AM370" s="90">
        <f>IFERROR(AN357/AM357,"")</f>
        <v>1.0233715250833066</v>
      </c>
      <c r="AN370" s="90">
        <f t="shared" ref="AN370:AU370" si="622">IFERROR(AO357/AN357,"")</f>
        <v>1.0026763013515321</v>
      </c>
      <c r="AO370" s="90">
        <f t="shared" si="622"/>
        <v>1.0008229903465458</v>
      </c>
      <c r="AP370" s="90">
        <f t="shared" si="622"/>
        <v>1.0003222580286699</v>
      </c>
      <c r="AQ370" s="90">
        <f t="shared" si="622"/>
        <v>1.0000666525955633</v>
      </c>
      <c r="AR370" s="90">
        <f t="shared" si="622"/>
        <v>1.0000333240766455</v>
      </c>
      <c r="AS370" s="90">
        <f t="shared" si="622"/>
        <v>1</v>
      </c>
      <c r="AT370" s="90">
        <f t="shared" si="622"/>
        <v>1.0000111076553961</v>
      </c>
      <c r="AU370" s="90">
        <f t="shared" si="622"/>
        <v>1.0000333225960525</v>
      </c>
      <c r="AV370" s="22"/>
      <c r="AW370" s="91">
        <f>$A$36</f>
        <v>20133</v>
      </c>
      <c r="AX370" s="105"/>
      <c r="AY370" s="90">
        <f>IFERROR(AZ357/AY357,"")</f>
        <v>1.0208625185887628</v>
      </c>
      <c r="AZ370" s="90">
        <f t="shared" ref="AZ370:BG370" si="623">IFERROR(BA357/AZ357,"")</f>
        <v>1.0030084235860408</v>
      </c>
      <c r="BA370" s="90">
        <f t="shared" si="623"/>
        <v>1.0009524410907291</v>
      </c>
      <c r="BB370" s="90">
        <f t="shared" si="623"/>
        <v>1.0003206830022238</v>
      </c>
      <c r="BC370" s="90">
        <f t="shared" si="623"/>
        <v>1.0000840866092076</v>
      </c>
      <c r="BD370" s="90">
        <f t="shared" si="623"/>
        <v>1.0000578046832302</v>
      </c>
      <c r="BE370" s="90">
        <f t="shared" si="623"/>
        <v>1.0000210186698335</v>
      </c>
      <c r="BF370" s="90">
        <f t="shared" si="623"/>
        <v>1</v>
      </c>
      <c r="BG370" s="90">
        <f t="shared" si="623"/>
        <v>1.0000105091140292</v>
      </c>
      <c r="BH370" s="22"/>
      <c r="BI370" s="91">
        <f>$A$36</f>
        <v>20133</v>
      </c>
      <c r="BJ370" s="105"/>
      <c r="BK370" s="90">
        <f>IFERROR(BL357/BK357,"")</f>
        <v>1.0087406786150563</v>
      </c>
      <c r="BL370" s="90">
        <f t="shared" ref="BL370:BS370" si="624">IFERROR(BM357/BL357,"")</f>
        <v>1.0007302119783683</v>
      </c>
      <c r="BM370" s="90">
        <f t="shared" si="624"/>
        <v>1.0002384100218904</v>
      </c>
      <c r="BN370" s="90">
        <f t="shared" si="624"/>
        <v>1.0001047309498015</v>
      </c>
      <c r="BO370" s="90">
        <f t="shared" si="624"/>
        <v>1.0000108331016253</v>
      </c>
      <c r="BP370" s="90">
        <f t="shared" si="624"/>
        <v>1.0000108329842705</v>
      </c>
      <c r="BQ370" s="90">
        <f t="shared" si="624"/>
        <v>1</v>
      </c>
      <c r="BR370" s="90">
        <f t="shared" si="624"/>
        <v>1.0000072219112788</v>
      </c>
      <c r="BS370" s="90">
        <f t="shared" si="624"/>
        <v>1</v>
      </c>
      <c r="BT370" s="22"/>
      <c r="BU370" s="91">
        <f>$A$36</f>
        <v>20133</v>
      </c>
      <c r="BV370" s="105"/>
      <c r="BW370" s="90">
        <f>IFERROR(BX357/BW357,"")</f>
        <v>1.0476190476190477</v>
      </c>
      <c r="BX370" s="90">
        <f t="shared" ref="BX370:CE370" si="625">IFERROR(BY357/BX357,"")</f>
        <v>1</v>
      </c>
      <c r="BY370" s="90">
        <f t="shared" si="625"/>
        <v>1</v>
      </c>
      <c r="BZ370" s="90">
        <f t="shared" si="625"/>
        <v>1</v>
      </c>
      <c r="CA370" s="90">
        <f t="shared" si="625"/>
        <v>1</v>
      </c>
      <c r="CB370" s="90">
        <f t="shared" si="625"/>
        <v>1</v>
      </c>
      <c r="CC370" s="90">
        <f t="shared" si="625"/>
        <v>1</v>
      </c>
      <c r="CD370" s="90">
        <f t="shared" si="625"/>
        <v>1</v>
      </c>
      <c r="CE370" s="90">
        <f t="shared" si="625"/>
        <v>1</v>
      </c>
      <c r="CF370" s="22"/>
      <c r="CG370" s="91">
        <f>$A$36</f>
        <v>20133</v>
      </c>
      <c r="CH370" s="105"/>
      <c r="CI370" s="90" t="str">
        <f>IFERROR(CJ357/CI357,"")</f>
        <v/>
      </c>
      <c r="CJ370" s="90" t="str">
        <f t="shared" ref="CJ370:CQ370" si="626">IFERROR(CK357/CJ357,"")</f>
        <v/>
      </c>
      <c r="CK370" s="90" t="str">
        <f t="shared" si="626"/>
        <v/>
      </c>
      <c r="CL370" s="90" t="str">
        <f t="shared" si="626"/>
        <v/>
      </c>
      <c r="CM370" s="90" t="str">
        <f t="shared" si="626"/>
        <v/>
      </c>
      <c r="CN370" s="90" t="str">
        <f t="shared" si="626"/>
        <v/>
      </c>
      <c r="CO370" s="90" t="str">
        <f t="shared" si="626"/>
        <v/>
      </c>
      <c r="CP370" s="90" t="str">
        <f t="shared" si="626"/>
        <v/>
      </c>
      <c r="CQ370" s="90" t="str">
        <f t="shared" si="626"/>
        <v/>
      </c>
      <c r="CR370" s="22"/>
      <c r="CS370" s="91">
        <f>$A$36</f>
        <v>20133</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20133</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20143</v>
      </c>
      <c r="B371" s="105"/>
      <c r="C371" s="90">
        <f t="shared" ref="C371:J378" si="629">IFERROR(D358/C358,"")</f>
        <v>1.1190710716468346</v>
      </c>
      <c r="D371" s="90">
        <f t="shared" si="629"/>
        <v>1.0269457615357929</v>
      </c>
      <c r="E371" s="90">
        <f t="shared" si="629"/>
        <v>1.0074887387387388</v>
      </c>
      <c r="F371" s="90">
        <f t="shared" si="629"/>
        <v>1.002043008749542</v>
      </c>
      <c r="G371" s="90">
        <f t="shared" si="629"/>
        <v>1.0004214022780511</v>
      </c>
      <c r="H371" s="90">
        <f t="shared" si="629"/>
        <v>1.000092917229332</v>
      </c>
      <c r="I371" s="90">
        <f t="shared" si="629"/>
        <v>1.0000681329707835</v>
      </c>
      <c r="J371" s="90">
        <f t="shared" si="629"/>
        <v>1.0000309674222718</v>
      </c>
      <c r="K371" s="22"/>
      <c r="L371" s="22"/>
      <c r="M371" s="91">
        <f>$A$37</f>
        <v>20143</v>
      </c>
      <c r="N371" s="105"/>
      <c r="O371" s="90">
        <f t="shared" ref="O371:V378" si="630">IFERROR(P358/O358,"")</f>
        <v>1.1604154645124063</v>
      </c>
      <c r="P371" s="90">
        <f t="shared" si="630"/>
        <v>1.0187095972153157</v>
      </c>
      <c r="Q371" s="90">
        <f t="shared" si="630"/>
        <v>1.0032338763804991</v>
      </c>
      <c r="R371" s="90">
        <f t="shared" si="630"/>
        <v>1.0009731176255929</v>
      </c>
      <c r="S371" s="90">
        <f t="shared" si="630"/>
        <v>1.0003038036213392</v>
      </c>
      <c r="T371" s="90">
        <f t="shared" si="630"/>
        <v>1.0001822268116383</v>
      </c>
      <c r="U371" s="90">
        <f t="shared" si="630"/>
        <v>1.0000607312036924</v>
      </c>
      <c r="V371" s="90">
        <f t="shared" si="630"/>
        <v>1</v>
      </c>
      <c r="W371" s="22"/>
      <c r="X371" s="22"/>
      <c r="Y371" s="91">
        <f>$A$37</f>
        <v>20143</v>
      </c>
      <c r="Z371" s="105"/>
      <c r="AA371" s="90">
        <f t="shared" ref="AA371:AH378" si="631">IFERROR(AB358/AA358,"")</f>
        <v>1.2516979081771258</v>
      </c>
      <c r="AB371" s="90">
        <f t="shared" si="631"/>
        <v>1.0627780792186652</v>
      </c>
      <c r="AC371" s="90">
        <f t="shared" si="631"/>
        <v>1.0142951957931281</v>
      </c>
      <c r="AD371" s="90">
        <f t="shared" si="631"/>
        <v>1.0052348114964513</v>
      </c>
      <c r="AE371" s="90">
        <f t="shared" si="631"/>
        <v>1.0019027590005507</v>
      </c>
      <c r="AF371" s="90">
        <f t="shared" si="631"/>
        <v>1.0006497076315657</v>
      </c>
      <c r="AG371" s="90">
        <f t="shared" si="631"/>
        <v>1.0003995604834681</v>
      </c>
      <c r="AH371" s="90">
        <f t="shared" si="631"/>
        <v>1.0003494757863205</v>
      </c>
      <c r="AI371" s="22"/>
      <c r="AJ371" s="22"/>
      <c r="AK371" s="91">
        <f>$A$37</f>
        <v>20143</v>
      </c>
      <c r="AL371" s="105"/>
      <c r="AM371" s="90">
        <f t="shared" ref="AM371:AT378" si="632">IFERROR(AN358/AM358,"")</f>
        <v>1.0235054621202258</v>
      </c>
      <c r="AN371" s="90">
        <f t="shared" si="632"/>
        <v>1.0026712305005956</v>
      </c>
      <c r="AO371" s="90">
        <f t="shared" si="632"/>
        <v>1.0009226368962494</v>
      </c>
      <c r="AP371" s="90">
        <f t="shared" si="632"/>
        <v>1.0002650135963498</v>
      </c>
      <c r="AQ371" s="90">
        <f t="shared" si="632"/>
        <v>1.000149750607642</v>
      </c>
      <c r="AR371" s="90">
        <f t="shared" si="632"/>
        <v>1.0000806228692527</v>
      </c>
      <c r="AS371" s="90">
        <f t="shared" si="632"/>
        <v>1.0000575831212355</v>
      </c>
      <c r="AT371" s="90">
        <f t="shared" si="632"/>
        <v>1.000011515961122</v>
      </c>
      <c r="AU371" s="22"/>
      <c r="AV371" s="22"/>
      <c r="AW371" s="91">
        <f>$A$37</f>
        <v>20143</v>
      </c>
      <c r="AX371" s="105"/>
      <c r="AY371" s="90">
        <f t="shared" ref="AY371:BF378" si="633">IFERROR(AZ358/AY358,"")</f>
        <v>1.019740437507342</v>
      </c>
      <c r="AZ371" s="90">
        <f t="shared" si="633"/>
        <v>1.0028048242977923</v>
      </c>
      <c r="BA371" s="90">
        <f t="shared" si="633"/>
        <v>1.000769169297159</v>
      </c>
      <c r="BB371" s="90">
        <f t="shared" si="633"/>
        <v>1.0003194090931775</v>
      </c>
      <c r="BC371" s="90">
        <f t="shared" si="633"/>
        <v>1.0000848159493898</v>
      </c>
      <c r="BD371" s="90">
        <f t="shared" si="633"/>
        <v>1.0000299325022075</v>
      </c>
      <c r="BE371" s="90">
        <f t="shared" si="633"/>
        <v>1.0000149658031399</v>
      </c>
      <c r="BF371" s="90">
        <f t="shared" si="633"/>
        <v>1</v>
      </c>
      <c r="BG371" s="22"/>
      <c r="BH371" s="22"/>
      <c r="BI371" s="91">
        <f>$A$37</f>
        <v>20143</v>
      </c>
      <c r="BJ371" s="105"/>
      <c r="BK371" s="90">
        <f t="shared" ref="BK371:BR378" si="634">IFERROR(BL358/BK358,"")</f>
        <v>1.0075961434443963</v>
      </c>
      <c r="BL371" s="90">
        <f t="shared" si="634"/>
        <v>1.0008219959403466</v>
      </c>
      <c r="BM371" s="90">
        <f t="shared" si="634"/>
        <v>1.0002681863895406</v>
      </c>
      <c r="BN371" s="90">
        <f t="shared" si="634"/>
        <v>1.0000703800522823</v>
      </c>
      <c r="BO371" s="90">
        <f t="shared" si="634"/>
        <v>1.0000100535856113</v>
      </c>
      <c r="BP371" s="90">
        <f t="shared" si="634"/>
        <v>1</v>
      </c>
      <c r="BQ371" s="90">
        <f t="shared" si="634"/>
        <v>1.0000033511615125</v>
      </c>
      <c r="BR371" s="90">
        <f t="shared" si="634"/>
        <v>1.0000033511502824</v>
      </c>
      <c r="BS371" s="22"/>
      <c r="BT371" s="22"/>
      <c r="BU371" s="91">
        <f>$A$37</f>
        <v>20143</v>
      </c>
      <c r="BV371" s="105"/>
      <c r="BW371" s="90">
        <f t="shared" ref="BW371:CD378" si="635">IFERROR(BX358/BW358,"")</f>
        <v>1.1000000000000001</v>
      </c>
      <c r="BX371" s="90">
        <f t="shared" si="635"/>
        <v>1</v>
      </c>
      <c r="BY371" s="90">
        <f t="shared" si="635"/>
        <v>1.0606060606060606</v>
      </c>
      <c r="BZ371" s="90">
        <f t="shared" si="635"/>
        <v>1</v>
      </c>
      <c r="CA371" s="90">
        <f t="shared" si="635"/>
        <v>1</v>
      </c>
      <c r="CB371" s="90">
        <f t="shared" si="635"/>
        <v>1</v>
      </c>
      <c r="CC371" s="90">
        <f t="shared" si="635"/>
        <v>1</v>
      </c>
      <c r="CD371" s="90">
        <f t="shared" si="635"/>
        <v>1</v>
      </c>
      <c r="CE371" s="22"/>
      <c r="CF371" s="22"/>
      <c r="CG371" s="91">
        <f>$A$37</f>
        <v>20143</v>
      </c>
      <c r="CH371" s="105"/>
      <c r="CI371" s="90" t="str">
        <f t="shared" ref="CI371:CP378" si="636">IFERROR(CJ358/CI358,"")</f>
        <v/>
      </c>
      <c r="CJ371" s="90" t="str">
        <f t="shared" si="636"/>
        <v/>
      </c>
      <c r="CK371" s="90" t="str">
        <f t="shared" si="636"/>
        <v/>
      </c>
      <c r="CL371" s="90" t="str">
        <f t="shared" si="636"/>
        <v/>
      </c>
      <c r="CM371" s="90" t="str">
        <f t="shared" si="636"/>
        <v/>
      </c>
      <c r="CN371" s="90" t="str">
        <f t="shared" si="636"/>
        <v/>
      </c>
      <c r="CO371" s="90" t="str">
        <f t="shared" si="636"/>
        <v/>
      </c>
      <c r="CP371" s="90" t="str">
        <f t="shared" si="636"/>
        <v/>
      </c>
      <c r="CQ371" s="22"/>
      <c r="CR371" s="22"/>
      <c r="CS371" s="91">
        <f>$A$37</f>
        <v>20143</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20143</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20153</v>
      </c>
      <c r="B372" s="105"/>
      <c r="C372" s="90">
        <f t="shared" si="629"/>
        <v>1.1055812748659977</v>
      </c>
      <c r="D372" s="90">
        <f t="shared" si="629"/>
        <v>1.0227932209092057</v>
      </c>
      <c r="E372" s="90">
        <f t="shared" si="629"/>
        <v>1.0063730932116277</v>
      </c>
      <c r="F372" s="90">
        <f t="shared" si="629"/>
        <v>1.0023755048677421</v>
      </c>
      <c r="G372" s="90">
        <f t="shared" si="629"/>
        <v>1.0004600003493673</v>
      </c>
      <c r="H372" s="90">
        <f t="shared" si="629"/>
        <v>1.0001978838072845</v>
      </c>
      <c r="I372" s="90">
        <f t="shared" si="629"/>
        <v>1.0001280171310196</v>
      </c>
      <c r="J372" s="22"/>
      <c r="K372" s="22"/>
      <c r="L372" s="22"/>
      <c r="M372" s="91">
        <f>$A$38</f>
        <v>20153</v>
      </c>
      <c r="N372" s="105"/>
      <c r="O372" s="90">
        <f t="shared" si="630"/>
        <v>1.1731843575418994</v>
      </c>
      <c r="P372" s="90">
        <f t="shared" si="630"/>
        <v>1.0216165413533835</v>
      </c>
      <c r="Q372" s="90">
        <f t="shared" si="630"/>
        <v>1.0047224777675559</v>
      </c>
      <c r="R372" s="90">
        <f t="shared" si="630"/>
        <v>1.0014650225857649</v>
      </c>
      <c r="S372" s="90">
        <f t="shared" si="630"/>
        <v>1.0003657198585882</v>
      </c>
      <c r="T372" s="90">
        <f t="shared" si="630"/>
        <v>1.0000609310260784</v>
      </c>
      <c r="U372" s="90">
        <f t="shared" si="630"/>
        <v>1.0000609273137147</v>
      </c>
      <c r="V372" s="22"/>
      <c r="W372" s="22"/>
      <c r="X372" s="22"/>
      <c r="Y372" s="91">
        <f>$A$38</f>
        <v>20153</v>
      </c>
      <c r="Z372" s="105"/>
      <c r="AA372" s="90">
        <f t="shared" si="631"/>
        <v>1.2816134165748561</v>
      </c>
      <c r="AB372" s="90">
        <f t="shared" si="631"/>
        <v>1.0565929605043221</v>
      </c>
      <c r="AC372" s="90">
        <f t="shared" si="631"/>
        <v>1.0135599349123123</v>
      </c>
      <c r="AD372" s="90">
        <f t="shared" si="631"/>
        <v>1.0064662861220122</v>
      </c>
      <c r="AE372" s="90">
        <f t="shared" si="631"/>
        <v>1.0018609597235146</v>
      </c>
      <c r="AF372" s="90">
        <f t="shared" si="631"/>
        <v>1.0008845252310823</v>
      </c>
      <c r="AG372" s="90">
        <f t="shared" si="631"/>
        <v>1.0002209358844063</v>
      </c>
      <c r="AH372" s="22"/>
      <c r="AI372" s="22"/>
      <c r="AJ372" s="22"/>
      <c r="AK372" s="91">
        <f>$A$38</f>
        <v>20153</v>
      </c>
      <c r="AL372" s="105"/>
      <c r="AM372" s="90">
        <f t="shared" si="632"/>
        <v>1.022042198311613</v>
      </c>
      <c r="AN372" s="90">
        <f t="shared" si="632"/>
        <v>1.0028903983191222</v>
      </c>
      <c r="AO372" s="90">
        <f t="shared" si="632"/>
        <v>1.0009976389212198</v>
      </c>
      <c r="AP372" s="90">
        <f t="shared" si="632"/>
        <v>1.0003100672181433</v>
      </c>
      <c r="AQ372" s="90">
        <f t="shared" si="632"/>
        <v>1.0001549855531324</v>
      </c>
      <c r="AR372" s="90">
        <f t="shared" si="632"/>
        <v>1.0000332060435</v>
      </c>
      <c r="AS372" s="90">
        <f t="shared" si="632"/>
        <v>1.0000221366272635</v>
      </c>
      <c r="AT372" s="22"/>
      <c r="AU372" s="22"/>
      <c r="AV372" s="22"/>
      <c r="AW372" s="91">
        <f>$A$38</f>
        <v>20153</v>
      </c>
      <c r="AX372" s="105"/>
      <c r="AY372" s="90">
        <f t="shared" si="633"/>
        <v>1.020155305968077</v>
      </c>
      <c r="AZ372" s="90">
        <f t="shared" si="633"/>
        <v>1.0028438954798018</v>
      </c>
      <c r="BA372" s="90">
        <f t="shared" si="633"/>
        <v>1.0007674525255739</v>
      </c>
      <c r="BB372" s="90">
        <f t="shared" si="633"/>
        <v>1.000275883997793</v>
      </c>
      <c r="BC372" s="90">
        <f t="shared" si="633"/>
        <v>1.0000794700748421</v>
      </c>
      <c r="BD372" s="90">
        <f t="shared" si="633"/>
        <v>1.000042069049333</v>
      </c>
      <c r="BE372" s="90">
        <f t="shared" si="633"/>
        <v>1.0000186965687121</v>
      </c>
      <c r="BF372" s="22"/>
      <c r="BG372" s="22"/>
      <c r="BH372" s="22"/>
      <c r="BI372" s="91">
        <f>$A$38</f>
        <v>20153</v>
      </c>
      <c r="BJ372" s="105"/>
      <c r="BK372" s="90">
        <f t="shared" si="634"/>
        <v>1.0089180368060557</v>
      </c>
      <c r="BL372" s="90">
        <f t="shared" si="634"/>
        <v>1.0006986315933357</v>
      </c>
      <c r="BM372" s="90">
        <f t="shared" si="634"/>
        <v>1.0001821244820834</v>
      </c>
      <c r="BN372" s="90">
        <f t="shared" si="634"/>
        <v>1.0000515925403257</v>
      </c>
      <c r="BO372" s="90">
        <f t="shared" si="634"/>
        <v>1.0000030346987454</v>
      </c>
      <c r="BP372" s="90">
        <f t="shared" si="634"/>
        <v>1.0000091040686083</v>
      </c>
      <c r="BQ372" s="90">
        <f t="shared" si="634"/>
        <v>1.0000030346619082</v>
      </c>
      <c r="BR372" s="22"/>
      <c r="BS372" s="22"/>
      <c r="BT372" s="22"/>
      <c r="BU372" s="91">
        <f>$A$38</f>
        <v>20153</v>
      </c>
      <c r="BV372" s="105"/>
      <c r="BW372" s="90">
        <f t="shared" si="635"/>
        <v>1.125</v>
      </c>
      <c r="BX372" s="90">
        <f t="shared" si="635"/>
        <v>1</v>
      </c>
      <c r="BY372" s="90">
        <f t="shared" si="635"/>
        <v>1</v>
      </c>
      <c r="BZ372" s="90">
        <f t="shared" si="635"/>
        <v>1</v>
      </c>
      <c r="CA372" s="90">
        <f t="shared" si="635"/>
        <v>1</v>
      </c>
      <c r="CB372" s="90">
        <f t="shared" si="635"/>
        <v>1</v>
      </c>
      <c r="CC372" s="90">
        <f t="shared" si="635"/>
        <v>1</v>
      </c>
      <c r="CD372" s="22"/>
      <c r="CE372" s="22"/>
      <c r="CF372" s="22"/>
      <c r="CG372" s="91">
        <f>$A$38</f>
        <v>20153</v>
      </c>
      <c r="CH372" s="105"/>
      <c r="CI372" s="90" t="str">
        <f t="shared" si="636"/>
        <v/>
      </c>
      <c r="CJ372" s="90" t="str">
        <f t="shared" si="636"/>
        <v/>
      </c>
      <c r="CK372" s="90" t="str">
        <f t="shared" si="636"/>
        <v/>
      </c>
      <c r="CL372" s="90" t="str">
        <f t="shared" si="636"/>
        <v/>
      </c>
      <c r="CM372" s="90" t="str">
        <f t="shared" si="636"/>
        <v/>
      </c>
      <c r="CN372" s="90" t="str">
        <f t="shared" si="636"/>
        <v/>
      </c>
      <c r="CO372" s="90" t="str">
        <f t="shared" si="636"/>
        <v/>
      </c>
      <c r="CP372" s="22"/>
      <c r="CQ372" s="22"/>
      <c r="CR372" s="22"/>
      <c r="CS372" s="91">
        <f>$A$38</f>
        <v>20153</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20153</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20163</v>
      </c>
      <c r="B373" s="105"/>
      <c r="C373" s="90">
        <f t="shared" si="629"/>
        <v>1.1016975813555483</v>
      </c>
      <c r="D373" s="90">
        <f t="shared" si="629"/>
        <v>1.023381592849596</v>
      </c>
      <c r="E373" s="90">
        <f t="shared" si="629"/>
        <v>1.0078408830899219</v>
      </c>
      <c r="F373" s="90">
        <f t="shared" si="629"/>
        <v>1.0019435861656534</v>
      </c>
      <c r="G373" s="90">
        <f t="shared" si="629"/>
        <v>1.0007902953936278</v>
      </c>
      <c r="H373" s="90">
        <f t="shared" si="629"/>
        <v>1.0005025181127407</v>
      </c>
      <c r="I373" s="22"/>
      <c r="J373" s="22"/>
      <c r="K373" s="22"/>
      <c r="L373" s="22"/>
      <c r="M373" s="91">
        <f>$A$39</f>
        <v>20163</v>
      </c>
      <c r="N373" s="105"/>
      <c r="O373" s="90">
        <f t="shared" si="630"/>
        <v>1.190605504587156</v>
      </c>
      <c r="P373" s="90">
        <f t="shared" si="630"/>
        <v>1.0255208975465417</v>
      </c>
      <c r="Q373" s="90">
        <f t="shared" si="630"/>
        <v>1.003546525607117</v>
      </c>
      <c r="R373" s="90">
        <f t="shared" si="630"/>
        <v>1.0012578616352201</v>
      </c>
      <c r="S373" s="90">
        <f t="shared" si="630"/>
        <v>1.0005982292414453</v>
      </c>
      <c r="T373" s="90">
        <f t="shared" si="630"/>
        <v>1.000119574315437</v>
      </c>
      <c r="U373" s="22"/>
      <c r="V373" s="22"/>
      <c r="W373" s="22"/>
      <c r="X373" s="22"/>
      <c r="Y373" s="91">
        <f>$A$39</f>
        <v>20163</v>
      </c>
      <c r="Z373" s="105"/>
      <c r="AA373" s="90">
        <f t="shared" si="631"/>
        <v>1.275983404232971</v>
      </c>
      <c r="AB373" s="90">
        <f t="shared" si="631"/>
        <v>1.0508314125782021</v>
      </c>
      <c r="AC373" s="90">
        <f t="shared" si="631"/>
        <v>1.0140221691277271</v>
      </c>
      <c r="AD373" s="90">
        <f t="shared" si="631"/>
        <v>1.0050214376762332</v>
      </c>
      <c r="AE373" s="90">
        <f t="shared" si="631"/>
        <v>1.0020369729812828</v>
      </c>
      <c r="AF373" s="90">
        <f t="shared" si="631"/>
        <v>1.0010739490641301</v>
      </c>
      <c r="AG373" s="22"/>
      <c r="AH373" s="22"/>
      <c r="AI373" s="22"/>
      <c r="AJ373" s="22"/>
      <c r="AK373" s="91">
        <f>$A$39</f>
        <v>20163</v>
      </c>
      <c r="AL373" s="105"/>
      <c r="AM373" s="90">
        <f t="shared" si="632"/>
        <v>1.0229672480161718</v>
      </c>
      <c r="AN373" s="90">
        <f t="shared" si="632"/>
        <v>1.0027013391074018</v>
      </c>
      <c r="AO373" s="90">
        <f t="shared" si="632"/>
        <v>1.0007966874574139</v>
      </c>
      <c r="AP373" s="90">
        <f t="shared" si="632"/>
        <v>1.0003037571618607</v>
      </c>
      <c r="AQ373" s="90">
        <f t="shared" si="632"/>
        <v>1.0002094240837696</v>
      </c>
      <c r="AR373" s="90">
        <f t="shared" si="632"/>
        <v>1.0000628140703518</v>
      </c>
      <c r="AS373" s="22"/>
      <c r="AT373" s="22"/>
      <c r="AU373" s="22"/>
      <c r="AV373" s="22"/>
      <c r="AW373" s="91">
        <f>$A$39</f>
        <v>20163</v>
      </c>
      <c r="AX373" s="105"/>
      <c r="AY373" s="90">
        <f t="shared" si="633"/>
        <v>1.020564073987525</v>
      </c>
      <c r="AZ373" s="90">
        <f t="shared" si="633"/>
        <v>1.0028489652135624</v>
      </c>
      <c r="BA373" s="90">
        <f t="shared" si="633"/>
        <v>1.0009176849749941</v>
      </c>
      <c r="BB373" s="90">
        <f t="shared" si="633"/>
        <v>1.0003070768042956</v>
      </c>
      <c r="BC373" s="90">
        <f t="shared" si="633"/>
        <v>1.0001447203389087</v>
      </c>
      <c r="BD373" s="90">
        <f t="shared" si="633"/>
        <v>1.0000394634721717</v>
      </c>
      <c r="BE373" s="22"/>
      <c r="BF373" s="22"/>
      <c r="BG373" s="22"/>
      <c r="BH373" s="22"/>
      <c r="BI373" s="91">
        <f>$A$39</f>
        <v>20163</v>
      </c>
      <c r="BJ373" s="105"/>
      <c r="BK373" s="90">
        <f t="shared" si="634"/>
        <v>1.0088316017875876</v>
      </c>
      <c r="BL373" s="90">
        <f t="shared" si="634"/>
        <v>1.0007948083913534</v>
      </c>
      <c r="BM373" s="90">
        <f t="shared" si="634"/>
        <v>1.0002220280267686</v>
      </c>
      <c r="BN373" s="90">
        <f t="shared" si="634"/>
        <v>1.0000540717446675</v>
      </c>
      <c r="BO373" s="90">
        <f t="shared" si="634"/>
        <v>1.0000199200919739</v>
      </c>
      <c r="BP373" s="90">
        <f t="shared" si="634"/>
        <v>1.0000056913414777</v>
      </c>
      <c r="BQ373" s="22"/>
      <c r="BR373" s="22"/>
      <c r="BS373" s="22"/>
      <c r="BT373" s="22"/>
      <c r="BU373" s="91">
        <f>$A$39</f>
        <v>20163</v>
      </c>
      <c r="BV373" s="105"/>
      <c r="BW373" s="90">
        <f t="shared" si="635"/>
        <v>1.25</v>
      </c>
      <c r="BX373" s="90">
        <f t="shared" si="635"/>
        <v>1.04</v>
      </c>
      <c r="BY373" s="90">
        <f t="shared" si="635"/>
        <v>1</v>
      </c>
      <c r="BZ373" s="90">
        <f t="shared" si="635"/>
        <v>1</v>
      </c>
      <c r="CA373" s="90">
        <f t="shared" si="635"/>
        <v>1</v>
      </c>
      <c r="CB373" s="90">
        <f t="shared" si="635"/>
        <v>1</v>
      </c>
      <c r="CC373" s="22"/>
      <c r="CD373" s="22"/>
      <c r="CE373" s="22"/>
      <c r="CF373" s="22"/>
      <c r="CG373" s="91">
        <f>$A$39</f>
        <v>20163</v>
      </c>
      <c r="CH373" s="105"/>
      <c r="CI373" s="90" t="str">
        <f t="shared" si="636"/>
        <v/>
      </c>
      <c r="CJ373" s="90" t="str">
        <f t="shared" si="636"/>
        <v/>
      </c>
      <c r="CK373" s="90" t="str">
        <f t="shared" si="636"/>
        <v/>
      </c>
      <c r="CL373" s="90" t="str">
        <f t="shared" si="636"/>
        <v/>
      </c>
      <c r="CM373" s="90" t="str">
        <f t="shared" si="636"/>
        <v/>
      </c>
      <c r="CN373" s="90" t="str">
        <f t="shared" si="636"/>
        <v/>
      </c>
      <c r="CO373" s="22"/>
      <c r="CP373" s="22"/>
      <c r="CQ373" s="22"/>
      <c r="CR373" s="22"/>
      <c r="CS373" s="91">
        <f>$A$39</f>
        <v>20163</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20163</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20173</v>
      </c>
      <c r="B374" s="105"/>
      <c r="C374" s="90">
        <f t="shared" si="629"/>
        <v>1.1003393209746373</v>
      </c>
      <c r="D374" s="90">
        <f t="shared" si="629"/>
        <v>1.0251871468311351</v>
      </c>
      <c r="E374" s="90">
        <f t="shared" si="629"/>
        <v>1.0070073869301188</v>
      </c>
      <c r="F374" s="90">
        <f t="shared" si="629"/>
        <v>1.0030770961662869</v>
      </c>
      <c r="G374" s="90">
        <f t="shared" si="629"/>
        <v>1.0018282560904481</v>
      </c>
      <c r="H374" s="22"/>
      <c r="I374" s="22"/>
      <c r="J374" s="22"/>
      <c r="K374" s="22"/>
      <c r="L374" s="22"/>
      <c r="M374" s="91">
        <f>$A$40</f>
        <v>20173</v>
      </c>
      <c r="N374" s="105"/>
      <c r="O374" s="90">
        <f t="shared" si="630"/>
        <v>1.1974016332590942</v>
      </c>
      <c r="P374" s="90">
        <f t="shared" si="630"/>
        <v>1.0242420484840971</v>
      </c>
      <c r="Q374" s="90">
        <f t="shared" si="630"/>
        <v>1.0037530266343826</v>
      </c>
      <c r="R374" s="90">
        <f t="shared" si="630"/>
        <v>1.0011458207695092</v>
      </c>
      <c r="S374" s="90">
        <f t="shared" si="630"/>
        <v>1.0003614240106018</v>
      </c>
      <c r="T374" s="22"/>
      <c r="U374" s="22"/>
      <c r="V374" s="22"/>
      <c r="W374" s="22"/>
      <c r="X374" s="22"/>
      <c r="Y374" s="91">
        <f>$A$40</f>
        <v>20173</v>
      </c>
      <c r="Z374" s="105"/>
      <c r="AA374" s="90">
        <f t="shared" si="631"/>
        <v>1.2847201658276577</v>
      </c>
      <c r="AB374" s="90">
        <f t="shared" si="631"/>
        <v>1.0508240175175751</v>
      </c>
      <c r="AC374" s="90">
        <f t="shared" si="631"/>
        <v>1.0114425678145793</v>
      </c>
      <c r="AD374" s="90">
        <f t="shared" si="631"/>
        <v>1.0046987385694148</v>
      </c>
      <c r="AE374" s="90">
        <f t="shared" si="631"/>
        <v>1.0021225312084039</v>
      </c>
      <c r="AF374" s="22"/>
      <c r="AG374" s="22"/>
      <c r="AH374" s="22"/>
      <c r="AI374" s="22"/>
      <c r="AJ374" s="22"/>
      <c r="AK374" s="91">
        <f>$A$40</f>
        <v>20173</v>
      </c>
      <c r="AL374" s="105"/>
      <c r="AM374" s="90">
        <f t="shared" si="632"/>
        <v>1.0221847141790104</v>
      </c>
      <c r="AN374" s="90">
        <f t="shared" si="632"/>
        <v>1.0024293956878227</v>
      </c>
      <c r="AO374" s="90">
        <f t="shared" si="632"/>
        <v>1.0007668130869434</v>
      </c>
      <c r="AP374" s="90">
        <f t="shared" si="632"/>
        <v>1.0003973021293502</v>
      </c>
      <c r="AQ374" s="90">
        <f t="shared" si="632"/>
        <v>1.0000851023592265</v>
      </c>
      <c r="AR374" s="22"/>
      <c r="AS374" s="22"/>
      <c r="AT374" s="22"/>
      <c r="AU374" s="22"/>
      <c r="AV374" s="22"/>
      <c r="AW374" s="91">
        <f>$A$40</f>
        <v>20173</v>
      </c>
      <c r="AX374" s="105"/>
      <c r="AY374" s="90">
        <f t="shared" si="633"/>
        <v>1.0204482388716012</v>
      </c>
      <c r="AZ374" s="90">
        <f t="shared" si="633"/>
        <v>1.0031015564253041</v>
      </c>
      <c r="BA374" s="90">
        <f t="shared" si="633"/>
        <v>1.0011042737559599</v>
      </c>
      <c r="BB374" s="90">
        <f t="shared" si="633"/>
        <v>1.0004282451465549</v>
      </c>
      <c r="BC374" s="90">
        <f t="shared" si="633"/>
        <v>1.0000735055669658</v>
      </c>
      <c r="BD374" s="22"/>
      <c r="BE374" s="22"/>
      <c r="BF374" s="22"/>
      <c r="BG374" s="22"/>
      <c r="BH374" s="22"/>
      <c r="BI374" s="91">
        <f>$A$40</f>
        <v>20173</v>
      </c>
      <c r="BJ374" s="105"/>
      <c r="BK374" s="90">
        <f t="shared" si="634"/>
        <v>1.0082605131983993</v>
      </c>
      <c r="BL374" s="90">
        <f t="shared" si="634"/>
        <v>1.0008791278627924</v>
      </c>
      <c r="BM374" s="90">
        <f t="shared" si="634"/>
        <v>1.0001613846271882</v>
      </c>
      <c r="BN374" s="90">
        <f t="shared" si="634"/>
        <v>1.0000740662363772</v>
      </c>
      <c r="BO374" s="90">
        <f t="shared" si="634"/>
        <v>1.0000158701609234</v>
      </c>
      <c r="BP374" s="22"/>
      <c r="BQ374" s="22"/>
      <c r="BR374" s="22"/>
      <c r="BS374" s="22"/>
      <c r="BT374" s="22"/>
      <c r="BU374" s="91">
        <f>$A$40</f>
        <v>20173</v>
      </c>
      <c r="BV374" s="105"/>
      <c r="BW374" s="90">
        <f t="shared" si="635"/>
        <v>1.0714285714285714</v>
      </c>
      <c r="BX374" s="90">
        <f t="shared" si="635"/>
        <v>1.0333333333333334</v>
      </c>
      <c r="BY374" s="90">
        <f t="shared" si="635"/>
        <v>1</v>
      </c>
      <c r="BZ374" s="90">
        <f t="shared" si="635"/>
        <v>1</v>
      </c>
      <c r="CA374" s="90">
        <f t="shared" si="635"/>
        <v>1</v>
      </c>
      <c r="CB374" s="22"/>
      <c r="CC374" s="22"/>
      <c r="CD374" s="22"/>
      <c r="CE374" s="22"/>
      <c r="CF374" s="22"/>
      <c r="CG374" s="91">
        <f>$A$40</f>
        <v>20173</v>
      </c>
      <c r="CH374" s="105"/>
      <c r="CI374" s="90" t="str">
        <f t="shared" si="636"/>
        <v/>
      </c>
      <c r="CJ374" s="90" t="str">
        <f t="shared" si="636"/>
        <v/>
      </c>
      <c r="CK374" s="90" t="str">
        <f t="shared" si="636"/>
        <v/>
      </c>
      <c r="CL374" s="90" t="str">
        <f t="shared" si="636"/>
        <v/>
      </c>
      <c r="CM374" s="90" t="str">
        <f t="shared" si="636"/>
        <v/>
      </c>
      <c r="CN374" s="22"/>
      <c r="CO374" s="22"/>
      <c r="CP374" s="22"/>
      <c r="CQ374" s="22"/>
      <c r="CR374" s="22"/>
      <c r="CS374" s="91">
        <f>$A$40</f>
        <v>20173</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20173</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20183</v>
      </c>
      <c r="B375" s="105"/>
      <c r="C375" s="90">
        <f t="shared" si="629"/>
        <v>1.1125226610051491</v>
      </c>
      <c r="D375" s="90">
        <f t="shared" si="629"/>
        <v>1.0247216491012845</v>
      </c>
      <c r="E375" s="90">
        <f t="shared" si="629"/>
        <v>1.0084408085278771</v>
      </c>
      <c r="F375" s="90">
        <f t="shared" si="629"/>
        <v>1.0044249114118344</v>
      </c>
      <c r="G375" s="22"/>
      <c r="H375" s="22"/>
      <c r="I375" s="22"/>
      <c r="J375" s="22"/>
      <c r="K375" s="22"/>
      <c r="L375" s="22"/>
      <c r="M375" s="91">
        <f>$A$41</f>
        <v>20183</v>
      </c>
      <c r="N375" s="105"/>
      <c r="O375" s="90">
        <f t="shared" si="630"/>
        <v>1.1958161598880162</v>
      </c>
      <c r="P375" s="90">
        <f t="shared" si="630"/>
        <v>1.0228913312089485</v>
      </c>
      <c r="Q375" s="90">
        <f t="shared" si="630"/>
        <v>1.0045775319473584</v>
      </c>
      <c r="R375" s="90">
        <f t="shared" si="630"/>
        <v>1.0019619011454972</v>
      </c>
      <c r="S375" s="22"/>
      <c r="T375" s="22"/>
      <c r="U375" s="22"/>
      <c r="V375" s="22"/>
      <c r="W375" s="22"/>
      <c r="X375" s="22"/>
      <c r="Y375" s="91">
        <f>$A$41</f>
        <v>20183</v>
      </c>
      <c r="Z375" s="105"/>
      <c r="AA375" s="90">
        <f t="shared" si="631"/>
        <v>1.2383254374939572</v>
      </c>
      <c r="AB375" s="90">
        <f t="shared" si="631"/>
        <v>1.0460649594003748</v>
      </c>
      <c r="AC375" s="90">
        <f t="shared" si="631"/>
        <v>1.0123899089416331</v>
      </c>
      <c r="AD375" s="90">
        <f t="shared" si="631"/>
        <v>1.0050132704217045</v>
      </c>
      <c r="AE375" s="22"/>
      <c r="AF375" s="22"/>
      <c r="AG375" s="22"/>
      <c r="AH375" s="22"/>
      <c r="AI375" s="22"/>
      <c r="AJ375" s="22"/>
      <c r="AK375" s="91">
        <f>$A$41</f>
        <v>20183</v>
      </c>
      <c r="AL375" s="105"/>
      <c r="AM375" s="90">
        <f t="shared" si="632"/>
        <v>1.0234794112438672</v>
      </c>
      <c r="AN375" s="90">
        <f t="shared" si="632"/>
        <v>1.0027988967257997</v>
      </c>
      <c r="AO375" s="90">
        <f t="shared" si="632"/>
        <v>1.0010555375121792</v>
      </c>
      <c r="AP375" s="90">
        <f t="shared" si="632"/>
        <v>1.0002331900397436</v>
      </c>
      <c r="AQ375" s="22"/>
      <c r="AR375" s="22"/>
      <c r="AS375" s="22"/>
      <c r="AT375" s="22"/>
      <c r="AU375" s="22"/>
      <c r="AV375" s="22"/>
      <c r="AW375" s="91">
        <f>$A$41</f>
        <v>20183</v>
      </c>
      <c r="AX375" s="105"/>
      <c r="AY375" s="90">
        <f t="shared" si="633"/>
        <v>1.0198727252428268</v>
      </c>
      <c r="AZ375" s="90">
        <f t="shared" si="633"/>
        <v>1.0035668673599709</v>
      </c>
      <c r="BA375" s="90">
        <f t="shared" si="633"/>
        <v>1.001404405014044</v>
      </c>
      <c r="BB375" s="90">
        <f t="shared" si="633"/>
        <v>1.0002813948105351</v>
      </c>
      <c r="BC375" s="22"/>
      <c r="BD375" s="22"/>
      <c r="BE375" s="22"/>
      <c r="BF375" s="22"/>
      <c r="BG375" s="22"/>
      <c r="BH375" s="22"/>
      <c r="BI375" s="91">
        <f>$A$41</f>
        <v>20183</v>
      </c>
      <c r="BJ375" s="105"/>
      <c r="BK375" s="90">
        <f t="shared" si="634"/>
        <v>1.0074566214457434</v>
      </c>
      <c r="BL375" s="90">
        <f t="shared" si="634"/>
        <v>1.0008038902647478</v>
      </c>
      <c r="BM375" s="90">
        <f t="shared" si="634"/>
        <v>1.0002677481814262</v>
      </c>
      <c r="BN375" s="90">
        <f t="shared" si="634"/>
        <v>1.0000732588347336</v>
      </c>
      <c r="BO375" s="22"/>
      <c r="BP375" s="22"/>
      <c r="BQ375" s="22"/>
      <c r="BR375" s="22"/>
      <c r="BS375" s="22"/>
      <c r="BT375" s="22"/>
      <c r="BU375" s="91">
        <f>$A$41</f>
        <v>20183</v>
      </c>
      <c r="BV375" s="105"/>
      <c r="BW375" s="90">
        <f t="shared" si="635"/>
        <v>1.1612903225806452</v>
      </c>
      <c r="BX375" s="90">
        <f t="shared" si="635"/>
        <v>1.0277777777777777</v>
      </c>
      <c r="BY375" s="90">
        <f t="shared" si="635"/>
        <v>1.027027027027027</v>
      </c>
      <c r="BZ375" s="90">
        <f t="shared" si="635"/>
        <v>1</v>
      </c>
      <c r="CA375" s="22"/>
      <c r="CB375" s="22"/>
      <c r="CC375" s="22"/>
      <c r="CD375" s="22"/>
      <c r="CE375" s="22"/>
      <c r="CF375" s="22"/>
      <c r="CG375" s="91">
        <f>$A$41</f>
        <v>20183</v>
      </c>
      <c r="CH375" s="105"/>
      <c r="CI375" s="90" t="str">
        <f t="shared" si="636"/>
        <v/>
      </c>
      <c r="CJ375" s="90" t="str">
        <f t="shared" si="636"/>
        <v/>
      </c>
      <c r="CK375" s="90" t="str">
        <f t="shared" si="636"/>
        <v/>
      </c>
      <c r="CL375" s="90" t="str">
        <f t="shared" si="636"/>
        <v/>
      </c>
      <c r="CM375" s="22"/>
      <c r="CN375" s="22"/>
      <c r="CO375" s="22"/>
      <c r="CP375" s="22"/>
      <c r="CQ375" s="22"/>
      <c r="CR375" s="22"/>
      <c r="CS375" s="91">
        <f>$A$41</f>
        <v>20183</v>
      </c>
      <c r="CT375" s="105"/>
      <c r="CU375" s="90" t="str">
        <f t="shared" si="637"/>
        <v/>
      </c>
      <c r="CV375" s="90" t="str">
        <f t="shared" si="637"/>
        <v/>
      </c>
      <c r="CW375" s="90" t="str">
        <f t="shared" si="637"/>
        <v/>
      </c>
      <c r="CX375" s="90" t="str">
        <f t="shared" si="637"/>
        <v/>
      </c>
      <c r="CY375" s="22"/>
      <c r="CZ375" s="22"/>
      <c r="DA375" s="22"/>
      <c r="DB375" s="22"/>
      <c r="DC375" s="22"/>
      <c r="DD375" s="22"/>
      <c r="DE375" s="91">
        <f>$A$41</f>
        <v>20183</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20193</v>
      </c>
      <c r="B376" s="105"/>
      <c r="C376" s="90">
        <f t="shared" si="629"/>
        <v>1.1058953996382825</v>
      </c>
      <c r="D376" s="90">
        <f t="shared" si="629"/>
        <v>1.0273240593053228</v>
      </c>
      <c r="E376" s="90">
        <f t="shared" si="629"/>
        <v>1.0110843973350279</v>
      </c>
      <c r="F376" s="22"/>
      <c r="G376" s="22"/>
      <c r="H376" s="22"/>
      <c r="I376" s="22"/>
      <c r="J376" s="22"/>
      <c r="K376" s="22"/>
      <c r="L376" s="22"/>
      <c r="M376" s="91">
        <f>$A$42</f>
        <v>20193</v>
      </c>
      <c r="N376" s="105"/>
      <c r="O376" s="90">
        <f t="shared" si="630"/>
        <v>1.1999328521067651</v>
      </c>
      <c r="P376" s="90">
        <f t="shared" si="630"/>
        <v>1.0286793508673755</v>
      </c>
      <c r="Q376" s="90">
        <f t="shared" si="630"/>
        <v>1.0049639602883178</v>
      </c>
      <c r="R376" s="22"/>
      <c r="S376" s="22"/>
      <c r="T376" s="22"/>
      <c r="U376" s="22"/>
      <c r="V376" s="22"/>
      <c r="W376" s="22"/>
      <c r="X376" s="22"/>
      <c r="Y376" s="91">
        <f>$A$42</f>
        <v>20193</v>
      </c>
      <c r="Z376" s="105"/>
      <c r="AA376" s="90">
        <f t="shared" si="631"/>
        <v>1.2747062888735314</v>
      </c>
      <c r="AB376" s="90">
        <f t="shared" si="631"/>
        <v>1.0641546941357187</v>
      </c>
      <c r="AC376" s="90">
        <f t="shared" si="631"/>
        <v>1.0151991169228156</v>
      </c>
      <c r="AD376" s="22"/>
      <c r="AE376" s="22"/>
      <c r="AF376" s="22"/>
      <c r="AG376" s="22"/>
      <c r="AH376" s="22"/>
      <c r="AI376" s="22"/>
      <c r="AJ376" s="22"/>
      <c r="AK376" s="91">
        <f>$A$42</f>
        <v>20193</v>
      </c>
      <c r="AL376" s="105"/>
      <c r="AM376" s="90">
        <f t="shared" si="632"/>
        <v>1.0263414343104889</v>
      </c>
      <c r="AN376" s="90">
        <f t="shared" si="632"/>
        <v>1.0035460649336809</v>
      </c>
      <c r="AO376" s="90">
        <f t="shared" si="632"/>
        <v>1.0009847555971771</v>
      </c>
      <c r="AP376" s="22"/>
      <c r="AQ376" s="22"/>
      <c r="AR376" s="22"/>
      <c r="AS376" s="22"/>
      <c r="AT376" s="22"/>
      <c r="AU376" s="22"/>
      <c r="AV376" s="22"/>
      <c r="AW376" s="91">
        <f>$A$42</f>
        <v>20193</v>
      </c>
      <c r="AX376" s="105"/>
      <c r="AY376" s="90">
        <f t="shared" si="633"/>
        <v>1.0204504233630447</v>
      </c>
      <c r="AZ376" s="90">
        <f t="shared" si="633"/>
        <v>1.0036450388027924</v>
      </c>
      <c r="BA376" s="90">
        <f t="shared" si="633"/>
        <v>1.0009896301908234</v>
      </c>
      <c r="BB376" s="22"/>
      <c r="BC376" s="22"/>
      <c r="BD376" s="22"/>
      <c r="BE376" s="22"/>
      <c r="BF376" s="22"/>
      <c r="BG376" s="22"/>
      <c r="BH376" s="22"/>
      <c r="BI376" s="91">
        <f>$A$42</f>
        <v>20193</v>
      </c>
      <c r="BJ376" s="105"/>
      <c r="BK376" s="90">
        <f t="shared" si="634"/>
        <v>1.0075089529824022</v>
      </c>
      <c r="BL376" s="90">
        <f t="shared" si="634"/>
        <v>1.0007702891818471</v>
      </c>
      <c r="BM376" s="90">
        <f t="shared" si="634"/>
        <v>1.0002350217688913</v>
      </c>
      <c r="BN376" s="22"/>
      <c r="BO376" s="22"/>
      <c r="BP376" s="22"/>
      <c r="BQ376" s="22"/>
      <c r="BR376" s="22"/>
      <c r="BS376" s="22"/>
      <c r="BT376" s="22"/>
      <c r="BU376" s="91">
        <f>$A$42</f>
        <v>20193</v>
      </c>
      <c r="BV376" s="105"/>
      <c r="BW376" s="90">
        <f t="shared" si="635"/>
        <v>1.0857142857142856</v>
      </c>
      <c r="BX376" s="90">
        <f t="shared" si="635"/>
        <v>1.0263157894736843</v>
      </c>
      <c r="BY376" s="90">
        <f t="shared" si="635"/>
        <v>1</v>
      </c>
      <c r="BZ376" s="22"/>
      <c r="CA376" s="22"/>
      <c r="CB376" s="22"/>
      <c r="CC376" s="22"/>
      <c r="CD376" s="22"/>
      <c r="CE376" s="22"/>
      <c r="CF376" s="22"/>
      <c r="CG376" s="91">
        <f>$A$42</f>
        <v>20193</v>
      </c>
      <c r="CH376" s="105"/>
      <c r="CI376" s="90" t="str">
        <f t="shared" si="636"/>
        <v/>
      </c>
      <c r="CJ376" s="90" t="str">
        <f t="shared" si="636"/>
        <v/>
      </c>
      <c r="CK376" s="90" t="str">
        <f t="shared" si="636"/>
        <v/>
      </c>
      <c r="CL376" s="22"/>
      <c r="CM376" s="22"/>
      <c r="CN376" s="22"/>
      <c r="CO376" s="22"/>
      <c r="CP376" s="22"/>
      <c r="CQ376" s="22"/>
      <c r="CR376" s="22"/>
      <c r="CS376" s="91">
        <f>$A$42</f>
        <v>20193</v>
      </c>
      <c r="CT376" s="105"/>
      <c r="CU376" s="90" t="str">
        <f t="shared" si="637"/>
        <v/>
      </c>
      <c r="CV376" s="90" t="str">
        <f t="shared" si="637"/>
        <v/>
      </c>
      <c r="CW376" s="90" t="str">
        <f t="shared" si="637"/>
        <v/>
      </c>
      <c r="CX376" s="22"/>
      <c r="CY376" s="22"/>
      <c r="CZ376" s="22"/>
      <c r="DA376" s="22"/>
      <c r="DB376" s="22"/>
      <c r="DC376" s="22"/>
      <c r="DD376" s="22"/>
      <c r="DE376" s="91">
        <f>$A$42</f>
        <v>20193</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20203</v>
      </c>
      <c r="B377" s="105"/>
      <c r="C377" s="90">
        <f t="shared" si="629"/>
        <v>1.0856700711853915</v>
      </c>
      <c r="D377" s="90">
        <f t="shared" si="629"/>
        <v>1.0294486572780661</v>
      </c>
      <c r="E377" s="22"/>
      <c r="F377" s="22"/>
      <c r="G377" s="22"/>
      <c r="H377" s="22"/>
      <c r="I377" s="22"/>
      <c r="J377" s="22"/>
      <c r="K377" s="22"/>
      <c r="L377" s="22"/>
      <c r="M377" s="91">
        <f>$A$43</f>
        <v>20203</v>
      </c>
      <c r="N377" s="105"/>
      <c r="O377" s="90">
        <f t="shared" si="630"/>
        <v>1.1893077287814129</v>
      </c>
      <c r="P377" s="90">
        <f t="shared" si="630"/>
        <v>1.0311970497358716</v>
      </c>
      <c r="Q377" s="22"/>
      <c r="R377" s="22"/>
      <c r="S377" s="22"/>
      <c r="T377" s="22"/>
      <c r="U377" s="22"/>
      <c r="V377" s="22"/>
      <c r="W377" s="22"/>
      <c r="X377" s="22"/>
      <c r="Y377" s="91">
        <f>$A$43</f>
        <v>20203</v>
      </c>
      <c r="Z377" s="105"/>
      <c r="AA377" s="90">
        <f t="shared" si="631"/>
        <v>1.3011812450177549</v>
      </c>
      <c r="AB377" s="90">
        <f t="shared" si="631"/>
        <v>1.0610971874129769</v>
      </c>
      <c r="AC377" s="22"/>
      <c r="AD377" s="22"/>
      <c r="AE377" s="22"/>
      <c r="AF377" s="22"/>
      <c r="AG377" s="22"/>
      <c r="AH377" s="22"/>
      <c r="AI377" s="22"/>
      <c r="AJ377" s="22"/>
      <c r="AK377" s="91">
        <f>$A$43</f>
        <v>20203</v>
      </c>
      <c r="AL377" s="105"/>
      <c r="AM377" s="90">
        <f t="shared" si="632"/>
        <v>1.0254878124162941</v>
      </c>
      <c r="AN377" s="90">
        <f t="shared" si="632"/>
        <v>1.0033855736387383</v>
      </c>
      <c r="AO377" s="22"/>
      <c r="AP377" s="22"/>
      <c r="AQ377" s="22"/>
      <c r="AR377" s="22"/>
      <c r="AS377" s="22"/>
      <c r="AT377" s="22"/>
      <c r="AU377" s="22"/>
      <c r="AV377" s="22"/>
      <c r="AW377" s="91">
        <f>$A$43</f>
        <v>20203</v>
      </c>
      <c r="AX377" s="105"/>
      <c r="AY377" s="90">
        <f t="shared" si="633"/>
        <v>1.0204259456865581</v>
      </c>
      <c r="AZ377" s="90">
        <f t="shared" si="633"/>
        <v>1.0034155879513897</v>
      </c>
      <c r="BA377" s="22"/>
      <c r="BB377" s="22"/>
      <c r="BC377" s="22"/>
      <c r="BD377" s="22"/>
      <c r="BE377" s="22"/>
      <c r="BF377" s="22"/>
      <c r="BG377" s="22"/>
      <c r="BH377" s="22"/>
      <c r="BI377" s="91">
        <f>$A$43</f>
        <v>20203</v>
      </c>
      <c r="BJ377" s="105"/>
      <c r="BK377" s="90">
        <f t="shared" si="634"/>
        <v>1.0068972907327702</v>
      </c>
      <c r="BL377" s="90">
        <f t="shared" si="634"/>
        <v>1.0008407355904305</v>
      </c>
      <c r="BM377" s="22"/>
      <c r="BN377" s="22"/>
      <c r="BO377" s="22"/>
      <c r="BP377" s="22"/>
      <c r="BQ377" s="22"/>
      <c r="BR377" s="22"/>
      <c r="BS377" s="22"/>
      <c r="BT377" s="22"/>
      <c r="BU377" s="91">
        <f>$A$43</f>
        <v>20203</v>
      </c>
      <c r="BV377" s="105"/>
      <c r="BW377" s="90">
        <f t="shared" si="635"/>
        <v>1.1333333333333333</v>
      </c>
      <c r="BX377" s="90">
        <f t="shared" si="635"/>
        <v>1</v>
      </c>
      <c r="BY377" s="22"/>
      <c r="BZ377" s="22"/>
      <c r="CA377" s="22"/>
      <c r="CB377" s="22"/>
      <c r="CC377" s="22"/>
      <c r="CD377" s="22"/>
      <c r="CE377" s="22"/>
      <c r="CF377" s="22"/>
      <c r="CG377" s="91">
        <f>$A$43</f>
        <v>20203</v>
      </c>
      <c r="CH377" s="105"/>
      <c r="CI377" s="90" t="str">
        <f t="shared" si="636"/>
        <v/>
      </c>
      <c r="CJ377" s="90" t="str">
        <f t="shared" si="636"/>
        <v/>
      </c>
      <c r="CK377" s="22"/>
      <c r="CL377" s="22"/>
      <c r="CM377" s="22"/>
      <c r="CN377" s="22"/>
      <c r="CO377" s="22"/>
      <c r="CP377" s="22"/>
      <c r="CQ377" s="22"/>
      <c r="CR377" s="22"/>
      <c r="CS377" s="91">
        <f>$A$43</f>
        <v>20203</v>
      </c>
      <c r="CT377" s="105"/>
      <c r="CU377" s="90" t="str">
        <f t="shared" si="637"/>
        <v/>
      </c>
      <c r="CV377" s="90" t="str">
        <f t="shared" si="637"/>
        <v/>
      </c>
      <c r="CW377" s="22"/>
      <c r="CX377" s="22"/>
      <c r="CY377" s="22"/>
      <c r="CZ377" s="22"/>
      <c r="DA377" s="22"/>
      <c r="DB377" s="22"/>
      <c r="DC377" s="22"/>
      <c r="DD377" s="22"/>
      <c r="DE377" s="91">
        <f>$A$43</f>
        <v>20203</v>
      </c>
      <c r="DF377" s="105"/>
      <c r="DG377" s="90" t="str">
        <f t="shared" si="638"/>
        <v/>
      </c>
      <c r="DH377" s="90" t="str">
        <f t="shared" si="638"/>
        <v/>
      </c>
      <c r="DI377" s="22"/>
      <c r="DJ377" s="22"/>
      <c r="DK377" s="22"/>
      <c r="DL377" s="22"/>
      <c r="DM377" s="22"/>
      <c r="DN377" s="22"/>
      <c r="DO377" s="22"/>
      <c r="DP377" s="22"/>
    </row>
    <row r="378" spans="1:120" x14ac:dyDescent="0.25">
      <c r="A378" s="91">
        <f>$A$44</f>
        <v>20213</v>
      </c>
      <c r="B378" s="105"/>
      <c r="C378" s="90">
        <f t="shared" si="629"/>
        <v>1.1329439817534643</v>
      </c>
      <c r="D378" s="22"/>
      <c r="E378" s="22"/>
      <c r="F378" s="22"/>
      <c r="G378" s="22"/>
      <c r="H378" s="22"/>
      <c r="I378" s="22"/>
      <c r="J378" s="22"/>
      <c r="K378" s="22"/>
      <c r="L378" s="22"/>
      <c r="M378" s="91">
        <f>$A$44</f>
        <v>20213</v>
      </c>
      <c r="N378" s="105"/>
      <c r="O378" s="90">
        <f t="shared" si="630"/>
        <v>1.2722873153336729</v>
      </c>
      <c r="P378" s="22"/>
      <c r="Q378" s="22"/>
      <c r="R378" s="22"/>
      <c r="S378" s="22"/>
      <c r="T378" s="22"/>
      <c r="U378" s="22"/>
      <c r="V378" s="22"/>
      <c r="W378" s="22"/>
      <c r="X378" s="22"/>
      <c r="Y378" s="91">
        <f>$A$44</f>
        <v>20213</v>
      </c>
      <c r="Z378" s="105"/>
      <c r="AA378" s="90">
        <f t="shared" si="631"/>
        <v>1.3705932323375336</v>
      </c>
      <c r="AB378" s="22"/>
      <c r="AC378" s="22"/>
      <c r="AD378" s="22"/>
      <c r="AE378" s="22"/>
      <c r="AF378" s="22"/>
      <c r="AG378" s="22"/>
      <c r="AH378" s="22"/>
      <c r="AI378" s="22"/>
      <c r="AJ378" s="22"/>
      <c r="AK378" s="91">
        <f>$A$44</f>
        <v>20213</v>
      </c>
      <c r="AL378" s="105"/>
      <c r="AM378" s="90">
        <f t="shared" si="632"/>
        <v>1.0296708473702456</v>
      </c>
      <c r="AN378" s="22"/>
      <c r="AO378" s="22"/>
      <c r="AP378" s="22"/>
      <c r="AQ378" s="22"/>
      <c r="AR378" s="22"/>
      <c r="AS378" s="22"/>
      <c r="AT378" s="22"/>
      <c r="AU378" s="22"/>
      <c r="AV378" s="22"/>
      <c r="AW378" s="91">
        <f>$A$44</f>
        <v>20213</v>
      </c>
      <c r="AX378" s="105"/>
      <c r="AY378" s="90">
        <f t="shared" si="633"/>
        <v>1.0273543689320388</v>
      </c>
      <c r="AZ378" s="22"/>
      <c r="BA378" s="22"/>
      <c r="BB378" s="22"/>
      <c r="BC378" s="22"/>
      <c r="BD378" s="22"/>
      <c r="BE378" s="22"/>
      <c r="BF378" s="22"/>
      <c r="BG378" s="22"/>
      <c r="BH378" s="22"/>
      <c r="BI378" s="91">
        <f>$A$44</f>
        <v>20213</v>
      </c>
      <c r="BJ378" s="105"/>
      <c r="BK378" s="90">
        <f t="shared" si="634"/>
        <v>1.0104615451398309</v>
      </c>
      <c r="BL378" s="22"/>
      <c r="BM378" s="22"/>
      <c r="BN378" s="22"/>
      <c r="BO378" s="22"/>
      <c r="BP378" s="22"/>
      <c r="BQ378" s="22"/>
      <c r="BR378" s="22"/>
      <c r="BS378" s="22"/>
      <c r="BT378" s="22"/>
      <c r="BU378" s="91">
        <f>$A$44</f>
        <v>20213</v>
      </c>
      <c r="BV378" s="105"/>
      <c r="BW378" s="90">
        <f t="shared" si="635"/>
        <v>1.0666666666666667</v>
      </c>
      <c r="BX378" s="22"/>
      <c r="BY378" s="22"/>
      <c r="BZ378" s="22"/>
      <c r="CA378" s="22"/>
      <c r="CB378" s="22"/>
      <c r="CC378" s="22"/>
      <c r="CD378" s="22"/>
      <c r="CE378" s="22"/>
      <c r="CF378" s="22"/>
      <c r="CG378" s="91">
        <f>$A$44</f>
        <v>20213</v>
      </c>
      <c r="CH378" s="105"/>
      <c r="CI378" s="90" t="str">
        <f t="shared" si="636"/>
        <v/>
      </c>
      <c r="CJ378" s="22"/>
      <c r="CK378" s="22"/>
      <c r="CL378" s="22"/>
      <c r="CM378" s="22"/>
      <c r="CN378" s="22"/>
      <c r="CO378" s="22"/>
      <c r="CP378" s="22"/>
      <c r="CQ378" s="22"/>
      <c r="CR378" s="22"/>
      <c r="CS378" s="91">
        <f>$A$44</f>
        <v>20213</v>
      </c>
      <c r="CT378" s="105"/>
      <c r="CU378" s="90" t="str">
        <f t="shared" si="637"/>
        <v/>
      </c>
      <c r="CV378" s="22"/>
      <c r="CW378" s="22"/>
      <c r="CX378" s="22"/>
      <c r="CY378" s="22"/>
      <c r="CZ378" s="22"/>
      <c r="DA378" s="22"/>
      <c r="DB378" s="22"/>
      <c r="DC378" s="22"/>
      <c r="DD378" s="22"/>
      <c r="DE378" s="91">
        <f>$A$44</f>
        <v>20213</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1.1071141150581578</v>
      </c>
      <c r="D380" s="93">
        <f>IFERROR(SUM(E362:E364)/SUM(D362:D364),1)</f>
        <v>1.0268509554017409</v>
      </c>
      <c r="E380" s="93">
        <f>IFERROR(SUM(F361:F363)/SUM(E361:E363),1)</f>
        <v>1.008745111836332</v>
      </c>
      <c r="F380" s="93">
        <f>IFERROR(SUM(G360:G362)/SUM(F360:F362),1)</f>
        <v>1.0031153478487724</v>
      </c>
      <c r="G380" s="93">
        <f>IFERROR(SUM(H359:H361)/SUM(G359:G361),1)</f>
        <v>1.0010320228400966</v>
      </c>
      <c r="H380" s="93">
        <f>IFERROR(SUM(I358:I360)/SUM(H358:H360),1)</f>
        <v>1.0002721934906871</v>
      </c>
      <c r="I380" s="93">
        <f>IFERROR(SUM(J357:J359)/SUM(I357:I359),1)</f>
        <v>1.0000760365633117</v>
      </c>
      <c r="J380" s="93">
        <f>IFERROR(SUM(K357:K358)/SUM(J357:J358),1)</f>
        <v>1.0000254153019179</v>
      </c>
      <c r="K380" s="93">
        <f>IFERROR(SUM(L357:L357)/SUM(K357:K357),1)</f>
        <v>1.0000130451230806</v>
      </c>
      <c r="L380" s="93">
        <v>1</v>
      </c>
      <c r="M380" s="285" t="s">
        <v>37</v>
      </c>
      <c r="N380" s="107"/>
      <c r="O380" s="93">
        <f>IFERROR(SUM(P363:P365)/SUM(O363:O365),1)</f>
        <v>1.2168995106730018</v>
      </c>
      <c r="P380" s="93">
        <f>IFERROR(SUM(Q362:Q364)/SUM(P362:P364),1)</f>
        <v>1.027073993854833</v>
      </c>
      <c r="Q380" s="93">
        <f>IFERROR(SUM(R361:R363)/SUM(Q361:Q363),1)</f>
        <v>1.0044084762006176</v>
      </c>
      <c r="R380" s="93">
        <f>IFERROR(SUM(S360:S362)/SUM(R360:R362),1)</f>
        <v>1.0014466767186927</v>
      </c>
      <c r="S380" s="93">
        <f>IFERROR(SUM(T359:T361)/SUM(S359:S361),1)</f>
        <v>1.0004424511795347</v>
      </c>
      <c r="T380" s="93">
        <f>IFERROR(SUM(U358:U360)/SUM(T358:T360),1)</f>
        <v>1.0001209653031189</v>
      </c>
      <c r="U380" s="93">
        <f>IFERROR(SUM(V357:V359)/SUM(U357:U359),1)</f>
        <v>1.0001220703125</v>
      </c>
      <c r="V380" s="93">
        <f>IFERROR(SUM(W357:W358)/SUM(V357:V358),1)</f>
        <v>1</v>
      </c>
      <c r="W380" s="93">
        <f>IFERROR(SUM(X357:X357)/SUM(W357:W357),1)</f>
        <v>1</v>
      </c>
      <c r="X380" s="93">
        <v>1</v>
      </c>
      <c r="Y380" s="285" t="s">
        <v>37</v>
      </c>
      <c r="Z380" s="107"/>
      <c r="AA380" s="93">
        <f>IFERROR(SUM(AB363:AB365)/SUM(AA363:AA365),1)</f>
        <v>1.3126807834131908</v>
      </c>
      <c r="AB380" s="93">
        <f>IFERROR(SUM(AC362:AC364)/SUM(AB362:AB364),1)</f>
        <v>1.0562666463739441</v>
      </c>
      <c r="AC380" s="93">
        <f>IFERROR(SUM(AD361:AD363)/SUM(AC361:AC363),1)</f>
        <v>1.0129079584062597</v>
      </c>
      <c r="AD380" s="93">
        <f>IFERROR(SUM(AE360:AE362)/SUM(AD360:AD362),1)</f>
        <v>1.0049080362897229</v>
      </c>
      <c r="AE380" s="93">
        <f>IFERROR(SUM(AF359:AF361)/SUM(AE359:AE361),1)</f>
        <v>1.0020161026379524</v>
      </c>
      <c r="AF380" s="93">
        <f>IFERROR(SUM(AG358:AG360)/SUM(AF358:AF360),1)</f>
        <v>1.0008880218948348</v>
      </c>
      <c r="AG380" s="93">
        <f>IFERROR(SUM(AH357:AH359)/SUM(AG357:AG359),1)</f>
        <v>1.0003407210305999</v>
      </c>
      <c r="AH380" s="93">
        <f>IFERROR(SUM(AI357:AI358)/SUM(AH357:AH358),1)</f>
        <v>1.0003587995591892</v>
      </c>
      <c r="AI380" s="93">
        <f>IFERROR(SUM(AJ357:AJ357)/SUM(AI357:AI357),1)</f>
        <v>1.0001579279848389</v>
      </c>
      <c r="AJ380" s="93">
        <v>1</v>
      </c>
      <c r="AK380" s="285" t="s">
        <v>37</v>
      </c>
      <c r="AL380" s="107"/>
      <c r="AM380" s="93">
        <f>IFERROR(SUM(AN363:AN365)/SUM(AM363:AM365),1)</f>
        <v>1.0272820195336809</v>
      </c>
      <c r="AN380" s="93">
        <f>IFERROR(SUM(AO362:AO364)/SUM(AN362:AN364),1)</f>
        <v>1.00324910466901</v>
      </c>
      <c r="AO380" s="93">
        <f>IFERROR(SUM(AP361:AP363)/SUM(AO361:AO363),1)</f>
        <v>1.0009326084766637</v>
      </c>
      <c r="AP380" s="93">
        <f>IFERROR(SUM(AQ360:AQ362)/SUM(AP360:AP362),1)</f>
        <v>1.0003135256290525</v>
      </c>
      <c r="AQ380" s="93">
        <f>IFERROR(SUM(AR359:AR361)/SUM(AQ359:AQ361),1)</f>
        <v>1.0001474693572394</v>
      </c>
      <c r="AR380" s="93">
        <f>IFERROR(SUM(AS358:AS360)/SUM(AR358:AR360),1)</f>
        <v>1.000058674900711</v>
      </c>
      <c r="AS380" s="93">
        <f>IFERROR(SUM(AT357:AT359)/SUM(AS357:AS359),1)</f>
        <v>1.0000261969184938</v>
      </c>
      <c r="AT380" s="93">
        <f>IFERROR(SUM(AU357:AU358)/SUM(AT357:AT358),1)</f>
        <v>1.000011308123756</v>
      </c>
      <c r="AU380" s="93">
        <f>IFERROR(SUM(AV357:AV357)/SUM(AU357:AU357),1)</f>
        <v>1.0000333225960525</v>
      </c>
      <c r="AV380" s="93">
        <v>1</v>
      </c>
      <c r="AW380" s="285" t="s">
        <v>37</v>
      </c>
      <c r="AX380" s="107"/>
      <c r="AY380" s="93">
        <f>IFERROR(SUM(AZ363:AZ365)/SUM(AY363:AY365),1)</f>
        <v>1.0225923386281766</v>
      </c>
      <c r="AZ380" s="93">
        <f>IFERROR(SUM(BA362:BA364)/SUM(AZ362:AZ364),1)</f>
        <v>1.0035533381252377</v>
      </c>
      <c r="BA380" s="93">
        <f>IFERROR(SUM(BB361:BB363)/SUM(BA361:BA363),1)</f>
        <v>1.001167439170076</v>
      </c>
      <c r="BB380" s="93">
        <f>IFERROR(SUM(BC360:BC362)/SUM(BB360:BB362),1)</f>
        <v>1.0003399743621066</v>
      </c>
      <c r="BC380" s="93">
        <f>IFERROR(SUM(BD359:BD361)/SUM(BC359:BC361),1)</f>
        <v>1.0000995219973323</v>
      </c>
      <c r="BD380" s="93">
        <f>IFERROR(SUM(BE358:BE360)/SUM(BD358:BD360),1)</f>
        <v>1.0000373573416517</v>
      </c>
      <c r="BE380" s="93">
        <f>IFERROR(SUM(BF357:BF359)/SUM(BE357:BE359),1)</f>
        <v>1.0000181906278578</v>
      </c>
      <c r="BF380" s="93">
        <f>IFERROR(SUM(BG357:BG358)/SUM(BF357:BF358),1)</f>
        <v>1</v>
      </c>
      <c r="BG380" s="93">
        <f>IFERROR(SUM(BH357:BH357)/SUM(BG357:BG357),1)</f>
        <v>1.0000105091140292</v>
      </c>
      <c r="BH380" s="93">
        <v>1</v>
      </c>
      <c r="BI380" s="285" t="s">
        <v>37</v>
      </c>
      <c r="BJ380" s="107"/>
      <c r="BK380" s="93">
        <f>IFERROR(SUM(BL363:BL365)/SUM(BK363:BK365),1)</f>
        <v>1.0082303974371452</v>
      </c>
      <c r="BL380" s="93">
        <f>IFERROR(SUM(BM362:BM364)/SUM(BL362:BL364),1)</f>
        <v>1.0008028229877712</v>
      </c>
      <c r="BM380" s="93">
        <f>IFERROR(SUM(BN361:BN363)/SUM(BM361:BM363),1)</f>
        <v>1.0002199063720667</v>
      </c>
      <c r="BN380" s="93">
        <f>IFERROR(SUM(BO360:BO362)/SUM(BN360:BN362),1)</f>
        <v>1.0000673226164336</v>
      </c>
      <c r="BO380" s="93">
        <f>IFERROR(SUM(BP359:BP361)/SUM(BO359:BO361),1)</f>
        <v>1.000013220093787</v>
      </c>
      <c r="BP380" s="93">
        <f>IFERROR(SUM(BQ358:BQ360)/SUM(BP358:BP360),1)</f>
        <v>1.0000051054896266</v>
      </c>
      <c r="BQ380" s="93">
        <f>IFERROR(SUM(BR357:BR359)/SUM(BQ357:BQ359),1)</f>
        <v>1.0000022102744608</v>
      </c>
      <c r="BR380" s="93">
        <f>IFERROR(SUM(BS357:BS358)/SUM(BR357:BR358),1)</f>
        <v>1.0000052143080613</v>
      </c>
      <c r="BS380" s="93">
        <f>IFERROR(SUM(BT357:BT357)/SUM(BS357:BS357),1)</f>
        <v>1</v>
      </c>
      <c r="BT380" s="93">
        <v>1</v>
      </c>
      <c r="BU380" s="285" t="s">
        <v>37</v>
      </c>
      <c r="BV380" s="107"/>
      <c r="BW380" s="93">
        <f>IFERROR(SUM(BX363:BX365)/SUM(BW363:BW365),1)</f>
        <v>1.0923076923076922</v>
      </c>
      <c r="BX380" s="93">
        <f>IFERROR(SUM(BY362:BY364)/SUM(BX362:BX364),1)</f>
        <v>1.0219780219780219</v>
      </c>
      <c r="BY380" s="93">
        <f>IFERROR(SUM(BZ361:BZ363)/SUM(BY361:BY363),1)</f>
        <v>1.0093457943925233</v>
      </c>
      <c r="BZ380" s="93">
        <f>IFERROR(SUM(CA360:CA362)/SUM(BZ360:BZ362),1)</f>
        <v>1</v>
      </c>
      <c r="CA380" s="93">
        <f>IFERROR(SUM(CB359:CB361)/SUM(CA359:CA361),1)</f>
        <v>1</v>
      </c>
      <c r="CB380" s="93">
        <f>IFERROR(SUM(CC358:CC360)/SUM(CB358:CB360),1)</f>
        <v>1</v>
      </c>
      <c r="CC380" s="93">
        <f>IFERROR(SUM(CD357:CD359)/SUM(CC357:CC359),1)</f>
        <v>1</v>
      </c>
      <c r="CD380" s="93">
        <f>IFERROR(SUM(CE357:CE358)/SUM(CD357:CD358),1)</f>
        <v>1</v>
      </c>
      <c r="CE380" s="93">
        <f>IFERROR(SUM(CF357:CF357)/SUM(CE357:CE357),1)</f>
        <v>1</v>
      </c>
      <c r="CF380" s="93">
        <v>1</v>
      </c>
      <c r="CG380" s="285" t="s">
        <v>37</v>
      </c>
      <c r="CH380" s="107"/>
      <c r="CI380" s="93">
        <f>IFERROR(SUM(CJ363:CJ365)/SUM(CI363:CI365),1)</f>
        <v>1</v>
      </c>
      <c r="CJ380" s="93">
        <f>IFERROR(SUM(CK362:CK364)/SUM(CJ362:CJ364),1)</f>
        <v>1</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5"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5"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1.1071141150581578</v>
      </c>
      <c r="D381" s="93">
        <f t="shared" ref="D381:K381" si="639">IF(D380=0,1,D380)</f>
        <v>1.0268509554017409</v>
      </c>
      <c r="E381" s="93">
        <f t="shared" si="639"/>
        <v>1.008745111836332</v>
      </c>
      <c r="F381" s="93">
        <f t="shared" si="639"/>
        <v>1.0031153478487724</v>
      </c>
      <c r="G381" s="93">
        <f t="shared" si="639"/>
        <v>1.0010320228400966</v>
      </c>
      <c r="H381" s="93">
        <f t="shared" si="639"/>
        <v>1.0002721934906871</v>
      </c>
      <c r="I381" s="93">
        <f t="shared" si="639"/>
        <v>1.0000760365633117</v>
      </c>
      <c r="J381" s="93">
        <f t="shared" si="639"/>
        <v>1.0000254153019179</v>
      </c>
      <c r="K381" s="93">
        <f t="shared" si="639"/>
        <v>1.0000130451230806</v>
      </c>
      <c r="L381" s="93">
        <f>IF(L380=0,1,L380)</f>
        <v>1</v>
      </c>
      <c r="M381" s="285" t="s">
        <v>40</v>
      </c>
      <c r="N381" s="107"/>
      <c r="O381" s="93">
        <f>IF(O380=0,1,O380)</f>
        <v>1.2168995106730018</v>
      </c>
      <c r="P381" s="93">
        <f t="shared" ref="P381:W381" si="640">IF(P380=0,1,P380)</f>
        <v>1.027073993854833</v>
      </c>
      <c r="Q381" s="93">
        <f t="shared" si="640"/>
        <v>1.0044084762006176</v>
      </c>
      <c r="R381" s="93">
        <f t="shared" si="640"/>
        <v>1.0014466767186927</v>
      </c>
      <c r="S381" s="93">
        <f t="shared" si="640"/>
        <v>1.0004424511795347</v>
      </c>
      <c r="T381" s="93">
        <f t="shared" si="640"/>
        <v>1.0001209653031189</v>
      </c>
      <c r="U381" s="93">
        <f t="shared" si="640"/>
        <v>1.0001220703125</v>
      </c>
      <c r="V381" s="93">
        <f t="shared" si="640"/>
        <v>1</v>
      </c>
      <c r="W381" s="93">
        <f t="shared" si="640"/>
        <v>1</v>
      </c>
      <c r="X381" s="93">
        <f>IF(X380=0,1,X380)</f>
        <v>1</v>
      </c>
      <c r="Y381" s="285" t="s">
        <v>40</v>
      </c>
      <c r="Z381" s="107"/>
      <c r="AA381" s="93">
        <f>IF(AA380=0,1,AA380)</f>
        <v>1.3126807834131908</v>
      </c>
      <c r="AB381" s="93">
        <f t="shared" ref="AB381:AI381" si="641">IF(AB380=0,1,AB380)</f>
        <v>1.0562666463739441</v>
      </c>
      <c r="AC381" s="93">
        <f t="shared" si="641"/>
        <v>1.0129079584062597</v>
      </c>
      <c r="AD381" s="93">
        <f t="shared" si="641"/>
        <v>1.0049080362897229</v>
      </c>
      <c r="AE381" s="93">
        <f t="shared" si="641"/>
        <v>1.0020161026379524</v>
      </c>
      <c r="AF381" s="93">
        <f t="shared" si="641"/>
        <v>1.0008880218948348</v>
      </c>
      <c r="AG381" s="93">
        <f t="shared" si="641"/>
        <v>1.0003407210305999</v>
      </c>
      <c r="AH381" s="93">
        <f t="shared" si="641"/>
        <v>1.0003587995591892</v>
      </c>
      <c r="AI381" s="93">
        <f t="shared" si="641"/>
        <v>1.0001579279848389</v>
      </c>
      <c r="AJ381" s="93">
        <f>IF(AJ380=0,1,AJ380)</f>
        <v>1</v>
      </c>
      <c r="AK381" s="285" t="s">
        <v>40</v>
      </c>
      <c r="AL381" s="107"/>
      <c r="AM381" s="93">
        <f>IF(AM380=0,1,AM380)</f>
        <v>1.0272820195336809</v>
      </c>
      <c r="AN381" s="93">
        <f t="shared" ref="AN381:AU381" si="642">IF(AN380=0,1,AN380)</f>
        <v>1.00324910466901</v>
      </c>
      <c r="AO381" s="93">
        <f t="shared" si="642"/>
        <v>1.0009326084766637</v>
      </c>
      <c r="AP381" s="93">
        <f t="shared" si="642"/>
        <v>1.0003135256290525</v>
      </c>
      <c r="AQ381" s="93">
        <f t="shared" si="642"/>
        <v>1.0001474693572394</v>
      </c>
      <c r="AR381" s="93">
        <f t="shared" si="642"/>
        <v>1.000058674900711</v>
      </c>
      <c r="AS381" s="93">
        <f t="shared" si="642"/>
        <v>1.0000261969184938</v>
      </c>
      <c r="AT381" s="93">
        <f t="shared" si="642"/>
        <v>1.000011308123756</v>
      </c>
      <c r="AU381" s="93">
        <f t="shared" si="642"/>
        <v>1.0000333225960525</v>
      </c>
      <c r="AV381" s="93">
        <f>IF(AV380=0,1,AV380)</f>
        <v>1</v>
      </c>
      <c r="AW381" s="285" t="s">
        <v>40</v>
      </c>
      <c r="AX381" s="107"/>
      <c r="AY381" s="93">
        <f>IF(AY380=0,1,AY380)</f>
        <v>1.0225923386281766</v>
      </c>
      <c r="AZ381" s="93">
        <f t="shared" ref="AZ381:BG381" si="643">IF(AZ380=0,1,AZ380)</f>
        <v>1.0035533381252377</v>
      </c>
      <c r="BA381" s="93">
        <f t="shared" si="643"/>
        <v>1.001167439170076</v>
      </c>
      <c r="BB381" s="93">
        <f t="shared" si="643"/>
        <v>1.0003399743621066</v>
      </c>
      <c r="BC381" s="93">
        <f t="shared" si="643"/>
        <v>1.0000995219973323</v>
      </c>
      <c r="BD381" s="93">
        <f t="shared" si="643"/>
        <v>1.0000373573416517</v>
      </c>
      <c r="BE381" s="93">
        <f t="shared" si="643"/>
        <v>1.0000181906278578</v>
      </c>
      <c r="BF381" s="93">
        <f t="shared" si="643"/>
        <v>1</v>
      </c>
      <c r="BG381" s="93">
        <f t="shared" si="643"/>
        <v>1.0000105091140292</v>
      </c>
      <c r="BH381" s="93">
        <f>IF(BH380=0,1,BH380)</f>
        <v>1</v>
      </c>
      <c r="BI381" s="285" t="s">
        <v>40</v>
      </c>
      <c r="BJ381" s="107"/>
      <c r="BK381" s="93">
        <f>IF(BK380=0,1,BK380)</f>
        <v>1.0082303974371452</v>
      </c>
      <c r="BL381" s="93">
        <f t="shared" ref="BL381:BS381" si="644">IF(BL380=0,1,BL380)</f>
        <v>1.0008028229877712</v>
      </c>
      <c r="BM381" s="93">
        <f t="shared" si="644"/>
        <v>1.0002199063720667</v>
      </c>
      <c r="BN381" s="93">
        <f t="shared" si="644"/>
        <v>1.0000673226164336</v>
      </c>
      <c r="BO381" s="93">
        <f t="shared" si="644"/>
        <v>1.000013220093787</v>
      </c>
      <c r="BP381" s="93">
        <f t="shared" si="644"/>
        <v>1.0000051054896266</v>
      </c>
      <c r="BQ381" s="93">
        <f t="shared" si="644"/>
        <v>1.0000022102744608</v>
      </c>
      <c r="BR381" s="93">
        <f t="shared" si="644"/>
        <v>1.0000052143080613</v>
      </c>
      <c r="BS381" s="93">
        <f t="shared" si="644"/>
        <v>1</v>
      </c>
      <c r="BT381" s="93">
        <f>IF(BT380=0,1,BT380)</f>
        <v>1</v>
      </c>
      <c r="BU381" s="285" t="s">
        <v>40</v>
      </c>
      <c r="BV381" s="107"/>
      <c r="BW381" s="93">
        <f>IF(BW380=0,1,BW380)</f>
        <v>1.0923076923076922</v>
      </c>
      <c r="BX381" s="93">
        <f t="shared" ref="BX381:CE381" si="645">IF(BX380=0,1,BX380)</f>
        <v>1.0219780219780219</v>
      </c>
      <c r="BY381" s="93">
        <f t="shared" si="645"/>
        <v>1.0093457943925233</v>
      </c>
      <c r="BZ381" s="93">
        <f t="shared" si="645"/>
        <v>1</v>
      </c>
      <c r="CA381" s="93">
        <f t="shared" si="645"/>
        <v>1</v>
      </c>
      <c r="CB381" s="93">
        <f t="shared" si="645"/>
        <v>1</v>
      </c>
      <c r="CC381" s="93">
        <f t="shared" si="645"/>
        <v>1</v>
      </c>
      <c r="CD381" s="93">
        <f t="shared" si="645"/>
        <v>1</v>
      </c>
      <c r="CE381" s="93">
        <f t="shared" si="645"/>
        <v>1</v>
      </c>
      <c r="CF381" s="93">
        <f>IF(CF380=0,1,CF380)</f>
        <v>1</v>
      </c>
      <c r="CG381" s="285" t="s">
        <v>40</v>
      </c>
      <c r="CH381" s="107"/>
      <c r="CI381" s="93">
        <f>IF(CI380=0,1,CI380)</f>
        <v>1</v>
      </c>
      <c r="CJ381" s="93">
        <f t="shared" ref="CJ381:CQ381" si="646">IF(CJ380=0,1,CJ380)</f>
        <v>1</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5"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5"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1.1519881415779973</v>
      </c>
      <c r="D382" s="113">
        <f>PRODUCT(D381:L381)</f>
        <v>1.0405324310380437</v>
      </c>
      <c r="E382" s="113">
        <f>PRODUCT(E381:L381)</f>
        <v>1.0133237209980002</v>
      </c>
      <c r="F382" s="113">
        <f>PRODUCT(F381:L381)</f>
        <v>1.0045389158350748</v>
      </c>
      <c r="G382" s="113">
        <f>PRODUCT(G381:L381)</f>
        <v>1.0014191468502156</v>
      </c>
      <c r="H382" s="113">
        <f>PRODUCT(H381:L381)</f>
        <v>1.000386724901188</v>
      </c>
      <c r="I382" s="113">
        <f>PRODUCT(I381:L381)</f>
        <v>1.0001145002442797</v>
      </c>
      <c r="J382" s="113">
        <f>PRODUCT(J381:L381)</f>
        <v>1.0000384607565442</v>
      </c>
      <c r="K382" s="113">
        <f>PRODUCT(K381:L381)</f>
        <v>1.0000130451230806</v>
      </c>
      <c r="L382" s="114">
        <f>PRODUCT(L381:L381)</f>
        <v>1</v>
      </c>
      <c r="M382" s="111" t="s">
        <v>39</v>
      </c>
      <c r="N382" s="115"/>
      <c r="O382" s="113">
        <f>PRODUCT(O381:X381)</f>
        <v>1.2580337785954647</v>
      </c>
      <c r="P382" s="113">
        <f>PRODUCT(P381:X381)</f>
        <v>1.0338025182537163</v>
      </c>
      <c r="Q382" s="113">
        <f>PRODUCT(Q381:X381)</f>
        <v>1.0065511583772362</v>
      </c>
      <c r="R382" s="113">
        <f>PRODUCT(R381:X381)</f>
        <v>1.0021332776727689</v>
      </c>
      <c r="S382" s="113">
        <f>PRODUCT(S381:X381)</f>
        <v>1.0006856090993541</v>
      </c>
      <c r="T382" s="113">
        <f>PRODUCT(T381:X381)</f>
        <v>1.0002430503818913</v>
      </c>
      <c r="U382" s="113">
        <f>PRODUCT(U381:X381)</f>
        <v>1.0001220703125</v>
      </c>
      <c r="V382" s="113">
        <f>PRODUCT(V381:X381)</f>
        <v>1</v>
      </c>
      <c r="W382" s="113">
        <f>PRODUCT(W381:X381)</f>
        <v>1</v>
      </c>
      <c r="X382" s="114">
        <f>PRODUCT(X381:X381)</f>
        <v>1</v>
      </c>
      <c r="Y382" s="111" t="s">
        <v>39</v>
      </c>
      <c r="Z382" s="115"/>
      <c r="AA382" s="113">
        <f>PRODUCT(AA381:AJ381)</f>
        <v>1.416646574765754</v>
      </c>
      <c r="AB382" s="113">
        <f>PRODUCT(AB381:AJ381)</f>
        <v>1.0792011223644444</v>
      </c>
      <c r="AC382" s="113">
        <f>PRODUCT(AC381:AJ381)</f>
        <v>1.0217127711731047</v>
      </c>
      <c r="AD382" s="113">
        <f>PRODUCT(AD381:AJ381)</f>
        <v>1.0086926089323052</v>
      </c>
      <c r="AE382" s="113">
        <f>PRODUCT(AE381:AJ381)</f>
        <v>1.0037660885433415</v>
      </c>
      <c r="AF382" s="113">
        <f>PRODUCT(AF381:AJ381)</f>
        <v>1.0017464648529919</v>
      </c>
      <c r="AG382" s="113">
        <f>PRODUCT(AG381:AJ381)</f>
        <v>1.0008576813183676</v>
      </c>
      <c r="AH382" s="113">
        <f>PRODUCT(AH381:AJ381)</f>
        <v>1.0005167842085194</v>
      </c>
      <c r="AI382" s="113">
        <f>PRODUCT(AI381:AJ381)</f>
        <v>1.0001579279848389</v>
      </c>
      <c r="AJ382" s="114">
        <f>PRODUCT(AJ381:AJ381)</f>
        <v>1</v>
      </c>
      <c r="AK382" s="111" t="s">
        <v>39</v>
      </c>
      <c r="AL382" s="115"/>
      <c r="AM382" s="113">
        <f>PRODUCT(AM381:AV381)</f>
        <v>1.032190192228845</v>
      </c>
      <c r="AN382" s="113">
        <f>PRODUCT(AN381:AV381)</f>
        <v>1.0047778240072693</v>
      </c>
      <c r="AO382" s="113">
        <f>PRODUCT(AO381:AV381)</f>
        <v>1.0015237684550578</v>
      </c>
      <c r="AP382" s="113">
        <f>PRODUCT(AP381:AV381)</f>
        <v>1.0005906091712744</v>
      </c>
      <c r="AQ382" s="113">
        <f>PRODUCT(AQ381:AV381)</f>
        <v>1.0002769966966585</v>
      </c>
      <c r="AR382" s="113">
        <f>PRODUCT(AR381:AV381)</f>
        <v>1.0001295082409221</v>
      </c>
      <c r="AS382" s="113">
        <f>PRODUCT(AS381:AV381)</f>
        <v>1.0000708291843154</v>
      </c>
      <c r="AT382" s="113">
        <f>PRODUCT(AT381:AV381)</f>
        <v>1.0000446310966247</v>
      </c>
      <c r="AU382" s="113">
        <f>PRODUCT(AU381:AV381)</f>
        <v>1.0000333225960525</v>
      </c>
      <c r="AV382" s="114">
        <f>PRODUCT(AV381:AV381)</f>
        <v>1</v>
      </c>
      <c r="AW382" s="111" t="s">
        <v>39</v>
      </c>
      <c r="AX382" s="115"/>
      <c r="AY382" s="113">
        <f>PRODUCT(AY381:BH381)</f>
        <v>1.0279434949867852</v>
      </c>
      <c r="AZ382" s="113">
        <f>PRODUCT(AZ381:BH381)</f>
        <v>1.0052329321827183</v>
      </c>
      <c r="BA382" s="113">
        <f>PRODUCT(BA381:BH381)</f>
        <v>1.0016736470237029</v>
      </c>
      <c r="BB382" s="113">
        <f>PRODUCT(BB381:BH381)</f>
        <v>1.0005056175758638</v>
      </c>
      <c r="BC382" s="113">
        <f>PRODUCT(BC381:BH381)</f>
        <v>1.0001655869184503</v>
      </c>
      <c r="BD382" s="113">
        <f>PRODUCT(BD381:BH381)</f>
        <v>1.0000660583468592</v>
      </c>
      <c r="BE382" s="113">
        <f>PRODUCT(BE381:BH381)</f>
        <v>1.0000286999330543</v>
      </c>
      <c r="BF382" s="113">
        <f>PRODUCT(BF381:BH381)</f>
        <v>1.0000105091140292</v>
      </c>
      <c r="BG382" s="113">
        <f>PRODUCT(BG381:BH381)</f>
        <v>1.0000105091140292</v>
      </c>
      <c r="BH382" s="114">
        <f>PRODUCT(BH381:BH381)</f>
        <v>1</v>
      </c>
      <c r="BI382" s="111" t="s">
        <v>39</v>
      </c>
      <c r="BJ382" s="115"/>
      <c r="BK382" s="113">
        <f>PRODUCT(BK381:BT381)</f>
        <v>1.0093556590283608</v>
      </c>
      <c r="BL382" s="113">
        <f>PRODUCT(BL381:BT381)</f>
        <v>1.0011160758434536</v>
      </c>
      <c r="BM382" s="113">
        <f>PRODUCT(BM381:BT381)</f>
        <v>1.0003130015708264</v>
      </c>
      <c r="BN382" s="113">
        <f>PRODUCT(BN381:BT381)</f>
        <v>1.0000930747310333</v>
      </c>
      <c r="BO382" s="113">
        <f>PRODUCT(BO381:BT381)</f>
        <v>1.0000257503810164</v>
      </c>
      <c r="BP382" s="113">
        <f>PRODUCT(BP381:BT381)</f>
        <v>1.0000125301215799</v>
      </c>
      <c r="BQ382" s="113">
        <f>PRODUCT(BQ381:BT381)</f>
        <v>1.0000074245940471</v>
      </c>
      <c r="BR382" s="113">
        <f>PRODUCT(BR381:BT381)</f>
        <v>1.0000052143080613</v>
      </c>
      <c r="BS382" s="113">
        <f>PRODUCT(BS381:BT381)</f>
        <v>1</v>
      </c>
      <c r="BT382" s="114">
        <f>PRODUCT(BT381:BT381)</f>
        <v>1</v>
      </c>
      <c r="BU382" s="111" t="s">
        <v>39</v>
      </c>
      <c r="BV382" s="115"/>
      <c r="BW382" s="113">
        <f>PRODUCT(BW381:CF381)</f>
        <v>1.1267473001477313</v>
      </c>
      <c r="BX382" s="113">
        <f>PRODUCT(BX381:CF381)</f>
        <v>1.0315292184451061</v>
      </c>
      <c r="BY382" s="113">
        <f>PRODUCT(BY381:CF381)</f>
        <v>1.0093457943925233</v>
      </c>
      <c r="BZ382" s="113">
        <f>PRODUCT(BZ381:CF381)</f>
        <v>1</v>
      </c>
      <c r="CA382" s="113">
        <f>PRODUCT(CA381:CF381)</f>
        <v>1</v>
      </c>
      <c r="CB382" s="113">
        <f>PRODUCT(CB381:CF381)</f>
        <v>1</v>
      </c>
      <c r="CC382" s="113">
        <f>PRODUCT(CC381:CF381)</f>
        <v>1</v>
      </c>
      <c r="CD382" s="113">
        <f>PRODUCT(CD381:CF381)</f>
        <v>1</v>
      </c>
      <c r="CE382" s="113">
        <f>PRODUCT(CE381:CF381)</f>
        <v>1</v>
      </c>
      <c r="CF382" s="114">
        <f>PRODUCT(CF381:CF381)</f>
        <v>1</v>
      </c>
      <c r="CG382" s="111" t="s">
        <v>39</v>
      </c>
      <c r="CH382" s="115"/>
      <c r="CI382" s="113">
        <f>PRODUCT(CI381:CR381)</f>
        <v>1</v>
      </c>
      <c r="CJ382" s="113">
        <f>PRODUCT(CJ381:CR381)</f>
        <v>1</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208</v>
      </c>
      <c r="B383" s="106"/>
      <c r="C383" s="99">
        <f>C382*C366</f>
        <v>118662.84249952478</v>
      </c>
      <c r="D383" s="99">
        <f>D382*D365</f>
        <v>102338.44565745367</v>
      </c>
      <c r="E383" s="99">
        <f>E382*E364</f>
        <v>109776.39866687635</v>
      </c>
      <c r="F383" s="99">
        <f>F382*F363</f>
        <v>155039.53173106961</v>
      </c>
      <c r="G383" s="99">
        <f>G382*G362</f>
        <v>167758.73689949498</v>
      </c>
      <c r="H383" s="99">
        <f>H382*H361</f>
        <v>178707.0837628984</v>
      </c>
      <c r="I383" s="99">
        <f>I382*I360</f>
        <v>181199.74503975836</v>
      </c>
      <c r="J383" s="99">
        <f>J382*J359</f>
        <v>171880.61040407029</v>
      </c>
      <c r="K383" s="99">
        <f>K382*K358</f>
        <v>161467.10633079821</v>
      </c>
      <c r="L383" s="99">
        <f>L382*L357</f>
        <v>153316</v>
      </c>
      <c r="M383" s="95" t="s">
        <v>208</v>
      </c>
      <c r="N383" s="106"/>
      <c r="O383" s="99">
        <f>O382*O366</f>
        <v>11402.818169189291</v>
      </c>
      <c r="P383" s="99">
        <f>P382*P365</f>
        <v>10327.687157354625</v>
      </c>
      <c r="Q383" s="99">
        <f>Q382*Q364</f>
        <v>10413.778284570886</v>
      </c>
      <c r="R383" s="99">
        <f>R382*R363</f>
        <v>14810.527710725852</v>
      </c>
      <c r="S383" s="99">
        <f>S382*S362</f>
        <v>15842.854563260975</v>
      </c>
      <c r="T383" s="99">
        <f>T382*T361</f>
        <v>16611.036337692069</v>
      </c>
      <c r="U383" s="99">
        <f>U382*U360</f>
        <v>16730.0419921875</v>
      </c>
      <c r="V383" s="99">
        <f>V382*V359</f>
        <v>16414</v>
      </c>
      <c r="W383" s="99">
        <f>W382*W358</f>
        <v>16467</v>
      </c>
      <c r="X383" s="99">
        <f>X382*X357</f>
        <v>16277</v>
      </c>
      <c r="Y383" s="95" t="s">
        <v>208</v>
      </c>
      <c r="Z383" s="106"/>
      <c r="AA383" s="99">
        <f>AA382*AA366</f>
        <v>19157.311630557291</v>
      </c>
      <c r="AB383" s="99">
        <f>AB382*AB365</f>
        <v>20894.412930098009</v>
      </c>
      <c r="AC383" s="99">
        <f>AC382*AC364</f>
        <v>19465.671716389988</v>
      </c>
      <c r="AD383" s="99">
        <f>AD382*AD363</f>
        <v>24119.857664789281</v>
      </c>
      <c r="AE383" s="99">
        <f>AE382*AE362</f>
        <v>27366.678638045662</v>
      </c>
      <c r="AF383" s="99">
        <f>AF382*AF361</f>
        <v>27904.649524944944</v>
      </c>
      <c r="AG383" s="99">
        <f>AG382*AG360</f>
        <v>26122.385482409394</v>
      </c>
      <c r="AH383" s="99">
        <f>AH382*AH359</f>
        <v>22647.697927344045</v>
      </c>
      <c r="AI383" s="99">
        <f>AI382*AI358</f>
        <v>20040.164403032217</v>
      </c>
      <c r="AJ383" s="99">
        <f>AJ382*AJ357</f>
        <v>18999</v>
      </c>
      <c r="AK383" s="95" t="s">
        <v>208</v>
      </c>
      <c r="AL383" s="106"/>
      <c r="AM383" s="99">
        <f>AM382*AM366</f>
        <v>134786.49187181928</v>
      </c>
      <c r="AN383" s="99">
        <f>AN382*AN365</f>
        <v>116392.45835517807</v>
      </c>
      <c r="AO383" s="99">
        <f>AO382*AO364</f>
        <v>100029.18942198581</v>
      </c>
      <c r="AP383" s="99">
        <f>AP382*AP363</f>
        <v>103742.2349494869</v>
      </c>
      <c r="AQ383" s="99">
        <f>AQ382*AQ362</f>
        <v>98682.327109108839</v>
      </c>
      <c r="AR383" s="99">
        <f>AR382*AR361</f>
        <v>105777.69730959288</v>
      </c>
      <c r="AS383" s="99">
        <f>AS382*AS360</f>
        <v>95532.766028660917</v>
      </c>
      <c r="AT383" s="99">
        <f>AT382*AT359</f>
        <v>90354.032419580035</v>
      </c>
      <c r="AU383" s="99">
        <f>AU382*AU358</f>
        <v>86839.893634273409</v>
      </c>
      <c r="AV383" s="99">
        <f>AV382*AV357</f>
        <v>90032</v>
      </c>
      <c r="AW383" s="95" t="s">
        <v>208</v>
      </c>
      <c r="AX383" s="106"/>
      <c r="AY383" s="99">
        <f>AY382*AY366</f>
        <v>197916.12875077568</v>
      </c>
      <c r="AZ383" s="99">
        <f>AZ382*AZ365</f>
        <v>170193.97728199165</v>
      </c>
      <c r="BA383" s="99">
        <f>BA382*BA364</f>
        <v>162435.40529595176</v>
      </c>
      <c r="BB383" s="99">
        <f>BB382*BB363</f>
        <v>211505.88704992001</v>
      </c>
      <c r="BC383" s="99">
        <f>BC382*BC362</f>
        <v>220429.49419771801</v>
      </c>
      <c r="BD383" s="99">
        <f>BD382*BD361</f>
        <v>231307.27876716177</v>
      </c>
      <c r="BE383" s="99">
        <f>BE382*BE360</f>
        <v>228074.54553633183</v>
      </c>
      <c r="BF383" s="99">
        <f>BF382*BF359</f>
        <v>213949.2483934192</v>
      </c>
      <c r="BG383" s="99">
        <f>BG382*BG358</f>
        <v>200462.10665699831</v>
      </c>
      <c r="BH383" s="99">
        <f>BH382*BH357</f>
        <v>190313</v>
      </c>
      <c r="BI383" s="95" t="s">
        <v>208</v>
      </c>
      <c r="BJ383" s="106"/>
      <c r="BK383" s="99">
        <f>BK382*BK366</f>
        <v>296219.64267768915</v>
      </c>
      <c r="BL383" s="99">
        <f>BL382*BL365</f>
        <v>279644.75681357941</v>
      </c>
      <c r="BM383" s="99">
        <f>BM382*BM364</f>
        <v>282221.30807218194</v>
      </c>
      <c r="BN383" s="99">
        <f>BN382*BN363</f>
        <v>340505.68952597381</v>
      </c>
      <c r="BO383" s="99">
        <f>BO382*BO362</f>
        <v>354941.13963423489</v>
      </c>
      <c r="BP383" s="99">
        <f>BP382*BP361</f>
        <v>378078.73731318617</v>
      </c>
      <c r="BQ383" s="99">
        <f>BQ382*BQ360</f>
        <v>351415.60909886786</v>
      </c>
      <c r="BR383" s="99">
        <f>BR382*BR359</f>
        <v>329528.71825529251</v>
      </c>
      <c r="BS383" s="99">
        <f>BS382*BS358</f>
        <v>298406</v>
      </c>
      <c r="BT383" s="99">
        <f>BT382*BT357</f>
        <v>276937</v>
      </c>
      <c r="BU383" s="95" t="s">
        <v>208</v>
      </c>
      <c r="BV383" s="106"/>
      <c r="BW383" s="99">
        <f>BW382*BW366</f>
        <v>28.168682503693283</v>
      </c>
      <c r="BX383" s="99">
        <f>BX382*BX365</f>
        <v>16.504467495121698</v>
      </c>
      <c r="BY383" s="99">
        <f>BY382*BY364</f>
        <v>17.158878504672895</v>
      </c>
      <c r="BZ383" s="99">
        <f>BZ382*BZ363</f>
        <v>39</v>
      </c>
      <c r="CA383" s="99">
        <f>CA382*CA362</f>
        <v>38</v>
      </c>
      <c r="CB383" s="99">
        <f>CB382*CB361</f>
        <v>31</v>
      </c>
      <c r="CC383" s="99">
        <f>CC382*CC360</f>
        <v>26</v>
      </c>
      <c r="CD383" s="99">
        <f>CD382*CD359</f>
        <v>45</v>
      </c>
      <c r="CE383" s="99">
        <f>CE382*CE358</f>
        <v>35</v>
      </c>
      <c r="CF383" s="99">
        <f>CF382*CF357</f>
        <v>22</v>
      </c>
      <c r="CG383" s="95" t="s">
        <v>208</v>
      </c>
      <c r="CH383" s="106"/>
      <c r="CI383" s="99">
        <f>CI382*CI366</f>
        <v>0</v>
      </c>
      <c r="CJ383" s="99">
        <f>CJ382*CJ365</f>
        <v>0</v>
      </c>
      <c r="CK383" s="99">
        <f>CK382*CK364</f>
        <v>0</v>
      </c>
      <c r="CL383" s="99">
        <f>CL382*CL363</f>
        <v>0</v>
      </c>
      <c r="CM383" s="99">
        <f>CM382*CM362</f>
        <v>0</v>
      </c>
      <c r="CN383" s="99">
        <f>CN382*CN361</f>
        <v>0</v>
      </c>
      <c r="CO383" s="99">
        <f>CO382*CO360</f>
        <v>0</v>
      </c>
      <c r="CP383" s="99">
        <f>CP382*CP359</f>
        <v>0</v>
      </c>
      <c r="CQ383" s="99">
        <f>CQ382*CQ358</f>
        <v>0</v>
      </c>
      <c r="CR383" s="99">
        <f>CR382*CR357</f>
        <v>0</v>
      </c>
      <c r="CS383" s="95" t="s">
        <v>208</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208</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Mutual Automobile Insurance Company</v>
      </c>
      <c r="B384" s="68"/>
      <c r="C384" s="40"/>
      <c r="D384" s="18"/>
      <c r="E384" s="18"/>
      <c r="F384" s="18"/>
      <c r="G384" s="18"/>
      <c r="H384" s="18"/>
      <c r="I384" s="18"/>
      <c r="J384" s="18"/>
      <c r="K384" s="18"/>
      <c r="L384" s="18"/>
      <c r="M384" s="137" t="str">
        <f>Co_Name</f>
        <v>State Farm Mutual Automobile Insurance Company</v>
      </c>
      <c r="N384" s="68"/>
      <c r="O384" s="40"/>
      <c r="P384" s="18"/>
      <c r="Q384" s="18"/>
      <c r="R384" s="18"/>
      <c r="S384" s="18"/>
      <c r="T384" s="18"/>
      <c r="U384" s="18"/>
      <c r="V384" s="18"/>
      <c r="W384" s="18"/>
      <c r="X384" s="18"/>
      <c r="Y384" s="137" t="str">
        <f>Co_Name</f>
        <v>State Farm Mutual Automobile Insurance Company</v>
      </c>
      <c r="Z384" s="68"/>
      <c r="AA384" s="40"/>
      <c r="AB384" s="18"/>
      <c r="AC384" s="18"/>
      <c r="AD384" s="18"/>
      <c r="AE384" s="18"/>
      <c r="AF384" s="18"/>
      <c r="AG384" s="18"/>
      <c r="AH384" s="18"/>
      <c r="AI384" s="18"/>
      <c r="AJ384" s="18"/>
      <c r="AK384" s="137" t="str">
        <f>Co_Name</f>
        <v>State Farm Mutual Automobile Insurance Company</v>
      </c>
      <c r="AL384" s="68"/>
      <c r="AM384" s="40"/>
      <c r="AN384" s="18"/>
      <c r="AO384" s="18"/>
      <c r="AP384" s="18"/>
      <c r="AQ384" s="18"/>
      <c r="AR384" s="18"/>
      <c r="AS384" s="18"/>
      <c r="AT384" s="18"/>
      <c r="AU384" s="18"/>
      <c r="AV384" s="18"/>
      <c r="AW384" s="137" t="str">
        <f>Co_Name</f>
        <v>State Farm Mutual Automobile Insurance Company</v>
      </c>
      <c r="AX384" s="68"/>
      <c r="AY384" s="40"/>
      <c r="AZ384" s="18"/>
      <c r="BA384" s="18"/>
      <c r="BB384" s="18"/>
      <c r="BC384" s="18"/>
      <c r="BD384" s="18"/>
      <c r="BE384" s="18"/>
      <c r="BF384" s="18"/>
      <c r="BG384" s="18"/>
      <c r="BH384" s="18"/>
      <c r="BI384" s="137" t="str">
        <f>Co_Name</f>
        <v>State Farm Mutual Automobile Insurance Company</v>
      </c>
      <c r="BJ384" s="68"/>
      <c r="BK384" s="40"/>
      <c r="BL384" s="18"/>
      <c r="BM384" s="18"/>
      <c r="BN384" s="18"/>
      <c r="BO384" s="18"/>
      <c r="BP384" s="18"/>
      <c r="BQ384" s="18"/>
      <c r="BR384" s="18"/>
      <c r="BS384" s="18"/>
      <c r="BT384" s="18"/>
      <c r="BU384" s="137" t="str">
        <f>Co_Name</f>
        <v>State Farm Mutual Automobile Insurance Company</v>
      </c>
      <c r="BV384" s="68"/>
      <c r="BW384" s="40"/>
      <c r="BX384" s="18"/>
      <c r="BY384" s="18"/>
      <c r="BZ384" s="18"/>
      <c r="CA384" s="18"/>
      <c r="CB384" s="18"/>
      <c r="CC384" s="18"/>
      <c r="CD384" s="18"/>
      <c r="CE384" s="18"/>
      <c r="CF384" s="18"/>
      <c r="CG384" s="137" t="str">
        <f>Co_Name</f>
        <v>State Farm Mutual Automobile Insurance Company</v>
      </c>
      <c r="CH384" s="68"/>
      <c r="CI384" s="40"/>
      <c r="CJ384" s="18"/>
      <c r="CK384" s="18"/>
      <c r="CL384" s="18"/>
      <c r="CM384" s="18"/>
      <c r="CN384" s="18"/>
      <c r="CO384" s="18"/>
      <c r="CP384" s="18"/>
      <c r="CQ384" s="18"/>
      <c r="CR384" s="18"/>
      <c r="CS384" s="137" t="str">
        <f>Co_Name</f>
        <v>State Farm Mutual Automobile Insurance Company</v>
      </c>
      <c r="CT384" s="68"/>
      <c r="CU384" s="40"/>
      <c r="CV384" s="18"/>
      <c r="CW384" s="18"/>
      <c r="CX384" s="18"/>
      <c r="CY384" s="18"/>
      <c r="CZ384" s="18"/>
      <c r="DA384" s="18"/>
      <c r="DB384" s="18"/>
      <c r="DC384" s="18"/>
      <c r="DD384" s="18"/>
      <c r="DE384" s="137" t="str">
        <f>Co_Name</f>
        <v>State Farm Mutual Automobile Insurance Company</v>
      </c>
      <c r="DF384" s="68"/>
      <c r="DG384" s="40"/>
      <c r="DH384" s="18"/>
      <c r="DI384" s="18"/>
      <c r="DJ384" s="18"/>
      <c r="DK384" s="18"/>
      <c r="DL384" s="18"/>
      <c r="DM384" s="18"/>
      <c r="DN384" s="18"/>
      <c r="DO384" s="18"/>
      <c r="DP384" s="18"/>
    </row>
    <row r="385" spans="1:120" ht="21" x14ac:dyDescent="0.35">
      <c r="A385" s="137" t="str">
        <f>A$2</f>
        <v>Private Passenger Auto Liability</v>
      </c>
      <c r="B385" s="68"/>
      <c r="C385" s="40"/>
      <c r="D385" s="18"/>
      <c r="E385" s="18"/>
      <c r="F385" s="18"/>
      <c r="G385" s="18"/>
      <c r="H385" s="18"/>
      <c r="I385" s="18"/>
      <c r="J385" s="18"/>
      <c r="K385" s="18"/>
      <c r="L385" s="18"/>
      <c r="M385" s="137" t="str">
        <f>M$2</f>
        <v>Private Passenger Auto Liability</v>
      </c>
      <c r="N385" s="68"/>
      <c r="O385" s="40"/>
      <c r="P385" s="18"/>
      <c r="Q385" s="18"/>
      <c r="R385" s="18"/>
      <c r="S385" s="18"/>
      <c r="T385" s="18"/>
      <c r="U385" s="18"/>
      <c r="V385" s="18"/>
      <c r="W385" s="18"/>
      <c r="X385" s="18"/>
      <c r="Y385" s="137" t="str">
        <f>Y$2</f>
        <v>Private Passenger Auto Liability</v>
      </c>
      <c r="Z385" s="68"/>
      <c r="AA385" s="40"/>
      <c r="AB385" s="18"/>
      <c r="AC385" s="18"/>
      <c r="AD385" s="18"/>
      <c r="AE385" s="18"/>
      <c r="AF385" s="18"/>
      <c r="AG385" s="18"/>
      <c r="AH385" s="18"/>
      <c r="AI385" s="18"/>
      <c r="AJ385" s="18"/>
      <c r="AK385" s="137" t="str">
        <f>AK$2</f>
        <v>Private Passenger Auto Liability</v>
      </c>
      <c r="AL385" s="68"/>
      <c r="AM385" s="40"/>
      <c r="AN385" s="18"/>
      <c r="AO385" s="18"/>
      <c r="AP385" s="18"/>
      <c r="AQ385" s="18"/>
      <c r="AR385" s="18"/>
      <c r="AS385" s="18"/>
      <c r="AT385" s="18"/>
      <c r="AU385" s="18"/>
      <c r="AV385" s="18"/>
      <c r="AW385" s="137" t="str">
        <f>AW$2</f>
        <v>Private Passenger Auto Physical Damage</v>
      </c>
      <c r="AX385" s="68"/>
      <c r="AY385" s="40"/>
      <c r="AZ385" s="18"/>
      <c r="BA385" s="18"/>
      <c r="BB385" s="18"/>
      <c r="BC385" s="18"/>
      <c r="BD385" s="18"/>
      <c r="BE385" s="18"/>
      <c r="BF385" s="18"/>
      <c r="BG385" s="18"/>
      <c r="BH385" s="18"/>
      <c r="BI385" s="137" t="str">
        <f>BI$2</f>
        <v>Private Passenger Auto Physical Damage</v>
      </c>
      <c r="BJ385" s="68"/>
      <c r="BK385" s="40"/>
      <c r="BL385" s="18"/>
      <c r="BM385" s="18"/>
      <c r="BN385" s="18"/>
      <c r="BO385" s="18"/>
      <c r="BP385" s="18"/>
      <c r="BQ385" s="18"/>
      <c r="BR385" s="18"/>
      <c r="BS385" s="18"/>
      <c r="BT385" s="18"/>
      <c r="BU385" s="137" t="str">
        <f>BU$2</f>
        <v>Private Passenger Auto Physical Damage</v>
      </c>
      <c r="BV385" s="68"/>
      <c r="BW385" s="40"/>
      <c r="BX385" s="18"/>
      <c r="BY385" s="18"/>
      <c r="BZ385" s="18"/>
      <c r="CA385" s="18"/>
      <c r="CB385" s="18"/>
      <c r="CC385" s="18"/>
      <c r="CD385" s="18"/>
      <c r="CE385" s="18"/>
      <c r="CF385" s="18"/>
      <c r="CG385" s="137" t="str">
        <f>CG$2</f>
        <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211</v>
      </c>
      <c r="B387" s="48"/>
      <c r="C387" s="18"/>
      <c r="D387" s="18"/>
      <c r="E387" s="18"/>
      <c r="F387" s="18"/>
      <c r="G387" s="18"/>
      <c r="H387" s="18"/>
      <c r="I387" s="18"/>
      <c r="J387" s="18"/>
      <c r="K387" s="18"/>
      <c r="L387" s="18"/>
      <c r="M387" s="48" t="s">
        <v>211</v>
      </c>
      <c r="N387" s="48"/>
      <c r="O387" s="18"/>
      <c r="P387" s="18"/>
      <c r="Q387" s="18"/>
      <c r="R387" s="18"/>
      <c r="S387" s="18"/>
      <c r="T387" s="18"/>
      <c r="U387" s="18"/>
      <c r="V387" s="18"/>
      <c r="W387" s="18"/>
      <c r="X387" s="18"/>
      <c r="Y387" s="48" t="s">
        <v>211</v>
      </c>
      <c r="Z387" s="48"/>
      <c r="AA387" s="18"/>
      <c r="AB387" s="18"/>
      <c r="AC387" s="18"/>
      <c r="AD387" s="18"/>
      <c r="AE387" s="18"/>
      <c r="AF387" s="18"/>
      <c r="AG387" s="18"/>
      <c r="AH387" s="18"/>
      <c r="AI387" s="18"/>
      <c r="AJ387" s="18"/>
      <c r="AK387" s="48" t="s">
        <v>211</v>
      </c>
      <c r="AL387" s="48"/>
      <c r="AM387" s="18"/>
      <c r="AN387" s="18"/>
      <c r="AO387" s="18"/>
      <c r="AP387" s="18"/>
      <c r="AQ387" s="18"/>
      <c r="AR387" s="18"/>
      <c r="AS387" s="18"/>
      <c r="AT387" s="18"/>
      <c r="AU387" s="18"/>
      <c r="AV387" s="18"/>
      <c r="AW387" s="48" t="s">
        <v>211</v>
      </c>
      <c r="AX387" s="48"/>
      <c r="AY387" s="18"/>
      <c r="AZ387" s="18"/>
      <c r="BA387" s="18"/>
      <c r="BB387" s="18"/>
      <c r="BC387" s="18"/>
      <c r="BD387" s="18"/>
      <c r="BE387" s="18"/>
      <c r="BF387" s="18"/>
      <c r="BG387" s="18"/>
      <c r="BH387" s="18"/>
      <c r="BI387" s="48" t="s">
        <v>211</v>
      </c>
      <c r="BJ387" s="48"/>
      <c r="BK387" s="18"/>
      <c r="BL387" s="18"/>
      <c r="BM387" s="18"/>
      <c r="BN387" s="18"/>
      <c r="BO387" s="18"/>
      <c r="BP387" s="18"/>
      <c r="BQ387" s="18"/>
      <c r="BR387" s="18"/>
      <c r="BS387" s="18"/>
      <c r="BT387" s="18"/>
      <c r="BU387" s="48" t="s">
        <v>211</v>
      </c>
      <c r="BV387" s="48"/>
      <c r="BW387" s="18"/>
      <c r="BX387" s="18"/>
      <c r="BY387" s="18"/>
      <c r="BZ387" s="18"/>
      <c r="CA387" s="18"/>
      <c r="CB387" s="18"/>
      <c r="CC387" s="18"/>
      <c r="CD387" s="18"/>
      <c r="CE387" s="18"/>
      <c r="CF387" s="18"/>
      <c r="CG387" s="48" t="s">
        <v>211</v>
      </c>
      <c r="CH387" s="48"/>
      <c r="CI387" s="18"/>
      <c r="CJ387" s="18"/>
      <c r="CK387" s="18"/>
      <c r="CL387" s="18"/>
      <c r="CM387" s="18"/>
      <c r="CN387" s="18"/>
      <c r="CO387" s="18"/>
      <c r="CP387" s="18"/>
      <c r="CQ387" s="18"/>
      <c r="CR387" s="18"/>
      <c r="CS387" s="48" t="s">
        <v>211</v>
      </c>
      <c r="CT387" s="48"/>
      <c r="CU387" s="18"/>
      <c r="CV387" s="18"/>
      <c r="CW387" s="18"/>
      <c r="CX387" s="18"/>
      <c r="CY387" s="18"/>
      <c r="CZ387" s="18"/>
      <c r="DA387" s="18"/>
      <c r="DB387" s="18"/>
      <c r="DC387" s="18"/>
      <c r="DD387" s="18"/>
      <c r="DE387" s="48" t="s">
        <v>211</v>
      </c>
      <c r="DF387" s="48"/>
      <c r="DG387" s="18"/>
      <c r="DH387" s="18"/>
      <c r="DI387" s="18"/>
      <c r="DJ387" s="18"/>
      <c r="DK387" s="18"/>
      <c r="DL387" s="18"/>
      <c r="DM387" s="18"/>
      <c r="DN387" s="18"/>
      <c r="DO387" s="18"/>
      <c r="DP387" s="18"/>
    </row>
    <row r="388" spans="1:120" x14ac:dyDescent="0.25">
      <c r="A388" s="138" t="str">
        <f>A$5</f>
        <v>BIPD</v>
      </c>
      <c r="B388" s="69"/>
      <c r="C388" s="18"/>
      <c r="D388" s="18"/>
      <c r="E388" s="18"/>
      <c r="F388" s="18"/>
      <c r="G388" s="18"/>
      <c r="H388" s="18"/>
      <c r="I388" s="18"/>
      <c r="J388" s="18"/>
      <c r="K388" s="18"/>
      <c r="L388" s="18"/>
      <c r="M388" s="138" t="str">
        <f>M$5</f>
        <v>MPC</v>
      </c>
      <c r="N388" s="69"/>
      <c r="O388" s="18"/>
      <c r="P388" s="18"/>
      <c r="Q388" s="18"/>
      <c r="R388" s="18"/>
      <c r="S388" s="18"/>
      <c r="T388" s="18"/>
      <c r="U388" s="18"/>
      <c r="V388" s="18"/>
      <c r="W388" s="18"/>
      <c r="X388" s="18"/>
      <c r="Y388" s="138" t="str">
        <f>Y$5</f>
        <v>UM</v>
      </c>
      <c r="Z388" s="69"/>
      <c r="AA388" s="18"/>
      <c r="AB388" s="18"/>
      <c r="AC388" s="18"/>
      <c r="AD388" s="18"/>
      <c r="AE388" s="18"/>
      <c r="AF388" s="18"/>
      <c r="AG388" s="18"/>
      <c r="AH388" s="18"/>
      <c r="AI388" s="18"/>
      <c r="AJ388" s="18"/>
      <c r="AK388" s="138" t="str">
        <f>AK$5</f>
        <v>COMP</v>
      </c>
      <c r="AL388" s="69"/>
      <c r="AM388" s="18"/>
      <c r="AN388" s="18"/>
      <c r="AO388" s="18"/>
      <c r="AP388" s="18"/>
      <c r="AQ388" s="18"/>
      <c r="AR388" s="18"/>
      <c r="AS388" s="18"/>
      <c r="AT388" s="18"/>
      <c r="AU388" s="18"/>
      <c r="AV388" s="18"/>
      <c r="AW388" s="138" t="str">
        <f>AW$5</f>
        <v>COLL</v>
      </c>
      <c r="AX388" s="69"/>
      <c r="AY388" s="18"/>
      <c r="AZ388" s="18"/>
      <c r="BA388" s="18"/>
      <c r="BB388" s="18"/>
      <c r="BC388" s="18"/>
      <c r="BD388" s="18"/>
      <c r="BE388" s="18"/>
      <c r="BF388" s="18"/>
      <c r="BG388" s="18"/>
      <c r="BH388" s="18"/>
      <c r="BI388" s="138" t="str">
        <f>BI$5</f>
        <v>Misc. Damage</v>
      </c>
      <c r="BJ388" s="69"/>
      <c r="BK388" s="18"/>
      <c r="BL388" s="18"/>
      <c r="BM388" s="18"/>
      <c r="BN388" s="18"/>
      <c r="BO388" s="18"/>
      <c r="BP388" s="18"/>
      <c r="BQ388" s="18"/>
      <c r="BR388" s="18"/>
      <c r="BS388" s="18"/>
      <c r="BT388" s="18"/>
      <c r="BU388" s="138" t="str">
        <f>BU$5</f>
        <v>Misc. Liability</v>
      </c>
      <c r="BV388" s="69"/>
      <c r="BW388" s="18"/>
      <c r="BX388" s="18"/>
      <c r="BY388" s="18"/>
      <c r="BZ388" s="18"/>
      <c r="CA388" s="18"/>
      <c r="CB388" s="18"/>
      <c r="CC388" s="18"/>
      <c r="CD388" s="18"/>
      <c r="CE388" s="18"/>
      <c r="CF388" s="18"/>
      <c r="CG388" s="138">
        <f>CG$5</f>
        <v>0</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ht="30" x14ac:dyDescent="0.25">
      <c r="A391" s="92" t="str">
        <f>$A$35</f>
        <v>Fiscal Accident Year Data Ending</v>
      </c>
      <c r="B391" s="98">
        <f>$B$35</f>
        <v>3</v>
      </c>
      <c r="C391" s="98" t="str">
        <f>$C$35</f>
        <v>15</v>
      </c>
      <c r="D391" s="98">
        <f>$D$35</f>
        <v>27</v>
      </c>
      <c r="E391" s="98">
        <f>$E$35</f>
        <v>39</v>
      </c>
      <c r="F391" s="98">
        <f>$F$35</f>
        <v>51</v>
      </c>
      <c r="G391" s="98">
        <f>$G$35</f>
        <v>63</v>
      </c>
      <c r="H391" s="98">
        <f>$H$35</f>
        <v>75</v>
      </c>
      <c r="I391" s="98">
        <f>$I$35</f>
        <v>87</v>
      </c>
      <c r="J391" s="98">
        <f>$J$35</f>
        <v>99</v>
      </c>
      <c r="K391" s="98">
        <f>$K$35</f>
        <v>111</v>
      </c>
      <c r="L391" s="98">
        <f>$L$35</f>
        <v>123</v>
      </c>
      <c r="M391" s="92" t="str">
        <f>$A$35</f>
        <v>Fiscal Accident Year Data Ending</v>
      </c>
      <c r="N391" s="98">
        <f>$B$35</f>
        <v>3</v>
      </c>
      <c r="O391" s="98" t="str">
        <f>$C$35</f>
        <v>15</v>
      </c>
      <c r="P391" s="98">
        <f>$D$35</f>
        <v>27</v>
      </c>
      <c r="Q391" s="98">
        <f>$E$35</f>
        <v>39</v>
      </c>
      <c r="R391" s="98">
        <f>$F$35</f>
        <v>51</v>
      </c>
      <c r="S391" s="98">
        <f>$G$35</f>
        <v>63</v>
      </c>
      <c r="T391" s="98">
        <f>$H$35</f>
        <v>75</v>
      </c>
      <c r="U391" s="98">
        <f>$I$35</f>
        <v>87</v>
      </c>
      <c r="V391" s="98">
        <f>$J$35</f>
        <v>99</v>
      </c>
      <c r="W391" s="98">
        <f>$K$35</f>
        <v>111</v>
      </c>
      <c r="X391" s="98">
        <f>$L$35</f>
        <v>123</v>
      </c>
      <c r="Y391" s="92" t="str">
        <f>$A$35</f>
        <v>Fiscal Accident Year Data Ending</v>
      </c>
      <c r="Z391" s="98">
        <f>$B$35</f>
        <v>3</v>
      </c>
      <c r="AA391" s="98" t="str">
        <f>$C$35</f>
        <v>15</v>
      </c>
      <c r="AB391" s="98">
        <f>$D$35</f>
        <v>27</v>
      </c>
      <c r="AC391" s="98">
        <f>$E$35</f>
        <v>39</v>
      </c>
      <c r="AD391" s="98">
        <f>$F$35</f>
        <v>51</v>
      </c>
      <c r="AE391" s="98">
        <f>$G$35</f>
        <v>63</v>
      </c>
      <c r="AF391" s="98">
        <f>$H$35</f>
        <v>75</v>
      </c>
      <c r="AG391" s="98">
        <f>$I$35</f>
        <v>87</v>
      </c>
      <c r="AH391" s="98">
        <f>$J$35</f>
        <v>99</v>
      </c>
      <c r="AI391" s="98">
        <f>$K$35</f>
        <v>111</v>
      </c>
      <c r="AJ391" s="98">
        <f>$L$35</f>
        <v>123</v>
      </c>
      <c r="AK391" s="92" t="str">
        <f>$A$35</f>
        <v>Fiscal Accident Year Data Ending</v>
      </c>
      <c r="AL391" s="98">
        <f>$B$35</f>
        <v>3</v>
      </c>
      <c r="AM391" s="98" t="str">
        <f>$C$35</f>
        <v>15</v>
      </c>
      <c r="AN391" s="98">
        <f>$D$35</f>
        <v>27</v>
      </c>
      <c r="AO391" s="98">
        <f>$E$35</f>
        <v>39</v>
      </c>
      <c r="AP391" s="98">
        <f>$F$35</f>
        <v>51</v>
      </c>
      <c r="AQ391" s="98">
        <f>$G$35</f>
        <v>63</v>
      </c>
      <c r="AR391" s="98">
        <f>$H$35</f>
        <v>75</v>
      </c>
      <c r="AS391" s="98">
        <f>$I$35</f>
        <v>87</v>
      </c>
      <c r="AT391" s="98">
        <f>$J$35</f>
        <v>99</v>
      </c>
      <c r="AU391" s="98">
        <f>$K$35</f>
        <v>111</v>
      </c>
      <c r="AV391" s="98">
        <f>$L$35</f>
        <v>123</v>
      </c>
      <c r="AW391" s="92" t="str">
        <f>$A$35</f>
        <v>Fiscal Accident Year Data Ending</v>
      </c>
      <c r="AX391" s="98">
        <f>$B$35</f>
        <v>3</v>
      </c>
      <c r="AY391" s="98" t="str">
        <f>$C$35</f>
        <v>15</v>
      </c>
      <c r="AZ391" s="98">
        <f>$D$35</f>
        <v>27</v>
      </c>
      <c r="BA391" s="98">
        <f>$E$35</f>
        <v>39</v>
      </c>
      <c r="BB391" s="98">
        <f>$F$35</f>
        <v>51</v>
      </c>
      <c r="BC391" s="98">
        <f>$G$35</f>
        <v>63</v>
      </c>
      <c r="BD391" s="98">
        <f>$H$35</f>
        <v>75</v>
      </c>
      <c r="BE391" s="98">
        <f>$I$35</f>
        <v>87</v>
      </c>
      <c r="BF391" s="98">
        <f>$J$35</f>
        <v>99</v>
      </c>
      <c r="BG391" s="98">
        <f>$K$35</f>
        <v>111</v>
      </c>
      <c r="BH391" s="98">
        <f>$L$35</f>
        <v>123</v>
      </c>
      <c r="BI391" s="92" t="str">
        <f>$A$35</f>
        <v>Fiscal Accident Year Data Ending</v>
      </c>
      <c r="BJ391" s="98">
        <f>$B$35</f>
        <v>3</v>
      </c>
      <c r="BK391" s="98" t="str">
        <f>$C$35</f>
        <v>15</v>
      </c>
      <c r="BL391" s="98">
        <f>$D$35</f>
        <v>27</v>
      </c>
      <c r="BM391" s="98">
        <f>$E$35</f>
        <v>39</v>
      </c>
      <c r="BN391" s="98">
        <f>$F$35</f>
        <v>51</v>
      </c>
      <c r="BO391" s="98">
        <f>$G$35</f>
        <v>63</v>
      </c>
      <c r="BP391" s="98">
        <f>$H$35</f>
        <v>75</v>
      </c>
      <c r="BQ391" s="98">
        <f>$I$35</f>
        <v>87</v>
      </c>
      <c r="BR391" s="98">
        <f>$J$35</f>
        <v>99</v>
      </c>
      <c r="BS391" s="98">
        <f>$K$35</f>
        <v>111</v>
      </c>
      <c r="BT391" s="98">
        <f>$L$35</f>
        <v>123</v>
      </c>
      <c r="BU391" s="92" t="str">
        <f>$A$35</f>
        <v>Fiscal Accident Year Data Ending</v>
      </c>
      <c r="BV391" s="98">
        <f>$B$35</f>
        <v>3</v>
      </c>
      <c r="BW391" s="98" t="str">
        <f>$C$35</f>
        <v>15</v>
      </c>
      <c r="BX391" s="98">
        <f>$D$35</f>
        <v>27</v>
      </c>
      <c r="BY391" s="98">
        <f>$E$35</f>
        <v>39</v>
      </c>
      <c r="BZ391" s="98">
        <f>$F$35</f>
        <v>51</v>
      </c>
      <c r="CA391" s="98">
        <f>$G$35</f>
        <v>63</v>
      </c>
      <c r="CB391" s="98">
        <f>$H$35</f>
        <v>75</v>
      </c>
      <c r="CC391" s="98">
        <f>$I$35</f>
        <v>87</v>
      </c>
      <c r="CD391" s="98">
        <f>$J$35</f>
        <v>99</v>
      </c>
      <c r="CE391" s="98">
        <f>$K$35</f>
        <v>111</v>
      </c>
      <c r="CF391" s="98">
        <f>$L$35</f>
        <v>123</v>
      </c>
      <c r="CG391" s="92" t="str">
        <f>$A$35</f>
        <v>Fiscal Accident Year Data Ending</v>
      </c>
      <c r="CH391" s="98">
        <f>$B$35</f>
        <v>3</v>
      </c>
      <c r="CI391" s="98" t="str">
        <f>$C$35</f>
        <v>15</v>
      </c>
      <c r="CJ391" s="98">
        <f>$D$35</f>
        <v>27</v>
      </c>
      <c r="CK391" s="98">
        <f>$E$35</f>
        <v>39</v>
      </c>
      <c r="CL391" s="98">
        <f>$F$35</f>
        <v>51</v>
      </c>
      <c r="CM391" s="98">
        <f>$G$35</f>
        <v>63</v>
      </c>
      <c r="CN391" s="98">
        <f>$H$35</f>
        <v>75</v>
      </c>
      <c r="CO391" s="98">
        <f>$I$35</f>
        <v>87</v>
      </c>
      <c r="CP391" s="98">
        <f>$J$35</f>
        <v>99</v>
      </c>
      <c r="CQ391" s="98">
        <f>$K$35</f>
        <v>111</v>
      </c>
      <c r="CR391" s="98">
        <f>$L$35</f>
        <v>123</v>
      </c>
      <c r="CS391" s="92" t="str">
        <f>$A$35</f>
        <v>Fiscal Accident Year Data Ending</v>
      </c>
      <c r="CT391" s="98">
        <f>$B$35</f>
        <v>3</v>
      </c>
      <c r="CU391" s="98" t="str">
        <f>$C$35</f>
        <v>15</v>
      </c>
      <c r="CV391" s="98">
        <f>$D$35</f>
        <v>27</v>
      </c>
      <c r="CW391" s="98">
        <f>$E$35</f>
        <v>39</v>
      </c>
      <c r="CX391" s="98">
        <f>$F$35</f>
        <v>51</v>
      </c>
      <c r="CY391" s="98">
        <f>$G$35</f>
        <v>63</v>
      </c>
      <c r="CZ391" s="98">
        <f>$H$35</f>
        <v>75</v>
      </c>
      <c r="DA391" s="98">
        <f>$I$35</f>
        <v>87</v>
      </c>
      <c r="DB391" s="98">
        <f>$J$35</f>
        <v>99</v>
      </c>
      <c r="DC391" s="98">
        <f>$K$35</f>
        <v>111</v>
      </c>
      <c r="DD391" s="98">
        <f>$L$35</f>
        <v>123</v>
      </c>
      <c r="DE391" s="92" t="str">
        <f>$A$35</f>
        <v>Fiscal Accident Year Data Ending</v>
      </c>
      <c r="DF391" s="98">
        <f>$B$35</f>
        <v>3</v>
      </c>
      <c r="DG391" s="98" t="str">
        <f>$C$35</f>
        <v>15</v>
      </c>
      <c r="DH391" s="98">
        <f>$D$35</f>
        <v>27</v>
      </c>
      <c r="DI391" s="98">
        <f>$E$35</f>
        <v>39</v>
      </c>
      <c r="DJ391" s="98">
        <f>$F$35</f>
        <v>51</v>
      </c>
      <c r="DK391" s="98">
        <f>$G$35</f>
        <v>63</v>
      </c>
      <c r="DL391" s="98">
        <f>$H$35</f>
        <v>75</v>
      </c>
      <c r="DM391" s="98">
        <f>$I$35</f>
        <v>87</v>
      </c>
      <c r="DN391" s="98">
        <f>$J$35</f>
        <v>99</v>
      </c>
      <c r="DO391" s="98">
        <f>$K$35</f>
        <v>111</v>
      </c>
      <c r="DP391" s="98">
        <f>$L$35</f>
        <v>123</v>
      </c>
    </row>
    <row r="392" spans="1:120" ht="15" customHeight="1" x14ac:dyDescent="0.25">
      <c r="A392" s="31">
        <f>$A$36</f>
        <v>20133</v>
      </c>
      <c r="B392" s="21">
        <v>15325</v>
      </c>
      <c r="C392" s="21">
        <v>130817</v>
      </c>
      <c r="D392" s="21">
        <v>145888</v>
      </c>
      <c r="E392" s="21">
        <v>151061</v>
      </c>
      <c r="F392" s="21">
        <v>152668</v>
      </c>
      <c r="G392" s="21">
        <v>153101</v>
      </c>
      <c r="H392" s="21">
        <v>153206</v>
      </c>
      <c r="I392" s="21">
        <v>153231</v>
      </c>
      <c r="J392" s="21">
        <v>153239</v>
      </c>
      <c r="K392" s="21">
        <v>153250</v>
      </c>
      <c r="L392" s="21">
        <v>153252</v>
      </c>
      <c r="M392" s="31">
        <f>$A$36</f>
        <v>20133</v>
      </c>
      <c r="N392" s="21">
        <v>174</v>
      </c>
      <c r="O392" s="21">
        <v>11041</v>
      </c>
      <c r="P392" s="21">
        <v>15782</v>
      </c>
      <c r="Q392" s="21">
        <v>16131</v>
      </c>
      <c r="R392" s="21">
        <v>16238</v>
      </c>
      <c r="S392" s="21">
        <v>16264</v>
      </c>
      <c r="T392" s="21">
        <v>16267</v>
      </c>
      <c r="U392" s="21">
        <v>16267</v>
      </c>
      <c r="V392" s="21">
        <v>16271</v>
      </c>
      <c r="W392" s="21">
        <v>16271</v>
      </c>
      <c r="X392" s="21">
        <v>16271</v>
      </c>
      <c r="Y392" s="31">
        <f>$A$36</f>
        <v>20133</v>
      </c>
      <c r="Z392" s="21">
        <v>1239</v>
      </c>
      <c r="AA392" s="21">
        <v>14327</v>
      </c>
      <c r="AB392" s="21">
        <v>17433</v>
      </c>
      <c r="AC392" s="21">
        <v>18458</v>
      </c>
      <c r="AD392" s="21">
        <v>18763</v>
      </c>
      <c r="AE392" s="21">
        <v>18880</v>
      </c>
      <c r="AF392" s="21">
        <v>18936</v>
      </c>
      <c r="AG392" s="21">
        <v>18964</v>
      </c>
      <c r="AH392" s="21">
        <v>18976</v>
      </c>
      <c r="AI392" s="21">
        <v>18986</v>
      </c>
      <c r="AJ392" s="21">
        <v>18995</v>
      </c>
      <c r="AK392" s="31">
        <f>$A$36</f>
        <v>20133</v>
      </c>
      <c r="AL392" s="21">
        <v>13237</v>
      </c>
      <c r="AM392" s="21">
        <v>87406</v>
      </c>
      <c r="AN392" s="21">
        <v>89608</v>
      </c>
      <c r="AO392" s="21">
        <v>89852</v>
      </c>
      <c r="AP392" s="21">
        <v>89929</v>
      </c>
      <c r="AQ392" s="21">
        <v>89957</v>
      </c>
      <c r="AR392" s="21">
        <v>89964</v>
      </c>
      <c r="AS392" s="21">
        <v>89967</v>
      </c>
      <c r="AT392" s="21">
        <v>89967</v>
      </c>
      <c r="AU392" s="21">
        <v>89968</v>
      </c>
      <c r="AV392" s="21">
        <v>89971</v>
      </c>
      <c r="AW392" s="31">
        <f>$A$36</f>
        <v>20133</v>
      </c>
      <c r="AX392" s="21">
        <v>30237</v>
      </c>
      <c r="AY392" s="21">
        <v>185091</v>
      </c>
      <c r="AZ392" s="21">
        <v>189322</v>
      </c>
      <c r="BA392" s="21">
        <v>189907</v>
      </c>
      <c r="BB392" s="21">
        <v>190100</v>
      </c>
      <c r="BC392" s="21">
        <v>190160</v>
      </c>
      <c r="BD392" s="21">
        <v>190172</v>
      </c>
      <c r="BE392" s="21">
        <v>190184</v>
      </c>
      <c r="BF392" s="21">
        <v>190188</v>
      </c>
      <c r="BG392" s="21">
        <v>190188</v>
      </c>
      <c r="BH392" s="21">
        <v>190189</v>
      </c>
      <c r="BI392" s="31">
        <f>$A$36</f>
        <v>20133</v>
      </c>
      <c r="BJ392" s="21">
        <v>45811</v>
      </c>
      <c r="BK392" s="21">
        <v>274155</v>
      </c>
      <c r="BL392" s="21">
        <v>276577</v>
      </c>
      <c r="BM392" s="21">
        <v>276771</v>
      </c>
      <c r="BN392" s="21">
        <v>276830</v>
      </c>
      <c r="BO392" s="21">
        <v>276852</v>
      </c>
      <c r="BP392" s="21">
        <v>276855</v>
      </c>
      <c r="BQ392" s="21">
        <v>276858</v>
      </c>
      <c r="BR392" s="21">
        <v>276858</v>
      </c>
      <c r="BS392" s="21">
        <v>276860</v>
      </c>
      <c r="BT392" s="21">
        <v>276860</v>
      </c>
      <c r="BU392" s="31">
        <f>$A$36</f>
        <v>20133</v>
      </c>
      <c r="BV392" s="21">
        <v>2</v>
      </c>
      <c r="BW392" s="21">
        <v>15</v>
      </c>
      <c r="BX392" s="21">
        <v>23</v>
      </c>
      <c r="BY392" s="21">
        <v>23</v>
      </c>
      <c r="BZ392" s="21">
        <v>23</v>
      </c>
      <c r="CA392" s="21">
        <v>22</v>
      </c>
      <c r="CB392" s="21">
        <v>22</v>
      </c>
      <c r="CC392" s="21">
        <v>22</v>
      </c>
      <c r="CD392" s="21">
        <v>22</v>
      </c>
      <c r="CE392" s="21">
        <v>22</v>
      </c>
      <c r="CF392" s="21">
        <v>22</v>
      </c>
      <c r="CG392" s="31">
        <f>$A$36</f>
        <v>20133</v>
      </c>
      <c r="CH392" s="21"/>
      <c r="CI392" s="21"/>
      <c r="CJ392" s="21"/>
      <c r="CK392" s="21"/>
      <c r="CL392" s="21"/>
      <c r="CM392" s="21"/>
      <c r="CN392" s="21"/>
      <c r="CO392" s="21"/>
      <c r="CP392" s="21"/>
      <c r="CQ392" s="21"/>
      <c r="CR392" s="21"/>
      <c r="CS392" s="31">
        <f>$A$36</f>
        <v>20133</v>
      </c>
      <c r="CT392" s="21"/>
      <c r="CU392" s="21"/>
      <c r="CV392" s="21"/>
      <c r="CW392" s="21"/>
      <c r="CX392" s="21"/>
      <c r="CY392" s="21"/>
      <c r="CZ392" s="21"/>
      <c r="DA392" s="21"/>
      <c r="DB392" s="21"/>
      <c r="DC392" s="21"/>
      <c r="DD392" s="21"/>
      <c r="DE392" s="31">
        <f>$A$36</f>
        <v>20133</v>
      </c>
      <c r="DF392" s="21"/>
      <c r="DG392" s="21"/>
      <c r="DH392" s="21"/>
      <c r="DI392" s="21"/>
      <c r="DJ392" s="21"/>
      <c r="DK392" s="21"/>
      <c r="DL392" s="21"/>
      <c r="DM392" s="21"/>
      <c r="DN392" s="21"/>
      <c r="DO392" s="21"/>
      <c r="DP392" s="21"/>
    </row>
    <row r="393" spans="1:120" ht="15" customHeight="1" x14ac:dyDescent="0.25">
      <c r="A393" s="31">
        <f>$A$37</f>
        <v>20143</v>
      </c>
      <c r="B393" s="21">
        <v>16067</v>
      </c>
      <c r="C393" s="21">
        <v>136084</v>
      </c>
      <c r="D393" s="21">
        <v>154532</v>
      </c>
      <c r="E393" s="21">
        <v>159355</v>
      </c>
      <c r="F393" s="21">
        <v>160811</v>
      </c>
      <c r="G393" s="21">
        <v>161270</v>
      </c>
      <c r="H393" s="21">
        <v>161387</v>
      </c>
      <c r="I393" s="21">
        <v>161416</v>
      </c>
      <c r="J393" s="21">
        <v>161428</v>
      </c>
      <c r="K393" s="21">
        <v>161437</v>
      </c>
      <c r="L393" s="134" t="s">
        <v>246</v>
      </c>
      <c r="M393" s="31">
        <f>$A$37</f>
        <v>20143</v>
      </c>
      <c r="N393" s="21">
        <v>187</v>
      </c>
      <c r="O393" s="21">
        <v>11285</v>
      </c>
      <c r="P393" s="21">
        <v>15542</v>
      </c>
      <c r="Q393" s="21">
        <v>16315</v>
      </c>
      <c r="R393" s="21">
        <v>16426</v>
      </c>
      <c r="S393" s="21">
        <v>16449</v>
      </c>
      <c r="T393" s="21">
        <v>16454</v>
      </c>
      <c r="U393" s="21">
        <v>16458</v>
      </c>
      <c r="V393" s="21">
        <v>16460</v>
      </c>
      <c r="W393" s="21">
        <v>16459</v>
      </c>
      <c r="X393" s="134" t="s">
        <v>246</v>
      </c>
      <c r="Y393" s="31">
        <f>$A$37</f>
        <v>20143</v>
      </c>
      <c r="Z393" s="21">
        <v>1354</v>
      </c>
      <c r="AA393" s="21">
        <v>14525</v>
      </c>
      <c r="AB393" s="21">
        <v>18318</v>
      </c>
      <c r="AC393" s="21">
        <v>19490</v>
      </c>
      <c r="AD393" s="21">
        <v>19798</v>
      </c>
      <c r="AE393" s="21">
        <v>19933</v>
      </c>
      <c r="AF393" s="21">
        <v>19986</v>
      </c>
      <c r="AG393" s="21">
        <v>20009</v>
      </c>
      <c r="AH393" s="21">
        <v>20019</v>
      </c>
      <c r="AI393" s="21">
        <v>20033</v>
      </c>
      <c r="AJ393" s="134" t="s">
        <v>246</v>
      </c>
      <c r="AK393" s="31">
        <f>$A$37</f>
        <v>20143</v>
      </c>
      <c r="AL393" s="21">
        <v>13688</v>
      </c>
      <c r="AM393" s="21">
        <v>84493</v>
      </c>
      <c r="AN393" s="21">
        <v>86444</v>
      </c>
      <c r="AO393" s="21">
        <v>86676</v>
      </c>
      <c r="AP393" s="21">
        <v>86758</v>
      </c>
      <c r="AQ393" s="21">
        <v>86775</v>
      </c>
      <c r="AR393" s="21">
        <v>86789</v>
      </c>
      <c r="AS393" s="21">
        <v>86796</v>
      </c>
      <c r="AT393" s="21">
        <v>86801</v>
      </c>
      <c r="AU393" s="21">
        <v>86802</v>
      </c>
      <c r="AV393" s="134" t="s">
        <v>246</v>
      </c>
      <c r="AW393" s="31">
        <f>$A$37</f>
        <v>20143</v>
      </c>
      <c r="AX393" s="21">
        <v>31925</v>
      </c>
      <c r="AY393" s="21">
        <v>194705</v>
      </c>
      <c r="AZ393" s="21">
        <v>199449</v>
      </c>
      <c r="BA393" s="21">
        <v>200084</v>
      </c>
      <c r="BB393" s="21">
        <v>200252</v>
      </c>
      <c r="BC393" s="21">
        <v>200316</v>
      </c>
      <c r="BD393" s="21">
        <v>200332</v>
      </c>
      <c r="BE393" s="21">
        <v>200339</v>
      </c>
      <c r="BF393" s="21">
        <v>200342</v>
      </c>
      <c r="BG393" s="21">
        <v>200343</v>
      </c>
      <c r="BH393" s="134" t="s">
        <v>246</v>
      </c>
      <c r="BI393" s="31">
        <f>$A$37</f>
        <v>20143</v>
      </c>
      <c r="BJ393" s="21">
        <v>55372</v>
      </c>
      <c r="BK393" s="21">
        <v>295587</v>
      </c>
      <c r="BL393" s="21">
        <v>298007</v>
      </c>
      <c r="BM393" s="21">
        <v>298262</v>
      </c>
      <c r="BN393" s="21">
        <v>298334</v>
      </c>
      <c r="BO393" s="21">
        <v>298354</v>
      </c>
      <c r="BP393" s="21">
        <v>298357</v>
      </c>
      <c r="BQ393" s="21">
        <v>298357</v>
      </c>
      <c r="BR393" s="21">
        <v>298358</v>
      </c>
      <c r="BS393" s="21">
        <v>298359</v>
      </c>
      <c r="BT393" s="134" t="s">
        <v>246</v>
      </c>
      <c r="BU393" s="31">
        <f>$A$37</f>
        <v>20143</v>
      </c>
      <c r="BV393" s="21">
        <v>2</v>
      </c>
      <c r="BW393" s="21">
        <v>28</v>
      </c>
      <c r="BX393" s="21">
        <v>32</v>
      </c>
      <c r="BY393" s="21">
        <v>32</v>
      </c>
      <c r="BZ393" s="21">
        <v>35</v>
      </c>
      <c r="CA393" s="21">
        <v>35</v>
      </c>
      <c r="CB393" s="21">
        <v>35</v>
      </c>
      <c r="CC393" s="21">
        <v>35</v>
      </c>
      <c r="CD393" s="21">
        <v>35</v>
      </c>
      <c r="CE393" s="21">
        <v>35</v>
      </c>
      <c r="CF393" s="134" t="s">
        <v>246</v>
      </c>
      <c r="CG393" s="31">
        <f>$A$37</f>
        <v>20143</v>
      </c>
      <c r="CH393" s="21"/>
      <c r="CI393" s="21"/>
      <c r="CJ393" s="21"/>
      <c r="CK393" s="21"/>
      <c r="CL393" s="21"/>
      <c r="CM393" s="21"/>
      <c r="CN393" s="21"/>
      <c r="CO393" s="21"/>
      <c r="CP393" s="21"/>
      <c r="CQ393" s="21"/>
      <c r="CR393" s="134"/>
      <c r="CS393" s="31">
        <f>$A$37</f>
        <v>20143</v>
      </c>
      <c r="CT393" s="21"/>
      <c r="CU393" s="21"/>
      <c r="CV393" s="21"/>
      <c r="CW393" s="21"/>
      <c r="CX393" s="21"/>
      <c r="CY393" s="21"/>
      <c r="CZ393" s="21"/>
      <c r="DA393" s="21"/>
      <c r="DB393" s="21"/>
      <c r="DC393" s="21"/>
      <c r="DD393" s="134"/>
      <c r="DE393" s="31">
        <f>$A$37</f>
        <v>20143</v>
      </c>
      <c r="DF393" s="21"/>
      <c r="DG393" s="21"/>
      <c r="DH393" s="21"/>
      <c r="DI393" s="21"/>
      <c r="DJ393" s="21"/>
      <c r="DK393" s="21"/>
      <c r="DL393" s="21"/>
      <c r="DM393" s="21"/>
      <c r="DN393" s="21"/>
      <c r="DO393" s="21"/>
      <c r="DP393" s="134"/>
    </row>
    <row r="394" spans="1:120" ht="15" customHeight="1" x14ac:dyDescent="0.25">
      <c r="A394" s="31">
        <f>$A$38</f>
        <v>20153</v>
      </c>
      <c r="B394" s="21">
        <v>16634</v>
      </c>
      <c r="C394" s="21">
        <v>147531</v>
      </c>
      <c r="D394" s="21">
        <v>165336</v>
      </c>
      <c r="E394" s="21">
        <v>169718</v>
      </c>
      <c r="F394" s="21">
        <v>171052</v>
      </c>
      <c r="G394" s="21">
        <v>171614</v>
      </c>
      <c r="H394" s="21">
        <v>171736</v>
      </c>
      <c r="I394" s="21">
        <v>171797</v>
      </c>
      <c r="J394" s="21">
        <v>171831</v>
      </c>
      <c r="K394" s="134" t="s">
        <v>246</v>
      </c>
      <c r="L394" s="134" t="s">
        <v>246</v>
      </c>
      <c r="M394" s="31">
        <f>$A$38</f>
        <v>20153</v>
      </c>
      <c r="N394" s="21">
        <v>189</v>
      </c>
      <c r="O394" s="21">
        <v>10315</v>
      </c>
      <c r="P394" s="21">
        <v>15783</v>
      </c>
      <c r="Q394" s="21">
        <v>16258</v>
      </c>
      <c r="R394" s="21">
        <v>16374</v>
      </c>
      <c r="S394" s="21">
        <v>16401</v>
      </c>
      <c r="T394" s="21">
        <v>16407</v>
      </c>
      <c r="U394" s="21">
        <v>16408</v>
      </c>
      <c r="V394" s="21">
        <v>16410</v>
      </c>
      <c r="W394" s="134" t="s">
        <v>246</v>
      </c>
      <c r="X394" s="134" t="s">
        <v>246</v>
      </c>
      <c r="Y394" s="31">
        <f>$A$38</f>
        <v>20153</v>
      </c>
      <c r="Z394" s="21">
        <v>1014</v>
      </c>
      <c r="AA394" s="21">
        <v>16079</v>
      </c>
      <c r="AB394" s="21">
        <v>20802</v>
      </c>
      <c r="AC394" s="21">
        <v>22037</v>
      </c>
      <c r="AD394" s="21">
        <v>22357</v>
      </c>
      <c r="AE394" s="21">
        <v>22527</v>
      </c>
      <c r="AF394" s="21">
        <v>22583</v>
      </c>
      <c r="AG394" s="21">
        <v>22610</v>
      </c>
      <c r="AH394" s="21">
        <v>22625</v>
      </c>
      <c r="AI394" s="134" t="s">
        <v>246</v>
      </c>
      <c r="AJ394" s="134" t="s">
        <v>246</v>
      </c>
      <c r="AK394" s="31">
        <f>$A$38</f>
        <v>20153</v>
      </c>
      <c r="AL394" s="21">
        <v>12948</v>
      </c>
      <c r="AM394" s="21">
        <v>87655</v>
      </c>
      <c r="AN394" s="21">
        <v>89930</v>
      </c>
      <c r="AO394" s="21">
        <v>90197</v>
      </c>
      <c r="AP394" s="21">
        <v>90288</v>
      </c>
      <c r="AQ394" s="21">
        <v>90316</v>
      </c>
      <c r="AR394" s="21">
        <v>90330</v>
      </c>
      <c r="AS394" s="21">
        <v>90334</v>
      </c>
      <c r="AT394" s="21">
        <v>90335</v>
      </c>
      <c r="AU394" s="134" t="s">
        <v>246</v>
      </c>
      <c r="AV394" s="134" t="s">
        <v>246</v>
      </c>
      <c r="AW394" s="31">
        <f>$A$38</f>
        <v>20153</v>
      </c>
      <c r="AX394" s="21">
        <v>31763</v>
      </c>
      <c r="AY394" s="21">
        <v>207517</v>
      </c>
      <c r="AZ394" s="21">
        <v>212937</v>
      </c>
      <c r="BA394" s="21">
        <v>213602</v>
      </c>
      <c r="BB394" s="21">
        <v>213780</v>
      </c>
      <c r="BC394" s="21">
        <v>213833</v>
      </c>
      <c r="BD394" s="21">
        <v>213853</v>
      </c>
      <c r="BE394" s="21">
        <v>213865</v>
      </c>
      <c r="BF394" s="21">
        <v>213869</v>
      </c>
      <c r="BG394" s="134" t="s">
        <v>246</v>
      </c>
      <c r="BH394" s="134" t="s">
        <v>246</v>
      </c>
      <c r="BI394" s="31">
        <f>$A$38</f>
        <v>20153</v>
      </c>
      <c r="BJ394" s="21">
        <v>61736</v>
      </c>
      <c r="BK394" s="21">
        <v>326105</v>
      </c>
      <c r="BL394" s="21">
        <v>329176</v>
      </c>
      <c r="BM394" s="21">
        <v>329414</v>
      </c>
      <c r="BN394" s="21">
        <v>329472</v>
      </c>
      <c r="BO394" s="21">
        <v>329485</v>
      </c>
      <c r="BP394" s="21">
        <v>329487</v>
      </c>
      <c r="BQ394" s="21">
        <v>329490</v>
      </c>
      <c r="BR394" s="21">
        <v>329491</v>
      </c>
      <c r="BS394" s="134" t="s">
        <v>246</v>
      </c>
      <c r="BT394" s="134" t="s">
        <v>246</v>
      </c>
      <c r="BU394" s="31">
        <f>$A$38</f>
        <v>20153</v>
      </c>
      <c r="BV394" s="21">
        <v>2</v>
      </c>
      <c r="BW394" s="21">
        <v>34</v>
      </c>
      <c r="BX394" s="21">
        <v>45</v>
      </c>
      <c r="BY394" s="21">
        <v>45</v>
      </c>
      <c r="BZ394" s="21">
        <v>45</v>
      </c>
      <c r="CA394" s="21">
        <v>45</v>
      </c>
      <c r="CB394" s="21">
        <v>45</v>
      </c>
      <c r="CC394" s="21">
        <v>45</v>
      </c>
      <c r="CD394" s="21">
        <v>45</v>
      </c>
      <c r="CE394" s="134" t="s">
        <v>246</v>
      </c>
      <c r="CF394" s="134" t="s">
        <v>246</v>
      </c>
      <c r="CG394" s="31">
        <f>$A$38</f>
        <v>20153</v>
      </c>
      <c r="CH394" s="21"/>
      <c r="CI394" s="21"/>
      <c r="CJ394" s="21"/>
      <c r="CK394" s="21"/>
      <c r="CL394" s="21"/>
      <c r="CM394" s="21"/>
      <c r="CN394" s="21"/>
      <c r="CO394" s="21"/>
      <c r="CP394" s="21"/>
      <c r="CQ394" s="134"/>
      <c r="CR394" s="134"/>
      <c r="CS394" s="31">
        <f>$A$38</f>
        <v>20153</v>
      </c>
      <c r="CT394" s="21"/>
      <c r="CU394" s="21"/>
      <c r="CV394" s="21"/>
      <c r="CW394" s="21"/>
      <c r="CX394" s="21"/>
      <c r="CY394" s="21"/>
      <c r="CZ394" s="21"/>
      <c r="DA394" s="21"/>
      <c r="DB394" s="21"/>
      <c r="DC394" s="134"/>
      <c r="DD394" s="134"/>
      <c r="DE394" s="31">
        <f>$A$38</f>
        <v>20153</v>
      </c>
      <c r="DF394" s="21"/>
      <c r="DG394" s="21"/>
      <c r="DH394" s="21"/>
      <c r="DI394" s="21"/>
      <c r="DJ394" s="21"/>
      <c r="DK394" s="21"/>
      <c r="DL394" s="21"/>
      <c r="DM394" s="21"/>
      <c r="DN394" s="21"/>
      <c r="DO394" s="134"/>
      <c r="DP394" s="134"/>
    </row>
    <row r="395" spans="1:120" ht="15" customHeight="1" x14ac:dyDescent="0.25">
      <c r="A395" s="31">
        <f>$A$39</f>
        <v>20163</v>
      </c>
      <c r="B395" s="21">
        <v>16816</v>
      </c>
      <c r="C395" s="21">
        <v>155556</v>
      </c>
      <c r="D395" s="21">
        <v>174030</v>
      </c>
      <c r="E395" s="21">
        <v>178617</v>
      </c>
      <c r="F395" s="21">
        <v>180296</v>
      </c>
      <c r="G395" s="21">
        <v>180800</v>
      </c>
      <c r="H395" s="21">
        <v>181000</v>
      </c>
      <c r="I395" s="21">
        <v>181113</v>
      </c>
      <c r="J395" s="134" t="s">
        <v>246</v>
      </c>
      <c r="K395" s="134" t="s">
        <v>246</v>
      </c>
      <c r="L395" s="134" t="s">
        <v>246</v>
      </c>
      <c r="M395" s="31">
        <f>$A$39</f>
        <v>20163</v>
      </c>
      <c r="N395" s="21">
        <v>200</v>
      </c>
      <c r="O395" s="21">
        <v>11295</v>
      </c>
      <c r="P395" s="21">
        <v>16092</v>
      </c>
      <c r="Q395" s="21">
        <v>16577</v>
      </c>
      <c r="R395" s="21">
        <v>16679</v>
      </c>
      <c r="S395" s="21">
        <v>16708</v>
      </c>
      <c r="T395" s="21">
        <v>16723</v>
      </c>
      <c r="U395" s="21">
        <v>16727</v>
      </c>
      <c r="V395" s="134" t="s">
        <v>246</v>
      </c>
      <c r="W395" s="134" t="s">
        <v>246</v>
      </c>
      <c r="X395" s="134" t="s">
        <v>246</v>
      </c>
      <c r="Y395" s="31">
        <f>$A$39</f>
        <v>20163</v>
      </c>
      <c r="Z395" s="21">
        <v>1242</v>
      </c>
      <c r="AA395" s="21">
        <v>18759</v>
      </c>
      <c r="AB395" s="21">
        <v>24131</v>
      </c>
      <c r="AC395" s="21">
        <v>25421</v>
      </c>
      <c r="AD395" s="21">
        <v>25793</v>
      </c>
      <c r="AE395" s="21">
        <v>25949</v>
      </c>
      <c r="AF395" s="21">
        <v>26025</v>
      </c>
      <c r="AG395" s="21">
        <v>26072</v>
      </c>
      <c r="AH395" s="134" t="s">
        <v>246</v>
      </c>
      <c r="AI395" s="134" t="s">
        <v>246</v>
      </c>
      <c r="AJ395" s="134" t="s">
        <v>246</v>
      </c>
      <c r="AK395" s="31">
        <f>$A$39</f>
        <v>20163</v>
      </c>
      <c r="AL395" s="21">
        <v>13468</v>
      </c>
      <c r="AM395" s="21">
        <v>92583</v>
      </c>
      <c r="AN395" s="21">
        <v>95114</v>
      </c>
      <c r="AO395" s="21">
        <v>95381</v>
      </c>
      <c r="AP395" s="21">
        <v>95456</v>
      </c>
      <c r="AQ395" s="21">
        <v>95482</v>
      </c>
      <c r="AR395" s="21">
        <v>95501</v>
      </c>
      <c r="AS395" s="21">
        <v>95507</v>
      </c>
      <c r="AT395" s="134" t="s">
        <v>246</v>
      </c>
      <c r="AU395" s="134" t="s">
        <v>246</v>
      </c>
      <c r="AV395" s="134" t="s">
        <v>246</v>
      </c>
      <c r="AW395" s="31">
        <f>$A$39</f>
        <v>20163</v>
      </c>
      <c r="AX395" s="21">
        <v>32683</v>
      </c>
      <c r="AY395" s="21">
        <v>220786</v>
      </c>
      <c r="AZ395" s="21">
        <v>226988</v>
      </c>
      <c r="BA395" s="21">
        <v>227682</v>
      </c>
      <c r="BB395" s="21">
        <v>227893</v>
      </c>
      <c r="BC395" s="21">
        <v>227965</v>
      </c>
      <c r="BD395" s="21">
        <v>227996</v>
      </c>
      <c r="BE395" s="21">
        <v>228007</v>
      </c>
      <c r="BF395" s="134" t="s">
        <v>246</v>
      </c>
      <c r="BG395" s="134" t="s">
        <v>246</v>
      </c>
      <c r="BH395" s="134" t="s">
        <v>246</v>
      </c>
      <c r="BI395" s="31">
        <f>$A$39</f>
        <v>20163</v>
      </c>
      <c r="BJ395" s="21">
        <v>63832</v>
      </c>
      <c r="BK395" s="21">
        <v>347676</v>
      </c>
      <c r="BL395" s="21">
        <v>350997</v>
      </c>
      <c r="BM395" s="21">
        <v>351276</v>
      </c>
      <c r="BN395" s="21">
        <v>351351</v>
      </c>
      <c r="BO395" s="21">
        <v>351370</v>
      </c>
      <c r="BP395" s="21">
        <v>351377</v>
      </c>
      <c r="BQ395" s="21">
        <v>351380</v>
      </c>
      <c r="BR395" s="134" t="s">
        <v>246</v>
      </c>
      <c r="BS395" s="134" t="s">
        <v>246</v>
      </c>
      <c r="BT395" s="134" t="s">
        <v>246</v>
      </c>
      <c r="BU395" s="31">
        <f>$A$39</f>
        <v>20163</v>
      </c>
      <c r="BV395" s="21">
        <v>2</v>
      </c>
      <c r="BW395" s="21">
        <v>19</v>
      </c>
      <c r="BX395" s="21">
        <v>25</v>
      </c>
      <c r="BY395" s="21">
        <v>26</v>
      </c>
      <c r="BZ395" s="21">
        <v>26</v>
      </c>
      <c r="CA395" s="21">
        <v>26</v>
      </c>
      <c r="CB395" s="21">
        <v>26</v>
      </c>
      <c r="CC395" s="21">
        <v>26</v>
      </c>
      <c r="CD395" s="134" t="s">
        <v>246</v>
      </c>
      <c r="CE395" s="134" t="s">
        <v>246</v>
      </c>
      <c r="CF395" s="134" t="s">
        <v>246</v>
      </c>
      <c r="CG395" s="31">
        <f>$A$39</f>
        <v>20163</v>
      </c>
      <c r="CH395" s="21"/>
      <c r="CI395" s="21"/>
      <c r="CJ395" s="21"/>
      <c r="CK395" s="21"/>
      <c r="CL395" s="21"/>
      <c r="CM395" s="21"/>
      <c r="CN395" s="21"/>
      <c r="CO395" s="21"/>
      <c r="CP395" s="134"/>
      <c r="CQ395" s="134"/>
      <c r="CR395" s="134"/>
      <c r="CS395" s="31">
        <f>$A$39</f>
        <v>20163</v>
      </c>
      <c r="CT395" s="21"/>
      <c r="CU395" s="21"/>
      <c r="CV395" s="21"/>
      <c r="CW395" s="21"/>
      <c r="CX395" s="21"/>
      <c r="CY395" s="21"/>
      <c r="CZ395" s="21"/>
      <c r="DA395" s="21"/>
      <c r="DB395" s="134"/>
      <c r="DC395" s="134"/>
      <c r="DD395" s="134"/>
      <c r="DE395" s="31">
        <f>$A$39</f>
        <v>20163</v>
      </c>
      <c r="DF395" s="21"/>
      <c r="DG395" s="21"/>
      <c r="DH395" s="21"/>
      <c r="DI395" s="21"/>
      <c r="DJ395" s="21"/>
      <c r="DK395" s="21"/>
      <c r="DL395" s="21"/>
      <c r="DM395" s="21"/>
      <c r="DN395" s="134"/>
      <c r="DO395" s="134"/>
      <c r="DP395" s="134"/>
    </row>
    <row r="396" spans="1:120" ht="15" customHeight="1" x14ac:dyDescent="0.25">
      <c r="A396" s="31">
        <f>$A$40</f>
        <v>20173</v>
      </c>
      <c r="B396" s="21">
        <v>17365</v>
      </c>
      <c r="C396" s="21">
        <v>153895</v>
      </c>
      <c r="D396" s="21">
        <v>171068</v>
      </c>
      <c r="E396" s="21">
        <v>175893</v>
      </c>
      <c r="F396" s="21">
        <v>177406</v>
      </c>
      <c r="G396" s="21">
        <v>178105</v>
      </c>
      <c r="H396" s="21">
        <v>178533</v>
      </c>
      <c r="I396" s="134" t="s">
        <v>246</v>
      </c>
      <c r="J396" s="134" t="s">
        <v>246</v>
      </c>
      <c r="K396" s="134" t="s">
        <v>246</v>
      </c>
      <c r="L396" s="134" t="s">
        <v>246</v>
      </c>
      <c r="M396" s="31">
        <f>$A$40</f>
        <v>20173</v>
      </c>
      <c r="N396" s="21">
        <v>209</v>
      </c>
      <c r="O396" s="21">
        <v>11216</v>
      </c>
      <c r="P396" s="21">
        <v>15942</v>
      </c>
      <c r="Q396" s="21">
        <v>16474</v>
      </c>
      <c r="R396" s="21">
        <v>16577</v>
      </c>
      <c r="S396" s="21">
        <v>16596</v>
      </c>
      <c r="T396" s="21">
        <v>16601</v>
      </c>
      <c r="U396" s="134" t="s">
        <v>246</v>
      </c>
      <c r="V396" s="134" t="s">
        <v>246</v>
      </c>
      <c r="W396" s="134" t="s">
        <v>246</v>
      </c>
      <c r="X396" s="134" t="s">
        <v>246</v>
      </c>
      <c r="Y396" s="31">
        <f>$A$40</f>
        <v>20173</v>
      </c>
      <c r="Z396" s="21">
        <v>1433</v>
      </c>
      <c r="AA396" s="21">
        <v>20053</v>
      </c>
      <c r="AB396" s="21">
        <v>25851</v>
      </c>
      <c r="AC396" s="21">
        <v>27203</v>
      </c>
      <c r="AD396" s="21">
        <v>27544</v>
      </c>
      <c r="AE396" s="21">
        <v>27726</v>
      </c>
      <c r="AF396" s="21">
        <v>27816</v>
      </c>
      <c r="AG396" s="134" t="s">
        <v>246</v>
      </c>
      <c r="AH396" s="134" t="s">
        <v>246</v>
      </c>
      <c r="AI396" s="134" t="s">
        <v>246</v>
      </c>
      <c r="AJ396" s="134" t="s">
        <v>246</v>
      </c>
      <c r="AK396" s="31">
        <f>$A$40</f>
        <v>20173</v>
      </c>
      <c r="AL396" s="21">
        <v>13630</v>
      </c>
      <c r="AM396" s="21">
        <v>102856</v>
      </c>
      <c r="AN396" s="21">
        <v>105345</v>
      </c>
      <c r="AO396" s="21">
        <v>105605</v>
      </c>
      <c r="AP396" s="21">
        <v>105684</v>
      </c>
      <c r="AQ396" s="21">
        <v>105726</v>
      </c>
      <c r="AR396" s="21">
        <v>105733</v>
      </c>
      <c r="AS396" s="134" t="s">
        <v>246</v>
      </c>
      <c r="AT396" s="134" t="s">
        <v>246</v>
      </c>
      <c r="AU396" s="134" t="s">
        <v>246</v>
      </c>
      <c r="AV396" s="134" t="s">
        <v>246</v>
      </c>
      <c r="AW396" s="31">
        <f>$A$40</f>
        <v>20173</v>
      </c>
      <c r="AX396" s="21">
        <v>32897</v>
      </c>
      <c r="AY396" s="21">
        <v>224676</v>
      </c>
      <c r="AZ396" s="21">
        <v>230077</v>
      </c>
      <c r="BA396" s="21">
        <v>230840</v>
      </c>
      <c r="BB396" s="21">
        <v>231107</v>
      </c>
      <c r="BC396" s="21">
        <v>231206</v>
      </c>
      <c r="BD396" s="21">
        <v>231230</v>
      </c>
      <c r="BE396" s="134" t="s">
        <v>246</v>
      </c>
      <c r="BF396" s="134" t="s">
        <v>246</v>
      </c>
      <c r="BG396" s="134" t="s">
        <v>246</v>
      </c>
      <c r="BH396" s="134" t="s">
        <v>246</v>
      </c>
      <c r="BI396" s="31">
        <f>$A$40</f>
        <v>20173</v>
      </c>
      <c r="BJ396" s="21">
        <v>69019</v>
      </c>
      <c r="BK396" s="21">
        <v>374414</v>
      </c>
      <c r="BL396" s="21">
        <v>377611</v>
      </c>
      <c r="BM396" s="21">
        <v>377940</v>
      </c>
      <c r="BN396" s="21">
        <v>377996</v>
      </c>
      <c r="BO396" s="21">
        <v>378027</v>
      </c>
      <c r="BP396" s="21">
        <v>378031</v>
      </c>
      <c r="BQ396" s="134" t="s">
        <v>246</v>
      </c>
      <c r="BR396" s="134" t="s">
        <v>246</v>
      </c>
      <c r="BS396" s="134" t="s">
        <v>246</v>
      </c>
      <c r="BT396" s="134" t="s">
        <v>246</v>
      </c>
      <c r="BU396" s="31">
        <f>$A$40</f>
        <v>20173</v>
      </c>
      <c r="BV396" s="21">
        <v>2</v>
      </c>
      <c r="BW396" s="21">
        <v>24</v>
      </c>
      <c r="BX396" s="21">
        <v>30</v>
      </c>
      <c r="BY396" s="21">
        <v>31</v>
      </c>
      <c r="BZ396" s="21">
        <v>31</v>
      </c>
      <c r="CA396" s="21">
        <v>31</v>
      </c>
      <c r="CB396" s="21">
        <v>31</v>
      </c>
      <c r="CC396" s="134" t="s">
        <v>246</v>
      </c>
      <c r="CD396" s="134" t="s">
        <v>246</v>
      </c>
      <c r="CE396" s="134" t="s">
        <v>246</v>
      </c>
      <c r="CF396" s="134" t="s">
        <v>246</v>
      </c>
      <c r="CG396" s="31">
        <f>$A$40</f>
        <v>20173</v>
      </c>
      <c r="CH396" s="21"/>
      <c r="CI396" s="21"/>
      <c r="CJ396" s="21"/>
      <c r="CK396" s="21"/>
      <c r="CL396" s="21"/>
      <c r="CM396" s="21"/>
      <c r="CN396" s="21"/>
      <c r="CO396" s="134"/>
      <c r="CP396" s="134"/>
      <c r="CQ396" s="134"/>
      <c r="CR396" s="134"/>
      <c r="CS396" s="31">
        <f>$A$40</f>
        <v>20173</v>
      </c>
      <c r="CT396" s="21"/>
      <c r="CU396" s="21"/>
      <c r="CV396" s="21"/>
      <c r="CW396" s="21"/>
      <c r="CX396" s="21"/>
      <c r="CY396" s="21"/>
      <c r="CZ396" s="21"/>
      <c r="DA396" s="134"/>
      <c r="DB396" s="134"/>
      <c r="DC396" s="134"/>
      <c r="DD396" s="134"/>
      <c r="DE396" s="31">
        <f>$A$40</f>
        <v>20173</v>
      </c>
      <c r="DF396" s="21"/>
      <c r="DG396" s="21"/>
      <c r="DH396" s="21"/>
      <c r="DI396" s="21"/>
      <c r="DJ396" s="21"/>
      <c r="DK396" s="21"/>
      <c r="DL396" s="21"/>
      <c r="DM396" s="134"/>
      <c r="DN396" s="134"/>
      <c r="DO396" s="134"/>
      <c r="DP396" s="134"/>
    </row>
    <row r="397" spans="1:120" ht="15" customHeight="1" x14ac:dyDescent="0.25">
      <c r="A397" s="31">
        <f>$A$41</f>
        <v>20183</v>
      </c>
      <c r="B397" s="21">
        <v>18000</v>
      </c>
      <c r="C397" s="21">
        <v>142678</v>
      </c>
      <c r="D397" s="21">
        <v>160145</v>
      </c>
      <c r="E397" s="21">
        <v>164718</v>
      </c>
      <c r="F397" s="21">
        <v>166398</v>
      </c>
      <c r="G397" s="21">
        <v>167345</v>
      </c>
      <c r="H397" s="134" t="s">
        <v>246</v>
      </c>
      <c r="I397" s="134" t="s">
        <v>246</v>
      </c>
      <c r="J397" s="134" t="s">
        <v>246</v>
      </c>
      <c r="K397" s="134" t="s">
        <v>246</v>
      </c>
      <c r="L397" s="134" t="s">
        <v>246</v>
      </c>
      <c r="M397" s="31">
        <f>$A$41</f>
        <v>20183</v>
      </c>
      <c r="N397" s="21">
        <v>197</v>
      </c>
      <c r="O397" s="21">
        <v>10749</v>
      </c>
      <c r="P397" s="21">
        <v>15233</v>
      </c>
      <c r="Q397" s="21">
        <v>15701</v>
      </c>
      <c r="R397" s="21">
        <v>15787</v>
      </c>
      <c r="S397" s="21">
        <v>15822</v>
      </c>
      <c r="T397" s="134" t="s">
        <v>246</v>
      </c>
      <c r="U397" s="134" t="s">
        <v>246</v>
      </c>
      <c r="V397" s="134" t="s">
        <v>246</v>
      </c>
      <c r="W397" s="134" t="s">
        <v>246</v>
      </c>
      <c r="X397" s="134" t="s">
        <v>246</v>
      </c>
      <c r="Y397" s="31">
        <f>$A$41</f>
        <v>20183</v>
      </c>
      <c r="Z397" s="21">
        <v>1606</v>
      </c>
      <c r="AA397" s="21">
        <v>20464</v>
      </c>
      <c r="AB397" s="21">
        <v>25414</v>
      </c>
      <c r="AC397" s="21">
        <v>26597</v>
      </c>
      <c r="AD397" s="21">
        <v>26999</v>
      </c>
      <c r="AE397" s="21">
        <v>27193</v>
      </c>
      <c r="AF397" s="134" t="s">
        <v>246</v>
      </c>
      <c r="AG397" s="134" t="s">
        <v>246</v>
      </c>
      <c r="AH397" s="134" t="s">
        <v>246</v>
      </c>
      <c r="AI397" s="134" t="s">
        <v>246</v>
      </c>
      <c r="AJ397" s="134" t="s">
        <v>246</v>
      </c>
      <c r="AK397" s="31">
        <f>$A$41</f>
        <v>20183</v>
      </c>
      <c r="AL397" s="21">
        <v>15409</v>
      </c>
      <c r="AM397" s="21">
        <v>95829</v>
      </c>
      <c r="AN397" s="21">
        <v>98237</v>
      </c>
      <c r="AO397" s="21">
        <v>98511</v>
      </c>
      <c r="AP397" s="21">
        <v>98598</v>
      </c>
      <c r="AQ397" s="21">
        <v>98621</v>
      </c>
      <c r="AR397" s="134" t="s">
        <v>246</v>
      </c>
      <c r="AS397" s="134" t="s">
        <v>246</v>
      </c>
      <c r="AT397" s="134" t="s">
        <v>246</v>
      </c>
      <c r="AU397" s="134" t="s">
        <v>246</v>
      </c>
      <c r="AV397" s="134" t="s">
        <v>246</v>
      </c>
      <c r="AW397" s="31">
        <f>$A$41</f>
        <v>20183</v>
      </c>
      <c r="AX397" s="21">
        <v>36132</v>
      </c>
      <c r="AY397" s="21">
        <v>214205</v>
      </c>
      <c r="AZ397" s="21">
        <v>219102</v>
      </c>
      <c r="BA397" s="21">
        <v>219914</v>
      </c>
      <c r="BB397" s="21">
        <v>220220</v>
      </c>
      <c r="BC397" s="21">
        <v>220289</v>
      </c>
      <c r="BD397" s="134" t="s">
        <v>246</v>
      </c>
      <c r="BE397" s="134" t="s">
        <v>246</v>
      </c>
      <c r="BF397" s="134" t="s">
        <v>246</v>
      </c>
      <c r="BG397" s="134" t="s">
        <v>246</v>
      </c>
      <c r="BH397" s="134" t="s">
        <v>246</v>
      </c>
      <c r="BI397" s="31">
        <f>$A$41</f>
        <v>20183</v>
      </c>
      <c r="BJ397" s="21">
        <v>74494</v>
      </c>
      <c r="BK397" s="21">
        <v>351810</v>
      </c>
      <c r="BL397" s="21">
        <v>354478</v>
      </c>
      <c r="BM397" s="21">
        <v>354767</v>
      </c>
      <c r="BN397" s="21">
        <v>354862</v>
      </c>
      <c r="BO397" s="21">
        <v>354888</v>
      </c>
      <c r="BP397" s="134" t="s">
        <v>246</v>
      </c>
      <c r="BQ397" s="134" t="s">
        <v>246</v>
      </c>
      <c r="BR397" s="134" t="s">
        <v>246</v>
      </c>
      <c r="BS397" s="134" t="s">
        <v>246</v>
      </c>
      <c r="BT397" s="134" t="s">
        <v>246</v>
      </c>
      <c r="BU397" s="31">
        <f>$A$41</f>
        <v>20183</v>
      </c>
      <c r="BV397" s="21">
        <v>1</v>
      </c>
      <c r="BW397" s="21">
        <v>30</v>
      </c>
      <c r="BX397" s="21">
        <v>36</v>
      </c>
      <c r="BY397" s="21">
        <v>37</v>
      </c>
      <c r="BZ397" s="21">
        <v>38</v>
      </c>
      <c r="CA397" s="21">
        <v>38</v>
      </c>
      <c r="CB397" s="134" t="s">
        <v>246</v>
      </c>
      <c r="CC397" s="134" t="s">
        <v>246</v>
      </c>
      <c r="CD397" s="134" t="s">
        <v>246</v>
      </c>
      <c r="CE397" s="134" t="s">
        <v>246</v>
      </c>
      <c r="CF397" s="134" t="s">
        <v>246</v>
      </c>
      <c r="CG397" s="31">
        <f>$A$41</f>
        <v>20183</v>
      </c>
      <c r="CH397" s="21"/>
      <c r="CI397" s="21"/>
      <c r="CJ397" s="21"/>
      <c r="CK397" s="21"/>
      <c r="CL397" s="21"/>
      <c r="CM397" s="21"/>
      <c r="CN397" s="134"/>
      <c r="CO397" s="134"/>
      <c r="CP397" s="134"/>
      <c r="CQ397" s="134"/>
      <c r="CR397" s="134"/>
      <c r="CS397" s="31">
        <f>$A$41</f>
        <v>20183</v>
      </c>
      <c r="CT397" s="21"/>
      <c r="CU397" s="21"/>
      <c r="CV397" s="21"/>
      <c r="CW397" s="21"/>
      <c r="CX397" s="21"/>
      <c r="CY397" s="21"/>
      <c r="CZ397" s="134"/>
      <c r="DA397" s="134"/>
      <c r="DB397" s="134"/>
      <c r="DC397" s="134"/>
      <c r="DD397" s="134"/>
      <c r="DE397" s="31">
        <f>$A$41</f>
        <v>20183</v>
      </c>
      <c r="DF397" s="21"/>
      <c r="DG397" s="21"/>
      <c r="DH397" s="21"/>
      <c r="DI397" s="21"/>
      <c r="DJ397" s="21"/>
      <c r="DK397" s="21"/>
      <c r="DL397" s="134"/>
      <c r="DM397" s="134"/>
      <c r="DN397" s="134"/>
      <c r="DO397" s="134"/>
      <c r="DP397" s="134"/>
    </row>
    <row r="398" spans="1:120" ht="15" customHeight="1" x14ac:dyDescent="0.25">
      <c r="A398" s="31">
        <f>$A$42</f>
        <v>20193</v>
      </c>
      <c r="B398" s="21">
        <v>15602</v>
      </c>
      <c r="C398" s="21">
        <v>129824</v>
      </c>
      <c r="D398" s="21">
        <v>147405</v>
      </c>
      <c r="E398" s="21">
        <v>151926</v>
      </c>
      <c r="F398" s="21">
        <v>153932</v>
      </c>
      <c r="G398" s="134" t="s">
        <v>246</v>
      </c>
      <c r="H398" s="134" t="s">
        <v>246</v>
      </c>
      <c r="I398" s="134" t="s">
        <v>246</v>
      </c>
      <c r="J398" s="134" t="s">
        <v>246</v>
      </c>
      <c r="K398" s="134" t="s">
        <v>246</v>
      </c>
      <c r="L398" s="134" t="s">
        <v>246</v>
      </c>
      <c r="M398" s="31">
        <f>$A$42</f>
        <v>20193</v>
      </c>
      <c r="N398" s="21">
        <v>222</v>
      </c>
      <c r="O398" s="21">
        <v>10718</v>
      </c>
      <c r="P398" s="21">
        <v>14176</v>
      </c>
      <c r="Q398" s="21">
        <v>14680</v>
      </c>
      <c r="R398" s="21">
        <v>14769</v>
      </c>
      <c r="S398" s="134" t="s">
        <v>246</v>
      </c>
      <c r="T398" s="134" t="s">
        <v>246</v>
      </c>
      <c r="U398" s="134" t="s">
        <v>246</v>
      </c>
      <c r="V398" s="134" t="s">
        <v>246</v>
      </c>
      <c r="W398" s="134" t="s">
        <v>246</v>
      </c>
      <c r="X398" s="134" t="s">
        <v>246</v>
      </c>
      <c r="Y398" s="31">
        <f>$A$42</f>
        <v>20193</v>
      </c>
      <c r="Z398" s="21">
        <v>1502</v>
      </c>
      <c r="AA398" s="21">
        <v>17133</v>
      </c>
      <c r="AB398" s="21">
        <v>21895</v>
      </c>
      <c r="AC398" s="21">
        <v>23349</v>
      </c>
      <c r="AD398" s="21">
        <v>23800</v>
      </c>
      <c r="AE398" s="134" t="s">
        <v>246</v>
      </c>
      <c r="AF398" s="134" t="s">
        <v>246</v>
      </c>
      <c r="AG398" s="134" t="s">
        <v>246</v>
      </c>
      <c r="AH398" s="134" t="s">
        <v>246</v>
      </c>
      <c r="AI398" s="134" t="s">
        <v>246</v>
      </c>
      <c r="AJ398" s="134" t="s">
        <v>246</v>
      </c>
      <c r="AK398" s="31">
        <f>$A$42</f>
        <v>20193</v>
      </c>
      <c r="AL398" s="21">
        <v>14781</v>
      </c>
      <c r="AM398" s="21">
        <v>100436</v>
      </c>
      <c r="AN398" s="21">
        <v>103176</v>
      </c>
      <c r="AO398" s="21">
        <v>103543</v>
      </c>
      <c r="AP398" s="21">
        <v>103643</v>
      </c>
      <c r="AQ398" s="134" t="s">
        <v>246</v>
      </c>
      <c r="AR398" s="134" t="s">
        <v>246</v>
      </c>
      <c r="AS398" s="134" t="s">
        <v>246</v>
      </c>
      <c r="AT398" s="134" t="s">
        <v>246</v>
      </c>
      <c r="AU398" s="134" t="s">
        <v>246</v>
      </c>
      <c r="AV398" s="134" t="s">
        <v>246</v>
      </c>
      <c r="AW398" s="31">
        <f>$A$42</f>
        <v>20193</v>
      </c>
      <c r="AX398" s="21">
        <v>34270</v>
      </c>
      <c r="AY398" s="21">
        <v>205504</v>
      </c>
      <c r="AZ398" s="21">
        <v>210289</v>
      </c>
      <c r="BA398" s="21">
        <v>211084</v>
      </c>
      <c r="BB398" s="21">
        <v>211308</v>
      </c>
      <c r="BC398" s="134" t="s">
        <v>246</v>
      </c>
      <c r="BD398" s="134" t="s">
        <v>246</v>
      </c>
      <c r="BE398" s="134" t="s">
        <v>246</v>
      </c>
      <c r="BF398" s="134" t="s">
        <v>246</v>
      </c>
      <c r="BG398" s="134" t="s">
        <v>246</v>
      </c>
      <c r="BH398" s="134" t="s">
        <v>246</v>
      </c>
      <c r="BI398" s="31">
        <f>$A$42</f>
        <v>20193</v>
      </c>
      <c r="BJ398" s="21">
        <v>69205</v>
      </c>
      <c r="BK398" s="21">
        <v>337000</v>
      </c>
      <c r="BL398" s="21">
        <v>339567</v>
      </c>
      <c r="BM398" s="21">
        <v>339823</v>
      </c>
      <c r="BN398" s="21">
        <v>339907</v>
      </c>
      <c r="BO398" s="134" t="s">
        <v>246</v>
      </c>
      <c r="BP398" s="134" t="s">
        <v>246</v>
      </c>
      <c r="BQ398" s="134" t="s">
        <v>246</v>
      </c>
      <c r="BR398" s="134" t="s">
        <v>246</v>
      </c>
      <c r="BS398" s="134" t="s">
        <v>246</v>
      </c>
      <c r="BT398" s="134" t="s">
        <v>246</v>
      </c>
      <c r="BU398" s="31">
        <f>$A$42</f>
        <v>20193</v>
      </c>
      <c r="BV398" s="21">
        <v>2</v>
      </c>
      <c r="BW398" s="21">
        <v>31</v>
      </c>
      <c r="BX398" s="21">
        <v>38</v>
      </c>
      <c r="BY398" s="21">
        <v>39</v>
      </c>
      <c r="BZ398" s="21">
        <v>39</v>
      </c>
      <c r="CA398" s="134" t="s">
        <v>246</v>
      </c>
      <c r="CB398" s="134" t="s">
        <v>246</v>
      </c>
      <c r="CC398" s="134" t="s">
        <v>246</v>
      </c>
      <c r="CD398" s="134" t="s">
        <v>246</v>
      </c>
      <c r="CE398" s="134" t="s">
        <v>246</v>
      </c>
      <c r="CF398" s="134" t="s">
        <v>246</v>
      </c>
      <c r="CG398" s="31">
        <f>$A$42</f>
        <v>20193</v>
      </c>
      <c r="CH398" s="21"/>
      <c r="CI398" s="21"/>
      <c r="CJ398" s="21"/>
      <c r="CK398" s="21"/>
      <c r="CL398" s="21"/>
      <c r="CM398" s="134"/>
      <c r="CN398" s="134"/>
      <c r="CO398" s="134"/>
      <c r="CP398" s="134"/>
      <c r="CQ398" s="134"/>
      <c r="CR398" s="134"/>
      <c r="CS398" s="31">
        <f>$A$42</f>
        <v>20193</v>
      </c>
      <c r="CT398" s="21"/>
      <c r="CU398" s="21"/>
      <c r="CV398" s="21"/>
      <c r="CW398" s="21"/>
      <c r="CX398" s="21"/>
      <c r="CY398" s="134"/>
      <c r="CZ398" s="134"/>
      <c r="DA398" s="134"/>
      <c r="DB398" s="134"/>
      <c r="DC398" s="134"/>
      <c r="DD398" s="134"/>
      <c r="DE398" s="31">
        <f>$A$42</f>
        <v>20193</v>
      </c>
      <c r="DF398" s="21"/>
      <c r="DG398" s="21"/>
      <c r="DH398" s="21"/>
      <c r="DI398" s="21"/>
      <c r="DJ398" s="21"/>
      <c r="DK398" s="134"/>
      <c r="DL398" s="134"/>
      <c r="DM398" s="134"/>
      <c r="DN398" s="134"/>
      <c r="DO398" s="134"/>
      <c r="DP398" s="134"/>
    </row>
    <row r="399" spans="1:120" ht="15" customHeight="1" x14ac:dyDescent="0.25">
      <c r="A399" s="31">
        <f>$A$43</f>
        <v>20203</v>
      </c>
      <c r="B399" s="21">
        <v>15967</v>
      </c>
      <c r="C399" s="21">
        <v>95293</v>
      </c>
      <c r="D399" s="21">
        <v>104273</v>
      </c>
      <c r="E399" s="21">
        <v>107791</v>
      </c>
      <c r="F399" s="134" t="s">
        <v>246</v>
      </c>
      <c r="G399" s="134" t="s">
        <v>246</v>
      </c>
      <c r="H399" s="134" t="s">
        <v>246</v>
      </c>
      <c r="I399" s="134" t="s">
        <v>246</v>
      </c>
      <c r="J399" s="134" t="s">
        <v>246</v>
      </c>
      <c r="K399" s="134" t="s">
        <v>246</v>
      </c>
      <c r="L399" s="134" t="s">
        <v>246</v>
      </c>
      <c r="M399" s="31">
        <f>$A$43</f>
        <v>20203</v>
      </c>
      <c r="N399" s="21">
        <v>266</v>
      </c>
      <c r="O399" s="21">
        <v>7758</v>
      </c>
      <c r="P399" s="21">
        <v>9944</v>
      </c>
      <c r="Q399" s="21">
        <v>10318</v>
      </c>
      <c r="R399" s="134" t="s">
        <v>246</v>
      </c>
      <c r="S399" s="134" t="s">
        <v>246</v>
      </c>
      <c r="T399" s="134" t="s">
        <v>246</v>
      </c>
      <c r="U399" s="134" t="s">
        <v>246</v>
      </c>
      <c r="V399" s="134" t="s">
        <v>246</v>
      </c>
      <c r="W399" s="134" t="s">
        <v>246</v>
      </c>
      <c r="X399" s="134" t="s">
        <v>246</v>
      </c>
      <c r="Y399" s="31">
        <f>$A$43</f>
        <v>20203</v>
      </c>
      <c r="Z399" s="21">
        <v>1324</v>
      </c>
      <c r="AA399" s="21">
        <v>13570</v>
      </c>
      <c r="AB399" s="21">
        <v>17732</v>
      </c>
      <c r="AC399" s="21">
        <v>18877</v>
      </c>
      <c r="AD399" s="134" t="s">
        <v>246</v>
      </c>
      <c r="AE399" s="134" t="s">
        <v>246</v>
      </c>
      <c r="AF399" s="134" t="s">
        <v>246</v>
      </c>
      <c r="AG399" s="134" t="s">
        <v>246</v>
      </c>
      <c r="AH399" s="134" t="s">
        <v>246</v>
      </c>
      <c r="AI399" s="134" t="s">
        <v>246</v>
      </c>
      <c r="AJ399" s="134" t="s">
        <v>246</v>
      </c>
      <c r="AK399" s="31">
        <f>$A$43</f>
        <v>20203</v>
      </c>
      <c r="AL399" s="21">
        <v>16161</v>
      </c>
      <c r="AM399" s="21">
        <v>96886</v>
      </c>
      <c r="AN399" s="21">
        <v>99499</v>
      </c>
      <c r="AO399" s="21">
        <v>99847</v>
      </c>
      <c r="AP399" s="134" t="s">
        <v>246</v>
      </c>
      <c r="AQ399" s="134" t="s">
        <v>246</v>
      </c>
      <c r="AR399" s="134" t="s">
        <v>246</v>
      </c>
      <c r="AS399" s="134" t="s">
        <v>246</v>
      </c>
      <c r="AT399" s="134" t="s">
        <v>246</v>
      </c>
      <c r="AU399" s="134" t="s">
        <v>246</v>
      </c>
      <c r="AV399" s="134" t="s">
        <v>246</v>
      </c>
      <c r="AW399" s="31">
        <f>$A$43</f>
        <v>20203</v>
      </c>
      <c r="AX399" s="21">
        <v>34613</v>
      </c>
      <c r="AY399" s="21">
        <v>157858</v>
      </c>
      <c r="AZ399" s="21">
        <v>161425</v>
      </c>
      <c r="BA399" s="21">
        <v>162021</v>
      </c>
      <c r="BB399" s="134" t="s">
        <v>246</v>
      </c>
      <c r="BC399" s="134" t="s">
        <v>246</v>
      </c>
      <c r="BD399" s="134" t="s">
        <v>246</v>
      </c>
      <c r="BE399" s="134" t="s">
        <v>246</v>
      </c>
      <c r="BF399" s="134" t="s">
        <v>246</v>
      </c>
      <c r="BG399" s="134" t="s">
        <v>246</v>
      </c>
      <c r="BH399" s="134" t="s">
        <v>246</v>
      </c>
      <c r="BI399" s="31">
        <f>$A$43</f>
        <v>20203</v>
      </c>
      <c r="BJ399" s="21">
        <v>67643</v>
      </c>
      <c r="BK399" s="21">
        <v>279970</v>
      </c>
      <c r="BL399" s="21">
        <v>281857</v>
      </c>
      <c r="BM399" s="21">
        <v>282098</v>
      </c>
      <c r="BN399" s="134" t="s">
        <v>246</v>
      </c>
      <c r="BO399" s="134" t="s">
        <v>246</v>
      </c>
      <c r="BP399" s="134" t="s">
        <v>246</v>
      </c>
      <c r="BQ399" s="134" t="s">
        <v>246</v>
      </c>
      <c r="BR399" s="134" t="s">
        <v>246</v>
      </c>
      <c r="BS399" s="134" t="s">
        <v>246</v>
      </c>
      <c r="BT399" s="134" t="s">
        <v>246</v>
      </c>
      <c r="BU399" s="31">
        <f>$A$43</f>
        <v>20203</v>
      </c>
      <c r="BV399" s="21">
        <v>1</v>
      </c>
      <c r="BW399" s="21">
        <v>13</v>
      </c>
      <c r="BX399" s="21">
        <v>17</v>
      </c>
      <c r="BY399" s="21">
        <v>17</v>
      </c>
      <c r="BZ399" s="134" t="s">
        <v>246</v>
      </c>
      <c r="CA399" s="134" t="s">
        <v>246</v>
      </c>
      <c r="CB399" s="134" t="s">
        <v>246</v>
      </c>
      <c r="CC399" s="134" t="s">
        <v>246</v>
      </c>
      <c r="CD399" s="134" t="s">
        <v>246</v>
      </c>
      <c r="CE399" s="134" t="s">
        <v>246</v>
      </c>
      <c r="CF399" s="134" t="s">
        <v>246</v>
      </c>
      <c r="CG399" s="31">
        <f>$A$43</f>
        <v>20203</v>
      </c>
      <c r="CH399" s="21"/>
      <c r="CI399" s="21"/>
      <c r="CJ399" s="21"/>
      <c r="CK399" s="21"/>
      <c r="CL399" s="134"/>
      <c r="CM399" s="134"/>
      <c r="CN399" s="134"/>
      <c r="CO399" s="134"/>
      <c r="CP399" s="134"/>
      <c r="CQ399" s="134"/>
      <c r="CR399" s="134"/>
      <c r="CS399" s="31">
        <f>$A$43</f>
        <v>20203</v>
      </c>
      <c r="CT399" s="21"/>
      <c r="CU399" s="21"/>
      <c r="CV399" s="21"/>
      <c r="CW399" s="21"/>
      <c r="CX399" s="134"/>
      <c r="CY399" s="134"/>
      <c r="CZ399" s="134"/>
      <c r="DA399" s="134"/>
      <c r="DB399" s="134"/>
      <c r="DC399" s="134"/>
      <c r="DD399" s="134"/>
      <c r="DE399" s="31">
        <f>$A$43</f>
        <v>20203</v>
      </c>
      <c r="DF399" s="21"/>
      <c r="DG399" s="21"/>
      <c r="DH399" s="21"/>
      <c r="DI399" s="21"/>
      <c r="DJ399" s="134"/>
      <c r="DK399" s="134"/>
      <c r="DL399" s="134"/>
      <c r="DM399" s="134"/>
      <c r="DN399" s="134"/>
      <c r="DO399" s="134"/>
      <c r="DP399" s="134"/>
    </row>
    <row r="400" spans="1:120" ht="15" customHeight="1" x14ac:dyDescent="0.25">
      <c r="A400" s="31">
        <f>$A$44</f>
        <v>20213</v>
      </c>
      <c r="B400" s="21">
        <v>9890</v>
      </c>
      <c r="C400" s="21">
        <v>84204</v>
      </c>
      <c r="D400" s="21">
        <v>97369</v>
      </c>
      <c r="E400" s="134" t="s">
        <v>246</v>
      </c>
      <c r="F400" s="134" t="s">
        <v>246</v>
      </c>
      <c r="G400" s="134" t="s">
        <v>246</v>
      </c>
      <c r="H400" s="134" t="s">
        <v>246</v>
      </c>
      <c r="I400" s="134" t="s">
        <v>246</v>
      </c>
      <c r="J400" s="134" t="s">
        <v>246</v>
      </c>
      <c r="K400" s="134" t="s">
        <v>246</v>
      </c>
      <c r="L400" s="134" t="s">
        <v>246</v>
      </c>
      <c r="M400" s="31">
        <f>$A$44</f>
        <v>20213</v>
      </c>
      <c r="N400" s="21">
        <v>204</v>
      </c>
      <c r="O400" s="21">
        <v>7188</v>
      </c>
      <c r="P400" s="21">
        <v>9903</v>
      </c>
      <c r="Q400" s="134" t="s">
        <v>246</v>
      </c>
      <c r="R400" s="134" t="s">
        <v>246</v>
      </c>
      <c r="S400" s="134" t="s">
        <v>246</v>
      </c>
      <c r="T400" s="134" t="s">
        <v>246</v>
      </c>
      <c r="U400" s="134" t="s">
        <v>246</v>
      </c>
      <c r="V400" s="134" t="s">
        <v>246</v>
      </c>
      <c r="W400" s="134" t="s">
        <v>246</v>
      </c>
      <c r="X400" s="134" t="s">
        <v>246</v>
      </c>
      <c r="Y400" s="31">
        <f>$A$44</f>
        <v>20213</v>
      </c>
      <c r="Z400" s="21">
        <v>1201</v>
      </c>
      <c r="AA400" s="21">
        <v>13858</v>
      </c>
      <c r="AB400" s="21">
        <v>19093</v>
      </c>
      <c r="AC400" s="134" t="s">
        <v>246</v>
      </c>
      <c r="AD400" s="134" t="s">
        <v>246</v>
      </c>
      <c r="AE400" s="134" t="s">
        <v>246</v>
      </c>
      <c r="AF400" s="134" t="s">
        <v>246</v>
      </c>
      <c r="AG400" s="134" t="s">
        <v>246</v>
      </c>
      <c r="AH400" s="134" t="s">
        <v>246</v>
      </c>
      <c r="AI400" s="134" t="s">
        <v>246</v>
      </c>
      <c r="AJ400" s="134" t="s">
        <v>246</v>
      </c>
      <c r="AK400" s="31">
        <f>$A$44</f>
        <v>20213</v>
      </c>
      <c r="AL400" s="21">
        <v>16651</v>
      </c>
      <c r="AM400" s="21">
        <v>112146</v>
      </c>
      <c r="AN400" s="21">
        <v>115781</v>
      </c>
      <c r="AO400" s="134" t="s">
        <v>246</v>
      </c>
      <c r="AP400" s="134" t="s">
        <v>246</v>
      </c>
      <c r="AQ400" s="134" t="s">
        <v>246</v>
      </c>
      <c r="AR400" s="134" t="s">
        <v>246</v>
      </c>
      <c r="AS400" s="134" t="s">
        <v>246</v>
      </c>
      <c r="AT400" s="134" t="s">
        <v>246</v>
      </c>
      <c r="AU400" s="134" t="s">
        <v>246</v>
      </c>
      <c r="AV400" s="134" t="s">
        <v>246</v>
      </c>
      <c r="AW400" s="31">
        <f>$A$44</f>
        <v>20213</v>
      </c>
      <c r="AX400" s="21">
        <v>25361</v>
      </c>
      <c r="AY400" s="21">
        <v>163657</v>
      </c>
      <c r="AZ400" s="21">
        <v>169117</v>
      </c>
      <c r="BA400" s="134" t="s">
        <v>246</v>
      </c>
      <c r="BB400" s="134" t="s">
        <v>246</v>
      </c>
      <c r="BC400" s="134" t="s">
        <v>246</v>
      </c>
      <c r="BD400" s="134" t="s">
        <v>246</v>
      </c>
      <c r="BE400" s="134" t="s">
        <v>246</v>
      </c>
      <c r="BF400" s="134" t="s">
        <v>246</v>
      </c>
      <c r="BG400" s="134" t="s">
        <v>246</v>
      </c>
      <c r="BH400" s="134" t="s">
        <v>246</v>
      </c>
      <c r="BI400" s="31">
        <f>$A$44</f>
        <v>20213</v>
      </c>
      <c r="BJ400" s="21">
        <v>55425</v>
      </c>
      <c r="BK400" s="21">
        <v>276351</v>
      </c>
      <c r="BL400" s="21">
        <v>279279</v>
      </c>
      <c r="BM400" s="134" t="s">
        <v>246</v>
      </c>
      <c r="BN400" s="134" t="s">
        <v>246</v>
      </c>
      <c r="BO400" s="134" t="s">
        <v>246</v>
      </c>
      <c r="BP400" s="134" t="s">
        <v>246</v>
      </c>
      <c r="BQ400" s="134" t="s">
        <v>246</v>
      </c>
      <c r="BR400" s="134" t="s">
        <v>246</v>
      </c>
      <c r="BS400" s="134" t="s">
        <v>246</v>
      </c>
      <c r="BT400" s="134" t="s">
        <v>246</v>
      </c>
      <c r="BU400" s="31">
        <f>$A$44</f>
        <v>20213</v>
      </c>
      <c r="BV400" s="21">
        <v>0</v>
      </c>
      <c r="BW400" s="21">
        <v>12</v>
      </c>
      <c r="BX400" s="21">
        <v>16</v>
      </c>
      <c r="BY400" s="134" t="s">
        <v>246</v>
      </c>
      <c r="BZ400" s="134" t="s">
        <v>246</v>
      </c>
      <c r="CA400" s="134" t="s">
        <v>246</v>
      </c>
      <c r="CB400" s="134" t="s">
        <v>246</v>
      </c>
      <c r="CC400" s="134" t="s">
        <v>246</v>
      </c>
      <c r="CD400" s="134" t="s">
        <v>246</v>
      </c>
      <c r="CE400" s="134" t="s">
        <v>246</v>
      </c>
      <c r="CF400" s="134" t="s">
        <v>246</v>
      </c>
      <c r="CG400" s="31">
        <f>$A$44</f>
        <v>20213</v>
      </c>
      <c r="CH400" s="21"/>
      <c r="CI400" s="21"/>
      <c r="CJ400" s="21"/>
      <c r="CK400" s="134"/>
      <c r="CL400" s="134"/>
      <c r="CM400" s="134"/>
      <c r="CN400" s="134"/>
      <c r="CO400" s="134"/>
      <c r="CP400" s="134"/>
      <c r="CQ400" s="134"/>
      <c r="CR400" s="134"/>
      <c r="CS400" s="31">
        <f>$A$44</f>
        <v>20213</v>
      </c>
      <c r="CT400" s="21"/>
      <c r="CU400" s="21"/>
      <c r="CV400" s="21"/>
      <c r="CW400" s="134"/>
      <c r="CX400" s="134"/>
      <c r="CY400" s="134"/>
      <c r="CZ400" s="134"/>
      <c r="DA400" s="134"/>
      <c r="DB400" s="134"/>
      <c r="DC400" s="134"/>
      <c r="DD400" s="134"/>
      <c r="DE400" s="31">
        <f>$A$44</f>
        <v>20213</v>
      </c>
      <c r="DF400" s="21"/>
      <c r="DG400" s="21"/>
      <c r="DH400" s="21"/>
      <c r="DI400" s="134"/>
      <c r="DJ400" s="134"/>
      <c r="DK400" s="134"/>
      <c r="DL400" s="134"/>
      <c r="DM400" s="134"/>
      <c r="DN400" s="134"/>
      <c r="DO400" s="134"/>
      <c r="DP400" s="134"/>
    </row>
    <row r="401" spans="1:120" ht="15" customHeight="1" x14ac:dyDescent="0.25">
      <c r="A401" s="31">
        <f>$A$45</f>
        <v>20223</v>
      </c>
      <c r="B401" s="21">
        <v>8781</v>
      </c>
      <c r="C401" s="21">
        <v>99776</v>
      </c>
      <c r="D401" s="134" t="s">
        <v>246</v>
      </c>
      <c r="E401" s="134" t="s">
        <v>246</v>
      </c>
      <c r="F401" s="134" t="s">
        <v>246</v>
      </c>
      <c r="G401" s="134" t="s">
        <v>246</v>
      </c>
      <c r="H401" s="134" t="s">
        <v>246</v>
      </c>
      <c r="I401" s="134" t="s">
        <v>246</v>
      </c>
      <c r="J401" s="134" t="s">
        <v>246</v>
      </c>
      <c r="K401" s="134" t="s">
        <v>246</v>
      </c>
      <c r="L401" s="134"/>
      <c r="M401" s="31">
        <f>$A$45</f>
        <v>20223</v>
      </c>
      <c r="N401" s="21">
        <v>223</v>
      </c>
      <c r="O401" s="21">
        <v>8396</v>
      </c>
      <c r="P401" s="134" t="s">
        <v>246</v>
      </c>
      <c r="Q401" s="134" t="s">
        <v>246</v>
      </c>
      <c r="R401" s="134" t="s">
        <v>246</v>
      </c>
      <c r="S401" s="134" t="s">
        <v>246</v>
      </c>
      <c r="T401" s="134" t="s">
        <v>246</v>
      </c>
      <c r="U401" s="134" t="s">
        <v>246</v>
      </c>
      <c r="V401" s="134" t="s">
        <v>246</v>
      </c>
      <c r="W401" s="134" t="s">
        <v>246</v>
      </c>
      <c r="X401" s="134" t="s">
        <v>246</v>
      </c>
      <c r="Y401" s="31">
        <f>$A$45</f>
        <v>20223</v>
      </c>
      <c r="Z401" s="21">
        <v>740</v>
      </c>
      <c r="AA401" s="21">
        <v>13108</v>
      </c>
      <c r="AB401" s="134" t="s">
        <v>246</v>
      </c>
      <c r="AC401" s="134" t="s">
        <v>246</v>
      </c>
      <c r="AD401" s="134" t="s">
        <v>246</v>
      </c>
      <c r="AE401" s="134" t="s">
        <v>246</v>
      </c>
      <c r="AF401" s="134" t="s">
        <v>246</v>
      </c>
      <c r="AG401" s="134" t="s">
        <v>246</v>
      </c>
      <c r="AH401" s="134" t="s">
        <v>246</v>
      </c>
      <c r="AI401" s="134" t="s">
        <v>246</v>
      </c>
      <c r="AJ401" s="134" t="s">
        <v>246</v>
      </c>
      <c r="AK401" s="31">
        <f>$A$45</f>
        <v>20223</v>
      </c>
      <c r="AL401" s="21">
        <v>17560</v>
      </c>
      <c r="AM401" s="21">
        <v>129954</v>
      </c>
      <c r="AN401" s="134" t="s">
        <v>246</v>
      </c>
      <c r="AO401" s="134" t="s">
        <v>246</v>
      </c>
      <c r="AP401" s="134" t="s">
        <v>246</v>
      </c>
      <c r="AQ401" s="134" t="s">
        <v>246</v>
      </c>
      <c r="AR401" s="134" t="s">
        <v>246</v>
      </c>
      <c r="AS401" s="134" t="s">
        <v>246</v>
      </c>
      <c r="AT401" s="134" t="s">
        <v>246</v>
      </c>
      <c r="AU401" s="134" t="s">
        <v>246</v>
      </c>
      <c r="AV401" s="134" t="s">
        <v>246</v>
      </c>
      <c r="AW401" s="31">
        <f>$A$45</f>
        <v>20223</v>
      </c>
      <c r="AX401" s="21">
        <v>26411</v>
      </c>
      <c r="AY401" s="21">
        <v>190593</v>
      </c>
      <c r="AZ401" s="134" t="s">
        <v>246</v>
      </c>
      <c r="BA401" s="134" t="s">
        <v>246</v>
      </c>
      <c r="BB401" s="134" t="s">
        <v>246</v>
      </c>
      <c r="BC401" s="134" t="s">
        <v>246</v>
      </c>
      <c r="BD401" s="134" t="s">
        <v>246</v>
      </c>
      <c r="BE401" s="134" t="s">
        <v>246</v>
      </c>
      <c r="BF401" s="134" t="s">
        <v>246</v>
      </c>
      <c r="BG401" s="134" t="s">
        <v>246</v>
      </c>
      <c r="BH401" s="134" t="s">
        <v>246</v>
      </c>
      <c r="BI401" s="31">
        <f>$A$45</f>
        <v>20223</v>
      </c>
      <c r="BJ401" s="21">
        <v>57959</v>
      </c>
      <c r="BK401" s="21">
        <v>293168</v>
      </c>
      <c r="BL401" s="134" t="s">
        <v>246</v>
      </c>
      <c r="BM401" s="134" t="s">
        <v>246</v>
      </c>
      <c r="BN401" s="134" t="s">
        <v>246</v>
      </c>
      <c r="BO401" s="134" t="s">
        <v>246</v>
      </c>
      <c r="BP401" s="134" t="s">
        <v>246</v>
      </c>
      <c r="BQ401" s="134" t="s">
        <v>246</v>
      </c>
      <c r="BR401" s="134" t="s">
        <v>246</v>
      </c>
      <c r="BS401" s="134" t="s">
        <v>246</v>
      </c>
      <c r="BT401" s="134" t="s">
        <v>246</v>
      </c>
      <c r="BU401" s="31">
        <f>$A$45</f>
        <v>20223</v>
      </c>
      <c r="BV401" s="21">
        <v>0</v>
      </c>
      <c r="BW401" s="21">
        <v>17</v>
      </c>
      <c r="BX401" s="134" t="s">
        <v>246</v>
      </c>
      <c r="BY401" s="134" t="s">
        <v>246</v>
      </c>
      <c r="BZ401" s="134" t="s">
        <v>246</v>
      </c>
      <c r="CA401" s="134" t="s">
        <v>246</v>
      </c>
      <c r="CB401" s="134" t="s">
        <v>246</v>
      </c>
      <c r="CC401" s="134" t="s">
        <v>246</v>
      </c>
      <c r="CD401" s="134" t="s">
        <v>246</v>
      </c>
      <c r="CE401" s="134" t="s">
        <v>246</v>
      </c>
      <c r="CF401" s="134" t="s">
        <v>246</v>
      </c>
      <c r="CG401" s="31">
        <f>$A$45</f>
        <v>20223</v>
      </c>
      <c r="CH401" s="21"/>
      <c r="CI401" s="21"/>
      <c r="CJ401" s="134"/>
      <c r="CK401" s="134"/>
      <c r="CL401" s="134"/>
      <c r="CM401" s="134"/>
      <c r="CN401" s="134"/>
      <c r="CO401" s="134"/>
      <c r="CP401" s="134"/>
      <c r="CQ401" s="134"/>
      <c r="CR401" s="134"/>
      <c r="CS401" s="31">
        <f>$A$45</f>
        <v>20223</v>
      </c>
      <c r="CT401" s="21"/>
      <c r="CU401" s="21"/>
      <c r="CV401" s="134"/>
      <c r="CW401" s="134"/>
      <c r="CX401" s="134"/>
      <c r="CY401" s="134"/>
      <c r="CZ401" s="134"/>
      <c r="DA401" s="134"/>
      <c r="DB401" s="134"/>
      <c r="DC401" s="134"/>
      <c r="DD401" s="134"/>
      <c r="DE401" s="31">
        <f>$A$45</f>
        <v>20223</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ht="30" x14ac:dyDescent="0.25">
      <c r="A404" s="92" t="str">
        <f>$A$35</f>
        <v>Fiscal Accident Year Data Ending</v>
      </c>
      <c r="B404" s="92"/>
      <c r="C404" s="100" t="str">
        <f>$C$35&amp;"-"&amp;$D$35</f>
        <v>15-27</v>
      </c>
      <c r="D404" s="100" t="str">
        <f>$D$35&amp;"-"&amp;$E$35</f>
        <v>27-39</v>
      </c>
      <c r="E404" s="100" t="str">
        <f>$E$35&amp;"-"&amp;$F$35</f>
        <v>39-51</v>
      </c>
      <c r="F404" s="100" t="str">
        <f>$F$35&amp;"-"&amp;$G$35</f>
        <v>51-63</v>
      </c>
      <c r="G404" s="100" t="str">
        <f>$G$35&amp;"-"&amp;$H$35</f>
        <v>63-75</v>
      </c>
      <c r="H404" s="100" t="str">
        <f>$H$35&amp;"-"&amp;$I$35</f>
        <v>75-87</v>
      </c>
      <c r="I404" s="100" t="str">
        <f>$I$35&amp;"-"&amp;$J$35</f>
        <v>87-99</v>
      </c>
      <c r="J404" s="100" t="str">
        <f>$J$35&amp;"-"&amp;$K$35</f>
        <v>99-111</v>
      </c>
      <c r="K404" s="100" t="str">
        <f>$K$35&amp;"-"&amp;$L$35</f>
        <v>111-123</v>
      </c>
      <c r="L404" s="100" t="str">
        <f>$L$35&amp;"-Ult"</f>
        <v>123-Ult</v>
      </c>
      <c r="M404" s="92" t="str">
        <f>$A$35</f>
        <v>Fiscal Accident Year Data Ending</v>
      </c>
      <c r="N404" s="92"/>
      <c r="O404" s="100" t="str">
        <f>$C$35&amp;"-"&amp;$D$35</f>
        <v>15-27</v>
      </c>
      <c r="P404" s="100" t="str">
        <f>$D$35&amp;"-"&amp;$E$35</f>
        <v>27-39</v>
      </c>
      <c r="Q404" s="100" t="str">
        <f>$E$35&amp;"-"&amp;$F$35</f>
        <v>39-51</v>
      </c>
      <c r="R404" s="100" t="str">
        <f>$F$35&amp;"-"&amp;$G$35</f>
        <v>51-63</v>
      </c>
      <c r="S404" s="100" t="str">
        <f>$G$35&amp;"-"&amp;$H$35</f>
        <v>63-75</v>
      </c>
      <c r="T404" s="100" t="str">
        <f>$H$35&amp;"-"&amp;$I$35</f>
        <v>75-87</v>
      </c>
      <c r="U404" s="100" t="str">
        <f>$I$35&amp;"-"&amp;$J$35</f>
        <v>87-99</v>
      </c>
      <c r="V404" s="100" t="str">
        <f>$J$35&amp;"-"&amp;$K$35</f>
        <v>99-111</v>
      </c>
      <c r="W404" s="100" t="str">
        <f>$K$35&amp;"-"&amp;$L$35</f>
        <v>111-123</v>
      </c>
      <c r="X404" s="100" t="str">
        <f>$L$35&amp;"-Ult"</f>
        <v>123-Ult</v>
      </c>
      <c r="Y404" s="92" t="str">
        <f>$A$35</f>
        <v>Fiscal Accident Year Data Ending</v>
      </c>
      <c r="Z404" s="92"/>
      <c r="AA404" s="100" t="str">
        <f>$C$35&amp;"-"&amp;$D$35</f>
        <v>15-27</v>
      </c>
      <c r="AB404" s="100" t="str">
        <f>$D$35&amp;"-"&amp;$E$35</f>
        <v>27-39</v>
      </c>
      <c r="AC404" s="100" t="str">
        <f>$E$35&amp;"-"&amp;$F$35</f>
        <v>39-51</v>
      </c>
      <c r="AD404" s="100" t="str">
        <f>$F$35&amp;"-"&amp;$G$35</f>
        <v>51-63</v>
      </c>
      <c r="AE404" s="100" t="str">
        <f>$G$35&amp;"-"&amp;$H$35</f>
        <v>63-75</v>
      </c>
      <c r="AF404" s="100" t="str">
        <f>$H$35&amp;"-"&amp;$I$35</f>
        <v>75-87</v>
      </c>
      <c r="AG404" s="100" t="str">
        <f>$I$35&amp;"-"&amp;$J$35</f>
        <v>87-99</v>
      </c>
      <c r="AH404" s="100" t="str">
        <f>$J$35&amp;"-"&amp;$K$35</f>
        <v>99-111</v>
      </c>
      <c r="AI404" s="100" t="str">
        <f>$K$35&amp;"-"&amp;$L$35</f>
        <v>111-123</v>
      </c>
      <c r="AJ404" s="100" t="str">
        <f>$L$35&amp;"-Ult"</f>
        <v>123-Ult</v>
      </c>
      <c r="AK404" s="92" t="str">
        <f>$A$35</f>
        <v>Fiscal Accident Year Data Ending</v>
      </c>
      <c r="AL404" s="92"/>
      <c r="AM404" s="100" t="str">
        <f>$C$35&amp;"-"&amp;$D$35</f>
        <v>15-27</v>
      </c>
      <c r="AN404" s="100" t="str">
        <f>$D$35&amp;"-"&amp;$E$35</f>
        <v>27-39</v>
      </c>
      <c r="AO404" s="100" t="str">
        <f>$E$35&amp;"-"&amp;$F$35</f>
        <v>39-51</v>
      </c>
      <c r="AP404" s="100" t="str">
        <f>$F$35&amp;"-"&amp;$G$35</f>
        <v>51-63</v>
      </c>
      <c r="AQ404" s="100" t="str">
        <f>$G$35&amp;"-"&amp;$H$35</f>
        <v>63-75</v>
      </c>
      <c r="AR404" s="100" t="str">
        <f>$H$35&amp;"-"&amp;$I$35</f>
        <v>75-87</v>
      </c>
      <c r="AS404" s="100" t="str">
        <f>$I$35&amp;"-"&amp;$J$35</f>
        <v>87-99</v>
      </c>
      <c r="AT404" s="100" t="str">
        <f>$J$35&amp;"-"&amp;$K$35</f>
        <v>99-111</v>
      </c>
      <c r="AU404" s="100" t="str">
        <f>$K$35&amp;"-"&amp;$L$35</f>
        <v>111-123</v>
      </c>
      <c r="AV404" s="100" t="str">
        <f>$L$35&amp;"-Ult"</f>
        <v>123-Ult</v>
      </c>
      <c r="AW404" s="92" t="str">
        <f>$A$35</f>
        <v>Fiscal Accident Year Data Ending</v>
      </c>
      <c r="AX404" s="92"/>
      <c r="AY404" s="100" t="str">
        <f>$C$35&amp;"-"&amp;$D$35</f>
        <v>15-27</v>
      </c>
      <c r="AZ404" s="100" t="str">
        <f>$D$35&amp;"-"&amp;$E$35</f>
        <v>27-39</v>
      </c>
      <c r="BA404" s="100" t="str">
        <f>$E$35&amp;"-"&amp;$F$35</f>
        <v>39-51</v>
      </c>
      <c r="BB404" s="100" t="str">
        <f>$F$35&amp;"-"&amp;$G$35</f>
        <v>51-63</v>
      </c>
      <c r="BC404" s="100" t="str">
        <f>$G$35&amp;"-"&amp;$H$35</f>
        <v>63-75</v>
      </c>
      <c r="BD404" s="100" t="str">
        <f>$H$35&amp;"-"&amp;$I$35</f>
        <v>75-87</v>
      </c>
      <c r="BE404" s="100" t="str">
        <f>$I$35&amp;"-"&amp;$J$35</f>
        <v>87-99</v>
      </c>
      <c r="BF404" s="100" t="str">
        <f>$J$35&amp;"-"&amp;$K$35</f>
        <v>99-111</v>
      </c>
      <c r="BG404" s="100" t="str">
        <f>$K$35&amp;"-"&amp;$L$35</f>
        <v>111-123</v>
      </c>
      <c r="BH404" s="100" t="str">
        <f>$L$35&amp;"-Ult"</f>
        <v>123-Ult</v>
      </c>
      <c r="BI404" s="92" t="str">
        <f>$A$35</f>
        <v>Fiscal Accident Year Data Ending</v>
      </c>
      <c r="BJ404" s="92"/>
      <c r="BK404" s="100" t="str">
        <f>$C$35&amp;"-"&amp;$D$35</f>
        <v>15-27</v>
      </c>
      <c r="BL404" s="100" t="str">
        <f>$D$35&amp;"-"&amp;$E$35</f>
        <v>27-39</v>
      </c>
      <c r="BM404" s="100" t="str">
        <f>$E$35&amp;"-"&amp;$F$35</f>
        <v>39-51</v>
      </c>
      <c r="BN404" s="100" t="str">
        <f>$F$35&amp;"-"&amp;$G$35</f>
        <v>51-63</v>
      </c>
      <c r="BO404" s="100" t="str">
        <f>$G$35&amp;"-"&amp;$H$35</f>
        <v>63-75</v>
      </c>
      <c r="BP404" s="100" t="str">
        <f>$H$35&amp;"-"&amp;$I$35</f>
        <v>75-87</v>
      </c>
      <c r="BQ404" s="100" t="str">
        <f>$I$35&amp;"-"&amp;$J$35</f>
        <v>87-99</v>
      </c>
      <c r="BR404" s="100" t="str">
        <f>$J$35&amp;"-"&amp;$K$35</f>
        <v>99-111</v>
      </c>
      <c r="BS404" s="100" t="str">
        <f>$K$35&amp;"-"&amp;$L$35</f>
        <v>111-123</v>
      </c>
      <c r="BT404" s="100" t="str">
        <f>$L$35&amp;"-Ult"</f>
        <v>123-Ult</v>
      </c>
      <c r="BU404" s="92" t="str">
        <f>$A$35</f>
        <v>Fiscal Accident Year Data Ending</v>
      </c>
      <c r="BV404" s="92"/>
      <c r="BW404" s="100" t="str">
        <f>$C$35&amp;"-"&amp;$D$35</f>
        <v>15-27</v>
      </c>
      <c r="BX404" s="100" t="str">
        <f>$D$35&amp;"-"&amp;$E$35</f>
        <v>27-39</v>
      </c>
      <c r="BY404" s="100" t="str">
        <f>$E$35&amp;"-"&amp;$F$35</f>
        <v>39-51</v>
      </c>
      <c r="BZ404" s="100" t="str">
        <f>$F$35&amp;"-"&amp;$G$35</f>
        <v>51-63</v>
      </c>
      <c r="CA404" s="100" t="str">
        <f>$G$35&amp;"-"&amp;$H$35</f>
        <v>63-75</v>
      </c>
      <c r="CB404" s="100" t="str">
        <f>$H$35&amp;"-"&amp;$I$35</f>
        <v>75-87</v>
      </c>
      <c r="CC404" s="100" t="str">
        <f>$I$35&amp;"-"&amp;$J$35</f>
        <v>87-99</v>
      </c>
      <c r="CD404" s="100" t="str">
        <f>$J$35&amp;"-"&amp;$K$35</f>
        <v>99-111</v>
      </c>
      <c r="CE404" s="100" t="str">
        <f>$K$35&amp;"-"&amp;$L$35</f>
        <v>111-123</v>
      </c>
      <c r="CF404" s="100" t="str">
        <f>$L$35&amp;"-Ult"</f>
        <v>123-Ult</v>
      </c>
      <c r="CG404" s="92" t="str">
        <f>$A$35</f>
        <v>Fiscal Accident Year Data Ending</v>
      </c>
      <c r="CH404" s="92"/>
      <c r="CI404" s="100" t="str">
        <f>$C$35&amp;"-"&amp;$D$35</f>
        <v>15-27</v>
      </c>
      <c r="CJ404" s="100" t="str">
        <f>$D$35&amp;"-"&amp;$E$35</f>
        <v>27-39</v>
      </c>
      <c r="CK404" s="100" t="str">
        <f>$E$35&amp;"-"&amp;$F$35</f>
        <v>39-51</v>
      </c>
      <c r="CL404" s="100" t="str">
        <f>$F$35&amp;"-"&amp;$G$35</f>
        <v>51-63</v>
      </c>
      <c r="CM404" s="100" t="str">
        <f>$G$35&amp;"-"&amp;$H$35</f>
        <v>63-75</v>
      </c>
      <c r="CN404" s="100" t="str">
        <f>$H$35&amp;"-"&amp;$I$35</f>
        <v>75-87</v>
      </c>
      <c r="CO404" s="100" t="str">
        <f>$I$35&amp;"-"&amp;$J$35</f>
        <v>87-99</v>
      </c>
      <c r="CP404" s="100" t="str">
        <f>$J$35&amp;"-"&amp;$K$35</f>
        <v>99-111</v>
      </c>
      <c r="CQ404" s="100" t="str">
        <f>$K$35&amp;"-"&amp;$L$35</f>
        <v>111-123</v>
      </c>
      <c r="CR404" s="100" t="str">
        <f>$L$35&amp;"-Ult"</f>
        <v>123-Ult</v>
      </c>
      <c r="CS404" s="92" t="str">
        <f>$A$35</f>
        <v>Fiscal Accident Year Data Ending</v>
      </c>
      <c r="CT404" s="92"/>
      <c r="CU404" s="100" t="str">
        <f>$C$35&amp;"-"&amp;$D$35</f>
        <v>15-27</v>
      </c>
      <c r="CV404" s="100" t="str">
        <f>$D$35&amp;"-"&amp;$E$35</f>
        <v>27-39</v>
      </c>
      <c r="CW404" s="100" t="str">
        <f>$E$35&amp;"-"&amp;$F$35</f>
        <v>39-51</v>
      </c>
      <c r="CX404" s="100" t="str">
        <f>$F$35&amp;"-"&amp;$G$35</f>
        <v>51-63</v>
      </c>
      <c r="CY404" s="100" t="str">
        <f>$G$35&amp;"-"&amp;$H$35</f>
        <v>63-75</v>
      </c>
      <c r="CZ404" s="100" t="str">
        <f>$H$35&amp;"-"&amp;$I$35</f>
        <v>75-87</v>
      </c>
      <c r="DA404" s="100" t="str">
        <f>$I$35&amp;"-"&amp;$J$35</f>
        <v>87-99</v>
      </c>
      <c r="DB404" s="100" t="str">
        <f>$J$35&amp;"-"&amp;$K$35</f>
        <v>99-111</v>
      </c>
      <c r="DC404" s="100" t="str">
        <f>$K$35&amp;"-"&amp;$L$35</f>
        <v>111-123</v>
      </c>
      <c r="DD404" s="100" t="str">
        <f>$L$35&amp;"-Ult"</f>
        <v>123-Ult</v>
      </c>
      <c r="DE404" s="92" t="str">
        <f>$A$35</f>
        <v>Fiscal Accident Year Data Ending</v>
      </c>
      <c r="DF404" s="92"/>
      <c r="DG404" s="100" t="str">
        <f>$C$35&amp;"-"&amp;$D$35</f>
        <v>15-27</v>
      </c>
      <c r="DH404" s="100" t="str">
        <f>$D$35&amp;"-"&amp;$E$35</f>
        <v>27-39</v>
      </c>
      <c r="DI404" s="100" t="str">
        <f>$E$35&amp;"-"&amp;$F$35</f>
        <v>39-51</v>
      </c>
      <c r="DJ404" s="100" t="str">
        <f>$F$35&amp;"-"&amp;$G$35</f>
        <v>51-63</v>
      </c>
      <c r="DK404" s="100" t="str">
        <f>$G$35&amp;"-"&amp;$H$35</f>
        <v>63-75</v>
      </c>
      <c r="DL404" s="100" t="str">
        <f>$H$35&amp;"-"&amp;$I$35</f>
        <v>75-87</v>
      </c>
      <c r="DM404" s="100" t="str">
        <f>$I$35&amp;"-"&amp;$J$35</f>
        <v>87-99</v>
      </c>
      <c r="DN404" s="100" t="str">
        <f>$J$35&amp;"-"&amp;$K$35</f>
        <v>99-111</v>
      </c>
      <c r="DO404" s="100" t="str">
        <f>$K$35&amp;"-"&amp;$L$35</f>
        <v>111-123</v>
      </c>
      <c r="DP404" s="100" t="str">
        <f>$L$35&amp;"-Ult"</f>
        <v>123-Ult</v>
      </c>
    </row>
    <row r="405" spans="1:120" x14ac:dyDescent="0.25">
      <c r="A405" s="91">
        <f>$A$36</f>
        <v>20133</v>
      </c>
      <c r="B405" s="105"/>
      <c r="C405" s="90">
        <f>IFERROR(D392/C392,"")</f>
        <v>1.115206739185274</v>
      </c>
      <c r="D405" s="90">
        <f t="shared" ref="D405:K405" si="649">IFERROR(E392/D392,"")</f>
        <v>1.0354587080500111</v>
      </c>
      <c r="E405" s="90">
        <f t="shared" si="649"/>
        <v>1.0106380866007771</v>
      </c>
      <c r="F405" s="90">
        <f t="shared" si="649"/>
        <v>1.0028362197710063</v>
      </c>
      <c r="G405" s="90">
        <f t="shared" si="649"/>
        <v>1.0006858217777808</v>
      </c>
      <c r="H405" s="90">
        <f t="shared" si="649"/>
        <v>1.0001631789877681</v>
      </c>
      <c r="I405" s="90">
        <f t="shared" si="649"/>
        <v>1.0000522087567136</v>
      </c>
      <c r="J405" s="90">
        <f t="shared" si="649"/>
        <v>1.0000717832927648</v>
      </c>
      <c r="K405" s="90">
        <f t="shared" si="649"/>
        <v>1.0000130505709626</v>
      </c>
      <c r="L405" s="22"/>
      <c r="M405" s="91">
        <f>$A$36</f>
        <v>20133</v>
      </c>
      <c r="N405" s="105"/>
      <c r="O405" s="90">
        <f>IFERROR(P392/O392,"")</f>
        <v>1.4293995109138664</v>
      </c>
      <c r="P405" s="90">
        <f t="shared" ref="P405:W405" si="650">IFERROR(Q392/P392,"")</f>
        <v>1.0221138005322519</v>
      </c>
      <c r="Q405" s="90">
        <f t="shared" si="650"/>
        <v>1.0066331907507284</v>
      </c>
      <c r="R405" s="90">
        <f t="shared" si="650"/>
        <v>1.0016011824116271</v>
      </c>
      <c r="S405" s="90">
        <f t="shared" si="650"/>
        <v>1.0001844564682736</v>
      </c>
      <c r="T405" s="90">
        <f t="shared" si="650"/>
        <v>1</v>
      </c>
      <c r="U405" s="90">
        <f t="shared" si="650"/>
        <v>1.0002458966004795</v>
      </c>
      <c r="V405" s="90">
        <f t="shared" si="650"/>
        <v>1</v>
      </c>
      <c r="W405" s="90">
        <f t="shared" si="650"/>
        <v>1</v>
      </c>
      <c r="X405" s="22"/>
      <c r="Y405" s="91">
        <f>$A$36</f>
        <v>20133</v>
      </c>
      <c r="Z405" s="105"/>
      <c r="AA405" s="90">
        <f>IFERROR(AB392/AA392,"")</f>
        <v>1.2167934668807148</v>
      </c>
      <c r="AB405" s="90">
        <f t="shared" ref="AB405:AI405" si="651">IFERROR(AC392/AB392,"")</f>
        <v>1.0587965353066024</v>
      </c>
      <c r="AC405" s="90">
        <f t="shared" si="651"/>
        <v>1.0165240004334164</v>
      </c>
      <c r="AD405" s="90">
        <f t="shared" si="651"/>
        <v>1.0062356765975591</v>
      </c>
      <c r="AE405" s="90">
        <f t="shared" si="651"/>
        <v>1.0029661016949152</v>
      </c>
      <c r="AF405" s="90">
        <f t="shared" si="651"/>
        <v>1.0014786649767637</v>
      </c>
      <c r="AG405" s="90">
        <f t="shared" si="651"/>
        <v>1.0006327778949589</v>
      </c>
      <c r="AH405" s="90">
        <f t="shared" si="651"/>
        <v>1.0005269814502529</v>
      </c>
      <c r="AI405" s="90">
        <f t="shared" si="651"/>
        <v>1.0004740334983673</v>
      </c>
      <c r="AJ405" s="22"/>
      <c r="AK405" s="91">
        <f>$A$36</f>
        <v>20133</v>
      </c>
      <c r="AL405" s="105"/>
      <c r="AM405" s="90">
        <f>IFERROR(AN392/AM392,"")</f>
        <v>1.0251927785277899</v>
      </c>
      <c r="AN405" s="90">
        <f t="shared" ref="AN405:AU405" si="652">IFERROR(AO392/AN392,"")</f>
        <v>1.002722971163289</v>
      </c>
      <c r="AO405" s="90">
        <f t="shared" si="652"/>
        <v>1.000856964786538</v>
      </c>
      <c r="AP405" s="90">
        <f t="shared" si="652"/>
        <v>1.0003113567369815</v>
      </c>
      <c r="AQ405" s="90">
        <f t="shared" si="652"/>
        <v>1.0000778149560345</v>
      </c>
      <c r="AR405" s="90">
        <f t="shared" si="652"/>
        <v>1.0000333466720022</v>
      </c>
      <c r="AS405" s="90">
        <f t="shared" si="652"/>
        <v>1</v>
      </c>
      <c r="AT405" s="90">
        <f t="shared" si="652"/>
        <v>1.0000111151866795</v>
      </c>
      <c r="AU405" s="90">
        <f t="shared" si="652"/>
        <v>1.0000333451894006</v>
      </c>
      <c r="AV405" s="22"/>
      <c r="AW405" s="91">
        <f>$A$36</f>
        <v>20133</v>
      </c>
      <c r="AX405" s="105"/>
      <c r="AY405" s="90">
        <f>IFERROR(AZ392/AY392,"")</f>
        <v>1.0228590261006747</v>
      </c>
      <c r="AZ405" s="90">
        <f t="shared" ref="AZ405:BG405" si="653">IFERROR(BA392/AZ392,"")</f>
        <v>1.0030899736956085</v>
      </c>
      <c r="BA405" s="90">
        <f t="shared" si="653"/>
        <v>1.0010162869193868</v>
      </c>
      <c r="BB405" s="90">
        <f t="shared" si="653"/>
        <v>1.0003156233561283</v>
      </c>
      <c r="BC405" s="90">
        <f t="shared" si="653"/>
        <v>1.0000631047538915</v>
      </c>
      <c r="BD405" s="90">
        <f t="shared" si="653"/>
        <v>1.0000631007719327</v>
      </c>
      <c r="BE405" s="90">
        <f t="shared" si="653"/>
        <v>1.0000210322634921</v>
      </c>
      <c r="BF405" s="90">
        <f t="shared" si="653"/>
        <v>1</v>
      </c>
      <c r="BG405" s="90">
        <f t="shared" si="653"/>
        <v>1.0000052579552863</v>
      </c>
      <c r="BH405" s="22"/>
      <c r="BI405" s="91">
        <f>$A$36</f>
        <v>20133</v>
      </c>
      <c r="BJ405" s="105"/>
      <c r="BK405" s="90">
        <f>IFERROR(BL392/BK392,"")</f>
        <v>1.0088344184858931</v>
      </c>
      <c r="BL405" s="90">
        <f t="shared" ref="BL405:BS405" si="654">IFERROR(BM392/BL392,"")</f>
        <v>1.000701432150902</v>
      </c>
      <c r="BM405" s="90">
        <f t="shared" si="654"/>
        <v>1.0002131726228543</v>
      </c>
      <c r="BN405" s="90">
        <f t="shared" si="654"/>
        <v>1.0000794711555829</v>
      </c>
      <c r="BO405" s="90">
        <f t="shared" si="654"/>
        <v>1.0000108361146027</v>
      </c>
      <c r="BP405" s="90">
        <f t="shared" si="654"/>
        <v>1.0000108359971827</v>
      </c>
      <c r="BQ405" s="90">
        <f t="shared" si="654"/>
        <v>1</v>
      </c>
      <c r="BR405" s="90">
        <f t="shared" si="654"/>
        <v>1.0000072239198434</v>
      </c>
      <c r="BS405" s="90">
        <f t="shared" si="654"/>
        <v>1</v>
      </c>
      <c r="BT405" s="22"/>
      <c r="BU405" s="91">
        <f>$A$36</f>
        <v>20133</v>
      </c>
      <c r="BV405" s="105"/>
      <c r="BW405" s="90">
        <f>IFERROR(BX392/BW392,"")</f>
        <v>1.5333333333333334</v>
      </c>
      <c r="BX405" s="90">
        <f t="shared" ref="BX405:CE405" si="655">IFERROR(BY392/BX392,"")</f>
        <v>1</v>
      </c>
      <c r="BY405" s="90">
        <f t="shared" si="655"/>
        <v>1</v>
      </c>
      <c r="BZ405" s="90">
        <f t="shared" si="655"/>
        <v>0.95652173913043481</v>
      </c>
      <c r="CA405" s="90">
        <f t="shared" si="655"/>
        <v>1</v>
      </c>
      <c r="CB405" s="90">
        <f t="shared" si="655"/>
        <v>1</v>
      </c>
      <c r="CC405" s="90">
        <f t="shared" si="655"/>
        <v>1</v>
      </c>
      <c r="CD405" s="90">
        <f t="shared" si="655"/>
        <v>1</v>
      </c>
      <c r="CE405" s="90">
        <f t="shared" si="655"/>
        <v>1</v>
      </c>
      <c r="CF405" s="22"/>
      <c r="CG405" s="91">
        <f>$A$36</f>
        <v>20133</v>
      </c>
      <c r="CH405" s="105"/>
      <c r="CI405" s="90" t="str">
        <f>IFERROR(CJ392/CI392,"")</f>
        <v/>
      </c>
      <c r="CJ405" s="90" t="str">
        <f t="shared" ref="CJ405:CQ405" si="656">IFERROR(CK392/CJ392,"")</f>
        <v/>
      </c>
      <c r="CK405" s="90" t="str">
        <f t="shared" si="656"/>
        <v/>
      </c>
      <c r="CL405" s="90" t="str">
        <f t="shared" si="656"/>
        <v/>
      </c>
      <c r="CM405" s="90" t="str">
        <f t="shared" si="656"/>
        <v/>
      </c>
      <c r="CN405" s="90" t="str">
        <f t="shared" si="656"/>
        <v/>
      </c>
      <c r="CO405" s="90" t="str">
        <f t="shared" si="656"/>
        <v/>
      </c>
      <c r="CP405" s="90" t="str">
        <f t="shared" si="656"/>
        <v/>
      </c>
      <c r="CQ405" s="90" t="str">
        <f t="shared" si="656"/>
        <v/>
      </c>
      <c r="CR405" s="22"/>
      <c r="CS405" s="91">
        <f>$A$36</f>
        <v>20133</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20133</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20143</v>
      </c>
      <c r="B406" s="105"/>
      <c r="C406" s="90">
        <f t="shared" ref="C406:J413" si="659">IFERROR(D393/C393,"")</f>
        <v>1.135563328532377</v>
      </c>
      <c r="D406" s="90">
        <f t="shared" si="659"/>
        <v>1.0312103641964123</v>
      </c>
      <c r="E406" s="90">
        <f t="shared" si="659"/>
        <v>1.0091368328574566</v>
      </c>
      <c r="F406" s="90">
        <f t="shared" si="659"/>
        <v>1.0028542823563065</v>
      </c>
      <c r="G406" s="90">
        <f t="shared" si="659"/>
        <v>1.0007254914119179</v>
      </c>
      <c r="H406" s="90">
        <f t="shared" si="659"/>
        <v>1.00017969229244</v>
      </c>
      <c r="I406" s="90">
        <f t="shared" si="659"/>
        <v>1.000074342072657</v>
      </c>
      <c r="J406" s="90">
        <f t="shared" si="659"/>
        <v>1.0000557524097431</v>
      </c>
      <c r="K406" s="22"/>
      <c r="L406" s="22"/>
      <c r="M406" s="91">
        <f>$A$37</f>
        <v>20143</v>
      </c>
      <c r="N406" s="105"/>
      <c r="O406" s="90">
        <f t="shared" ref="O406:V413" si="660">IFERROR(P393/O393,"")</f>
        <v>1.3772264067346034</v>
      </c>
      <c r="P406" s="90">
        <f t="shared" si="660"/>
        <v>1.0497361986874276</v>
      </c>
      <c r="Q406" s="90">
        <f t="shared" si="660"/>
        <v>1.0068035550107264</v>
      </c>
      <c r="R406" s="90">
        <f t="shared" si="660"/>
        <v>1.0014002191647389</v>
      </c>
      <c r="S406" s="90">
        <f t="shared" si="660"/>
        <v>1.0003039698461913</v>
      </c>
      <c r="T406" s="90">
        <f t="shared" si="660"/>
        <v>1.0002431019812812</v>
      </c>
      <c r="U406" s="90">
        <f t="shared" si="660"/>
        <v>1.0001215214485357</v>
      </c>
      <c r="V406" s="90">
        <f t="shared" si="660"/>
        <v>0.99993924665856626</v>
      </c>
      <c r="W406" s="22"/>
      <c r="X406" s="22"/>
      <c r="Y406" s="91">
        <f>$A$37</f>
        <v>20143</v>
      </c>
      <c r="Z406" s="105"/>
      <c r="AA406" s="90">
        <f t="shared" ref="AA406:AH413" si="661">IFERROR(AB393/AA393,"")</f>
        <v>1.2611359724612736</v>
      </c>
      <c r="AB406" s="90">
        <f t="shared" si="661"/>
        <v>1.0639807839283764</v>
      </c>
      <c r="AC406" s="90">
        <f t="shared" si="661"/>
        <v>1.0158029758850693</v>
      </c>
      <c r="AD406" s="90">
        <f t="shared" si="661"/>
        <v>1.0068188705929892</v>
      </c>
      <c r="AE406" s="90">
        <f t="shared" si="661"/>
        <v>1.0026589073395875</v>
      </c>
      <c r="AF406" s="90">
        <f t="shared" si="661"/>
        <v>1.0011508055638947</v>
      </c>
      <c r="AG406" s="90">
        <f t="shared" si="661"/>
        <v>1.0004997751012044</v>
      </c>
      <c r="AH406" s="90">
        <f t="shared" si="661"/>
        <v>1.0006993356311504</v>
      </c>
      <c r="AI406" s="22"/>
      <c r="AJ406" s="22"/>
      <c r="AK406" s="91">
        <f>$A$37</f>
        <v>20143</v>
      </c>
      <c r="AL406" s="105"/>
      <c r="AM406" s="90">
        <f t="shared" ref="AM406:AT413" si="662">IFERROR(AN393/AM393,"")</f>
        <v>1.0230906702330371</v>
      </c>
      <c r="AN406" s="90">
        <f t="shared" si="662"/>
        <v>1.0026838184258016</v>
      </c>
      <c r="AO406" s="90">
        <f t="shared" si="662"/>
        <v>1.0009460519636346</v>
      </c>
      <c r="AP406" s="90">
        <f t="shared" si="662"/>
        <v>1.000195947347795</v>
      </c>
      <c r="AQ406" s="90">
        <f t="shared" si="662"/>
        <v>1.0001613367905502</v>
      </c>
      <c r="AR406" s="90">
        <f t="shared" si="662"/>
        <v>1.0000806553825945</v>
      </c>
      <c r="AS406" s="90">
        <f t="shared" si="662"/>
        <v>1.000057606341306</v>
      </c>
      <c r="AT406" s="90">
        <f t="shared" si="662"/>
        <v>1.0000115206046014</v>
      </c>
      <c r="AU406" s="22"/>
      <c r="AV406" s="22"/>
      <c r="AW406" s="91">
        <f>$A$37</f>
        <v>20143</v>
      </c>
      <c r="AX406" s="105"/>
      <c r="AY406" s="90">
        <f t="shared" ref="AY406:BF413" si="663">IFERROR(AZ393/AY393,"")</f>
        <v>1.0243650650984824</v>
      </c>
      <c r="AZ406" s="90">
        <f t="shared" si="663"/>
        <v>1.0031837712899037</v>
      </c>
      <c r="BA406" s="90">
        <f t="shared" si="663"/>
        <v>1.0008396473481138</v>
      </c>
      <c r="BB406" s="90">
        <f t="shared" si="663"/>
        <v>1.0003195973073926</v>
      </c>
      <c r="BC406" s="90">
        <f t="shared" si="663"/>
        <v>1.000079873799397</v>
      </c>
      <c r="BD406" s="90">
        <f t="shared" si="663"/>
        <v>1.0000349419962862</v>
      </c>
      <c r="BE406" s="90">
        <f t="shared" si="663"/>
        <v>1.0000149746180225</v>
      </c>
      <c r="BF406" s="90">
        <f t="shared" si="663"/>
        <v>1.0000049914645956</v>
      </c>
      <c r="BG406" s="22"/>
      <c r="BH406" s="22"/>
      <c r="BI406" s="91">
        <f>$A$37</f>
        <v>20143</v>
      </c>
      <c r="BJ406" s="105"/>
      <c r="BK406" s="90">
        <f t="shared" ref="BK406:BR413" si="664">IFERROR(BL393/BK393,"")</f>
        <v>1.0081870988913586</v>
      </c>
      <c r="BL406" s="90">
        <f t="shared" si="664"/>
        <v>1.0008556845980128</v>
      </c>
      <c r="BM406" s="90">
        <f t="shared" si="664"/>
        <v>1.0002413985019882</v>
      </c>
      <c r="BN406" s="90">
        <f t="shared" si="664"/>
        <v>1.0000670389563375</v>
      </c>
      <c r="BO406" s="90">
        <f t="shared" si="664"/>
        <v>1.0000100551693625</v>
      </c>
      <c r="BP406" s="90">
        <f t="shared" si="664"/>
        <v>1</v>
      </c>
      <c r="BQ406" s="90">
        <f t="shared" si="664"/>
        <v>1.0000033516894191</v>
      </c>
      <c r="BR406" s="90">
        <f t="shared" si="664"/>
        <v>1.0000033516781852</v>
      </c>
      <c r="BS406" s="22"/>
      <c r="BT406" s="22"/>
      <c r="BU406" s="91">
        <f>$A$37</f>
        <v>20143</v>
      </c>
      <c r="BV406" s="105"/>
      <c r="BW406" s="90">
        <f t="shared" ref="BW406:CD413" si="665">IFERROR(BX393/BW393,"")</f>
        <v>1.1428571428571428</v>
      </c>
      <c r="BX406" s="90">
        <f t="shared" si="665"/>
        <v>1</v>
      </c>
      <c r="BY406" s="90">
        <f t="shared" si="665"/>
        <v>1.09375</v>
      </c>
      <c r="BZ406" s="90">
        <f t="shared" si="665"/>
        <v>1</v>
      </c>
      <c r="CA406" s="90">
        <f t="shared" si="665"/>
        <v>1</v>
      </c>
      <c r="CB406" s="90">
        <f t="shared" si="665"/>
        <v>1</v>
      </c>
      <c r="CC406" s="90">
        <f t="shared" si="665"/>
        <v>1</v>
      </c>
      <c r="CD406" s="90">
        <f t="shared" si="665"/>
        <v>1</v>
      </c>
      <c r="CE406" s="22"/>
      <c r="CF406" s="22"/>
      <c r="CG406" s="91">
        <f>$A$37</f>
        <v>20143</v>
      </c>
      <c r="CH406" s="105"/>
      <c r="CI406" s="90" t="str">
        <f t="shared" ref="CI406:CP413" si="666">IFERROR(CJ393/CI393,"")</f>
        <v/>
      </c>
      <c r="CJ406" s="90" t="str">
        <f t="shared" si="666"/>
        <v/>
      </c>
      <c r="CK406" s="90" t="str">
        <f t="shared" si="666"/>
        <v/>
      </c>
      <c r="CL406" s="90" t="str">
        <f t="shared" si="666"/>
        <v/>
      </c>
      <c r="CM406" s="90" t="str">
        <f t="shared" si="666"/>
        <v/>
      </c>
      <c r="CN406" s="90" t="str">
        <f t="shared" si="666"/>
        <v/>
      </c>
      <c r="CO406" s="90" t="str">
        <f t="shared" si="666"/>
        <v/>
      </c>
      <c r="CP406" s="90" t="str">
        <f t="shared" si="666"/>
        <v/>
      </c>
      <c r="CQ406" s="22"/>
      <c r="CR406" s="22"/>
      <c r="CS406" s="91">
        <f>$A$37</f>
        <v>20143</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20143</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20153</v>
      </c>
      <c r="B407" s="105"/>
      <c r="C407" s="90">
        <f t="shared" si="659"/>
        <v>1.1206864997864856</v>
      </c>
      <c r="D407" s="90">
        <f t="shared" si="659"/>
        <v>1.026503604780568</v>
      </c>
      <c r="E407" s="90">
        <f t="shared" si="659"/>
        <v>1.007860097337937</v>
      </c>
      <c r="F407" s="90">
        <f t="shared" si="659"/>
        <v>1.0032855505928022</v>
      </c>
      <c r="G407" s="90">
        <f t="shared" si="659"/>
        <v>1.0007108977123078</v>
      </c>
      <c r="H407" s="90">
        <f t="shared" si="659"/>
        <v>1.0003551963478827</v>
      </c>
      <c r="I407" s="90">
        <f t="shared" si="659"/>
        <v>1.0001979079960652</v>
      </c>
      <c r="J407" s="22"/>
      <c r="K407" s="22"/>
      <c r="L407" s="22"/>
      <c r="M407" s="91">
        <f>$A$38</f>
        <v>20153</v>
      </c>
      <c r="N407" s="105"/>
      <c r="O407" s="90">
        <f t="shared" si="660"/>
        <v>1.5301017935046048</v>
      </c>
      <c r="P407" s="90">
        <f t="shared" si="660"/>
        <v>1.0300956725590826</v>
      </c>
      <c r="Q407" s="90">
        <f t="shared" si="660"/>
        <v>1.0071349489482102</v>
      </c>
      <c r="R407" s="90">
        <f t="shared" si="660"/>
        <v>1.0016489556614145</v>
      </c>
      <c r="S407" s="90">
        <f t="shared" si="660"/>
        <v>1.0003658313517469</v>
      </c>
      <c r="T407" s="90">
        <f t="shared" si="660"/>
        <v>1.0000609495946853</v>
      </c>
      <c r="U407" s="90">
        <f t="shared" si="660"/>
        <v>1.0001218917601171</v>
      </c>
      <c r="V407" s="22"/>
      <c r="W407" s="22"/>
      <c r="X407" s="22"/>
      <c r="Y407" s="91">
        <f>$A$38</f>
        <v>20153</v>
      </c>
      <c r="Z407" s="105"/>
      <c r="AA407" s="90">
        <f t="shared" si="661"/>
        <v>1.2937371727097455</v>
      </c>
      <c r="AB407" s="90">
        <f t="shared" si="661"/>
        <v>1.0593692914142872</v>
      </c>
      <c r="AC407" s="90">
        <f t="shared" si="661"/>
        <v>1.0145210328084584</v>
      </c>
      <c r="AD407" s="90">
        <f t="shared" si="661"/>
        <v>1.007603882452923</v>
      </c>
      <c r="AE407" s="90">
        <f t="shared" si="661"/>
        <v>1.0024859058019266</v>
      </c>
      <c r="AF407" s="90">
        <f t="shared" si="661"/>
        <v>1.0011955896027986</v>
      </c>
      <c r="AG407" s="90">
        <f t="shared" si="661"/>
        <v>1.0006634232640426</v>
      </c>
      <c r="AH407" s="22"/>
      <c r="AI407" s="22"/>
      <c r="AJ407" s="22"/>
      <c r="AK407" s="91">
        <f>$A$38</f>
        <v>20153</v>
      </c>
      <c r="AL407" s="105"/>
      <c r="AM407" s="90">
        <f t="shared" si="662"/>
        <v>1.0259540242998118</v>
      </c>
      <c r="AN407" s="90">
        <f t="shared" si="662"/>
        <v>1.0029689758701212</v>
      </c>
      <c r="AO407" s="90">
        <f t="shared" si="662"/>
        <v>1.0010089027351243</v>
      </c>
      <c r="AP407" s="90">
        <f t="shared" si="662"/>
        <v>1.0003101187311714</v>
      </c>
      <c r="AQ407" s="90">
        <f t="shared" si="662"/>
        <v>1.0001550112936799</v>
      </c>
      <c r="AR407" s="90">
        <f t="shared" si="662"/>
        <v>1.0000442820768294</v>
      </c>
      <c r="AS407" s="90">
        <f t="shared" si="662"/>
        <v>1.0000110700290035</v>
      </c>
      <c r="AT407" s="22"/>
      <c r="AU407" s="22"/>
      <c r="AV407" s="22"/>
      <c r="AW407" s="91">
        <f>$A$38</f>
        <v>20153</v>
      </c>
      <c r="AX407" s="105"/>
      <c r="AY407" s="90">
        <f t="shared" si="663"/>
        <v>1.0261183421117306</v>
      </c>
      <c r="AZ407" s="90">
        <f t="shared" si="663"/>
        <v>1.0031229894287983</v>
      </c>
      <c r="BA407" s="90">
        <f t="shared" si="663"/>
        <v>1.0008333255306598</v>
      </c>
      <c r="BB407" s="90">
        <f t="shared" si="663"/>
        <v>1.0002479184208064</v>
      </c>
      <c r="BC407" s="90">
        <f t="shared" si="663"/>
        <v>1.0000935309330179</v>
      </c>
      <c r="BD407" s="90">
        <f t="shared" si="663"/>
        <v>1.0000561133114803</v>
      </c>
      <c r="BE407" s="90">
        <f t="shared" si="663"/>
        <v>1.0000187033876511</v>
      </c>
      <c r="BF407" s="22"/>
      <c r="BG407" s="22"/>
      <c r="BH407" s="22"/>
      <c r="BI407" s="91">
        <f>$A$38</f>
        <v>20153</v>
      </c>
      <c r="BJ407" s="105"/>
      <c r="BK407" s="90">
        <f t="shared" si="664"/>
        <v>1.0094172122475891</v>
      </c>
      <c r="BL407" s="90">
        <f t="shared" si="664"/>
        <v>1.000723017473935</v>
      </c>
      <c r="BM407" s="90">
        <f t="shared" si="664"/>
        <v>1.0001760702338092</v>
      </c>
      <c r="BN407" s="90">
        <f t="shared" si="664"/>
        <v>1.000039457070707</v>
      </c>
      <c r="BO407" s="90">
        <f t="shared" si="664"/>
        <v>1.0000060700790627</v>
      </c>
      <c r="BP407" s="90">
        <f t="shared" si="664"/>
        <v>1.0000091050633257</v>
      </c>
      <c r="BQ407" s="90">
        <f t="shared" si="664"/>
        <v>1.0000030349934748</v>
      </c>
      <c r="BR407" s="22"/>
      <c r="BS407" s="22"/>
      <c r="BT407" s="22"/>
      <c r="BU407" s="91">
        <f>$A$38</f>
        <v>20153</v>
      </c>
      <c r="BV407" s="105"/>
      <c r="BW407" s="90">
        <f t="shared" si="665"/>
        <v>1.3235294117647058</v>
      </c>
      <c r="BX407" s="90">
        <f t="shared" si="665"/>
        <v>1</v>
      </c>
      <c r="BY407" s="90">
        <f t="shared" si="665"/>
        <v>1</v>
      </c>
      <c r="BZ407" s="90">
        <f t="shared" si="665"/>
        <v>1</v>
      </c>
      <c r="CA407" s="90">
        <f t="shared" si="665"/>
        <v>1</v>
      </c>
      <c r="CB407" s="90">
        <f t="shared" si="665"/>
        <v>1</v>
      </c>
      <c r="CC407" s="90">
        <f t="shared" si="665"/>
        <v>1</v>
      </c>
      <c r="CD407" s="22"/>
      <c r="CE407" s="22"/>
      <c r="CF407" s="22"/>
      <c r="CG407" s="91">
        <f>$A$38</f>
        <v>20153</v>
      </c>
      <c r="CH407" s="105"/>
      <c r="CI407" s="90" t="str">
        <f t="shared" si="666"/>
        <v/>
      </c>
      <c r="CJ407" s="90" t="str">
        <f t="shared" si="666"/>
        <v/>
      </c>
      <c r="CK407" s="90" t="str">
        <f t="shared" si="666"/>
        <v/>
      </c>
      <c r="CL407" s="90" t="str">
        <f t="shared" si="666"/>
        <v/>
      </c>
      <c r="CM407" s="90" t="str">
        <f t="shared" si="666"/>
        <v/>
      </c>
      <c r="CN407" s="90" t="str">
        <f t="shared" si="666"/>
        <v/>
      </c>
      <c r="CO407" s="90" t="str">
        <f t="shared" si="666"/>
        <v/>
      </c>
      <c r="CP407" s="22"/>
      <c r="CQ407" s="22"/>
      <c r="CR407" s="22"/>
      <c r="CS407" s="91">
        <f>$A$38</f>
        <v>20153</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20153</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20163</v>
      </c>
      <c r="B408" s="105"/>
      <c r="C408" s="90">
        <f t="shared" si="659"/>
        <v>1.1187610892540307</v>
      </c>
      <c r="D408" s="90">
        <f t="shared" si="659"/>
        <v>1.0263575245647303</v>
      </c>
      <c r="E408" s="90">
        <f t="shared" si="659"/>
        <v>1.0094000011197142</v>
      </c>
      <c r="F408" s="90">
        <f t="shared" si="659"/>
        <v>1.0027954031148778</v>
      </c>
      <c r="G408" s="90">
        <f t="shared" si="659"/>
        <v>1.0011061946902655</v>
      </c>
      <c r="H408" s="90">
        <f t="shared" si="659"/>
        <v>1.0006243093922651</v>
      </c>
      <c r="I408" s="22"/>
      <c r="J408" s="22"/>
      <c r="K408" s="22"/>
      <c r="L408" s="22"/>
      <c r="M408" s="91">
        <f>$A$39</f>
        <v>20163</v>
      </c>
      <c r="N408" s="105"/>
      <c r="O408" s="90">
        <f t="shared" si="660"/>
        <v>1.4247011952191235</v>
      </c>
      <c r="P408" s="90">
        <f t="shared" si="660"/>
        <v>1.0301391996022868</v>
      </c>
      <c r="Q408" s="90">
        <f t="shared" si="660"/>
        <v>1.0061531036978946</v>
      </c>
      <c r="R408" s="90">
        <f t="shared" si="660"/>
        <v>1.0017387133521194</v>
      </c>
      <c r="S408" s="90">
        <f t="shared" si="660"/>
        <v>1.0008977735216662</v>
      </c>
      <c r="T408" s="90">
        <f t="shared" si="660"/>
        <v>1.0002391915326196</v>
      </c>
      <c r="U408" s="22"/>
      <c r="V408" s="22"/>
      <c r="W408" s="22"/>
      <c r="X408" s="22"/>
      <c r="Y408" s="91">
        <f>$A$39</f>
        <v>20163</v>
      </c>
      <c r="Z408" s="105"/>
      <c r="AA408" s="90">
        <f t="shared" si="661"/>
        <v>1.2863692094461325</v>
      </c>
      <c r="AB408" s="90">
        <f t="shared" si="661"/>
        <v>1.0534582072852348</v>
      </c>
      <c r="AC408" s="90">
        <f t="shared" si="661"/>
        <v>1.0146335706699185</v>
      </c>
      <c r="AD408" s="90">
        <f t="shared" si="661"/>
        <v>1.0060481525995426</v>
      </c>
      <c r="AE408" s="90">
        <f t="shared" si="661"/>
        <v>1.0029288219199199</v>
      </c>
      <c r="AF408" s="90">
        <f t="shared" si="661"/>
        <v>1.0018059558117196</v>
      </c>
      <c r="AG408" s="22"/>
      <c r="AH408" s="22"/>
      <c r="AI408" s="22"/>
      <c r="AJ408" s="22"/>
      <c r="AK408" s="91">
        <f>$A$39</f>
        <v>20163</v>
      </c>
      <c r="AL408" s="105"/>
      <c r="AM408" s="90">
        <f t="shared" si="662"/>
        <v>1.0273376321786938</v>
      </c>
      <c r="AN408" s="90">
        <f t="shared" si="662"/>
        <v>1.0028071577265176</v>
      </c>
      <c r="AO408" s="90">
        <f t="shared" si="662"/>
        <v>1.00078632012665</v>
      </c>
      <c r="AP408" s="90">
        <f t="shared" si="662"/>
        <v>1.0002723768018773</v>
      </c>
      <c r="AQ408" s="90">
        <f t="shared" si="662"/>
        <v>1.0001989903856223</v>
      </c>
      <c r="AR408" s="90">
        <f t="shared" si="662"/>
        <v>1.0000628265672611</v>
      </c>
      <c r="AS408" s="22"/>
      <c r="AT408" s="22"/>
      <c r="AU408" s="22"/>
      <c r="AV408" s="22"/>
      <c r="AW408" s="91">
        <f>$A$39</f>
        <v>20163</v>
      </c>
      <c r="AX408" s="105"/>
      <c r="AY408" s="90">
        <f t="shared" si="663"/>
        <v>1.0280905492196064</v>
      </c>
      <c r="AZ408" s="90">
        <f t="shared" si="663"/>
        <v>1.003057430348741</v>
      </c>
      <c r="BA408" s="90">
        <f t="shared" si="663"/>
        <v>1.0009267311425585</v>
      </c>
      <c r="BB408" s="90">
        <f t="shared" si="663"/>
        <v>1.0003159377427127</v>
      </c>
      <c r="BC408" s="90">
        <f t="shared" si="663"/>
        <v>1.000135985787292</v>
      </c>
      <c r="BD408" s="90">
        <f t="shared" si="663"/>
        <v>1.0000482464604643</v>
      </c>
      <c r="BE408" s="22"/>
      <c r="BF408" s="22"/>
      <c r="BG408" s="22"/>
      <c r="BH408" s="22"/>
      <c r="BI408" s="91">
        <f>$A$39</f>
        <v>20163</v>
      </c>
      <c r="BJ408" s="105"/>
      <c r="BK408" s="90">
        <f t="shared" si="664"/>
        <v>1.0095519966865703</v>
      </c>
      <c r="BL408" s="90">
        <f t="shared" si="664"/>
        <v>1.000794878588706</v>
      </c>
      <c r="BM408" s="90">
        <f t="shared" si="664"/>
        <v>1.0002135073275715</v>
      </c>
      <c r="BN408" s="90">
        <f t="shared" si="664"/>
        <v>1.000054076977154</v>
      </c>
      <c r="BO408" s="90">
        <f t="shared" si="664"/>
        <v>1.0000199220195236</v>
      </c>
      <c r="BP408" s="90">
        <f t="shared" si="664"/>
        <v>1.0000085378382764</v>
      </c>
      <c r="BQ408" s="22"/>
      <c r="BR408" s="22"/>
      <c r="BS408" s="22"/>
      <c r="BT408" s="22"/>
      <c r="BU408" s="91">
        <f>$A$39</f>
        <v>20163</v>
      </c>
      <c r="BV408" s="105"/>
      <c r="BW408" s="90">
        <f t="shared" si="665"/>
        <v>1.3157894736842106</v>
      </c>
      <c r="BX408" s="90">
        <f t="shared" si="665"/>
        <v>1.04</v>
      </c>
      <c r="BY408" s="90">
        <f t="shared" si="665"/>
        <v>1</v>
      </c>
      <c r="BZ408" s="90">
        <f t="shared" si="665"/>
        <v>1</v>
      </c>
      <c r="CA408" s="90">
        <f t="shared" si="665"/>
        <v>1</v>
      </c>
      <c r="CB408" s="90">
        <f t="shared" si="665"/>
        <v>1</v>
      </c>
      <c r="CC408" s="22"/>
      <c r="CD408" s="22"/>
      <c r="CE408" s="22"/>
      <c r="CF408" s="22"/>
      <c r="CG408" s="91">
        <f>$A$39</f>
        <v>20163</v>
      </c>
      <c r="CH408" s="105"/>
      <c r="CI408" s="90" t="str">
        <f t="shared" si="666"/>
        <v/>
      </c>
      <c r="CJ408" s="90" t="str">
        <f t="shared" si="666"/>
        <v/>
      </c>
      <c r="CK408" s="90" t="str">
        <f t="shared" si="666"/>
        <v/>
      </c>
      <c r="CL408" s="90" t="str">
        <f t="shared" si="666"/>
        <v/>
      </c>
      <c r="CM408" s="90" t="str">
        <f t="shared" si="666"/>
        <v/>
      </c>
      <c r="CN408" s="90" t="str">
        <f t="shared" si="666"/>
        <v/>
      </c>
      <c r="CO408" s="22"/>
      <c r="CP408" s="22"/>
      <c r="CQ408" s="22"/>
      <c r="CR408" s="22"/>
      <c r="CS408" s="91">
        <f>$A$39</f>
        <v>20163</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20163</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20173</v>
      </c>
      <c r="B409" s="105"/>
      <c r="C409" s="90">
        <f t="shared" si="659"/>
        <v>1.1115890704701257</v>
      </c>
      <c r="D409" s="90">
        <f t="shared" si="659"/>
        <v>1.028205158182711</v>
      </c>
      <c r="E409" s="90">
        <f t="shared" si="659"/>
        <v>1.0086018204249174</v>
      </c>
      <c r="F409" s="90">
        <f t="shared" si="659"/>
        <v>1.0039401147650022</v>
      </c>
      <c r="G409" s="90">
        <f t="shared" si="659"/>
        <v>1.0024030768366974</v>
      </c>
      <c r="H409" s="22"/>
      <c r="I409" s="22"/>
      <c r="J409" s="22"/>
      <c r="K409" s="22"/>
      <c r="L409" s="22"/>
      <c r="M409" s="91">
        <f>$A$40</f>
        <v>20173</v>
      </c>
      <c r="N409" s="105"/>
      <c r="O409" s="90">
        <f t="shared" si="660"/>
        <v>1.4213623395149786</v>
      </c>
      <c r="P409" s="90">
        <f t="shared" si="660"/>
        <v>1.0333709697653997</v>
      </c>
      <c r="Q409" s="90">
        <f t="shared" si="660"/>
        <v>1.0062522763141921</v>
      </c>
      <c r="R409" s="90">
        <f t="shared" si="660"/>
        <v>1.001146166375098</v>
      </c>
      <c r="S409" s="90">
        <f t="shared" si="660"/>
        <v>1.000301277416245</v>
      </c>
      <c r="T409" s="22"/>
      <c r="U409" s="22"/>
      <c r="V409" s="22"/>
      <c r="W409" s="22"/>
      <c r="X409" s="22"/>
      <c r="Y409" s="91">
        <f>$A$40</f>
        <v>20173</v>
      </c>
      <c r="Z409" s="105"/>
      <c r="AA409" s="90">
        <f t="shared" si="661"/>
        <v>1.2891337954420785</v>
      </c>
      <c r="AB409" s="90">
        <f t="shared" si="661"/>
        <v>1.0522997176124715</v>
      </c>
      <c r="AC409" s="90">
        <f t="shared" si="661"/>
        <v>1.0125353821269714</v>
      </c>
      <c r="AD409" s="90">
        <f t="shared" si="661"/>
        <v>1.0066076096427534</v>
      </c>
      <c r="AE409" s="90">
        <f t="shared" si="661"/>
        <v>1.00324605063839</v>
      </c>
      <c r="AF409" s="22"/>
      <c r="AG409" s="22"/>
      <c r="AH409" s="22"/>
      <c r="AI409" s="22"/>
      <c r="AJ409" s="22"/>
      <c r="AK409" s="91">
        <f>$A$40</f>
        <v>20173</v>
      </c>
      <c r="AL409" s="105"/>
      <c r="AM409" s="90">
        <f t="shared" si="662"/>
        <v>1.0241988799875554</v>
      </c>
      <c r="AN409" s="90">
        <f t="shared" si="662"/>
        <v>1.0024680810669704</v>
      </c>
      <c r="AO409" s="90">
        <f t="shared" si="662"/>
        <v>1.0007480706405947</v>
      </c>
      <c r="AP409" s="90">
        <f t="shared" si="662"/>
        <v>1.0003974111502214</v>
      </c>
      <c r="AQ409" s="90">
        <f t="shared" si="662"/>
        <v>1.0000662088795567</v>
      </c>
      <c r="AR409" s="22"/>
      <c r="AS409" s="22"/>
      <c r="AT409" s="22"/>
      <c r="AU409" s="22"/>
      <c r="AV409" s="22"/>
      <c r="AW409" s="91">
        <f>$A$40</f>
        <v>20173</v>
      </c>
      <c r="AX409" s="105"/>
      <c r="AY409" s="90">
        <f t="shared" si="663"/>
        <v>1.0240390606918406</v>
      </c>
      <c r="AZ409" s="90">
        <f t="shared" si="663"/>
        <v>1.0033162810711196</v>
      </c>
      <c r="BA409" s="90">
        <f t="shared" si="663"/>
        <v>1.0011566452954428</v>
      </c>
      <c r="BB409" s="90">
        <f t="shared" si="663"/>
        <v>1.0004283730047121</v>
      </c>
      <c r="BC409" s="90">
        <f t="shared" si="663"/>
        <v>1.0001038035345104</v>
      </c>
      <c r="BD409" s="22"/>
      <c r="BE409" s="22"/>
      <c r="BF409" s="22"/>
      <c r="BG409" s="22"/>
      <c r="BH409" s="22"/>
      <c r="BI409" s="91">
        <f>$A$40</f>
        <v>20173</v>
      </c>
      <c r="BJ409" s="105"/>
      <c r="BK409" s="90">
        <f t="shared" si="664"/>
        <v>1.008538676438381</v>
      </c>
      <c r="BL409" s="90">
        <f t="shared" si="664"/>
        <v>1.0008712669916926</v>
      </c>
      <c r="BM409" s="90">
        <f t="shared" si="664"/>
        <v>1.0001481716674605</v>
      </c>
      <c r="BN409" s="90">
        <f t="shared" si="664"/>
        <v>1.0000820114498565</v>
      </c>
      <c r="BO409" s="90">
        <f t="shared" si="664"/>
        <v>1.0000105812547782</v>
      </c>
      <c r="BP409" s="22"/>
      <c r="BQ409" s="22"/>
      <c r="BR409" s="22"/>
      <c r="BS409" s="22"/>
      <c r="BT409" s="22"/>
      <c r="BU409" s="91">
        <f>$A$40</f>
        <v>20173</v>
      </c>
      <c r="BV409" s="105"/>
      <c r="BW409" s="90">
        <f t="shared" si="665"/>
        <v>1.25</v>
      </c>
      <c r="BX409" s="90">
        <f t="shared" si="665"/>
        <v>1.0333333333333334</v>
      </c>
      <c r="BY409" s="90">
        <f t="shared" si="665"/>
        <v>1</v>
      </c>
      <c r="BZ409" s="90">
        <f t="shared" si="665"/>
        <v>1</v>
      </c>
      <c r="CA409" s="90">
        <f t="shared" si="665"/>
        <v>1</v>
      </c>
      <c r="CB409" s="22"/>
      <c r="CC409" s="22"/>
      <c r="CD409" s="22"/>
      <c r="CE409" s="22"/>
      <c r="CF409" s="22"/>
      <c r="CG409" s="91">
        <f>$A$40</f>
        <v>20173</v>
      </c>
      <c r="CH409" s="105"/>
      <c r="CI409" s="90" t="str">
        <f t="shared" si="666"/>
        <v/>
      </c>
      <c r="CJ409" s="90" t="str">
        <f t="shared" si="666"/>
        <v/>
      </c>
      <c r="CK409" s="90" t="str">
        <f t="shared" si="666"/>
        <v/>
      </c>
      <c r="CL409" s="90" t="str">
        <f t="shared" si="666"/>
        <v/>
      </c>
      <c r="CM409" s="90" t="str">
        <f t="shared" si="666"/>
        <v/>
      </c>
      <c r="CN409" s="22"/>
      <c r="CO409" s="22"/>
      <c r="CP409" s="22"/>
      <c r="CQ409" s="22"/>
      <c r="CR409" s="22"/>
      <c r="CS409" s="91">
        <f>$A$40</f>
        <v>20173</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20173</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20183</v>
      </c>
      <c r="B410" s="105"/>
      <c r="C410" s="90">
        <f t="shared" si="659"/>
        <v>1.1224225178373681</v>
      </c>
      <c r="D410" s="90">
        <f t="shared" si="659"/>
        <v>1.028555371694402</v>
      </c>
      <c r="E410" s="90">
        <f t="shared" si="659"/>
        <v>1.0101992496266345</v>
      </c>
      <c r="F410" s="90">
        <f t="shared" si="659"/>
        <v>1.0056911741727665</v>
      </c>
      <c r="G410" s="22"/>
      <c r="H410" s="22"/>
      <c r="I410" s="22"/>
      <c r="J410" s="22"/>
      <c r="K410" s="22"/>
      <c r="L410" s="22"/>
      <c r="M410" s="91">
        <f>$A$41</f>
        <v>20183</v>
      </c>
      <c r="N410" s="105"/>
      <c r="O410" s="90">
        <f t="shared" si="660"/>
        <v>1.4171550841938785</v>
      </c>
      <c r="P410" s="90">
        <f t="shared" si="660"/>
        <v>1.0307227729271975</v>
      </c>
      <c r="Q410" s="90">
        <f t="shared" si="660"/>
        <v>1.0054773581300553</v>
      </c>
      <c r="R410" s="90">
        <f t="shared" si="660"/>
        <v>1.0022170139988598</v>
      </c>
      <c r="S410" s="22"/>
      <c r="T410" s="22"/>
      <c r="U410" s="22"/>
      <c r="V410" s="22"/>
      <c r="W410" s="22"/>
      <c r="X410" s="22"/>
      <c r="Y410" s="91">
        <f>$A$41</f>
        <v>20183</v>
      </c>
      <c r="Z410" s="105"/>
      <c r="AA410" s="90">
        <f t="shared" si="661"/>
        <v>1.2418881939014856</v>
      </c>
      <c r="AB410" s="90">
        <f t="shared" si="661"/>
        <v>1.0465491461399228</v>
      </c>
      <c r="AC410" s="90">
        <f t="shared" si="661"/>
        <v>1.0151144865962327</v>
      </c>
      <c r="AD410" s="90">
        <f t="shared" si="661"/>
        <v>1.0071854513130116</v>
      </c>
      <c r="AE410" s="22"/>
      <c r="AF410" s="22"/>
      <c r="AG410" s="22"/>
      <c r="AH410" s="22"/>
      <c r="AI410" s="22"/>
      <c r="AJ410" s="22"/>
      <c r="AK410" s="91">
        <f>$A$41</f>
        <v>20183</v>
      </c>
      <c r="AL410" s="105"/>
      <c r="AM410" s="90">
        <f t="shared" si="662"/>
        <v>1.0251280927485418</v>
      </c>
      <c r="AN410" s="90">
        <f t="shared" si="662"/>
        <v>1.0027891731221434</v>
      </c>
      <c r="AO410" s="90">
        <f t="shared" si="662"/>
        <v>1.0008831501050643</v>
      </c>
      <c r="AP410" s="90">
        <f t="shared" si="662"/>
        <v>1.0002332704517334</v>
      </c>
      <c r="AQ410" s="22"/>
      <c r="AR410" s="22"/>
      <c r="AS410" s="22"/>
      <c r="AT410" s="22"/>
      <c r="AU410" s="22"/>
      <c r="AV410" s="22"/>
      <c r="AW410" s="91">
        <f>$A$41</f>
        <v>20183</v>
      </c>
      <c r="AX410" s="105"/>
      <c r="AY410" s="90">
        <f t="shared" si="663"/>
        <v>1.0228612777479518</v>
      </c>
      <c r="AZ410" s="90">
        <f t="shared" si="663"/>
        <v>1.0037060364579053</v>
      </c>
      <c r="BA410" s="90">
        <f t="shared" si="663"/>
        <v>1.0013914530225452</v>
      </c>
      <c r="BB410" s="90">
        <f t="shared" si="663"/>
        <v>1.0003133230405958</v>
      </c>
      <c r="BC410" s="22"/>
      <c r="BD410" s="22"/>
      <c r="BE410" s="22"/>
      <c r="BF410" s="22"/>
      <c r="BG410" s="22"/>
      <c r="BH410" s="22"/>
      <c r="BI410" s="91">
        <f>$A$41</f>
        <v>20183</v>
      </c>
      <c r="BJ410" s="105"/>
      <c r="BK410" s="90">
        <f t="shared" si="664"/>
        <v>1.0075836388959949</v>
      </c>
      <c r="BL410" s="90">
        <f t="shared" si="664"/>
        <v>1.0008152833180057</v>
      </c>
      <c r="BM410" s="90">
        <f t="shared" si="664"/>
        <v>1.0002677813889116</v>
      </c>
      <c r="BN410" s="90">
        <f t="shared" si="664"/>
        <v>1.0000732679182329</v>
      </c>
      <c r="BO410" s="22"/>
      <c r="BP410" s="22"/>
      <c r="BQ410" s="22"/>
      <c r="BR410" s="22"/>
      <c r="BS410" s="22"/>
      <c r="BT410" s="22"/>
      <c r="BU410" s="91">
        <f>$A$41</f>
        <v>20183</v>
      </c>
      <c r="BV410" s="105"/>
      <c r="BW410" s="90">
        <f t="shared" si="665"/>
        <v>1.2</v>
      </c>
      <c r="BX410" s="90">
        <f t="shared" si="665"/>
        <v>1.0277777777777777</v>
      </c>
      <c r="BY410" s="90">
        <f t="shared" si="665"/>
        <v>1.027027027027027</v>
      </c>
      <c r="BZ410" s="90">
        <f t="shared" si="665"/>
        <v>1</v>
      </c>
      <c r="CA410" s="22"/>
      <c r="CB410" s="22"/>
      <c r="CC410" s="22"/>
      <c r="CD410" s="22"/>
      <c r="CE410" s="22"/>
      <c r="CF410" s="22"/>
      <c r="CG410" s="91">
        <f>$A$41</f>
        <v>20183</v>
      </c>
      <c r="CH410" s="105"/>
      <c r="CI410" s="90" t="str">
        <f t="shared" si="666"/>
        <v/>
      </c>
      <c r="CJ410" s="90" t="str">
        <f t="shared" si="666"/>
        <v/>
      </c>
      <c r="CK410" s="90" t="str">
        <f t="shared" si="666"/>
        <v/>
      </c>
      <c r="CL410" s="90" t="str">
        <f t="shared" si="666"/>
        <v/>
      </c>
      <c r="CM410" s="22"/>
      <c r="CN410" s="22"/>
      <c r="CO410" s="22"/>
      <c r="CP410" s="22"/>
      <c r="CQ410" s="22"/>
      <c r="CR410" s="22"/>
      <c r="CS410" s="91">
        <f>$A$41</f>
        <v>20183</v>
      </c>
      <c r="CT410" s="105"/>
      <c r="CU410" s="90" t="str">
        <f t="shared" si="667"/>
        <v/>
      </c>
      <c r="CV410" s="90" t="str">
        <f t="shared" si="667"/>
        <v/>
      </c>
      <c r="CW410" s="90" t="str">
        <f t="shared" si="667"/>
        <v/>
      </c>
      <c r="CX410" s="90" t="str">
        <f t="shared" si="667"/>
        <v/>
      </c>
      <c r="CY410" s="22"/>
      <c r="CZ410" s="22"/>
      <c r="DA410" s="22"/>
      <c r="DB410" s="22"/>
      <c r="DC410" s="22"/>
      <c r="DD410" s="22"/>
      <c r="DE410" s="91">
        <f>$A$41</f>
        <v>20183</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20193</v>
      </c>
      <c r="B411" s="105"/>
      <c r="C411" s="90">
        <f t="shared" si="659"/>
        <v>1.1354218018240079</v>
      </c>
      <c r="D411" s="90">
        <f t="shared" si="659"/>
        <v>1.0306706014042943</v>
      </c>
      <c r="E411" s="90">
        <f t="shared" si="659"/>
        <v>1.0132037965851797</v>
      </c>
      <c r="F411" s="22"/>
      <c r="G411" s="22"/>
      <c r="H411" s="22"/>
      <c r="I411" s="22"/>
      <c r="J411" s="22"/>
      <c r="K411" s="22"/>
      <c r="L411" s="22"/>
      <c r="M411" s="91">
        <f>$A$42</f>
        <v>20193</v>
      </c>
      <c r="N411" s="105"/>
      <c r="O411" s="90">
        <f t="shared" si="660"/>
        <v>1.3226348199290912</v>
      </c>
      <c r="P411" s="90">
        <f t="shared" si="660"/>
        <v>1.0355530474040633</v>
      </c>
      <c r="Q411" s="90">
        <f t="shared" si="660"/>
        <v>1.0060626702997275</v>
      </c>
      <c r="R411" s="22"/>
      <c r="S411" s="22"/>
      <c r="T411" s="22"/>
      <c r="U411" s="22"/>
      <c r="V411" s="22"/>
      <c r="W411" s="22"/>
      <c r="X411" s="22"/>
      <c r="Y411" s="91">
        <f>$A$42</f>
        <v>20193</v>
      </c>
      <c r="Z411" s="105"/>
      <c r="AA411" s="90">
        <f t="shared" si="661"/>
        <v>1.2779431506449541</v>
      </c>
      <c r="AB411" s="90">
        <f t="shared" si="661"/>
        <v>1.0664078556748116</v>
      </c>
      <c r="AC411" s="90">
        <f t="shared" si="661"/>
        <v>1.0193156023812584</v>
      </c>
      <c r="AD411" s="22"/>
      <c r="AE411" s="22"/>
      <c r="AF411" s="22"/>
      <c r="AG411" s="22"/>
      <c r="AH411" s="22"/>
      <c r="AI411" s="22"/>
      <c r="AJ411" s="22"/>
      <c r="AK411" s="91">
        <f>$A$42</f>
        <v>20193</v>
      </c>
      <c r="AL411" s="105"/>
      <c r="AM411" s="90">
        <f t="shared" si="662"/>
        <v>1.0272810546019355</v>
      </c>
      <c r="AN411" s="90">
        <f t="shared" si="662"/>
        <v>1.0035570287663798</v>
      </c>
      <c r="AO411" s="90">
        <f t="shared" si="662"/>
        <v>1.000965782331978</v>
      </c>
      <c r="AP411" s="22"/>
      <c r="AQ411" s="22"/>
      <c r="AR411" s="22"/>
      <c r="AS411" s="22"/>
      <c r="AT411" s="22"/>
      <c r="AU411" s="22"/>
      <c r="AV411" s="22"/>
      <c r="AW411" s="91">
        <f>$A$42</f>
        <v>20193</v>
      </c>
      <c r="AX411" s="105"/>
      <c r="AY411" s="90">
        <f t="shared" si="663"/>
        <v>1.0232842183120523</v>
      </c>
      <c r="AZ411" s="90">
        <f t="shared" si="663"/>
        <v>1.0037805115816805</v>
      </c>
      <c r="BA411" s="90">
        <f t="shared" si="663"/>
        <v>1.0010611889105758</v>
      </c>
      <c r="BB411" s="22"/>
      <c r="BC411" s="22"/>
      <c r="BD411" s="22"/>
      <c r="BE411" s="22"/>
      <c r="BF411" s="22"/>
      <c r="BG411" s="22"/>
      <c r="BH411" s="22"/>
      <c r="BI411" s="91">
        <f>$A$42</f>
        <v>20193</v>
      </c>
      <c r="BJ411" s="105"/>
      <c r="BK411" s="90">
        <f t="shared" si="664"/>
        <v>1.0076172106824925</v>
      </c>
      <c r="BL411" s="90">
        <f t="shared" si="664"/>
        <v>1.0007539012919395</v>
      </c>
      <c r="BM411" s="90">
        <f t="shared" si="664"/>
        <v>1.0002471875064372</v>
      </c>
      <c r="BN411" s="22"/>
      <c r="BO411" s="22"/>
      <c r="BP411" s="22"/>
      <c r="BQ411" s="22"/>
      <c r="BR411" s="22"/>
      <c r="BS411" s="22"/>
      <c r="BT411" s="22"/>
      <c r="BU411" s="91">
        <f>$A$42</f>
        <v>20193</v>
      </c>
      <c r="BV411" s="105"/>
      <c r="BW411" s="90">
        <f t="shared" si="665"/>
        <v>1.2258064516129032</v>
      </c>
      <c r="BX411" s="90">
        <f t="shared" si="665"/>
        <v>1.0263157894736843</v>
      </c>
      <c r="BY411" s="90">
        <f t="shared" si="665"/>
        <v>1</v>
      </c>
      <c r="BZ411" s="22"/>
      <c r="CA411" s="22"/>
      <c r="CB411" s="22"/>
      <c r="CC411" s="22"/>
      <c r="CD411" s="22"/>
      <c r="CE411" s="22"/>
      <c r="CF411" s="22"/>
      <c r="CG411" s="91">
        <f>$A$42</f>
        <v>20193</v>
      </c>
      <c r="CH411" s="105"/>
      <c r="CI411" s="90" t="str">
        <f t="shared" si="666"/>
        <v/>
      </c>
      <c r="CJ411" s="90" t="str">
        <f t="shared" si="666"/>
        <v/>
      </c>
      <c r="CK411" s="90" t="str">
        <f t="shared" si="666"/>
        <v/>
      </c>
      <c r="CL411" s="22"/>
      <c r="CM411" s="22"/>
      <c r="CN411" s="22"/>
      <c r="CO411" s="22"/>
      <c r="CP411" s="22"/>
      <c r="CQ411" s="22"/>
      <c r="CR411" s="22"/>
      <c r="CS411" s="91">
        <f>$A$42</f>
        <v>20193</v>
      </c>
      <c r="CT411" s="105"/>
      <c r="CU411" s="90" t="str">
        <f t="shared" si="667"/>
        <v/>
      </c>
      <c r="CV411" s="90" t="str">
        <f t="shared" si="667"/>
        <v/>
      </c>
      <c r="CW411" s="90" t="str">
        <f t="shared" si="667"/>
        <v/>
      </c>
      <c r="CX411" s="22"/>
      <c r="CY411" s="22"/>
      <c r="CZ411" s="22"/>
      <c r="DA411" s="22"/>
      <c r="DB411" s="22"/>
      <c r="DC411" s="22"/>
      <c r="DD411" s="22"/>
      <c r="DE411" s="91">
        <f>$A$42</f>
        <v>20193</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20203</v>
      </c>
      <c r="B412" s="105"/>
      <c r="C412" s="90">
        <f t="shared" si="659"/>
        <v>1.094235673134438</v>
      </c>
      <c r="D412" s="90">
        <f t="shared" si="659"/>
        <v>1.0337383598822323</v>
      </c>
      <c r="E412" s="22"/>
      <c r="F412" s="22"/>
      <c r="G412" s="22"/>
      <c r="H412" s="22"/>
      <c r="I412" s="22"/>
      <c r="J412" s="22"/>
      <c r="K412" s="22"/>
      <c r="L412" s="22"/>
      <c r="M412" s="91">
        <f>$A$43</f>
        <v>20203</v>
      </c>
      <c r="N412" s="105"/>
      <c r="O412" s="90">
        <f t="shared" si="660"/>
        <v>1.2817736530033514</v>
      </c>
      <c r="P412" s="90">
        <f t="shared" si="660"/>
        <v>1.0376106194690264</v>
      </c>
      <c r="Q412" s="22"/>
      <c r="R412" s="22"/>
      <c r="S412" s="22"/>
      <c r="T412" s="22"/>
      <c r="U412" s="22"/>
      <c r="V412" s="22"/>
      <c r="W412" s="22"/>
      <c r="X412" s="22"/>
      <c r="Y412" s="91">
        <f>$A$43</f>
        <v>20203</v>
      </c>
      <c r="Z412" s="105"/>
      <c r="AA412" s="90">
        <f t="shared" si="661"/>
        <v>1.3067059690493736</v>
      </c>
      <c r="AB412" s="90">
        <f t="shared" si="661"/>
        <v>1.0645725242499435</v>
      </c>
      <c r="AC412" s="22"/>
      <c r="AD412" s="22"/>
      <c r="AE412" s="22"/>
      <c r="AF412" s="22"/>
      <c r="AG412" s="22"/>
      <c r="AH412" s="22"/>
      <c r="AI412" s="22"/>
      <c r="AJ412" s="22"/>
      <c r="AK412" s="91">
        <f>$A$43</f>
        <v>20203</v>
      </c>
      <c r="AL412" s="105"/>
      <c r="AM412" s="90">
        <f t="shared" si="662"/>
        <v>1.0269698408438783</v>
      </c>
      <c r="AN412" s="90">
        <f t="shared" si="662"/>
        <v>1.0034975225881668</v>
      </c>
      <c r="AO412" s="22"/>
      <c r="AP412" s="22"/>
      <c r="AQ412" s="22"/>
      <c r="AR412" s="22"/>
      <c r="AS412" s="22"/>
      <c r="AT412" s="22"/>
      <c r="AU412" s="22"/>
      <c r="AV412" s="22"/>
      <c r="AW412" s="91">
        <f>$A$43</f>
        <v>20203</v>
      </c>
      <c r="AX412" s="105"/>
      <c r="AY412" s="90">
        <f t="shared" si="663"/>
        <v>1.0225962573958876</v>
      </c>
      <c r="AZ412" s="90">
        <f t="shared" si="663"/>
        <v>1.0036921170822364</v>
      </c>
      <c r="BA412" s="22"/>
      <c r="BB412" s="22"/>
      <c r="BC412" s="22"/>
      <c r="BD412" s="22"/>
      <c r="BE412" s="22"/>
      <c r="BF412" s="22"/>
      <c r="BG412" s="22"/>
      <c r="BH412" s="22"/>
      <c r="BI412" s="91">
        <f>$A$43</f>
        <v>20203</v>
      </c>
      <c r="BJ412" s="105"/>
      <c r="BK412" s="90">
        <f t="shared" si="664"/>
        <v>1.0067400078579847</v>
      </c>
      <c r="BL412" s="90">
        <f t="shared" si="664"/>
        <v>1.0008550435149739</v>
      </c>
      <c r="BM412" s="22"/>
      <c r="BN412" s="22"/>
      <c r="BO412" s="22"/>
      <c r="BP412" s="22"/>
      <c r="BQ412" s="22"/>
      <c r="BR412" s="22"/>
      <c r="BS412" s="22"/>
      <c r="BT412" s="22"/>
      <c r="BU412" s="91">
        <f>$A$43</f>
        <v>20203</v>
      </c>
      <c r="BV412" s="105"/>
      <c r="BW412" s="90">
        <f t="shared" si="665"/>
        <v>1.3076923076923077</v>
      </c>
      <c r="BX412" s="90">
        <f t="shared" si="665"/>
        <v>1</v>
      </c>
      <c r="BY412" s="22"/>
      <c r="BZ412" s="22"/>
      <c r="CA412" s="22"/>
      <c r="CB412" s="22"/>
      <c r="CC412" s="22"/>
      <c r="CD412" s="22"/>
      <c r="CE412" s="22"/>
      <c r="CF412" s="22"/>
      <c r="CG412" s="91">
        <f>$A$43</f>
        <v>20203</v>
      </c>
      <c r="CH412" s="105"/>
      <c r="CI412" s="90" t="str">
        <f t="shared" si="666"/>
        <v/>
      </c>
      <c r="CJ412" s="90" t="str">
        <f t="shared" si="666"/>
        <v/>
      </c>
      <c r="CK412" s="22"/>
      <c r="CL412" s="22"/>
      <c r="CM412" s="22"/>
      <c r="CN412" s="22"/>
      <c r="CO412" s="22"/>
      <c r="CP412" s="22"/>
      <c r="CQ412" s="22"/>
      <c r="CR412" s="22"/>
      <c r="CS412" s="91">
        <f>$A$43</f>
        <v>20203</v>
      </c>
      <c r="CT412" s="105"/>
      <c r="CU412" s="90" t="str">
        <f t="shared" si="667"/>
        <v/>
      </c>
      <c r="CV412" s="90" t="str">
        <f t="shared" si="667"/>
        <v/>
      </c>
      <c r="CW412" s="22"/>
      <c r="CX412" s="22"/>
      <c r="CY412" s="22"/>
      <c r="CZ412" s="22"/>
      <c r="DA412" s="22"/>
      <c r="DB412" s="22"/>
      <c r="DC412" s="22"/>
      <c r="DD412" s="22"/>
      <c r="DE412" s="91">
        <f>$A$43</f>
        <v>20203</v>
      </c>
      <c r="DF412" s="105"/>
      <c r="DG412" s="90" t="str">
        <f t="shared" si="668"/>
        <v/>
      </c>
      <c r="DH412" s="90" t="str">
        <f t="shared" si="668"/>
        <v/>
      </c>
      <c r="DI412" s="22"/>
      <c r="DJ412" s="22"/>
      <c r="DK412" s="22"/>
      <c r="DL412" s="22"/>
      <c r="DM412" s="22"/>
      <c r="DN412" s="22"/>
      <c r="DO412" s="22"/>
      <c r="DP412" s="22"/>
    </row>
    <row r="413" spans="1:120" x14ac:dyDescent="0.25">
      <c r="A413" s="91">
        <f>$A$44</f>
        <v>20213</v>
      </c>
      <c r="B413" s="105"/>
      <c r="C413" s="90">
        <f t="shared" si="659"/>
        <v>1.1563464918531186</v>
      </c>
      <c r="D413" s="22"/>
      <c r="E413" s="22"/>
      <c r="F413" s="22"/>
      <c r="G413" s="22"/>
      <c r="H413" s="22"/>
      <c r="I413" s="22"/>
      <c r="J413" s="22"/>
      <c r="K413" s="22"/>
      <c r="L413" s="22"/>
      <c r="M413" s="91">
        <f>$A$44</f>
        <v>20213</v>
      </c>
      <c r="N413" s="105"/>
      <c r="O413" s="90">
        <f t="shared" si="660"/>
        <v>1.3777128547579298</v>
      </c>
      <c r="P413" s="22"/>
      <c r="Q413" s="22"/>
      <c r="R413" s="22"/>
      <c r="S413" s="22"/>
      <c r="T413" s="22"/>
      <c r="U413" s="22"/>
      <c r="V413" s="22"/>
      <c r="W413" s="22"/>
      <c r="X413" s="22"/>
      <c r="Y413" s="91">
        <f>$A$44</f>
        <v>20213</v>
      </c>
      <c r="Z413" s="105"/>
      <c r="AA413" s="90">
        <f t="shared" si="661"/>
        <v>1.3777601385481311</v>
      </c>
      <c r="AB413" s="22"/>
      <c r="AC413" s="22"/>
      <c r="AD413" s="22"/>
      <c r="AE413" s="22"/>
      <c r="AF413" s="22"/>
      <c r="AG413" s="22"/>
      <c r="AH413" s="22"/>
      <c r="AI413" s="22"/>
      <c r="AJ413" s="22"/>
      <c r="AK413" s="91">
        <f>$A$44</f>
        <v>20213</v>
      </c>
      <c r="AL413" s="105"/>
      <c r="AM413" s="90">
        <f t="shared" si="662"/>
        <v>1.0324131043461202</v>
      </c>
      <c r="AN413" s="22"/>
      <c r="AO413" s="22"/>
      <c r="AP413" s="22"/>
      <c r="AQ413" s="22"/>
      <c r="AR413" s="22"/>
      <c r="AS413" s="22"/>
      <c r="AT413" s="22"/>
      <c r="AU413" s="22"/>
      <c r="AV413" s="22"/>
      <c r="AW413" s="91">
        <f>$A$44</f>
        <v>20213</v>
      </c>
      <c r="AX413" s="105"/>
      <c r="AY413" s="90">
        <f t="shared" si="663"/>
        <v>1.0333624592898563</v>
      </c>
      <c r="AZ413" s="22"/>
      <c r="BA413" s="22"/>
      <c r="BB413" s="22"/>
      <c r="BC413" s="22"/>
      <c r="BD413" s="22"/>
      <c r="BE413" s="22"/>
      <c r="BF413" s="22"/>
      <c r="BG413" s="22"/>
      <c r="BH413" s="22"/>
      <c r="BI413" s="91">
        <f>$A$44</f>
        <v>20213</v>
      </c>
      <c r="BJ413" s="105"/>
      <c r="BK413" s="90">
        <f t="shared" si="664"/>
        <v>1.0105952212946578</v>
      </c>
      <c r="BL413" s="22"/>
      <c r="BM413" s="22"/>
      <c r="BN413" s="22"/>
      <c r="BO413" s="22"/>
      <c r="BP413" s="22"/>
      <c r="BQ413" s="22"/>
      <c r="BR413" s="22"/>
      <c r="BS413" s="22"/>
      <c r="BT413" s="22"/>
      <c r="BU413" s="91">
        <f>$A$44</f>
        <v>20213</v>
      </c>
      <c r="BV413" s="105"/>
      <c r="BW413" s="90">
        <f t="shared" si="665"/>
        <v>1.3333333333333333</v>
      </c>
      <c r="BX413" s="22"/>
      <c r="BY413" s="22"/>
      <c r="BZ413" s="22"/>
      <c r="CA413" s="22"/>
      <c r="CB413" s="22"/>
      <c r="CC413" s="22"/>
      <c r="CD413" s="22"/>
      <c r="CE413" s="22"/>
      <c r="CF413" s="22"/>
      <c r="CG413" s="91">
        <f>$A$44</f>
        <v>20213</v>
      </c>
      <c r="CH413" s="105"/>
      <c r="CI413" s="90" t="str">
        <f t="shared" si="666"/>
        <v/>
      </c>
      <c r="CJ413" s="22"/>
      <c r="CK413" s="22"/>
      <c r="CL413" s="22"/>
      <c r="CM413" s="22"/>
      <c r="CN413" s="22"/>
      <c r="CO413" s="22"/>
      <c r="CP413" s="22"/>
      <c r="CQ413" s="22"/>
      <c r="CR413" s="22"/>
      <c r="CS413" s="91">
        <f>$A$44</f>
        <v>20213</v>
      </c>
      <c r="CT413" s="105"/>
      <c r="CU413" s="90" t="str">
        <f t="shared" si="667"/>
        <v/>
      </c>
      <c r="CV413" s="22"/>
      <c r="CW413" s="22"/>
      <c r="CX413" s="22"/>
      <c r="CY413" s="22"/>
      <c r="CZ413" s="22"/>
      <c r="DA413" s="22"/>
      <c r="DB413" s="22"/>
      <c r="DC413" s="22"/>
      <c r="DD413" s="22"/>
      <c r="DE413" s="91">
        <f>$A$44</f>
        <v>20213</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1.1284296895458117</v>
      </c>
      <c r="D415" s="93">
        <f>IFERROR(SUM(E397:E399)/SUM(D397:D399),1)</f>
        <v>1.0306248072594295</v>
      </c>
      <c r="E415" s="93">
        <f>IFERROR(SUM(F396:F398)/SUM(E396:E398),1)</f>
        <v>1.0105555521717151</v>
      </c>
      <c r="F415" s="93">
        <f>IFERROR(SUM(G395:G397)/SUM(F395:F397),1)</f>
        <v>1.0041022705590537</v>
      </c>
      <c r="G415" s="93">
        <f>IFERROR(SUM(H394:H396)/SUM(G394:G396),1)</f>
        <v>1.0014137099708023</v>
      </c>
      <c r="H415" s="93">
        <f>IFERROR(SUM(I393:I395)/SUM(H393:H395),1)</f>
        <v>1.0003948471474724</v>
      </c>
      <c r="I415" s="93">
        <f>IFERROR(SUM(J392:J394)/SUM(I392:I394),1)</f>
        <v>1.0001110096948467</v>
      </c>
      <c r="J415" s="93">
        <f>IFERROR(SUM(K392:K393)/SUM(J392:J393),1)</f>
        <v>1.0000635592547042</v>
      </c>
      <c r="K415" s="93">
        <f>IFERROR(SUM(L392:L392)/SUM(K392:K392),1)</f>
        <v>1.0000130505709626</v>
      </c>
      <c r="L415" s="93">
        <v>1</v>
      </c>
      <c r="M415" s="285" t="s">
        <v>37</v>
      </c>
      <c r="N415" s="107"/>
      <c r="O415" s="93">
        <f>IFERROR(SUM(P398:P400)/SUM(O398:O400),1)</f>
        <v>1.3257091645885286</v>
      </c>
      <c r="P415" s="93">
        <f>IFERROR(SUM(Q397:Q399)/SUM(P397:P399),1)</f>
        <v>1.0342032373643686</v>
      </c>
      <c r="Q415" s="93">
        <f>IFERROR(SUM(R396:R398)/SUM(Q396:Q398),1)</f>
        <v>1.0059331981645503</v>
      </c>
      <c r="R415" s="93">
        <f>IFERROR(SUM(S395:S397)/SUM(R395:R397),1)</f>
        <v>1.0016923923903513</v>
      </c>
      <c r="S415" s="93">
        <f>IFERROR(SUM(T394:T396)/SUM(S394:S396),1)</f>
        <v>1.000523086208631</v>
      </c>
      <c r="T415" s="93">
        <f>IFERROR(SUM(U393:U395)/SUM(T393:T395),1)</f>
        <v>1.0001815101645692</v>
      </c>
      <c r="U415" s="93">
        <f>IFERROR(SUM(V392:V394)/SUM(U392:U394),1)</f>
        <v>1.0001628233570106</v>
      </c>
      <c r="V415" s="93">
        <f>IFERROR(SUM(W392:W393)/SUM(V392:V393),1)</f>
        <v>0.99996944792398645</v>
      </c>
      <c r="W415" s="93">
        <f>IFERROR(SUM(X392:X392)/SUM(W392:W392),1)</f>
        <v>1</v>
      </c>
      <c r="X415" s="93">
        <v>1</v>
      </c>
      <c r="Y415" s="285" t="s">
        <v>37</v>
      </c>
      <c r="Z415" s="107"/>
      <c r="AA415" s="93">
        <f>IFERROR(SUM(AB398:AB400)/SUM(AA398:AA400),1)</f>
        <v>1.31774421579408</v>
      </c>
      <c r="AB415" s="93">
        <f>IFERROR(SUM(AC397:AC399)/SUM(AB397:AB399),1)</f>
        <v>1.0581479374548362</v>
      </c>
      <c r="AC415" s="93">
        <f>IFERROR(SUM(AD396:AD398)/SUM(AC396:AC398),1)</f>
        <v>1.0154765453862007</v>
      </c>
      <c r="AD415" s="93">
        <f>IFERROR(SUM(AE395:AE397)/SUM(AD395:AD397),1)</f>
        <v>1.0066221868153755</v>
      </c>
      <c r="AE415" s="93">
        <f>IFERROR(SUM(AF394:AF396)/SUM(AE394:AE396),1)</f>
        <v>1.0029133093619591</v>
      </c>
      <c r="AF415" s="93">
        <f>IFERROR(SUM(AG393:AG395)/SUM(AF393:AF395),1)</f>
        <v>1.0014141178528735</v>
      </c>
      <c r="AG415" s="93">
        <f>IFERROR(SUM(AH392:AH394)/SUM(AG392:AG394),1)</f>
        <v>1.0006008151600279</v>
      </c>
      <c r="AH415" s="93">
        <f>IFERROR(SUM(AI392:AI393)/SUM(AH392:AH393),1)</f>
        <v>1.0006154635209643</v>
      </c>
      <c r="AI415" s="93">
        <f>IFERROR(SUM(AJ392:AJ392)/SUM(AI392:AI392),1)</f>
        <v>1.0004740334983673</v>
      </c>
      <c r="AJ415" s="93">
        <v>1</v>
      </c>
      <c r="AK415" s="285" t="s">
        <v>37</v>
      </c>
      <c r="AL415" s="107"/>
      <c r="AM415" s="93">
        <f>IFERROR(SUM(AN398:AN400)/SUM(AM398:AM400),1)</f>
        <v>1.0290433905928884</v>
      </c>
      <c r="AN415" s="93">
        <f>IFERROR(SUM(AO397:AO399)/SUM(AN397:AN399),1)</f>
        <v>1.0032866751741374</v>
      </c>
      <c r="AO415" s="93">
        <f>IFERROR(SUM(AP396:AP398)/SUM(AO396:AO398),1)</f>
        <v>1.0008645935922564</v>
      </c>
      <c r="AP415" s="93">
        <f>IFERROR(SUM(AQ395:AQ397)/SUM(AP395:AP397),1)</f>
        <v>1.0003035984760025</v>
      </c>
      <c r="AQ415" s="93">
        <f>IFERROR(SUM(AR394:AR396)/SUM(AQ394:AQ396),1)</f>
        <v>1.0001372099724208</v>
      </c>
      <c r="AR415" s="93">
        <f>IFERROR(SUM(AS393:AS395)/SUM(AR393:AR395),1)</f>
        <v>1.0000623578607586</v>
      </c>
      <c r="AS415" s="93">
        <f>IFERROR(SUM(AT392:AT394)/SUM(AS392:AS394),1)</f>
        <v>1.0000224637491248</v>
      </c>
      <c r="AT415" s="93">
        <f>IFERROR(SUM(AU392:AU393)/SUM(AT392:AT393),1)</f>
        <v>1.0000113142650253</v>
      </c>
      <c r="AU415" s="93">
        <f>IFERROR(SUM(AV392:AV392)/SUM(AU392:AU392),1)</f>
        <v>1.0000333451894006</v>
      </c>
      <c r="AV415" s="93">
        <v>1</v>
      </c>
      <c r="AW415" s="285" t="s">
        <v>37</v>
      </c>
      <c r="AX415" s="107"/>
      <c r="AY415" s="93">
        <f>IFERROR(SUM(AZ398:AZ400)/SUM(AY398:AY400),1)</f>
        <v>1.0262077837800914</v>
      </c>
      <c r="AZ415" s="93">
        <f>IFERROR(SUM(BA397:BA399)/SUM(AZ397:AZ399),1)</f>
        <v>1.0037287412663165</v>
      </c>
      <c r="BA415" s="93">
        <f>IFERROR(SUM(BB396:BB398)/SUM(BA396:BA398),1)</f>
        <v>1.0012042221812589</v>
      </c>
      <c r="BB415" s="93">
        <f>IFERROR(SUM(BC395:BC397)/SUM(BB395:BB397),1)</f>
        <v>1.0003533464856746</v>
      </c>
      <c r="BC415" s="93">
        <f>IFERROR(SUM(BD394:BD396)/SUM(BC394:BC396),1)</f>
        <v>1.0001114406452265</v>
      </c>
      <c r="BD415" s="93">
        <f>IFERROR(SUM(BE393:BE395)/SUM(BD393:BD395),1)</f>
        <v>1.0000467158013084</v>
      </c>
      <c r="BE415" s="93">
        <f>IFERROR(SUM(BF392:BF394)/SUM(BE392:BE394),1)</f>
        <v>1.0000182002289919</v>
      </c>
      <c r="BF415" s="93">
        <f>IFERROR(SUM(BG392:BG393)/SUM(BF392:BF393),1)</f>
        <v>1.0000025606227434</v>
      </c>
      <c r="BG415" s="93">
        <f>IFERROR(SUM(BH392:BH392)/SUM(BG392:BG392),1)</f>
        <v>1.0000052579552863</v>
      </c>
      <c r="BH415" s="93">
        <v>1</v>
      </c>
      <c r="BI415" s="285" t="s">
        <v>37</v>
      </c>
      <c r="BJ415" s="107"/>
      <c r="BK415" s="93">
        <f>IFERROR(SUM(BL398:BL400)/SUM(BK398:BK400),1)</f>
        <v>1.0082635469221031</v>
      </c>
      <c r="BL415" s="93">
        <f>IFERROR(SUM(BM397:BM399)/SUM(BL397:BL399),1)</f>
        <v>1.0008054087398119</v>
      </c>
      <c r="BM415" s="93">
        <f>IFERROR(SUM(BN396:BN398)/SUM(BM396:BM398),1)</f>
        <v>1.0002191080902165</v>
      </c>
      <c r="BN415" s="93">
        <f>IFERROR(SUM(BO395:BO397)/SUM(BN395:BN397),1)</f>
        <v>1.0000700971860592</v>
      </c>
      <c r="BO415" s="93">
        <f>IFERROR(SUM(BP394:BP396)/SUM(BO394:BO396),1)</f>
        <v>1.000012277099809</v>
      </c>
      <c r="BP415" s="93">
        <f>IFERROR(SUM(BQ393:BQ395)/SUM(BP393:BP395),1)</f>
        <v>1.0000061273195735</v>
      </c>
      <c r="BQ415" s="93">
        <f>IFERROR(SUM(BR392:BR394)/SUM(BQ392:BQ394),1)</f>
        <v>1.000002210665355</v>
      </c>
      <c r="BR415" s="93">
        <f>IFERROR(SUM(BS392:BS393)/SUM(BR392:BR393),1)</f>
        <v>1.000005215432116</v>
      </c>
      <c r="BS415" s="93">
        <f>IFERROR(SUM(BT392:BT392)/SUM(BS392:BS392),1)</f>
        <v>1</v>
      </c>
      <c r="BT415" s="93">
        <v>1</v>
      </c>
      <c r="BU415" s="285" t="s">
        <v>37</v>
      </c>
      <c r="BV415" s="107"/>
      <c r="BW415" s="93">
        <f>IFERROR(SUM(BX398:BX400)/SUM(BW398:BW400),1)</f>
        <v>1.2678571428571428</v>
      </c>
      <c r="BX415" s="93">
        <f>IFERROR(SUM(BY397:BY399)/SUM(BX397:BX399),1)</f>
        <v>1.0219780219780219</v>
      </c>
      <c r="BY415" s="93">
        <f>IFERROR(SUM(BZ396:BZ398)/SUM(BY396:BY398),1)</f>
        <v>1.0093457943925233</v>
      </c>
      <c r="BZ415" s="93">
        <f>IFERROR(SUM(CA395:CA397)/SUM(BZ395:BZ397),1)</f>
        <v>1</v>
      </c>
      <c r="CA415" s="93">
        <f>IFERROR(SUM(CB394:CB396)/SUM(CA394:CA396),1)</f>
        <v>1</v>
      </c>
      <c r="CB415" s="93">
        <f>IFERROR(SUM(CC393:CC395)/SUM(CB393:CB395),1)</f>
        <v>1</v>
      </c>
      <c r="CC415" s="93">
        <f>IFERROR(SUM(CD392:CD394)/SUM(CC392:CC394),1)</f>
        <v>1</v>
      </c>
      <c r="CD415" s="93">
        <f>IFERROR(SUM(CE392:CE393)/SUM(CD392:CD393),1)</f>
        <v>1</v>
      </c>
      <c r="CE415" s="93">
        <f>IFERROR(SUM(CF392:CF392)/SUM(CE392:CE392),1)</f>
        <v>1</v>
      </c>
      <c r="CF415" s="93">
        <v>1</v>
      </c>
      <c r="CG415" s="285" t="s">
        <v>37</v>
      </c>
      <c r="CH415" s="107"/>
      <c r="CI415" s="93">
        <f>IFERROR(SUM(CJ398:CJ400)/SUM(CI398:CI400),1)</f>
        <v>1</v>
      </c>
      <c r="CJ415" s="93">
        <f>IFERROR(SUM(CK397:CK399)/SUM(CJ397:CJ399),1)</f>
        <v>1</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5"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5"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1.1284296895458117</v>
      </c>
      <c r="D416" s="93">
        <f t="shared" ref="D416:K416" si="669">IF(D415=0,1,D415)</f>
        <v>1.0306248072594295</v>
      </c>
      <c r="E416" s="93">
        <f t="shared" si="669"/>
        <v>1.0105555521717151</v>
      </c>
      <c r="F416" s="93">
        <f t="shared" si="669"/>
        <v>1.0041022705590537</v>
      </c>
      <c r="G416" s="93">
        <f t="shared" si="669"/>
        <v>1.0014137099708023</v>
      </c>
      <c r="H416" s="93">
        <f t="shared" si="669"/>
        <v>1.0003948471474724</v>
      </c>
      <c r="I416" s="93">
        <f t="shared" si="669"/>
        <v>1.0001110096948467</v>
      </c>
      <c r="J416" s="93">
        <f t="shared" si="669"/>
        <v>1.0000635592547042</v>
      </c>
      <c r="K416" s="93">
        <f t="shared" si="669"/>
        <v>1.0000130505709626</v>
      </c>
      <c r="L416" s="93">
        <f>IF(L415=0,1,L415)</f>
        <v>1</v>
      </c>
      <c r="M416" s="285" t="s">
        <v>40</v>
      </c>
      <c r="N416" s="107"/>
      <c r="O416" s="93">
        <f>IF(O415=0,1,O415)</f>
        <v>1.3257091645885286</v>
      </c>
      <c r="P416" s="93">
        <f t="shared" ref="P416:W416" si="670">IF(P415=0,1,P415)</f>
        <v>1.0342032373643686</v>
      </c>
      <c r="Q416" s="93">
        <f t="shared" si="670"/>
        <v>1.0059331981645503</v>
      </c>
      <c r="R416" s="93">
        <f t="shared" si="670"/>
        <v>1.0016923923903513</v>
      </c>
      <c r="S416" s="93">
        <f t="shared" si="670"/>
        <v>1.000523086208631</v>
      </c>
      <c r="T416" s="93">
        <f t="shared" si="670"/>
        <v>1.0001815101645692</v>
      </c>
      <c r="U416" s="93">
        <f t="shared" si="670"/>
        <v>1.0001628233570106</v>
      </c>
      <c r="V416" s="93">
        <f t="shared" si="670"/>
        <v>0.99996944792398645</v>
      </c>
      <c r="W416" s="93">
        <f t="shared" si="670"/>
        <v>1</v>
      </c>
      <c r="X416" s="93">
        <f>IF(X415=0,1,X415)</f>
        <v>1</v>
      </c>
      <c r="Y416" s="285" t="s">
        <v>40</v>
      </c>
      <c r="Z416" s="107"/>
      <c r="AA416" s="93">
        <f>IF(AA415=0,1,AA415)</f>
        <v>1.31774421579408</v>
      </c>
      <c r="AB416" s="93">
        <f t="shared" ref="AB416:AI416" si="671">IF(AB415=0,1,AB415)</f>
        <v>1.0581479374548362</v>
      </c>
      <c r="AC416" s="93">
        <f t="shared" si="671"/>
        <v>1.0154765453862007</v>
      </c>
      <c r="AD416" s="93">
        <f t="shared" si="671"/>
        <v>1.0066221868153755</v>
      </c>
      <c r="AE416" s="93">
        <f t="shared" si="671"/>
        <v>1.0029133093619591</v>
      </c>
      <c r="AF416" s="93">
        <f t="shared" si="671"/>
        <v>1.0014141178528735</v>
      </c>
      <c r="AG416" s="93">
        <f t="shared" si="671"/>
        <v>1.0006008151600279</v>
      </c>
      <c r="AH416" s="93">
        <f t="shared" si="671"/>
        <v>1.0006154635209643</v>
      </c>
      <c r="AI416" s="93">
        <f t="shared" si="671"/>
        <v>1.0004740334983673</v>
      </c>
      <c r="AJ416" s="93">
        <f>IF(AJ415=0,1,AJ415)</f>
        <v>1</v>
      </c>
      <c r="AK416" s="285" t="s">
        <v>40</v>
      </c>
      <c r="AL416" s="107"/>
      <c r="AM416" s="93">
        <f>IF(AM415=0,1,AM415)</f>
        <v>1.0290433905928884</v>
      </c>
      <c r="AN416" s="93">
        <f t="shared" ref="AN416:AU416" si="672">IF(AN415=0,1,AN415)</f>
        <v>1.0032866751741374</v>
      </c>
      <c r="AO416" s="93">
        <f t="shared" si="672"/>
        <v>1.0008645935922564</v>
      </c>
      <c r="AP416" s="93">
        <f t="shared" si="672"/>
        <v>1.0003035984760025</v>
      </c>
      <c r="AQ416" s="93">
        <f t="shared" si="672"/>
        <v>1.0001372099724208</v>
      </c>
      <c r="AR416" s="93">
        <f t="shared" si="672"/>
        <v>1.0000623578607586</v>
      </c>
      <c r="AS416" s="93">
        <f t="shared" si="672"/>
        <v>1.0000224637491248</v>
      </c>
      <c r="AT416" s="93">
        <f t="shared" si="672"/>
        <v>1.0000113142650253</v>
      </c>
      <c r="AU416" s="93">
        <f t="shared" si="672"/>
        <v>1.0000333451894006</v>
      </c>
      <c r="AV416" s="93">
        <f>IF(AV415=0,1,AV415)</f>
        <v>1</v>
      </c>
      <c r="AW416" s="285" t="s">
        <v>40</v>
      </c>
      <c r="AX416" s="107"/>
      <c r="AY416" s="93">
        <f>IF(AY415=0,1,AY415)</f>
        <v>1.0262077837800914</v>
      </c>
      <c r="AZ416" s="93">
        <f t="shared" ref="AZ416:BG416" si="673">IF(AZ415=0,1,AZ415)</f>
        <v>1.0037287412663165</v>
      </c>
      <c r="BA416" s="93">
        <f t="shared" si="673"/>
        <v>1.0012042221812589</v>
      </c>
      <c r="BB416" s="93">
        <f t="shared" si="673"/>
        <v>1.0003533464856746</v>
      </c>
      <c r="BC416" s="93">
        <f t="shared" si="673"/>
        <v>1.0001114406452265</v>
      </c>
      <c r="BD416" s="93">
        <f t="shared" si="673"/>
        <v>1.0000467158013084</v>
      </c>
      <c r="BE416" s="93">
        <f t="shared" si="673"/>
        <v>1.0000182002289919</v>
      </c>
      <c r="BF416" s="93">
        <f t="shared" si="673"/>
        <v>1.0000025606227434</v>
      </c>
      <c r="BG416" s="93">
        <f t="shared" si="673"/>
        <v>1.0000052579552863</v>
      </c>
      <c r="BH416" s="93">
        <f>IF(BH415=0,1,BH415)</f>
        <v>1</v>
      </c>
      <c r="BI416" s="285" t="s">
        <v>40</v>
      </c>
      <c r="BJ416" s="107"/>
      <c r="BK416" s="93">
        <f>IF(BK415=0,1,BK415)</f>
        <v>1.0082635469221031</v>
      </c>
      <c r="BL416" s="93">
        <f t="shared" ref="BL416:BS416" si="674">IF(BL415=0,1,BL415)</f>
        <v>1.0008054087398119</v>
      </c>
      <c r="BM416" s="93">
        <f t="shared" si="674"/>
        <v>1.0002191080902165</v>
      </c>
      <c r="BN416" s="93">
        <f t="shared" si="674"/>
        <v>1.0000700971860592</v>
      </c>
      <c r="BO416" s="93">
        <f t="shared" si="674"/>
        <v>1.000012277099809</v>
      </c>
      <c r="BP416" s="93">
        <f t="shared" si="674"/>
        <v>1.0000061273195735</v>
      </c>
      <c r="BQ416" s="93">
        <f t="shared" si="674"/>
        <v>1.000002210665355</v>
      </c>
      <c r="BR416" s="93">
        <f t="shared" si="674"/>
        <v>1.000005215432116</v>
      </c>
      <c r="BS416" s="93">
        <f t="shared" si="674"/>
        <v>1</v>
      </c>
      <c r="BT416" s="93">
        <f>IF(BT415=0,1,BT415)</f>
        <v>1</v>
      </c>
      <c r="BU416" s="285" t="s">
        <v>40</v>
      </c>
      <c r="BV416" s="107"/>
      <c r="BW416" s="93">
        <f>IF(BW415=0,1,BW415)</f>
        <v>1.2678571428571428</v>
      </c>
      <c r="BX416" s="93">
        <f t="shared" ref="BX416:CE416" si="675">IF(BX415=0,1,BX415)</f>
        <v>1.0219780219780219</v>
      </c>
      <c r="BY416" s="93">
        <f t="shared" si="675"/>
        <v>1.0093457943925233</v>
      </c>
      <c r="BZ416" s="93">
        <f t="shared" si="675"/>
        <v>1</v>
      </c>
      <c r="CA416" s="93">
        <f t="shared" si="675"/>
        <v>1</v>
      </c>
      <c r="CB416" s="93">
        <f t="shared" si="675"/>
        <v>1</v>
      </c>
      <c r="CC416" s="93">
        <f t="shared" si="675"/>
        <v>1</v>
      </c>
      <c r="CD416" s="93">
        <f t="shared" si="675"/>
        <v>1</v>
      </c>
      <c r="CE416" s="93">
        <f t="shared" si="675"/>
        <v>1</v>
      </c>
      <c r="CF416" s="93">
        <f>IF(CF415=0,1,CF415)</f>
        <v>1</v>
      </c>
      <c r="CG416" s="285" t="s">
        <v>40</v>
      </c>
      <c r="CH416" s="107"/>
      <c r="CI416" s="93">
        <f>IF(CI415=0,1,CI415)</f>
        <v>1</v>
      </c>
      <c r="CJ416" s="93">
        <f t="shared" ref="CJ416:CQ416" si="676">IF(CJ415=0,1,CJ415)</f>
        <v>1</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5"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5"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1.1824415853409271</v>
      </c>
      <c r="D417" s="113">
        <f>PRODUCT(D416:L416)</f>
        <v>1.0478646532393654</v>
      </c>
      <c r="E417" s="113">
        <f>PRODUCT(E416:L416)</f>
        <v>1.0167275674508349</v>
      </c>
      <c r="F417" s="113">
        <f>PRODUCT(F416:L416)</f>
        <v>1.0061075467507512</v>
      </c>
      <c r="G417" s="113">
        <f>PRODUCT(G416:L416)</f>
        <v>1.0019970836143823</v>
      </c>
      <c r="H417" s="113">
        <f>PRODUCT(H416:L416)</f>
        <v>1.0005825500867138</v>
      </c>
      <c r="I417" s="113">
        <f>PRODUCT(I416:L416)</f>
        <v>1.0001876288545235</v>
      </c>
      <c r="J417" s="113">
        <f>PRODUCT(J416:L416)</f>
        <v>1.0000766106551513</v>
      </c>
      <c r="K417" s="113">
        <f>PRODUCT(K416:L416)</f>
        <v>1.0000130505709626</v>
      </c>
      <c r="L417" s="114">
        <f>PRODUCT(L416:L416)</f>
        <v>1</v>
      </c>
      <c r="M417" s="111" t="s">
        <v>39</v>
      </c>
      <c r="N417" s="115"/>
      <c r="O417" s="113">
        <f>PRODUCT(O416:X416)</f>
        <v>1.38267796734033</v>
      </c>
      <c r="P417" s="113">
        <f>PRODUCT(P416:X416)</f>
        <v>1.0429723232466928</v>
      </c>
      <c r="Q417" s="113">
        <f>PRODUCT(Q416:X416)</f>
        <v>1.0084790740983096</v>
      </c>
      <c r="R417" s="113">
        <f>PRODUCT(R416:X416)</f>
        <v>1.0025308598407972</v>
      </c>
      <c r="S417" s="113">
        <f>PRODUCT(S416:X416)</f>
        <v>1.0008370508319873</v>
      </c>
      <c r="T417" s="113">
        <f>PRODUCT(T416:X416)</f>
        <v>1.0003138004786536</v>
      </c>
      <c r="U417" s="113">
        <f>PRODUCT(U416:X416)</f>
        <v>1.0001322663064054</v>
      </c>
      <c r="V417" s="113">
        <f>PRODUCT(V416:X416)</f>
        <v>0.99996944792398645</v>
      </c>
      <c r="W417" s="113">
        <f>PRODUCT(W416:X416)</f>
        <v>1</v>
      </c>
      <c r="X417" s="114">
        <f>PRODUCT(X416:X416)</f>
        <v>1</v>
      </c>
      <c r="Y417" s="111" t="s">
        <v>39</v>
      </c>
      <c r="Z417" s="115"/>
      <c r="AA417" s="113">
        <f>PRODUCT(AA416:AJ416)</f>
        <v>1.4339199001475278</v>
      </c>
      <c r="AB417" s="113">
        <f>PRODUCT(AB416:AJ416)</f>
        <v>1.0881625454780994</v>
      </c>
      <c r="AC417" s="113">
        <f>PRODUCT(AC416:AJ416)</f>
        <v>1.0283652284910723</v>
      </c>
      <c r="AD417" s="113">
        <f>PRODUCT(AD416:AJ416)</f>
        <v>1.0126922509076461</v>
      </c>
      <c r="AE417" s="113">
        <f>PRODUCT(AE416:AJ416)</f>
        <v>1.0060301314353841</v>
      </c>
      <c r="AF417" s="113">
        <f>PRODUCT(AF416:AJ416)</f>
        <v>1.0031077681832821</v>
      </c>
      <c r="AG417" s="113">
        <f>PRODUCT(AG416:AJ416)</f>
        <v>1.0016912586912994</v>
      </c>
      <c r="AH417" s="113">
        <f>PRODUCT(AH416:AJ416)</f>
        <v>1.0010897887696575</v>
      </c>
      <c r="AI417" s="113">
        <f>PRODUCT(AI416:AJ416)</f>
        <v>1.0004740334983673</v>
      </c>
      <c r="AJ417" s="114">
        <f>PRODUCT(AJ416:AJ416)</f>
        <v>1</v>
      </c>
      <c r="AK417" s="111" t="s">
        <v>39</v>
      </c>
      <c r="AL417" s="115"/>
      <c r="AM417" s="113">
        <f>PRODUCT(AM416:AV416)</f>
        <v>1.0339075487356488</v>
      </c>
      <c r="AN417" s="113">
        <f>PRODUCT(AN416:AV416)</f>
        <v>1.0047268737035062</v>
      </c>
      <c r="AO417" s="113">
        <f>PRODUCT(AO416:AV416)</f>
        <v>1.0014354805710131</v>
      </c>
      <c r="AP417" s="113">
        <f>PRODUCT(AP416:AV416)</f>
        <v>1.0005703938199149</v>
      </c>
      <c r="AQ417" s="113">
        <f>PRODUCT(AQ416:AV416)</f>
        <v>1.0002667143698363</v>
      </c>
      <c r="AR417" s="113">
        <f>PRODUCT(AR416:AV416)</f>
        <v>1.0001294866305583</v>
      </c>
      <c r="AS417" s="113">
        <f>PRODUCT(AS416:AV416)</f>
        <v>1.0000671245840544</v>
      </c>
      <c r="AT417" s="113">
        <f>PRODUCT(AT416:AV416)</f>
        <v>1.0000446598317021</v>
      </c>
      <c r="AU417" s="113">
        <f>PRODUCT(AU416:AV416)</f>
        <v>1.0000333451894006</v>
      </c>
      <c r="AV417" s="114">
        <f>PRODUCT(AV416:AV416)</f>
        <v>1</v>
      </c>
      <c r="AW417" s="111" t="s">
        <v>39</v>
      </c>
      <c r="AX417" s="115"/>
      <c r="AY417" s="113">
        <f>PRODUCT(AY416:BH416)</f>
        <v>1.0318290466055002</v>
      </c>
      <c r="AZ417" s="113">
        <f>PRODUCT(AZ416:BH416)</f>
        <v>1.0054777043345966</v>
      </c>
      <c r="BA417" s="113">
        <f>PRODUCT(BA416:BH416)</f>
        <v>1.0017424658639082</v>
      </c>
      <c r="BB417" s="113">
        <f>PRODUCT(BB416:BH416)</f>
        <v>1.0005375962972636</v>
      </c>
      <c r="BC417" s="113">
        <f>PRODUCT(BC416:BH416)</f>
        <v>1.0001841847305615</v>
      </c>
      <c r="BD417" s="113">
        <f>PRODUCT(BD416:BH416)</f>
        <v>1.0000727359795907</v>
      </c>
      <c r="BE417" s="113">
        <f>PRODUCT(BE416:BH416)</f>
        <v>1.0000260189627852</v>
      </c>
      <c r="BF417" s="113">
        <f>PRODUCT(BF416:BH416)</f>
        <v>1.0000078185914933</v>
      </c>
      <c r="BG417" s="113">
        <f>PRODUCT(BG416:BH416)</f>
        <v>1.0000052579552863</v>
      </c>
      <c r="BH417" s="114">
        <f>PRODUCT(BH416:BH416)</f>
        <v>1</v>
      </c>
      <c r="BI417" s="111" t="s">
        <v>39</v>
      </c>
      <c r="BJ417" s="115"/>
      <c r="BK417" s="113">
        <f>PRODUCT(BK416:BT416)</f>
        <v>1.0093935293926215</v>
      </c>
      <c r="BL417" s="113">
        <f>PRODUCT(BL416:BT416)</f>
        <v>1.0011207213371622</v>
      </c>
      <c r="BM417" s="113">
        <f>PRODUCT(BM416:BT416)</f>
        <v>1.000315058846202</v>
      </c>
      <c r="BN417" s="113">
        <f>PRODUCT(BN416:BT416)</f>
        <v>1.0000959297370038</v>
      </c>
      <c r="BO417" s="113">
        <f>PRODUCT(BO416:BT416)</f>
        <v>1.0000258307402823</v>
      </c>
      <c r="BP417" s="113">
        <f>PRODUCT(BP416:BT416)</f>
        <v>1.0000135534740762</v>
      </c>
      <c r="BQ417" s="113">
        <f>PRODUCT(BQ416:BT416)</f>
        <v>1.0000074261090006</v>
      </c>
      <c r="BR417" s="113">
        <f>PRODUCT(BR416:BT416)</f>
        <v>1.000005215432116</v>
      </c>
      <c r="BS417" s="113">
        <f>PRODUCT(BS416:BT416)</f>
        <v>1</v>
      </c>
      <c r="BT417" s="114">
        <f>PRODUCT(BT416:BT416)</f>
        <v>1</v>
      </c>
      <c r="BU417" s="111" t="s">
        <v>39</v>
      </c>
      <c r="BV417" s="115"/>
      <c r="BW417" s="113">
        <f>PRODUCT(BW416:CF416)</f>
        <v>1.3078316876714737</v>
      </c>
      <c r="BX417" s="113">
        <f>PRODUCT(BX416:CF416)</f>
        <v>1.0315292184451061</v>
      </c>
      <c r="BY417" s="113">
        <f>PRODUCT(BY416:CF416)</f>
        <v>1.0093457943925233</v>
      </c>
      <c r="BZ417" s="113">
        <f>PRODUCT(BZ416:CF416)</f>
        <v>1</v>
      </c>
      <c r="CA417" s="113">
        <f>PRODUCT(CA416:CF416)</f>
        <v>1</v>
      </c>
      <c r="CB417" s="113">
        <f>PRODUCT(CB416:CF416)</f>
        <v>1</v>
      </c>
      <c r="CC417" s="113">
        <f>PRODUCT(CC416:CF416)</f>
        <v>1</v>
      </c>
      <c r="CD417" s="113">
        <f>PRODUCT(CD416:CF416)</f>
        <v>1</v>
      </c>
      <c r="CE417" s="113">
        <f>PRODUCT(CE416:CF416)</f>
        <v>1</v>
      </c>
      <c r="CF417" s="114">
        <f>PRODUCT(CF416:CF416)</f>
        <v>1</v>
      </c>
      <c r="CG417" s="111" t="s">
        <v>39</v>
      </c>
      <c r="CH417" s="115"/>
      <c r="CI417" s="113">
        <f>PRODUCT(CI416:CR416)</f>
        <v>1</v>
      </c>
      <c r="CJ417" s="113">
        <f>PRODUCT(CJ416:CR416)</f>
        <v>1</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208</v>
      </c>
      <c r="B418" s="106"/>
      <c r="C418" s="99">
        <f>C417*C401</f>
        <v>117979.29161897635</v>
      </c>
      <c r="D418" s="99">
        <f>D417*D400</f>
        <v>102029.53342126377</v>
      </c>
      <c r="E418" s="99">
        <f>E417*E399</f>
        <v>109594.08122309294</v>
      </c>
      <c r="F418" s="99">
        <f>F417*F398</f>
        <v>154872.14688643665</v>
      </c>
      <c r="G418" s="99">
        <f>G417*G397</f>
        <v>167679.20195744882</v>
      </c>
      <c r="H418" s="99">
        <f>H417*H396</f>
        <v>178637.00441463129</v>
      </c>
      <c r="I418" s="99">
        <f>I417*I395</f>
        <v>181146.98202472931</v>
      </c>
      <c r="J418" s="99">
        <f>J417*J394</f>
        <v>171844.1640854853</v>
      </c>
      <c r="K418" s="99">
        <f>K417*K393</f>
        <v>161439.10684502448</v>
      </c>
      <c r="L418" s="99">
        <f>L417*L392</f>
        <v>153252</v>
      </c>
      <c r="M418" s="95" t="s">
        <v>208</v>
      </c>
      <c r="N418" s="106"/>
      <c r="O418" s="99">
        <f>O417*O401</f>
        <v>11608.96421378941</v>
      </c>
      <c r="P418" s="99">
        <f>P417*P400</f>
        <v>10328.554917111998</v>
      </c>
      <c r="Q418" s="99">
        <f>Q417*Q399</f>
        <v>10405.487086546358</v>
      </c>
      <c r="R418" s="99">
        <f>R417*R398</f>
        <v>14806.378268988734</v>
      </c>
      <c r="S418" s="99">
        <f>S417*S397</f>
        <v>15835.243818263703</v>
      </c>
      <c r="T418" s="99">
        <f>T417*T396</f>
        <v>16606.209401746128</v>
      </c>
      <c r="U418" s="99">
        <f>U417*U395</f>
        <v>16729.212418507243</v>
      </c>
      <c r="V418" s="99">
        <f>V417*V394</f>
        <v>16409.498640432619</v>
      </c>
      <c r="W418" s="99">
        <f>W417*W393</f>
        <v>16459</v>
      </c>
      <c r="X418" s="99">
        <f>X417*X392</f>
        <v>16271</v>
      </c>
      <c r="Y418" s="95" t="s">
        <v>208</v>
      </c>
      <c r="Z418" s="106"/>
      <c r="AA418" s="99">
        <f>AA417*AA401</f>
        <v>18795.822051133793</v>
      </c>
      <c r="AB418" s="99">
        <f>AB417*AB400</f>
        <v>20776.287480813353</v>
      </c>
      <c r="AC418" s="99">
        <f>AC417*AC399</f>
        <v>19412.45041822597</v>
      </c>
      <c r="AD418" s="99">
        <f>AD417*AD398</f>
        <v>24102.075571601978</v>
      </c>
      <c r="AE418" s="99">
        <f>AE417*AE397</f>
        <v>27356.977364122402</v>
      </c>
      <c r="AF418" s="99">
        <f>AF417*AF396</f>
        <v>27902.445679786175</v>
      </c>
      <c r="AG418" s="99">
        <f>AG417*AG395</f>
        <v>26116.094496599559</v>
      </c>
      <c r="AH418" s="99">
        <f>AH417*AH394</f>
        <v>22649.656470913502</v>
      </c>
      <c r="AI418" s="99">
        <f>AI417*AI393</f>
        <v>20042.496313072792</v>
      </c>
      <c r="AJ418" s="99">
        <f>AJ417*AJ392</f>
        <v>18995</v>
      </c>
      <c r="AK418" s="95" t="s">
        <v>208</v>
      </c>
      <c r="AL418" s="106"/>
      <c r="AM418" s="99">
        <f>AM417*AM401</f>
        <v>134360.42158839252</v>
      </c>
      <c r="AN418" s="99">
        <f>AN417*AN400</f>
        <v>116328.28216426565</v>
      </c>
      <c r="AO418" s="99">
        <f>AO417*AO399</f>
        <v>99990.328428573936</v>
      </c>
      <c r="AP418" s="99">
        <f>AP417*AP398</f>
        <v>103702.11732667744</v>
      </c>
      <c r="AQ418" s="99">
        <f>AQ417*AQ397</f>
        <v>98647.303637867619</v>
      </c>
      <c r="AR418" s="99">
        <f>AR417*AR396</f>
        <v>105746.69100990883</v>
      </c>
      <c r="AS418" s="99">
        <f>AS417*AS395</f>
        <v>95513.410867649291</v>
      </c>
      <c r="AT418" s="99">
        <f>AT417*AT394</f>
        <v>90339.034345896813</v>
      </c>
      <c r="AU418" s="99">
        <f>AU417*AU393</f>
        <v>86804.894429130349</v>
      </c>
      <c r="AV418" s="99">
        <f>AV417*AV392</f>
        <v>89971</v>
      </c>
      <c r="AW418" s="95" t="s">
        <v>208</v>
      </c>
      <c r="AX418" s="106"/>
      <c r="AY418" s="99">
        <f>AY417*AY401</f>
        <v>196659.3934796821</v>
      </c>
      <c r="AZ418" s="99">
        <f>AZ417*AZ400</f>
        <v>170043.37292395398</v>
      </c>
      <c r="BA418" s="99">
        <f>BA417*BA399</f>
        <v>162303.31606173629</v>
      </c>
      <c r="BB418" s="99">
        <f>BB417*BB398</f>
        <v>211421.59839838216</v>
      </c>
      <c r="BC418" s="99">
        <f>BC417*BC397</f>
        <v>220329.57387011065</v>
      </c>
      <c r="BD418" s="99">
        <f>BD417*BD396</f>
        <v>231246.81874056076</v>
      </c>
      <c r="BE418" s="99">
        <f>BE417*BE395</f>
        <v>228012.93250564777</v>
      </c>
      <c r="BF418" s="99">
        <f>BF417*BF394</f>
        <v>213870.67215434409</v>
      </c>
      <c r="BG418" s="99">
        <f>BG417*BG393</f>
        <v>200344.05339453591</v>
      </c>
      <c r="BH418" s="99">
        <f>BH417*BH392</f>
        <v>190189</v>
      </c>
      <c r="BI418" s="95" t="s">
        <v>208</v>
      </c>
      <c r="BJ418" s="106"/>
      <c r="BK418" s="99">
        <f>BK417*BK401</f>
        <v>295921.88222497609</v>
      </c>
      <c r="BL418" s="99">
        <f>BL417*BL400</f>
        <v>279591.99393432133</v>
      </c>
      <c r="BM418" s="99">
        <f>BM417*BM399</f>
        <v>282186.87747039588</v>
      </c>
      <c r="BN418" s="99">
        <f>BN417*BN398</f>
        <v>339939.60718911572</v>
      </c>
      <c r="BO418" s="99">
        <f>BO417*BO397</f>
        <v>354897.16701975733</v>
      </c>
      <c r="BP418" s="99">
        <f>BP417*BP396</f>
        <v>378036.12363335851</v>
      </c>
      <c r="BQ418" s="99">
        <f>BQ417*BQ395</f>
        <v>351382.60938618064</v>
      </c>
      <c r="BR418" s="99">
        <f>BR417*BR394</f>
        <v>329492.71843794332</v>
      </c>
      <c r="BS418" s="99">
        <f>BS417*BS393</f>
        <v>298359</v>
      </c>
      <c r="BT418" s="99">
        <f>BT417*BT392</f>
        <v>276860</v>
      </c>
      <c r="BU418" s="95" t="s">
        <v>208</v>
      </c>
      <c r="BV418" s="106"/>
      <c r="BW418" s="99">
        <f>BW417*BW401</f>
        <v>22.233138690415053</v>
      </c>
      <c r="BX418" s="99">
        <f>BX417*BX400</f>
        <v>16.504467495121698</v>
      </c>
      <c r="BY418" s="99">
        <f>BY417*BY399</f>
        <v>17.158878504672895</v>
      </c>
      <c r="BZ418" s="99">
        <f>BZ417*BZ398</f>
        <v>39</v>
      </c>
      <c r="CA418" s="99">
        <f>CA417*CA397</f>
        <v>38</v>
      </c>
      <c r="CB418" s="99">
        <f>CB417*CB396</f>
        <v>31</v>
      </c>
      <c r="CC418" s="99">
        <f>CC417*CC395</f>
        <v>26</v>
      </c>
      <c r="CD418" s="99">
        <f>CD417*CD394</f>
        <v>45</v>
      </c>
      <c r="CE418" s="99">
        <f>CE417*CE393</f>
        <v>35</v>
      </c>
      <c r="CF418" s="99">
        <f>CF417*CF392</f>
        <v>22</v>
      </c>
      <c r="CG418" s="95" t="s">
        <v>208</v>
      </c>
      <c r="CH418" s="106"/>
      <c r="CI418" s="99">
        <f>CI417*CI401</f>
        <v>0</v>
      </c>
      <c r="CJ418" s="99">
        <f>CJ417*CJ400</f>
        <v>0</v>
      </c>
      <c r="CK418" s="99">
        <f>CK417*CK399</f>
        <v>0</v>
      </c>
      <c r="CL418" s="99">
        <f>CL417*CL398</f>
        <v>0</v>
      </c>
      <c r="CM418" s="99">
        <f>CM417*CM397</f>
        <v>0</v>
      </c>
      <c r="CN418" s="99">
        <f>CN417*CN396</f>
        <v>0</v>
      </c>
      <c r="CO418" s="99">
        <f>CO417*CO395</f>
        <v>0</v>
      </c>
      <c r="CP418" s="99">
        <f>CP417*CP394</f>
        <v>0</v>
      </c>
      <c r="CQ418" s="99">
        <f>CQ417*CQ393</f>
        <v>0</v>
      </c>
      <c r="CR418" s="99">
        <f>CR417*CR392</f>
        <v>0</v>
      </c>
      <c r="CS418" s="95" t="s">
        <v>208</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208</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Mutual Automobile Insurance Company</v>
      </c>
      <c r="B419" s="68"/>
      <c r="C419" s="40"/>
      <c r="D419" s="18"/>
      <c r="E419" s="18"/>
      <c r="F419" s="18"/>
      <c r="G419" s="18"/>
      <c r="H419" s="18"/>
      <c r="I419" s="18"/>
      <c r="J419" s="18"/>
      <c r="K419" s="18"/>
      <c r="L419" s="18"/>
      <c r="M419" s="137" t="str">
        <f>Co_Name</f>
        <v>State Farm Mutual Automobile Insurance Company</v>
      </c>
      <c r="N419" s="68"/>
      <c r="O419" s="40"/>
      <c r="P419" s="18"/>
      <c r="Q419" s="18"/>
      <c r="R419" s="18"/>
      <c r="S419" s="18"/>
      <c r="T419" s="18"/>
      <c r="U419" s="18"/>
      <c r="V419" s="18"/>
      <c r="W419" s="18"/>
      <c r="X419" s="18"/>
      <c r="Y419" s="137" t="str">
        <f>Co_Name</f>
        <v>State Farm Mutual Automobile Insurance Company</v>
      </c>
      <c r="Z419" s="68"/>
      <c r="AA419" s="40"/>
      <c r="AB419" s="18"/>
      <c r="AC419" s="18"/>
      <c r="AD419" s="18"/>
      <c r="AE419" s="18"/>
      <c r="AF419" s="18"/>
      <c r="AG419" s="18"/>
      <c r="AH419" s="18"/>
      <c r="AI419" s="18"/>
      <c r="AJ419" s="18"/>
      <c r="AK419" s="137" t="str">
        <f>Co_Name</f>
        <v>State Farm Mutual Automobile Insurance Company</v>
      </c>
      <c r="AL419" s="68"/>
      <c r="AM419" s="40"/>
      <c r="AN419" s="18"/>
      <c r="AO419" s="18"/>
      <c r="AP419" s="18"/>
      <c r="AQ419" s="18"/>
      <c r="AR419" s="18"/>
      <c r="AS419" s="18"/>
      <c r="AT419" s="18"/>
      <c r="AU419" s="18"/>
      <c r="AV419" s="18"/>
      <c r="AW419" s="137" t="str">
        <f>Co_Name</f>
        <v>State Farm Mutual Automobile Insurance Company</v>
      </c>
      <c r="AX419" s="68"/>
      <c r="AY419" s="40"/>
      <c r="AZ419" s="18"/>
      <c r="BA419" s="18"/>
      <c r="BB419" s="18"/>
      <c r="BC419" s="18"/>
      <c r="BD419" s="18"/>
      <c r="BE419" s="18"/>
      <c r="BF419" s="18"/>
      <c r="BG419" s="18"/>
      <c r="BH419" s="18"/>
      <c r="BI419" s="137" t="str">
        <f>Co_Name</f>
        <v>State Farm Mutual Automobile Insurance Company</v>
      </c>
      <c r="BJ419" s="68"/>
      <c r="BK419" s="40"/>
      <c r="BL419" s="18"/>
      <c r="BM419" s="18"/>
      <c r="BN419" s="18"/>
      <c r="BO419" s="18"/>
      <c r="BP419" s="18"/>
      <c r="BQ419" s="18"/>
      <c r="BR419" s="18"/>
      <c r="BS419" s="18"/>
      <c r="BT419" s="18"/>
      <c r="BU419" s="137" t="str">
        <f>Co_Name</f>
        <v>State Farm Mutual Automobile Insurance Company</v>
      </c>
      <c r="BV419" s="68"/>
      <c r="BW419" s="40"/>
      <c r="BX419" s="18"/>
      <c r="BY419" s="18"/>
      <c r="BZ419" s="18"/>
      <c r="CA419" s="18"/>
      <c r="CB419" s="18"/>
      <c r="CC419" s="18"/>
      <c r="CD419" s="18"/>
      <c r="CE419" s="18"/>
      <c r="CF419" s="18"/>
      <c r="CG419" s="137" t="str">
        <f>Co_Name</f>
        <v>State Farm Mutual Automobile Insurance Company</v>
      </c>
      <c r="CH419" s="68"/>
      <c r="CI419" s="40"/>
      <c r="CJ419" s="18"/>
      <c r="CK419" s="18"/>
      <c r="CL419" s="18"/>
      <c r="CM419" s="18"/>
      <c r="CN419" s="18"/>
      <c r="CO419" s="18"/>
      <c r="CP419" s="18"/>
      <c r="CQ419" s="18"/>
      <c r="CR419" s="18"/>
      <c r="CS419" s="137" t="str">
        <f>Co_Name</f>
        <v>State Farm Mutual Automobile Insurance Company</v>
      </c>
      <c r="CT419" s="68"/>
      <c r="CU419" s="40"/>
      <c r="CV419" s="18"/>
      <c r="CW419" s="18"/>
      <c r="CX419" s="18"/>
      <c r="CY419" s="18"/>
      <c r="CZ419" s="18"/>
      <c r="DA419" s="18"/>
      <c r="DB419" s="18"/>
      <c r="DC419" s="18"/>
      <c r="DD419" s="18"/>
      <c r="DE419" s="137" t="str">
        <f>Co_Name</f>
        <v>State Farm Mutual Automobile Insurance Company</v>
      </c>
      <c r="DF419" s="68"/>
      <c r="DG419" s="40"/>
      <c r="DH419" s="18"/>
      <c r="DI419" s="18"/>
      <c r="DJ419" s="18"/>
      <c r="DK419" s="18"/>
      <c r="DL419" s="18"/>
      <c r="DM419" s="18"/>
      <c r="DN419" s="18"/>
      <c r="DO419" s="18"/>
      <c r="DP419" s="18"/>
    </row>
    <row r="420" spans="1:120" ht="21" x14ac:dyDescent="0.35">
      <c r="A420" s="137" t="str">
        <f>A$2</f>
        <v>Private Passenger Auto Liability</v>
      </c>
      <c r="B420" s="68"/>
      <c r="C420" s="40"/>
      <c r="D420" s="18"/>
      <c r="E420" s="18"/>
      <c r="F420" s="18"/>
      <c r="G420" s="18"/>
      <c r="H420" s="18"/>
      <c r="I420" s="18"/>
      <c r="J420" s="18"/>
      <c r="K420" s="18"/>
      <c r="L420" s="18"/>
      <c r="M420" s="137" t="str">
        <f>M$2</f>
        <v>Private Passenger Auto Liability</v>
      </c>
      <c r="N420" s="68"/>
      <c r="O420" s="40"/>
      <c r="P420" s="18"/>
      <c r="Q420" s="18"/>
      <c r="R420" s="18"/>
      <c r="S420" s="18"/>
      <c r="T420" s="18"/>
      <c r="U420" s="18"/>
      <c r="V420" s="18"/>
      <c r="W420" s="18"/>
      <c r="X420" s="18"/>
      <c r="Y420" s="137" t="str">
        <f>Y$2</f>
        <v>Private Passenger Auto Liability</v>
      </c>
      <c r="Z420" s="68"/>
      <c r="AA420" s="40"/>
      <c r="AB420" s="18"/>
      <c r="AC420" s="18"/>
      <c r="AD420" s="18"/>
      <c r="AE420" s="18"/>
      <c r="AF420" s="18"/>
      <c r="AG420" s="18"/>
      <c r="AH420" s="18"/>
      <c r="AI420" s="18"/>
      <c r="AJ420" s="18"/>
      <c r="AK420" s="137" t="str">
        <f>AK$2</f>
        <v>Private Passenger Auto Liability</v>
      </c>
      <c r="AL420" s="68"/>
      <c r="AM420" s="40"/>
      <c r="AN420" s="18"/>
      <c r="AO420" s="18"/>
      <c r="AP420" s="18"/>
      <c r="AQ420" s="18"/>
      <c r="AR420" s="18"/>
      <c r="AS420" s="18"/>
      <c r="AT420" s="18"/>
      <c r="AU420" s="18"/>
      <c r="AV420" s="18"/>
      <c r="AW420" s="137" t="str">
        <f>AW$2</f>
        <v>Private Passenger Auto Physical Damage</v>
      </c>
      <c r="AX420" s="68"/>
      <c r="AY420" s="40"/>
      <c r="AZ420" s="18"/>
      <c r="BA420" s="18"/>
      <c r="BB420" s="18"/>
      <c r="BC420" s="18"/>
      <c r="BD420" s="18"/>
      <c r="BE420" s="18"/>
      <c r="BF420" s="18"/>
      <c r="BG420" s="18"/>
      <c r="BH420" s="18"/>
      <c r="BI420" s="137" t="str">
        <f>BI$2</f>
        <v>Private Passenger Auto Physical Damage</v>
      </c>
      <c r="BJ420" s="68"/>
      <c r="BK420" s="40"/>
      <c r="BL420" s="18"/>
      <c r="BM420" s="18"/>
      <c r="BN420" s="18"/>
      <c r="BO420" s="18"/>
      <c r="BP420" s="18"/>
      <c r="BQ420" s="18"/>
      <c r="BR420" s="18"/>
      <c r="BS420" s="18"/>
      <c r="BT420" s="18"/>
      <c r="BU420" s="137" t="str">
        <f>BU$2</f>
        <v>Private Passenger Auto Physical Damage</v>
      </c>
      <c r="BV420" s="68"/>
      <c r="BW420" s="40"/>
      <c r="BX420" s="18"/>
      <c r="BY420" s="18"/>
      <c r="BZ420" s="18"/>
      <c r="CA420" s="18"/>
      <c r="CB420" s="18"/>
      <c r="CC420" s="18"/>
      <c r="CD420" s="18"/>
      <c r="CE420" s="18"/>
      <c r="CF420" s="18"/>
      <c r="CG420" s="137" t="str">
        <f>CG$2</f>
        <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200</v>
      </c>
      <c r="B422" s="48"/>
      <c r="C422" s="18"/>
      <c r="D422" s="18"/>
      <c r="E422" s="18"/>
      <c r="F422" s="18"/>
      <c r="G422" s="18"/>
      <c r="H422" s="18"/>
      <c r="I422" s="18"/>
      <c r="J422" s="18"/>
      <c r="K422" s="18"/>
      <c r="L422" s="18"/>
      <c r="M422" s="48" t="s">
        <v>200</v>
      </c>
      <c r="N422" s="48"/>
      <c r="O422" s="18"/>
      <c r="P422" s="18"/>
      <c r="Q422" s="18"/>
      <c r="R422" s="18"/>
      <c r="S422" s="18"/>
      <c r="T422" s="18"/>
      <c r="U422" s="18"/>
      <c r="V422" s="18"/>
      <c r="W422" s="18"/>
      <c r="X422" s="18"/>
      <c r="Y422" s="48" t="s">
        <v>200</v>
      </c>
      <c r="Z422" s="48"/>
      <c r="AA422" s="18"/>
      <c r="AB422" s="18"/>
      <c r="AC422" s="18"/>
      <c r="AD422" s="18"/>
      <c r="AE422" s="18"/>
      <c r="AF422" s="18"/>
      <c r="AG422" s="18"/>
      <c r="AH422" s="18"/>
      <c r="AI422" s="18"/>
      <c r="AJ422" s="18"/>
      <c r="AK422" s="48" t="s">
        <v>200</v>
      </c>
      <c r="AL422" s="48"/>
      <c r="AM422" s="18"/>
      <c r="AN422" s="18"/>
      <c r="AO422" s="18"/>
      <c r="AP422" s="18"/>
      <c r="AQ422" s="18"/>
      <c r="AR422" s="18"/>
      <c r="AS422" s="18"/>
      <c r="AT422" s="18"/>
      <c r="AU422" s="18"/>
      <c r="AV422" s="18"/>
      <c r="AW422" s="48" t="s">
        <v>200</v>
      </c>
      <c r="AX422" s="48"/>
      <c r="AY422" s="18"/>
      <c r="AZ422" s="18"/>
      <c r="BA422" s="18"/>
      <c r="BB422" s="18"/>
      <c r="BC422" s="18"/>
      <c r="BD422" s="18"/>
      <c r="BE422" s="18"/>
      <c r="BF422" s="18"/>
      <c r="BG422" s="18"/>
      <c r="BH422" s="18"/>
      <c r="BI422" s="48" t="s">
        <v>200</v>
      </c>
      <c r="BJ422" s="48"/>
      <c r="BK422" s="18"/>
      <c r="BL422" s="18"/>
      <c r="BM422" s="18"/>
      <c r="BN422" s="18"/>
      <c r="BO422" s="18"/>
      <c r="BP422" s="18"/>
      <c r="BQ422" s="18"/>
      <c r="BR422" s="18"/>
      <c r="BS422" s="18"/>
      <c r="BT422" s="18"/>
      <c r="BU422" s="48" t="s">
        <v>200</v>
      </c>
      <c r="BV422" s="48"/>
      <c r="BW422" s="18"/>
      <c r="BX422" s="18"/>
      <c r="BY422" s="18"/>
      <c r="BZ422" s="18"/>
      <c r="CA422" s="18"/>
      <c r="CB422" s="18"/>
      <c r="CC422" s="18"/>
      <c r="CD422" s="18"/>
      <c r="CE422" s="18"/>
      <c r="CF422" s="18"/>
      <c r="CG422" s="48" t="s">
        <v>200</v>
      </c>
      <c r="CH422" s="48"/>
      <c r="CI422" s="18"/>
      <c r="CJ422" s="18"/>
      <c r="CK422" s="18"/>
      <c r="CL422" s="18"/>
      <c r="CM422" s="18"/>
      <c r="CN422" s="18"/>
      <c r="CO422" s="18"/>
      <c r="CP422" s="18"/>
      <c r="CQ422" s="18"/>
      <c r="CR422" s="18"/>
      <c r="CS422" s="48" t="s">
        <v>200</v>
      </c>
      <c r="CT422" s="48"/>
      <c r="CU422" s="18"/>
      <c r="CV422" s="18"/>
      <c r="CW422" s="18"/>
      <c r="CX422" s="18"/>
      <c r="CY422" s="18"/>
      <c r="CZ422" s="18"/>
      <c r="DA422" s="18"/>
      <c r="DB422" s="18"/>
      <c r="DC422" s="18"/>
      <c r="DD422" s="18"/>
      <c r="DE422" s="48" t="s">
        <v>200</v>
      </c>
      <c r="DF422" s="48"/>
      <c r="DG422" s="18"/>
      <c r="DH422" s="18"/>
      <c r="DI422" s="18"/>
      <c r="DJ422" s="18"/>
      <c r="DK422" s="18"/>
      <c r="DL422" s="18"/>
      <c r="DM422" s="18"/>
      <c r="DN422" s="18"/>
      <c r="DO422" s="18"/>
      <c r="DP422" s="18"/>
    </row>
    <row r="423" spans="1:120" x14ac:dyDescent="0.25">
      <c r="A423" s="138" t="str">
        <f>A$5</f>
        <v>BIPD</v>
      </c>
      <c r="B423" s="69"/>
      <c r="C423" s="18"/>
      <c r="D423" s="18"/>
      <c r="E423" s="18"/>
      <c r="F423" s="18"/>
      <c r="G423" s="18"/>
      <c r="H423" s="18"/>
      <c r="I423" s="18"/>
      <c r="J423" s="18"/>
      <c r="K423" s="18"/>
      <c r="L423" s="18"/>
      <c r="M423" s="138" t="str">
        <f>M$5</f>
        <v>MPC</v>
      </c>
      <c r="N423" s="69"/>
      <c r="O423" s="18"/>
      <c r="P423" s="18"/>
      <c r="Q423" s="18"/>
      <c r="R423" s="18"/>
      <c r="S423" s="18"/>
      <c r="T423" s="18"/>
      <c r="U423" s="18"/>
      <c r="V423" s="18"/>
      <c r="W423" s="18"/>
      <c r="X423" s="18"/>
      <c r="Y423" s="138" t="str">
        <f>Y$5</f>
        <v>UM</v>
      </c>
      <c r="Z423" s="69"/>
      <c r="AA423" s="18"/>
      <c r="AB423" s="18"/>
      <c r="AC423" s="18"/>
      <c r="AD423" s="18"/>
      <c r="AE423" s="18"/>
      <c r="AF423" s="18"/>
      <c r="AG423" s="18"/>
      <c r="AH423" s="18"/>
      <c r="AI423" s="18"/>
      <c r="AJ423" s="18"/>
      <c r="AK423" s="138" t="str">
        <f>AK$5</f>
        <v>COMP</v>
      </c>
      <c r="AL423" s="69"/>
      <c r="AM423" s="18"/>
      <c r="AN423" s="18"/>
      <c r="AO423" s="18"/>
      <c r="AP423" s="18"/>
      <c r="AQ423" s="18"/>
      <c r="AR423" s="18"/>
      <c r="AS423" s="18"/>
      <c r="AT423" s="18"/>
      <c r="AU423" s="18"/>
      <c r="AV423" s="18"/>
      <c r="AW423" s="138" t="str">
        <f>AW$5</f>
        <v>COLL</v>
      </c>
      <c r="AX423" s="69"/>
      <c r="AY423" s="18"/>
      <c r="AZ423" s="18"/>
      <c r="BA423" s="18"/>
      <c r="BB423" s="18"/>
      <c r="BC423" s="18"/>
      <c r="BD423" s="18"/>
      <c r="BE423" s="18"/>
      <c r="BF423" s="18"/>
      <c r="BG423" s="18"/>
      <c r="BH423" s="18"/>
      <c r="BI423" s="138" t="str">
        <f>BI$5</f>
        <v>Misc. Damage</v>
      </c>
      <c r="BJ423" s="69"/>
      <c r="BK423" s="18"/>
      <c r="BL423" s="18"/>
      <c r="BM423" s="18"/>
      <c r="BN423" s="18"/>
      <c r="BO423" s="18"/>
      <c r="BP423" s="18"/>
      <c r="BQ423" s="18"/>
      <c r="BR423" s="18"/>
      <c r="BS423" s="18"/>
      <c r="BT423" s="18"/>
      <c r="BU423" s="138" t="str">
        <f>BU$5</f>
        <v>Misc. Liability</v>
      </c>
      <c r="BV423" s="69"/>
      <c r="BW423" s="18"/>
      <c r="BX423" s="18"/>
      <c r="BY423" s="18"/>
      <c r="BZ423" s="18"/>
      <c r="CA423" s="18"/>
      <c r="CB423" s="18"/>
      <c r="CC423" s="18"/>
      <c r="CD423" s="18"/>
      <c r="CE423" s="18"/>
      <c r="CF423" s="18"/>
      <c r="CG423" s="138">
        <f>CG$5</f>
        <v>0</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ht="30" x14ac:dyDescent="0.25">
      <c r="A426" s="92" t="str">
        <f>$A$35</f>
        <v>Fiscal Accident Year Data Ending</v>
      </c>
      <c r="B426" s="98">
        <f>$B$35</f>
        <v>3</v>
      </c>
      <c r="C426" s="98" t="str">
        <f>$C$35</f>
        <v>15</v>
      </c>
      <c r="D426" s="98">
        <f>$D$35</f>
        <v>27</v>
      </c>
      <c r="E426" s="98">
        <f>$E$35</f>
        <v>39</v>
      </c>
      <c r="F426" s="98">
        <f>$F$35</f>
        <v>51</v>
      </c>
      <c r="G426" s="98">
        <f>$G$35</f>
        <v>63</v>
      </c>
      <c r="H426" s="98">
        <f>$H$35</f>
        <v>75</v>
      </c>
      <c r="I426" s="98">
        <f>$I$35</f>
        <v>87</v>
      </c>
      <c r="J426" s="98">
        <f>$J$35</f>
        <v>99</v>
      </c>
      <c r="K426" s="98">
        <f>$K$35</f>
        <v>111</v>
      </c>
      <c r="L426" s="98">
        <f>$L$35</f>
        <v>123</v>
      </c>
      <c r="M426" s="92" t="str">
        <f>$A$35</f>
        <v>Fiscal Accident Year Data Ending</v>
      </c>
      <c r="N426" s="98">
        <f>$B$35</f>
        <v>3</v>
      </c>
      <c r="O426" s="98" t="str">
        <f>$C$35</f>
        <v>15</v>
      </c>
      <c r="P426" s="98">
        <f>$D$35</f>
        <v>27</v>
      </c>
      <c r="Q426" s="98">
        <f>$E$35</f>
        <v>39</v>
      </c>
      <c r="R426" s="98">
        <f>$F$35</f>
        <v>51</v>
      </c>
      <c r="S426" s="98">
        <f>$G$35</f>
        <v>63</v>
      </c>
      <c r="T426" s="98">
        <f>$H$35</f>
        <v>75</v>
      </c>
      <c r="U426" s="98">
        <f>$I$35</f>
        <v>87</v>
      </c>
      <c r="V426" s="98">
        <f>$J$35</f>
        <v>99</v>
      </c>
      <c r="W426" s="98">
        <f>$K$35</f>
        <v>111</v>
      </c>
      <c r="X426" s="98">
        <f>$L$35</f>
        <v>123</v>
      </c>
      <c r="Y426" s="92" t="str">
        <f>$A$35</f>
        <v>Fiscal Accident Year Data Ending</v>
      </c>
      <c r="Z426" s="98">
        <f>$B$35</f>
        <v>3</v>
      </c>
      <c r="AA426" s="98" t="str">
        <f>$C$35</f>
        <v>15</v>
      </c>
      <c r="AB426" s="98">
        <f>$D$35</f>
        <v>27</v>
      </c>
      <c r="AC426" s="98">
        <f>$E$35</f>
        <v>39</v>
      </c>
      <c r="AD426" s="98">
        <f>$F$35</f>
        <v>51</v>
      </c>
      <c r="AE426" s="98">
        <f>$G$35</f>
        <v>63</v>
      </c>
      <c r="AF426" s="98">
        <f>$H$35</f>
        <v>75</v>
      </c>
      <c r="AG426" s="98">
        <f>$I$35</f>
        <v>87</v>
      </c>
      <c r="AH426" s="98">
        <f>$J$35</f>
        <v>99</v>
      </c>
      <c r="AI426" s="98">
        <f>$K$35</f>
        <v>111</v>
      </c>
      <c r="AJ426" s="98">
        <f>$L$35</f>
        <v>123</v>
      </c>
      <c r="AK426" s="92" t="str">
        <f>$A$35</f>
        <v>Fiscal Accident Year Data Ending</v>
      </c>
      <c r="AL426" s="98">
        <f>$B$35</f>
        <v>3</v>
      </c>
      <c r="AM426" s="98" t="str">
        <f>$C$35</f>
        <v>15</v>
      </c>
      <c r="AN426" s="98">
        <f>$D$35</f>
        <v>27</v>
      </c>
      <c r="AO426" s="98">
        <f>$E$35</f>
        <v>39</v>
      </c>
      <c r="AP426" s="98">
        <f>$F$35</f>
        <v>51</v>
      </c>
      <c r="AQ426" s="98">
        <f>$G$35</f>
        <v>63</v>
      </c>
      <c r="AR426" s="98">
        <f>$H$35</f>
        <v>75</v>
      </c>
      <c r="AS426" s="98">
        <f>$I$35</f>
        <v>87</v>
      </c>
      <c r="AT426" s="98">
        <f>$J$35</f>
        <v>99</v>
      </c>
      <c r="AU426" s="98">
        <f>$K$35</f>
        <v>111</v>
      </c>
      <c r="AV426" s="98">
        <f>$L$35</f>
        <v>123</v>
      </c>
      <c r="AW426" s="92" t="str">
        <f>$A$35</f>
        <v>Fiscal Accident Year Data Ending</v>
      </c>
      <c r="AX426" s="98">
        <f>$B$35</f>
        <v>3</v>
      </c>
      <c r="AY426" s="98" t="str">
        <f>$C$35</f>
        <v>15</v>
      </c>
      <c r="AZ426" s="98">
        <f>$D$35</f>
        <v>27</v>
      </c>
      <c r="BA426" s="98">
        <f>$E$35</f>
        <v>39</v>
      </c>
      <c r="BB426" s="98">
        <f>$F$35</f>
        <v>51</v>
      </c>
      <c r="BC426" s="98">
        <f>$G$35</f>
        <v>63</v>
      </c>
      <c r="BD426" s="98">
        <f>$H$35</f>
        <v>75</v>
      </c>
      <c r="BE426" s="98">
        <f>$I$35</f>
        <v>87</v>
      </c>
      <c r="BF426" s="98">
        <f>$J$35</f>
        <v>99</v>
      </c>
      <c r="BG426" s="98">
        <f>$K$35</f>
        <v>111</v>
      </c>
      <c r="BH426" s="98">
        <f>$L$35</f>
        <v>123</v>
      </c>
      <c r="BI426" s="92" t="str">
        <f>$A$35</f>
        <v>Fiscal Accident Year Data Ending</v>
      </c>
      <c r="BJ426" s="98">
        <f>$B$35</f>
        <v>3</v>
      </c>
      <c r="BK426" s="98" t="str">
        <f>$C$35</f>
        <v>15</v>
      </c>
      <c r="BL426" s="98">
        <f>$D$35</f>
        <v>27</v>
      </c>
      <c r="BM426" s="98">
        <f>$E$35</f>
        <v>39</v>
      </c>
      <c r="BN426" s="98">
        <f>$F$35</f>
        <v>51</v>
      </c>
      <c r="BO426" s="98">
        <f>$G$35</f>
        <v>63</v>
      </c>
      <c r="BP426" s="98">
        <f>$H$35</f>
        <v>75</v>
      </c>
      <c r="BQ426" s="98">
        <f>$I$35</f>
        <v>87</v>
      </c>
      <c r="BR426" s="98">
        <f>$J$35</f>
        <v>99</v>
      </c>
      <c r="BS426" s="98">
        <f>$K$35</f>
        <v>111</v>
      </c>
      <c r="BT426" s="98">
        <f>$L$35</f>
        <v>123</v>
      </c>
      <c r="BU426" s="92" t="str">
        <f>$A$35</f>
        <v>Fiscal Accident Year Data Ending</v>
      </c>
      <c r="BV426" s="98">
        <f>$B$35</f>
        <v>3</v>
      </c>
      <c r="BW426" s="98" t="str">
        <f>$C$35</f>
        <v>15</v>
      </c>
      <c r="BX426" s="98">
        <f>$D$35</f>
        <v>27</v>
      </c>
      <c r="BY426" s="98">
        <f>$E$35</f>
        <v>39</v>
      </c>
      <c r="BZ426" s="98">
        <f>$F$35</f>
        <v>51</v>
      </c>
      <c r="CA426" s="98">
        <f>$G$35</f>
        <v>63</v>
      </c>
      <c r="CB426" s="98">
        <f>$H$35</f>
        <v>75</v>
      </c>
      <c r="CC426" s="98">
        <f>$I$35</f>
        <v>87</v>
      </c>
      <c r="CD426" s="98">
        <f>$J$35</f>
        <v>99</v>
      </c>
      <c r="CE426" s="98">
        <f>$K$35</f>
        <v>111</v>
      </c>
      <c r="CF426" s="98">
        <f>$L$35</f>
        <v>123</v>
      </c>
      <c r="CG426" s="92" t="str">
        <f>$A$35</f>
        <v>Fiscal Accident Year Data Ending</v>
      </c>
      <c r="CH426" s="98">
        <f>$B$35</f>
        <v>3</v>
      </c>
      <c r="CI426" s="98" t="str">
        <f>$C$35</f>
        <v>15</v>
      </c>
      <c r="CJ426" s="98">
        <f>$D$35</f>
        <v>27</v>
      </c>
      <c r="CK426" s="98">
        <f>$E$35</f>
        <v>39</v>
      </c>
      <c r="CL426" s="98">
        <f>$F$35</f>
        <v>51</v>
      </c>
      <c r="CM426" s="98">
        <f>$G$35</f>
        <v>63</v>
      </c>
      <c r="CN426" s="98">
        <f>$H$35</f>
        <v>75</v>
      </c>
      <c r="CO426" s="98">
        <f>$I$35</f>
        <v>87</v>
      </c>
      <c r="CP426" s="98">
        <f>$J$35</f>
        <v>99</v>
      </c>
      <c r="CQ426" s="98">
        <f>$K$35</f>
        <v>111</v>
      </c>
      <c r="CR426" s="98">
        <f>$L$35</f>
        <v>123</v>
      </c>
      <c r="CS426" s="92" t="str">
        <f>$A$35</f>
        <v>Fiscal Accident Year Data Ending</v>
      </c>
      <c r="CT426" s="98">
        <f>$B$35</f>
        <v>3</v>
      </c>
      <c r="CU426" s="98" t="str">
        <f>$C$35</f>
        <v>15</v>
      </c>
      <c r="CV426" s="98">
        <f>$D$35</f>
        <v>27</v>
      </c>
      <c r="CW426" s="98">
        <f>$E$35</f>
        <v>39</v>
      </c>
      <c r="CX426" s="98">
        <f>$F$35</f>
        <v>51</v>
      </c>
      <c r="CY426" s="98">
        <f>$G$35</f>
        <v>63</v>
      </c>
      <c r="CZ426" s="98">
        <f>$H$35</f>
        <v>75</v>
      </c>
      <c r="DA426" s="98">
        <f>$I$35</f>
        <v>87</v>
      </c>
      <c r="DB426" s="98">
        <f>$J$35</f>
        <v>99</v>
      </c>
      <c r="DC426" s="98">
        <f>$K$35</f>
        <v>111</v>
      </c>
      <c r="DD426" s="98">
        <f>$L$35</f>
        <v>123</v>
      </c>
      <c r="DE426" s="92" t="str">
        <f>$A$35</f>
        <v>Fiscal Accident Year Data Ending</v>
      </c>
      <c r="DF426" s="98">
        <f>$B$35</f>
        <v>3</v>
      </c>
      <c r="DG426" s="98" t="str">
        <f>$C$35</f>
        <v>15</v>
      </c>
      <c r="DH426" s="98">
        <f>$D$35</f>
        <v>27</v>
      </c>
      <c r="DI426" s="98">
        <f>$E$35</f>
        <v>39</v>
      </c>
      <c r="DJ426" s="98">
        <f>$F$35</f>
        <v>51</v>
      </c>
      <c r="DK426" s="98">
        <f>$G$35</f>
        <v>63</v>
      </c>
      <c r="DL426" s="98">
        <f>$H$35</f>
        <v>75</v>
      </c>
      <c r="DM426" s="98">
        <f>$I$35</f>
        <v>87</v>
      </c>
      <c r="DN426" s="98">
        <f>$J$35</f>
        <v>99</v>
      </c>
      <c r="DO426" s="98">
        <f>$K$35</f>
        <v>111</v>
      </c>
      <c r="DP426" s="98">
        <f>$L$35</f>
        <v>123</v>
      </c>
    </row>
    <row r="427" spans="1:120" ht="15" customHeight="1" x14ac:dyDescent="0.25">
      <c r="A427" s="31">
        <f>$A$36</f>
        <v>20133</v>
      </c>
      <c r="B427" s="21">
        <v>12586</v>
      </c>
      <c r="C427" s="21">
        <v>95763</v>
      </c>
      <c r="D427" s="21">
        <v>101403</v>
      </c>
      <c r="E427" s="21">
        <v>103091</v>
      </c>
      <c r="F427" s="21">
        <v>103398</v>
      </c>
      <c r="G427" s="21">
        <v>103487</v>
      </c>
      <c r="H427" s="21">
        <v>103514</v>
      </c>
      <c r="I427" s="21">
        <v>103525</v>
      </c>
      <c r="J427" s="21">
        <v>103530</v>
      </c>
      <c r="K427" s="21">
        <v>103535</v>
      </c>
      <c r="L427" s="21">
        <v>103535</v>
      </c>
      <c r="M427" s="31">
        <f>$A$36</f>
        <v>20133</v>
      </c>
      <c r="N427" s="21">
        <v>3268</v>
      </c>
      <c r="O427" s="21">
        <v>25496</v>
      </c>
      <c r="P427" s="21">
        <v>26585</v>
      </c>
      <c r="Q427" s="21">
        <v>26889</v>
      </c>
      <c r="R427" s="21">
        <v>26950</v>
      </c>
      <c r="S427" s="21">
        <v>26966</v>
      </c>
      <c r="T427" s="21">
        <v>26973</v>
      </c>
      <c r="U427" s="21">
        <v>26977</v>
      </c>
      <c r="V427" s="21">
        <v>26979</v>
      </c>
      <c r="W427" s="21">
        <v>26980</v>
      </c>
      <c r="X427" s="21">
        <v>26980</v>
      </c>
      <c r="Y427" s="31">
        <f>$A$36</f>
        <v>20133</v>
      </c>
      <c r="Z427" s="21">
        <v>238</v>
      </c>
      <c r="AA427" s="21">
        <v>4004</v>
      </c>
      <c r="AB427" s="21">
        <v>4931</v>
      </c>
      <c r="AC427" s="21">
        <v>5253</v>
      </c>
      <c r="AD427" s="21">
        <v>5351</v>
      </c>
      <c r="AE427" s="21">
        <v>5386</v>
      </c>
      <c r="AF427" s="21">
        <v>5407</v>
      </c>
      <c r="AG427" s="21">
        <v>5415</v>
      </c>
      <c r="AH427" s="21">
        <v>5422</v>
      </c>
      <c r="AI427" s="21">
        <v>5423</v>
      </c>
      <c r="AJ427" s="21">
        <v>5426</v>
      </c>
      <c r="AK427" s="31">
        <f>$A$36</f>
        <v>20133</v>
      </c>
      <c r="AL427" s="21">
        <v>2632</v>
      </c>
      <c r="AM427" s="21">
        <v>17624</v>
      </c>
      <c r="AN427" s="21">
        <v>18100</v>
      </c>
      <c r="AO427" s="21">
        <v>18174</v>
      </c>
      <c r="AP427" s="21">
        <v>18206</v>
      </c>
      <c r="AQ427" s="21">
        <v>18213</v>
      </c>
      <c r="AR427" s="21">
        <v>18216</v>
      </c>
      <c r="AS427" s="21">
        <v>18222</v>
      </c>
      <c r="AT427" s="21">
        <v>18222</v>
      </c>
      <c r="AU427" s="21">
        <v>18222</v>
      </c>
      <c r="AV427" s="21">
        <v>18223</v>
      </c>
      <c r="AW427" s="31">
        <f>$A$36</f>
        <v>20133</v>
      </c>
      <c r="AX427" s="21">
        <v>24336</v>
      </c>
      <c r="AY427" s="21">
        <v>150430</v>
      </c>
      <c r="AZ427" s="21">
        <v>152449</v>
      </c>
      <c r="BA427" s="21">
        <v>152741</v>
      </c>
      <c r="BB427" s="21">
        <v>152841</v>
      </c>
      <c r="BC427" s="21">
        <v>152869</v>
      </c>
      <c r="BD427" s="21">
        <v>152879</v>
      </c>
      <c r="BE427" s="21">
        <v>152897</v>
      </c>
      <c r="BF427" s="21">
        <v>152900</v>
      </c>
      <c r="BG427" s="21">
        <v>152901</v>
      </c>
      <c r="BH427" s="21">
        <v>152903</v>
      </c>
      <c r="BI427" s="31">
        <f>$A$36</f>
        <v>20133</v>
      </c>
      <c r="BJ427" s="21">
        <v>18943</v>
      </c>
      <c r="BK427" s="21">
        <v>125723</v>
      </c>
      <c r="BL427" s="21">
        <v>127588</v>
      </c>
      <c r="BM427" s="21">
        <v>127860</v>
      </c>
      <c r="BN427" s="21">
        <v>127950</v>
      </c>
      <c r="BO427" s="21">
        <v>127984</v>
      </c>
      <c r="BP427" s="21">
        <v>127989</v>
      </c>
      <c r="BQ427" s="21">
        <v>127996</v>
      </c>
      <c r="BR427" s="21">
        <v>127996</v>
      </c>
      <c r="BS427" s="21">
        <v>127996</v>
      </c>
      <c r="BT427" s="21">
        <v>127997</v>
      </c>
      <c r="BU427" s="31">
        <f>$A$36</f>
        <v>20133</v>
      </c>
      <c r="BV427" s="21">
        <v>0</v>
      </c>
      <c r="BW427" s="21">
        <v>5</v>
      </c>
      <c r="BX427" s="21">
        <v>8</v>
      </c>
      <c r="BY427" s="21">
        <v>10</v>
      </c>
      <c r="BZ427" s="21">
        <v>11</v>
      </c>
      <c r="CA427" s="21">
        <v>11</v>
      </c>
      <c r="CB427" s="21">
        <v>11</v>
      </c>
      <c r="CC427" s="21">
        <v>11</v>
      </c>
      <c r="CD427" s="21">
        <v>11</v>
      </c>
      <c r="CE427" s="21">
        <v>11</v>
      </c>
      <c r="CF427" s="21">
        <v>11</v>
      </c>
      <c r="CG427" s="31">
        <f>$A$36</f>
        <v>20133</v>
      </c>
      <c r="CH427" s="21"/>
      <c r="CI427" s="21"/>
      <c r="CJ427" s="21"/>
      <c r="CK427" s="21"/>
      <c r="CL427" s="21"/>
      <c r="CM427" s="21"/>
      <c r="CN427" s="21"/>
      <c r="CO427" s="21"/>
      <c r="CP427" s="21"/>
      <c r="CQ427" s="21"/>
      <c r="CR427" s="21"/>
      <c r="CS427" s="31">
        <f>$A$36</f>
        <v>20133</v>
      </c>
      <c r="CT427" s="21"/>
      <c r="CU427" s="21"/>
      <c r="CV427" s="21"/>
      <c r="CW427" s="21"/>
      <c r="CX427" s="21"/>
      <c r="CY427" s="21"/>
      <c r="CZ427" s="21"/>
      <c r="DA427" s="21"/>
      <c r="DB427" s="21"/>
      <c r="DC427" s="21"/>
      <c r="DD427" s="21"/>
      <c r="DE427" s="31">
        <f>$A$36</f>
        <v>20133</v>
      </c>
      <c r="DF427" s="21"/>
      <c r="DG427" s="21"/>
      <c r="DH427" s="21"/>
      <c r="DI427" s="21"/>
      <c r="DJ427" s="21"/>
      <c r="DK427" s="21"/>
      <c r="DL427" s="21"/>
      <c r="DM427" s="21"/>
      <c r="DN427" s="21"/>
      <c r="DO427" s="21"/>
      <c r="DP427" s="21"/>
    </row>
    <row r="428" spans="1:120" ht="15" customHeight="1" x14ac:dyDescent="0.25">
      <c r="A428" s="31">
        <f>$A$37</f>
        <v>20143</v>
      </c>
      <c r="B428" s="21">
        <v>12252</v>
      </c>
      <c r="C428" s="21">
        <v>101879</v>
      </c>
      <c r="D428" s="21">
        <v>108688</v>
      </c>
      <c r="E428" s="21">
        <v>109895</v>
      </c>
      <c r="F428" s="21">
        <v>110179</v>
      </c>
      <c r="G428" s="21">
        <v>110303</v>
      </c>
      <c r="H428" s="21">
        <v>110335</v>
      </c>
      <c r="I428" s="21">
        <v>110347</v>
      </c>
      <c r="J428" s="21">
        <v>110351</v>
      </c>
      <c r="K428" s="21">
        <v>110352</v>
      </c>
      <c r="L428" s="134" t="s">
        <v>246</v>
      </c>
      <c r="M428" s="31">
        <f>$A$37</f>
        <v>20143</v>
      </c>
      <c r="N428" s="21">
        <v>3483</v>
      </c>
      <c r="O428" s="21">
        <v>24464</v>
      </c>
      <c r="P428" s="21">
        <v>25736</v>
      </c>
      <c r="Q428" s="21">
        <v>26069</v>
      </c>
      <c r="R428" s="21">
        <v>26109</v>
      </c>
      <c r="S428" s="21">
        <v>26123</v>
      </c>
      <c r="T428" s="21">
        <v>26126</v>
      </c>
      <c r="U428" s="21">
        <v>26126</v>
      </c>
      <c r="V428" s="21">
        <v>26126</v>
      </c>
      <c r="W428" s="21">
        <v>26131</v>
      </c>
      <c r="X428" s="134" t="s">
        <v>246</v>
      </c>
      <c r="Y428" s="31">
        <f>$A$37</f>
        <v>20143</v>
      </c>
      <c r="Z428" s="21">
        <v>239</v>
      </c>
      <c r="AA428" s="21">
        <v>4936</v>
      </c>
      <c r="AB428" s="21">
        <v>6247</v>
      </c>
      <c r="AC428" s="21">
        <v>6627</v>
      </c>
      <c r="AD428" s="21">
        <v>6749</v>
      </c>
      <c r="AE428" s="21">
        <v>6777</v>
      </c>
      <c r="AF428" s="21">
        <v>6786</v>
      </c>
      <c r="AG428" s="21">
        <v>6794</v>
      </c>
      <c r="AH428" s="21">
        <v>6801</v>
      </c>
      <c r="AI428" s="21">
        <v>6807</v>
      </c>
      <c r="AJ428" s="134" t="s">
        <v>246</v>
      </c>
      <c r="AK428" s="31">
        <f>$A$37</f>
        <v>20143</v>
      </c>
      <c r="AL428" s="21">
        <v>2504</v>
      </c>
      <c r="AM428" s="21">
        <v>17425</v>
      </c>
      <c r="AN428" s="21">
        <v>17904</v>
      </c>
      <c r="AO428" s="21">
        <v>17963</v>
      </c>
      <c r="AP428" s="21">
        <v>17994</v>
      </c>
      <c r="AQ428" s="21">
        <v>18008</v>
      </c>
      <c r="AR428" s="21">
        <v>18014</v>
      </c>
      <c r="AS428" s="21">
        <v>18018</v>
      </c>
      <c r="AT428" s="21">
        <v>18020</v>
      </c>
      <c r="AU428" s="21">
        <v>18022</v>
      </c>
      <c r="AV428" s="134" t="s">
        <v>246</v>
      </c>
      <c r="AW428" s="31">
        <f>$A$37</f>
        <v>20143</v>
      </c>
      <c r="AX428" s="21">
        <v>26302</v>
      </c>
      <c r="AY428" s="21">
        <v>154740</v>
      </c>
      <c r="AZ428" s="21">
        <v>156879</v>
      </c>
      <c r="BA428" s="21">
        <v>157215</v>
      </c>
      <c r="BB428" s="21">
        <v>157298</v>
      </c>
      <c r="BC428" s="21">
        <v>157320</v>
      </c>
      <c r="BD428" s="21">
        <v>157339</v>
      </c>
      <c r="BE428" s="21">
        <v>157348</v>
      </c>
      <c r="BF428" s="21">
        <v>157351</v>
      </c>
      <c r="BG428" s="21">
        <v>157353</v>
      </c>
      <c r="BH428" s="134" t="s">
        <v>246</v>
      </c>
      <c r="BI428" s="31">
        <f>$A$37</f>
        <v>20143</v>
      </c>
      <c r="BJ428" s="21">
        <v>21124</v>
      </c>
      <c r="BK428" s="21">
        <v>119148</v>
      </c>
      <c r="BL428" s="21">
        <v>120971</v>
      </c>
      <c r="BM428" s="21">
        <v>121210</v>
      </c>
      <c r="BN428" s="21">
        <v>121275</v>
      </c>
      <c r="BO428" s="21">
        <v>121300</v>
      </c>
      <c r="BP428" s="21">
        <v>121305</v>
      </c>
      <c r="BQ428" s="21">
        <v>121308</v>
      </c>
      <c r="BR428" s="21">
        <v>121311</v>
      </c>
      <c r="BS428" s="21">
        <v>121311</v>
      </c>
      <c r="BT428" s="134" t="s">
        <v>246</v>
      </c>
      <c r="BU428" s="31">
        <f>$A$37</f>
        <v>20143</v>
      </c>
      <c r="BV428" s="21">
        <v>1</v>
      </c>
      <c r="BW428" s="21">
        <v>12</v>
      </c>
      <c r="BX428" s="21">
        <v>17</v>
      </c>
      <c r="BY428" s="21">
        <v>17</v>
      </c>
      <c r="BZ428" s="21">
        <v>17</v>
      </c>
      <c r="CA428" s="21">
        <v>17</v>
      </c>
      <c r="CB428" s="21">
        <v>17</v>
      </c>
      <c r="CC428" s="21">
        <v>17</v>
      </c>
      <c r="CD428" s="21">
        <v>17</v>
      </c>
      <c r="CE428" s="21">
        <v>17</v>
      </c>
      <c r="CF428" s="134" t="s">
        <v>246</v>
      </c>
      <c r="CG428" s="31">
        <f>$A$37</f>
        <v>20143</v>
      </c>
      <c r="CH428" s="21"/>
      <c r="CI428" s="21"/>
      <c r="CJ428" s="21"/>
      <c r="CK428" s="21"/>
      <c r="CL428" s="21"/>
      <c r="CM428" s="21"/>
      <c r="CN428" s="21"/>
      <c r="CO428" s="21"/>
      <c r="CP428" s="21"/>
      <c r="CQ428" s="21"/>
      <c r="CR428" s="134"/>
      <c r="CS428" s="31">
        <f>$A$37</f>
        <v>20143</v>
      </c>
      <c r="CT428" s="21"/>
      <c r="CU428" s="21"/>
      <c r="CV428" s="21"/>
      <c r="CW428" s="21"/>
      <c r="CX428" s="21"/>
      <c r="CY428" s="21"/>
      <c r="CZ428" s="21"/>
      <c r="DA428" s="21"/>
      <c r="DB428" s="21"/>
      <c r="DC428" s="21"/>
      <c r="DD428" s="134"/>
      <c r="DE428" s="31">
        <f>$A$37</f>
        <v>20143</v>
      </c>
      <c r="DF428" s="21"/>
      <c r="DG428" s="21"/>
      <c r="DH428" s="21"/>
      <c r="DI428" s="21"/>
      <c r="DJ428" s="21"/>
      <c r="DK428" s="21"/>
      <c r="DL428" s="21"/>
      <c r="DM428" s="21"/>
      <c r="DN428" s="21"/>
      <c r="DO428" s="21"/>
      <c r="DP428" s="134"/>
    </row>
    <row r="429" spans="1:120" ht="15" customHeight="1" x14ac:dyDescent="0.25">
      <c r="A429" s="31">
        <f>$A$38</f>
        <v>20153</v>
      </c>
      <c r="B429" s="21">
        <v>13328</v>
      </c>
      <c r="C429" s="21">
        <v>114242</v>
      </c>
      <c r="D429" s="21">
        <v>119634</v>
      </c>
      <c r="E429" s="21">
        <v>120767</v>
      </c>
      <c r="F429" s="21">
        <v>121075</v>
      </c>
      <c r="G429" s="21">
        <v>121213</v>
      </c>
      <c r="H429" s="21">
        <v>121249</v>
      </c>
      <c r="I429" s="21">
        <v>121266</v>
      </c>
      <c r="J429" s="21">
        <v>121278</v>
      </c>
      <c r="K429" s="134" t="s">
        <v>246</v>
      </c>
      <c r="L429" s="134" t="s">
        <v>246</v>
      </c>
      <c r="M429" s="31">
        <f>$A$38</f>
        <v>20153</v>
      </c>
      <c r="N429" s="21">
        <v>1898</v>
      </c>
      <c r="O429" s="21">
        <v>27150</v>
      </c>
      <c r="P429" s="21">
        <v>28392</v>
      </c>
      <c r="Q429" s="21">
        <v>28689</v>
      </c>
      <c r="R429" s="21">
        <v>28748</v>
      </c>
      <c r="S429" s="21">
        <v>28759</v>
      </c>
      <c r="T429" s="21">
        <v>28767</v>
      </c>
      <c r="U429" s="21">
        <v>28770</v>
      </c>
      <c r="V429" s="21">
        <v>28771</v>
      </c>
      <c r="W429" s="134" t="s">
        <v>246</v>
      </c>
      <c r="X429" s="134" t="s">
        <v>246</v>
      </c>
      <c r="Y429" s="31">
        <f>$A$38</f>
        <v>20153</v>
      </c>
      <c r="Z429" s="21">
        <v>325</v>
      </c>
      <c r="AA429" s="21">
        <v>6740</v>
      </c>
      <c r="AB429" s="21">
        <v>8203</v>
      </c>
      <c r="AC429" s="21">
        <v>8623</v>
      </c>
      <c r="AD429" s="21">
        <v>8732</v>
      </c>
      <c r="AE429" s="21">
        <v>8789</v>
      </c>
      <c r="AF429" s="21">
        <v>8806</v>
      </c>
      <c r="AG429" s="21">
        <v>8811</v>
      </c>
      <c r="AH429" s="21">
        <v>8818</v>
      </c>
      <c r="AI429" s="134" t="s">
        <v>246</v>
      </c>
      <c r="AJ429" s="134" t="s">
        <v>246</v>
      </c>
      <c r="AK429" s="31">
        <f>$A$38</f>
        <v>20153</v>
      </c>
      <c r="AL429" s="21">
        <v>2289</v>
      </c>
      <c r="AM429" s="21">
        <v>17566</v>
      </c>
      <c r="AN429" s="21">
        <v>18054</v>
      </c>
      <c r="AO429" s="21">
        <v>18144</v>
      </c>
      <c r="AP429" s="21">
        <v>18172</v>
      </c>
      <c r="AQ429" s="21">
        <v>18197</v>
      </c>
      <c r="AR429" s="21">
        <v>18209</v>
      </c>
      <c r="AS429" s="21">
        <v>18210</v>
      </c>
      <c r="AT429" s="21">
        <v>18211</v>
      </c>
      <c r="AU429" s="134" t="s">
        <v>246</v>
      </c>
      <c r="AV429" s="134" t="s">
        <v>246</v>
      </c>
      <c r="AW429" s="31">
        <f>$A$38</f>
        <v>20153</v>
      </c>
      <c r="AX429" s="21">
        <v>24556</v>
      </c>
      <c r="AY429" s="21">
        <v>160353</v>
      </c>
      <c r="AZ429" s="21">
        <v>162903</v>
      </c>
      <c r="BA429" s="21">
        <v>163250</v>
      </c>
      <c r="BB429" s="21">
        <v>163336</v>
      </c>
      <c r="BC429" s="21">
        <v>163379</v>
      </c>
      <c r="BD429" s="21">
        <v>163399</v>
      </c>
      <c r="BE429" s="21">
        <v>163407</v>
      </c>
      <c r="BF429" s="21">
        <v>163410</v>
      </c>
      <c r="BG429" s="134" t="s">
        <v>246</v>
      </c>
      <c r="BH429" s="134" t="s">
        <v>246</v>
      </c>
      <c r="BI429" s="31">
        <f>$A$38</f>
        <v>20153</v>
      </c>
      <c r="BJ429" s="21">
        <v>16627</v>
      </c>
      <c r="BK429" s="21">
        <v>123979</v>
      </c>
      <c r="BL429" s="21">
        <v>126005</v>
      </c>
      <c r="BM429" s="21">
        <v>126213</v>
      </c>
      <c r="BN429" s="21">
        <v>126259</v>
      </c>
      <c r="BO429" s="21">
        <v>126285</v>
      </c>
      <c r="BP429" s="21">
        <v>126291</v>
      </c>
      <c r="BQ429" s="21">
        <v>126295</v>
      </c>
      <c r="BR429" s="21">
        <v>126297</v>
      </c>
      <c r="BS429" s="134" t="s">
        <v>246</v>
      </c>
      <c r="BT429" s="134" t="s">
        <v>246</v>
      </c>
      <c r="BU429" s="31">
        <f>$A$38</f>
        <v>20153</v>
      </c>
      <c r="BV429" s="21">
        <v>2</v>
      </c>
      <c r="BW429" s="21">
        <v>15</v>
      </c>
      <c r="BX429" s="21">
        <v>17</v>
      </c>
      <c r="BY429" s="21">
        <v>18</v>
      </c>
      <c r="BZ429" s="21">
        <v>18</v>
      </c>
      <c r="CA429" s="21">
        <v>18</v>
      </c>
      <c r="CB429" s="21">
        <v>18</v>
      </c>
      <c r="CC429" s="21">
        <v>18</v>
      </c>
      <c r="CD429" s="21">
        <v>18</v>
      </c>
      <c r="CE429" s="134" t="s">
        <v>246</v>
      </c>
      <c r="CF429" s="134" t="s">
        <v>246</v>
      </c>
      <c r="CG429" s="31">
        <f>$A$38</f>
        <v>20153</v>
      </c>
      <c r="CH429" s="21"/>
      <c r="CI429" s="21"/>
      <c r="CJ429" s="21"/>
      <c r="CK429" s="21"/>
      <c r="CL429" s="21"/>
      <c r="CM429" s="21"/>
      <c r="CN429" s="21"/>
      <c r="CO429" s="21"/>
      <c r="CP429" s="21"/>
      <c r="CQ429" s="134"/>
      <c r="CR429" s="134"/>
      <c r="CS429" s="31">
        <f>$A$38</f>
        <v>20153</v>
      </c>
      <c r="CT429" s="21"/>
      <c r="CU429" s="21"/>
      <c r="CV429" s="21"/>
      <c r="CW429" s="21"/>
      <c r="CX429" s="21"/>
      <c r="CY429" s="21"/>
      <c r="CZ429" s="21"/>
      <c r="DA429" s="21"/>
      <c r="DB429" s="21"/>
      <c r="DC429" s="134"/>
      <c r="DD429" s="134"/>
      <c r="DE429" s="31">
        <f>$A$38</f>
        <v>20153</v>
      </c>
      <c r="DF429" s="21"/>
      <c r="DG429" s="21"/>
      <c r="DH429" s="21"/>
      <c r="DI429" s="21"/>
      <c r="DJ429" s="21"/>
      <c r="DK429" s="21"/>
      <c r="DL429" s="21"/>
      <c r="DM429" s="21"/>
      <c r="DN429" s="21"/>
      <c r="DO429" s="134"/>
      <c r="DP429" s="134"/>
    </row>
    <row r="430" spans="1:120" ht="15" customHeight="1" x14ac:dyDescent="0.25">
      <c r="A430" s="31">
        <f>$A$39</f>
        <v>20163</v>
      </c>
      <c r="B430" s="21">
        <v>15276</v>
      </c>
      <c r="C430" s="21">
        <v>122582</v>
      </c>
      <c r="D430" s="21">
        <v>128374</v>
      </c>
      <c r="E430" s="21">
        <v>129673</v>
      </c>
      <c r="F430" s="21">
        <v>130022</v>
      </c>
      <c r="G430" s="21">
        <v>130127</v>
      </c>
      <c r="H430" s="21">
        <v>130178</v>
      </c>
      <c r="I430" s="21">
        <v>130212</v>
      </c>
      <c r="J430" s="134" t="s">
        <v>246</v>
      </c>
      <c r="K430" s="134" t="s">
        <v>246</v>
      </c>
      <c r="L430" s="134" t="s">
        <v>246</v>
      </c>
      <c r="M430" s="31">
        <f>$A$39</f>
        <v>20163</v>
      </c>
      <c r="N430" s="21">
        <v>1934</v>
      </c>
      <c r="O430" s="21">
        <v>26454</v>
      </c>
      <c r="P430" s="21">
        <v>27623</v>
      </c>
      <c r="Q430" s="21">
        <v>27935</v>
      </c>
      <c r="R430" s="21">
        <v>27997</v>
      </c>
      <c r="S430" s="21">
        <v>28014</v>
      </c>
      <c r="T430" s="21">
        <v>28020</v>
      </c>
      <c r="U430" s="21">
        <v>28021</v>
      </c>
      <c r="V430" s="134" t="s">
        <v>246</v>
      </c>
      <c r="W430" s="134" t="s">
        <v>246</v>
      </c>
      <c r="X430" s="134" t="s">
        <v>246</v>
      </c>
      <c r="Y430" s="31">
        <f>$A$39</f>
        <v>20163</v>
      </c>
      <c r="Z430" s="21">
        <v>455</v>
      </c>
      <c r="AA430" s="21">
        <v>7909</v>
      </c>
      <c r="AB430" s="21">
        <v>9656</v>
      </c>
      <c r="AC430" s="21">
        <v>10127</v>
      </c>
      <c r="AD430" s="21">
        <v>10275</v>
      </c>
      <c r="AE430" s="21">
        <v>10340</v>
      </c>
      <c r="AF430" s="21">
        <v>10356</v>
      </c>
      <c r="AG430" s="21">
        <v>10367</v>
      </c>
      <c r="AH430" s="134" t="s">
        <v>246</v>
      </c>
      <c r="AI430" s="134" t="s">
        <v>246</v>
      </c>
      <c r="AJ430" s="134" t="s">
        <v>246</v>
      </c>
      <c r="AK430" s="31">
        <f>$A$39</f>
        <v>20163</v>
      </c>
      <c r="AL430" s="21">
        <v>2468</v>
      </c>
      <c r="AM430" s="21">
        <v>18735</v>
      </c>
      <c r="AN430" s="21">
        <v>19279</v>
      </c>
      <c r="AO430" s="21">
        <v>19351</v>
      </c>
      <c r="AP430" s="21">
        <v>19407</v>
      </c>
      <c r="AQ430" s="21">
        <v>19430</v>
      </c>
      <c r="AR430" s="21">
        <v>19441</v>
      </c>
      <c r="AS430" s="21">
        <v>19450</v>
      </c>
      <c r="AT430" s="134" t="s">
        <v>246</v>
      </c>
      <c r="AU430" s="134" t="s">
        <v>246</v>
      </c>
      <c r="AV430" s="134" t="s">
        <v>246</v>
      </c>
      <c r="AW430" s="31">
        <f>$A$39</f>
        <v>20163</v>
      </c>
      <c r="AX430" s="21">
        <v>27547</v>
      </c>
      <c r="AY430" s="21">
        <v>180237</v>
      </c>
      <c r="AZ430" s="21">
        <v>183111</v>
      </c>
      <c r="BA430" s="21">
        <v>183532</v>
      </c>
      <c r="BB430" s="21">
        <v>183653</v>
      </c>
      <c r="BC430" s="21">
        <v>183698</v>
      </c>
      <c r="BD430" s="21">
        <v>183730</v>
      </c>
      <c r="BE430" s="21">
        <v>183738</v>
      </c>
      <c r="BF430" s="134" t="s">
        <v>246</v>
      </c>
      <c r="BG430" s="134" t="s">
        <v>246</v>
      </c>
      <c r="BH430" s="134" t="s">
        <v>246</v>
      </c>
      <c r="BI430" s="31">
        <f>$A$39</f>
        <v>20163</v>
      </c>
      <c r="BJ430" s="21">
        <v>18956</v>
      </c>
      <c r="BK430" s="21">
        <v>130238</v>
      </c>
      <c r="BL430" s="21">
        <v>132332</v>
      </c>
      <c r="BM430" s="21">
        <v>132590</v>
      </c>
      <c r="BN430" s="21">
        <v>132674</v>
      </c>
      <c r="BO430" s="21">
        <v>132700</v>
      </c>
      <c r="BP430" s="21">
        <v>132705</v>
      </c>
      <c r="BQ430" s="21">
        <v>132707</v>
      </c>
      <c r="BR430" s="134" t="s">
        <v>246</v>
      </c>
      <c r="BS430" s="134" t="s">
        <v>246</v>
      </c>
      <c r="BT430" s="134" t="s">
        <v>246</v>
      </c>
      <c r="BU430" s="31">
        <f>$A$39</f>
        <v>20163</v>
      </c>
      <c r="BV430" s="21">
        <v>1</v>
      </c>
      <c r="BW430" s="21">
        <v>9</v>
      </c>
      <c r="BX430" s="21">
        <v>11</v>
      </c>
      <c r="BY430" s="21">
        <v>11</v>
      </c>
      <c r="BZ430" s="21">
        <v>11</v>
      </c>
      <c r="CA430" s="21">
        <v>11</v>
      </c>
      <c r="CB430" s="21">
        <v>11</v>
      </c>
      <c r="CC430" s="21">
        <v>11</v>
      </c>
      <c r="CD430" s="134" t="s">
        <v>246</v>
      </c>
      <c r="CE430" s="134" t="s">
        <v>246</v>
      </c>
      <c r="CF430" s="134" t="s">
        <v>246</v>
      </c>
      <c r="CG430" s="31">
        <f>$A$39</f>
        <v>20163</v>
      </c>
      <c r="CH430" s="21"/>
      <c r="CI430" s="21"/>
      <c r="CJ430" s="21"/>
      <c r="CK430" s="21"/>
      <c r="CL430" s="21"/>
      <c r="CM430" s="21"/>
      <c r="CN430" s="21"/>
      <c r="CO430" s="21"/>
      <c r="CP430" s="134"/>
      <c r="CQ430" s="134"/>
      <c r="CR430" s="134"/>
      <c r="CS430" s="31">
        <f>$A$39</f>
        <v>20163</v>
      </c>
      <c r="CT430" s="21"/>
      <c r="CU430" s="21"/>
      <c r="CV430" s="21"/>
      <c r="CW430" s="21"/>
      <c r="CX430" s="21"/>
      <c r="CY430" s="21"/>
      <c r="CZ430" s="21"/>
      <c r="DA430" s="21"/>
      <c r="DB430" s="134"/>
      <c r="DC430" s="134"/>
      <c r="DD430" s="134"/>
      <c r="DE430" s="31">
        <f>$A$39</f>
        <v>20163</v>
      </c>
      <c r="DF430" s="21"/>
      <c r="DG430" s="21"/>
      <c r="DH430" s="21"/>
      <c r="DI430" s="21"/>
      <c r="DJ430" s="21"/>
      <c r="DK430" s="21"/>
      <c r="DL430" s="21"/>
      <c r="DM430" s="21"/>
      <c r="DN430" s="134"/>
      <c r="DO430" s="134"/>
      <c r="DP430" s="134"/>
    </row>
    <row r="431" spans="1:120" ht="15" customHeight="1" x14ac:dyDescent="0.25">
      <c r="A431" s="31">
        <f>$A$40</f>
        <v>20173</v>
      </c>
      <c r="B431" s="21">
        <v>15050</v>
      </c>
      <c r="C431" s="21">
        <v>118004</v>
      </c>
      <c r="D431" s="21">
        <v>124733</v>
      </c>
      <c r="E431" s="21">
        <v>126281</v>
      </c>
      <c r="F431" s="21">
        <v>126576</v>
      </c>
      <c r="G431" s="21">
        <v>126690</v>
      </c>
      <c r="H431" s="21">
        <v>126755</v>
      </c>
      <c r="I431" s="134" t="s">
        <v>246</v>
      </c>
      <c r="J431" s="134" t="s">
        <v>246</v>
      </c>
      <c r="K431" s="134" t="s">
        <v>246</v>
      </c>
      <c r="L431" s="134" t="s">
        <v>246</v>
      </c>
      <c r="M431" s="31">
        <f>$A$40</f>
        <v>20173</v>
      </c>
      <c r="N431" s="21">
        <v>1168</v>
      </c>
      <c r="O431" s="21">
        <v>24499</v>
      </c>
      <c r="P431" s="21">
        <v>25708</v>
      </c>
      <c r="Q431" s="21">
        <v>25954</v>
      </c>
      <c r="R431" s="21">
        <v>26009</v>
      </c>
      <c r="S431" s="21">
        <v>26034</v>
      </c>
      <c r="T431" s="21">
        <v>26043</v>
      </c>
      <c r="U431" s="134" t="s">
        <v>246</v>
      </c>
      <c r="V431" s="134" t="s">
        <v>246</v>
      </c>
      <c r="W431" s="134" t="s">
        <v>246</v>
      </c>
      <c r="X431" s="134" t="s">
        <v>246</v>
      </c>
      <c r="Y431" s="31">
        <f>$A$40</f>
        <v>20173</v>
      </c>
      <c r="Z431" s="21">
        <v>493</v>
      </c>
      <c r="AA431" s="21">
        <v>7569</v>
      </c>
      <c r="AB431" s="21">
        <v>9365</v>
      </c>
      <c r="AC431" s="21">
        <v>9814</v>
      </c>
      <c r="AD431" s="21">
        <v>9934</v>
      </c>
      <c r="AE431" s="21">
        <v>9991</v>
      </c>
      <c r="AF431" s="21">
        <v>10033</v>
      </c>
      <c r="AG431" s="134" t="s">
        <v>246</v>
      </c>
      <c r="AH431" s="134" t="s">
        <v>246</v>
      </c>
      <c r="AI431" s="134" t="s">
        <v>246</v>
      </c>
      <c r="AJ431" s="134" t="s">
        <v>246</v>
      </c>
      <c r="AK431" s="31">
        <f>$A$40</f>
        <v>20173</v>
      </c>
      <c r="AL431" s="21">
        <v>2793</v>
      </c>
      <c r="AM431" s="21">
        <v>22689</v>
      </c>
      <c r="AN431" s="21">
        <v>23247</v>
      </c>
      <c r="AO431" s="21">
        <v>23412</v>
      </c>
      <c r="AP431" s="21">
        <v>23480</v>
      </c>
      <c r="AQ431" s="21">
        <v>23510</v>
      </c>
      <c r="AR431" s="21">
        <v>23524</v>
      </c>
      <c r="AS431" s="134" t="s">
        <v>246</v>
      </c>
      <c r="AT431" s="134" t="s">
        <v>246</v>
      </c>
      <c r="AU431" s="134" t="s">
        <v>246</v>
      </c>
      <c r="AV431" s="134" t="s">
        <v>246</v>
      </c>
      <c r="AW431" s="31">
        <f>$A$40</f>
        <v>20173</v>
      </c>
      <c r="AX431" s="21">
        <v>28398</v>
      </c>
      <c r="AY431" s="21">
        <v>180097</v>
      </c>
      <c r="AZ431" s="21">
        <v>182794</v>
      </c>
      <c r="BA431" s="21">
        <v>183207</v>
      </c>
      <c r="BB431" s="21">
        <v>183376</v>
      </c>
      <c r="BC431" s="21">
        <v>183469</v>
      </c>
      <c r="BD431" s="21">
        <v>183489</v>
      </c>
      <c r="BE431" s="134" t="s">
        <v>246</v>
      </c>
      <c r="BF431" s="134" t="s">
        <v>246</v>
      </c>
      <c r="BG431" s="134" t="s">
        <v>246</v>
      </c>
      <c r="BH431" s="134" t="s">
        <v>246</v>
      </c>
      <c r="BI431" s="31">
        <f>$A$40</f>
        <v>20173</v>
      </c>
      <c r="BJ431" s="21">
        <v>18646</v>
      </c>
      <c r="BK431" s="21">
        <v>120290</v>
      </c>
      <c r="BL431" s="21">
        <v>122154</v>
      </c>
      <c r="BM431" s="21">
        <v>122399</v>
      </c>
      <c r="BN431" s="21">
        <v>122486</v>
      </c>
      <c r="BO431" s="21">
        <v>122510</v>
      </c>
      <c r="BP431" s="21">
        <v>122518</v>
      </c>
      <c r="BQ431" s="134" t="s">
        <v>246</v>
      </c>
      <c r="BR431" s="134" t="s">
        <v>246</v>
      </c>
      <c r="BS431" s="134" t="s">
        <v>246</v>
      </c>
      <c r="BT431" s="134" t="s">
        <v>246</v>
      </c>
      <c r="BU431" s="31">
        <f>$A$40</f>
        <v>20173</v>
      </c>
      <c r="BV431" s="21">
        <v>1</v>
      </c>
      <c r="BW431" s="21">
        <v>13</v>
      </c>
      <c r="BX431" s="21">
        <v>17</v>
      </c>
      <c r="BY431" s="21">
        <v>17</v>
      </c>
      <c r="BZ431" s="21">
        <v>17</v>
      </c>
      <c r="CA431" s="21">
        <v>17</v>
      </c>
      <c r="CB431" s="21">
        <v>17</v>
      </c>
      <c r="CC431" s="134" t="s">
        <v>246</v>
      </c>
      <c r="CD431" s="134" t="s">
        <v>246</v>
      </c>
      <c r="CE431" s="134" t="s">
        <v>246</v>
      </c>
      <c r="CF431" s="134" t="s">
        <v>246</v>
      </c>
      <c r="CG431" s="31">
        <f>$A$40</f>
        <v>20173</v>
      </c>
      <c r="CH431" s="21"/>
      <c r="CI431" s="21"/>
      <c r="CJ431" s="21"/>
      <c r="CK431" s="21"/>
      <c r="CL431" s="21"/>
      <c r="CM431" s="21"/>
      <c r="CN431" s="21"/>
      <c r="CO431" s="134"/>
      <c r="CP431" s="134"/>
      <c r="CQ431" s="134"/>
      <c r="CR431" s="134"/>
      <c r="CS431" s="31">
        <f>$A$40</f>
        <v>20173</v>
      </c>
      <c r="CT431" s="21"/>
      <c r="CU431" s="21"/>
      <c r="CV431" s="21"/>
      <c r="CW431" s="21"/>
      <c r="CX431" s="21"/>
      <c r="CY431" s="21"/>
      <c r="CZ431" s="21"/>
      <c r="DA431" s="134"/>
      <c r="DB431" s="134"/>
      <c r="DC431" s="134"/>
      <c r="DD431" s="134"/>
      <c r="DE431" s="31">
        <f>$A$40</f>
        <v>20173</v>
      </c>
      <c r="DF431" s="21"/>
      <c r="DG431" s="21"/>
      <c r="DH431" s="21"/>
      <c r="DI431" s="21"/>
      <c r="DJ431" s="21"/>
      <c r="DK431" s="21"/>
      <c r="DL431" s="21"/>
      <c r="DM431" s="134"/>
      <c r="DN431" s="134"/>
      <c r="DO431" s="134"/>
      <c r="DP431" s="134"/>
    </row>
    <row r="432" spans="1:120" ht="15" customHeight="1" x14ac:dyDescent="0.25">
      <c r="A432" s="31">
        <f>$A$41</f>
        <v>20183</v>
      </c>
      <c r="B432" s="21">
        <v>15927</v>
      </c>
      <c r="C432" s="21">
        <v>142628</v>
      </c>
      <c r="D432" s="21">
        <v>149638</v>
      </c>
      <c r="E432" s="21">
        <v>151059</v>
      </c>
      <c r="F432" s="21">
        <v>151422</v>
      </c>
      <c r="G432" s="21">
        <v>151566</v>
      </c>
      <c r="H432" s="134" t="s">
        <v>246</v>
      </c>
      <c r="I432" s="134" t="s">
        <v>246</v>
      </c>
      <c r="J432" s="134" t="s">
        <v>246</v>
      </c>
      <c r="K432" s="134" t="s">
        <v>246</v>
      </c>
      <c r="L432" s="134" t="s">
        <v>246</v>
      </c>
      <c r="M432" s="31">
        <f>$A$41</f>
        <v>20183</v>
      </c>
      <c r="N432" s="21">
        <v>1051</v>
      </c>
      <c r="O432" s="21">
        <v>22253</v>
      </c>
      <c r="P432" s="21">
        <v>23168</v>
      </c>
      <c r="Q432" s="21">
        <v>23353</v>
      </c>
      <c r="R432" s="21">
        <v>23396</v>
      </c>
      <c r="S432" s="21">
        <v>23413</v>
      </c>
      <c r="T432" s="134" t="s">
        <v>246</v>
      </c>
      <c r="U432" s="134" t="s">
        <v>246</v>
      </c>
      <c r="V432" s="134" t="s">
        <v>246</v>
      </c>
      <c r="W432" s="134" t="s">
        <v>246</v>
      </c>
      <c r="X432" s="134" t="s">
        <v>246</v>
      </c>
      <c r="Y432" s="31">
        <f>$A$41</f>
        <v>20183</v>
      </c>
      <c r="Z432" s="21">
        <v>546</v>
      </c>
      <c r="AA432" s="21">
        <v>8041</v>
      </c>
      <c r="AB432" s="21">
        <v>9713</v>
      </c>
      <c r="AC432" s="21">
        <v>10200</v>
      </c>
      <c r="AD432" s="21">
        <v>10323</v>
      </c>
      <c r="AE432" s="21">
        <v>10378</v>
      </c>
      <c r="AF432" s="134" t="s">
        <v>246</v>
      </c>
      <c r="AG432" s="134" t="s">
        <v>246</v>
      </c>
      <c r="AH432" s="134" t="s">
        <v>246</v>
      </c>
      <c r="AI432" s="134" t="s">
        <v>246</v>
      </c>
      <c r="AJ432" s="134" t="s">
        <v>246</v>
      </c>
      <c r="AK432" s="31">
        <f>$A$41</f>
        <v>20183</v>
      </c>
      <c r="AL432" s="21">
        <v>2674</v>
      </c>
      <c r="AM432" s="21">
        <v>18686</v>
      </c>
      <c r="AN432" s="21">
        <v>19873</v>
      </c>
      <c r="AO432" s="21">
        <v>20056</v>
      </c>
      <c r="AP432" s="21">
        <v>20122</v>
      </c>
      <c r="AQ432" s="21">
        <v>20145</v>
      </c>
      <c r="AR432" s="134" t="s">
        <v>246</v>
      </c>
      <c r="AS432" s="134" t="s">
        <v>246</v>
      </c>
      <c r="AT432" s="134" t="s">
        <v>246</v>
      </c>
      <c r="AU432" s="134" t="s">
        <v>246</v>
      </c>
      <c r="AV432" s="134" t="s">
        <v>246</v>
      </c>
      <c r="AW432" s="31">
        <f>$A$41</f>
        <v>20183</v>
      </c>
      <c r="AX432" s="21">
        <v>26029</v>
      </c>
      <c r="AY432" s="21">
        <v>155001</v>
      </c>
      <c r="AZ432" s="21">
        <v>157456</v>
      </c>
      <c r="BA432" s="21">
        <v>157955</v>
      </c>
      <c r="BB432" s="21">
        <v>158142</v>
      </c>
      <c r="BC432" s="21">
        <v>158186</v>
      </c>
      <c r="BD432" s="134" t="s">
        <v>246</v>
      </c>
      <c r="BE432" s="134" t="s">
        <v>246</v>
      </c>
      <c r="BF432" s="134" t="s">
        <v>246</v>
      </c>
      <c r="BG432" s="134" t="s">
        <v>246</v>
      </c>
      <c r="BH432" s="134" t="s">
        <v>246</v>
      </c>
      <c r="BI432" s="31">
        <f>$A$41</f>
        <v>20183</v>
      </c>
      <c r="BJ432" s="21">
        <v>14746</v>
      </c>
      <c r="BK432" s="21">
        <v>96574</v>
      </c>
      <c r="BL432" s="21">
        <v>98165</v>
      </c>
      <c r="BM432" s="21">
        <v>98382</v>
      </c>
      <c r="BN432" s="21">
        <v>98451</v>
      </c>
      <c r="BO432" s="21">
        <v>98471</v>
      </c>
      <c r="BP432" s="134" t="s">
        <v>246</v>
      </c>
      <c r="BQ432" s="134" t="s">
        <v>246</v>
      </c>
      <c r="BR432" s="134" t="s">
        <v>246</v>
      </c>
      <c r="BS432" s="134" t="s">
        <v>246</v>
      </c>
      <c r="BT432" s="134" t="s">
        <v>246</v>
      </c>
      <c r="BU432" s="31">
        <f>$A$41</f>
        <v>20183</v>
      </c>
      <c r="BV432" s="21">
        <v>2</v>
      </c>
      <c r="BW432" s="21">
        <v>9</v>
      </c>
      <c r="BX432" s="21">
        <v>13</v>
      </c>
      <c r="BY432" s="21">
        <v>13</v>
      </c>
      <c r="BZ432" s="21">
        <v>13</v>
      </c>
      <c r="CA432" s="21">
        <v>13</v>
      </c>
      <c r="CB432" s="134" t="s">
        <v>246</v>
      </c>
      <c r="CC432" s="134" t="s">
        <v>246</v>
      </c>
      <c r="CD432" s="134" t="s">
        <v>246</v>
      </c>
      <c r="CE432" s="134" t="s">
        <v>246</v>
      </c>
      <c r="CF432" s="134" t="s">
        <v>246</v>
      </c>
      <c r="CG432" s="31">
        <f>$A$41</f>
        <v>20183</v>
      </c>
      <c r="CH432" s="21"/>
      <c r="CI432" s="21"/>
      <c r="CJ432" s="21"/>
      <c r="CK432" s="21"/>
      <c r="CL432" s="21"/>
      <c r="CM432" s="21"/>
      <c r="CN432" s="134"/>
      <c r="CO432" s="134"/>
      <c r="CP432" s="134"/>
      <c r="CQ432" s="134"/>
      <c r="CR432" s="134"/>
      <c r="CS432" s="31">
        <f>$A$41</f>
        <v>20183</v>
      </c>
      <c r="CT432" s="21"/>
      <c r="CU432" s="21"/>
      <c r="CV432" s="21"/>
      <c r="CW432" s="21"/>
      <c r="CX432" s="21"/>
      <c r="CY432" s="21"/>
      <c r="CZ432" s="134"/>
      <c r="DA432" s="134"/>
      <c r="DB432" s="134"/>
      <c r="DC432" s="134"/>
      <c r="DD432" s="134"/>
      <c r="DE432" s="31">
        <f>$A$41</f>
        <v>20183</v>
      </c>
      <c r="DF432" s="21"/>
      <c r="DG432" s="21"/>
      <c r="DH432" s="21"/>
      <c r="DI432" s="21"/>
      <c r="DJ432" s="21"/>
      <c r="DK432" s="21"/>
      <c r="DL432" s="134"/>
      <c r="DM432" s="134"/>
      <c r="DN432" s="134"/>
      <c r="DO432" s="134"/>
      <c r="DP432" s="134"/>
    </row>
    <row r="433" spans="1:120" ht="15" customHeight="1" x14ac:dyDescent="0.25">
      <c r="A433" s="31">
        <f>$A$42</f>
        <v>20193</v>
      </c>
      <c r="B433" s="21">
        <v>21548</v>
      </c>
      <c r="C433" s="21">
        <v>162079</v>
      </c>
      <c r="D433" s="21">
        <v>168696</v>
      </c>
      <c r="E433" s="21">
        <v>170037</v>
      </c>
      <c r="F433" s="21">
        <v>170493</v>
      </c>
      <c r="G433" s="134" t="s">
        <v>246</v>
      </c>
      <c r="H433" s="134" t="s">
        <v>246</v>
      </c>
      <c r="I433" s="134" t="s">
        <v>246</v>
      </c>
      <c r="J433" s="134" t="s">
        <v>246</v>
      </c>
      <c r="K433" s="134" t="s">
        <v>246</v>
      </c>
      <c r="L433" s="134" t="s">
        <v>246</v>
      </c>
      <c r="M433" s="31">
        <f>$A$42</f>
        <v>20193</v>
      </c>
      <c r="N433" s="21">
        <v>617</v>
      </c>
      <c r="O433" s="21">
        <v>20713</v>
      </c>
      <c r="P433" s="21">
        <v>21569</v>
      </c>
      <c r="Q433" s="21">
        <v>21733</v>
      </c>
      <c r="R433" s="21">
        <v>21785</v>
      </c>
      <c r="S433" s="134" t="s">
        <v>246</v>
      </c>
      <c r="T433" s="134" t="s">
        <v>246</v>
      </c>
      <c r="U433" s="134" t="s">
        <v>246</v>
      </c>
      <c r="V433" s="134" t="s">
        <v>246</v>
      </c>
      <c r="W433" s="134" t="s">
        <v>246</v>
      </c>
      <c r="X433" s="134" t="s">
        <v>246</v>
      </c>
      <c r="Y433" s="31">
        <f>$A$42</f>
        <v>20193</v>
      </c>
      <c r="Z433" s="21">
        <v>502</v>
      </c>
      <c r="AA433" s="21">
        <v>7034</v>
      </c>
      <c r="AB433" s="21">
        <v>8780</v>
      </c>
      <c r="AC433" s="21">
        <v>9235</v>
      </c>
      <c r="AD433" s="21">
        <v>9373</v>
      </c>
      <c r="AE433" s="134" t="s">
        <v>246</v>
      </c>
      <c r="AF433" s="134" t="s">
        <v>246</v>
      </c>
      <c r="AG433" s="134" t="s">
        <v>246</v>
      </c>
      <c r="AH433" s="134" t="s">
        <v>246</v>
      </c>
      <c r="AI433" s="134" t="s">
        <v>246</v>
      </c>
      <c r="AJ433" s="134" t="s">
        <v>246</v>
      </c>
      <c r="AK433" s="31">
        <f>$A$42</f>
        <v>20193</v>
      </c>
      <c r="AL433" s="21">
        <v>2604</v>
      </c>
      <c r="AM433" s="21">
        <v>64752</v>
      </c>
      <c r="AN433" s="21">
        <v>66413</v>
      </c>
      <c r="AO433" s="21">
        <v>66642</v>
      </c>
      <c r="AP433" s="21">
        <v>66706</v>
      </c>
      <c r="AQ433" s="134" t="s">
        <v>246</v>
      </c>
      <c r="AR433" s="134" t="s">
        <v>246</v>
      </c>
      <c r="AS433" s="134" t="s">
        <v>246</v>
      </c>
      <c r="AT433" s="134" t="s">
        <v>246</v>
      </c>
      <c r="AU433" s="134" t="s">
        <v>246</v>
      </c>
      <c r="AV433" s="134" t="s">
        <v>246</v>
      </c>
      <c r="AW433" s="31">
        <f>$A$42</f>
        <v>20193</v>
      </c>
      <c r="AX433" s="21">
        <v>23687</v>
      </c>
      <c r="AY433" s="21">
        <v>144783</v>
      </c>
      <c r="AZ433" s="21">
        <v>147365</v>
      </c>
      <c r="BA433" s="21">
        <v>147898</v>
      </c>
      <c r="BB433" s="21">
        <v>148039</v>
      </c>
      <c r="BC433" s="134" t="s">
        <v>246</v>
      </c>
      <c r="BD433" s="134" t="s">
        <v>246</v>
      </c>
      <c r="BE433" s="134" t="s">
        <v>246</v>
      </c>
      <c r="BF433" s="134" t="s">
        <v>246</v>
      </c>
      <c r="BG433" s="134" t="s">
        <v>246</v>
      </c>
      <c r="BH433" s="134" t="s">
        <v>246</v>
      </c>
      <c r="BI433" s="31">
        <f>$A$42</f>
        <v>20193</v>
      </c>
      <c r="BJ433" s="21">
        <v>13923</v>
      </c>
      <c r="BK433" s="21">
        <v>87548</v>
      </c>
      <c r="BL433" s="21">
        <v>89142</v>
      </c>
      <c r="BM433" s="21">
        <v>89389</v>
      </c>
      <c r="BN433" s="21">
        <v>89467</v>
      </c>
      <c r="BO433" s="134" t="s">
        <v>246</v>
      </c>
      <c r="BP433" s="134" t="s">
        <v>246</v>
      </c>
      <c r="BQ433" s="134" t="s">
        <v>246</v>
      </c>
      <c r="BR433" s="134" t="s">
        <v>246</v>
      </c>
      <c r="BS433" s="134" t="s">
        <v>246</v>
      </c>
      <c r="BT433" s="134" t="s">
        <v>246</v>
      </c>
      <c r="BU433" s="31">
        <f>$A$42</f>
        <v>20193</v>
      </c>
      <c r="BV433" s="21">
        <v>1</v>
      </c>
      <c r="BW433" s="21">
        <v>14</v>
      </c>
      <c r="BX433" s="21">
        <v>15</v>
      </c>
      <c r="BY433" s="21">
        <v>16</v>
      </c>
      <c r="BZ433" s="21">
        <v>16</v>
      </c>
      <c r="CA433" s="134" t="s">
        <v>246</v>
      </c>
      <c r="CB433" s="134" t="s">
        <v>246</v>
      </c>
      <c r="CC433" s="134" t="s">
        <v>246</v>
      </c>
      <c r="CD433" s="134" t="s">
        <v>246</v>
      </c>
      <c r="CE433" s="134" t="s">
        <v>246</v>
      </c>
      <c r="CF433" s="134" t="s">
        <v>246</v>
      </c>
      <c r="CG433" s="31">
        <f>$A$42</f>
        <v>20193</v>
      </c>
      <c r="CH433" s="21"/>
      <c r="CI433" s="21"/>
      <c r="CJ433" s="21"/>
      <c r="CK433" s="21"/>
      <c r="CL433" s="21"/>
      <c r="CM433" s="134"/>
      <c r="CN433" s="134"/>
      <c r="CO433" s="134"/>
      <c r="CP433" s="134"/>
      <c r="CQ433" s="134"/>
      <c r="CR433" s="134"/>
      <c r="CS433" s="31">
        <f>$A$42</f>
        <v>20193</v>
      </c>
      <c r="CT433" s="21"/>
      <c r="CU433" s="21"/>
      <c r="CV433" s="21"/>
      <c r="CW433" s="21"/>
      <c r="CX433" s="21"/>
      <c r="CY433" s="134"/>
      <c r="CZ433" s="134"/>
      <c r="DA433" s="134"/>
      <c r="DB433" s="134"/>
      <c r="DC433" s="134"/>
      <c r="DD433" s="134"/>
      <c r="DE433" s="31">
        <f>$A$42</f>
        <v>20193</v>
      </c>
      <c r="DF433" s="21"/>
      <c r="DG433" s="21"/>
      <c r="DH433" s="21"/>
      <c r="DI433" s="21"/>
      <c r="DJ433" s="21"/>
      <c r="DK433" s="134"/>
      <c r="DL433" s="134"/>
      <c r="DM433" s="134"/>
      <c r="DN433" s="134"/>
      <c r="DO433" s="134"/>
      <c r="DP433" s="134"/>
    </row>
    <row r="434" spans="1:120" ht="15" customHeight="1" x14ac:dyDescent="0.25">
      <c r="A434" s="31">
        <f>$A$43</f>
        <v>20203</v>
      </c>
      <c r="B434" s="21">
        <v>27238</v>
      </c>
      <c r="C434" s="21">
        <v>123038</v>
      </c>
      <c r="D434" s="21">
        <v>126629</v>
      </c>
      <c r="E434" s="21">
        <v>127625</v>
      </c>
      <c r="F434" s="134" t="s">
        <v>246</v>
      </c>
      <c r="G434" s="134" t="s">
        <v>246</v>
      </c>
      <c r="H434" s="134" t="s">
        <v>246</v>
      </c>
      <c r="I434" s="134" t="s">
        <v>246</v>
      </c>
      <c r="J434" s="134" t="s">
        <v>246</v>
      </c>
      <c r="K434" s="134" t="s">
        <v>246</v>
      </c>
      <c r="L434" s="134" t="s">
        <v>246</v>
      </c>
      <c r="M434" s="31">
        <f>$A$43</f>
        <v>20203</v>
      </c>
      <c r="N434" s="21">
        <v>967</v>
      </c>
      <c r="O434" s="21">
        <v>15491</v>
      </c>
      <c r="P434" s="21">
        <v>15951</v>
      </c>
      <c r="Q434" s="21">
        <v>16069</v>
      </c>
      <c r="R434" s="134" t="s">
        <v>246</v>
      </c>
      <c r="S434" s="134" t="s">
        <v>246</v>
      </c>
      <c r="T434" s="134" t="s">
        <v>246</v>
      </c>
      <c r="U434" s="134" t="s">
        <v>246</v>
      </c>
      <c r="V434" s="134" t="s">
        <v>246</v>
      </c>
      <c r="W434" s="134" t="s">
        <v>246</v>
      </c>
      <c r="X434" s="134" t="s">
        <v>246</v>
      </c>
      <c r="Y434" s="31">
        <f>$A$43</f>
        <v>20203</v>
      </c>
      <c r="Z434" s="21">
        <v>494</v>
      </c>
      <c r="AA434" s="21">
        <v>6136</v>
      </c>
      <c r="AB434" s="21">
        <v>7477</v>
      </c>
      <c r="AC434" s="21">
        <v>7878</v>
      </c>
      <c r="AD434" s="134" t="s">
        <v>246</v>
      </c>
      <c r="AE434" s="134" t="s">
        <v>246</v>
      </c>
      <c r="AF434" s="134" t="s">
        <v>246</v>
      </c>
      <c r="AG434" s="134" t="s">
        <v>246</v>
      </c>
      <c r="AH434" s="134" t="s">
        <v>246</v>
      </c>
      <c r="AI434" s="134" t="s">
        <v>246</v>
      </c>
      <c r="AJ434" s="134" t="s">
        <v>246</v>
      </c>
      <c r="AK434" s="31">
        <f>$A$43</f>
        <v>20203</v>
      </c>
      <c r="AL434" s="21">
        <v>12309</v>
      </c>
      <c r="AM434" s="21">
        <v>74525</v>
      </c>
      <c r="AN434" s="21">
        <v>76176</v>
      </c>
      <c r="AO434" s="21">
        <v>76386</v>
      </c>
      <c r="AP434" s="134" t="s">
        <v>246</v>
      </c>
      <c r="AQ434" s="134" t="s">
        <v>246</v>
      </c>
      <c r="AR434" s="134" t="s">
        <v>246</v>
      </c>
      <c r="AS434" s="134" t="s">
        <v>246</v>
      </c>
      <c r="AT434" s="134" t="s">
        <v>246</v>
      </c>
      <c r="AU434" s="134" t="s">
        <v>246</v>
      </c>
      <c r="AV434" s="134" t="s">
        <v>246</v>
      </c>
      <c r="AW434" s="31">
        <f>$A$43</f>
        <v>20203</v>
      </c>
      <c r="AX434" s="21">
        <v>24450</v>
      </c>
      <c r="AY434" s="21">
        <v>105346</v>
      </c>
      <c r="AZ434" s="21">
        <v>107203</v>
      </c>
      <c r="BA434" s="21">
        <v>107590</v>
      </c>
      <c r="BB434" s="134" t="s">
        <v>246</v>
      </c>
      <c r="BC434" s="134" t="s">
        <v>246</v>
      </c>
      <c r="BD434" s="134" t="s">
        <v>246</v>
      </c>
      <c r="BE434" s="134" t="s">
        <v>246</v>
      </c>
      <c r="BF434" s="134" t="s">
        <v>246</v>
      </c>
      <c r="BG434" s="134" t="s">
        <v>246</v>
      </c>
      <c r="BH434" s="134" t="s">
        <v>246</v>
      </c>
      <c r="BI434" s="31">
        <f>$A$43</f>
        <v>20203</v>
      </c>
      <c r="BJ434" s="21">
        <v>13591</v>
      </c>
      <c r="BK434" s="21">
        <v>69501</v>
      </c>
      <c r="BL434" s="21">
        <v>70758</v>
      </c>
      <c r="BM434" s="21">
        <v>71012</v>
      </c>
      <c r="BN434" s="134" t="s">
        <v>246</v>
      </c>
      <c r="BO434" s="134" t="s">
        <v>246</v>
      </c>
      <c r="BP434" s="134" t="s">
        <v>246</v>
      </c>
      <c r="BQ434" s="134" t="s">
        <v>246</v>
      </c>
      <c r="BR434" s="134" t="s">
        <v>246</v>
      </c>
      <c r="BS434" s="134" t="s">
        <v>246</v>
      </c>
      <c r="BT434" s="134" t="s">
        <v>246</v>
      </c>
      <c r="BU434" s="31">
        <f>$A$43</f>
        <v>20203</v>
      </c>
      <c r="BV434" s="21">
        <v>0</v>
      </c>
      <c r="BW434" s="21">
        <v>7</v>
      </c>
      <c r="BX434" s="21">
        <v>11</v>
      </c>
      <c r="BY434" s="21">
        <v>11</v>
      </c>
      <c r="BZ434" s="134" t="s">
        <v>246</v>
      </c>
      <c r="CA434" s="134" t="s">
        <v>246</v>
      </c>
      <c r="CB434" s="134" t="s">
        <v>246</v>
      </c>
      <c r="CC434" s="134" t="s">
        <v>246</v>
      </c>
      <c r="CD434" s="134" t="s">
        <v>246</v>
      </c>
      <c r="CE434" s="134" t="s">
        <v>246</v>
      </c>
      <c r="CF434" s="134" t="s">
        <v>246</v>
      </c>
      <c r="CG434" s="31">
        <f>$A$43</f>
        <v>20203</v>
      </c>
      <c r="CH434" s="21"/>
      <c r="CI434" s="21"/>
      <c r="CJ434" s="21"/>
      <c r="CK434" s="21"/>
      <c r="CL434" s="134"/>
      <c r="CM434" s="134"/>
      <c r="CN434" s="134"/>
      <c r="CO434" s="134"/>
      <c r="CP434" s="134"/>
      <c r="CQ434" s="134"/>
      <c r="CR434" s="134"/>
      <c r="CS434" s="31">
        <f>$A$43</f>
        <v>20203</v>
      </c>
      <c r="CT434" s="21"/>
      <c r="CU434" s="21"/>
      <c r="CV434" s="21"/>
      <c r="CW434" s="21"/>
      <c r="CX434" s="134"/>
      <c r="CY434" s="134"/>
      <c r="CZ434" s="134"/>
      <c r="DA434" s="134"/>
      <c r="DB434" s="134"/>
      <c r="DC434" s="134"/>
      <c r="DD434" s="134"/>
      <c r="DE434" s="31">
        <f>$A$43</f>
        <v>20203</v>
      </c>
      <c r="DF434" s="21"/>
      <c r="DG434" s="21"/>
      <c r="DH434" s="21"/>
      <c r="DI434" s="21"/>
      <c r="DJ434" s="134"/>
      <c r="DK434" s="134"/>
      <c r="DL434" s="134"/>
      <c r="DM434" s="134"/>
      <c r="DN434" s="134"/>
      <c r="DO434" s="134"/>
      <c r="DP434" s="134"/>
    </row>
    <row r="435" spans="1:120" ht="15" customHeight="1" x14ac:dyDescent="0.25">
      <c r="A435" s="31">
        <f>$A$44</f>
        <v>20213</v>
      </c>
      <c r="B435" s="21">
        <v>18425</v>
      </c>
      <c r="C435" s="21">
        <v>124861</v>
      </c>
      <c r="D435" s="21">
        <v>130534</v>
      </c>
      <c r="E435" s="134" t="s">
        <v>246</v>
      </c>
      <c r="F435" s="134" t="s">
        <v>246</v>
      </c>
      <c r="G435" s="134" t="s">
        <v>246</v>
      </c>
      <c r="H435" s="134" t="s">
        <v>246</v>
      </c>
      <c r="I435" s="134" t="s">
        <v>246</v>
      </c>
      <c r="J435" s="134" t="s">
        <v>246</v>
      </c>
      <c r="K435" s="134" t="s">
        <v>246</v>
      </c>
      <c r="L435" s="134" t="s">
        <v>246</v>
      </c>
      <c r="M435" s="31">
        <f>$A$44</f>
        <v>20213</v>
      </c>
      <c r="N435" s="21">
        <v>1413</v>
      </c>
      <c r="O435" s="21">
        <v>18177</v>
      </c>
      <c r="P435" s="21">
        <v>18736</v>
      </c>
      <c r="Q435" s="134" t="s">
        <v>246</v>
      </c>
      <c r="R435" s="134" t="s">
        <v>246</v>
      </c>
      <c r="S435" s="134" t="s">
        <v>246</v>
      </c>
      <c r="T435" s="134" t="s">
        <v>246</v>
      </c>
      <c r="U435" s="134" t="s">
        <v>246</v>
      </c>
      <c r="V435" s="134" t="s">
        <v>246</v>
      </c>
      <c r="W435" s="134" t="s">
        <v>246</v>
      </c>
      <c r="X435" s="134" t="s">
        <v>246</v>
      </c>
      <c r="Y435" s="31">
        <f>$A$44</f>
        <v>20213</v>
      </c>
      <c r="Z435" s="21">
        <v>487</v>
      </c>
      <c r="AA435" s="21">
        <v>6388</v>
      </c>
      <c r="AB435" s="21">
        <v>8389</v>
      </c>
      <c r="AC435" s="134" t="s">
        <v>246</v>
      </c>
      <c r="AD435" s="134" t="s">
        <v>246</v>
      </c>
      <c r="AE435" s="134" t="s">
        <v>246</v>
      </c>
      <c r="AF435" s="134" t="s">
        <v>246</v>
      </c>
      <c r="AG435" s="134" t="s">
        <v>246</v>
      </c>
      <c r="AH435" s="134" t="s">
        <v>246</v>
      </c>
      <c r="AI435" s="134" t="s">
        <v>246</v>
      </c>
      <c r="AJ435" s="134" t="s">
        <v>246</v>
      </c>
      <c r="AK435" s="31">
        <f>$A$44</f>
        <v>20213</v>
      </c>
      <c r="AL435" s="21">
        <v>11527</v>
      </c>
      <c r="AM435" s="21">
        <v>86434</v>
      </c>
      <c r="AN435" s="21">
        <v>88228</v>
      </c>
      <c r="AO435" s="134" t="s">
        <v>246</v>
      </c>
      <c r="AP435" s="134" t="s">
        <v>246</v>
      </c>
      <c r="AQ435" s="134" t="s">
        <v>246</v>
      </c>
      <c r="AR435" s="134" t="s">
        <v>246</v>
      </c>
      <c r="AS435" s="134" t="s">
        <v>246</v>
      </c>
      <c r="AT435" s="134" t="s">
        <v>246</v>
      </c>
      <c r="AU435" s="134" t="s">
        <v>246</v>
      </c>
      <c r="AV435" s="134" t="s">
        <v>246</v>
      </c>
      <c r="AW435" s="31">
        <f>$A$44</f>
        <v>20213</v>
      </c>
      <c r="AX435" s="21">
        <v>14502</v>
      </c>
      <c r="AY435" s="21">
        <v>105425</v>
      </c>
      <c r="AZ435" s="21">
        <v>108296</v>
      </c>
      <c r="BA435" s="134" t="s">
        <v>246</v>
      </c>
      <c r="BB435" s="134" t="s">
        <v>246</v>
      </c>
      <c r="BC435" s="134" t="s">
        <v>246</v>
      </c>
      <c r="BD435" s="134" t="s">
        <v>246</v>
      </c>
      <c r="BE435" s="134" t="s">
        <v>246</v>
      </c>
      <c r="BF435" s="134" t="s">
        <v>246</v>
      </c>
      <c r="BG435" s="134" t="s">
        <v>246</v>
      </c>
      <c r="BH435" s="134" t="s">
        <v>246</v>
      </c>
      <c r="BI435" s="31">
        <f>$A$44</f>
        <v>20213</v>
      </c>
      <c r="BJ435" s="21">
        <v>10934</v>
      </c>
      <c r="BK435" s="21">
        <v>80046</v>
      </c>
      <c r="BL435" s="21">
        <v>81916</v>
      </c>
      <c r="BM435" s="134" t="s">
        <v>246</v>
      </c>
      <c r="BN435" s="134" t="s">
        <v>246</v>
      </c>
      <c r="BO435" s="134" t="s">
        <v>246</v>
      </c>
      <c r="BP435" s="134" t="s">
        <v>246</v>
      </c>
      <c r="BQ435" s="134" t="s">
        <v>246</v>
      </c>
      <c r="BR435" s="134" t="s">
        <v>246</v>
      </c>
      <c r="BS435" s="134" t="s">
        <v>246</v>
      </c>
      <c r="BT435" s="134" t="s">
        <v>246</v>
      </c>
      <c r="BU435" s="31">
        <f>$A$44</f>
        <v>20213</v>
      </c>
      <c r="BV435" s="21">
        <v>1</v>
      </c>
      <c r="BW435" s="21">
        <v>6</v>
      </c>
      <c r="BX435" s="21">
        <v>9</v>
      </c>
      <c r="BY435" s="134" t="s">
        <v>246</v>
      </c>
      <c r="BZ435" s="134" t="s">
        <v>246</v>
      </c>
      <c r="CA435" s="134" t="s">
        <v>246</v>
      </c>
      <c r="CB435" s="134" t="s">
        <v>246</v>
      </c>
      <c r="CC435" s="134" t="s">
        <v>246</v>
      </c>
      <c r="CD435" s="134" t="s">
        <v>246</v>
      </c>
      <c r="CE435" s="134" t="s">
        <v>246</v>
      </c>
      <c r="CF435" s="134" t="s">
        <v>246</v>
      </c>
      <c r="CG435" s="31">
        <f>$A$44</f>
        <v>20213</v>
      </c>
      <c r="CH435" s="21"/>
      <c r="CI435" s="21"/>
      <c r="CJ435" s="21"/>
      <c r="CK435" s="134"/>
      <c r="CL435" s="134"/>
      <c r="CM435" s="134"/>
      <c r="CN435" s="134"/>
      <c r="CO435" s="134"/>
      <c r="CP435" s="134"/>
      <c r="CQ435" s="134"/>
      <c r="CR435" s="134"/>
      <c r="CS435" s="31">
        <f>$A$44</f>
        <v>20213</v>
      </c>
      <c r="CT435" s="21"/>
      <c r="CU435" s="21"/>
      <c r="CV435" s="21"/>
      <c r="CW435" s="134"/>
      <c r="CX435" s="134"/>
      <c r="CY435" s="134"/>
      <c r="CZ435" s="134"/>
      <c r="DA435" s="134"/>
      <c r="DB435" s="134"/>
      <c r="DC435" s="134"/>
      <c r="DD435" s="134"/>
      <c r="DE435" s="31">
        <f>$A$44</f>
        <v>20213</v>
      </c>
      <c r="DF435" s="21"/>
      <c r="DG435" s="21"/>
      <c r="DH435" s="21"/>
      <c r="DI435" s="134"/>
      <c r="DJ435" s="134"/>
      <c r="DK435" s="134"/>
      <c r="DL435" s="134"/>
      <c r="DM435" s="134"/>
      <c r="DN435" s="134"/>
      <c r="DO435" s="134"/>
      <c r="DP435" s="134"/>
    </row>
    <row r="436" spans="1:120" ht="15" customHeight="1" x14ac:dyDescent="0.25">
      <c r="A436" s="31">
        <f>$A$45</f>
        <v>20223</v>
      </c>
      <c r="B436" s="21">
        <v>20064</v>
      </c>
      <c r="C436" s="21">
        <v>139770</v>
      </c>
      <c r="D436" s="134" t="s">
        <v>246</v>
      </c>
      <c r="E436" s="134" t="s">
        <v>246</v>
      </c>
      <c r="F436" s="134" t="s">
        <v>246</v>
      </c>
      <c r="G436" s="134" t="s">
        <v>246</v>
      </c>
      <c r="H436" s="134" t="s">
        <v>246</v>
      </c>
      <c r="I436" s="134" t="s">
        <v>246</v>
      </c>
      <c r="J436" s="134" t="s">
        <v>246</v>
      </c>
      <c r="K436" s="134" t="s">
        <v>246</v>
      </c>
      <c r="L436" s="134"/>
      <c r="M436" s="31">
        <f>$A$45</f>
        <v>20223</v>
      </c>
      <c r="N436" s="21">
        <v>2266</v>
      </c>
      <c r="O436" s="21">
        <v>20891</v>
      </c>
      <c r="P436" s="134" t="s">
        <v>246</v>
      </c>
      <c r="Q436" s="134" t="s">
        <v>246</v>
      </c>
      <c r="R436" s="134" t="s">
        <v>246</v>
      </c>
      <c r="S436" s="134" t="s">
        <v>246</v>
      </c>
      <c r="T436" s="134" t="s">
        <v>246</v>
      </c>
      <c r="U436" s="134" t="s">
        <v>246</v>
      </c>
      <c r="V436" s="134" t="s">
        <v>246</v>
      </c>
      <c r="W436" s="134" t="s">
        <v>246</v>
      </c>
      <c r="X436" s="134" t="s">
        <v>246</v>
      </c>
      <c r="Y436" s="31">
        <f>$A$45</f>
        <v>20223</v>
      </c>
      <c r="Z436" s="21">
        <v>473</v>
      </c>
      <c r="AA436" s="21">
        <v>7060</v>
      </c>
      <c r="AB436" s="134" t="s">
        <v>246</v>
      </c>
      <c r="AC436" s="134" t="s">
        <v>246</v>
      </c>
      <c r="AD436" s="134" t="s">
        <v>246</v>
      </c>
      <c r="AE436" s="134" t="s">
        <v>246</v>
      </c>
      <c r="AF436" s="134" t="s">
        <v>246</v>
      </c>
      <c r="AG436" s="134" t="s">
        <v>246</v>
      </c>
      <c r="AH436" s="134" t="s">
        <v>246</v>
      </c>
      <c r="AI436" s="134" t="s">
        <v>246</v>
      </c>
      <c r="AJ436" s="134" t="s">
        <v>246</v>
      </c>
      <c r="AK436" s="31">
        <f>$A$45</f>
        <v>20223</v>
      </c>
      <c r="AL436" s="21">
        <v>15654</v>
      </c>
      <c r="AM436" s="21">
        <v>106069</v>
      </c>
      <c r="AN436" s="134" t="s">
        <v>246</v>
      </c>
      <c r="AO436" s="134" t="s">
        <v>246</v>
      </c>
      <c r="AP436" s="134" t="s">
        <v>246</v>
      </c>
      <c r="AQ436" s="134" t="s">
        <v>246</v>
      </c>
      <c r="AR436" s="134" t="s">
        <v>246</v>
      </c>
      <c r="AS436" s="134" t="s">
        <v>246</v>
      </c>
      <c r="AT436" s="134" t="s">
        <v>246</v>
      </c>
      <c r="AU436" s="134" t="s">
        <v>246</v>
      </c>
      <c r="AV436" s="134" t="s">
        <v>246</v>
      </c>
      <c r="AW436" s="31">
        <f>$A$45</f>
        <v>20223</v>
      </c>
      <c r="AX436" s="21">
        <v>19990</v>
      </c>
      <c r="AY436" s="21">
        <v>145992</v>
      </c>
      <c r="AZ436" s="134" t="s">
        <v>246</v>
      </c>
      <c r="BA436" s="134" t="s">
        <v>246</v>
      </c>
      <c r="BB436" s="134" t="s">
        <v>246</v>
      </c>
      <c r="BC436" s="134" t="s">
        <v>246</v>
      </c>
      <c r="BD436" s="134" t="s">
        <v>246</v>
      </c>
      <c r="BE436" s="134" t="s">
        <v>246</v>
      </c>
      <c r="BF436" s="134" t="s">
        <v>246</v>
      </c>
      <c r="BG436" s="134" t="s">
        <v>246</v>
      </c>
      <c r="BH436" s="134" t="s">
        <v>246</v>
      </c>
      <c r="BI436" s="31">
        <f>$A$45</f>
        <v>20223</v>
      </c>
      <c r="BJ436" s="21">
        <v>13358</v>
      </c>
      <c r="BK436" s="21">
        <v>99664</v>
      </c>
      <c r="BL436" s="134" t="s">
        <v>246</v>
      </c>
      <c r="BM436" s="134" t="s">
        <v>246</v>
      </c>
      <c r="BN436" s="134" t="s">
        <v>246</v>
      </c>
      <c r="BO436" s="134" t="s">
        <v>246</v>
      </c>
      <c r="BP436" s="134" t="s">
        <v>246</v>
      </c>
      <c r="BQ436" s="134" t="s">
        <v>246</v>
      </c>
      <c r="BR436" s="134" t="s">
        <v>246</v>
      </c>
      <c r="BS436" s="134" t="s">
        <v>246</v>
      </c>
      <c r="BT436" s="134" t="s">
        <v>246</v>
      </c>
      <c r="BU436" s="31">
        <f>$A$45</f>
        <v>20223</v>
      </c>
      <c r="BV436" s="21">
        <v>0</v>
      </c>
      <c r="BW436" s="21">
        <v>5</v>
      </c>
      <c r="BX436" s="134" t="s">
        <v>246</v>
      </c>
      <c r="BY436" s="134" t="s">
        <v>246</v>
      </c>
      <c r="BZ436" s="134" t="s">
        <v>246</v>
      </c>
      <c r="CA436" s="134" t="s">
        <v>246</v>
      </c>
      <c r="CB436" s="134" t="s">
        <v>246</v>
      </c>
      <c r="CC436" s="134" t="s">
        <v>246</v>
      </c>
      <c r="CD436" s="134" t="s">
        <v>246</v>
      </c>
      <c r="CE436" s="134" t="s">
        <v>246</v>
      </c>
      <c r="CF436" s="134" t="s">
        <v>246</v>
      </c>
      <c r="CG436" s="31">
        <f>$A$45</f>
        <v>20223</v>
      </c>
      <c r="CH436" s="21"/>
      <c r="CI436" s="21"/>
      <c r="CJ436" s="134"/>
      <c r="CK436" s="134"/>
      <c r="CL436" s="134"/>
      <c r="CM436" s="134"/>
      <c r="CN436" s="134"/>
      <c r="CO436" s="134"/>
      <c r="CP436" s="134"/>
      <c r="CQ436" s="134"/>
      <c r="CR436" s="134"/>
      <c r="CS436" s="31">
        <f>$A$45</f>
        <v>20223</v>
      </c>
      <c r="CT436" s="21"/>
      <c r="CU436" s="21"/>
      <c r="CV436" s="134"/>
      <c r="CW436" s="134"/>
      <c r="CX436" s="134"/>
      <c r="CY436" s="134"/>
      <c r="CZ436" s="134"/>
      <c r="DA436" s="134"/>
      <c r="DB436" s="134"/>
      <c r="DC436" s="134"/>
      <c r="DD436" s="134"/>
      <c r="DE436" s="31">
        <f>$A$45</f>
        <v>20223</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ht="30" x14ac:dyDescent="0.25">
      <c r="A439" s="92" t="str">
        <f>$A$35</f>
        <v>Fiscal Accident Year Data Ending</v>
      </c>
      <c r="B439" s="92"/>
      <c r="C439" s="100" t="str">
        <f>$C$35&amp;"-"&amp;$D$35</f>
        <v>15-27</v>
      </c>
      <c r="D439" s="100" t="str">
        <f>$D$35&amp;"-"&amp;$E$35</f>
        <v>27-39</v>
      </c>
      <c r="E439" s="100" t="str">
        <f>$E$35&amp;"-"&amp;$F$35</f>
        <v>39-51</v>
      </c>
      <c r="F439" s="100" t="str">
        <f>$F$35&amp;"-"&amp;$G$35</f>
        <v>51-63</v>
      </c>
      <c r="G439" s="100" t="str">
        <f>$G$35&amp;"-"&amp;$H$35</f>
        <v>63-75</v>
      </c>
      <c r="H439" s="100" t="str">
        <f>$H$35&amp;"-"&amp;$I$35</f>
        <v>75-87</v>
      </c>
      <c r="I439" s="100" t="str">
        <f>$I$35&amp;"-"&amp;$J$35</f>
        <v>87-99</v>
      </c>
      <c r="J439" s="100" t="str">
        <f>$J$35&amp;"-"&amp;$K$35</f>
        <v>99-111</v>
      </c>
      <c r="K439" s="100" t="str">
        <f>$K$35&amp;"-"&amp;$L$35</f>
        <v>111-123</v>
      </c>
      <c r="L439" s="100" t="str">
        <f>$L$35&amp;"-Ult"</f>
        <v>123-Ult</v>
      </c>
      <c r="M439" s="92" t="str">
        <f>$A$35</f>
        <v>Fiscal Accident Year Data Ending</v>
      </c>
      <c r="N439" s="92"/>
      <c r="O439" s="100" t="str">
        <f>$C$35&amp;"-"&amp;$D$35</f>
        <v>15-27</v>
      </c>
      <c r="P439" s="100" t="str">
        <f>$D$35&amp;"-"&amp;$E$35</f>
        <v>27-39</v>
      </c>
      <c r="Q439" s="100" t="str">
        <f>$E$35&amp;"-"&amp;$F$35</f>
        <v>39-51</v>
      </c>
      <c r="R439" s="100" t="str">
        <f>$F$35&amp;"-"&amp;$G$35</f>
        <v>51-63</v>
      </c>
      <c r="S439" s="100" t="str">
        <f>$G$35&amp;"-"&amp;$H$35</f>
        <v>63-75</v>
      </c>
      <c r="T439" s="100" t="str">
        <f>$H$35&amp;"-"&amp;$I$35</f>
        <v>75-87</v>
      </c>
      <c r="U439" s="100" t="str">
        <f>$I$35&amp;"-"&amp;$J$35</f>
        <v>87-99</v>
      </c>
      <c r="V439" s="100" t="str">
        <f>$J$35&amp;"-"&amp;$K$35</f>
        <v>99-111</v>
      </c>
      <c r="W439" s="100" t="str">
        <f>$K$35&amp;"-"&amp;$L$35</f>
        <v>111-123</v>
      </c>
      <c r="X439" s="100" t="str">
        <f>$L$35&amp;"-Ult"</f>
        <v>123-Ult</v>
      </c>
      <c r="Y439" s="92" t="str">
        <f>$A$35</f>
        <v>Fiscal Accident Year Data Ending</v>
      </c>
      <c r="Z439" s="92"/>
      <c r="AA439" s="100" t="str">
        <f>$C$35&amp;"-"&amp;$D$35</f>
        <v>15-27</v>
      </c>
      <c r="AB439" s="100" t="str">
        <f>$D$35&amp;"-"&amp;$E$35</f>
        <v>27-39</v>
      </c>
      <c r="AC439" s="100" t="str">
        <f>$E$35&amp;"-"&amp;$F$35</f>
        <v>39-51</v>
      </c>
      <c r="AD439" s="100" t="str">
        <f>$F$35&amp;"-"&amp;$G$35</f>
        <v>51-63</v>
      </c>
      <c r="AE439" s="100" t="str">
        <f>$G$35&amp;"-"&amp;$H$35</f>
        <v>63-75</v>
      </c>
      <c r="AF439" s="100" t="str">
        <f>$H$35&amp;"-"&amp;$I$35</f>
        <v>75-87</v>
      </c>
      <c r="AG439" s="100" t="str">
        <f>$I$35&amp;"-"&amp;$J$35</f>
        <v>87-99</v>
      </c>
      <c r="AH439" s="100" t="str">
        <f>$J$35&amp;"-"&amp;$K$35</f>
        <v>99-111</v>
      </c>
      <c r="AI439" s="100" t="str">
        <f>$K$35&amp;"-"&amp;$L$35</f>
        <v>111-123</v>
      </c>
      <c r="AJ439" s="100" t="str">
        <f>$L$35&amp;"-Ult"</f>
        <v>123-Ult</v>
      </c>
      <c r="AK439" s="92" t="str">
        <f>$A$35</f>
        <v>Fiscal Accident Year Data Ending</v>
      </c>
      <c r="AL439" s="92"/>
      <c r="AM439" s="100" t="str">
        <f>$C$35&amp;"-"&amp;$D$35</f>
        <v>15-27</v>
      </c>
      <c r="AN439" s="100" t="str">
        <f>$D$35&amp;"-"&amp;$E$35</f>
        <v>27-39</v>
      </c>
      <c r="AO439" s="100" t="str">
        <f>$E$35&amp;"-"&amp;$F$35</f>
        <v>39-51</v>
      </c>
      <c r="AP439" s="100" t="str">
        <f>$F$35&amp;"-"&amp;$G$35</f>
        <v>51-63</v>
      </c>
      <c r="AQ439" s="100" t="str">
        <f>$G$35&amp;"-"&amp;$H$35</f>
        <v>63-75</v>
      </c>
      <c r="AR439" s="100" t="str">
        <f>$H$35&amp;"-"&amp;$I$35</f>
        <v>75-87</v>
      </c>
      <c r="AS439" s="100" t="str">
        <f>$I$35&amp;"-"&amp;$J$35</f>
        <v>87-99</v>
      </c>
      <c r="AT439" s="100" t="str">
        <f>$J$35&amp;"-"&amp;$K$35</f>
        <v>99-111</v>
      </c>
      <c r="AU439" s="100" t="str">
        <f>$K$35&amp;"-"&amp;$L$35</f>
        <v>111-123</v>
      </c>
      <c r="AV439" s="100" t="str">
        <f>$L$35&amp;"-Ult"</f>
        <v>123-Ult</v>
      </c>
      <c r="AW439" s="92" t="str">
        <f>$A$35</f>
        <v>Fiscal Accident Year Data Ending</v>
      </c>
      <c r="AX439" s="92"/>
      <c r="AY439" s="100" t="str">
        <f>$C$35&amp;"-"&amp;$D$35</f>
        <v>15-27</v>
      </c>
      <c r="AZ439" s="100" t="str">
        <f>$D$35&amp;"-"&amp;$E$35</f>
        <v>27-39</v>
      </c>
      <c r="BA439" s="100" t="str">
        <f>$E$35&amp;"-"&amp;$F$35</f>
        <v>39-51</v>
      </c>
      <c r="BB439" s="100" t="str">
        <f>$F$35&amp;"-"&amp;$G$35</f>
        <v>51-63</v>
      </c>
      <c r="BC439" s="100" t="str">
        <f>$G$35&amp;"-"&amp;$H$35</f>
        <v>63-75</v>
      </c>
      <c r="BD439" s="100" t="str">
        <f>$H$35&amp;"-"&amp;$I$35</f>
        <v>75-87</v>
      </c>
      <c r="BE439" s="100" t="str">
        <f>$I$35&amp;"-"&amp;$J$35</f>
        <v>87-99</v>
      </c>
      <c r="BF439" s="100" t="str">
        <f>$J$35&amp;"-"&amp;$K$35</f>
        <v>99-111</v>
      </c>
      <c r="BG439" s="100" t="str">
        <f>$K$35&amp;"-"&amp;$L$35</f>
        <v>111-123</v>
      </c>
      <c r="BH439" s="100" t="str">
        <f>$L$35&amp;"-Ult"</f>
        <v>123-Ult</v>
      </c>
      <c r="BI439" s="92" t="str">
        <f>$A$35</f>
        <v>Fiscal Accident Year Data Ending</v>
      </c>
      <c r="BJ439" s="92"/>
      <c r="BK439" s="100" t="str">
        <f>$C$35&amp;"-"&amp;$D$35</f>
        <v>15-27</v>
      </c>
      <c r="BL439" s="100" t="str">
        <f>$D$35&amp;"-"&amp;$E$35</f>
        <v>27-39</v>
      </c>
      <c r="BM439" s="100" t="str">
        <f>$E$35&amp;"-"&amp;$F$35</f>
        <v>39-51</v>
      </c>
      <c r="BN439" s="100" t="str">
        <f>$F$35&amp;"-"&amp;$G$35</f>
        <v>51-63</v>
      </c>
      <c r="BO439" s="100" t="str">
        <f>$G$35&amp;"-"&amp;$H$35</f>
        <v>63-75</v>
      </c>
      <c r="BP439" s="100" t="str">
        <f>$H$35&amp;"-"&amp;$I$35</f>
        <v>75-87</v>
      </c>
      <c r="BQ439" s="100" t="str">
        <f>$I$35&amp;"-"&amp;$J$35</f>
        <v>87-99</v>
      </c>
      <c r="BR439" s="100" t="str">
        <f>$J$35&amp;"-"&amp;$K$35</f>
        <v>99-111</v>
      </c>
      <c r="BS439" s="100" t="str">
        <f>$K$35&amp;"-"&amp;$L$35</f>
        <v>111-123</v>
      </c>
      <c r="BT439" s="100" t="str">
        <f>$L$35&amp;"-Ult"</f>
        <v>123-Ult</v>
      </c>
      <c r="BU439" s="92" t="str">
        <f>$A$35</f>
        <v>Fiscal Accident Year Data Ending</v>
      </c>
      <c r="BV439" s="92"/>
      <c r="BW439" s="100" t="str">
        <f>$C$35&amp;"-"&amp;$D$35</f>
        <v>15-27</v>
      </c>
      <c r="BX439" s="100" t="str">
        <f>$D$35&amp;"-"&amp;$E$35</f>
        <v>27-39</v>
      </c>
      <c r="BY439" s="100" t="str">
        <f>$E$35&amp;"-"&amp;$F$35</f>
        <v>39-51</v>
      </c>
      <c r="BZ439" s="100" t="str">
        <f>$F$35&amp;"-"&amp;$G$35</f>
        <v>51-63</v>
      </c>
      <c r="CA439" s="100" t="str">
        <f>$G$35&amp;"-"&amp;$H$35</f>
        <v>63-75</v>
      </c>
      <c r="CB439" s="100" t="str">
        <f>$H$35&amp;"-"&amp;$I$35</f>
        <v>75-87</v>
      </c>
      <c r="CC439" s="100" t="str">
        <f>$I$35&amp;"-"&amp;$J$35</f>
        <v>87-99</v>
      </c>
      <c r="CD439" s="100" t="str">
        <f>$J$35&amp;"-"&amp;$K$35</f>
        <v>99-111</v>
      </c>
      <c r="CE439" s="100" t="str">
        <f>$K$35&amp;"-"&amp;$L$35</f>
        <v>111-123</v>
      </c>
      <c r="CF439" s="100" t="str">
        <f>$L$35&amp;"-Ult"</f>
        <v>123-Ult</v>
      </c>
      <c r="CG439" s="92" t="str">
        <f>$A$35</f>
        <v>Fiscal Accident Year Data Ending</v>
      </c>
      <c r="CH439" s="92"/>
      <c r="CI439" s="100" t="str">
        <f>$C$35&amp;"-"&amp;$D$35</f>
        <v>15-27</v>
      </c>
      <c r="CJ439" s="100" t="str">
        <f>$D$35&amp;"-"&amp;$E$35</f>
        <v>27-39</v>
      </c>
      <c r="CK439" s="100" t="str">
        <f>$E$35&amp;"-"&amp;$F$35</f>
        <v>39-51</v>
      </c>
      <c r="CL439" s="100" t="str">
        <f>$F$35&amp;"-"&amp;$G$35</f>
        <v>51-63</v>
      </c>
      <c r="CM439" s="100" t="str">
        <f>$G$35&amp;"-"&amp;$H$35</f>
        <v>63-75</v>
      </c>
      <c r="CN439" s="100" t="str">
        <f>$H$35&amp;"-"&amp;$I$35</f>
        <v>75-87</v>
      </c>
      <c r="CO439" s="100" t="str">
        <f>$I$35&amp;"-"&amp;$J$35</f>
        <v>87-99</v>
      </c>
      <c r="CP439" s="100" t="str">
        <f>$J$35&amp;"-"&amp;$K$35</f>
        <v>99-111</v>
      </c>
      <c r="CQ439" s="100" t="str">
        <f>$K$35&amp;"-"&amp;$L$35</f>
        <v>111-123</v>
      </c>
      <c r="CR439" s="100" t="str">
        <f>$L$35&amp;"-Ult"</f>
        <v>123-Ult</v>
      </c>
      <c r="CS439" s="92" t="str">
        <f>$A$35</f>
        <v>Fiscal Accident Year Data Ending</v>
      </c>
      <c r="CT439" s="92"/>
      <c r="CU439" s="100" t="str">
        <f>$C$35&amp;"-"&amp;$D$35</f>
        <v>15-27</v>
      </c>
      <c r="CV439" s="100" t="str">
        <f>$D$35&amp;"-"&amp;$E$35</f>
        <v>27-39</v>
      </c>
      <c r="CW439" s="100" t="str">
        <f>$E$35&amp;"-"&amp;$F$35</f>
        <v>39-51</v>
      </c>
      <c r="CX439" s="100" t="str">
        <f>$F$35&amp;"-"&amp;$G$35</f>
        <v>51-63</v>
      </c>
      <c r="CY439" s="100" t="str">
        <f>$G$35&amp;"-"&amp;$H$35</f>
        <v>63-75</v>
      </c>
      <c r="CZ439" s="100" t="str">
        <f>$H$35&amp;"-"&amp;$I$35</f>
        <v>75-87</v>
      </c>
      <c r="DA439" s="100" t="str">
        <f>$I$35&amp;"-"&amp;$J$35</f>
        <v>87-99</v>
      </c>
      <c r="DB439" s="100" t="str">
        <f>$J$35&amp;"-"&amp;$K$35</f>
        <v>99-111</v>
      </c>
      <c r="DC439" s="100" t="str">
        <f>$K$35&amp;"-"&amp;$L$35</f>
        <v>111-123</v>
      </c>
      <c r="DD439" s="100" t="str">
        <f>$L$35&amp;"-Ult"</f>
        <v>123-Ult</v>
      </c>
      <c r="DE439" s="92" t="str">
        <f>$A$35</f>
        <v>Fiscal Accident Year Data Ending</v>
      </c>
      <c r="DF439" s="92"/>
      <c r="DG439" s="100" t="str">
        <f>$C$35&amp;"-"&amp;$D$35</f>
        <v>15-27</v>
      </c>
      <c r="DH439" s="100" t="str">
        <f>$D$35&amp;"-"&amp;$E$35</f>
        <v>27-39</v>
      </c>
      <c r="DI439" s="100" t="str">
        <f>$E$35&amp;"-"&amp;$F$35</f>
        <v>39-51</v>
      </c>
      <c r="DJ439" s="100" t="str">
        <f>$F$35&amp;"-"&amp;$G$35</f>
        <v>51-63</v>
      </c>
      <c r="DK439" s="100" t="str">
        <f>$G$35&amp;"-"&amp;$H$35</f>
        <v>63-75</v>
      </c>
      <c r="DL439" s="100" t="str">
        <f>$H$35&amp;"-"&amp;$I$35</f>
        <v>75-87</v>
      </c>
      <c r="DM439" s="100" t="str">
        <f>$I$35&amp;"-"&amp;$J$35</f>
        <v>87-99</v>
      </c>
      <c r="DN439" s="100" t="str">
        <f>$J$35&amp;"-"&amp;$K$35</f>
        <v>99-111</v>
      </c>
      <c r="DO439" s="100" t="str">
        <f>$K$35&amp;"-"&amp;$L$35</f>
        <v>111-123</v>
      </c>
      <c r="DP439" s="100" t="str">
        <f>$L$35&amp;"-Ult"</f>
        <v>123-Ult</v>
      </c>
    </row>
    <row r="440" spans="1:120" x14ac:dyDescent="0.25">
      <c r="A440" s="91">
        <f>$A$36</f>
        <v>20133</v>
      </c>
      <c r="B440" s="105"/>
      <c r="C440" s="90">
        <f>IFERROR(D427/C427,"")</f>
        <v>1.0588953980138467</v>
      </c>
      <c r="D440" s="90">
        <f t="shared" ref="D440:K440" si="679">IFERROR(E427/D427,"")</f>
        <v>1.0166464503022592</v>
      </c>
      <c r="E440" s="90">
        <f t="shared" si="679"/>
        <v>1.0029779515185613</v>
      </c>
      <c r="F440" s="90">
        <f t="shared" si="679"/>
        <v>1.0008607516586394</v>
      </c>
      <c r="G440" s="90">
        <f t="shared" si="679"/>
        <v>1.0002609023355591</v>
      </c>
      <c r="H440" s="90">
        <f t="shared" si="679"/>
        <v>1.0001062658191162</v>
      </c>
      <c r="I440" s="90">
        <f t="shared" si="679"/>
        <v>1.0000482975126781</v>
      </c>
      <c r="J440" s="90">
        <f t="shared" si="679"/>
        <v>1.000048295180141</v>
      </c>
      <c r="K440" s="90">
        <f t="shared" si="679"/>
        <v>1</v>
      </c>
      <c r="L440" s="22"/>
      <c r="M440" s="91">
        <f>$A$36</f>
        <v>20133</v>
      </c>
      <c r="N440" s="105"/>
      <c r="O440" s="90">
        <f>IFERROR(P427/O427,"")</f>
        <v>1.0427125823658614</v>
      </c>
      <c r="P440" s="90">
        <f t="shared" ref="P440:W440" si="680">IFERROR(Q427/P427,"")</f>
        <v>1.0114350197479782</v>
      </c>
      <c r="Q440" s="90">
        <f t="shared" si="680"/>
        <v>1.0022685856670013</v>
      </c>
      <c r="R440" s="90">
        <f t="shared" si="680"/>
        <v>1.0005936920222636</v>
      </c>
      <c r="S440" s="90">
        <f t="shared" si="680"/>
        <v>1.0002595861455166</v>
      </c>
      <c r="T440" s="90">
        <f t="shared" si="680"/>
        <v>1.0001482964445927</v>
      </c>
      <c r="U440" s="90">
        <f t="shared" si="680"/>
        <v>1.0000741372280091</v>
      </c>
      <c r="V440" s="90">
        <f t="shared" si="680"/>
        <v>1.000037065866044</v>
      </c>
      <c r="W440" s="90">
        <f t="shared" si="680"/>
        <v>1</v>
      </c>
      <c r="X440" s="22"/>
      <c r="Y440" s="91">
        <f>$A$36</f>
        <v>20133</v>
      </c>
      <c r="Z440" s="105"/>
      <c r="AA440" s="90">
        <f>IFERROR(AB427/AA427,"")</f>
        <v>1.2315184815184814</v>
      </c>
      <c r="AB440" s="90">
        <f t="shared" ref="AB440:AI440" si="681">IFERROR(AC427/AB427,"")</f>
        <v>1.0653011559521395</v>
      </c>
      <c r="AC440" s="90">
        <f t="shared" si="681"/>
        <v>1.0186560060917571</v>
      </c>
      <c r="AD440" s="90">
        <f t="shared" si="681"/>
        <v>1.0065408334890675</v>
      </c>
      <c r="AE440" s="90">
        <f t="shared" si="681"/>
        <v>1.0038989974006685</v>
      </c>
      <c r="AF440" s="90">
        <f t="shared" si="681"/>
        <v>1.001479563528759</v>
      </c>
      <c r="AG440" s="90">
        <f t="shared" si="681"/>
        <v>1.00129270544783</v>
      </c>
      <c r="AH440" s="90">
        <f t="shared" si="681"/>
        <v>1.0001844337882699</v>
      </c>
      <c r="AI440" s="90">
        <f t="shared" si="681"/>
        <v>1.0005531993361607</v>
      </c>
      <c r="AJ440" s="22"/>
      <c r="AK440" s="91">
        <f>$A$36</f>
        <v>20133</v>
      </c>
      <c r="AL440" s="105"/>
      <c r="AM440" s="90">
        <f>IFERROR(AN427/AM427,"")</f>
        <v>1.0270086246028143</v>
      </c>
      <c r="AN440" s="90">
        <f t="shared" ref="AN440:AU440" si="682">IFERROR(AO427/AN427,"")</f>
        <v>1.0040883977900552</v>
      </c>
      <c r="AO440" s="90">
        <f t="shared" si="682"/>
        <v>1.001760757125564</v>
      </c>
      <c r="AP440" s="90">
        <f t="shared" si="682"/>
        <v>1.0003844886301219</v>
      </c>
      <c r="AQ440" s="90">
        <f t="shared" si="682"/>
        <v>1.0001647175094712</v>
      </c>
      <c r="AR440" s="90">
        <f t="shared" si="682"/>
        <v>1.0003293807641633</v>
      </c>
      <c r="AS440" s="90">
        <f t="shared" si="682"/>
        <v>1</v>
      </c>
      <c r="AT440" s="90">
        <f t="shared" si="682"/>
        <v>1</v>
      </c>
      <c r="AU440" s="90">
        <f t="shared" si="682"/>
        <v>1.0000548787180332</v>
      </c>
      <c r="AV440" s="22"/>
      <c r="AW440" s="91">
        <f>$A$36</f>
        <v>20133</v>
      </c>
      <c r="AX440" s="105"/>
      <c r="AY440" s="90">
        <f>IFERROR(AZ427/AY427,"")</f>
        <v>1.0134215249617762</v>
      </c>
      <c r="AZ440" s="90">
        <f t="shared" ref="AZ440:BG440" si="683">IFERROR(BA427/AZ427,"")</f>
        <v>1.0019153946565738</v>
      </c>
      <c r="BA440" s="90">
        <f t="shared" si="683"/>
        <v>1.0006547030594275</v>
      </c>
      <c r="BB440" s="90">
        <f t="shared" si="683"/>
        <v>1.0001831969170576</v>
      </c>
      <c r="BC440" s="90">
        <f t="shared" si="683"/>
        <v>1.0000654154864623</v>
      </c>
      <c r="BD440" s="90">
        <f t="shared" si="683"/>
        <v>1.0001177401736014</v>
      </c>
      <c r="BE440" s="90">
        <f t="shared" si="683"/>
        <v>1.0000196210520809</v>
      </c>
      <c r="BF440" s="90">
        <f t="shared" si="683"/>
        <v>1.0000065402223675</v>
      </c>
      <c r="BG440" s="90">
        <f t="shared" si="683"/>
        <v>1.0000130803591867</v>
      </c>
      <c r="BH440" s="22"/>
      <c r="BI440" s="91">
        <f>$A$36</f>
        <v>20133</v>
      </c>
      <c r="BJ440" s="105"/>
      <c r="BK440" s="90">
        <f>IFERROR(BL427/BK427,"")</f>
        <v>1.0148341989930243</v>
      </c>
      <c r="BL440" s="90">
        <f t="shared" ref="BL440:BS440" si="684">IFERROR(BM427/BL427,"")</f>
        <v>1.002131861930589</v>
      </c>
      <c r="BM440" s="90">
        <f t="shared" si="684"/>
        <v>1.0007038948850304</v>
      </c>
      <c r="BN440" s="90">
        <f t="shared" si="684"/>
        <v>1.0002657288003127</v>
      </c>
      <c r="BO440" s="90">
        <f t="shared" si="684"/>
        <v>1.000039067383423</v>
      </c>
      <c r="BP440" s="90">
        <f t="shared" si="684"/>
        <v>1.000054692200111</v>
      </c>
      <c r="BQ440" s="90">
        <f t="shared" si="684"/>
        <v>1</v>
      </c>
      <c r="BR440" s="90">
        <f t="shared" si="684"/>
        <v>1</v>
      </c>
      <c r="BS440" s="90">
        <f t="shared" si="684"/>
        <v>1.0000078127441483</v>
      </c>
      <c r="BT440" s="22"/>
      <c r="BU440" s="91">
        <f>$A$36</f>
        <v>20133</v>
      </c>
      <c r="BV440" s="105"/>
      <c r="BW440" s="90">
        <f>IFERROR(BX427/BW427,"")</f>
        <v>1.6</v>
      </c>
      <c r="BX440" s="90">
        <f t="shared" ref="BX440:CE440" si="685">IFERROR(BY427/BX427,"")</f>
        <v>1.25</v>
      </c>
      <c r="BY440" s="90">
        <f t="shared" si="685"/>
        <v>1.1000000000000001</v>
      </c>
      <c r="BZ440" s="90">
        <f t="shared" si="685"/>
        <v>1</v>
      </c>
      <c r="CA440" s="90">
        <f t="shared" si="685"/>
        <v>1</v>
      </c>
      <c r="CB440" s="90">
        <f t="shared" si="685"/>
        <v>1</v>
      </c>
      <c r="CC440" s="90">
        <f t="shared" si="685"/>
        <v>1</v>
      </c>
      <c r="CD440" s="90">
        <f t="shared" si="685"/>
        <v>1</v>
      </c>
      <c r="CE440" s="90">
        <f t="shared" si="685"/>
        <v>1</v>
      </c>
      <c r="CF440" s="22"/>
      <c r="CG440" s="91">
        <f>$A$36</f>
        <v>20133</v>
      </c>
      <c r="CH440" s="105"/>
      <c r="CI440" s="90" t="str">
        <f>IFERROR(CJ427/CI427,"")</f>
        <v/>
      </c>
      <c r="CJ440" s="90" t="str">
        <f t="shared" ref="CJ440:CQ440" si="686">IFERROR(CK427/CJ427,"")</f>
        <v/>
      </c>
      <c r="CK440" s="90" t="str">
        <f t="shared" si="686"/>
        <v/>
      </c>
      <c r="CL440" s="90" t="str">
        <f t="shared" si="686"/>
        <v/>
      </c>
      <c r="CM440" s="90" t="str">
        <f t="shared" si="686"/>
        <v/>
      </c>
      <c r="CN440" s="90" t="str">
        <f t="shared" si="686"/>
        <v/>
      </c>
      <c r="CO440" s="90" t="str">
        <f t="shared" si="686"/>
        <v/>
      </c>
      <c r="CP440" s="90" t="str">
        <f t="shared" si="686"/>
        <v/>
      </c>
      <c r="CQ440" s="90" t="str">
        <f t="shared" si="686"/>
        <v/>
      </c>
      <c r="CR440" s="22"/>
      <c r="CS440" s="91">
        <f>$A$36</f>
        <v>20133</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20133</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20143</v>
      </c>
      <c r="B441" s="105"/>
      <c r="C441" s="90">
        <f t="shared" ref="C441:J448" si="689">IFERROR(D428/C428,"")</f>
        <v>1.0668341856516064</v>
      </c>
      <c r="D441" s="90">
        <f t="shared" si="689"/>
        <v>1.0111051818047991</v>
      </c>
      <c r="E441" s="90">
        <f t="shared" si="689"/>
        <v>1.0025842849993176</v>
      </c>
      <c r="F441" s="90">
        <f t="shared" si="689"/>
        <v>1.0011254413272948</v>
      </c>
      <c r="G441" s="90">
        <f t="shared" si="689"/>
        <v>1.0002901099698105</v>
      </c>
      <c r="H441" s="90">
        <f t="shared" si="689"/>
        <v>1.0001087596864096</v>
      </c>
      <c r="I441" s="90">
        <f t="shared" si="689"/>
        <v>1.0000362492863422</v>
      </c>
      <c r="J441" s="90">
        <f t="shared" si="689"/>
        <v>1.0000090619930948</v>
      </c>
      <c r="K441" s="22"/>
      <c r="L441" s="22"/>
      <c r="M441" s="91">
        <f>$A$37</f>
        <v>20143</v>
      </c>
      <c r="N441" s="105"/>
      <c r="O441" s="90">
        <f t="shared" ref="O441:V448" si="690">IFERROR(P428/O428,"")</f>
        <v>1.051994767822106</v>
      </c>
      <c r="P441" s="90">
        <f t="shared" si="690"/>
        <v>1.0129390736711221</v>
      </c>
      <c r="Q441" s="90">
        <f t="shared" si="690"/>
        <v>1.0015343895047757</v>
      </c>
      <c r="R441" s="90">
        <f t="shared" si="690"/>
        <v>1.0005362135662033</v>
      </c>
      <c r="S441" s="90">
        <f t="shared" si="690"/>
        <v>1.0001148413275658</v>
      </c>
      <c r="T441" s="90">
        <f t="shared" si="690"/>
        <v>1</v>
      </c>
      <c r="U441" s="90">
        <f t="shared" si="690"/>
        <v>1</v>
      </c>
      <c r="V441" s="90">
        <f t="shared" si="690"/>
        <v>1.0001913802342495</v>
      </c>
      <c r="W441" s="22"/>
      <c r="X441" s="22"/>
      <c r="Y441" s="91">
        <f>$A$37</f>
        <v>20143</v>
      </c>
      <c r="Z441" s="105"/>
      <c r="AA441" s="90">
        <f t="shared" ref="AA441:AH448" si="691">IFERROR(AB428/AA428,"")</f>
        <v>1.2655996758508914</v>
      </c>
      <c r="AB441" s="90">
        <f t="shared" si="691"/>
        <v>1.0608291980150473</v>
      </c>
      <c r="AC441" s="90">
        <f t="shared" si="691"/>
        <v>1.0184095367436246</v>
      </c>
      <c r="AD441" s="90">
        <f t="shared" si="691"/>
        <v>1.004148762779671</v>
      </c>
      <c r="AE441" s="90">
        <f t="shared" si="691"/>
        <v>1.00132802124834</v>
      </c>
      <c r="AF441" s="90">
        <f t="shared" si="691"/>
        <v>1.001178897730622</v>
      </c>
      <c r="AG441" s="90">
        <f t="shared" si="691"/>
        <v>1.0010303208713571</v>
      </c>
      <c r="AH441" s="90">
        <f t="shared" si="691"/>
        <v>1.0008822232024703</v>
      </c>
      <c r="AI441" s="22"/>
      <c r="AJ441" s="22"/>
      <c r="AK441" s="91">
        <f>$A$37</f>
        <v>20143</v>
      </c>
      <c r="AL441" s="105"/>
      <c r="AM441" s="90">
        <f t="shared" ref="AM441:AT448" si="692">IFERROR(AN428/AM428,"")</f>
        <v>1.0274892395982784</v>
      </c>
      <c r="AN441" s="90">
        <f t="shared" si="692"/>
        <v>1.0032953529937445</v>
      </c>
      <c r="AO441" s="90">
        <f t="shared" si="692"/>
        <v>1.0017257696375883</v>
      </c>
      <c r="AP441" s="90">
        <f t="shared" si="692"/>
        <v>1.0007780371234856</v>
      </c>
      <c r="AQ441" s="90">
        <f t="shared" si="692"/>
        <v>1.0003331852509996</v>
      </c>
      <c r="AR441" s="90">
        <f t="shared" si="692"/>
        <v>1.0002220495170424</v>
      </c>
      <c r="AS441" s="90">
        <f t="shared" si="692"/>
        <v>1.0001110001110001</v>
      </c>
      <c r="AT441" s="90">
        <f t="shared" si="692"/>
        <v>1.000110987791343</v>
      </c>
      <c r="AU441" s="22"/>
      <c r="AV441" s="22"/>
      <c r="AW441" s="91">
        <f>$A$37</f>
        <v>20143</v>
      </c>
      <c r="AX441" s="105"/>
      <c r="AY441" s="90">
        <f t="shared" ref="AY441:BF448" si="693">IFERROR(AZ428/AY428,"")</f>
        <v>1.0138231872818921</v>
      </c>
      <c r="AZ441" s="90">
        <f t="shared" si="693"/>
        <v>1.0021417780582487</v>
      </c>
      <c r="BA441" s="90">
        <f t="shared" si="693"/>
        <v>1.0005279394459816</v>
      </c>
      <c r="BB441" s="90">
        <f t="shared" si="693"/>
        <v>1.0001398619181425</v>
      </c>
      <c r="BC441" s="90">
        <f t="shared" si="693"/>
        <v>1.00012077294686</v>
      </c>
      <c r="BD441" s="90">
        <f t="shared" si="693"/>
        <v>1.0000572013296132</v>
      </c>
      <c r="BE441" s="90">
        <f t="shared" si="693"/>
        <v>1.0000190660192694</v>
      </c>
      <c r="BF441" s="90">
        <f t="shared" si="693"/>
        <v>1.0000127104371754</v>
      </c>
      <c r="BG441" s="22"/>
      <c r="BH441" s="22"/>
      <c r="BI441" s="91">
        <f>$A$37</f>
        <v>20143</v>
      </c>
      <c r="BJ441" s="105"/>
      <c r="BK441" s="90">
        <f t="shared" ref="BK441:BR448" si="694">IFERROR(BL428/BK428,"")</f>
        <v>1.0153002987880619</v>
      </c>
      <c r="BL441" s="90">
        <f t="shared" si="694"/>
        <v>1.0019756801216821</v>
      </c>
      <c r="BM441" s="90">
        <f t="shared" si="694"/>
        <v>1.0005362593845393</v>
      </c>
      <c r="BN441" s="90">
        <f t="shared" si="694"/>
        <v>1.0002061430632858</v>
      </c>
      <c r="BO441" s="90">
        <f t="shared" si="694"/>
        <v>1.0000412201154163</v>
      </c>
      <c r="BP441" s="90">
        <f t="shared" si="694"/>
        <v>1.0000247310498331</v>
      </c>
      <c r="BQ441" s="90">
        <f t="shared" si="694"/>
        <v>1.0000247304382233</v>
      </c>
      <c r="BR441" s="90">
        <f t="shared" si="694"/>
        <v>1</v>
      </c>
      <c r="BS441" s="22"/>
      <c r="BT441" s="22"/>
      <c r="BU441" s="91">
        <f>$A$37</f>
        <v>20143</v>
      </c>
      <c r="BV441" s="105"/>
      <c r="BW441" s="90">
        <f t="shared" ref="BW441:CD448" si="695">IFERROR(BX428/BW428,"")</f>
        <v>1.4166666666666667</v>
      </c>
      <c r="BX441" s="90">
        <f t="shared" si="695"/>
        <v>1</v>
      </c>
      <c r="BY441" s="90">
        <f t="shared" si="695"/>
        <v>1</v>
      </c>
      <c r="BZ441" s="90">
        <f t="shared" si="695"/>
        <v>1</v>
      </c>
      <c r="CA441" s="90">
        <f t="shared" si="695"/>
        <v>1</v>
      </c>
      <c r="CB441" s="90">
        <f t="shared" si="695"/>
        <v>1</v>
      </c>
      <c r="CC441" s="90">
        <f t="shared" si="695"/>
        <v>1</v>
      </c>
      <c r="CD441" s="90">
        <f t="shared" si="695"/>
        <v>1</v>
      </c>
      <c r="CE441" s="22"/>
      <c r="CF441" s="22"/>
      <c r="CG441" s="91">
        <f>$A$37</f>
        <v>20143</v>
      </c>
      <c r="CH441" s="105"/>
      <c r="CI441" s="90" t="str">
        <f t="shared" ref="CI441:CP448" si="696">IFERROR(CJ428/CI428,"")</f>
        <v/>
      </c>
      <c r="CJ441" s="90" t="str">
        <f t="shared" si="696"/>
        <v/>
      </c>
      <c r="CK441" s="90" t="str">
        <f t="shared" si="696"/>
        <v/>
      </c>
      <c r="CL441" s="90" t="str">
        <f t="shared" si="696"/>
        <v/>
      </c>
      <c r="CM441" s="90" t="str">
        <f t="shared" si="696"/>
        <v/>
      </c>
      <c r="CN441" s="90" t="str">
        <f t="shared" si="696"/>
        <v/>
      </c>
      <c r="CO441" s="90" t="str">
        <f t="shared" si="696"/>
        <v/>
      </c>
      <c r="CP441" s="90" t="str">
        <f t="shared" si="696"/>
        <v/>
      </c>
      <c r="CQ441" s="22"/>
      <c r="CR441" s="22"/>
      <c r="CS441" s="91">
        <f>$A$37</f>
        <v>20143</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20143</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20153</v>
      </c>
      <c r="B442" s="105"/>
      <c r="C442" s="90">
        <f t="shared" si="689"/>
        <v>1.0471980532553702</v>
      </c>
      <c r="D442" s="90">
        <f t="shared" si="689"/>
        <v>1.0094705518498086</v>
      </c>
      <c r="E442" s="90">
        <f t="shared" si="689"/>
        <v>1.0025503655800012</v>
      </c>
      <c r="F442" s="90">
        <f t="shared" si="689"/>
        <v>1.0011397893867438</v>
      </c>
      <c r="G442" s="90">
        <f t="shared" si="689"/>
        <v>1.0002969978467655</v>
      </c>
      <c r="H442" s="90">
        <f t="shared" si="689"/>
        <v>1.0001402073419163</v>
      </c>
      <c r="I442" s="90">
        <f t="shared" si="689"/>
        <v>1.0000989560140519</v>
      </c>
      <c r="J442" s="22"/>
      <c r="K442" s="22"/>
      <c r="L442" s="22"/>
      <c r="M442" s="91">
        <f>$A$38</f>
        <v>20153</v>
      </c>
      <c r="N442" s="105"/>
      <c r="O442" s="90">
        <f t="shared" si="690"/>
        <v>1.0457458563535911</v>
      </c>
      <c r="P442" s="90">
        <f t="shared" si="690"/>
        <v>1.0104606931530009</v>
      </c>
      <c r="Q442" s="90">
        <f t="shared" si="690"/>
        <v>1.0020565373488097</v>
      </c>
      <c r="R442" s="90">
        <f t="shared" si="690"/>
        <v>1.000382635313761</v>
      </c>
      <c r="S442" s="90">
        <f t="shared" si="690"/>
        <v>1.0002781737890747</v>
      </c>
      <c r="T442" s="90">
        <f t="shared" si="690"/>
        <v>1.0001042861612264</v>
      </c>
      <c r="U442" s="90">
        <f t="shared" si="690"/>
        <v>1.0000347584289191</v>
      </c>
      <c r="V442" s="22"/>
      <c r="W442" s="22"/>
      <c r="X442" s="22"/>
      <c r="Y442" s="91">
        <f>$A$38</f>
        <v>20153</v>
      </c>
      <c r="Z442" s="105"/>
      <c r="AA442" s="90">
        <f t="shared" si="691"/>
        <v>1.2170623145400594</v>
      </c>
      <c r="AB442" s="90">
        <f t="shared" si="691"/>
        <v>1.0512007802023651</v>
      </c>
      <c r="AC442" s="90">
        <f t="shared" si="691"/>
        <v>1.0126406123158993</v>
      </c>
      <c r="AD442" s="90">
        <f t="shared" si="691"/>
        <v>1.0065277141548328</v>
      </c>
      <c r="AE442" s="90">
        <f t="shared" si="691"/>
        <v>1.0019342359767891</v>
      </c>
      <c r="AF442" s="90">
        <f t="shared" si="691"/>
        <v>1.0005677946854417</v>
      </c>
      <c r="AG442" s="90">
        <f t="shared" si="691"/>
        <v>1.0007944614686188</v>
      </c>
      <c r="AH442" s="22"/>
      <c r="AI442" s="22"/>
      <c r="AJ442" s="22"/>
      <c r="AK442" s="91">
        <f>$A$38</f>
        <v>20153</v>
      </c>
      <c r="AL442" s="105"/>
      <c r="AM442" s="90">
        <f t="shared" si="692"/>
        <v>1.0277809404531482</v>
      </c>
      <c r="AN442" s="90">
        <f t="shared" si="692"/>
        <v>1.0049850448654039</v>
      </c>
      <c r="AO442" s="90">
        <f t="shared" si="692"/>
        <v>1.0015432098765431</v>
      </c>
      <c r="AP442" s="90">
        <f t="shared" si="692"/>
        <v>1.0013757429011667</v>
      </c>
      <c r="AQ442" s="90">
        <f t="shared" si="692"/>
        <v>1.0006594493597847</v>
      </c>
      <c r="AR442" s="90">
        <f t="shared" si="692"/>
        <v>1.0000549178977429</v>
      </c>
      <c r="AS442" s="90">
        <f t="shared" si="692"/>
        <v>1.0000549148819331</v>
      </c>
      <c r="AT442" s="22"/>
      <c r="AU442" s="22"/>
      <c r="AV442" s="22"/>
      <c r="AW442" s="91">
        <f>$A$38</f>
        <v>20153</v>
      </c>
      <c r="AX442" s="105"/>
      <c r="AY442" s="90">
        <f t="shared" si="693"/>
        <v>1.0159024152962526</v>
      </c>
      <c r="AZ442" s="90">
        <f t="shared" si="693"/>
        <v>1.0021301019625175</v>
      </c>
      <c r="BA442" s="90">
        <f t="shared" si="693"/>
        <v>1.0005267993874425</v>
      </c>
      <c r="BB442" s="90">
        <f t="shared" si="693"/>
        <v>1.0002632610079836</v>
      </c>
      <c r="BC442" s="90">
        <f t="shared" si="693"/>
        <v>1.000122414753426</v>
      </c>
      <c r="BD442" s="90">
        <f t="shared" si="693"/>
        <v>1.0000489599079554</v>
      </c>
      <c r="BE442" s="90">
        <f t="shared" si="693"/>
        <v>1.000018359066625</v>
      </c>
      <c r="BF442" s="22"/>
      <c r="BG442" s="22"/>
      <c r="BH442" s="22"/>
      <c r="BI442" s="91">
        <f>$A$38</f>
        <v>20153</v>
      </c>
      <c r="BJ442" s="105"/>
      <c r="BK442" s="90">
        <f t="shared" si="694"/>
        <v>1.0163414771856525</v>
      </c>
      <c r="BL442" s="90">
        <f t="shared" si="694"/>
        <v>1.0016507281457085</v>
      </c>
      <c r="BM442" s="90">
        <f t="shared" si="694"/>
        <v>1.0003644632486353</v>
      </c>
      <c r="BN442" s="90">
        <f t="shared" si="694"/>
        <v>1.0002059259141922</v>
      </c>
      <c r="BO442" s="90">
        <f t="shared" si="694"/>
        <v>1.000047511580948</v>
      </c>
      <c r="BP442" s="90">
        <f t="shared" si="694"/>
        <v>1.0000316728824699</v>
      </c>
      <c r="BQ442" s="90">
        <f t="shared" si="694"/>
        <v>1.0000158359396651</v>
      </c>
      <c r="BR442" s="22"/>
      <c r="BS442" s="22"/>
      <c r="BT442" s="22"/>
      <c r="BU442" s="91">
        <f>$A$38</f>
        <v>20153</v>
      </c>
      <c r="BV442" s="105"/>
      <c r="BW442" s="90">
        <f t="shared" si="695"/>
        <v>1.1333333333333333</v>
      </c>
      <c r="BX442" s="90">
        <f t="shared" si="695"/>
        <v>1.0588235294117647</v>
      </c>
      <c r="BY442" s="90">
        <f t="shared" si="695"/>
        <v>1</v>
      </c>
      <c r="BZ442" s="90">
        <f t="shared" si="695"/>
        <v>1</v>
      </c>
      <c r="CA442" s="90">
        <f t="shared" si="695"/>
        <v>1</v>
      </c>
      <c r="CB442" s="90">
        <f t="shared" si="695"/>
        <v>1</v>
      </c>
      <c r="CC442" s="90">
        <f t="shared" si="695"/>
        <v>1</v>
      </c>
      <c r="CD442" s="22"/>
      <c r="CE442" s="22"/>
      <c r="CF442" s="22"/>
      <c r="CG442" s="91">
        <f>$A$38</f>
        <v>20153</v>
      </c>
      <c r="CH442" s="105"/>
      <c r="CI442" s="90" t="str">
        <f t="shared" si="696"/>
        <v/>
      </c>
      <c r="CJ442" s="90" t="str">
        <f t="shared" si="696"/>
        <v/>
      </c>
      <c r="CK442" s="90" t="str">
        <f t="shared" si="696"/>
        <v/>
      </c>
      <c r="CL442" s="90" t="str">
        <f t="shared" si="696"/>
        <v/>
      </c>
      <c r="CM442" s="90" t="str">
        <f t="shared" si="696"/>
        <v/>
      </c>
      <c r="CN442" s="90" t="str">
        <f t="shared" si="696"/>
        <v/>
      </c>
      <c r="CO442" s="90" t="str">
        <f t="shared" si="696"/>
        <v/>
      </c>
      <c r="CP442" s="22"/>
      <c r="CQ442" s="22"/>
      <c r="CR442" s="22"/>
      <c r="CS442" s="91">
        <f>$A$38</f>
        <v>20153</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20153</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20163</v>
      </c>
      <c r="B443" s="105"/>
      <c r="C443" s="90">
        <f t="shared" si="689"/>
        <v>1.0472500040789023</v>
      </c>
      <c r="D443" s="90">
        <f t="shared" si="689"/>
        <v>1.0101188714225622</v>
      </c>
      <c r="E443" s="90">
        <f t="shared" si="689"/>
        <v>1.0026913852536765</v>
      </c>
      <c r="F443" s="90">
        <f t="shared" si="689"/>
        <v>1.0008075556444294</v>
      </c>
      <c r="G443" s="90">
        <f t="shared" si="689"/>
        <v>1.0003919248119144</v>
      </c>
      <c r="H443" s="90">
        <f t="shared" si="689"/>
        <v>1.0002611808446895</v>
      </c>
      <c r="I443" s="22"/>
      <c r="J443" s="22"/>
      <c r="K443" s="22"/>
      <c r="L443" s="22"/>
      <c r="M443" s="91">
        <f>$A$39</f>
        <v>20163</v>
      </c>
      <c r="N443" s="105"/>
      <c r="O443" s="90">
        <f t="shared" si="690"/>
        <v>1.0441899145686853</v>
      </c>
      <c r="P443" s="90">
        <f t="shared" si="690"/>
        <v>1.011294935379937</v>
      </c>
      <c r="Q443" s="90">
        <f t="shared" si="690"/>
        <v>1.0022194379810274</v>
      </c>
      <c r="R443" s="90">
        <f t="shared" si="690"/>
        <v>1.0006072079151338</v>
      </c>
      <c r="S443" s="90">
        <f t="shared" si="690"/>
        <v>1.0002141786249732</v>
      </c>
      <c r="T443" s="90">
        <f t="shared" si="690"/>
        <v>1.0000356887937187</v>
      </c>
      <c r="U443" s="22"/>
      <c r="V443" s="22"/>
      <c r="W443" s="22"/>
      <c r="X443" s="22"/>
      <c r="Y443" s="91">
        <f>$A$39</f>
        <v>20163</v>
      </c>
      <c r="Z443" s="105"/>
      <c r="AA443" s="90">
        <f t="shared" si="691"/>
        <v>1.2208875964091541</v>
      </c>
      <c r="AB443" s="90">
        <f t="shared" si="691"/>
        <v>1.048777961888981</v>
      </c>
      <c r="AC443" s="90">
        <f t="shared" si="691"/>
        <v>1.0146143971561172</v>
      </c>
      <c r="AD443" s="90">
        <f t="shared" si="691"/>
        <v>1.0063260340632603</v>
      </c>
      <c r="AE443" s="90">
        <f t="shared" si="691"/>
        <v>1.0015473887814312</v>
      </c>
      <c r="AF443" s="90">
        <f t="shared" si="691"/>
        <v>1.0010621861722673</v>
      </c>
      <c r="AG443" s="22"/>
      <c r="AH443" s="22"/>
      <c r="AI443" s="22"/>
      <c r="AJ443" s="22"/>
      <c r="AK443" s="91">
        <f>$A$39</f>
        <v>20163</v>
      </c>
      <c r="AL443" s="105"/>
      <c r="AM443" s="90">
        <f t="shared" si="692"/>
        <v>1.0290365625834001</v>
      </c>
      <c r="AN443" s="90">
        <f t="shared" si="692"/>
        <v>1.003734633539084</v>
      </c>
      <c r="AO443" s="90">
        <f t="shared" si="692"/>
        <v>1.0028939072916128</v>
      </c>
      <c r="AP443" s="90">
        <f t="shared" si="692"/>
        <v>1.0011851393826969</v>
      </c>
      <c r="AQ443" s="90">
        <f t="shared" si="692"/>
        <v>1.0005661348430261</v>
      </c>
      <c r="AR443" s="90">
        <f t="shared" si="692"/>
        <v>1.0004629391492208</v>
      </c>
      <c r="AS443" s="22"/>
      <c r="AT443" s="22"/>
      <c r="AU443" s="22"/>
      <c r="AV443" s="22"/>
      <c r="AW443" s="91">
        <f>$A$39</f>
        <v>20163</v>
      </c>
      <c r="AX443" s="105"/>
      <c r="AY443" s="90">
        <f t="shared" si="693"/>
        <v>1.0159456715324822</v>
      </c>
      <c r="AZ443" s="90">
        <f t="shared" si="693"/>
        <v>1.0022991518805533</v>
      </c>
      <c r="BA443" s="90">
        <f t="shared" si="693"/>
        <v>1.0006592855741778</v>
      </c>
      <c r="BB443" s="90">
        <f t="shared" si="693"/>
        <v>1.0002450273069321</v>
      </c>
      <c r="BC443" s="90">
        <f t="shared" si="693"/>
        <v>1.0001741989569837</v>
      </c>
      <c r="BD443" s="90">
        <f t="shared" si="693"/>
        <v>1.0000435421542482</v>
      </c>
      <c r="BE443" s="22"/>
      <c r="BF443" s="22"/>
      <c r="BG443" s="22"/>
      <c r="BH443" s="22"/>
      <c r="BI443" s="91">
        <f>$A$39</f>
        <v>20163</v>
      </c>
      <c r="BJ443" s="105"/>
      <c r="BK443" s="90">
        <f t="shared" si="694"/>
        <v>1.0160782567299866</v>
      </c>
      <c r="BL443" s="90">
        <f t="shared" si="694"/>
        <v>1.0019496418099931</v>
      </c>
      <c r="BM443" s="90">
        <f t="shared" si="694"/>
        <v>1.0006335319405686</v>
      </c>
      <c r="BN443" s="90">
        <f t="shared" si="694"/>
        <v>1.0001959690670366</v>
      </c>
      <c r="BO443" s="90">
        <f t="shared" si="694"/>
        <v>1.000037678975132</v>
      </c>
      <c r="BP443" s="90">
        <f t="shared" si="694"/>
        <v>1.000015071022192</v>
      </c>
      <c r="BQ443" s="22"/>
      <c r="BR443" s="22"/>
      <c r="BS443" s="22"/>
      <c r="BT443" s="22"/>
      <c r="BU443" s="91">
        <f>$A$39</f>
        <v>20163</v>
      </c>
      <c r="BV443" s="105"/>
      <c r="BW443" s="90">
        <f t="shared" si="695"/>
        <v>1.2222222222222223</v>
      </c>
      <c r="BX443" s="90">
        <f t="shared" si="695"/>
        <v>1</v>
      </c>
      <c r="BY443" s="90">
        <f t="shared" si="695"/>
        <v>1</v>
      </c>
      <c r="BZ443" s="90">
        <f t="shared" si="695"/>
        <v>1</v>
      </c>
      <c r="CA443" s="90">
        <f t="shared" si="695"/>
        <v>1</v>
      </c>
      <c r="CB443" s="90">
        <f t="shared" si="695"/>
        <v>1</v>
      </c>
      <c r="CC443" s="22"/>
      <c r="CD443" s="22"/>
      <c r="CE443" s="22"/>
      <c r="CF443" s="22"/>
      <c r="CG443" s="91">
        <f>$A$39</f>
        <v>20163</v>
      </c>
      <c r="CH443" s="105"/>
      <c r="CI443" s="90" t="str">
        <f t="shared" si="696"/>
        <v/>
      </c>
      <c r="CJ443" s="90" t="str">
        <f t="shared" si="696"/>
        <v/>
      </c>
      <c r="CK443" s="90" t="str">
        <f t="shared" si="696"/>
        <v/>
      </c>
      <c r="CL443" s="90" t="str">
        <f t="shared" si="696"/>
        <v/>
      </c>
      <c r="CM443" s="90" t="str">
        <f t="shared" si="696"/>
        <v/>
      </c>
      <c r="CN443" s="90" t="str">
        <f t="shared" si="696"/>
        <v/>
      </c>
      <c r="CO443" s="22"/>
      <c r="CP443" s="22"/>
      <c r="CQ443" s="22"/>
      <c r="CR443" s="22"/>
      <c r="CS443" s="91">
        <f>$A$39</f>
        <v>20163</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20163</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20173</v>
      </c>
      <c r="B444" s="105"/>
      <c r="C444" s="90">
        <f t="shared" si="689"/>
        <v>1.0570234907291278</v>
      </c>
      <c r="D444" s="90">
        <f t="shared" si="689"/>
        <v>1.0124105088468969</v>
      </c>
      <c r="E444" s="90">
        <f t="shared" si="689"/>
        <v>1.0023360600565405</v>
      </c>
      <c r="F444" s="90">
        <f t="shared" si="689"/>
        <v>1.0009006446719757</v>
      </c>
      <c r="G444" s="90">
        <f t="shared" si="689"/>
        <v>1.000513063383061</v>
      </c>
      <c r="H444" s="22"/>
      <c r="I444" s="22"/>
      <c r="J444" s="22"/>
      <c r="K444" s="22"/>
      <c r="L444" s="22"/>
      <c r="M444" s="91">
        <f>$A$40</f>
        <v>20173</v>
      </c>
      <c r="N444" s="105"/>
      <c r="O444" s="90">
        <f t="shared" si="690"/>
        <v>1.0493489530184905</v>
      </c>
      <c r="P444" s="90">
        <f t="shared" si="690"/>
        <v>1.0095690057569628</v>
      </c>
      <c r="Q444" s="90">
        <f t="shared" si="690"/>
        <v>1.0021191338522</v>
      </c>
      <c r="R444" s="90">
        <f t="shared" si="690"/>
        <v>1.0009612057364758</v>
      </c>
      <c r="S444" s="90">
        <f t="shared" si="690"/>
        <v>1.0003457017746025</v>
      </c>
      <c r="T444" s="22"/>
      <c r="U444" s="22"/>
      <c r="V444" s="22"/>
      <c r="W444" s="22"/>
      <c r="X444" s="22"/>
      <c r="Y444" s="91">
        <f>$A$40</f>
        <v>20173</v>
      </c>
      <c r="Z444" s="105"/>
      <c r="AA444" s="90">
        <f t="shared" si="691"/>
        <v>1.2372836570220638</v>
      </c>
      <c r="AB444" s="90">
        <f t="shared" si="691"/>
        <v>1.0479444741057127</v>
      </c>
      <c r="AC444" s="90">
        <f t="shared" si="691"/>
        <v>1.0122274302017527</v>
      </c>
      <c r="AD444" s="90">
        <f t="shared" si="691"/>
        <v>1.0057378699416146</v>
      </c>
      <c r="AE444" s="90">
        <f t="shared" si="691"/>
        <v>1.0042037834050646</v>
      </c>
      <c r="AF444" s="22"/>
      <c r="AG444" s="22"/>
      <c r="AH444" s="22"/>
      <c r="AI444" s="22"/>
      <c r="AJ444" s="22"/>
      <c r="AK444" s="91">
        <f>$A$40</f>
        <v>20173</v>
      </c>
      <c r="AL444" s="105"/>
      <c r="AM444" s="90">
        <f t="shared" si="692"/>
        <v>1.0245934153113845</v>
      </c>
      <c r="AN444" s="90">
        <f t="shared" si="692"/>
        <v>1.0070976900245192</v>
      </c>
      <c r="AO444" s="90">
        <f t="shared" si="692"/>
        <v>1.0029044934221767</v>
      </c>
      <c r="AP444" s="90">
        <f t="shared" si="692"/>
        <v>1.0012776831345827</v>
      </c>
      <c r="AQ444" s="90">
        <f t="shared" si="692"/>
        <v>1.0005954912803063</v>
      </c>
      <c r="AR444" s="22"/>
      <c r="AS444" s="22"/>
      <c r="AT444" s="22"/>
      <c r="AU444" s="22"/>
      <c r="AV444" s="22"/>
      <c r="AW444" s="91">
        <f>$A$40</f>
        <v>20173</v>
      </c>
      <c r="AX444" s="105"/>
      <c r="AY444" s="90">
        <f t="shared" si="693"/>
        <v>1.0149752633303164</v>
      </c>
      <c r="AZ444" s="90">
        <f t="shared" si="693"/>
        <v>1.0022593739400636</v>
      </c>
      <c r="BA444" s="90">
        <f t="shared" si="693"/>
        <v>1.0009224538363708</v>
      </c>
      <c r="BB444" s="90">
        <f t="shared" si="693"/>
        <v>1.0005071546985429</v>
      </c>
      <c r="BC444" s="90">
        <f t="shared" si="693"/>
        <v>1.0001090102415122</v>
      </c>
      <c r="BD444" s="22"/>
      <c r="BE444" s="22"/>
      <c r="BF444" s="22"/>
      <c r="BG444" s="22"/>
      <c r="BH444" s="22"/>
      <c r="BI444" s="91">
        <f>$A$40</f>
        <v>20173</v>
      </c>
      <c r="BJ444" s="105"/>
      <c r="BK444" s="90">
        <f t="shared" si="694"/>
        <v>1.0154958849447169</v>
      </c>
      <c r="BL444" s="90">
        <f t="shared" si="694"/>
        <v>1.0020056649802709</v>
      </c>
      <c r="BM444" s="90">
        <f t="shared" si="694"/>
        <v>1.0007107901208343</v>
      </c>
      <c r="BN444" s="90">
        <f t="shared" si="694"/>
        <v>1.0001959407605767</v>
      </c>
      <c r="BO444" s="90">
        <f t="shared" si="694"/>
        <v>1.0000653007917721</v>
      </c>
      <c r="BP444" s="22"/>
      <c r="BQ444" s="22"/>
      <c r="BR444" s="22"/>
      <c r="BS444" s="22"/>
      <c r="BT444" s="22"/>
      <c r="BU444" s="91">
        <f>$A$40</f>
        <v>20173</v>
      </c>
      <c r="BV444" s="105"/>
      <c r="BW444" s="90">
        <f t="shared" si="695"/>
        <v>1.3076923076923077</v>
      </c>
      <c r="BX444" s="90">
        <f t="shared" si="695"/>
        <v>1</v>
      </c>
      <c r="BY444" s="90">
        <f t="shared" si="695"/>
        <v>1</v>
      </c>
      <c r="BZ444" s="90">
        <f t="shared" si="695"/>
        <v>1</v>
      </c>
      <c r="CA444" s="90">
        <f t="shared" si="695"/>
        <v>1</v>
      </c>
      <c r="CB444" s="22"/>
      <c r="CC444" s="22"/>
      <c r="CD444" s="22"/>
      <c r="CE444" s="22"/>
      <c r="CF444" s="22"/>
      <c r="CG444" s="91">
        <f>$A$40</f>
        <v>20173</v>
      </c>
      <c r="CH444" s="105"/>
      <c r="CI444" s="90" t="str">
        <f t="shared" si="696"/>
        <v/>
      </c>
      <c r="CJ444" s="90" t="str">
        <f t="shared" si="696"/>
        <v/>
      </c>
      <c r="CK444" s="90" t="str">
        <f t="shared" si="696"/>
        <v/>
      </c>
      <c r="CL444" s="90" t="str">
        <f t="shared" si="696"/>
        <v/>
      </c>
      <c r="CM444" s="90" t="str">
        <f t="shared" si="696"/>
        <v/>
      </c>
      <c r="CN444" s="22"/>
      <c r="CO444" s="22"/>
      <c r="CP444" s="22"/>
      <c r="CQ444" s="22"/>
      <c r="CR444" s="22"/>
      <c r="CS444" s="91">
        <f>$A$40</f>
        <v>20173</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20173</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20183</v>
      </c>
      <c r="B445" s="105"/>
      <c r="C445" s="90">
        <f t="shared" si="689"/>
        <v>1.0491488347309084</v>
      </c>
      <c r="D445" s="90">
        <f t="shared" si="689"/>
        <v>1.0094962509522982</v>
      </c>
      <c r="E445" s="90">
        <f t="shared" si="689"/>
        <v>1.0024030345758941</v>
      </c>
      <c r="F445" s="90">
        <f t="shared" si="689"/>
        <v>1.0009509846653724</v>
      </c>
      <c r="G445" s="22"/>
      <c r="H445" s="22"/>
      <c r="I445" s="22"/>
      <c r="J445" s="22"/>
      <c r="K445" s="22"/>
      <c r="L445" s="22"/>
      <c r="M445" s="91">
        <f>$A$41</f>
        <v>20183</v>
      </c>
      <c r="N445" s="105"/>
      <c r="O445" s="90">
        <f t="shared" si="690"/>
        <v>1.0411180514986744</v>
      </c>
      <c r="P445" s="90">
        <f t="shared" si="690"/>
        <v>1.0079851519337018</v>
      </c>
      <c r="Q445" s="90">
        <f t="shared" si="690"/>
        <v>1.0018413051856292</v>
      </c>
      <c r="R445" s="90">
        <f t="shared" si="690"/>
        <v>1.0007266199350315</v>
      </c>
      <c r="S445" s="22"/>
      <c r="T445" s="22"/>
      <c r="U445" s="22"/>
      <c r="V445" s="22"/>
      <c r="W445" s="22"/>
      <c r="X445" s="22"/>
      <c r="Y445" s="91">
        <f>$A$41</f>
        <v>20183</v>
      </c>
      <c r="Z445" s="105"/>
      <c r="AA445" s="90">
        <f t="shared" si="691"/>
        <v>1.2079343365253079</v>
      </c>
      <c r="AB445" s="90">
        <f t="shared" si="691"/>
        <v>1.0501389889838362</v>
      </c>
      <c r="AC445" s="90">
        <f t="shared" si="691"/>
        <v>1.0120588235294117</v>
      </c>
      <c r="AD445" s="90">
        <f t="shared" si="691"/>
        <v>1.005327908553715</v>
      </c>
      <c r="AE445" s="22"/>
      <c r="AF445" s="22"/>
      <c r="AG445" s="22"/>
      <c r="AH445" s="22"/>
      <c r="AI445" s="22"/>
      <c r="AJ445" s="22"/>
      <c r="AK445" s="91">
        <f>$A$41</f>
        <v>20183</v>
      </c>
      <c r="AL445" s="105"/>
      <c r="AM445" s="90">
        <f t="shared" si="692"/>
        <v>1.0635234935245639</v>
      </c>
      <c r="AN445" s="90">
        <f t="shared" si="692"/>
        <v>1.0092084738086851</v>
      </c>
      <c r="AO445" s="90">
        <f t="shared" si="692"/>
        <v>1.0032907857997606</v>
      </c>
      <c r="AP445" s="90">
        <f t="shared" si="692"/>
        <v>1.0011430275320545</v>
      </c>
      <c r="AQ445" s="22"/>
      <c r="AR445" s="22"/>
      <c r="AS445" s="22"/>
      <c r="AT445" s="22"/>
      <c r="AU445" s="22"/>
      <c r="AV445" s="22"/>
      <c r="AW445" s="91">
        <f>$A$41</f>
        <v>20183</v>
      </c>
      <c r="AX445" s="105"/>
      <c r="AY445" s="90">
        <f t="shared" si="693"/>
        <v>1.0158386074928549</v>
      </c>
      <c r="AZ445" s="90">
        <f t="shared" si="693"/>
        <v>1.0031691393151103</v>
      </c>
      <c r="BA445" s="90">
        <f t="shared" si="693"/>
        <v>1.0011838814852332</v>
      </c>
      <c r="BB445" s="90">
        <f t="shared" si="693"/>
        <v>1.000278230956988</v>
      </c>
      <c r="BC445" s="22"/>
      <c r="BD445" s="22"/>
      <c r="BE445" s="22"/>
      <c r="BF445" s="22"/>
      <c r="BG445" s="22"/>
      <c r="BH445" s="22"/>
      <c r="BI445" s="91">
        <f>$A$41</f>
        <v>20183</v>
      </c>
      <c r="BJ445" s="105"/>
      <c r="BK445" s="90">
        <f t="shared" si="694"/>
        <v>1.0164744134031933</v>
      </c>
      <c r="BL445" s="90">
        <f t="shared" si="694"/>
        <v>1.0022105638465848</v>
      </c>
      <c r="BM445" s="90">
        <f t="shared" si="694"/>
        <v>1.0007013478075257</v>
      </c>
      <c r="BN445" s="90">
        <f t="shared" si="694"/>
        <v>1.0002031467430499</v>
      </c>
      <c r="BO445" s="22"/>
      <c r="BP445" s="22"/>
      <c r="BQ445" s="22"/>
      <c r="BR445" s="22"/>
      <c r="BS445" s="22"/>
      <c r="BT445" s="22"/>
      <c r="BU445" s="91">
        <f>$A$41</f>
        <v>20183</v>
      </c>
      <c r="BV445" s="105"/>
      <c r="BW445" s="90">
        <f t="shared" si="695"/>
        <v>1.4444444444444444</v>
      </c>
      <c r="BX445" s="90">
        <f t="shared" si="695"/>
        <v>1</v>
      </c>
      <c r="BY445" s="90">
        <f t="shared" si="695"/>
        <v>1</v>
      </c>
      <c r="BZ445" s="90">
        <f t="shared" si="695"/>
        <v>1</v>
      </c>
      <c r="CA445" s="22"/>
      <c r="CB445" s="22"/>
      <c r="CC445" s="22"/>
      <c r="CD445" s="22"/>
      <c r="CE445" s="22"/>
      <c r="CF445" s="22"/>
      <c r="CG445" s="91">
        <f>$A$41</f>
        <v>20183</v>
      </c>
      <c r="CH445" s="105"/>
      <c r="CI445" s="90" t="str">
        <f t="shared" si="696"/>
        <v/>
      </c>
      <c r="CJ445" s="90" t="str">
        <f t="shared" si="696"/>
        <v/>
      </c>
      <c r="CK445" s="90" t="str">
        <f t="shared" si="696"/>
        <v/>
      </c>
      <c r="CL445" s="90" t="str">
        <f t="shared" si="696"/>
        <v/>
      </c>
      <c r="CM445" s="22"/>
      <c r="CN445" s="22"/>
      <c r="CO445" s="22"/>
      <c r="CP445" s="22"/>
      <c r="CQ445" s="22"/>
      <c r="CR445" s="22"/>
      <c r="CS445" s="91">
        <f>$A$41</f>
        <v>20183</v>
      </c>
      <c r="CT445" s="105"/>
      <c r="CU445" s="90" t="str">
        <f t="shared" si="697"/>
        <v/>
      </c>
      <c r="CV445" s="90" t="str">
        <f t="shared" si="697"/>
        <v/>
      </c>
      <c r="CW445" s="90" t="str">
        <f t="shared" si="697"/>
        <v/>
      </c>
      <c r="CX445" s="90" t="str">
        <f t="shared" si="697"/>
        <v/>
      </c>
      <c r="CY445" s="22"/>
      <c r="CZ445" s="22"/>
      <c r="DA445" s="22"/>
      <c r="DB445" s="22"/>
      <c r="DC445" s="22"/>
      <c r="DD445" s="22"/>
      <c r="DE445" s="91">
        <f>$A$41</f>
        <v>20183</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20193</v>
      </c>
      <c r="B446" s="105"/>
      <c r="C446" s="90">
        <f t="shared" si="689"/>
        <v>1.0408257701491248</v>
      </c>
      <c r="D446" s="90">
        <f t="shared" si="689"/>
        <v>1.0079492104139991</v>
      </c>
      <c r="E446" s="90">
        <f t="shared" si="689"/>
        <v>1.002681769261984</v>
      </c>
      <c r="F446" s="22"/>
      <c r="G446" s="22"/>
      <c r="H446" s="22"/>
      <c r="I446" s="22"/>
      <c r="J446" s="22"/>
      <c r="K446" s="22"/>
      <c r="L446" s="22"/>
      <c r="M446" s="91">
        <f>$A$42</f>
        <v>20193</v>
      </c>
      <c r="N446" s="105"/>
      <c r="O446" s="90">
        <f t="shared" si="690"/>
        <v>1.0413267030367401</v>
      </c>
      <c r="P446" s="90">
        <f t="shared" si="690"/>
        <v>1.0076035050303676</v>
      </c>
      <c r="Q446" s="90">
        <f t="shared" si="690"/>
        <v>1.0023926747342751</v>
      </c>
      <c r="R446" s="22"/>
      <c r="S446" s="22"/>
      <c r="T446" s="22"/>
      <c r="U446" s="22"/>
      <c r="V446" s="22"/>
      <c r="W446" s="22"/>
      <c r="X446" s="22"/>
      <c r="Y446" s="91">
        <f>$A$42</f>
        <v>20193</v>
      </c>
      <c r="Z446" s="105"/>
      <c r="AA446" s="90">
        <f t="shared" si="691"/>
        <v>1.2482229172590276</v>
      </c>
      <c r="AB446" s="90">
        <f t="shared" si="691"/>
        <v>1.0518223234624147</v>
      </c>
      <c r="AC446" s="90">
        <f t="shared" si="691"/>
        <v>1.014943151055766</v>
      </c>
      <c r="AD446" s="22"/>
      <c r="AE446" s="22"/>
      <c r="AF446" s="22"/>
      <c r="AG446" s="22"/>
      <c r="AH446" s="22"/>
      <c r="AI446" s="22"/>
      <c r="AJ446" s="22"/>
      <c r="AK446" s="91">
        <f>$A$42</f>
        <v>20193</v>
      </c>
      <c r="AL446" s="105"/>
      <c r="AM446" s="90">
        <f t="shared" si="692"/>
        <v>1.0256517173214728</v>
      </c>
      <c r="AN446" s="90">
        <f t="shared" si="692"/>
        <v>1.0034481200969689</v>
      </c>
      <c r="AO446" s="90">
        <f t="shared" si="692"/>
        <v>1.0009603553314725</v>
      </c>
      <c r="AP446" s="22"/>
      <c r="AQ446" s="22"/>
      <c r="AR446" s="22"/>
      <c r="AS446" s="22"/>
      <c r="AT446" s="22"/>
      <c r="AU446" s="22"/>
      <c r="AV446" s="22"/>
      <c r="AW446" s="91">
        <f>$A$42</f>
        <v>20193</v>
      </c>
      <c r="AX446" s="105"/>
      <c r="AY446" s="90">
        <f t="shared" si="693"/>
        <v>1.017833585434754</v>
      </c>
      <c r="AZ446" s="90">
        <f t="shared" si="693"/>
        <v>1.0036168696773318</v>
      </c>
      <c r="BA446" s="90">
        <f t="shared" si="693"/>
        <v>1.0009533597479343</v>
      </c>
      <c r="BB446" s="22"/>
      <c r="BC446" s="22"/>
      <c r="BD446" s="22"/>
      <c r="BE446" s="22"/>
      <c r="BF446" s="22"/>
      <c r="BG446" s="22"/>
      <c r="BH446" s="22"/>
      <c r="BI446" s="91">
        <f>$A$42</f>
        <v>20193</v>
      </c>
      <c r="BJ446" s="105"/>
      <c r="BK446" s="90">
        <f t="shared" si="694"/>
        <v>1.0182071549321514</v>
      </c>
      <c r="BL446" s="90">
        <f t="shared" si="694"/>
        <v>1.0027708599762177</v>
      </c>
      <c r="BM446" s="90">
        <f t="shared" si="694"/>
        <v>1.0008725905872087</v>
      </c>
      <c r="BN446" s="22"/>
      <c r="BO446" s="22"/>
      <c r="BP446" s="22"/>
      <c r="BQ446" s="22"/>
      <c r="BR446" s="22"/>
      <c r="BS446" s="22"/>
      <c r="BT446" s="22"/>
      <c r="BU446" s="91">
        <f>$A$42</f>
        <v>20193</v>
      </c>
      <c r="BV446" s="105"/>
      <c r="BW446" s="90">
        <f t="shared" si="695"/>
        <v>1.0714285714285714</v>
      </c>
      <c r="BX446" s="90">
        <f t="shared" si="695"/>
        <v>1.0666666666666667</v>
      </c>
      <c r="BY446" s="90">
        <f t="shared" si="695"/>
        <v>1</v>
      </c>
      <c r="BZ446" s="22"/>
      <c r="CA446" s="22"/>
      <c r="CB446" s="22"/>
      <c r="CC446" s="22"/>
      <c r="CD446" s="22"/>
      <c r="CE446" s="22"/>
      <c r="CF446" s="22"/>
      <c r="CG446" s="91">
        <f>$A$42</f>
        <v>20193</v>
      </c>
      <c r="CH446" s="105"/>
      <c r="CI446" s="90" t="str">
        <f t="shared" si="696"/>
        <v/>
      </c>
      <c r="CJ446" s="90" t="str">
        <f t="shared" si="696"/>
        <v/>
      </c>
      <c r="CK446" s="90" t="str">
        <f t="shared" si="696"/>
        <v/>
      </c>
      <c r="CL446" s="22"/>
      <c r="CM446" s="22"/>
      <c r="CN446" s="22"/>
      <c r="CO446" s="22"/>
      <c r="CP446" s="22"/>
      <c r="CQ446" s="22"/>
      <c r="CR446" s="22"/>
      <c r="CS446" s="91">
        <f>$A$42</f>
        <v>20193</v>
      </c>
      <c r="CT446" s="105"/>
      <c r="CU446" s="90" t="str">
        <f t="shared" si="697"/>
        <v/>
      </c>
      <c r="CV446" s="90" t="str">
        <f t="shared" si="697"/>
        <v/>
      </c>
      <c r="CW446" s="90" t="str">
        <f t="shared" si="697"/>
        <v/>
      </c>
      <c r="CX446" s="22"/>
      <c r="CY446" s="22"/>
      <c r="CZ446" s="22"/>
      <c r="DA446" s="22"/>
      <c r="DB446" s="22"/>
      <c r="DC446" s="22"/>
      <c r="DD446" s="22"/>
      <c r="DE446" s="91">
        <f>$A$42</f>
        <v>20193</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20203</v>
      </c>
      <c r="B447" s="105"/>
      <c r="C447" s="90">
        <f t="shared" si="689"/>
        <v>1.0291861051057396</v>
      </c>
      <c r="D447" s="90">
        <f t="shared" si="689"/>
        <v>1.0078654968451144</v>
      </c>
      <c r="E447" s="22"/>
      <c r="F447" s="22"/>
      <c r="G447" s="22"/>
      <c r="H447" s="22"/>
      <c r="I447" s="22"/>
      <c r="J447" s="22"/>
      <c r="K447" s="22"/>
      <c r="L447" s="22"/>
      <c r="M447" s="91">
        <f>$A$43</f>
        <v>20203</v>
      </c>
      <c r="N447" s="105"/>
      <c r="O447" s="90">
        <f t="shared" si="690"/>
        <v>1.0296946614163063</v>
      </c>
      <c r="P447" s="90">
        <f t="shared" si="690"/>
        <v>1.0073976553194157</v>
      </c>
      <c r="Q447" s="22"/>
      <c r="R447" s="22"/>
      <c r="S447" s="22"/>
      <c r="T447" s="22"/>
      <c r="U447" s="22"/>
      <c r="V447" s="22"/>
      <c r="W447" s="22"/>
      <c r="X447" s="22"/>
      <c r="Y447" s="91">
        <f>$A$43</f>
        <v>20203</v>
      </c>
      <c r="Z447" s="105"/>
      <c r="AA447" s="90">
        <f t="shared" si="691"/>
        <v>1.2185462842242503</v>
      </c>
      <c r="AB447" s="90">
        <f t="shared" si="691"/>
        <v>1.0536311354821453</v>
      </c>
      <c r="AC447" s="22"/>
      <c r="AD447" s="22"/>
      <c r="AE447" s="22"/>
      <c r="AF447" s="22"/>
      <c r="AG447" s="22"/>
      <c r="AH447" s="22"/>
      <c r="AI447" s="22"/>
      <c r="AJ447" s="22"/>
      <c r="AK447" s="91">
        <f>$A$43</f>
        <v>20203</v>
      </c>
      <c r="AL447" s="105"/>
      <c r="AM447" s="90">
        <f t="shared" si="692"/>
        <v>1.0221536397182154</v>
      </c>
      <c r="AN447" s="90">
        <f t="shared" si="692"/>
        <v>1.0027567737870196</v>
      </c>
      <c r="AO447" s="22"/>
      <c r="AP447" s="22"/>
      <c r="AQ447" s="22"/>
      <c r="AR447" s="22"/>
      <c r="AS447" s="22"/>
      <c r="AT447" s="22"/>
      <c r="AU447" s="22"/>
      <c r="AV447" s="22"/>
      <c r="AW447" s="91">
        <f>$A$43</f>
        <v>20203</v>
      </c>
      <c r="AX447" s="105"/>
      <c r="AY447" s="90">
        <f t="shared" si="693"/>
        <v>1.0176276270575058</v>
      </c>
      <c r="AZ447" s="90">
        <f t="shared" si="693"/>
        <v>1.003609973601485</v>
      </c>
      <c r="BA447" s="22"/>
      <c r="BB447" s="22"/>
      <c r="BC447" s="22"/>
      <c r="BD447" s="22"/>
      <c r="BE447" s="22"/>
      <c r="BF447" s="22"/>
      <c r="BG447" s="22"/>
      <c r="BH447" s="22"/>
      <c r="BI447" s="91">
        <f>$A$43</f>
        <v>20203</v>
      </c>
      <c r="BJ447" s="105"/>
      <c r="BK447" s="90">
        <f t="shared" si="694"/>
        <v>1.0180860707040187</v>
      </c>
      <c r="BL447" s="90">
        <f t="shared" si="694"/>
        <v>1.0035897001045817</v>
      </c>
      <c r="BM447" s="22"/>
      <c r="BN447" s="22"/>
      <c r="BO447" s="22"/>
      <c r="BP447" s="22"/>
      <c r="BQ447" s="22"/>
      <c r="BR447" s="22"/>
      <c r="BS447" s="22"/>
      <c r="BT447" s="22"/>
      <c r="BU447" s="91">
        <f>$A$43</f>
        <v>20203</v>
      </c>
      <c r="BV447" s="105"/>
      <c r="BW447" s="90">
        <f t="shared" si="695"/>
        <v>1.5714285714285714</v>
      </c>
      <c r="BX447" s="90">
        <f t="shared" si="695"/>
        <v>1</v>
      </c>
      <c r="BY447" s="22"/>
      <c r="BZ447" s="22"/>
      <c r="CA447" s="22"/>
      <c r="CB447" s="22"/>
      <c r="CC447" s="22"/>
      <c r="CD447" s="22"/>
      <c r="CE447" s="22"/>
      <c r="CF447" s="22"/>
      <c r="CG447" s="91">
        <f>$A$43</f>
        <v>20203</v>
      </c>
      <c r="CH447" s="105"/>
      <c r="CI447" s="90" t="str">
        <f t="shared" si="696"/>
        <v/>
      </c>
      <c r="CJ447" s="90" t="str">
        <f t="shared" si="696"/>
        <v/>
      </c>
      <c r="CK447" s="22"/>
      <c r="CL447" s="22"/>
      <c r="CM447" s="22"/>
      <c r="CN447" s="22"/>
      <c r="CO447" s="22"/>
      <c r="CP447" s="22"/>
      <c r="CQ447" s="22"/>
      <c r="CR447" s="22"/>
      <c r="CS447" s="91">
        <f>$A$43</f>
        <v>20203</v>
      </c>
      <c r="CT447" s="105"/>
      <c r="CU447" s="90" t="str">
        <f t="shared" si="697"/>
        <v/>
      </c>
      <c r="CV447" s="90" t="str">
        <f t="shared" si="697"/>
        <v/>
      </c>
      <c r="CW447" s="22"/>
      <c r="CX447" s="22"/>
      <c r="CY447" s="22"/>
      <c r="CZ447" s="22"/>
      <c r="DA447" s="22"/>
      <c r="DB447" s="22"/>
      <c r="DC447" s="22"/>
      <c r="DD447" s="22"/>
      <c r="DE447" s="91">
        <f>$A$43</f>
        <v>20203</v>
      </c>
      <c r="DF447" s="105"/>
      <c r="DG447" s="90" t="str">
        <f t="shared" si="698"/>
        <v/>
      </c>
      <c r="DH447" s="90" t="str">
        <f t="shared" si="698"/>
        <v/>
      </c>
      <c r="DI447" s="22"/>
      <c r="DJ447" s="22"/>
      <c r="DK447" s="22"/>
      <c r="DL447" s="22"/>
      <c r="DM447" s="22"/>
      <c r="DN447" s="22"/>
      <c r="DO447" s="22"/>
      <c r="DP447" s="22"/>
    </row>
    <row r="448" spans="1:120" x14ac:dyDescent="0.25">
      <c r="A448" s="91">
        <f>$A$44</f>
        <v>20213</v>
      </c>
      <c r="B448" s="105"/>
      <c r="C448" s="90">
        <f t="shared" si="689"/>
        <v>1.045434523189787</v>
      </c>
      <c r="D448" s="22"/>
      <c r="E448" s="22"/>
      <c r="F448" s="22"/>
      <c r="G448" s="22"/>
      <c r="H448" s="22"/>
      <c r="I448" s="22"/>
      <c r="J448" s="22"/>
      <c r="K448" s="22"/>
      <c r="L448" s="22"/>
      <c r="M448" s="91">
        <f>$A$44</f>
        <v>20213</v>
      </c>
      <c r="N448" s="105"/>
      <c r="O448" s="90">
        <f t="shared" si="690"/>
        <v>1.03075314958464</v>
      </c>
      <c r="P448" s="22"/>
      <c r="Q448" s="22"/>
      <c r="R448" s="22"/>
      <c r="S448" s="22"/>
      <c r="T448" s="22"/>
      <c r="U448" s="22"/>
      <c r="V448" s="22"/>
      <c r="W448" s="22"/>
      <c r="X448" s="22"/>
      <c r="Y448" s="91">
        <f>$A$44</f>
        <v>20213</v>
      </c>
      <c r="Z448" s="105"/>
      <c r="AA448" s="90">
        <f t="shared" si="691"/>
        <v>1.3132435817157169</v>
      </c>
      <c r="AB448" s="22"/>
      <c r="AC448" s="22"/>
      <c r="AD448" s="22"/>
      <c r="AE448" s="22"/>
      <c r="AF448" s="22"/>
      <c r="AG448" s="22"/>
      <c r="AH448" s="22"/>
      <c r="AI448" s="22"/>
      <c r="AJ448" s="22"/>
      <c r="AK448" s="91">
        <f>$A$44</f>
        <v>20213</v>
      </c>
      <c r="AL448" s="105"/>
      <c r="AM448" s="90">
        <f t="shared" si="692"/>
        <v>1.0207557211282596</v>
      </c>
      <c r="AN448" s="22"/>
      <c r="AO448" s="22"/>
      <c r="AP448" s="22"/>
      <c r="AQ448" s="22"/>
      <c r="AR448" s="22"/>
      <c r="AS448" s="22"/>
      <c r="AT448" s="22"/>
      <c r="AU448" s="22"/>
      <c r="AV448" s="22"/>
      <c r="AW448" s="91">
        <f>$A$44</f>
        <v>20213</v>
      </c>
      <c r="AX448" s="105"/>
      <c r="AY448" s="90">
        <f t="shared" si="693"/>
        <v>1.0272326298316339</v>
      </c>
      <c r="AZ448" s="22"/>
      <c r="BA448" s="22"/>
      <c r="BB448" s="22"/>
      <c r="BC448" s="22"/>
      <c r="BD448" s="22"/>
      <c r="BE448" s="22"/>
      <c r="BF448" s="22"/>
      <c r="BG448" s="22"/>
      <c r="BH448" s="22"/>
      <c r="BI448" s="91">
        <f>$A$44</f>
        <v>20213</v>
      </c>
      <c r="BJ448" s="105"/>
      <c r="BK448" s="90">
        <f t="shared" si="694"/>
        <v>1.023361567098918</v>
      </c>
      <c r="BL448" s="22"/>
      <c r="BM448" s="22"/>
      <c r="BN448" s="22"/>
      <c r="BO448" s="22"/>
      <c r="BP448" s="22"/>
      <c r="BQ448" s="22"/>
      <c r="BR448" s="22"/>
      <c r="BS448" s="22"/>
      <c r="BT448" s="22"/>
      <c r="BU448" s="91">
        <f>$A$44</f>
        <v>20213</v>
      </c>
      <c r="BV448" s="105"/>
      <c r="BW448" s="90">
        <f t="shared" si="695"/>
        <v>1.5</v>
      </c>
      <c r="BX448" s="22"/>
      <c r="BY448" s="22"/>
      <c r="BZ448" s="22"/>
      <c r="CA448" s="22"/>
      <c r="CB448" s="22"/>
      <c r="CC448" s="22"/>
      <c r="CD448" s="22"/>
      <c r="CE448" s="22"/>
      <c r="CF448" s="22"/>
      <c r="CG448" s="91">
        <f>$A$44</f>
        <v>20213</v>
      </c>
      <c r="CH448" s="105"/>
      <c r="CI448" s="90" t="str">
        <f t="shared" si="696"/>
        <v/>
      </c>
      <c r="CJ448" s="22"/>
      <c r="CK448" s="22"/>
      <c r="CL448" s="22"/>
      <c r="CM448" s="22"/>
      <c r="CN448" s="22"/>
      <c r="CO448" s="22"/>
      <c r="CP448" s="22"/>
      <c r="CQ448" s="22"/>
      <c r="CR448" s="22"/>
      <c r="CS448" s="91">
        <f>$A$44</f>
        <v>20213</v>
      </c>
      <c r="CT448" s="105"/>
      <c r="CU448" s="90" t="str">
        <f t="shared" si="697"/>
        <v/>
      </c>
      <c r="CV448" s="22"/>
      <c r="CW448" s="22"/>
      <c r="CX448" s="22"/>
      <c r="CY448" s="22"/>
      <c r="CZ448" s="22"/>
      <c r="DA448" s="22"/>
      <c r="DB448" s="22"/>
      <c r="DC448" s="22"/>
      <c r="DD448" s="22"/>
      <c r="DE448" s="91">
        <f>$A$44</f>
        <v>20213</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1.0387362248706029</v>
      </c>
      <c r="D450" s="93">
        <f>IFERROR(SUM(E432:E434)/SUM(D432:D434),1)</f>
        <v>1.00844564604248</v>
      </c>
      <c r="E450" s="93">
        <f>IFERROR(SUM(F431:F433)/SUM(E431:E433),1)</f>
        <v>1.0024900698963066</v>
      </c>
      <c r="F450" s="93">
        <f>IFERROR(SUM(G430:G432)/SUM(F430:F432),1)</f>
        <v>1.0008896622714574</v>
      </c>
      <c r="G450" s="93">
        <f>IFERROR(SUM(H429:H431)/SUM(G429:G431),1)</f>
        <v>1.0004020844906489</v>
      </c>
      <c r="H450" s="93">
        <f>IFERROR(SUM(I428:I430)/SUM(H428:H430),1)</f>
        <v>1.0001741476440311</v>
      </c>
      <c r="I450" s="93">
        <f>IFERROR(SUM(J427:J429)/SUM(I427:I429),1)</f>
        <v>1.0000626607546741</v>
      </c>
      <c r="J450" s="93">
        <f>IFERROR(SUM(K427:K428)/SUM(J427:J428),1)</f>
        <v>1.0000280529827335</v>
      </c>
      <c r="K450" s="93">
        <f>IFERROR(SUM(L427:L427)/SUM(K427:K427),1)</f>
        <v>1</v>
      </c>
      <c r="L450" s="93">
        <v>1</v>
      </c>
      <c r="M450" s="285" t="s">
        <v>37</v>
      </c>
      <c r="N450" s="107"/>
      <c r="O450" s="93">
        <f>IFERROR(SUM(P433:P435)/SUM(O433:O435),1)</f>
        <v>1.0344789540464501</v>
      </c>
      <c r="P450" s="93">
        <f>IFERROR(SUM(Q432:Q434)/SUM(P432:P434),1)</f>
        <v>1.0076950962298972</v>
      </c>
      <c r="Q450" s="93">
        <f>IFERROR(SUM(R431:R433)/SUM(Q431:Q433),1)</f>
        <v>1.0021114864864864</v>
      </c>
      <c r="R450" s="93">
        <f>IFERROR(SUM(S430:S432)/SUM(R430:R432),1)</f>
        <v>1.0007622542053176</v>
      </c>
      <c r="S450" s="93">
        <f>IFERROR(SUM(T429:T431)/SUM(S429:S431),1)</f>
        <v>1.0002777542961343</v>
      </c>
      <c r="T450" s="93">
        <f>IFERROR(SUM(U428:U430)/SUM(T428:T430),1)</f>
        <v>1.000048243339404</v>
      </c>
      <c r="U450" s="93">
        <f>IFERROR(SUM(V427:V429)/SUM(U427:U429),1)</f>
        <v>1.0000366421164486</v>
      </c>
      <c r="V450" s="93">
        <f>IFERROR(SUM(W427:W428)/SUM(V427:V428),1)</f>
        <v>1.000112983711515</v>
      </c>
      <c r="W450" s="93">
        <f>IFERROR(SUM(X427:X427)/SUM(W427:W427),1)</f>
        <v>1</v>
      </c>
      <c r="X450" s="93">
        <v>1</v>
      </c>
      <c r="Y450" s="285" t="s">
        <v>37</v>
      </c>
      <c r="Z450" s="107"/>
      <c r="AA450" s="93">
        <f>IFERROR(SUM(AB433:AB435)/SUM(AA433:AA435),1)</f>
        <v>1.2601492995193782</v>
      </c>
      <c r="AB450" s="93">
        <f>IFERROR(SUM(AC432:AC434)/SUM(AB432:AB434),1)</f>
        <v>1.0517135155949171</v>
      </c>
      <c r="AC450" s="93">
        <f>IFERROR(SUM(AD431:AD433)/SUM(AC431:AC433),1)</f>
        <v>1.0130260863619269</v>
      </c>
      <c r="AD450" s="93">
        <f>IFERROR(SUM(AE430:AE432)/SUM(AD430:AD432),1)</f>
        <v>1.0057971963841217</v>
      </c>
      <c r="AE450" s="93">
        <f>IFERROR(SUM(AF429:AF431)/SUM(AE429:AE431),1)</f>
        <v>1.0025755494505495</v>
      </c>
      <c r="AF450" s="93">
        <f>IFERROR(SUM(AG428:AG430)/SUM(AF428:AF430),1)</f>
        <v>1.0009249267766303</v>
      </c>
      <c r="AG450" s="93">
        <f>IFERROR(SUM(AH427:AH429)/SUM(AG427:AG429),1)</f>
        <v>1.000999048525214</v>
      </c>
      <c r="AH450" s="93">
        <f>IFERROR(SUM(AI427:AI428)/SUM(AH427:AH428),1)</f>
        <v>1.0005726908287655</v>
      </c>
      <c r="AI450" s="93">
        <f>IFERROR(SUM(AJ427:AJ427)/SUM(AI427:AI427),1)</f>
        <v>1.0005531993361607</v>
      </c>
      <c r="AJ450" s="93">
        <v>1</v>
      </c>
      <c r="AK450" s="285" t="s">
        <v>37</v>
      </c>
      <c r="AL450" s="107"/>
      <c r="AM450" s="93">
        <f>IFERROR(SUM(AN433:AN435)/SUM(AM433:AM435),1)</f>
        <v>1.0226218482927283</v>
      </c>
      <c r="AN450" s="93">
        <f>IFERROR(SUM(AO432:AO434)/SUM(AN432:AN434),1)</f>
        <v>1.0038285876081792</v>
      </c>
      <c r="AO450" s="93">
        <f>IFERROR(SUM(AP431:AP433)/SUM(AO431:AO433),1)</f>
        <v>1.0017982017982019</v>
      </c>
      <c r="AP450" s="93">
        <f>IFERROR(SUM(AQ430:AQ432)/SUM(AP430:AP432),1)</f>
        <v>1.0012061768953642</v>
      </c>
      <c r="AQ450" s="93">
        <f>IFERROR(SUM(AR429:AR431)/SUM(AQ429:AQ431),1)</f>
        <v>1.0006051981615061</v>
      </c>
      <c r="AR450" s="93">
        <f>IFERROR(SUM(AS428:AS430)/SUM(AR428:AR430),1)</f>
        <v>1.000251509054326</v>
      </c>
      <c r="AS450" s="93">
        <f>IFERROR(SUM(AT427:AT429)/SUM(AS427:AS429),1)</f>
        <v>1.0000550964187327</v>
      </c>
      <c r="AT450" s="93">
        <f>IFERROR(SUM(AU427:AU428)/SUM(AT427:AT428),1)</f>
        <v>1.0000551845924617</v>
      </c>
      <c r="AU450" s="93">
        <f>IFERROR(SUM(AV427:AV427)/SUM(AU427:AU427),1)</f>
        <v>1.0000548787180332</v>
      </c>
      <c r="AV450" s="93">
        <v>1</v>
      </c>
      <c r="AW450" s="285" t="s">
        <v>37</v>
      </c>
      <c r="AX450" s="107"/>
      <c r="AY450" s="93">
        <f>IFERROR(SUM(AZ433:AZ435)/SUM(AY433:AY435),1)</f>
        <v>1.0205594649476593</v>
      </c>
      <c r="AZ450" s="93">
        <f>IFERROR(SUM(BA432:BA434)/SUM(AZ432:AZ434),1)</f>
        <v>1.0034439741374288</v>
      </c>
      <c r="BA450" s="93">
        <f>IFERROR(SUM(BB431:BB433)/SUM(BA431:BA433),1)</f>
        <v>1.0010162352267615</v>
      </c>
      <c r="BB450" s="93">
        <f>IFERROR(SUM(BC430:BC432)/SUM(BB430:BB432),1)</f>
        <v>1.0003465537891467</v>
      </c>
      <c r="BC450" s="93">
        <f>IFERROR(SUM(BD429:BD431)/SUM(BC429:BC431),1)</f>
        <v>1.0001357092504704</v>
      </c>
      <c r="BD450" s="93">
        <f>IFERROR(SUM(BE428:BE430)/SUM(BD428:BD430),1)</f>
        <v>1.000049557157243</v>
      </c>
      <c r="BE450" s="93">
        <f>IFERROR(SUM(BF427:BF429)/SUM(BE427:BE429),1)</f>
        <v>1.0000190012920878</v>
      </c>
      <c r="BF450" s="93">
        <f>IFERROR(SUM(BG427:BG428)/SUM(BF427:BF428),1)</f>
        <v>1.0000096695901062</v>
      </c>
      <c r="BG450" s="93">
        <f>IFERROR(SUM(BH427:BH427)/SUM(BG427:BG427),1)</f>
        <v>1.0000130803591867</v>
      </c>
      <c r="BH450" s="93">
        <v>1</v>
      </c>
      <c r="BI450" s="285" t="s">
        <v>37</v>
      </c>
      <c r="BJ450" s="107"/>
      <c r="BK450" s="93">
        <f>IFERROR(SUM(BL433:BL435)/SUM(BK433:BK435),1)</f>
        <v>1.0199118496805077</v>
      </c>
      <c r="BL450" s="93">
        <f>IFERROR(SUM(BM432:BM434)/SUM(BL432:BL434),1)</f>
        <v>1.002782244783291</v>
      </c>
      <c r="BM450" s="93">
        <f>IFERROR(SUM(BN431:BN433)/SUM(BM431:BM433),1)</f>
        <v>1.0007544249927458</v>
      </c>
      <c r="BN450" s="93">
        <f>IFERROR(SUM(BO430:BO432)/SUM(BN430:BN432),1)</f>
        <v>1.0001979576427205</v>
      </c>
      <c r="BO450" s="93">
        <f>IFERROR(SUM(BP429:BP431)/SUM(BO429:BO431),1)</f>
        <v>1.0000498040603416</v>
      </c>
      <c r="BP450" s="93">
        <f>IFERROR(SUM(BQ428:BQ430)/SUM(BP428:BP430),1)</f>
        <v>1.000023665464987</v>
      </c>
      <c r="BQ450" s="93">
        <f>IFERROR(SUM(BR427:BR429)/SUM(BQ427:BQ429),1)</f>
        <v>1.0000133120695209</v>
      </c>
      <c r="BR450" s="93">
        <f>IFERROR(SUM(BS427:BS428)/SUM(BR427:BR428),1)</f>
        <v>1</v>
      </c>
      <c r="BS450" s="93">
        <f>IFERROR(SUM(BT427:BT427)/SUM(BS427:BS427),1)</f>
        <v>1.0000078127441483</v>
      </c>
      <c r="BT450" s="93">
        <v>1</v>
      </c>
      <c r="BU450" s="285" t="s">
        <v>37</v>
      </c>
      <c r="BV450" s="107"/>
      <c r="BW450" s="93">
        <f>IFERROR(SUM(BX433:BX435)/SUM(BW433:BW435),1)</f>
        <v>1.2962962962962963</v>
      </c>
      <c r="BX450" s="93">
        <f>IFERROR(SUM(BY432:BY434)/SUM(BX432:BX434),1)</f>
        <v>1.0256410256410255</v>
      </c>
      <c r="BY450" s="93">
        <f>IFERROR(SUM(BZ431:BZ433)/SUM(BY431:BY433),1)</f>
        <v>1</v>
      </c>
      <c r="BZ450" s="93">
        <f>IFERROR(SUM(CA430:CA432)/SUM(BZ430:BZ432),1)</f>
        <v>1</v>
      </c>
      <c r="CA450" s="93">
        <f>IFERROR(SUM(CB429:CB431)/SUM(CA429:CA431),1)</f>
        <v>1</v>
      </c>
      <c r="CB450" s="93">
        <f>IFERROR(SUM(CC428:CC430)/SUM(CB428:CB430),1)</f>
        <v>1</v>
      </c>
      <c r="CC450" s="93">
        <f>IFERROR(SUM(CD427:CD429)/SUM(CC427:CC429),1)</f>
        <v>1</v>
      </c>
      <c r="CD450" s="93">
        <f>IFERROR(SUM(CE427:CE428)/SUM(CD427:CD428),1)</f>
        <v>1</v>
      </c>
      <c r="CE450" s="93">
        <f>IFERROR(SUM(CF427:CF427)/SUM(CE427:CE427),1)</f>
        <v>1</v>
      </c>
      <c r="CF450" s="93">
        <v>1</v>
      </c>
      <c r="CG450" s="285" t="s">
        <v>37</v>
      </c>
      <c r="CH450" s="107"/>
      <c r="CI450" s="93">
        <f>IFERROR(SUM(CJ433:CJ435)/SUM(CI433:CI435),1)</f>
        <v>1</v>
      </c>
      <c r="CJ450" s="93">
        <f>IFERROR(SUM(CK432:CK434)/SUM(CJ432:CJ434),1)</f>
        <v>1</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5"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5"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1.0387362248706029</v>
      </c>
      <c r="D451" s="93">
        <f t="shared" ref="D451:K451" si="699">IF(D450=0,1,D450)</f>
        <v>1.00844564604248</v>
      </c>
      <c r="E451" s="93">
        <f t="shared" si="699"/>
        <v>1.0024900698963066</v>
      </c>
      <c r="F451" s="93">
        <f t="shared" si="699"/>
        <v>1.0008896622714574</v>
      </c>
      <c r="G451" s="93">
        <f t="shared" si="699"/>
        <v>1.0004020844906489</v>
      </c>
      <c r="H451" s="93">
        <f t="shared" si="699"/>
        <v>1.0001741476440311</v>
      </c>
      <c r="I451" s="93">
        <f t="shared" si="699"/>
        <v>1.0000626607546741</v>
      </c>
      <c r="J451" s="93">
        <f t="shared" si="699"/>
        <v>1.0000280529827335</v>
      </c>
      <c r="K451" s="93">
        <f t="shared" si="699"/>
        <v>1</v>
      </c>
      <c r="L451" s="93">
        <f>IF(L450=0,1,L450)</f>
        <v>1</v>
      </c>
      <c r="M451" s="285" t="s">
        <v>40</v>
      </c>
      <c r="N451" s="107"/>
      <c r="O451" s="93">
        <f>IF(O450=0,1,O450)</f>
        <v>1.0344789540464501</v>
      </c>
      <c r="P451" s="93">
        <f t="shared" ref="P451:W451" si="700">IF(P450=0,1,P450)</f>
        <v>1.0076950962298972</v>
      </c>
      <c r="Q451" s="93">
        <f t="shared" si="700"/>
        <v>1.0021114864864864</v>
      </c>
      <c r="R451" s="93">
        <f t="shared" si="700"/>
        <v>1.0007622542053176</v>
      </c>
      <c r="S451" s="93">
        <f t="shared" si="700"/>
        <v>1.0002777542961343</v>
      </c>
      <c r="T451" s="93">
        <f t="shared" si="700"/>
        <v>1.000048243339404</v>
      </c>
      <c r="U451" s="93">
        <f t="shared" si="700"/>
        <v>1.0000366421164486</v>
      </c>
      <c r="V451" s="93">
        <f t="shared" si="700"/>
        <v>1.000112983711515</v>
      </c>
      <c r="W451" s="93">
        <f t="shared" si="700"/>
        <v>1</v>
      </c>
      <c r="X451" s="93">
        <f>IF(X450=0,1,X450)</f>
        <v>1</v>
      </c>
      <c r="Y451" s="285" t="s">
        <v>40</v>
      </c>
      <c r="Z451" s="107"/>
      <c r="AA451" s="93">
        <f>IF(AA450=0,1,AA450)</f>
        <v>1.2601492995193782</v>
      </c>
      <c r="AB451" s="93">
        <f t="shared" ref="AB451:AI451" si="701">IF(AB450=0,1,AB450)</f>
        <v>1.0517135155949171</v>
      </c>
      <c r="AC451" s="93">
        <f t="shared" si="701"/>
        <v>1.0130260863619269</v>
      </c>
      <c r="AD451" s="93">
        <f t="shared" si="701"/>
        <v>1.0057971963841217</v>
      </c>
      <c r="AE451" s="93">
        <f t="shared" si="701"/>
        <v>1.0025755494505495</v>
      </c>
      <c r="AF451" s="93">
        <f t="shared" si="701"/>
        <v>1.0009249267766303</v>
      </c>
      <c r="AG451" s="93">
        <f t="shared" si="701"/>
        <v>1.000999048525214</v>
      </c>
      <c r="AH451" s="93">
        <f t="shared" si="701"/>
        <v>1.0005726908287655</v>
      </c>
      <c r="AI451" s="93">
        <f t="shared" si="701"/>
        <v>1.0005531993361607</v>
      </c>
      <c r="AJ451" s="93">
        <f>IF(AJ450=0,1,AJ450)</f>
        <v>1</v>
      </c>
      <c r="AK451" s="285" t="s">
        <v>40</v>
      </c>
      <c r="AL451" s="107"/>
      <c r="AM451" s="93">
        <f>IF(AM450=0,1,AM450)</f>
        <v>1.0226218482927283</v>
      </c>
      <c r="AN451" s="93">
        <f t="shared" ref="AN451:AU451" si="702">IF(AN450=0,1,AN450)</f>
        <v>1.0038285876081792</v>
      </c>
      <c r="AO451" s="93">
        <f t="shared" si="702"/>
        <v>1.0017982017982019</v>
      </c>
      <c r="AP451" s="93">
        <f t="shared" si="702"/>
        <v>1.0012061768953642</v>
      </c>
      <c r="AQ451" s="93">
        <f t="shared" si="702"/>
        <v>1.0006051981615061</v>
      </c>
      <c r="AR451" s="93">
        <f t="shared" si="702"/>
        <v>1.000251509054326</v>
      </c>
      <c r="AS451" s="93">
        <f t="shared" si="702"/>
        <v>1.0000550964187327</v>
      </c>
      <c r="AT451" s="93">
        <f t="shared" si="702"/>
        <v>1.0000551845924617</v>
      </c>
      <c r="AU451" s="93">
        <f t="shared" si="702"/>
        <v>1.0000548787180332</v>
      </c>
      <c r="AV451" s="93">
        <f>IF(AV450=0,1,AV450)</f>
        <v>1</v>
      </c>
      <c r="AW451" s="285" t="s">
        <v>40</v>
      </c>
      <c r="AX451" s="107"/>
      <c r="AY451" s="93">
        <f>IF(AY450=0,1,AY450)</f>
        <v>1.0205594649476593</v>
      </c>
      <c r="AZ451" s="93">
        <f t="shared" ref="AZ451:BG451" si="703">IF(AZ450=0,1,AZ450)</f>
        <v>1.0034439741374288</v>
      </c>
      <c r="BA451" s="93">
        <f t="shared" si="703"/>
        <v>1.0010162352267615</v>
      </c>
      <c r="BB451" s="93">
        <f t="shared" si="703"/>
        <v>1.0003465537891467</v>
      </c>
      <c r="BC451" s="93">
        <f t="shared" si="703"/>
        <v>1.0001357092504704</v>
      </c>
      <c r="BD451" s="93">
        <f t="shared" si="703"/>
        <v>1.000049557157243</v>
      </c>
      <c r="BE451" s="93">
        <f t="shared" si="703"/>
        <v>1.0000190012920878</v>
      </c>
      <c r="BF451" s="93">
        <f t="shared" si="703"/>
        <v>1.0000096695901062</v>
      </c>
      <c r="BG451" s="93">
        <f t="shared" si="703"/>
        <v>1.0000130803591867</v>
      </c>
      <c r="BH451" s="93">
        <f>IF(BH450=0,1,BH450)</f>
        <v>1</v>
      </c>
      <c r="BI451" s="285" t="s">
        <v>40</v>
      </c>
      <c r="BJ451" s="107"/>
      <c r="BK451" s="93">
        <f>IF(BK450=0,1,BK450)</f>
        <v>1.0199118496805077</v>
      </c>
      <c r="BL451" s="93">
        <f t="shared" ref="BL451:BS451" si="704">IF(BL450=0,1,BL450)</f>
        <v>1.002782244783291</v>
      </c>
      <c r="BM451" s="93">
        <f t="shared" si="704"/>
        <v>1.0007544249927458</v>
      </c>
      <c r="BN451" s="93">
        <f t="shared" si="704"/>
        <v>1.0001979576427205</v>
      </c>
      <c r="BO451" s="93">
        <f t="shared" si="704"/>
        <v>1.0000498040603416</v>
      </c>
      <c r="BP451" s="93">
        <f t="shared" si="704"/>
        <v>1.000023665464987</v>
      </c>
      <c r="BQ451" s="93">
        <f t="shared" si="704"/>
        <v>1.0000133120695209</v>
      </c>
      <c r="BR451" s="93">
        <f t="shared" si="704"/>
        <v>1</v>
      </c>
      <c r="BS451" s="93">
        <f t="shared" si="704"/>
        <v>1.0000078127441483</v>
      </c>
      <c r="BT451" s="93">
        <f>IF(BT450=0,1,BT450)</f>
        <v>1</v>
      </c>
      <c r="BU451" s="285" t="s">
        <v>40</v>
      </c>
      <c r="BV451" s="107"/>
      <c r="BW451" s="93">
        <f>IF(BW450=0,1,BW450)</f>
        <v>1.2962962962962963</v>
      </c>
      <c r="BX451" s="93">
        <f t="shared" ref="BX451:CE451" si="705">IF(BX450=0,1,BX450)</f>
        <v>1.0256410256410255</v>
      </c>
      <c r="BY451" s="93">
        <f t="shared" si="705"/>
        <v>1</v>
      </c>
      <c r="BZ451" s="93">
        <f t="shared" si="705"/>
        <v>1</v>
      </c>
      <c r="CA451" s="93">
        <f t="shared" si="705"/>
        <v>1</v>
      </c>
      <c r="CB451" s="93">
        <f t="shared" si="705"/>
        <v>1</v>
      </c>
      <c r="CC451" s="93">
        <f t="shared" si="705"/>
        <v>1</v>
      </c>
      <c r="CD451" s="93">
        <f t="shared" si="705"/>
        <v>1</v>
      </c>
      <c r="CE451" s="93">
        <f t="shared" si="705"/>
        <v>1</v>
      </c>
      <c r="CF451" s="93">
        <f>IF(CF450=0,1,CF450)</f>
        <v>1</v>
      </c>
      <c r="CG451" s="285" t="s">
        <v>40</v>
      </c>
      <c r="CH451" s="107"/>
      <c r="CI451" s="93">
        <f>IF(CI450=0,1,CI450)</f>
        <v>1</v>
      </c>
      <c r="CJ451" s="93">
        <f t="shared" ref="CJ451:CQ451" si="706">IF(CJ450=0,1,CJ450)</f>
        <v>1</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5"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5"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1.0517527688167041</v>
      </c>
      <c r="D452" s="113">
        <f>PRODUCT(D451:L451)</f>
        <v>1.0125311350797672</v>
      </c>
      <c r="E452" s="113">
        <f>PRODUCT(E451:L451)</f>
        <v>1.0040512734159948</v>
      </c>
      <c r="F452" s="113">
        <f>PRODUCT(F451:L451)</f>
        <v>1.0015573256699188</v>
      </c>
      <c r="G452" s="113">
        <f>PRODUCT(G451:L451)</f>
        <v>1.000667069931511</v>
      </c>
      <c r="H452" s="113">
        <f>PRODUCT(H451:L451)</f>
        <v>1.0002648789371495</v>
      </c>
      <c r="I452" s="113">
        <f>PRODUCT(I451:L451)</f>
        <v>1.0000907154952285</v>
      </c>
      <c r="J452" s="113">
        <f>PRODUCT(J451:L451)</f>
        <v>1.0000280529827335</v>
      </c>
      <c r="K452" s="113">
        <f>PRODUCT(K451:L451)</f>
        <v>1</v>
      </c>
      <c r="L452" s="114">
        <f>PRODUCT(L451:L451)</f>
        <v>1</v>
      </c>
      <c r="M452" s="111" t="s">
        <v>39</v>
      </c>
      <c r="N452" s="115"/>
      <c r="O452" s="113">
        <f>PRODUCT(O451:X451)</f>
        <v>1.0459340509555008</v>
      </c>
      <c r="P452" s="113">
        <f>PRODUCT(P451:X451)</f>
        <v>1.0110733010703052</v>
      </c>
      <c r="Q452" s="113">
        <f>PRODUCT(Q451:X451)</f>
        <v>1.0033524077402449</v>
      </c>
      <c r="R452" s="113">
        <f>PRODUCT(R451:X451)</f>
        <v>1.0012383065861359</v>
      </c>
      <c r="S452" s="113">
        <f>PRODUCT(S451:X451)</f>
        <v>1.0004756897842799</v>
      </c>
      <c r="T452" s="113">
        <f>PRODUCT(T451:X451)</f>
        <v>1.0001978805259792</v>
      </c>
      <c r="U452" s="113">
        <f>PRODUCT(U451:X451)</f>
        <v>1.000149629967926</v>
      </c>
      <c r="V452" s="113">
        <f>PRODUCT(V451:X451)</f>
        <v>1.000112983711515</v>
      </c>
      <c r="W452" s="113">
        <f>PRODUCT(W451:X451)</f>
        <v>1</v>
      </c>
      <c r="X452" s="114">
        <f>PRODUCT(X451:X451)</f>
        <v>1</v>
      </c>
      <c r="Y452" s="111" t="s">
        <v>39</v>
      </c>
      <c r="Z452" s="115"/>
      <c r="AA452" s="113">
        <f>PRODUCT(AA451:AJ451)</f>
        <v>1.3579745034648754</v>
      </c>
      <c r="AB452" s="113">
        <f>PRODUCT(AB451:AJ451)</f>
        <v>1.0776298522586234</v>
      </c>
      <c r="AC452" s="113">
        <f>PRODUCT(AC451:AJ451)</f>
        <v>1.024642011611923</v>
      </c>
      <c r="AD452" s="113">
        <f>PRODUCT(AD451:AJ451)</f>
        <v>1.0114665608382429</v>
      </c>
      <c r="AE452" s="113">
        <f>PRODUCT(AE451:AJ451)</f>
        <v>1.0056366874699023</v>
      </c>
      <c r="AF452" s="113">
        <f>PRODUCT(AF451:AJ451)</f>
        <v>1.0030532741607656</v>
      </c>
      <c r="AG452" s="113">
        <f>PRODUCT(AG451:AJ451)</f>
        <v>1.0021263806377463</v>
      </c>
      <c r="AH452" s="113">
        <f>PRODUCT(AH451:AJ451)</f>
        <v>1.0011262069771125</v>
      </c>
      <c r="AI452" s="113">
        <f>PRODUCT(AI451:AJ451)</f>
        <v>1.0005531993361607</v>
      </c>
      <c r="AJ452" s="114">
        <f>PRODUCT(AJ451:AJ451)</f>
        <v>1</v>
      </c>
      <c r="AK452" s="111" t="s">
        <v>39</v>
      </c>
      <c r="AL452" s="115"/>
      <c r="AM452" s="113">
        <f>PRODUCT(AM451:AV451)</f>
        <v>1.0306758280628856</v>
      </c>
      <c r="AN452" s="113">
        <f>PRODUCT(AN451:AV451)</f>
        <v>1.0078758142940167</v>
      </c>
      <c r="AO452" s="113">
        <f>PRODUCT(AO451:AV451)</f>
        <v>1.0040317906222225</v>
      </c>
      <c r="AP452" s="113">
        <f>PRODUCT(AP451:AV451)</f>
        <v>1.0022295795899927</v>
      </c>
      <c r="AQ452" s="113">
        <f>PRODUCT(AQ451:AV451)</f>
        <v>1.00102216977706</v>
      </c>
      <c r="AR452" s="113">
        <f>PRODUCT(AR451:AV451)</f>
        <v>1.0004167194177287</v>
      </c>
      <c r="AS452" s="113">
        <f>PRODUCT(AS451:AV451)</f>
        <v>1.0001651688219484</v>
      </c>
      <c r="AT452" s="113">
        <f>PRODUCT(AT451:AV451)</f>
        <v>1.0001100663389546</v>
      </c>
      <c r="AU452" s="113">
        <f>PRODUCT(AU451:AV451)</f>
        <v>1.0000548787180332</v>
      </c>
      <c r="AV452" s="114">
        <f>PRODUCT(AV451:AV451)</f>
        <v>1</v>
      </c>
      <c r="AW452" s="111" t="s">
        <v>39</v>
      </c>
      <c r="AX452" s="115"/>
      <c r="AY452" s="113">
        <f>PRODUCT(AY451:BH451)</f>
        <v>1.025703018379226</v>
      </c>
      <c r="AZ452" s="113">
        <f>PRODUCT(AZ451:BH451)</f>
        <v>1.0050399350632941</v>
      </c>
      <c r="BA452" s="113">
        <f>PRODUCT(BA451:BH451)</f>
        <v>1.0015904833423683</v>
      </c>
      <c r="BB452" s="113">
        <f>PRODUCT(BB451:BH451)</f>
        <v>1.0005736651368864</v>
      </c>
      <c r="BC452" s="113">
        <f>PRODUCT(BC451:BH451)</f>
        <v>1.0002270326687079</v>
      </c>
      <c r="BD452" s="113">
        <f>PRODUCT(BD451:BH451)</f>
        <v>1.0000913110264869</v>
      </c>
      <c r="BE452" s="113">
        <f>PRODUCT(BE451:BH451)</f>
        <v>1.0000417518001432</v>
      </c>
      <c r="BF452" s="113">
        <f>PRODUCT(BF451:BH451)</f>
        <v>1.0000227500757746</v>
      </c>
      <c r="BG452" s="113">
        <f>PRODUCT(BG451:BH451)</f>
        <v>1.0000130803591867</v>
      </c>
      <c r="BH452" s="114">
        <f>PRODUCT(BH451:BH451)</f>
        <v>1</v>
      </c>
      <c r="BI452" s="111" t="s">
        <v>39</v>
      </c>
      <c r="BJ452" s="115"/>
      <c r="BK452" s="113">
        <f>PRODUCT(BK451:BT451)</f>
        <v>1.0238205370722759</v>
      </c>
      <c r="BL452" s="113">
        <f>PRODUCT(BL451:BT451)</f>
        <v>1.0038323776638078</v>
      </c>
      <c r="BM452" s="113">
        <f>PRODUCT(BM451:BT451)</f>
        <v>1.0010472192601931</v>
      </c>
      <c r="BN452" s="113">
        <f>PRODUCT(BN451:BT451)</f>
        <v>1.0002925735426544</v>
      </c>
      <c r="BO452" s="113">
        <f>PRODUCT(BO451:BT451)</f>
        <v>1.0000945971737005</v>
      </c>
      <c r="BP452" s="113">
        <f>PRODUCT(BP451:BT451)</f>
        <v>1.0000447908825909</v>
      </c>
      <c r="BQ452" s="113">
        <f>PRODUCT(BQ451:BT451)</f>
        <v>1.0000211249176729</v>
      </c>
      <c r="BR452" s="113">
        <f>PRODUCT(BR451:BT451)</f>
        <v>1.0000078127441483</v>
      </c>
      <c r="BS452" s="113">
        <f>PRODUCT(BS451:BT451)</f>
        <v>1.0000078127441483</v>
      </c>
      <c r="BT452" s="114">
        <f>PRODUCT(BT451:BT451)</f>
        <v>1</v>
      </c>
      <c r="BU452" s="111" t="s">
        <v>39</v>
      </c>
      <c r="BV452" s="115"/>
      <c r="BW452" s="113">
        <f>PRODUCT(BW451:CF451)</f>
        <v>1.329534662867996</v>
      </c>
      <c r="BX452" s="113">
        <f>PRODUCT(BX451:CF451)</f>
        <v>1.0256410256410255</v>
      </c>
      <c r="BY452" s="113">
        <f>PRODUCT(BY451:CF451)</f>
        <v>1</v>
      </c>
      <c r="BZ452" s="113">
        <f>PRODUCT(BZ451:CF451)</f>
        <v>1</v>
      </c>
      <c r="CA452" s="113">
        <f>PRODUCT(CA451:CF451)</f>
        <v>1</v>
      </c>
      <c r="CB452" s="113">
        <f>PRODUCT(CB451:CF451)</f>
        <v>1</v>
      </c>
      <c r="CC452" s="113">
        <f>PRODUCT(CC451:CF451)</f>
        <v>1</v>
      </c>
      <c r="CD452" s="113">
        <f>PRODUCT(CD451:CF451)</f>
        <v>1</v>
      </c>
      <c r="CE452" s="113">
        <f>PRODUCT(CE451:CF451)</f>
        <v>1</v>
      </c>
      <c r="CF452" s="114">
        <f>PRODUCT(CF451:CF451)</f>
        <v>1</v>
      </c>
      <c r="CG452" s="111" t="s">
        <v>39</v>
      </c>
      <c r="CH452" s="115"/>
      <c r="CI452" s="113">
        <f>PRODUCT(CI451:CR451)</f>
        <v>1</v>
      </c>
      <c r="CJ452" s="113">
        <f>PRODUCT(CJ451:CR451)</f>
        <v>1</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208</v>
      </c>
      <c r="B453" s="106"/>
      <c r="C453" s="99">
        <f>C452*C436</f>
        <v>147003.48449751074</v>
      </c>
      <c r="D453" s="99">
        <f>D452*D435</f>
        <v>132169.73918650232</v>
      </c>
      <c r="E453" s="99">
        <f>E452*E434</f>
        <v>128142.04376971633</v>
      </c>
      <c r="F453" s="99">
        <f>F452*F433</f>
        <v>170758.51312544147</v>
      </c>
      <c r="G453" s="99">
        <f>G452*G432</f>
        <v>151667.10512123941</v>
      </c>
      <c r="H453" s="99">
        <f>H452*H431</f>
        <v>126788.5747296784</v>
      </c>
      <c r="I453" s="99">
        <f>I452*I430</f>
        <v>130223.8122460647</v>
      </c>
      <c r="J453" s="99">
        <f>J452*J429</f>
        <v>121281.40220963994</v>
      </c>
      <c r="K453" s="99">
        <f>K452*K428</f>
        <v>110352</v>
      </c>
      <c r="L453" s="99">
        <f>L452*L427</f>
        <v>103535</v>
      </c>
      <c r="M453" s="95" t="s">
        <v>208</v>
      </c>
      <c r="N453" s="106"/>
      <c r="O453" s="99">
        <f>O452*O436</f>
        <v>21850.608258511369</v>
      </c>
      <c r="P453" s="99">
        <f>P452*P435</f>
        <v>18943.469368853239</v>
      </c>
      <c r="Q453" s="99">
        <f>Q452*Q434</f>
        <v>16122.869839977995</v>
      </c>
      <c r="R453" s="99">
        <f>R452*R433</f>
        <v>21811.976508978969</v>
      </c>
      <c r="S453" s="99">
        <f>S452*S432</f>
        <v>23424.137324919346</v>
      </c>
      <c r="T453" s="99">
        <f>T452*T431</f>
        <v>26048.153402538079</v>
      </c>
      <c r="U453" s="99">
        <f>U452*U430</f>
        <v>28025.192781331254</v>
      </c>
      <c r="V453" s="99">
        <f>V452*V429</f>
        <v>28774.250654363997</v>
      </c>
      <c r="W453" s="99">
        <f>W452*W428</f>
        <v>26131</v>
      </c>
      <c r="X453" s="99">
        <f>X452*X427</f>
        <v>26980</v>
      </c>
      <c r="Y453" s="95" t="s">
        <v>208</v>
      </c>
      <c r="Z453" s="106"/>
      <c r="AA453" s="99">
        <f>AA452*AA436</f>
        <v>9587.2999944620205</v>
      </c>
      <c r="AB453" s="99">
        <f>AB452*AB435</f>
        <v>9040.2368305975924</v>
      </c>
      <c r="AC453" s="99">
        <f>AC452*AC434</f>
        <v>8072.1297674787293</v>
      </c>
      <c r="AD453" s="99">
        <f>AD452*AD433</f>
        <v>9480.4760747368509</v>
      </c>
      <c r="AE453" s="99">
        <f>AE452*AE432</f>
        <v>10436.497542562645</v>
      </c>
      <c r="AF453" s="99">
        <f>AF452*AF431</f>
        <v>10063.633499654961</v>
      </c>
      <c r="AG453" s="99">
        <f>AG452*AG430</f>
        <v>10389.044188071515</v>
      </c>
      <c r="AH453" s="99">
        <f>AH452*AH429</f>
        <v>8827.9308931241776</v>
      </c>
      <c r="AI453" s="99">
        <f>AI452*AI428</f>
        <v>6810.7656278812456</v>
      </c>
      <c r="AJ453" s="99">
        <f>AJ452*AJ427</f>
        <v>5426</v>
      </c>
      <c r="AK453" s="95" t="s">
        <v>208</v>
      </c>
      <c r="AL453" s="106"/>
      <c r="AM453" s="99">
        <f>AM452*AM436</f>
        <v>109322.75440680221</v>
      </c>
      <c r="AN453" s="99">
        <f>AN452*AN435</f>
        <v>88922.867343532504</v>
      </c>
      <c r="AO453" s="99">
        <f>AO452*AO434</f>
        <v>76693.97235846908</v>
      </c>
      <c r="AP453" s="99">
        <f>AP452*AP433</f>
        <v>66854.726336130057</v>
      </c>
      <c r="AQ453" s="99">
        <f>AQ452*AQ432</f>
        <v>20165.591610158874</v>
      </c>
      <c r="AR453" s="99">
        <f>AR452*AR431</f>
        <v>23533.802907582649</v>
      </c>
      <c r="AS453" s="99">
        <f>AS452*AS430</f>
        <v>19453.212533586895</v>
      </c>
      <c r="AT453" s="99">
        <f>AT452*AT429</f>
        <v>18213.004418098702</v>
      </c>
      <c r="AU453" s="99">
        <f>AU452*AU428</f>
        <v>18022.989024256396</v>
      </c>
      <c r="AV453" s="99">
        <f>AV452*AV427</f>
        <v>18223</v>
      </c>
      <c r="AW453" s="95" t="s">
        <v>208</v>
      </c>
      <c r="AX453" s="106"/>
      <c r="AY453" s="99">
        <f>AY452*AY436</f>
        <v>149744.43505921995</v>
      </c>
      <c r="AZ453" s="99">
        <f>AZ452*AZ435</f>
        <v>108841.80480761451</v>
      </c>
      <c r="BA453" s="99">
        <f>BA452*BA434</f>
        <v>107761.12010280541</v>
      </c>
      <c r="BB453" s="99">
        <f>BB452*BB433</f>
        <v>148123.92481319953</v>
      </c>
      <c r="BC453" s="99">
        <f>BC452*BC432</f>
        <v>158221.91338973225</v>
      </c>
      <c r="BD453" s="99">
        <f>BD452*BD431</f>
        <v>183505.75456893904</v>
      </c>
      <c r="BE453" s="99">
        <f>BE452*BE430</f>
        <v>183745.67139225471</v>
      </c>
      <c r="BF453" s="99">
        <f>BF452*BF429</f>
        <v>163413.71758988232</v>
      </c>
      <c r="BG453" s="99">
        <f>BG452*BG428</f>
        <v>157355.0582337591</v>
      </c>
      <c r="BH453" s="99">
        <f>BH452*BH427</f>
        <v>152903</v>
      </c>
      <c r="BI453" s="95" t="s">
        <v>208</v>
      </c>
      <c r="BJ453" s="106"/>
      <c r="BK453" s="99">
        <f>BK452*BK436</f>
        <v>102038.05000677131</v>
      </c>
      <c r="BL453" s="99">
        <f>BL452*BL435</f>
        <v>82229.933048708481</v>
      </c>
      <c r="BM453" s="99">
        <f>BM452*BM434</f>
        <v>71086.365134104839</v>
      </c>
      <c r="BN453" s="99">
        <f>BN452*BN433</f>
        <v>89493.175677140665</v>
      </c>
      <c r="BO453" s="99">
        <f>BO452*BO432</f>
        <v>98480.31507829146</v>
      </c>
      <c r="BP453" s="99">
        <f>BP452*BP431</f>
        <v>122523.48768935328</v>
      </c>
      <c r="BQ453" s="99">
        <f>BQ452*BQ430</f>
        <v>132709.80342444961</v>
      </c>
      <c r="BR453" s="99">
        <f>BR452*BR429</f>
        <v>126297.98672614769</v>
      </c>
      <c r="BS453" s="99">
        <f>BS452*BS428</f>
        <v>121311.94777180537</v>
      </c>
      <c r="BT453" s="99">
        <f>BT452*BT427</f>
        <v>127997</v>
      </c>
      <c r="BU453" s="95" t="s">
        <v>208</v>
      </c>
      <c r="BV453" s="106"/>
      <c r="BW453" s="99">
        <f>BW452*BW436</f>
        <v>6.64767331433998</v>
      </c>
      <c r="BX453" s="99">
        <f>BX452*BX435</f>
        <v>9.2307692307692299</v>
      </c>
      <c r="BY453" s="99">
        <f>BY452*BY434</f>
        <v>11</v>
      </c>
      <c r="BZ453" s="99">
        <f>BZ452*BZ433</f>
        <v>16</v>
      </c>
      <c r="CA453" s="99">
        <f>CA452*CA432</f>
        <v>13</v>
      </c>
      <c r="CB453" s="99">
        <f>CB452*CB431</f>
        <v>17</v>
      </c>
      <c r="CC453" s="99">
        <f>CC452*CC430</f>
        <v>11</v>
      </c>
      <c r="CD453" s="99">
        <f>CD452*CD429</f>
        <v>18</v>
      </c>
      <c r="CE453" s="99">
        <f>CE452*CE428</f>
        <v>17</v>
      </c>
      <c r="CF453" s="99">
        <f>CF452*CF427</f>
        <v>11</v>
      </c>
      <c r="CG453" s="95" t="s">
        <v>208</v>
      </c>
      <c r="CH453" s="106"/>
      <c r="CI453" s="99">
        <f>CI452*CI436</f>
        <v>0</v>
      </c>
      <c r="CJ453" s="99">
        <f>CJ452*CJ435</f>
        <v>0</v>
      </c>
      <c r="CK453" s="99">
        <f>CK452*CK434</f>
        <v>0</v>
      </c>
      <c r="CL453" s="99">
        <f>CL452*CL433</f>
        <v>0</v>
      </c>
      <c r="CM453" s="99">
        <f>CM452*CM432</f>
        <v>0</v>
      </c>
      <c r="CN453" s="99">
        <f>CN452*CN431</f>
        <v>0</v>
      </c>
      <c r="CO453" s="99">
        <f>CO452*CO430</f>
        <v>0</v>
      </c>
      <c r="CP453" s="99">
        <f>CP452*CP429</f>
        <v>0</v>
      </c>
      <c r="CQ453" s="99">
        <f>CQ452*CQ428</f>
        <v>0</v>
      </c>
      <c r="CR453" s="99">
        <f>CR452*CR427</f>
        <v>0</v>
      </c>
      <c r="CS453" s="95" t="s">
        <v>208</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208</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0"/>
      <c r="M454" s="270"/>
      <c r="Y454" s="270"/>
      <c r="AK454" s="270"/>
      <c r="AW454" s="270"/>
      <c r="BI454" s="270"/>
      <c r="BU454" s="270"/>
      <c r="CG454" s="270"/>
      <c r="CS454" s="270"/>
      <c r="DE454" s="270"/>
    </row>
  </sheetData>
  <sheetProtection algorithmName="SHA-512" hashValue="Ch93rHs+wEvab7qirM0ei+VKwByfA8anUVnovvZhBCbn6mgw32H48eLq4jf8AnLOiKTGQYN9UiVOiyl7F2bc1g==" saltValue="JXLSNXgP+qh1Cq9vLgOwgA==" spinCount="100000" sheet="1" objects="1" scenarios="1" formatColumns="0" formatRows="0" sort="0"/>
  <mergeCells count="20">
    <mergeCell ref="D7:E7"/>
    <mergeCell ref="D8:E8"/>
    <mergeCell ref="P7:Q7"/>
    <mergeCell ref="P8:Q8"/>
    <mergeCell ref="AB7:AC7"/>
    <mergeCell ref="AB8:AC8"/>
    <mergeCell ref="AN7:AO7"/>
    <mergeCell ref="AN8:AO8"/>
    <mergeCell ref="AZ7:BA7"/>
    <mergeCell ref="AZ8:BA8"/>
    <mergeCell ref="BL7:BM7"/>
    <mergeCell ref="BL8:BM8"/>
    <mergeCell ref="DH7:DI7"/>
    <mergeCell ref="DH8:DI8"/>
    <mergeCell ref="BX7:BY7"/>
    <mergeCell ref="BX8:BY8"/>
    <mergeCell ref="CJ7:CK7"/>
    <mergeCell ref="CJ8:CK8"/>
    <mergeCell ref="CV7:CW7"/>
    <mergeCell ref="CV8:CW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3"/>
  <pageSetup scale="75" fitToHeight="3" orientation="landscape" useFirstPageNumber="1" r:id="rId1"/>
  <headerFooter>
    <oddHeader>&amp;R&amp;"-,Bold"&amp;12Exhibit 7</oddHeader>
    <oddFooter>&amp;CStandard Exhibits Template&amp;RPage 3.&amp;P&amp;L1/3/2023 Edition</oddFooter>
  </headerFooter>
  <rowBreaks count="12" manualBreakCount="12">
    <brk id="27" max="16383" man="1"/>
    <brk id="62" max="16383" man="1"/>
    <brk id="97" max="16383" man="1"/>
    <brk id="132" max="16383" man="1"/>
    <brk id="170" max="16383" man="1"/>
    <brk id="205" max="16383" man="1"/>
    <brk id="240" max="16383" man="1"/>
    <brk id="275" max="16383" man="1"/>
    <brk id="313" max="16383" man="1"/>
    <brk id="348" max="16383" man="1"/>
    <brk id="383" max="16383" man="1"/>
    <brk id="418" max="16383" man="1"/>
  </rowBreaks>
  <colBreaks count="10" manualBreakCount="10">
    <brk id="12" max="1048575" man="1"/>
    <brk id="24" max="452" man="1"/>
    <brk id="36" max="239" man="1"/>
    <brk id="36" min="313"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60" zoomScaleNormal="100" workbookViewId="0">
      <selection activeCell="B1" sqref="B1"/>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Mutual Automobile Insurance Company</v>
      </c>
      <c r="C1" s="47"/>
      <c r="D1" s="47"/>
      <c r="E1" s="47"/>
      <c r="F1" s="47"/>
      <c r="G1" s="47"/>
      <c r="H1" s="47"/>
      <c r="I1" s="47"/>
      <c r="J1" s="47"/>
      <c r="K1" s="47"/>
      <c r="L1" s="47"/>
      <c r="M1" s="47"/>
      <c r="N1" s="47"/>
      <c r="O1" s="47"/>
      <c r="P1" s="47"/>
      <c r="Q1" s="45"/>
      <c r="R1" s="45"/>
      <c r="S1" s="2"/>
      <c r="T1" s="137" t="str">
        <f>Co_Name</f>
        <v>State Farm Mutual Automobile Insurance Company</v>
      </c>
      <c r="U1" s="47"/>
      <c r="V1" s="47"/>
      <c r="W1" s="47"/>
      <c r="X1" s="47"/>
      <c r="Y1" s="47"/>
      <c r="Z1" s="47"/>
      <c r="AA1" s="47"/>
      <c r="AB1" s="47"/>
      <c r="AC1" s="47"/>
      <c r="AD1" s="47"/>
      <c r="AE1" s="47"/>
      <c r="AF1" s="47"/>
      <c r="AG1" s="47"/>
      <c r="AH1" s="47"/>
      <c r="AI1" s="45"/>
      <c r="AJ1" s="45"/>
      <c r="AK1" s="2"/>
      <c r="AL1" s="137" t="str">
        <f>Co_Name</f>
        <v>State Farm Mutual Automobile Insurance Company</v>
      </c>
      <c r="AM1" s="47"/>
      <c r="AN1" s="47"/>
      <c r="AO1" s="47"/>
      <c r="AP1" s="47"/>
      <c r="AQ1" s="47"/>
      <c r="AR1" s="47"/>
      <c r="AS1" s="47"/>
      <c r="AT1" s="47"/>
      <c r="AU1" s="47"/>
      <c r="AV1" s="47"/>
      <c r="AW1" s="47"/>
      <c r="AX1" s="47"/>
      <c r="AY1" s="47"/>
      <c r="AZ1" s="47"/>
      <c r="BA1" s="45"/>
      <c r="BB1" s="45"/>
      <c r="BC1" s="2"/>
      <c r="BD1" s="137" t="str">
        <f>Co_Name</f>
        <v>State Farm Mutual Automobile Insurance Company</v>
      </c>
      <c r="BE1" s="47"/>
      <c r="BF1" s="47"/>
      <c r="BG1" s="47"/>
      <c r="BH1" s="47"/>
      <c r="BI1" s="47"/>
      <c r="BJ1" s="47"/>
      <c r="BK1" s="47"/>
      <c r="BL1" s="47"/>
      <c r="BM1" s="47"/>
      <c r="BN1" s="47"/>
      <c r="BO1" s="47"/>
      <c r="BP1" s="47"/>
      <c r="BQ1" s="47"/>
      <c r="BR1" s="47"/>
      <c r="BS1" s="45"/>
      <c r="BT1" s="45"/>
      <c r="BU1" s="2"/>
      <c r="BV1" s="137" t="str">
        <f>Co_Name</f>
        <v>State Farm Mutual Automobile Insurance Company</v>
      </c>
      <c r="BW1" s="47"/>
      <c r="BX1" s="47"/>
      <c r="BY1" s="47"/>
      <c r="BZ1" s="47"/>
      <c r="CA1" s="47"/>
      <c r="CB1" s="47"/>
      <c r="CC1" s="47"/>
      <c r="CD1" s="47"/>
      <c r="CE1" s="47"/>
      <c r="CF1" s="47"/>
      <c r="CG1" s="47"/>
      <c r="CH1" s="47"/>
      <c r="CI1" s="47"/>
      <c r="CJ1" s="47"/>
      <c r="CK1" s="45"/>
      <c r="CL1" s="45"/>
      <c r="CM1" s="2"/>
      <c r="CN1" s="137" t="str">
        <f>Co_Name</f>
        <v>State Farm Mutual Automobile Insurance Company</v>
      </c>
      <c r="CO1" s="47"/>
      <c r="CP1" s="47"/>
      <c r="CQ1" s="47"/>
      <c r="CR1" s="47"/>
      <c r="CS1" s="47"/>
      <c r="CT1" s="47"/>
      <c r="CU1" s="47"/>
      <c r="CV1" s="47"/>
      <c r="CW1" s="47"/>
      <c r="CX1" s="47"/>
      <c r="CY1" s="47"/>
      <c r="CZ1" s="47"/>
      <c r="DA1" s="47"/>
      <c r="DB1" s="47"/>
      <c r="DC1" s="45"/>
      <c r="DD1" s="45"/>
      <c r="DE1" s="2"/>
      <c r="DF1" s="137" t="str">
        <f>Co_Name</f>
        <v>State Farm Mutual Automobile Insurance Company</v>
      </c>
      <c r="DG1" s="47"/>
      <c r="DH1" s="47"/>
      <c r="DI1" s="47"/>
      <c r="DJ1" s="47"/>
      <c r="DK1" s="47"/>
      <c r="DL1" s="47"/>
      <c r="DM1" s="47"/>
      <c r="DN1" s="47"/>
      <c r="DO1" s="47"/>
      <c r="DP1" s="47"/>
      <c r="DQ1" s="47"/>
      <c r="DR1" s="47"/>
      <c r="DS1" s="47"/>
      <c r="DT1" s="47"/>
      <c r="DU1" s="45"/>
      <c r="DV1" s="45"/>
      <c r="DW1" s="2"/>
      <c r="DX1" s="137" t="str">
        <f>Co_Name</f>
        <v>State Farm Mutual Automobile Insurance Company</v>
      </c>
      <c r="DY1" s="47"/>
      <c r="DZ1" s="47"/>
      <c r="EA1" s="47"/>
      <c r="EB1" s="47"/>
      <c r="EC1" s="47"/>
      <c r="ED1" s="47"/>
      <c r="EE1" s="47"/>
      <c r="EF1" s="47"/>
      <c r="EG1" s="47"/>
      <c r="EH1" s="47"/>
      <c r="EI1" s="47"/>
      <c r="EJ1" s="47"/>
      <c r="EK1" s="47"/>
      <c r="EL1" s="47"/>
      <c r="EM1" s="45"/>
      <c r="EN1" s="45"/>
      <c r="EO1" s="2"/>
      <c r="EP1" s="137" t="str">
        <f>Co_Name</f>
        <v>State Farm Mutual Automobile Insurance Company</v>
      </c>
      <c r="EQ1" s="47"/>
      <c r="ER1" s="47"/>
      <c r="ES1" s="47"/>
      <c r="ET1" s="47"/>
      <c r="EU1" s="47"/>
      <c r="EV1" s="47"/>
      <c r="EW1" s="47"/>
      <c r="EX1" s="47"/>
      <c r="EY1" s="47"/>
      <c r="EZ1" s="47"/>
      <c r="FA1" s="47"/>
      <c r="FB1" s="47"/>
      <c r="FC1" s="47"/>
      <c r="FD1" s="47"/>
      <c r="FE1" s="45"/>
      <c r="FF1" s="45"/>
      <c r="FG1" s="2"/>
      <c r="FH1" s="137" t="str">
        <f>Co_Name</f>
        <v>State Farm Mutual Automobile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Private Passenger Auto Liability</v>
      </c>
      <c r="C2" s="47"/>
      <c r="D2" s="47"/>
      <c r="E2" s="47"/>
      <c r="F2" s="47"/>
      <c r="G2" s="47"/>
      <c r="H2" s="47"/>
      <c r="I2" s="47"/>
      <c r="J2" s="47"/>
      <c r="K2" s="47"/>
      <c r="L2" s="47"/>
      <c r="M2" s="47"/>
      <c r="N2" s="47"/>
      <c r="O2" s="47"/>
      <c r="P2" s="47"/>
      <c r="Q2" s="45"/>
      <c r="R2" s="45"/>
      <c r="S2" s="2"/>
      <c r="T2" s="137" t="str">
        <f>Detailed_LineDesc02</f>
        <v>Private Passenger Auto Liability</v>
      </c>
      <c r="U2" s="47"/>
      <c r="V2" s="47"/>
      <c r="W2" s="47"/>
      <c r="X2" s="47"/>
      <c r="Y2" s="47"/>
      <c r="Z2" s="47"/>
      <c r="AA2" s="47"/>
      <c r="AB2" s="47"/>
      <c r="AC2" s="47"/>
      <c r="AD2" s="47"/>
      <c r="AE2" s="47"/>
      <c r="AF2" s="47"/>
      <c r="AG2" s="47"/>
      <c r="AH2" s="47"/>
      <c r="AI2" s="45"/>
      <c r="AJ2" s="45"/>
      <c r="AK2" s="2"/>
      <c r="AL2" s="137" t="str">
        <f>Detailed_LineDesc03</f>
        <v>Private Passenger Auto Liability</v>
      </c>
      <c r="AM2" s="47"/>
      <c r="AN2" s="47"/>
      <c r="AO2" s="47"/>
      <c r="AP2" s="47"/>
      <c r="AQ2" s="47"/>
      <c r="AR2" s="47"/>
      <c r="AS2" s="47"/>
      <c r="AT2" s="47"/>
      <c r="AU2" s="47"/>
      <c r="AV2" s="47"/>
      <c r="AW2" s="47"/>
      <c r="AX2" s="47"/>
      <c r="AY2" s="47"/>
      <c r="AZ2" s="47"/>
      <c r="BA2" s="45"/>
      <c r="BB2" s="45"/>
      <c r="BC2" s="2"/>
      <c r="BD2" s="137" t="str">
        <f>Detailed_LineDesc04</f>
        <v>Private Passenger Auto Liability</v>
      </c>
      <c r="BE2" s="47"/>
      <c r="BF2" s="47"/>
      <c r="BG2" s="47"/>
      <c r="BH2" s="47"/>
      <c r="BI2" s="47"/>
      <c r="BJ2" s="47"/>
      <c r="BK2" s="47"/>
      <c r="BL2" s="47"/>
      <c r="BM2" s="47"/>
      <c r="BN2" s="47"/>
      <c r="BO2" s="47"/>
      <c r="BP2" s="47"/>
      <c r="BQ2" s="47"/>
      <c r="BR2" s="47"/>
      <c r="BS2" s="45"/>
      <c r="BT2" s="45"/>
      <c r="BU2" s="2"/>
      <c r="BV2" s="137" t="str">
        <f>Detailed_LineDesc05</f>
        <v>Private Passenger Auto Physical Damage</v>
      </c>
      <c r="BW2" s="47"/>
      <c r="BX2" s="47"/>
      <c r="BY2" s="47"/>
      <c r="BZ2" s="47"/>
      <c r="CA2" s="47"/>
      <c r="CB2" s="47"/>
      <c r="CC2" s="47"/>
      <c r="CD2" s="47"/>
      <c r="CE2" s="47"/>
      <c r="CF2" s="47"/>
      <c r="CG2" s="47"/>
      <c r="CH2" s="47"/>
      <c r="CI2" s="47"/>
      <c r="CJ2" s="47"/>
      <c r="CK2" s="45"/>
      <c r="CL2" s="45"/>
      <c r="CM2" s="2"/>
      <c r="CN2" s="137" t="str">
        <f>Detailed_LineDesc06</f>
        <v>Private Passenger Auto Physical Damage</v>
      </c>
      <c r="CO2" s="47"/>
      <c r="CP2" s="47"/>
      <c r="CQ2" s="47"/>
      <c r="CR2" s="47"/>
      <c r="CS2" s="47"/>
      <c r="CT2" s="47"/>
      <c r="CU2" s="47"/>
      <c r="CV2" s="47"/>
      <c r="CW2" s="47"/>
      <c r="CX2" s="47"/>
      <c r="CY2" s="47"/>
      <c r="CZ2" s="47"/>
      <c r="DA2" s="47"/>
      <c r="DB2" s="47"/>
      <c r="DC2" s="45"/>
      <c r="DD2" s="45"/>
      <c r="DE2" s="2"/>
      <c r="DF2" s="137" t="str">
        <f>Detailed_LineDesc07</f>
        <v>Private Passenger Auto Physical Damage</v>
      </c>
      <c r="DG2" s="47"/>
      <c r="DH2" s="47"/>
      <c r="DI2" s="47"/>
      <c r="DJ2" s="47"/>
      <c r="DK2" s="47"/>
      <c r="DL2" s="47"/>
      <c r="DM2" s="47"/>
      <c r="DN2" s="47"/>
      <c r="DO2" s="47"/>
      <c r="DP2" s="47"/>
      <c r="DQ2" s="47"/>
      <c r="DR2" s="47"/>
      <c r="DS2" s="47"/>
      <c r="DT2" s="47"/>
      <c r="DU2" s="45"/>
      <c r="DV2" s="45"/>
      <c r="DW2" s="2"/>
      <c r="DX2" s="137" t="str">
        <f>Detailed_LineDesc08</f>
        <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BIPD</v>
      </c>
      <c r="C5" s="40"/>
      <c r="D5" s="41"/>
      <c r="E5" s="41"/>
      <c r="F5" s="41"/>
      <c r="G5" s="41"/>
      <c r="H5" s="41"/>
      <c r="I5" s="41"/>
      <c r="J5" s="41"/>
      <c r="K5" s="41"/>
      <c r="L5" s="41"/>
      <c r="M5" s="41"/>
      <c r="N5" s="41"/>
      <c r="O5" s="41"/>
      <c r="P5" s="41"/>
      <c r="Q5" s="2"/>
      <c r="R5" s="2"/>
      <c r="S5" s="2"/>
      <c r="T5" s="138" t="str">
        <f>Covg02</f>
        <v>MPC</v>
      </c>
      <c r="U5" s="40"/>
      <c r="V5" s="41"/>
      <c r="W5" s="41"/>
      <c r="X5" s="41"/>
      <c r="Y5" s="41"/>
      <c r="Z5" s="41"/>
      <c r="AA5" s="41"/>
      <c r="AB5" s="41"/>
      <c r="AC5" s="41"/>
      <c r="AD5" s="41"/>
      <c r="AE5" s="41"/>
      <c r="AF5" s="41"/>
      <c r="AG5" s="41"/>
      <c r="AH5" s="41"/>
      <c r="AI5" s="2"/>
      <c r="AJ5" s="2"/>
      <c r="AK5" s="2"/>
      <c r="AL5" s="138" t="str">
        <f>Covg03</f>
        <v>UM</v>
      </c>
      <c r="AM5" s="40"/>
      <c r="AN5" s="41"/>
      <c r="AO5" s="41"/>
      <c r="AP5" s="41"/>
      <c r="AQ5" s="41"/>
      <c r="AR5" s="41"/>
      <c r="AS5" s="41"/>
      <c r="AT5" s="41"/>
      <c r="AU5" s="41"/>
      <c r="AV5" s="41"/>
      <c r="AW5" s="41"/>
      <c r="AX5" s="41"/>
      <c r="AY5" s="41"/>
      <c r="AZ5" s="41"/>
      <c r="BA5" s="2"/>
      <c r="BB5" s="2"/>
      <c r="BC5" s="2"/>
      <c r="BD5" s="138" t="str">
        <f>Covg04</f>
        <v>COMP</v>
      </c>
      <c r="BE5" s="40"/>
      <c r="BF5" s="41"/>
      <c r="BG5" s="41"/>
      <c r="BH5" s="41"/>
      <c r="BI5" s="41"/>
      <c r="BJ5" s="41"/>
      <c r="BK5" s="41"/>
      <c r="BL5" s="41"/>
      <c r="BM5" s="41"/>
      <c r="BN5" s="41"/>
      <c r="BO5" s="41"/>
      <c r="BP5" s="41"/>
      <c r="BQ5" s="41"/>
      <c r="BR5" s="41"/>
      <c r="BS5" s="2"/>
      <c r="BT5" s="2"/>
      <c r="BU5" s="2"/>
      <c r="BV5" s="138" t="str">
        <f>Covg05</f>
        <v>COLL</v>
      </c>
      <c r="BW5" s="40"/>
      <c r="BX5" s="41"/>
      <c r="BY5" s="41"/>
      <c r="BZ5" s="41"/>
      <c r="CA5" s="41"/>
      <c r="CB5" s="41"/>
      <c r="CC5" s="41"/>
      <c r="CD5" s="41"/>
      <c r="CE5" s="41"/>
      <c r="CF5" s="41"/>
      <c r="CG5" s="41"/>
      <c r="CH5" s="41"/>
      <c r="CI5" s="41"/>
      <c r="CJ5" s="41"/>
      <c r="CK5" s="2"/>
      <c r="CL5" s="2"/>
      <c r="CM5" s="2"/>
      <c r="CN5" s="138" t="str">
        <f>Covg06</f>
        <v>Misc. Damage</v>
      </c>
      <c r="CO5" s="40"/>
      <c r="CP5" s="41"/>
      <c r="CQ5" s="41"/>
      <c r="CR5" s="41"/>
      <c r="CS5" s="41"/>
      <c r="CT5" s="41"/>
      <c r="CU5" s="41"/>
      <c r="CV5" s="41"/>
      <c r="CW5" s="41"/>
      <c r="CX5" s="41"/>
      <c r="CY5" s="41"/>
      <c r="CZ5" s="41"/>
      <c r="DA5" s="41"/>
      <c r="DB5" s="41"/>
      <c r="DC5" s="2"/>
      <c r="DD5" s="2"/>
      <c r="DE5" s="2"/>
      <c r="DF5" s="138" t="str">
        <f>Covg07</f>
        <v>Misc. Liability</v>
      </c>
      <c r="DG5" s="40"/>
      <c r="DH5" s="41"/>
      <c r="DI5" s="41"/>
      <c r="DJ5" s="41"/>
      <c r="DK5" s="41"/>
      <c r="DL5" s="41"/>
      <c r="DM5" s="41"/>
      <c r="DN5" s="41"/>
      <c r="DO5" s="41"/>
      <c r="DP5" s="41"/>
      <c r="DQ5" s="41"/>
      <c r="DR5" s="41"/>
      <c r="DS5" s="41"/>
      <c r="DT5" s="41"/>
      <c r="DU5" s="2"/>
      <c r="DV5" s="2"/>
      <c r="DW5" s="2"/>
      <c r="DX5" s="138">
        <f>Covg08</f>
        <v>0</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5"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6"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6"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6"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5"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5"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5"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5"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5"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5"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0" customFormat="1" x14ac:dyDescent="0.25">
      <c r="B7" s="301"/>
      <c r="C7" s="302"/>
      <c r="D7" s="300" t="str">
        <f>IF(COUNTBLANK(D11:H37)=135,"",IF(COUNTBLANK(D11:H37)=0,"","It appears as though you have blank cells/ no data for some years and a variance may be required."))</f>
        <v/>
      </c>
      <c r="E7" s="303"/>
      <c r="F7" s="303"/>
      <c r="G7" s="303"/>
      <c r="H7" s="303"/>
      <c r="I7" s="303"/>
      <c r="J7" s="303"/>
      <c r="K7" s="303"/>
      <c r="L7" s="303"/>
      <c r="M7" s="303"/>
      <c r="N7" s="303"/>
      <c r="O7" s="303"/>
      <c r="P7" s="303"/>
      <c r="Q7" s="304"/>
      <c r="R7" s="304"/>
      <c r="S7" s="304"/>
      <c r="T7" s="301"/>
      <c r="U7" s="302"/>
      <c r="V7" s="305" t="str">
        <f>IF(COUNTBLANK(V11:Z37)=135,"",IF(COUNTBLANK(V11:Z37)=0,"","It appears as though you have blank cells/ no data for some years and a variance may be required."))</f>
        <v/>
      </c>
      <c r="W7" s="303"/>
      <c r="X7" s="303"/>
      <c r="Y7" s="303"/>
      <c r="Z7" s="303"/>
      <c r="AA7" s="303"/>
      <c r="AB7" s="303"/>
      <c r="AC7" s="303"/>
      <c r="AD7" s="303"/>
      <c r="AE7" s="303"/>
      <c r="AF7" s="303"/>
      <c r="AG7" s="303"/>
      <c r="AH7" s="303"/>
      <c r="AI7" s="304"/>
      <c r="AJ7" s="304"/>
      <c r="AK7" s="304"/>
      <c r="AL7" s="301"/>
      <c r="AM7" s="302"/>
      <c r="AN7" s="307" t="str">
        <f>IF(COUNTBLANK(AN11:AR37)=135,"",IF(COUNTBLANK(AN11:AR37)=0,"","It appears as though you have blank cells/ no data for some years and a variance may be required."))</f>
        <v/>
      </c>
      <c r="AO7" s="303"/>
      <c r="AP7" s="303"/>
      <c r="AQ7" s="303"/>
      <c r="AR7" s="303"/>
      <c r="AS7" s="303"/>
      <c r="AT7" s="303"/>
      <c r="AU7" s="303"/>
      <c r="AV7" s="303"/>
      <c r="AW7" s="303"/>
      <c r="AX7" s="303"/>
      <c r="AY7" s="303"/>
      <c r="AZ7" s="303"/>
      <c r="BA7" s="304"/>
      <c r="BB7" s="304"/>
      <c r="BC7" s="304"/>
      <c r="BD7" s="301"/>
      <c r="BE7" s="302"/>
      <c r="BF7" s="305" t="str">
        <f>IF(COUNTBLANK(BF11:BJ37)=135,"",IF(COUNTBLANK(BF11:BJ37)=0,"","It appears as though you have blank cells/ no data for some years and a variance may be required."))</f>
        <v/>
      </c>
      <c r="BG7" s="303"/>
      <c r="BH7" s="303"/>
      <c r="BI7" s="303"/>
      <c r="BJ7" s="303"/>
      <c r="BK7" s="303"/>
      <c r="BL7" s="303"/>
      <c r="BM7" s="303"/>
      <c r="BN7" s="303"/>
      <c r="BO7" s="303"/>
      <c r="BP7" s="303"/>
      <c r="BQ7" s="303"/>
      <c r="BR7" s="303"/>
      <c r="BS7" s="304"/>
      <c r="BT7" s="304"/>
      <c r="BU7" s="304"/>
      <c r="BV7" s="301"/>
      <c r="BW7" s="302"/>
      <c r="BX7" s="305" t="str">
        <f>IF(COUNTBLANK(BX11:CB37)=135,"",IF(COUNTBLANK(BX11:CB37)=0,"","It appears as though you have blank cells/ no data for some years and a variance may be required."))</f>
        <v/>
      </c>
      <c r="BY7" s="303"/>
      <c r="BZ7" s="303"/>
      <c r="CA7" s="303"/>
      <c r="CB7" s="303"/>
      <c r="CC7" s="303"/>
      <c r="CD7" s="303"/>
      <c r="CE7" s="303"/>
      <c r="CF7" s="303"/>
      <c r="CG7" s="303"/>
      <c r="CH7" s="303"/>
      <c r="CI7" s="303"/>
      <c r="CJ7" s="303"/>
      <c r="CK7" s="304"/>
      <c r="CL7" s="304"/>
      <c r="CM7" s="304"/>
      <c r="CN7" s="301"/>
      <c r="CO7" s="302"/>
      <c r="CP7" s="305" t="str">
        <f>IF(COUNTBLANK(CP11:CT37)=135,"",IF(COUNTBLANK(CP11:CT37)=0,"","It appears as though you have blank cells/ no data for some years and a variance may be required."))</f>
        <v/>
      </c>
      <c r="CQ7" s="303"/>
      <c r="CR7" s="303"/>
      <c r="CS7" s="303"/>
      <c r="CT7" s="303"/>
      <c r="CU7" s="303"/>
      <c r="CV7" s="303"/>
      <c r="CW7" s="303"/>
      <c r="CX7" s="303"/>
      <c r="CY7" s="303"/>
      <c r="CZ7" s="303"/>
      <c r="DA7" s="303"/>
      <c r="DB7" s="303"/>
      <c r="DC7" s="304"/>
      <c r="DD7" s="304"/>
      <c r="DE7" s="304"/>
      <c r="DF7" s="301"/>
      <c r="DG7" s="302"/>
      <c r="DH7" s="305" t="str">
        <f>IF(COUNTBLANK(DH11:DL37)=135,"",IF(COUNTBLANK(DH11:DL37)=0,"","It appears as though you have blank cells/ no data for some years and a variance may be required."))</f>
        <v/>
      </c>
      <c r="DI7" s="303"/>
      <c r="DJ7" s="303"/>
      <c r="DK7" s="303"/>
      <c r="DL7" s="303"/>
      <c r="DM7" s="303"/>
      <c r="DN7" s="303"/>
      <c r="DO7" s="303"/>
      <c r="DP7" s="303"/>
      <c r="DQ7" s="303"/>
      <c r="DR7" s="303"/>
      <c r="DS7" s="303"/>
      <c r="DT7" s="303"/>
      <c r="DU7" s="304"/>
      <c r="DV7" s="304"/>
      <c r="DW7" s="304"/>
      <c r="DX7" s="301"/>
      <c r="DY7" s="302"/>
      <c r="DZ7" s="305" t="str">
        <f>IF(COUNTBLANK(DZ11:ED37)=135,"",IF(COUNTBLANK(DZ11:ED37)=0,"","It appears as though you have blank cells/ no data for some years and a variance may be required."))</f>
        <v/>
      </c>
      <c r="EA7" s="303"/>
      <c r="EB7" s="303"/>
      <c r="EC7" s="303"/>
      <c r="ED7" s="303"/>
      <c r="EE7" s="303"/>
      <c r="EF7" s="303"/>
      <c r="EG7" s="303"/>
      <c r="EH7" s="303"/>
      <c r="EI7" s="303"/>
      <c r="EJ7" s="303"/>
      <c r="EK7" s="303"/>
      <c r="EL7" s="303"/>
      <c r="EM7" s="304"/>
      <c r="EN7" s="304"/>
      <c r="EO7" s="304"/>
      <c r="EP7" s="301"/>
      <c r="EQ7" s="302"/>
      <c r="ER7" s="305" t="str">
        <f>IF(COUNTBLANK(ER11:EV37)=135,"",IF(COUNTBLANK(ER11:EV37)=0,"","It appears as though you have blank cells/ no data for some years and a variance may be required."))</f>
        <v/>
      </c>
      <c r="ES7" s="303"/>
      <c r="ET7" s="303"/>
      <c r="EU7" s="303"/>
      <c r="EV7" s="303"/>
      <c r="EW7" s="303"/>
      <c r="EX7" s="303"/>
      <c r="EY7" s="303"/>
      <c r="EZ7" s="303"/>
      <c r="FA7" s="303"/>
      <c r="FB7" s="303"/>
      <c r="FC7" s="303"/>
      <c r="FD7" s="303"/>
      <c r="FE7" s="304"/>
      <c r="FF7" s="304"/>
      <c r="FG7" s="304"/>
      <c r="FH7" s="301"/>
      <c r="FI7" s="302"/>
      <c r="FJ7" s="305" t="str">
        <f>IF(COUNTBLANK(FJ11:FN37)=135,"",IF(COUNTBLANK(FJ11:FN37)=0,"","It appears as though you have blank cells/ no data for some years and a variance may be required."))</f>
        <v/>
      </c>
      <c r="FK7" s="303"/>
      <c r="FL7" s="303"/>
      <c r="FM7" s="303"/>
      <c r="FN7" s="303"/>
      <c r="FO7" s="303"/>
      <c r="FP7" s="303"/>
      <c r="FQ7" s="303"/>
      <c r="FR7" s="303"/>
      <c r="FS7" s="303"/>
      <c r="FT7" s="303"/>
      <c r="FU7" s="303"/>
      <c r="FV7" s="303"/>
      <c r="FW7" s="304"/>
      <c r="FX7" s="304"/>
      <c r="FY7" s="304"/>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20162</v>
      </c>
      <c r="C11" s="13"/>
      <c r="D11" s="84">
        <v>938758.71333333338</v>
      </c>
      <c r="E11" s="84">
        <v>44610</v>
      </c>
      <c r="F11" s="84">
        <v>76321</v>
      </c>
      <c r="G11" s="84">
        <v>317538887.72000003</v>
      </c>
      <c r="H11" s="84">
        <v>296232851.4199999</v>
      </c>
      <c r="I11" s="13"/>
      <c r="J11" s="34"/>
      <c r="K11" s="34"/>
      <c r="L11" s="34"/>
      <c r="M11" s="34"/>
      <c r="N11" s="34"/>
      <c r="O11" s="4"/>
      <c r="P11" s="34"/>
      <c r="Q11" s="34"/>
      <c r="R11" s="34"/>
      <c r="S11" s="34"/>
      <c r="T11" s="31">
        <f t="shared" ref="T11:T35" si="38">IF(RIGHT(T12,1)="1",T12-7,T12-1)</f>
        <v>20162</v>
      </c>
      <c r="U11" s="13"/>
      <c r="V11" s="84">
        <v>538605.69000000006</v>
      </c>
      <c r="W11" s="84">
        <v>4858</v>
      </c>
      <c r="X11" s="84">
        <v>11103</v>
      </c>
      <c r="Y11" s="84">
        <v>15609776.279999999</v>
      </c>
      <c r="Z11" s="84">
        <v>17687194.499999993</v>
      </c>
      <c r="AA11" s="13"/>
      <c r="AB11" s="34"/>
      <c r="AC11" s="34"/>
      <c r="AD11" s="34"/>
      <c r="AE11" s="34"/>
      <c r="AF11" s="34"/>
      <c r="AG11" s="4"/>
      <c r="AH11" s="34"/>
      <c r="AI11" s="34"/>
      <c r="AJ11" s="34"/>
      <c r="AK11" s="34"/>
      <c r="AL11" s="31">
        <f t="shared" ref="AL11:AL35" si="39">IF(RIGHT(AL12,1)="1",AL12-7,AL12-1)</f>
        <v>20162</v>
      </c>
      <c r="AM11" s="13"/>
      <c r="AN11" s="84">
        <v>916191.01166666672</v>
      </c>
      <c r="AO11" s="84">
        <v>6183</v>
      </c>
      <c r="AP11" s="84">
        <v>8801</v>
      </c>
      <c r="AQ11" s="84">
        <v>42838510.960000001</v>
      </c>
      <c r="AR11" s="84">
        <v>43003166.56000001</v>
      </c>
      <c r="AS11" s="13"/>
      <c r="AT11" s="34"/>
      <c r="AU11" s="34"/>
      <c r="AV11" s="34"/>
      <c r="AW11" s="34"/>
      <c r="AX11" s="34"/>
      <c r="AY11" s="4"/>
      <c r="AZ11" s="34"/>
      <c r="BA11" s="34"/>
      <c r="BB11" s="34"/>
      <c r="BC11" s="34"/>
      <c r="BD11" s="31">
        <f t="shared" ref="BD11:BD35" si="40">IF(RIGHT(BD12,1)="1",BD12-7,BD12-1)</f>
        <v>20162</v>
      </c>
      <c r="BE11" s="13"/>
      <c r="BF11" s="84">
        <v>828695.36416666664</v>
      </c>
      <c r="BG11" s="84">
        <v>24410</v>
      </c>
      <c r="BH11" s="84">
        <v>29210</v>
      </c>
      <c r="BI11" s="84">
        <v>50476502.170000002</v>
      </c>
      <c r="BJ11" s="84">
        <v>50557923.51000002</v>
      </c>
      <c r="BK11" s="13"/>
      <c r="BL11" s="34"/>
      <c r="BM11" s="34"/>
      <c r="BN11" s="34"/>
      <c r="BO11" s="34"/>
      <c r="BP11" s="34"/>
      <c r="BQ11" s="4"/>
      <c r="BR11" s="34"/>
      <c r="BS11" s="34"/>
      <c r="BT11" s="34"/>
      <c r="BU11" s="34"/>
      <c r="BV11" s="31">
        <f t="shared" ref="BV11:BV35" si="41">IF(RIGHT(BV12,1)="1",BV12-7,BV12-1)</f>
        <v>20162</v>
      </c>
      <c r="BW11" s="13"/>
      <c r="BX11" s="84">
        <v>800724.34166666667</v>
      </c>
      <c r="BY11" s="84">
        <v>56054</v>
      </c>
      <c r="BZ11" s="84">
        <v>101910</v>
      </c>
      <c r="CA11" s="84">
        <v>199953600.21000001</v>
      </c>
      <c r="CB11" s="84">
        <v>197022343.34000012</v>
      </c>
      <c r="CC11" s="13"/>
      <c r="CD11" s="34"/>
      <c r="CE11" s="34"/>
      <c r="CF11" s="34"/>
      <c r="CG11" s="34"/>
      <c r="CH11" s="34"/>
      <c r="CI11" s="4"/>
      <c r="CJ11" s="34"/>
      <c r="CK11" s="34"/>
      <c r="CL11" s="34"/>
      <c r="CM11" s="34"/>
      <c r="CN11" s="31">
        <f t="shared" ref="CN11:CN35" si="42">IF(RIGHT(CN12,1)="1",CN12-7,CN12-1)</f>
        <v>20162</v>
      </c>
      <c r="CO11" s="13"/>
      <c r="CP11" s="84">
        <v>979220.69666666666</v>
      </c>
      <c r="CQ11" s="84">
        <v>91287</v>
      </c>
      <c r="CR11" s="84">
        <v>124794</v>
      </c>
      <c r="CS11" s="84">
        <v>12311161.75</v>
      </c>
      <c r="CT11" s="84">
        <v>12354540.919999996</v>
      </c>
      <c r="CU11" s="13"/>
      <c r="CV11" s="34"/>
      <c r="CW11" s="34"/>
      <c r="CX11" s="34"/>
      <c r="CY11" s="34"/>
      <c r="CZ11" s="34"/>
      <c r="DA11" s="4"/>
      <c r="DB11" s="34"/>
      <c r="DC11" s="34"/>
      <c r="DD11" s="34"/>
      <c r="DE11" s="34"/>
      <c r="DF11" s="31">
        <f t="shared" ref="DF11:DF35" si="43">IF(RIGHT(DF12,1)="1",DF12-7,DF12-1)</f>
        <v>20162</v>
      </c>
      <c r="DG11" s="13"/>
      <c r="DH11" s="84">
        <v>58821.664166666662</v>
      </c>
      <c r="DI11" s="84">
        <v>9</v>
      </c>
      <c r="DJ11" s="84">
        <v>10</v>
      </c>
      <c r="DK11" s="84">
        <v>62100</v>
      </c>
      <c r="DL11" s="84">
        <v>97850</v>
      </c>
      <c r="DM11" s="13"/>
      <c r="DN11" s="34"/>
      <c r="DO11" s="34"/>
      <c r="DP11" s="34"/>
      <c r="DQ11" s="34"/>
      <c r="DR11" s="34"/>
      <c r="DS11" s="4"/>
      <c r="DT11" s="34"/>
      <c r="DU11" s="34"/>
      <c r="DV11" s="34"/>
      <c r="DW11" s="34"/>
      <c r="DX11" s="31">
        <f t="shared" ref="DX11:DX35" si="44">IF(RIGHT(DX12,1)="1",DX12-7,DX12-1)</f>
        <v>20162</v>
      </c>
      <c r="DY11" s="13"/>
      <c r="DZ11" s="84"/>
      <c r="EA11" s="84"/>
      <c r="EB11" s="84"/>
      <c r="EC11" s="84"/>
      <c r="ED11" s="84"/>
      <c r="EE11" s="13"/>
      <c r="EF11" s="34"/>
      <c r="EG11" s="34"/>
      <c r="EH11" s="34"/>
      <c r="EI11" s="34"/>
      <c r="EJ11" s="34"/>
      <c r="EK11" s="4"/>
      <c r="EL11" s="34"/>
      <c r="EM11" s="34"/>
      <c r="EN11" s="34"/>
      <c r="EO11" s="34"/>
      <c r="EP11" s="31">
        <f t="shared" ref="EP11:EP35" si="45">IF(RIGHT(EP12,1)="1",EP12-7,EP12-1)</f>
        <v>20162</v>
      </c>
      <c r="EQ11" s="13"/>
      <c r="ER11" s="84"/>
      <c r="ES11" s="84"/>
      <c r="ET11" s="84"/>
      <c r="EU11" s="84"/>
      <c r="EV11" s="84"/>
      <c r="EW11" s="13"/>
      <c r="EX11" s="34"/>
      <c r="EY11" s="34"/>
      <c r="EZ11" s="34"/>
      <c r="FA11" s="34"/>
      <c r="FB11" s="34"/>
      <c r="FC11" s="4"/>
      <c r="FD11" s="34"/>
      <c r="FE11" s="34"/>
      <c r="FF11" s="34"/>
      <c r="FG11" s="34"/>
      <c r="FH11" s="31">
        <f t="shared" ref="FH11:FH35" si="46">IF(RIGHT(FH12,1)="1",FH12-7,FH12-1)</f>
        <v>20162</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20163</v>
      </c>
      <c r="C12" s="15"/>
      <c r="D12" s="16">
        <v>939179.83833333338</v>
      </c>
      <c r="E12" s="16">
        <v>45034</v>
      </c>
      <c r="F12" s="16">
        <v>78108</v>
      </c>
      <c r="G12" s="16">
        <v>322752908.35000002</v>
      </c>
      <c r="H12" s="16">
        <v>342264579.39999998</v>
      </c>
      <c r="I12" s="13"/>
      <c r="J12" s="35"/>
      <c r="K12" s="35"/>
      <c r="L12" s="35"/>
      <c r="M12" s="35"/>
      <c r="N12" s="35"/>
      <c r="O12" s="4"/>
      <c r="P12" s="35"/>
      <c r="Q12" s="35"/>
      <c r="R12" s="35"/>
      <c r="S12" s="35"/>
      <c r="T12" s="31">
        <f t="shared" si="38"/>
        <v>20163</v>
      </c>
      <c r="U12" s="15"/>
      <c r="V12" s="16">
        <v>536972.4425</v>
      </c>
      <c r="W12" s="16">
        <v>4274</v>
      </c>
      <c r="X12" s="16">
        <v>10886</v>
      </c>
      <c r="Y12" s="16">
        <v>15242259.15</v>
      </c>
      <c r="Z12" s="16">
        <v>15784535.199999994</v>
      </c>
      <c r="AA12" s="13"/>
      <c r="AB12" s="35"/>
      <c r="AC12" s="35"/>
      <c r="AD12" s="35"/>
      <c r="AE12" s="35"/>
      <c r="AF12" s="35"/>
      <c r="AG12" s="4"/>
      <c r="AH12" s="35"/>
      <c r="AI12" s="35"/>
      <c r="AJ12" s="35"/>
      <c r="AK12" s="35"/>
      <c r="AL12" s="31">
        <f t="shared" si="39"/>
        <v>20163</v>
      </c>
      <c r="AM12" s="15"/>
      <c r="AN12" s="16">
        <v>916769.56666666677</v>
      </c>
      <c r="AO12" s="16">
        <v>6373</v>
      </c>
      <c r="AP12" s="16">
        <v>9037</v>
      </c>
      <c r="AQ12" s="16">
        <v>44257545.770000003</v>
      </c>
      <c r="AR12" s="16">
        <v>44427359.00999999</v>
      </c>
      <c r="AS12" s="13"/>
      <c r="AT12" s="35"/>
      <c r="AU12" s="35"/>
      <c r="AV12" s="35"/>
      <c r="AW12" s="35"/>
      <c r="AX12" s="35"/>
      <c r="AY12" s="4"/>
      <c r="AZ12" s="35"/>
      <c r="BA12" s="35"/>
      <c r="BB12" s="35"/>
      <c r="BC12" s="35"/>
      <c r="BD12" s="31">
        <f t="shared" si="40"/>
        <v>20163</v>
      </c>
      <c r="BE12" s="15"/>
      <c r="BF12" s="16">
        <v>829459.1216666667</v>
      </c>
      <c r="BG12" s="16">
        <v>25508</v>
      </c>
      <c r="BH12" s="16">
        <v>30573</v>
      </c>
      <c r="BI12" s="16">
        <v>52979830.049999997</v>
      </c>
      <c r="BJ12" s="16">
        <v>52457055.74999997</v>
      </c>
      <c r="BK12" s="13"/>
      <c r="BL12" s="35"/>
      <c r="BM12" s="35"/>
      <c r="BN12" s="35"/>
      <c r="BO12" s="35"/>
      <c r="BP12" s="35"/>
      <c r="BQ12" s="4"/>
      <c r="BR12" s="35"/>
      <c r="BS12" s="35"/>
      <c r="BT12" s="35"/>
      <c r="BU12" s="35"/>
      <c r="BV12" s="31">
        <f t="shared" si="41"/>
        <v>20163</v>
      </c>
      <c r="BW12" s="15"/>
      <c r="BX12" s="16">
        <v>801404.71833333327</v>
      </c>
      <c r="BY12" s="16">
        <v>57205</v>
      </c>
      <c r="BZ12" s="16">
        <v>106078</v>
      </c>
      <c r="CA12" s="16">
        <v>205086399.25</v>
      </c>
      <c r="CB12" s="16">
        <v>194192089.9199999</v>
      </c>
      <c r="CC12" s="13"/>
      <c r="CD12" s="35"/>
      <c r="CE12" s="35"/>
      <c r="CF12" s="35"/>
      <c r="CG12" s="35"/>
      <c r="CH12" s="35"/>
      <c r="CI12" s="4"/>
      <c r="CJ12" s="35"/>
      <c r="CK12" s="35"/>
      <c r="CL12" s="35"/>
      <c r="CM12" s="35"/>
      <c r="CN12" s="31">
        <f t="shared" si="42"/>
        <v>20163</v>
      </c>
      <c r="CO12" s="15"/>
      <c r="CP12" s="16">
        <v>982614.30249999999</v>
      </c>
      <c r="CQ12" s="16">
        <v>89459</v>
      </c>
      <c r="CR12" s="16">
        <v>125578</v>
      </c>
      <c r="CS12" s="16">
        <v>12264834.18</v>
      </c>
      <c r="CT12" s="16">
        <v>12196000.759999996</v>
      </c>
      <c r="CU12" s="13"/>
      <c r="CV12" s="35"/>
      <c r="CW12" s="35"/>
      <c r="CX12" s="35"/>
      <c r="CY12" s="35"/>
      <c r="CZ12" s="35"/>
      <c r="DA12" s="4"/>
      <c r="DB12" s="35"/>
      <c r="DC12" s="35"/>
      <c r="DD12" s="35"/>
      <c r="DE12" s="35"/>
      <c r="DF12" s="31">
        <f t="shared" si="43"/>
        <v>20163</v>
      </c>
      <c r="DG12" s="15"/>
      <c r="DH12" s="16">
        <v>58542.907499999994</v>
      </c>
      <c r="DI12" s="16">
        <v>8</v>
      </c>
      <c r="DJ12" s="16">
        <v>11</v>
      </c>
      <c r="DK12" s="16">
        <v>62563.839999999997</v>
      </c>
      <c r="DL12" s="16">
        <v>59625</v>
      </c>
      <c r="DM12" s="13"/>
      <c r="DN12" s="35"/>
      <c r="DO12" s="35"/>
      <c r="DP12" s="35"/>
      <c r="DQ12" s="35"/>
      <c r="DR12" s="35"/>
      <c r="DS12" s="4"/>
      <c r="DT12" s="35"/>
      <c r="DU12" s="35"/>
      <c r="DV12" s="35"/>
      <c r="DW12" s="35"/>
      <c r="DX12" s="31">
        <f t="shared" si="44"/>
        <v>20163</v>
      </c>
      <c r="DY12" s="15"/>
      <c r="DZ12" s="16"/>
      <c r="EA12" s="16"/>
      <c r="EB12" s="16"/>
      <c r="EC12" s="16"/>
      <c r="ED12" s="16"/>
      <c r="EE12" s="13"/>
      <c r="EF12" s="35"/>
      <c r="EG12" s="35"/>
      <c r="EH12" s="35"/>
      <c r="EI12" s="35"/>
      <c r="EJ12" s="35"/>
      <c r="EK12" s="4"/>
      <c r="EL12" s="35"/>
      <c r="EM12" s="35"/>
      <c r="EN12" s="35"/>
      <c r="EO12" s="35"/>
      <c r="EP12" s="31">
        <f t="shared" si="45"/>
        <v>20163</v>
      </c>
      <c r="EQ12" s="15"/>
      <c r="ER12" s="16"/>
      <c r="ES12" s="16"/>
      <c r="ET12" s="16"/>
      <c r="EU12" s="16"/>
      <c r="EV12" s="16"/>
      <c r="EW12" s="13"/>
      <c r="EX12" s="35"/>
      <c r="EY12" s="35"/>
      <c r="EZ12" s="35"/>
      <c r="FA12" s="35"/>
      <c r="FB12" s="35"/>
      <c r="FC12" s="4"/>
      <c r="FD12" s="35"/>
      <c r="FE12" s="35"/>
      <c r="FF12" s="35"/>
      <c r="FG12" s="35"/>
      <c r="FH12" s="31">
        <f t="shared" si="46"/>
        <v>20163</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20164</v>
      </c>
      <c r="C13" s="15"/>
      <c r="D13" s="16">
        <v>939808.34916666662</v>
      </c>
      <c r="E13" s="16">
        <v>45151</v>
      </c>
      <c r="F13" s="16">
        <v>77239</v>
      </c>
      <c r="G13" s="16">
        <v>304709227.41999996</v>
      </c>
      <c r="H13" s="16">
        <v>315763218.98999995</v>
      </c>
      <c r="I13" s="13"/>
      <c r="J13" s="35"/>
      <c r="K13" s="35"/>
      <c r="L13" s="35"/>
      <c r="M13" s="35"/>
      <c r="N13" s="35"/>
      <c r="O13" s="13"/>
      <c r="P13" s="35"/>
      <c r="Q13" s="35"/>
      <c r="R13" s="35"/>
      <c r="S13" s="35"/>
      <c r="T13" s="31">
        <f t="shared" si="38"/>
        <v>20164</v>
      </c>
      <c r="U13" s="15"/>
      <c r="V13" s="16">
        <v>535822.39583333337</v>
      </c>
      <c r="W13" s="16">
        <v>4155</v>
      </c>
      <c r="X13" s="16">
        <v>11098</v>
      </c>
      <c r="Y13" s="16">
        <v>15871331.279999999</v>
      </c>
      <c r="Z13" s="16">
        <v>15758763.489999998</v>
      </c>
      <c r="AA13" s="13"/>
      <c r="AB13" s="35"/>
      <c r="AC13" s="35"/>
      <c r="AD13" s="35"/>
      <c r="AE13" s="35"/>
      <c r="AF13" s="35"/>
      <c r="AG13" s="13"/>
      <c r="AH13" s="35"/>
      <c r="AI13" s="35"/>
      <c r="AJ13" s="35"/>
      <c r="AK13" s="35"/>
      <c r="AL13" s="31">
        <f t="shared" si="39"/>
        <v>20164</v>
      </c>
      <c r="AM13" s="15"/>
      <c r="AN13" s="16">
        <v>917628.07</v>
      </c>
      <c r="AO13" s="16">
        <v>6528</v>
      </c>
      <c r="AP13" s="16">
        <v>9106</v>
      </c>
      <c r="AQ13" s="16">
        <v>41855242.170000002</v>
      </c>
      <c r="AR13" s="16">
        <v>41107031.099999994</v>
      </c>
      <c r="AS13" s="13"/>
      <c r="AT13" s="35"/>
      <c r="AU13" s="35"/>
      <c r="AV13" s="35"/>
      <c r="AW13" s="35"/>
      <c r="AX13" s="35"/>
      <c r="AY13" s="13"/>
      <c r="AZ13" s="35"/>
      <c r="BA13" s="35"/>
      <c r="BB13" s="35"/>
      <c r="BC13" s="35"/>
      <c r="BD13" s="31">
        <f t="shared" si="40"/>
        <v>20164</v>
      </c>
      <c r="BE13" s="15"/>
      <c r="BF13" s="16">
        <v>830340.77</v>
      </c>
      <c r="BG13" s="16">
        <v>22051</v>
      </c>
      <c r="BH13" s="16">
        <v>27301</v>
      </c>
      <c r="BI13" s="16">
        <v>50819840.549999997</v>
      </c>
      <c r="BJ13" s="16">
        <v>49641341.480000012</v>
      </c>
      <c r="BK13" s="13"/>
      <c r="BL13" s="35"/>
      <c r="BM13" s="35"/>
      <c r="BN13" s="35"/>
      <c r="BO13" s="35"/>
      <c r="BP13" s="35"/>
      <c r="BQ13" s="13"/>
      <c r="BR13" s="35"/>
      <c r="BS13" s="35"/>
      <c r="BT13" s="35"/>
      <c r="BU13" s="35"/>
      <c r="BV13" s="31">
        <f t="shared" si="41"/>
        <v>20164</v>
      </c>
      <c r="BW13" s="15"/>
      <c r="BX13" s="16">
        <v>802177.55500000005</v>
      </c>
      <c r="BY13" s="16">
        <v>57069</v>
      </c>
      <c r="BZ13" s="16">
        <v>103594</v>
      </c>
      <c r="CA13" s="16">
        <v>213321082.52000001</v>
      </c>
      <c r="CB13" s="16">
        <v>205866565.15000004</v>
      </c>
      <c r="CC13" s="13"/>
      <c r="CD13" s="35"/>
      <c r="CE13" s="35"/>
      <c r="CF13" s="35"/>
      <c r="CG13" s="35"/>
      <c r="CH13" s="35"/>
      <c r="CI13" s="13"/>
      <c r="CJ13" s="35"/>
      <c r="CK13" s="35"/>
      <c r="CL13" s="35"/>
      <c r="CM13" s="35"/>
      <c r="CN13" s="31">
        <f t="shared" si="42"/>
        <v>20164</v>
      </c>
      <c r="CO13" s="15"/>
      <c r="CP13" s="16">
        <v>986464.52500000002</v>
      </c>
      <c r="CQ13" s="16">
        <v>90499</v>
      </c>
      <c r="CR13" s="16">
        <v>121518</v>
      </c>
      <c r="CS13" s="16">
        <v>12741825.949999999</v>
      </c>
      <c r="CT13" s="16">
        <v>12709969.879999993</v>
      </c>
      <c r="CU13" s="13"/>
      <c r="CV13" s="35"/>
      <c r="CW13" s="35"/>
      <c r="CX13" s="35"/>
      <c r="CY13" s="35"/>
      <c r="CZ13" s="35"/>
      <c r="DA13" s="13"/>
      <c r="DB13" s="35"/>
      <c r="DC13" s="35"/>
      <c r="DD13" s="35"/>
      <c r="DE13" s="35"/>
      <c r="DF13" s="31">
        <f t="shared" si="43"/>
        <v>20164</v>
      </c>
      <c r="DG13" s="15"/>
      <c r="DH13" s="16">
        <v>58341.829166666663</v>
      </c>
      <c r="DI13" s="16">
        <v>6</v>
      </c>
      <c r="DJ13" s="16">
        <v>10</v>
      </c>
      <c r="DK13" s="16">
        <v>76350</v>
      </c>
      <c r="DL13" s="16">
        <v>89250</v>
      </c>
      <c r="DM13" s="13"/>
      <c r="DN13" s="35"/>
      <c r="DO13" s="35"/>
      <c r="DP13" s="35"/>
      <c r="DQ13" s="35"/>
      <c r="DR13" s="35"/>
      <c r="DS13" s="13"/>
      <c r="DT13" s="35"/>
      <c r="DU13" s="35"/>
      <c r="DV13" s="35"/>
      <c r="DW13" s="35"/>
      <c r="DX13" s="31">
        <f t="shared" si="44"/>
        <v>20164</v>
      </c>
      <c r="DY13" s="15"/>
      <c r="DZ13" s="16"/>
      <c r="EA13" s="16"/>
      <c r="EB13" s="16"/>
      <c r="EC13" s="16"/>
      <c r="ED13" s="16"/>
      <c r="EE13" s="13"/>
      <c r="EF13" s="35"/>
      <c r="EG13" s="35"/>
      <c r="EH13" s="35"/>
      <c r="EI13" s="35"/>
      <c r="EJ13" s="35"/>
      <c r="EK13" s="13"/>
      <c r="EL13" s="35"/>
      <c r="EM13" s="35"/>
      <c r="EN13" s="35"/>
      <c r="EO13" s="35"/>
      <c r="EP13" s="31">
        <f t="shared" si="45"/>
        <v>20164</v>
      </c>
      <c r="EQ13" s="15"/>
      <c r="ER13" s="16"/>
      <c r="ES13" s="16"/>
      <c r="ET13" s="16"/>
      <c r="EU13" s="16"/>
      <c r="EV13" s="16"/>
      <c r="EW13" s="13"/>
      <c r="EX13" s="35"/>
      <c r="EY13" s="35"/>
      <c r="EZ13" s="35"/>
      <c r="FA13" s="35"/>
      <c r="FB13" s="35"/>
      <c r="FC13" s="13"/>
      <c r="FD13" s="35"/>
      <c r="FE13" s="35"/>
      <c r="FF13" s="35"/>
      <c r="FG13" s="35"/>
      <c r="FH13" s="31">
        <f t="shared" si="46"/>
        <v>20164</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20171</v>
      </c>
      <c r="C14" s="15"/>
      <c r="D14" s="16">
        <v>942161.95250000001</v>
      </c>
      <c r="E14" s="16">
        <v>47464</v>
      </c>
      <c r="F14" s="16">
        <v>75794</v>
      </c>
      <c r="G14" s="16">
        <v>321194017.43000001</v>
      </c>
      <c r="H14" s="16">
        <v>326585120.34000009</v>
      </c>
      <c r="I14" s="13"/>
      <c r="J14" s="33">
        <f>IF(COUNT(D11:D14)&lt;4,"",SUM(D11:D14))</f>
        <v>3759908.8533333335</v>
      </c>
      <c r="K14" s="33">
        <f>IF(COUNT(D11:D14)&lt;4,"",SUM(E11:E14))</f>
        <v>182259</v>
      </c>
      <c r="L14" s="33">
        <f>IF(COUNT(D11:D14)&lt;4,"",SUM(F11:F14))</f>
        <v>307462</v>
      </c>
      <c r="M14" s="33">
        <f>IF(COUNT(D11:D14)&lt;4,"",SUM(G11:G14))</f>
        <v>1266195040.9200001</v>
      </c>
      <c r="N14" s="33">
        <f>IF(COUNT(D11:D14)&lt;4,"",SUM(H11:H14))</f>
        <v>1280845770.1500001</v>
      </c>
      <c r="O14" s="13"/>
      <c r="P14" s="55">
        <f>IFERROR(K14/J14*100,0)</f>
        <v>4.8474313370234743</v>
      </c>
      <c r="Q14" s="55">
        <f>IFERROR(L14/J14*100,0)</f>
        <v>8.1773790800120238</v>
      </c>
      <c r="R14" s="56">
        <f>IFERROR(M14/K14,0)</f>
        <v>6947.2291679423242</v>
      </c>
      <c r="S14" s="56">
        <f>IFERROR(N14/K14,0)</f>
        <v>7027.6132874096756</v>
      </c>
      <c r="T14" s="31">
        <f t="shared" si="38"/>
        <v>20171</v>
      </c>
      <c r="U14" s="15"/>
      <c r="V14" s="16">
        <v>535367.89666666661</v>
      </c>
      <c r="W14" s="16">
        <v>4458</v>
      </c>
      <c r="X14" s="16">
        <v>10712</v>
      </c>
      <c r="Y14" s="16">
        <v>17059664.559999999</v>
      </c>
      <c r="Z14" s="16">
        <v>17221431.690000005</v>
      </c>
      <c r="AA14" s="13"/>
      <c r="AB14" s="33">
        <f>IF(COUNT(V11:V14)&lt;4,"",SUM(V11:V14))</f>
        <v>2146768.4249999998</v>
      </c>
      <c r="AC14" s="33">
        <f>IF(COUNT(V11:V14)&lt;4,"",SUM(W11:W14))</f>
        <v>17745</v>
      </c>
      <c r="AD14" s="33">
        <f>IF(COUNT(V11:V14)&lt;4,"",SUM(X11:X14))</f>
        <v>43799</v>
      </c>
      <c r="AE14" s="33">
        <f>IF(COUNT(V11:V14)&lt;4,"",SUM(Y11:Y14))</f>
        <v>63783031.269999996</v>
      </c>
      <c r="AF14" s="33">
        <f>IF(COUNT(V11:V14)&lt;4,"",SUM(Z11:Z14))</f>
        <v>66451924.879999988</v>
      </c>
      <c r="AG14" s="13"/>
      <c r="AH14" s="55">
        <f>IFERROR(AC14/AB14*100,0)</f>
        <v>0.82659125191856686</v>
      </c>
      <c r="AI14" s="55">
        <f>IFERROR(AD14/AB14*100,0)</f>
        <v>2.0402293740648809</v>
      </c>
      <c r="AJ14" s="56">
        <f>IFERROR(AE14/AC14,0)</f>
        <v>3594.4227258382639</v>
      </c>
      <c r="AK14" s="56">
        <f>IFERROR(AF14/AC14,0)</f>
        <v>3744.825296139757</v>
      </c>
      <c r="AL14" s="31">
        <f t="shared" si="39"/>
        <v>20171</v>
      </c>
      <c r="AM14" s="15"/>
      <c r="AN14" s="16">
        <v>920103.56833333336</v>
      </c>
      <c r="AO14" s="16">
        <v>7006</v>
      </c>
      <c r="AP14" s="16">
        <v>9474</v>
      </c>
      <c r="AQ14" s="16">
        <v>43792892.25</v>
      </c>
      <c r="AR14" s="16">
        <v>42713676.140000001</v>
      </c>
      <c r="AS14" s="13"/>
      <c r="AT14" s="33">
        <f>IF(COUNT(AN11:AN14)&lt;4,"",SUM(AN11:AN14))</f>
        <v>3670692.2166666668</v>
      </c>
      <c r="AU14" s="33">
        <f>IF(COUNT(AN11:AN14)&lt;4,"",SUM(AO11:AO14))</f>
        <v>26090</v>
      </c>
      <c r="AV14" s="33">
        <f>IF(COUNT(AN11:AN14)&lt;4,"",SUM(AP11:AP14))</f>
        <v>36418</v>
      </c>
      <c r="AW14" s="33">
        <f>IF(COUNT(AN11:AN14)&lt;4,"",SUM(AQ11:AQ14))</f>
        <v>172744191.15000001</v>
      </c>
      <c r="AX14" s="33">
        <f>IF(COUNT(AN11:AN14)&lt;4,"",SUM(AR11:AR14))</f>
        <v>171251232.81</v>
      </c>
      <c r="AY14" s="13"/>
      <c r="AZ14" s="55">
        <f>IFERROR(AU14/AT14*100,0)</f>
        <v>0.71076512167212347</v>
      </c>
      <c r="BA14" s="55">
        <f>IFERROR(AV14/AT14*100,0)</f>
        <v>0.99212894599675705</v>
      </c>
      <c r="BB14" s="56">
        <f>IFERROR(AW14/AU14,0)</f>
        <v>6621.0882004599462</v>
      </c>
      <c r="BC14" s="56">
        <f>IFERROR(AX14/AU14,0)</f>
        <v>6563.8648068225375</v>
      </c>
      <c r="BD14" s="31">
        <f t="shared" si="40"/>
        <v>20171</v>
      </c>
      <c r="BE14" s="15"/>
      <c r="BF14" s="16">
        <v>832546.15249999997</v>
      </c>
      <c r="BG14" s="16">
        <v>26754</v>
      </c>
      <c r="BH14" s="16">
        <v>32906</v>
      </c>
      <c r="BI14" s="16">
        <v>61910064.170000002</v>
      </c>
      <c r="BJ14" s="16">
        <v>63480486.990000024</v>
      </c>
      <c r="BK14" s="13"/>
      <c r="BL14" s="33">
        <f>IF(COUNT(BF11:BF14)&lt;4,"",SUM(BF11:BF14))</f>
        <v>3321041.4083333332</v>
      </c>
      <c r="BM14" s="33">
        <f>IF(COUNT(BF11:BF14)&lt;4,"",SUM(BG11:BG14))</f>
        <v>98723</v>
      </c>
      <c r="BN14" s="33">
        <f>IF(COUNT(BF11:BF14)&lt;4,"",SUM(BH11:BH14))</f>
        <v>119990</v>
      </c>
      <c r="BO14" s="33">
        <f>IF(COUNT(BF11:BF14)&lt;4,"",SUM(BI11:BI14))</f>
        <v>216186236.94</v>
      </c>
      <c r="BP14" s="33">
        <f>IF(COUNT(BF11:BF14)&lt;4,"",SUM(BJ11:BJ14))</f>
        <v>216136807.73000002</v>
      </c>
      <c r="BQ14" s="13"/>
      <c r="BR14" s="55">
        <f>IFERROR(BM14/BL14*100,0)</f>
        <v>2.9726518842035214</v>
      </c>
      <c r="BS14" s="55">
        <f>IFERROR(BN14/BL14*100,0)</f>
        <v>3.6130233034407442</v>
      </c>
      <c r="BT14" s="56">
        <f>IFERROR(BO14/BM14,0)</f>
        <v>2189.8264532074591</v>
      </c>
      <c r="BU14" s="56">
        <f>IFERROR(BP14/BM14,0)</f>
        <v>2189.3257673490475</v>
      </c>
      <c r="BV14" s="31">
        <f t="shared" si="41"/>
        <v>20171</v>
      </c>
      <c r="BW14" s="15"/>
      <c r="BX14" s="16">
        <v>804145.75416666677</v>
      </c>
      <c r="BY14" s="16">
        <v>60330</v>
      </c>
      <c r="BZ14" s="16">
        <v>103982</v>
      </c>
      <c r="CA14" s="16">
        <v>232296083.97999999</v>
      </c>
      <c r="CB14" s="16">
        <v>225376711.09999993</v>
      </c>
      <c r="CC14" s="13"/>
      <c r="CD14" s="33">
        <f>IF(COUNT(BX11:BX14)&lt;4,"",SUM(BX11:BX14))</f>
        <v>3208452.3691666671</v>
      </c>
      <c r="CE14" s="33">
        <f>IF(COUNT(BX11:BX14)&lt;4,"",SUM(BY11:BY14))</f>
        <v>230658</v>
      </c>
      <c r="CF14" s="33">
        <f>IF(COUNT(BX11:BX14)&lt;4,"",SUM(BZ11:BZ14))</f>
        <v>415564</v>
      </c>
      <c r="CG14" s="33">
        <f>IF(COUNT(BX11:BX14)&lt;4,"",SUM(CA11:CA14))</f>
        <v>850657165.96000004</v>
      </c>
      <c r="CH14" s="33">
        <f>IF(COUNT(BX11:BX14)&lt;4,"",SUM(CB11:CB14))</f>
        <v>822457709.50999999</v>
      </c>
      <c r="CI14" s="13"/>
      <c r="CJ14" s="55">
        <f>IFERROR(CE14/CD14*100,0)</f>
        <v>7.189073530173955</v>
      </c>
      <c r="CK14" s="55">
        <f>IFERROR(CF14/CD14*100,0)</f>
        <v>12.952163603660871</v>
      </c>
      <c r="CL14" s="56">
        <f>IFERROR(CG14/CE14,0)</f>
        <v>3687.9586485619402</v>
      </c>
      <c r="CM14" s="56">
        <f>IFERROR(CH14/CE14,0)</f>
        <v>3565.7020762774323</v>
      </c>
      <c r="CN14" s="31">
        <f t="shared" si="42"/>
        <v>20171</v>
      </c>
      <c r="CO14" s="15"/>
      <c r="CP14" s="16">
        <v>992874.19499999995</v>
      </c>
      <c r="CQ14" s="16">
        <v>97517</v>
      </c>
      <c r="CR14" s="16">
        <v>128609</v>
      </c>
      <c r="CS14" s="16">
        <v>14683998.300000001</v>
      </c>
      <c r="CT14" s="16">
        <v>14477252.049999971</v>
      </c>
      <c r="CU14" s="13"/>
      <c r="CV14" s="33">
        <f>IF(COUNT(CP11:CP14)&lt;4,"",SUM(CP11:CP14))</f>
        <v>3941173.7191666663</v>
      </c>
      <c r="CW14" s="33">
        <f>IF(COUNT(CP11:CP14)&lt;4,"",SUM(CQ11:CQ14))</f>
        <v>368762</v>
      </c>
      <c r="CX14" s="33">
        <f>IF(COUNT(CP11:CP14)&lt;4,"",SUM(CR11:CR14))</f>
        <v>500499</v>
      </c>
      <c r="CY14" s="33">
        <f>IF(COUNT(CP11:CP14)&lt;4,"",SUM(CS11:CS14))</f>
        <v>52001820.179999992</v>
      </c>
      <c r="CZ14" s="33">
        <f>IF(COUNT(CP11:CP14)&lt;4,"",SUM(CT11:CT14))</f>
        <v>51737763.609999955</v>
      </c>
      <c r="DA14" s="13"/>
      <c r="DB14" s="55">
        <f>IFERROR(CW14/CV14*100,0)</f>
        <v>9.3566542932792149</v>
      </c>
      <c r="DC14" s="55">
        <f>IFERROR(CX14/CV14*100,0)</f>
        <v>12.699237223824456</v>
      </c>
      <c r="DD14" s="56">
        <f>IFERROR(CY14/CW14,0)</f>
        <v>141.01729619646275</v>
      </c>
      <c r="DE14" s="56">
        <f>IFERROR(CZ14/CW14,0)</f>
        <v>140.30123388527005</v>
      </c>
      <c r="DF14" s="31">
        <f t="shared" si="43"/>
        <v>20171</v>
      </c>
      <c r="DG14" s="15"/>
      <c r="DH14" s="16">
        <v>58334.932500000003</v>
      </c>
      <c r="DI14" s="16">
        <v>11</v>
      </c>
      <c r="DJ14" s="16">
        <v>17</v>
      </c>
      <c r="DK14" s="16">
        <v>103850</v>
      </c>
      <c r="DL14" s="16">
        <v>44450</v>
      </c>
      <c r="DM14" s="13"/>
      <c r="DN14" s="33">
        <f>IF(COUNT(DH11:DH14)&lt;4,"",SUM(DH11:DH14))</f>
        <v>234041.33333333331</v>
      </c>
      <c r="DO14" s="33">
        <f>IF(COUNT(DH11:DH14)&lt;4,"",SUM(DI11:DI14))</f>
        <v>34</v>
      </c>
      <c r="DP14" s="33">
        <f>IF(COUNT(DH11:DH14)&lt;4,"",SUM(DJ11:DJ14))</f>
        <v>48</v>
      </c>
      <c r="DQ14" s="33">
        <f>IF(COUNT(DH11:DH14)&lt;4,"",SUM(DK11:DK14))</f>
        <v>304863.83999999997</v>
      </c>
      <c r="DR14" s="33">
        <f>IF(COUNT(DH11:DH14)&lt;4,"",SUM(DL11:DL14))</f>
        <v>291175</v>
      </c>
      <c r="DS14" s="13"/>
      <c r="DT14" s="55">
        <f>IFERROR(DO14/DN14*100,0)</f>
        <v>1.4527348445573718E-2</v>
      </c>
      <c r="DU14" s="55">
        <f>IFERROR(DP14/DN14*100,0)</f>
        <v>2.0509197805515838E-2</v>
      </c>
      <c r="DV14" s="56">
        <f>IFERROR(DQ14/DO14,0)</f>
        <v>8966.5835294117642</v>
      </c>
      <c r="DW14" s="56">
        <f>IFERROR(DR14/DO14,0)</f>
        <v>8563.9705882352937</v>
      </c>
      <c r="DX14" s="31">
        <f t="shared" si="44"/>
        <v>20171</v>
      </c>
      <c r="DY14" s="15"/>
      <c r="DZ14" s="16"/>
      <c r="EA14" s="16"/>
      <c r="EB14" s="16"/>
      <c r="EC14" s="16"/>
      <c r="ED14" s="16"/>
      <c r="EE14" s="13"/>
      <c r="EF14" s="33" t="str">
        <f>IF(COUNT(DZ11:DZ14)&lt;4,"",SUM(DZ11:DZ14))</f>
        <v/>
      </c>
      <c r="EG14" s="33" t="str">
        <f>IF(COUNT(DZ11:DZ14)&lt;4,"",SUM(EA11:EA14))</f>
        <v/>
      </c>
      <c r="EH14" s="33" t="str">
        <f>IF(COUNT(DZ11:DZ14)&lt;4,"",SUM(EB11:EB14))</f>
        <v/>
      </c>
      <c r="EI14" s="33" t="str">
        <f>IF(COUNT(DZ11:DZ14)&lt;4,"",SUM(EC11:EC14))</f>
        <v/>
      </c>
      <c r="EJ14" s="33" t="str">
        <f>IF(COUNT(DZ11:DZ14)&lt;4,"",SUM(ED11:ED14))</f>
        <v/>
      </c>
      <c r="EK14" s="13"/>
      <c r="EL14" s="55">
        <f>IFERROR(EG14/EF14*100,0)</f>
        <v>0</v>
      </c>
      <c r="EM14" s="55">
        <f>IFERROR(EH14/EF14*100,0)</f>
        <v>0</v>
      </c>
      <c r="EN14" s="56">
        <f>IFERROR(EI14/EG14,0)</f>
        <v>0</v>
      </c>
      <c r="EO14" s="56">
        <f>IFERROR(EJ14/EG14,0)</f>
        <v>0</v>
      </c>
      <c r="EP14" s="31">
        <f t="shared" si="45"/>
        <v>20171</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20171</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20172</v>
      </c>
      <c r="C15" s="15"/>
      <c r="D15" s="16">
        <v>947555.89583333337</v>
      </c>
      <c r="E15" s="16">
        <v>44883</v>
      </c>
      <c r="F15" s="16">
        <v>75308</v>
      </c>
      <c r="G15" s="16">
        <v>304081152.88999999</v>
      </c>
      <c r="H15" s="16">
        <v>301617945.08999991</v>
      </c>
      <c r="I15" s="13"/>
      <c r="J15" s="33">
        <f t="shared" ref="J15:J37" si="47">IF(COUNT(D12:D15)&lt;4,"",SUM(D12:D15))</f>
        <v>3768706.0358333336</v>
      </c>
      <c r="K15" s="33">
        <f t="shared" ref="K15:K37" si="48">IF(COUNT(D12:D15)&lt;4,"",SUM(E12:E15))</f>
        <v>182532</v>
      </c>
      <c r="L15" s="33">
        <f t="shared" ref="L15:L37" si="49">IF(COUNT(D12:D15)&lt;4,"",SUM(F12:F15))</f>
        <v>306449</v>
      </c>
      <c r="M15" s="33">
        <f t="shared" ref="M15:M37" si="50">IF(COUNT(D12:D15)&lt;4,"",SUM(G12:G15))</f>
        <v>1252737306.0900002</v>
      </c>
      <c r="N15" s="33">
        <f t="shared" ref="N15:N37" si="51">IF(COUNT(D12:D15)&lt;4,"",SUM(H12:H15))</f>
        <v>1286230863.8199999</v>
      </c>
      <c r="O15" s="13"/>
      <c r="P15" s="55">
        <f t="shared" ref="P15:P37" si="52">IFERROR(K15/J15*100,0)</f>
        <v>4.8433599825633165</v>
      </c>
      <c r="Q15" s="55">
        <f t="shared" ref="Q15:Q37" si="53">IFERROR(L15/J15*100,0)</f>
        <v>8.1314116061651962</v>
      </c>
      <c r="R15" s="56">
        <f t="shared" ref="R15:R37" si="54">IFERROR(M15/K15,0)</f>
        <v>6863.1106112352909</v>
      </c>
      <c r="S15" s="56">
        <f t="shared" ref="S15:S37" si="55">IFERROR(N15/K15,0)</f>
        <v>7046.6047806412025</v>
      </c>
      <c r="T15" s="31">
        <f t="shared" si="38"/>
        <v>20172</v>
      </c>
      <c r="U15" s="15"/>
      <c r="V15" s="16">
        <v>535809.57583333331</v>
      </c>
      <c r="W15" s="16">
        <v>4129</v>
      </c>
      <c r="X15" s="16">
        <v>10365</v>
      </c>
      <c r="Y15" s="16">
        <v>17515421.390000001</v>
      </c>
      <c r="Z15" s="16">
        <v>18252656.789999999</v>
      </c>
      <c r="AA15" s="13"/>
      <c r="AB15" s="33">
        <f t="shared" ref="AB15:AB37" si="56">IF(COUNT(V12:V15)&lt;4,"",SUM(V12:V15))</f>
        <v>2143972.3108333331</v>
      </c>
      <c r="AC15" s="33">
        <f t="shared" ref="AC15:AC37" si="57">IF(COUNT(V12:V15)&lt;4,"",SUM(W12:W15))</f>
        <v>17016</v>
      </c>
      <c r="AD15" s="33">
        <f t="shared" ref="AD15:AD37" si="58">IF(COUNT(V12:V15)&lt;4,"",SUM(X12:X15))</f>
        <v>43061</v>
      </c>
      <c r="AE15" s="33">
        <f t="shared" ref="AE15:AE37" si="59">IF(COUNT(V12:V15)&lt;4,"",SUM(Y12:Y15))</f>
        <v>65688676.379999995</v>
      </c>
      <c r="AF15" s="33">
        <f t="shared" ref="AF15:AF37" si="60">IF(COUNT(V12:V15)&lt;4,"",SUM(Z12:Z15))</f>
        <v>67017387.169999994</v>
      </c>
      <c r="AG15" s="13"/>
      <c r="AH15" s="55">
        <f t="shared" ref="AH15:AH37" si="61">IFERROR(AC15/AB15*100,0)</f>
        <v>0.79366696640714129</v>
      </c>
      <c r="AI15" s="55">
        <f t="shared" ref="AI15:AI37" si="62">IFERROR(AD15/AB15*100,0)</f>
        <v>2.0084681029888287</v>
      </c>
      <c r="AJ15" s="56">
        <f t="shared" ref="AJ15:AJ37" si="63">IFERROR(AE15/AC15,0)</f>
        <v>3860.4064633286316</v>
      </c>
      <c r="AK15" s="56">
        <f t="shared" ref="AK15:AK37" si="64">IFERROR(AF15/AC15,0)</f>
        <v>3938.4924288904558</v>
      </c>
      <c r="AL15" s="31">
        <f t="shared" si="39"/>
        <v>20172</v>
      </c>
      <c r="AM15" s="15"/>
      <c r="AN15" s="16">
        <v>925659.47499999998</v>
      </c>
      <c r="AO15" s="16">
        <v>6780</v>
      </c>
      <c r="AP15" s="16">
        <v>9042</v>
      </c>
      <c r="AQ15" s="16">
        <v>48965928.490000002</v>
      </c>
      <c r="AR15" s="16">
        <v>49756163.519999996</v>
      </c>
      <c r="AS15" s="13"/>
      <c r="AT15" s="33">
        <f t="shared" ref="AT15:AT37" si="65">IF(COUNT(AN12:AN15)&lt;4,"",SUM(AN12:AN15))</f>
        <v>3680160.68</v>
      </c>
      <c r="AU15" s="33">
        <f t="shared" ref="AU15:AU37" si="66">IF(COUNT(AN12:AN15)&lt;4,"",SUM(AO12:AO15))</f>
        <v>26687</v>
      </c>
      <c r="AV15" s="33">
        <f t="shared" ref="AV15:AV37" si="67">IF(COUNT(AN12:AN15)&lt;4,"",SUM(AP12:AP15))</f>
        <v>36659</v>
      </c>
      <c r="AW15" s="33">
        <f t="shared" ref="AW15:AW37" si="68">IF(COUNT(AN12:AN15)&lt;4,"",SUM(AQ12:AQ15))</f>
        <v>178871608.68000001</v>
      </c>
      <c r="AX15" s="33">
        <f t="shared" ref="AX15:AX37" si="69">IF(COUNT(AN12:AN15)&lt;4,"",SUM(AR12:AR15))</f>
        <v>178004229.76999998</v>
      </c>
      <c r="AY15" s="13"/>
      <c r="AZ15" s="55">
        <f t="shared" ref="AZ15:AZ37" si="70">IFERROR(AU15/AT15*100,0)</f>
        <v>0.72515855476179913</v>
      </c>
      <c r="BA15" s="55">
        <f t="shared" ref="BA15:BA37" si="71">IFERROR(AV15/AT15*100,0)</f>
        <v>0.9961249844123653</v>
      </c>
      <c r="BB15" s="56">
        <f t="shared" ref="BB15:BB37" si="72">IFERROR(AW15/AU15,0)</f>
        <v>6702.5746123580775</v>
      </c>
      <c r="BC15" s="56">
        <f t="shared" ref="BC15:BC37" si="73">IFERROR(AX15/AU15,0)</f>
        <v>6670.0726859519609</v>
      </c>
      <c r="BD15" s="31">
        <f t="shared" si="40"/>
        <v>20172</v>
      </c>
      <c r="BE15" s="15"/>
      <c r="BF15" s="16">
        <v>836706.61833333329</v>
      </c>
      <c r="BG15" s="16">
        <v>28040</v>
      </c>
      <c r="BH15" s="16">
        <v>33748</v>
      </c>
      <c r="BI15" s="16">
        <v>55397018.200000003</v>
      </c>
      <c r="BJ15" s="16">
        <v>62334997.289999999</v>
      </c>
      <c r="BK15" s="13"/>
      <c r="BL15" s="33">
        <f t="shared" ref="BL15:BL37" si="74">IF(COUNT(BF12:BF15)&lt;4,"",SUM(BF12:BF15))</f>
        <v>3329052.6624999996</v>
      </c>
      <c r="BM15" s="33">
        <f t="shared" ref="BM15:BM37" si="75">IF(COUNT(BF12:BF15)&lt;4,"",SUM(BG12:BG15))</f>
        <v>102353</v>
      </c>
      <c r="BN15" s="33">
        <f t="shared" ref="BN15:BN37" si="76">IF(COUNT(BF12:BF15)&lt;4,"",SUM(BH12:BH15))</f>
        <v>124528</v>
      </c>
      <c r="BO15" s="33">
        <f t="shared" ref="BO15:BO37" si="77">IF(COUNT(BF12:BF15)&lt;4,"",SUM(BI12:BI15))</f>
        <v>221106752.96999997</v>
      </c>
      <c r="BP15" s="33">
        <f t="shared" ref="BP15:BP37" si="78">IF(COUNT(BF12:BF15)&lt;4,"",SUM(BJ12:BJ15))</f>
        <v>227913881.51000002</v>
      </c>
      <c r="BQ15" s="13"/>
      <c r="BR15" s="55">
        <f t="shared" ref="BR15:BR37" si="79">IFERROR(BM15/BL15*100,0)</f>
        <v>3.0745383259613726</v>
      </c>
      <c r="BS15" s="55">
        <f t="shared" ref="BS15:BS37" si="80">IFERROR(BN15/BL15*100,0)</f>
        <v>3.7406437393658987</v>
      </c>
      <c r="BT15" s="56">
        <f t="shared" ref="BT15:BT37" si="81">IFERROR(BO15/BM15,0)</f>
        <v>2160.2371495706034</v>
      </c>
      <c r="BU15" s="56">
        <f t="shared" ref="BU15:BU37" si="82">IFERROR(BP15/BM15,0)</f>
        <v>2226.7435396129085</v>
      </c>
      <c r="BV15" s="31">
        <f t="shared" si="41"/>
        <v>20172</v>
      </c>
      <c r="BW15" s="15"/>
      <c r="BX15" s="16">
        <v>808064.3716666667</v>
      </c>
      <c r="BY15" s="16">
        <v>58701</v>
      </c>
      <c r="BZ15" s="16">
        <v>103663</v>
      </c>
      <c r="CA15" s="16">
        <v>199342234.16</v>
      </c>
      <c r="CB15" s="16">
        <v>218930523.44000003</v>
      </c>
      <c r="CC15" s="13"/>
      <c r="CD15" s="33">
        <f t="shared" ref="CD15:CD37" si="83">IF(COUNT(BX12:BX15)&lt;4,"",SUM(BX12:BX15))</f>
        <v>3215792.3991666669</v>
      </c>
      <c r="CE15" s="33">
        <f t="shared" ref="CE15:CE37" si="84">IF(COUNT(BX12:BX15)&lt;4,"",SUM(BY12:BY15))</f>
        <v>233305</v>
      </c>
      <c r="CF15" s="33">
        <f t="shared" ref="CF15:CF37" si="85">IF(COUNT(BX12:BX15)&lt;4,"",SUM(BZ12:BZ15))</f>
        <v>417317</v>
      </c>
      <c r="CG15" s="33">
        <f t="shared" ref="CG15:CG37" si="86">IF(COUNT(BX12:BX15)&lt;4,"",SUM(CA12:CA15))</f>
        <v>850045799.90999997</v>
      </c>
      <c r="CH15" s="33">
        <f t="shared" ref="CH15:CH37" si="87">IF(COUNT(BX12:BX15)&lt;4,"",SUM(CB12:CB15))</f>
        <v>844365889.6099999</v>
      </c>
      <c r="CI15" s="13"/>
      <c r="CJ15" s="55">
        <f t="shared" ref="CJ15:CJ37" si="88">IFERROR(CE15/CD15*100,0)</f>
        <v>7.2549770333575676</v>
      </c>
      <c r="CK15" s="55">
        <f t="shared" ref="CK15:CK37" si="89">IFERROR(CF15/CD15*100,0)</f>
        <v>12.97711258065485</v>
      </c>
      <c r="CL15" s="56">
        <f t="shared" ref="CL15:CL37" si="90">IFERROR(CG15/CE15,0)</f>
        <v>3643.495852682111</v>
      </c>
      <c r="CM15" s="56">
        <f t="shared" ref="CM15:CM37" si="91">IFERROR(CH15/CE15,0)</f>
        <v>3619.1504237371678</v>
      </c>
      <c r="CN15" s="31">
        <f t="shared" si="42"/>
        <v>20172</v>
      </c>
      <c r="CO15" s="15"/>
      <c r="CP15" s="16">
        <v>1002642.2683333333</v>
      </c>
      <c r="CQ15" s="16">
        <v>95361</v>
      </c>
      <c r="CR15" s="16">
        <v>125080</v>
      </c>
      <c r="CS15" s="16">
        <v>13329786.970000001</v>
      </c>
      <c r="CT15" s="16">
        <v>13533157.259999974</v>
      </c>
      <c r="CU15" s="13"/>
      <c r="CV15" s="33">
        <f t="shared" ref="CV15:CV37" si="92">IF(COUNT(CP12:CP15)&lt;4,"",SUM(CP12:CP15))</f>
        <v>3964595.2908333335</v>
      </c>
      <c r="CW15" s="33">
        <f t="shared" ref="CW15:CW37" si="93">IF(COUNT(CP12:CP15)&lt;4,"",SUM(CQ12:CQ15))</f>
        <v>372836</v>
      </c>
      <c r="CX15" s="33">
        <f t="shared" ref="CX15:CX37" si="94">IF(COUNT(CP12:CP15)&lt;4,"",SUM(CR12:CR15))</f>
        <v>500785</v>
      </c>
      <c r="CY15" s="33">
        <f t="shared" ref="CY15:CY37" si="95">IF(COUNT(CP12:CP15)&lt;4,"",SUM(CS12:CS15))</f>
        <v>53020445.399999999</v>
      </c>
      <c r="CZ15" s="33">
        <f t="shared" ref="CZ15:CZ37" si="96">IF(COUNT(CP12:CP15)&lt;4,"",SUM(CT12:CT15))</f>
        <v>52916379.949999936</v>
      </c>
      <c r="DA15" s="13"/>
      <c r="DB15" s="55">
        <f t="shared" ref="DB15:DB37" si="97">IFERROR(CW15/CV15*100,0)</f>
        <v>9.4041376899691613</v>
      </c>
      <c r="DC15" s="55">
        <f t="shared" ref="DC15:DC37" si="98">IFERROR(CX15/CV15*100,0)</f>
        <v>12.63142800875239</v>
      </c>
      <c r="DD15" s="56">
        <f t="shared" ref="DD15:DD37" si="99">IFERROR(CY15/CW15,0)</f>
        <v>142.20849220568829</v>
      </c>
      <c r="DE15" s="56">
        <f t="shared" ref="DE15:DE37" si="100">IFERROR(CZ15/CW15,0)</f>
        <v>141.92937363881154</v>
      </c>
      <c r="DF15" s="31">
        <f t="shared" si="43"/>
        <v>20172</v>
      </c>
      <c r="DG15" s="15"/>
      <c r="DH15" s="16">
        <v>58547.376666666671</v>
      </c>
      <c r="DI15" s="16">
        <v>7</v>
      </c>
      <c r="DJ15" s="16">
        <v>10</v>
      </c>
      <c r="DK15" s="16">
        <v>94300</v>
      </c>
      <c r="DL15" s="16">
        <v>47300</v>
      </c>
      <c r="DM15" s="13"/>
      <c r="DN15" s="33">
        <f t="shared" ref="DN15:DN37" si="101">IF(COUNT(DH12:DH15)&lt;4,"",SUM(DH12:DH15))</f>
        <v>233767.04583333334</v>
      </c>
      <c r="DO15" s="33">
        <f t="shared" ref="DO15:DO37" si="102">IF(COUNT(DH12:DH15)&lt;4,"",SUM(DI12:DI15))</f>
        <v>32</v>
      </c>
      <c r="DP15" s="33">
        <f t="shared" ref="DP15:DP37" si="103">IF(COUNT(DH12:DH15)&lt;4,"",SUM(DJ12:DJ15))</f>
        <v>48</v>
      </c>
      <c r="DQ15" s="33">
        <f t="shared" ref="DQ15:DQ37" si="104">IF(COUNT(DH12:DH15)&lt;4,"",SUM(DK12:DK15))</f>
        <v>337063.83999999997</v>
      </c>
      <c r="DR15" s="33">
        <f t="shared" ref="DR15:DR37" si="105">IF(COUNT(DH12:DH15)&lt;4,"",SUM(DL12:DL15))</f>
        <v>240625</v>
      </c>
      <c r="DS15" s="13"/>
      <c r="DT15" s="55">
        <f t="shared" ref="DT15:DT37" si="106">IFERROR(DO15/DN15*100,0)</f>
        <v>1.3688841336008813E-2</v>
      </c>
      <c r="DU15" s="55">
        <f t="shared" ref="DU15:DU37" si="107">IFERROR(DP15/DN15*100,0)</f>
        <v>2.0533262004013217E-2</v>
      </c>
      <c r="DV15" s="56">
        <f t="shared" ref="DV15:DV37" si="108">IFERROR(DQ15/DO15,0)</f>
        <v>10533.244999999999</v>
      </c>
      <c r="DW15" s="56">
        <f t="shared" ref="DW15:DW37" si="109">IFERROR(DR15/DO15,0)</f>
        <v>7519.53125</v>
      </c>
      <c r="DX15" s="31">
        <f t="shared" si="44"/>
        <v>20172</v>
      </c>
      <c r="DY15" s="15"/>
      <c r="DZ15" s="16"/>
      <c r="EA15" s="16"/>
      <c r="EB15" s="16"/>
      <c r="EC15" s="16"/>
      <c r="ED15" s="16"/>
      <c r="EE15" s="13"/>
      <c r="EF15" s="33" t="str">
        <f t="shared" ref="EF15:EF37" si="110">IF(COUNT(DZ12:DZ15)&lt;4,"",SUM(DZ12:DZ15))</f>
        <v/>
      </c>
      <c r="EG15" s="33" t="str">
        <f t="shared" ref="EG15:EG37" si="111">IF(COUNT(DZ12:DZ15)&lt;4,"",SUM(EA12:EA15))</f>
        <v/>
      </c>
      <c r="EH15" s="33" t="str">
        <f t="shared" ref="EH15:EH37" si="112">IF(COUNT(DZ12:DZ15)&lt;4,"",SUM(EB12:EB15))</f>
        <v/>
      </c>
      <c r="EI15" s="33" t="str">
        <f t="shared" ref="EI15:EI37" si="113">IF(COUNT(DZ12:DZ15)&lt;4,"",SUM(EC12:EC15))</f>
        <v/>
      </c>
      <c r="EJ15" s="33" t="str">
        <f t="shared" ref="EJ15:EJ37" si="114">IF(COUNT(DZ12:DZ15)&lt;4,"",SUM(ED12:ED15))</f>
        <v/>
      </c>
      <c r="EK15" s="13"/>
      <c r="EL15" s="55">
        <f t="shared" ref="EL15:EL37" si="115">IFERROR(EG15/EF15*100,0)</f>
        <v>0</v>
      </c>
      <c r="EM15" s="55">
        <f t="shared" ref="EM15:EM37" si="116">IFERROR(EH15/EF15*100,0)</f>
        <v>0</v>
      </c>
      <c r="EN15" s="56">
        <f t="shared" ref="EN15:EN37" si="117">IFERROR(EI15/EG15,0)</f>
        <v>0</v>
      </c>
      <c r="EO15" s="56">
        <f t="shared" ref="EO15:EO37" si="118">IFERROR(EJ15/EG15,0)</f>
        <v>0</v>
      </c>
      <c r="EP15" s="31">
        <f t="shared" si="45"/>
        <v>20172</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20172</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20173</v>
      </c>
      <c r="C16" s="15"/>
      <c r="D16" s="16">
        <v>944678.24000000011</v>
      </c>
      <c r="E16" s="16">
        <v>43828</v>
      </c>
      <c r="F16" s="16">
        <v>75966</v>
      </c>
      <c r="G16" s="16">
        <v>287752857.5</v>
      </c>
      <c r="H16" s="16">
        <v>289344558.23000002</v>
      </c>
      <c r="I16" s="13"/>
      <c r="J16" s="33">
        <f t="shared" si="47"/>
        <v>3774204.4375000005</v>
      </c>
      <c r="K16" s="33">
        <f t="shared" si="48"/>
        <v>181326</v>
      </c>
      <c r="L16" s="33">
        <f t="shared" si="49"/>
        <v>304307</v>
      </c>
      <c r="M16" s="33">
        <f t="shared" si="50"/>
        <v>1217737255.2399998</v>
      </c>
      <c r="N16" s="33">
        <f t="shared" si="51"/>
        <v>1233310842.6500001</v>
      </c>
      <c r="O16" s="13"/>
      <c r="P16" s="55">
        <f t="shared" si="52"/>
        <v>4.8043502412950563</v>
      </c>
      <c r="Q16" s="55">
        <f t="shared" si="53"/>
        <v>8.0628117803170785</v>
      </c>
      <c r="R16" s="56">
        <f t="shared" si="54"/>
        <v>6715.7343968322239</v>
      </c>
      <c r="S16" s="56">
        <f t="shared" si="55"/>
        <v>6801.6216243120134</v>
      </c>
      <c r="T16" s="31">
        <f t="shared" si="38"/>
        <v>20173</v>
      </c>
      <c r="U16" s="15"/>
      <c r="V16" s="16">
        <v>533487.71250000002</v>
      </c>
      <c r="W16" s="16">
        <v>4070</v>
      </c>
      <c r="X16" s="16">
        <v>10075</v>
      </c>
      <c r="Y16" s="16">
        <v>16660279.26</v>
      </c>
      <c r="Z16" s="16">
        <v>16942008.059999999</v>
      </c>
      <c r="AA16" s="13"/>
      <c r="AB16" s="33">
        <f t="shared" si="56"/>
        <v>2140487.5808333331</v>
      </c>
      <c r="AC16" s="33">
        <f t="shared" si="57"/>
        <v>16812</v>
      </c>
      <c r="AD16" s="33">
        <f t="shared" si="58"/>
        <v>42250</v>
      </c>
      <c r="AE16" s="33">
        <f t="shared" si="59"/>
        <v>67106696.489999995</v>
      </c>
      <c r="AF16" s="33">
        <f t="shared" si="60"/>
        <v>68174860.030000001</v>
      </c>
      <c r="AG16" s="13"/>
      <c r="AH16" s="55">
        <f t="shared" si="61"/>
        <v>0.7854285234140328</v>
      </c>
      <c r="AI16" s="55">
        <f t="shared" si="62"/>
        <v>1.9738493406045019</v>
      </c>
      <c r="AJ16" s="56">
        <f t="shared" si="63"/>
        <v>3991.5950802997854</v>
      </c>
      <c r="AK16" s="56">
        <f t="shared" si="64"/>
        <v>4055.1308606947418</v>
      </c>
      <c r="AL16" s="31">
        <f t="shared" si="39"/>
        <v>20173</v>
      </c>
      <c r="AM16" s="15"/>
      <c r="AN16" s="16">
        <v>923094.36416666664</v>
      </c>
      <c r="AO16" s="16">
        <v>6852</v>
      </c>
      <c r="AP16" s="16">
        <v>9427</v>
      </c>
      <c r="AQ16" s="16">
        <v>44215963.229999997</v>
      </c>
      <c r="AR16" s="16">
        <v>43964623.810000017</v>
      </c>
      <c r="AS16" s="13"/>
      <c r="AT16" s="33">
        <f t="shared" si="65"/>
        <v>3686485.4775</v>
      </c>
      <c r="AU16" s="33">
        <f t="shared" si="66"/>
        <v>27166</v>
      </c>
      <c r="AV16" s="33">
        <f t="shared" si="67"/>
        <v>37049</v>
      </c>
      <c r="AW16" s="33">
        <f t="shared" si="68"/>
        <v>178830026.13999999</v>
      </c>
      <c r="AX16" s="33">
        <f t="shared" si="69"/>
        <v>177541494.56999999</v>
      </c>
      <c r="AY16" s="13"/>
      <c r="AZ16" s="55">
        <f t="shared" si="70"/>
        <v>0.73690782632413065</v>
      </c>
      <c r="BA16" s="55">
        <f t="shared" si="71"/>
        <v>1.0049951431010351</v>
      </c>
      <c r="BB16" s="56">
        <f t="shared" si="72"/>
        <v>6582.8618913347564</v>
      </c>
      <c r="BC16" s="56">
        <f t="shared" si="73"/>
        <v>6535.4301174261946</v>
      </c>
      <c r="BD16" s="31">
        <f t="shared" si="40"/>
        <v>20173</v>
      </c>
      <c r="BE16" s="15"/>
      <c r="BF16" s="16">
        <v>834800.66333333345</v>
      </c>
      <c r="BG16" s="16">
        <v>28249</v>
      </c>
      <c r="BH16" s="16">
        <v>33949</v>
      </c>
      <c r="BI16" s="16">
        <v>55848780.670000002</v>
      </c>
      <c r="BJ16" s="16">
        <v>57355244.37000002</v>
      </c>
      <c r="BK16" s="13"/>
      <c r="BL16" s="33">
        <f t="shared" si="74"/>
        <v>3334394.2041666666</v>
      </c>
      <c r="BM16" s="33">
        <f t="shared" si="75"/>
        <v>105094</v>
      </c>
      <c r="BN16" s="33">
        <f t="shared" si="76"/>
        <v>127904</v>
      </c>
      <c r="BO16" s="33">
        <f t="shared" si="77"/>
        <v>223975703.59000003</v>
      </c>
      <c r="BP16" s="33">
        <f t="shared" si="78"/>
        <v>232812070.13000005</v>
      </c>
      <c r="BQ16" s="13"/>
      <c r="BR16" s="55">
        <f t="shared" si="79"/>
        <v>3.1518168988140123</v>
      </c>
      <c r="BS16" s="55">
        <f t="shared" si="80"/>
        <v>3.8358991819314845</v>
      </c>
      <c r="BT16" s="56">
        <f t="shared" si="81"/>
        <v>2131.1940128837045</v>
      </c>
      <c r="BU16" s="56">
        <f t="shared" si="82"/>
        <v>2215.2746125373478</v>
      </c>
      <c r="BV16" s="31">
        <f t="shared" si="41"/>
        <v>20173</v>
      </c>
      <c r="BW16" s="15"/>
      <c r="BX16" s="16">
        <v>805932.27416666655</v>
      </c>
      <c r="BY16" s="16">
        <v>57964</v>
      </c>
      <c r="BZ16" s="16">
        <v>102545</v>
      </c>
      <c r="CA16" s="16">
        <v>203235761.88999999</v>
      </c>
      <c r="CB16" s="16">
        <v>206503914.49999997</v>
      </c>
      <c r="CC16" s="13"/>
      <c r="CD16" s="33">
        <f t="shared" si="83"/>
        <v>3220319.9550000001</v>
      </c>
      <c r="CE16" s="33">
        <f t="shared" si="84"/>
        <v>234064</v>
      </c>
      <c r="CF16" s="33">
        <f t="shared" si="85"/>
        <v>413784</v>
      </c>
      <c r="CG16" s="33">
        <f t="shared" si="86"/>
        <v>848195162.54999995</v>
      </c>
      <c r="CH16" s="33">
        <f t="shared" si="87"/>
        <v>856677714.19000006</v>
      </c>
      <c r="CI16" s="13"/>
      <c r="CJ16" s="55">
        <f t="shared" si="88"/>
        <v>7.2683461044478728</v>
      </c>
      <c r="CK16" s="55">
        <f t="shared" si="89"/>
        <v>12.849158027218447</v>
      </c>
      <c r="CL16" s="56">
        <f t="shared" si="90"/>
        <v>3623.774534101784</v>
      </c>
      <c r="CM16" s="56">
        <f t="shared" si="91"/>
        <v>3660.0148429062137</v>
      </c>
      <c r="CN16" s="31">
        <f t="shared" si="42"/>
        <v>20173</v>
      </c>
      <c r="CO16" s="15"/>
      <c r="CP16" s="16">
        <v>1001792.3699999999</v>
      </c>
      <c r="CQ16" s="16">
        <v>96835</v>
      </c>
      <c r="CR16" s="16">
        <v>126307</v>
      </c>
      <c r="CS16" s="16">
        <v>13315737.539999999</v>
      </c>
      <c r="CT16" s="16">
        <v>13428543.879999962</v>
      </c>
      <c r="CU16" s="13"/>
      <c r="CV16" s="33">
        <f t="shared" si="92"/>
        <v>3983773.3583333334</v>
      </c>
      <c r="CW16" s="33">
        <f t="shared" si="93"/>
        <v>380212</v>
      </c>
      <c r="CX16" s="33">
        <f t="shared" si="94"/>
        <v>501514</v>
      </c>
      <c r="CY16" s="33">
        <f t="shared" si="95"/>
        <v>54071348.759999998</v>
      </c>
      <c r="CZ16" s="33">
        <f t="shared" si="96"/>
        <v>54148923.069999903</v>
      </c>
      <c r="DA16" s="13"/>
      <c r="DB16" s="55">
        <f t="shared" si="97"/>
        <v>9.54401683531181</v>
      </c>
      <c r="DC16" s="55">
        <f t="shared" si="98"/>
        <v>12.588918969271267</v>
      </c>
      <c r="DD16" s="56">
        <f t="shared" si="99"/>
        <v>142.2136827874975</v>
      </c>
      <c r="DE16" s="56">
        <f t="shared" si="100"/>
        <v>142.417711881792</v>
      </c>
      <c r="DF16" s="31">
        <f t="shared" si="43"/>
        <v>20173</v>
      </c>
      <c r="DG16" s="15"/>
      <c r="DH16" s="16">
        <v>58177.192499999997</v>
      </c>
      <c r="DI16" s="16">
        <v>8</v>
      </c>
      <c r="DJ16" s="16">
        <v>15</v>
      </c>
      <c r="DK16" s="16">
        <v>90600</v>
      </c>
      <c r="DL16" s="16">
        <v>97900</v>
      </c>
      <c r="DM16" s="13"/>
      <c r="DN16" s="33">
        <f t="shared" si="101"/>
        <v>233401.33083333334</v>
      </c>
      <c r="DO16" s="33">
        <f t="shared" si="102"/>
        <v>32</v>
      </c>
      <c r="DP16" s="33">
        <f t="shared" si="103"/>
        <v>52</v>
      </c>
      <c r="DQ16" s="33">
        <f t="shared" si="104"/>
        <v>365100</v>
      </c>
      <c r="DR16" s="33">
        <f t="shared" si="105"/>
        <v>278900</v>
      </c>
      <c r="DS16" s="13"/>
      <c r="DT16" s="55">
        <f t="shared" si="106"/>
        <v>1.3710290290868343E-2</v>
      </c>
      <c r="DU16" s="55">
        <f t="shared" si="107"/>
        <v>2.2279221722661058E-2</v>
      </c>
      <c r="DV16" s="56">
        <f t="shared" si="108"/>
        <v>11409.375</v>
      </c>
      <c r="DW16" s="56">
        <f t="shared" si="109"/>
        <v>8715.625</v>
      </c>
      <c r="DX16" s="31">
        <f t="shared" si="44"/>
        <v>20173</v>
      </c>
      <c r="DY16" s="15"/>
      <c r="DZ16" s="16"/>
      <c r="EA16" s="16"/>
      <c r="EB16" s="16"/>
      <c r="EC16" s="16"/>
      <c r="ED16" s="16"/>
      <c r="EE16" s="13"/>
      <c r="EF16" s="33" t="str">
        <f t="shared" si="110"/>
        <v/>
      </c>
      <c r="EG16" s="33" t="str">
        <f t="shared" si="111"/>
        <v/>
      </c>
      <c r="EH16" s="33" t="str">
        <f t="shared" si="112"/>
        <v/>
      </c>
      <c r="EI16" s="33" t="str">
        <f t="shared" si="113"/>
        <v/>
      </c>
      <c r="EJ16" s="33" t="str">
        <f t="shared" si="114"/>
        <v/>
      </c>
      <c r="EK16" s="13"/>
      <c r="EL16" s="55">
        <f t="shared" si="115"/>
        <v>0</v>
      </c>
      <c r="EM16" s="55">
        <f t="shared" si="116"/>
        <v>0</v>
      </c>
      <c r="EN16" s="56">
        <f t="shared" si="117"/>
        <v>0</v>
      </c>
      <c r="EO16" s="56">
        <f t="shared" si="118"/>
        <v>0</v>
      </c>
      <c r="EP16" s="31">
        <f t="shared" si="45"/>
        <v>20173</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20173</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20174</v>
      </c>
      <c r="C17" s="15"/>
      <c r="D17" s="16">
        <v>936693.85499999998</v>
      </c>
      <c r="E17" s="16">
        <v>43240</v>
      </c>
      <c r="F17" s="16">
        <v>77330</v>
      </c>
      <c r="G17" s="16">
        <v>346855526.46000004</v>
      </c>
      <c r="H17" s="16">
        <v>293347314.17000008</v>
      </c>
      <c r="I17" s="13"/>
      <c r="J17" s="33">
        <f t="shared" si="47"/>
        <v>3771089.9433333334</v>
      </c>
      <c r="K17" s="33">
        <f t="shared" si="48"/>
        <v>179415</v>
      </c>
      <c r="L17" s="33">
        <f t="shared" si="49"/>
        <v>304398</v>
      </c>
      <c r="M17" s="33">
        <f t="shared" si="50"/>
        <v>1259883554.28</v>
      </c>
      <c r="N17" s="33">
        <f t="shared" si="51"/>
        <v>1210894937.8300002</v>
      </c>
      <c r="O17" s="13"/>
      <c r="P17" s="55">
        <f t="shared" si="52"/>
        <v>4.7576430871710231</v>
      </c>
      <c r="Q17" s="55">
        <f t="shared" si="53"/>
        <v>8.0718838472183787</v>
      </c>
      <c r="R17" s="56">
        <f t="shared" si="54"/>
        <v>7022.1751485661734</v>
      </c>
      <c r="S17" s="56">
        <f t="shared" si="55"/>
        <v>6749.1287675500944</v>
      </c>
      <c r="T17" s="31">
        <f t="shared" si="38"/>
        <v>20174</v>
      </c>
      <c r="U17" s="15"/>
      <c r="V17" s="16">
        <v>529591.61416666664</v>
      </c>
      <c r="W17" s="16">
        <v>3952</v>
      </c>
      <c r="X17" s="16">
        <v>10453</v>
      </c>
      <c r="Y17" s="16">
        <v>16066209.390000001</v>
      </c>
      <c r="Z17" s="16">
        <v>16212549.899999995</v>
      </c>
      <c r="AA17" s="13"/>
      <c r="AB17" s="33">
        <f t="shared" si="56"/>
        <v>2134256.7991666668</v>
      </c>
      <c r="AC17" s="33">
        <f t="shared" si="57"/>
        <v>16609</v>
      </c>
      <c r="AD17" s="33">
        <f t="shared" si="58"/>
        <v>41605</v>
      </c>
      <c r="AE17" s="33">
        <f t="shared" si="59"/>
        <v>67301574.599999994</v>
      </c>
      <c r="AF17" s="33">
        <f t="shared" si="60"/>
        <v>68628646.439999998</v>
      </c>
      <c r="AG17" s="13"/>
      <c r="AH17" s="55">
        <f t="shared" si="61"/>
        <v>0.77821000764692805</v>
      </c>
      <c r="AI17" s="55">
        <f t="shared" si="62"/>
        <v>1.9493905333343633</v>
      </c>
      <c r="AJ17" s="56">
        <f t="shared" si="63"/>
        <v>4052.1147931844175</v>
      </c>
      <c r="AK17" s="56">
        <f t="shared" si="64"/>
        <v>4132.0155602384248</v>
      </c>
      <c r="AL17" s="31">
        <f t="shared" si="39"/>
        <v>20174</v>
      </c>
      <c r="AM17" s="15"/>
      <c r="AN17" s="16">
        <v>915678.77333333332</v>
      </c>
      <c r="AO17" s="16">
        <v>6729</v>
      </c>
      <c r="AP17" s="16">
        <v>9518</v>
      </c>
      <c r="AQ17" s="16">
        <v>49080663.420000002</v>
      </c>
      <c r="AR17" s="16">
        <v>47008939.75</v>
      </c>
      <c r="AS17" s="13"/>
      <c r="AT17" s="33">
        <f t="shared" si="65"/>
        <v>3684536.1808333336</v>
      </c>
      <c r="AU17" s="33">
        <f t="shared" si="66"/>
        <v>27367</v>
      </c>
      <c r="AV17" s="33">
        <f t="shared" si="67"/>
        <v>37461</v>
      </c>
      <c r="AW17" s="33">
        <f t="shared" si="68"/>
        <v>186055447.38999999</v>
      </c>
      <c r="AX17" s="33">
        <f t="shared" si="69"/>
        <v>183443403.22000003</v>
      </c>
      <c r="AY17" s="13"/>
      <c r="AZ17" s="55">
        <f t="shared" si="70"/>
        <v>0.74275291805684995</v>
      </c>
      <c r="BA17" s="55">
        <f t="shared" si="71"/>
        <v>1.0167087025734518</v>
      </c>
      <c r="BB17" s="56">
        <f t="shared" si="72"/>
        <v>6798.5328092227865</v>
      </c>
      <c r="BC17" s="56">
        <f t="shared" si="73"/>
        <v>6703.0877779807806</v>
      </c>
      <c r="BD17" s="31">
        <f t="shared" si="40"/>
        <v>20174</v>
      </c>
      <c r="BE17" s="15"/>
      <c r="BF17" s="16">
        <v>828690.5791666666</v>
      </c>
      <c r="BG17" s="16">
        <v>24536</v>
      </c>
      <c r="BH17" s="16">
        <v>29269</v>
      </c>
      <c r="BI17" s="16">
        <v>55437183.240000002</v>
      </c>
      <c r="BJ17" s="16">
        <v>68063404.800000012</v>
      </c>
      <c r="BK17" s="13"/>
      <c r="BL17" s="33">
        <f t="shared" si="74"/>
        <v>3332744.0133333332</v>
      </c>
      <c r="BM17" s="33">
        <f t="shared" si="75"/>
        <v>107579</v>
      </c>
      <c r="BN17" s="33">
        <f t="shared" si="76"/>
        <v>129872</v>
      </c>
      <c r="BO17" s="33">
        <f t="shared" si="77"/>
        <v>228593046.28000003</v>
      </c>
      <c r="BP17" s="33">
        <f t="shared" si="78"/>
        <v>251234133.45000005</v>
      </c>
      <c r="BQ17" s="13"/>
      <c r="BR17" s="55">
        <f t="shared" si="79"/>
        <v>3.2279406870016993</v>
      </c>
      <c r="BS17" s="55">
        <f t="shared" si="80"/>
        <v>3.8968489473064882</v>
      </c>
      <c r="BT17" s="56">
        <f t="shared" si="81"/>
        <v>2124.8853984513707</v>
      </c>
      <c r="BU17" s="56">
        <f t="shared" si="82"/>
        <v>2335.3454991215763</v>
      </c>
      <c r="BV17" s="31">
        <f t="shared" si="41"/>
        <v>20174</v>
      </c>
      <c r="BW17" s="15"/>
      <c r="BX17" s="16">
        <v>799701.06916666671</v>
      </c>
      <c r="BY17" s="16">
        <v>58058</v>
      </c>
      <c r="BZ17" s="16">
        <v>100114</v>
      </c>
      <c r="CA17" s="16">
        <v>222892957.69</v>
      </c>
      <c r="CB17" s="16">
        <v>211572864.95999992</v>
      </c>
      <c r="CC17" s="13"/>
      <c r="CD17" s="33">
        <f t="shared" si="83"/>
        <v>3217843.4691666667</v>
      </c>
      <c r="CE17" s="33">
        <f t="shared" si="84"/>
        <v>235053</v>
      </c>
      <c r="CF17" s="33">
        <f t="shared" si="85"/>
        <v>410304</v>
      </c>
      <c r="CG17" s="33">
        <f t="shared" si="86"/>
        <v>857767037.72000003</v>
      </c>
      <c r="CH17" s="33">
        <f t="shared" si="87"/>
        <v>862384013.99999988</v>
      </c>
      <c r="CI17" s="13"/>
      <c r="CJ17" s="55">
        <f t="shared" si="88"/>
        <v>7.3046747690580576</v>
      </c>
      <c r="CK17" s="55">
        <f t="shared" si="89"/>
        <v>12.750899909567618</v>
      </c>
      <c r="CL17" s="56">
        <f t="shared" si="90"/>
        <v>3649.2494787133114</v>
      </c>
      <c r="CM17" s="56">
        <f t="shared" si="91"/>
        <v>3668.8917563272958</v>
      </c>
      <c r="CN17" s="31">
        <f t="shared" si="42"/>
        <v>20174</v>
      </c>
      <c r="CO17" s="15"/>
      <c r="CP17" s="16">
        <v>995306.27999999991</v>
      </c>
      <c r="CQ17" s="16">
        <v>93834</v>
      </c>
      <c r="CR17" s="16">
        <v>118870</v>
      </c>
      <c r="CS17" s="16">
        <v>13406916.199999999</v>
      </c>
      <c r="CT17" s="16">
        <v>13401792.199999988</v>
      </c>
      <c r="CU17" s="13"/>
      <c r="CV17" s="33">
        <f t="shared" si="92"/>
        <v>3992615.1133333328</v>
      </c>
      <c r="CW17" s="33">
        <f t="shared" si="93"/>
        <v>383547</v>
      </c>
      <c r="CX17" s="33">
        <f t="shared" si="94"/>
        <v>498866</v>
      </c>
      <c r="CY17" s="33">
        <f t="shared" si="95"/>
        <v>54736439.010000005</v>
      </c>
      <c r="CZ17" s="33">
        <f t="shared" si="96"/>
        <v>54840745.389999896</v>
      </c>
      <c r="DA17" s="13"/>
      <c r="DB17" s="55">
        <f t="shared" si="97"/>
        <v>9.6064105633208996</v>
      </c>
      <c r="DC17" s="55">
        <f t="shared" si="98"/>
        <v>12.494718019125802</v>
      </c>
      <c r="DD17" s="56">
        <f t="shared" si="99"/>
        <v>142.71116449874464</v>
      </c>
      <c r="DE17" s="56">
        <f t="shared" si="100"/>
        <v>142.98311651505526</v>
      </c>
      <c r="DF17" s="31">
        <f t="shared" si="43"/>
        <v>20174</v>
      </c>
      <c r="DG17" s="15"/>
      <c r="DH17" s="16">
        <v>57618.041666666664</v>
      </c>
      <c r="DI17" s="16">
        <v>5</v>
      </c>
      <c r="DJ17" s="16">
        <v>13</v>
      </c>
      <c r="DK17" s="16">
        <v>88750</v>
      </c>
      <c r="DL17" s="16">
        <v>80128.570000000007</v>
      </c>
      <c r="DM17" s="13"/>
      <c r="DN17" s="33">
        <f t="shared" si="101"/>
        <v>232677.54333333333</v>
      </c>
      <c r="DO17" s="33">
        <f t="shared" si="102"/>
        <v>31</v>
      </c>
      <c r="DP17" s="33">
        <f t="shared" si="103"/>
        <v>55</v>
      </c>
      <c r="DQ17" s="33">
        <f t="shared" si="104"/>
        <v>377500</v>
      </c>
      <c r="DR17" s="33">
        <f t="shared" si="105"/>
        <v>269778.57</v>
      </c>
      <c r="DS17" s="13"/>
      <c r="DT17" s="55">
        <f t="shared" si="106"/>
        <v>1.3323159405886225E-2</v>
      </c>
      <c r="DU17" s="55">
        <f t="shared" si="107"/>
        <v>2.3637863462056208E-2</v>
      </c>
      <c r="DV17" s="56">
        <f t="shared" si="108"/>
        <v>12177.41935483871</v>
      </c>
      <c r="DW17" s="56">
        <f t="shared" si="109"/>
        <v>8702.5345161290334</v>
      </c>
      <c r="DX17" s="31">
        <f t="shared" si="44"/>
        <v>20174</v>
      </c>
      <c r="DY17" s="15"/>
      <c r="DZ17" s="16"/>
      <c r="EA17" s="16"/>
      <c r="EB17" s="16"/>
      <c r="EC17" s="16"/>
      <c r="ED17" s="16"/>
      <c r="EE17" s="13"/>
      <c r="EF17" s="33" t="str">
        <f t="shared" si="110"/>
        <v/>
      </c>
      <c r="EG17" s="33" t="str">
        <f t="shared" si="111"/>
        <v/>
      </c>
      <c r="EH17" s="33" t="str">
        <f t="shared" si="112"/>
        <v/>
      </c>
      <c r="EI17" s="33" t="str">
        <f t="shared" si="113"/>
        <v/>
      </c>
      <c r="EJ17" s="33" t="str">
        <f t="shared" si="114"/>
        <v/>
      </c>
      <c r="EK17" s="13"/>
      <c r="EL17" s="55">
        <f t="shared" si="115"/>
        <v>0</v>
      </c>
      <c r="EM17" s="55">
        <f t="shared" si="116"/>
        <v>0</v>
      </c>
      <c r="EN17" s="56">
        <f t="shared" si="117"/>
        <v>0</v>
      </c>
      <c r="EO17" s="56">
        <f t="shared" si="118"/>
        <v>0</v>
      </c>
      <c r="EP17" s="31">
        <f t="shared" si="45"/>
        <v>20174</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20174</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20181</v>
      </c>
      <c r="C18" s="15"/>
      <c r="D18" s="16">
        <v>928525.99583333323</v>
      </c>
      <c r="E18" s="16">
        <v>43614</v>
      </c>
      <c r="F18" s="16">
        <v>77022</v>
      </c>
      <c r="G18" s="16">
        <v>297980533.37</v>
      </c>
      <c r="H18" s="16">
        <v>297020480.67999989</v>
      </c>
      <c r="I18" s="13"/>
      <c r="J18" s="33">
        <f t="shared" si="47"/>
        <v>3757453.9866666668</v>
      </c>
      <c r="K18" s="33">
        <f t="shared" si="48"/>
        <v>175565</v>
      </c>
      <c r="L18" s="33">
        <f t="shared" si="49"/>
        <v>305626</v>
      </c>
      <c r="M18" s="33">
        <f t="shared" si="50"/>
        <v>1236670070.22</v>
      </c>
      <c r="N18" s="33">
        <f t="shared" si="51"/>
        <v>1181330298.1699998</v>
      </c>
      <c r="O18" s="13"/>
      <c r="P18" s="55">
        <f t="shared" si="52"/>
        <v>4.6724457737338305</v>
      </c>
      <c r="Q18" s="55">
        <f t="shared" si="53"/>
        <v>8.1338587534142661</v>
      </c>
      <c r="R18" s="56">
        <f t="shared" si="54"/>
        <v>7043.944238430211</v>
      </c>
      <c r="S18" s="56">
        <f t="shared" si="55"/>
        <v>6728.734646256371</v>
      </c>
      <c r="T18" s="31">
        <f t="shared" si="38"/>
        <v>20181</v>
      </c>
      <c r="U18" s="15"/>
      <c r="V18" s="16">
        <v>525329.87916666665</v>
      </c>
      <c r="W18" s="16">
        <v>4175</v>
      </c>
      <c r="X18" s="16">
        <v>9838</v>
      </c>
      <c r="Y18" s="16">
        <v>17613939.350000001</v>
      </c>
      <c r="Z18" s="16">
        <v>18586592.120000005</v>
      </c>
      <c r="AA18" s="13"/>
      <c r="AB18" s="33">
        <f t="shared" si="56"/>
        <v>2124218.7816666663</v>
      </c>
      <c r="AC18" s="33">
        <f t="shared" si="57"/>
        <v>16326</v>
      </c>
      <c r="AD18" s="33">
        <f t="shared" si="58"/>
        <v>40731</v>
      </c>
      <c r="AE18" s="33">
        <f t="shared" si="59"/>
        <v>67855849.390000001</v>
      </c>
      <c r="AF18" s="33">
        <f t="shared" si="60"/>
        <v>69993806.86999999</v>
      </c>
      <c r="AG18" s="13"/>
      <c r="AH18" s="55">
        <f t="shared" si="61"/>
        <v>0.76856490211382966</v>
      </c>
      <c r="AI18" s="55">
        <f t="shared" si="62"/>
        <v>1.9174578603453631</v>
      </c>
      <c r="AJ18" s="56">
        <f t="shared" si="63"/>
        <v>4156.3058550777905</v>
      </c>
      <c r="AK18" s="56">
        <f t="shared" si="64"/>
        <v>4287.260006737718</v>
      </c>
      <c r="AL18" s="31">
        <f t="shared" si="39"/>
        <v>20181</v>
      </c>
      <c r="AM18" s="15"/>
      <c r="AN18" s="16">
        <v>907905.16500000004</v>
      </c>
      <c r="AO18" s="16">
        <v>7023</v>
      </c>
      <c r="AP18" s="16">
        <v>9603</v>
      </c>
      <c r="AQ18" s="16">
        <v>48264763.329999998</v>
      </c>
      <c r="AR18" s="16">
        <v>48229357.440000013</v>
      </c>
      <c r="AS18" s="13"/>
      <c r="AT18" s="33">
        <f t="shared" si="65"/>
        <v>3672337.7774999999</v>
      </c>
      <c r="AU18" s="33">
        <f t="shared" si="66"/>
        <v>27384</v>
      </c>
      <c r="AV18" s="33">
        <f t="shared" si="67"/>
        <v>37590</v>
      </c>
      <c r="AW18" s="33">
        <f t="shared" si="68"/>
        <v>190527318.46999997</v>
      </c>
      <c r="AX18" s="33">
        <f t="shared" si="69"/>
        <v>188959084.52000004</v>
      </c>
      <c r="AY18" s="13"/>
      <c r="AZ18" s="55">
        <f t="shared" si="70"/>
        <v>0.74568304059007551</v>
      </c>
      <c r="BA18" s="55">
        <f t="shared" si="71"/>
        <v>1.0235986523437386</v>
      </c>
      <c r="BB18" s="56">
        <f t="shared" si="72"/>
        <v>6957.6146096260582</v>
      </c>
      <c r="BC18" s="56">
        <f t="shared" si="73"/>
        <v>6900.346352614667</v>
      </c>
      <c r="BD18" s="31">
        <f t="shared" si="40"/>
        <v>20181</v>
      </c>
      <c r="BE18" s="15"/>
      <c r="BF18" s="16">
        <v>822576.97333333327</v>
      </c>
      <c r="BG18" s="16">
        <v>23698</v>
      </c>
      <c r="BH18" s="16">
        <v>27866</v>
      </c>
      <c r="BI18" s="16">
        <v>55099466.770000003</v>
      </c>
      <c r="BJ18" s="16">
        <v>58359765.360000022</v>
      </c>
      <c r="BK18" s="13"/>
      <c r="BL18" s="33">
        <f t="shared" si="74"/>
        <v>3322774.8341666665</v>
      </c>
      <c r="BM18" s="33">
        <f t="shared" si="75"/>
        <v>104523</v>
      </c>
      <c r="BN18" s="33">
        <f t="shared" si="76"/>
        <v>124832</v>
      </c>
      <c r="BO18" s="33">
        <f t="shared" si="77"/>
        <v>221782448.88000003</v>
      </c>
      <c r="BP18" s="33">
        <f t="shared" si="78"/>
        <v>246113411.82000005</v>
      </c>
      <c r="BQ18" s="13"/>
      <c r="BR18" s="55">
        <f t="shared" si="79"/>
        <v>3.1456540155906709</v>
      </c>
      <c r="BS18" s="55">
        <f t="shared" si="80"/>
        <v>3.7568600410839204</v>
      </c>
      <c r="BT18" s="56">
        <f t="shared" si="81"/>
        <v>2121.8530742516004</v>
      </c>
      <c r="BU18" s="56">
        <f t="shared" si="82"/>
        <v>2354.6340214115558</v>
      </c>
      <c r="BV18" s="31">
        <f t="shared" si="41"/>
        <v>20181</v>
      </c>
      <c r="BW18" s="15"/>
      <c r="BX18" s="16">
        <v>793342.4541666666</v>
      </c>
      <c r="BY18" s="16">
        <v>57281</v>
      </c>
      <c r="BZ18" s="16">
        <v>93556</v>
      </c>
      <c r="CA18" s="16">
        <v>211188227.66</v>
      </c>
      <c r="CB18" s="16">
        <v>217501916.3499999</v>
      </c>
      <c r="CC18" s="13"/>
      <c r="CD18" s="33">
        <f t="shared" si="83"/>
        <v>3207040.1691666665</v>
      </c>
      <c r="CE18" s="33">
        <f t="shared" si="84"/>
        <v>232004</v>
      </c>
      <c r="CF18" s="33">
        <f t="shared" si="85"/>
        <v>399878</v>
      </c>
      <c r="CG18" s="33">
        <f t="shared" si="86"/>
        <v>836659181.39999998</v>
      </c>
      <c r="CH18" s="33">
        <f t="shared" si="87"/>
        <v>854509219.24999976</v>
      </c>
      <c r="CI18" s="13"/>
      <c r="CJ18" s="55">
        <f t="shared" si="88"/>
        <v>7.2342093569811787</v>
      </c>
      <c r="CK18" s="55">
        <f t="shared" si="89"/>
        <v>12.468755578571574</v>
      </c>
      <c r="CL18" s="56">
        <f t="shared" si="90"/>
        <v>3606.22739866554</v>
      </c>
      <c r="CM18" s="56">
        <f t="shared" si="91"/>
        <v>3683.1658904587844</v>
      </c>
      <c r="CN18" s="31">
        <f t="shared" si="42"/>
        <v>20181</v>
      </c>
      <c r="CO18" s="15"/>
      <c r="CP18" s="16">
        <v>988064.39333333343</v>
      </c>
      <c r="CQ18" s="16">
        <v>88198</v>
      </c>
      <c r="CR18" s="16">
        <v>112708</v>
      </c>
      <c r="CS18" s="16">
        <v>12854997.57</v>
      </c>
      <c r="CT18" s="16">
        <v>13022489.429999974</v>
      </c>
      <c r="CU18" s="13"/>
      <c r="CV18" s="33">
        <f t="shared" si="92"/>
        <v>3987805.3116666665</v>
      </c>
      <c r="CW18" s="33">
        <f t="shared" si="93"/>
        <v>374228</v>
      </c>
      <c r="CX18" s="33">
        <f t="shared" si="94"/>
        <v>482965</v>
      </c>
      <c r="CY18" s="33">
        <f t="shared" si="95"/>
        <v>52907438.279999994</v>
      </c>
      <c r="CZ18" s="33">
        <f t="shared" si="96"/>
        <v>53385982.769999892</v>
      </c>
      <c r="DA18" s="13"/>
      <c r="DB18" s="55">
        <f t="shared" si="97"/>
        <v>9.3843096829517698</v>
      </c>
      <c r="DC18" s="55">
        <f t="shared" si="98"/>
        <v>12.111047612756934</v>
      </c>
      <c r="DD18" s="56">
        <f t="shared" si="99"/>
        <v>141.37755133234285</v>
      </c>
      <c r="DE18" s="56">
        <f t="shared" si="100"/>
        <v>142.65630249473554</v>
      </c>
      <c r="DF18" s="31">
        <f t="shared" si="43"/>
        <v>20181</v>
      </c>
      <c r="DG18" s="15"/>
      <c r="DH18" s="16">
        <v>57078.122500000005</v>
      </c>
      <c r="DI18" s="16">
        <v>13</v>
      </c>
      <c r="DJ18" s="16">
        <v>9</v>
      </c>
      <c r="DK18" s="16">
        <v>143250</v>
      </c>
      <c r="DL18" s="16">
        <v>233600</v>
      </c>
      <c r="DM18" s="13"/>
      <c r="DN18" s="33">
        <f t="shared" si="101"/>
        <v>231420.73333333334</v>
      </c>
      <c r="DO18" s="33">
        <f t="shared" si="102"/>
        <v>33</v>
      </c>
      <c r="DP18" s="33">
        <f t="shared" si="103"/>
        <v>47</v>
      </c>
      <c r="DQ18" s="33">
        <f t="shared" si="104"/>
        <v>416900</v>
      </c>
      <c r="DR18" s="33">
        <f t="shared" si="105"/>
        <v>458928.57</v>
      </c>
      <c r="DS18" s="13"/>
      <c r="DT18" s="55">
        <f t="shared" si="106"/>
        <v>1.4259742212668354E-2</v>
      </c>
      <c r="DU18" s="55">
        <f t="shared" si="107"/>
        <v>2.0309329818042808E-2</v>
      </c>
      <c r="DV18" s="56">
        <f t="shared" si="108"/>
        <v>12633.333333333334</v>
      </c>
      <c r="DW18" s="56">
        <f t="shared" si="109"/>
        <v>13906.926363636363</v>
      </c>
      <c r="DX18" s="31">
        <f t="shared" si="44"/>
        <v>20181</v>
      </c>
      <c r="DY18" s="15"/>
      <c r="DZ18" s="16"/>
      <c r="EA18" s="16"/>
      <c r="EB18" s="16"/>
      <c r="EC18" s="16"/>
      <c r="ED18" s="16"/>
      <c r="EE18" s="13"/>
      <c r="EF18" s="33" t="str">
        <f t="shared" si="110"/>
        <v/>
      </c>
      <c r="EG18" s="33" t="str">
        <f t="shared" si="111"/>
        <v/>
      </c>
      <c r="EH18" s="33" t="str">
        <f t="shared" si="112"/>
        <v/>
      </c>
      <c r="EI18" s="33" t="str">
        <f t="shared" si="113"/>
        <v/>
      </c>
      <c r="EJ18" s="33" t="str">
        <f t="shared" si="114"/>
        <v/>
      </c>
      <c r="EK18" s="13"/>
      <c r="EL18" s="55">
        <f t="shared" si="115"/>
        <v>0</v>
      </c>
      <c r="EM18" s="55">
        <f t="shared" si="116"/>
        <v>0</v>
      </c>
      <c r="EN18" s="56">
        <f t="shared" si="117"/>
        <v>0</v>
      </c>
      <c r="EO18" s="56">
        <f t="shared" si="118"/>
        <v>0</v>
      </c>
      <c r="EP18" s="31">
        <f t="shared" si="45"/>
        <v>20181</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20181</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20182</v>
      </c>
      <c r="C19" s="15"/>
      <c r="D19" s="16">
        <v>921894.52249999996</v>
      </c>
      <c r="E19" s="16">
        <v>40658</v>
      </c>
      <c r="F19" s="16">
        <v>80597</v>
      </c>
      <c r="G19" s="16">
        <v>292742616.75</v>
      </c>
      <c r="H19" s="16">
        <v>328812818.51000023</v>
      </c>
      <c r="I19" s="13"/>
      <c r="J19" s="33">
        <f t="shared" si="47"/>
        <v>3731792.6133333333</v>
      </c>
      <c r="K19" s="33">
        <f t="shared" si="48"/>
        <v>171340</v>
      </c>
      <c r="L19" s="33">
        <f t="shared" si="49"/>
        <v>310915</v>
      </c>
      <c r="M19" s="33">
        <f t="shared" si="50"/>
        <v>1225331534.0799999</v>
      </c>
      <c r="N19" s="33">
        <f t="shared" si="51"/>
        <v>1208525171.5900002</v>
      </c>
      <c r="O19" s="13"/>
      <c r="P19" s="55">
        <f t="shared" si="52"/>
        <v>4.5913591068222495</v>
      </c>
      <c r="Q19" s="55">
        <f t="shared" si="53"/>
        <v>8.3315187154058563</v>
      </c>
      <c r="R19" s="56">
        <f t="shared" si="54"/>
        <v>7151.4622042722067</v>
      </c>
      <c r="S19" s="56">
        <f t="shared" si="55"/>
        <v>7053.3744110540456</v>
      </c>
      <c r="T19" s="31">
        <f t="shared" si="38"/>
        <v>20182</v>
      </c>
      <c r="U19" s="15"/>
      <c r="V19" s="16">
        <v>521081.13750000001</v>
      </c>
      <c r="W19" s="16">
        <v>4302</v>
      </c>
      <c r="X19" s="16">
        <v>9821</v>
      </c>
      <c r="Y19" s="16">
        <v>16068003.859999999</v>
      </c>
      <c r="Z19" s="16">
        <v>17747566.280000001</v>
      </c>
      <c r="AA19" s="13"/>
      <c r="AB19" s="33">
        <f t="shared" si="56"/>
        <v>2109490.3433333333</v>
      </c>
      <c r="AC19" s="33">
        <f t="shared" si="57"/>
        <v>16499</v>
      </c>
      <c r="AD19" s="33">
        <f t="shared" si="58"/>
        <v>40187</v>
      </c>
      <c r="AE19" s="33">
        <f t="shared" si="59"/>
        <v>66408431.859999999</v>
      </c>
      <c r="AF19" s="33">
        <f t="shared" si="60"/>
        <v>69488716.359999999</v>
      </c>
      <c r="AG19" s="13"/>
      <c r="AH19" s="55">
        <f t="shared" si="61"/>
        <v>0.78213204683027526</v>
      </c>
      <c r="AI19" s="55">
        <f t="shared" si="62"/>
        <v>1.9050573105017437</v>
      </c>
      <c r="AJ19" s="56">
        <f t="shared" si="63"/>
        <v>4024.9973852960784</v>
      </c>
      <c r="AK19" s="56">
        <f t="shared" si="64"/>
        <v>4211.6926092490457</v>
      </c>
      <c r="AL19" s="31">
        <f t="shared" si="39"/>
        <v>20182</v>
      </c>
      <c r="AM19" s="15"/>
      <c r="AN19" s="16">
        <v>901707.44749999989</v>
      </c>
      <c r="AO19" s="16">
        <v>7695</v>
      </c>
      <c r="AP19" s="16">
        <v>10772</v>
      </c>
      <c r="AQ19" s="16">
        <v>51554583.649999999</v>
      </c>
      <c r="AR19" s="16">
        <v>50481907.949999996</v>
      </c>
      <c r="AS19" s="13"/>
      <c r="AT19" s="33">
        <f t="shared" si="65"/>
        <v>3648385.75</v>
      </c>
      <c r="AU19" s="33">
        <f t="shared" si="66"/>
        <v>28299</v>
      </c>
      <c r="AV19" s="33">
        <f t="shared" si="67"/>
        <v>39320</v>
      </c>
      <c r="AW19" s="33">
        <f t="shared" si="68"/>
        <v>193115973.63000003</v>
      </c>
      <c r="AX19" s="33">
        <f t="shared" si="69"/>
        <v>189684828.95000002</v>
      </c>
      <c r="AY19" s="13"/>
      <c r="AZ19" s="55">
        <f t="shared" si="70"/>
        <v>0.77565811126194639</v>
      </c>
      <c r="BA19" s="55">
        <f t="shared" si="71"/>
        <v>1.0777369141955453</v>
      </c>
      <c r="BB19" s="56">
        <f t="shared" si="72"/>
        <v>6824.1271292271822</v>
      </c>
      <c r="BC19" s="56">
        <f t="shared" si="73"/>
        <v>6702.8809834269769</v>
      </c>
      <c r="BD19" s="31">
        <f t="shared" si="40"/>
        <v>20182</v>
      </c>
      <c r="BE19" s="15"/>
      <c r="BF19" s="16">
        <v>817127.69333333336</v>
      </c>
      <c r="BG19" s="16">
        <v>24906</v>
      </c>
      <c r="BH19" s="16">
        <v>29631</v>
      </c>
      <c r="BI19" s="16">
        <v>52167830.119999997</v>
      </c>
      <c r="BJ19" s="16">
        <v>53170537.729999982</v>
      </c>
      <c r="BK19" s="13"/>
      <c r="BL19" s="33">
        <f t="shared" si="74"/>
        <v>3303195.9091666667</v>
      </c>
      <c r="BM19" s="33">
        <f t="shared" si="75"/>
        <v>101389</v>
      </c>
      <c r="BN19" s="33">
        <f t="shared" si="76"/>
        <v>120715</v>
      </c>
      <c r="BO19" s="33">
        <f t="shared" si="77"/>
        <v>218553260.80000001</v>
      </c>
      <c r="BP19" s="33">
        <f t="shared" si="78"/>
        <v>236948952.26000005</v>
      </c>
      <c r="BQ19" s="13"/>
      <c r="BR19" s="55">
        <f t="shared" si="79"/>
        <v>3.0694213358231757</v>
      </c>
      <c r="BS19" s="55">
        <f t="shared" si="80"/>
        <v>3.6544910843769514</v>
      </c>
      <c r="BT19" s="56">
        <f t="shared" si="81"/>
        <v>2155.591442858693</v>
      </c>
      <c r="BU19" s="56">
        <f t="shared" si="82"/>
        <v>2337.0282008896434</v>
      </c>
      <c r="BV19" s="31">
        <f t="shared" si="41"/>
        <v>20182</v>
      </c>
      <c r="BW19" s="15"/>
      <c r="BX19" s="16">
        <v>787669.39083333325</v>
      </c>
      <c r="BY19" s="16">
        <v>54558</v>
      </c>
      <c r="BZ19" s="16">
        <v>92880</v>
      </c>
      <c r="CA19" s="16">
        <v>199510063.81</v>
      </c>
      <c r="CB19" s="16">
        <v>200663923.32999989</v>
      </c>
      <c r="CC19" s="13"/>
      <c r="CD19" s="33">
        <f t="shared" si="83"/>
        <v>3186645.188333333</v>
      </c>
      <c r="CE19" s="33">
        <f t="shared" si="84"/>
        <v>227861</v>
      </c>
      <c r="CF19" s="33">
        <f t="shared" si="85"/>
        <v>389095</v>
      </c>
      <c r="CG19" s="33">
        <f t="shared" si="86"/>
        <v>836827011.04999995</v>
      </c>
      <c r="CH19" s="33">
        <f t="shared" si="87"/>
        <v>836242619.13999975</v>
      </c>
      <c r="CI19" s="13"/>
      <c r="CJ19" s="55">
        <f t="shared" si="88"/>
        <v>7.1504979856001789</v>
      </c>
      <c r="CK19" s="55">
        <f t="shared" si="89"/>
        <v>12.210176439614948</v>
      </c>
      <c r="CL19" s="56">
        <f t="shared" si="90"/>
        <v>3672.5328645533896</v>
      </c>
      <c r="CM19" s="56">
        <f t="shared" si="91"/>
        <v>3669.968178582556</v>
      </c>
      <c r="CN19" s="31">
        <f t="shared" si="42"/>
        <v>20182</v>
      </c>
      <c r="CO19" s="15"/>
      <c r="CP19" s="16">
        <v>982394.44916666672</v>
      </c>
      <c r="CQ19" s="16">
        <v>86965</v>
      </c>
      <c r="CR19" s="16">
        <v>110435</v>
      </c>
      <c r="CS19" s="16">
        <v>12053269.68</v>
      </c>
      <c r="CT19" s="16">
        <v>12335210.199999977</v>
      </c>
      <c r="CU19" s="13"/>
      <c r="CV19" s="33">
        <f t="shared" si="92"/>
        <v>3967557.4925000002</v>
      </c>
      <c r="CW19" s="33">
        <f t="shared" si="93"/>
        <v>365832</v>
      </c>
      <c r="CX19" s="33">
        <f t="shared" si="94"/>
        <v>468320</v>
      </c>
      <c r="CY19" s="33">
        <f t="shared" si="95"/>
        <v>51630920.990000002</v>
      </c>
      <c r="CZ19" s="33">
        <f t="shared" si="96"/>
        <v>52188035.709999904</v>
      </c>
      <c r="DA19" s="13"/>
      <c r="DB19" s="55">
        <f t="shared" si="97"/>
        <v>9.2205847222515072</v>
      </c>
      <c r="DC19" s="55">
        <f t="shared" si="98"/>
        <v>11.803735695961057</v>
      </c>
      <c r="DD19" s="56">
        <f t="shared" si="99"/>
        <v>141.13287243871505</v>
      </c>
      <c r="DE19" s="56">
        <f t="shared" si="100"/>
        <v>142.65574282730844</v>
      </c>
      <c r="DF19" s="31">
        <f t="shared" si="43"/>
        <v>20182</v>
      </c>
      <c r="DG19" s="15"/>
      <c r="DH19" s="16">
        <v>56728.00916666667</v>
      </c>
      <c r="DI19" s="16">
        <v>6</v>
      </c>
      <c r="DJ19" s="16">
        <v>10</v>
      </c>
      <c r="DK19" s="16">
        <v>79750</v>
      </c>
      <c r="DL19" s="16">
        <v>69750</v>
      </c>
      <c r="DM19" s="13"/>
      <c r="DN19" s="33">
        <f t="shared" si="101"/>
        <v>229601.36583333334</v>
      </c>
      <c r="DO19" s="33">
        <f t="shared" si="102"/>
        <v>32</v>
      </c>
      <c r="DP19" s="33">
        <f t="shared" si="103"/>
        <v>47</v>
      </c>
      <c r="DQ19" s="33">
        <f t="shared" si="104"/>
        <v>402350</v>
      </c>
      <c r="DR19" s="33">
        <f t="shared" si="105"/>
        <v>481378.57</v>
      </c>
      <c r="DS19" s="13"/>
      <c r="DT19" s="55">
        <f t="shared" si="106"/>
        <v>1.3937199321030462E-2</v>
      </c>
      <c r="DU19" s="55">
        <f t="shared" si="107"/>
        <v>2.0470261502763491E-2</v>
      </c>
      <c r="DV19" s="56">
        <f t="shared" si="108"/>
        <v>12573.4375</v>
      </c>
      <c r="DW19" s="56">
        <f t="shared" si="109"/>
        <v>15043.0803125</v>
      </c>
      <c r="DX19" s="31">
        <f t="shared" si="44"/>
        <v>20182</v>
      </c>
      <c r="DY19" s="15"/>
      <c r="DZ19" s="16"/>
      <c r="EA19" s="16"/>
      <c r="EB19" s="16"/>
      <c r="EC19" s="16"/>
      <c r="ED19" s="16"/>
      <c r="EE19" s="13"/>
      <c r="EF19" s="33" t="str">
        <f t="shared" si="110"/>
        <v/>
      </c>
      <c r="EG19" s="33" t="str">
        <f t="shared" si="111"/>
        <v/>
      </c>
      <c r="EH19" s="33" t="str">
        <f t="shared" si="112"/>
        <v/>
      </c>
      <c r="EI19" s="33" t="str">
        <f t="shared" si="113"/>
        <v/>
      </c>
      <c r="EJ19" s="33" t="str">
        <f t="shared" si="114"/>
        <v/>
      </c>
      <c r="EK19" s="13"/>
      <c r="EL19" s="55">
        <f t="shared" si="115"/>
        <v>0</v>
      </c>
      <c r="EM19" s="55">
        <f t="shared" si="116"/>
        <v>0</v>
      </c>
      <c r="EN19" s="56">
        <f t="shared" si="117"/>
        <v>0</v>
      </c>
      <c r="EO19" s="56">
        <f t="shared" si="118"/>
        <v>0</v>
      </c>
      <c r="EP19" s="31">
        <f t="shared" si="45"/>
        <v>20182</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20182</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20183</v>
      </c>
      <c r="C20" s="15"/>
      <c r="D20" s="16">
        <v>914679.8091666667</v>
      </c>
      <c r="E20" s="16">
        <v>39393</v>
      </c>
      <c r="F20" s="16">
        <v>78739</v>
      </c>
      <c r="G20" s="16">
        <v>284532270.40999997</v>
      </c>
      <c r="H20" s="16">
        <v>267773601.0800001</v>
      </c>
      <c r="I20" s="13"/>
      <c r="J20" s="33">
        <f t="shared" si="47"/>
        <v>3701794.1824999996</v>
      </c>
      <c r="K20" s="33">
        <f t="shared" si="48"/>
        <v>166905</v>
      </c>
      <c r="L20" s="33">
        <f t="shared" si="49"/>
        <v>313688</v>
      </c>
      <c r="M20" s="33">
        <f t="shared" si="50"/>
        <v>1222110946.99</v>
      </c>
      <c r="N20" s="33">
        <f t="shared" si="51"/>
        <v>1186954214.4400003</v>
      </c>
      <c r="O20" s="13"/>
      <c r="P20" s="55">
        <f t="shared" si="52"/>
        <v>4.5087595844478052</v>
      </c>
      <c r="Q20" s="55">
        <f t="shared" si="53"/>
        <v>8.4739449179249462</v>
      </c>
      <c r="R20" s="56">
        <f t="shared" si="54"/>
        <v>7322.1949431712655</v>
      </c>
      <c r="S20" s="56">
        <f t="shared" si="55"/>
        <v>7111.555761900484</v>
      </c>
      <c r="T20" s="31">
        <f t="shared" si="38"/>
        <v>20183</v>
      </c>
      <c r="U20" s="15"/>
      <c r="V20" s="16">
        <v>517263.43333333335</v>
      </c>
      <c r="W20" s="16">
        <v>3843</v>
      </c>
      <c r="X20" s="16">
        <v>9507</v>
      </c>
      <c r="Y20" s="16">
        <v>16705276.4</v>
      </c>
      <c r="Z20" s="16">
        <v>16934184.949999981</v>
      </c>
      <c r="AA20" s="13"/>
      <c r="AB20" s="33">
        <f t="shared" si="56"/>
        <v>2093266.0641666665</v>
      </c>
      <c r="AC20" s="33">
        <f t="shared" si="57"/>
        <v>16272</v>
      </c>
      <c r="AD20" s="33">
        <f t="shared" si="58"/>
        <v>39619</v>
      </c>
      <c r="AE20" s="33">
        <f t="shared" si="59"/>
        <v>66453429</v>
      </c>
      <c r="AF20" s="33">
        <f t="shared" si="60"/>
        <v>69480893.24999997</v>
      </c>
      <c r="AG20" s="13"/>
      <c r="AH20" s="55">
        <f t="shared" si="61"/>
        <v>0.7773498208636902</v>
      </c>
      <c r="AI20" s="55">
        <f t="shared" si="62"/>
        <v>1.8926882099802447</v>
      </c>
      <c r="AJ20" s="56">
        <f t="shared" si="63"/>
        <v>4083.9127949852509</v>
      </c>
      <c r="AK20" s="56">
        <f t="shared" si="64"/>
        <v>4269.966399336281</v>
      </c>
      <c r="AL20" s="31">
        <f t="shared" si="39"/>
        <v>20183</v>
      </c>
      <c r="AM20" s="15"/>
      <c r="AN20" s="16">
        <v>895007.99416666664</v>
      </c>
      <c r="AO20" s="16">
        <v>6693</v>
      </c>
      <c r="AP20" s="16">
        <v>8916</v>
      </c>
      <c r="AQ20" s="16">
        <v>51229693.909999996</v>
      </c>
      <c r="AR20" s="16">
        <v>50732503.75999999</v>
      </c>
      <c r="AS20" s="13"/>
      <c r="AT20" s="33">
        <f t="shared" si="65"/>
        <v>3620299.38</v>
      </c>
      <c r="AU20" s="33">
        <f t="shared" si="66"/>
        <v>28140</v>
      </c>
      <c r="AV20" s="33">
        <f t="shared" si="67"/>
        <v>38809</v>
      </c>
      <c r="AW20" s="33">
        <f t="shared" si="68"/>
        <v>200129704.31</v>
      </c>
      <c r="AX20" s="33">
        <f t="shared" si="69"/>
        <v>196452708.90000001</v>
      </c>
      <c r="AY20" s="13"/>
      <c r="AZ20" s="55">
        <f t="shared" si="70"/>
        <v>0.77728378364111972</v>
      </c>
      <c r="BA20" s="55">
        <f t="shared" si="71"/>
        <v>1.0719831684196239</v>
      </c>
      <c r="BB20" s="56">
        <f t="shared" si="72"/>
        <v>7111.9297906894099</v>
      </c>
      <c r="BC20" s="56">
        <f t="shared" si="73"/>
        <v>6981.2618656716422</v>
      </c>
      <c r="BD20" s="31">
        <f t="shared" si="40"/>
        <v>20183</v>
      </c>
      <c r="BE20" s="15"/>
      <c r="BF20" s="16">
        <v>811842.02583333338</v>
      </c>
      <c r="BG20" s="16">
        <v>25815</v>
      </c>
      <c r="BH20" s="16">
        <v>30967</v>
      </c>
      <c r="BI20" s="16">
        <v>55735765.259999998</v>
      </c>
      <c r="BJ20" s="16">
        <v>55554899.249999993</v>
      </c>
      <c r="BK20" s="13"/>
      <c r="BL20" s="33">
        <f t="shared" si="74"/>
        <v>3280237.2716666665</v>
      </c>
      <c r="BM20" s="33">
        <f t="shared" si="75"/>
        <v>98955</v>
      </c>
      <c r="BN20" s="33">
        <f t="shared" si="76"/>
        <v>117733</v>
      </c>
      <c r="BO20" s="33">
        <f t="shared" si="77"/>
        <v>218440245.38999999</v>
      </c>
      <c r="BP20" s="33">
        <f t="shared" si="78"/>
        <v>235148607.14000002</v>
      </c>
      <c r="BQ20" s="13"/>
      <c r="BR20" s="55">
        <f t="shared" si="79"/>
        <v>3.0167025066976825</v>
      </c>
      <c r="BS20" s="55">
        <f t="shared" si="80"/>
        <v>3.5891610956600295</v>
      </c>
      <c r="BT20" s="56">
        <f t="shared" si="81"/>
        <v>2207.4705208428072</v>
      </c>
      <c r="BU20" s="56">
        <f t="shared" si="82"/>
        <v>2376.3186007781314</v>
      </c>
      <c r="BV20" s="31">
        <f t="shared" si="41"/>
        <v>20183</v>
      </c>
      <c r="BW20" s="15"/>
      <c r="BX20" s="16">
        <v>782246.28250000009</v>
      </c>
      <c r="BY20" s="16">
        <v>53097</v>
      </c>
      <c r="BZ20" s="16">
        <v>92312</v>
      </c>
      <c r="CA20" s="16">
        <v>197398929.84999999</v>
      </c>
      <c r="CB20" s="16">
        <v>196297146.74999997</v>
      </c>
      <c r="CC20" s="13"/>
      <c r="CD20" s="33">
        <f t="shared" si="83"/>
        <v>3162959.1966666668</v>
      </c>
      <c r="CE20" s="33">
        <f t="shared" si="84"/>
        <v>222994</v>
      </c>
      <c r="CF20" s="33">
        <f t="shared" si="85"/>
        <v>378862</v>
      </c>
      <c r="CG20" s="33">
        <f t="shared" si="86"/>
        <v>830990179.01000011</v>
      </c>
      <c r="CH20" s="33">
        <f t="shared" si="87"/>
        <v>826035851.38999975</v>
      </c>
      <c r="CI20" s="13"/>
      <c r="CJ20" s="55">
        <f t="shared" si="88"/>
        <v>7.050169987491639</v>
      </c>
      <c r="CK20" s="55">
        <f t="shared" si="89"/>
        <v>11.978086862431534</v>
      </c>
      <c r="CL20" s="56">
        <f t="shared" si="90"/>
        <v>3726.513623729787</v>
      </c>
      <c r="CM20" s="56">
        <f t="shared" si="91"/>
        <v>3704.2963101697792</v>
      </c>
      <c r="CN20" s="31">
        <f t="shared" si="42"/>
        <v>20183</v>
      </c>
      <c r="CO20" s="15"/>
      <c r="CP20" s="16">
        <v>976110.77333333332</v>
      </c>
      <c r="CQ20" s="16">
        <v>86180</v>
      </c>
      <c r="CR20" s="16">
        <v>111408</v>
      </c>
      <c r="CS20" s="16">
        <v>12317587.25</v>
      </c>
      <c r="CT20" s="16">
        <v>12358515.009999983</v>
      </c>
      <c r="CU20" s="13"/>
      <c r="CV20" s="33">
        <f t="shared" si="92"/>
        <v>3941875.8958333335</v>
      </c>
      <c r="CW20" s="33">
        <f t="shared" si="93"/>
        <v>355177</v>
      </c>
      <c r="CX20" s="33">
        <f t="shared" si="94"/>
        <v>453421</v>
      </c>
      <c r="CY20" s="33">
        <f t="shared" si="95"/>
        <v>50632770.700000003</v>
      </c>
      <c r="CZ20" s="33">
        <f t="shared" si="96"/>
        <v>51118006.839999922</v>
      </c>
      <c r="DA20" s="13"/>
      <c r="DB20" s="55">
        <f t="shared" si="97"/>
        <v>9.0103546987725167</v>
      </c>
      <c r="DC20" s="55">
        <f t="shared" si="98"/>
        <v>11.502670606126335</v>
      </c>
      <c r="DD20" s="56">
        <f t="shared" si="99"/>
        <v>142.55644565948811</v>
      </c>
      <c r="DE20" s="56">
        <f t="shared" si="100"/>
        <v>143.92262685928404</v>
      </c>
      <c r="DF20" s="31">
        <f t="shared" si="43"/>
        <v>20183</v>
      </c>
      <c r="DG20" s="15"/>
      <c r="DH20" s="16">
        <v>56270.314166666671</v>
      </c>
      <c r="DI20" s="16">
        <v>7</v>
      </c>
      <c r="DJ20" s="16">
        <v>13</v>
      </c>
      <c r="DK20" s="16">
        <v>101023.42</v>
      </c>
      <c r="DL20" s="16">
        <v>115000</v>
      </c>
      <c r="DM20" s="13"/>
      <c r="DN20" s="33">
        <f t="shared" si="101"/>
        <v>227694.48750000002</v>
      </c>
      <c r="DO20" s="33">
        <f t="shared" si="102"/>
        <v>31</v>
      </c>
      <c r="DP20" s="33">
        <f t="shared" si="103"/>
        <v>45</v>
      </c>
      <c r="DQ20" s="33">
        <f t="shared" si="104"/>
        <v>412773.42</v>
      </c>
      <c r="DR20" s="33">
        <f t="shared" si="105"/>
        <v>498478.57</v>
      </c>
      <c r="DS20" s="13"/>
      <c r="DT20" s="55">
        <f t="shared" si="106"/>
        <v>1.3614734524479869E-2</v>
      </c>
      <c r="DU20" s="55">
        <f t="shared" si="107"/>
        <v>1.9763324309728839E-2</v>
      </c>
      <c r="DV20" s="56">
        <f t="shared" si="108"/>
        <v>13315.271612903225</v>
      </c>
      <c r="DW20" s="56">
        <f t="shared" si="109"/>
        <v>16079.953870967742</v>
      </c>
      <c r="DX20" s="31">
        <f t="shared" si="44"/>
        <v>20183</v>
      </c>
      <c r="DY20" s="15"/>
      <c r="DZ20" s="16"/>
      <c r="EA20" s="16"/>
      <c r="EB20" s="16"/>
      <c r="EC20" s="16"/>
      <c r="ED20" s="16"/>
      <c r="EE20" s="13"/>
      <c r="EF20" s="33" t="str">
        <f t="shared" si="110"/>
        <v/>
      </c>
      <c r="EG20" s="33" t="str">
        <f t="shared" si="111"/>
        <v/>
      </c>
      <c r="EH20" s="33" t="str">
        <f t="shared" si="112"/>
        <v/>
      </c>
      <c r="EI20" s="33" t="str">
        <f t="shared" si="113"/>
        <v/>
      </c>
      <c r="EJ20" s="33" t="str">
        <f t="shared" si="114"/>
        <v/>
      </c>
      <c r="EK20" s="13"/>
      <c r="EL20" s="55">
        <f t="shared" si="115"/>
        <v>0</v>
      </c>
      <c r="EM20" s="55">
        <f t="shared" si="116"/>
        <v>0</v>
      </c>
      <c r="EN20" s="56">
        <f t="shared" si="117"/>
        <v>0</v>
      </c>
      <c r="EO20" s="56">
        <f t="shared" si="118"/>
        <v>0</v>
      </c>
      <c r="EP20" s="31">
        <f t="shared" si="45"/>
        <v>20183</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20183</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20184</v>
      </c>
      <c r="C21" s="15"/>
      <c r="D21" s="16">
        <v>908598.4833333334</v>
      </c>
      <c r="E21" s="16">
        <v>40321</v>
      </c>
      <c r="F21" s="16">
        <v>82993</v>
      </c>
      <c r="G21" s="16">
        <v>279487457.07999998</v>
      </c>
      <c r="H21" s="16">
        <v>267849620.67000011</v>
      </c>
      <c r="I21" s="13"/>
      <c r="J21" s="33">
        <f t="shared" si="47"/>
        <v>3673698.8108333331</v>
      </c>
      <c r="K21" s="33">
        <f t="shared" si="48"/>
        <v>163986</v>
      </c>
      <c r="L21" s="33">
        <f t="shared" si="49"/>
        <v>319351</v>
      </c>
      <c r="M21" s="33">
        <f t="shared" si="50"/>
        <v>1154742877.6099999</v>
      </c>
      <c r="N21" s="33">
        <f t="shared" si="51"/>
        <v>1161456520.9400003</v>
      </c>
      <c r="O21" s="13"/>
      <c r="P21" s="55">
        <f t="shared" si="52"/>
        <v>4.4637845518642774</v>
      </c>
      <c r="Q21" s="55">
        <f t="shared" si="53"/>
        <v>8.6929009819277798</v>
      </c>
      <c r="R21" s="56">
        <f t="shared" si="54"/>
        <v>7041.7162294952004</v>
      </c>
      <c r="S21" s="56">
        <f t="shared" si="55"/>
        <v>7082.6565739758289</v>
      </c>
      <c r="T21" s="31">
        <f t="shared" si="38"/>
        <v>20184</v>
      </c>
      <c r="U21" s="15"/>
      <c r="V21" s="16">
        <v>514169.99416666664</v>
      </c>
      <c r="W21" s="16">
        <v>3797</v>
      </c>
      <c r="X21" s="16">
        <v>9677</v>
      </c>
      <c r="Y21" s="16">
        <v>17276806.649999999</v>
      </c>
      <c r="Z21" s="16">
        <v>17750678.039999999</v>
      </c>
      <c r="AA21" s="13"/>
      <c r="AB21" s="33">
        <f t="shared" si="56"/>
        <v>2077844.4441666666</v>
      </c>
      <c r="AC21" s="33">
        <f t="shared" si="57"/>
        <v>16117</v>
      </c>
      <c r="AD21" s="33">
        <f t="shared" si="58"/>
        <v>38843</v>
      </c>
      <c r="AE21" s="33">
        <f t="shared" si="59"/>
        <v>67664026.25999999</v>
      </c>
      <c r="AF21" s="33">
        <f t="shared" si="60"/>
        <v>71019021.389999986</v>
      </c>
      <c r="AG21" s="13"/>
      <c r="AH21" s="55">
        <f t="shared" si="61"/>
        <v>0.77565960460836281</v>
      </c>
      <c r="AI21" s="55">
        <f t="shared" si="62"/>
        <v>1.8693892177081739</v>
      </c>
      <c r="AJ21" s="56">
        <f t="shared" si="63"/>
        <v>4198.3015610845687</v>
      </c>
      <c r="AK21" s="56">
        <f t="shared" si="64"/>
        <v>4406.4665502264679</v>
      </c>
      <c r="AL21" s="31">
        <f t="shared" si="39"/>
        <v>20184</v>
      </c>
      <c r="AM21" s="15"/>
      <c r="AN21" s="16">
        <v>889487.80250000011</v>
      </c>
      <c r="AO21" s="16">
        <v>6596</v>
      </c>
      <c r="AP21" s="16">
        <v>9296</v>
      </c>
      <c r="AQ21" s="16">
        <v>48555487</v>
      </c>
      <c r="AR21" s="16">
        <v>49680155.680000007</v>
      </c>
      <c r="AS21" s="13"/>
      <c r="AT21" s="33">
        <f t="shared" si="65"/>
        <v>3594108.4091666667</v>
      </c>
      <c r="AU21" s="33">
        <f t="shared" si="66"/>
        <v>28007</v>
      </c>
      <c r="AV21" s="33">
        <f t="shared" si="67"/>
        <v>38587</v>
      </c>
      <c r="AW21" s="33">
        <f t="shared" si="68"/>
        <v>199604527.88999999</v>
      </c>
      <c r="AX21" s="33">
        <f t="shared" si="69"/>
        <v>199123924.83000001</v>
      </c>
      <c r="AY21" s="13"/>
      <c r="AZ21" s="55">
        <f t="shared" si="70"/>
        <v>0.77924750206668725</v>
      </c>
      <c r="BA21" s="55">
        <f t="shared" si="71"/>
        <v>1.0736181441156589</v>
      </c>
      <c r="BB21" s="56">
        <f t="shared" si="72"/>
        <v>7126.9514010783014</v>
      </c>
      <c r="BC21" s="56">
        <f t="shared" si="73"/>
        <v>7109.7912961045458</v>
      </c>
      <c r="BD21" s="31">
        <f t="shared" si="40"/>
        <v>20184</v>
      </c>
      <c r="BE21" s="15"/>
      <c r="BF21" s="16">
        <v>807497.0575</v>
      </c>
      <c r="BG21" s="16">
        <v>23675</v>
      </c>
      <c r="BH21" s="16">
        <v>28547</v>
      </c>
      <c r="BI21" s="16">
        <v>58345227.659999996</v>
      </c>
      <c r="BJ21" s="16">
        <v>58246298.749999985</v>
      </c>
      <c r="BK21" s="13"/>
      <c r="BL21" s="33">
        <f t="shared" si="74"/>
        <v>3259043.75</v>
      </c>
      <c r="BM21" s="33">
        <f t="shared" si="75"/>
        <v>98094</v>
      </c>
      <c r="BN21" s="33">
        <f t="shared" si="76"/>
        <v>117011</v>
      </c>
      <c r="BO21" s="33">
        <f t="shared" si="77"/>
        <v>221348289.81</v>
      </c>
      <c r="BP21" s="33">
        <f t="shared" si="78"/>
        <v>225331501.08999997</v>
      </c>
      <c r="BQ21" s="13"/>
      <c r="BR21" s="55">
        <f t="shared" si="79"/>
        <v>3.009901293899476</v>
      </c>
      <c r="BS21" s="55">
        <f t="shared" si="80"/>
        <v>3.5903476288098313</v>
      </c>
      <c r="BT21" s="56">
        <f t="shared" si="81"/>
        <v>2256.4916285399718</v>
      </c>
      <c r="BU21" s="56">
        <f t="shared" si="82"/>
        <v>2297.0976929271919</v>
      </c>
      <c r="BV21" s="31">
        <f t="shared" si="41"/>
        <v>20184</v>
      </c>
      <c r="BW21" s="15"/>
      <c r="BX21" s="16">
        <v>777914.65</v>
      </c>
      <c r="BY21" s="16">
        <v>53781</v>
      </c>
      <c r="BZ21" s="16">
        <v>93646</v>
      </c>
      <c r="CA21" s="16">
        <v>214651365.77000001</v>
      </c>
      <c r="CB21" s="16">
        <v>211011062.28000006</v>
      </c>
      <c r="CC21" s="13"/>
      <c r="CD21" s="33">
        <f t="shared" si="83"/>
        <v>3141172.7774999999</v>
      </c>
      <c r="CE21" s="33">
        <f t="shared" si="84"/>
        <v>218717</v>
      </c>
      <c r="CF21" s="33">
        <f t="shared" si="85"/>
        <v>372394</v>
      </c>
      <c r="CG21" s="33">
        <f t="shared" si="86"/>
        <v>822748587.09000003</v>
      </c>
      <c r="CH21" s="33">
        <f t="shared" si="87"/>
        <v>825474048.70999992</v>
      </c>
      <c r="CI21" s="13"/>
      <c r="CJ21" s="55">
        <f t="shared" si="88"/>
        <v>6.9629089353713534</v>
      </c>
      <c r="CK21" s="55">
        <f t="shared" si="89"/>
        <v>11.855253638622877</v>
      </c>
      <c r="CL21" s="56">
        <f t="shared" si="90"/>
        <v>3761.7038780250277</v>
      </c>
      <c r="CM21" s="56">
        <f t="shared" si="91"/>
        <v>3774.1650109959442</v>
      </c>
      <c r="CN21" s="31">
        <f t="shared" si="42"/>
        <v>20184</v>
      </c>
      <c r="CO21" s="15"/>
      <c r="CP21" s="16">
        <v>971731.11166666658</v>
      </c>
      <c r="CQ21" s="16">
        <v>88742</v>
      </c>
      <c r="CR21" s="16">
        <v>111967</v>
      </c>
      <c r="CS21" s="16">
        <v>13037322.289999999</v>
      </c>
      <c r="CT21" s="16">
        <v>13196642.259999974</v>
      </c>
      <c r="CU21" s="13"/>
      <c r="CV21" s="33">
        <f t="shared" si="92"/>
        <v>3918300.7275</v>
      </c>
      <c r="CW21" s="33">
        <f t="shared" si="93"/>
        <v>350085</v>
      </c>
      <c r="CX21" s="33">
        <f t="shared" si="94"/>
        <v>446518</v>
      </c>
      <c r="CY21" s="33">
        <f t="shared" si="95"/>
        <v>50263176.789999999</v>
      </c>
      <c r="CZ21" s="33">
        <f t="shared" si="96"/>
        <v>50912856.899999909</v>
      </c>
      <c r="DA21" s="13"/>
      <c r="DB21" s="55">
        <f t="shared" si="97"/>
        <v>8.9346128423217088</v>
      </c>
      <c r="DC21" s="55">
        <f t="shared" si="98"/>
        <v>11.395705206243642</v>
      </c>
      <c r="DD21" s="56">
        <f t="shared" si="99"/>
        <v>143.57420852078781</v>
      </c>
      <c r="DE21" s="56">
        <f t="shared" si="100"/>
        <v>145.42998671751121</v>
      </c>
      <c r="DF21" s="31">
        <f t="shared" si="43"/>
        <v>20184</v>
      </c>
      <c r="DG21" s="15"/>
      <c r="DH21" s="16">
        <v>55934.735000000008</v>
      </c>
      <c r="DI21" s="16">
        <v>12</v>
      </c>
      <c r="DJ21" s="16">
        <v>15</v>
      </c>
      <c r="DK21" s="16">
        <v>148500</v>
      </c>
      <c r="DL21" s="16">
        <v>134000</v>
      </c>
      <c r="DM21" s="13"/>
      <c r="DN21" s="33">
        <f t="shared" si="101"/>
        <v>226011.18083333338</v>
      </c>
      <c r="DO21" s="33">
        <f t="shared" si="102"/>
        <v>38</v>
      </c>
      <c r="DP21" s="33">
        <f t="shared" si="103"/>
        <v>47</v>
      </c>
      <c r="DQ21" s="33">
        <f t="shared" si="104"/>
        <v>472523.42</v>
      </c>
      <c r="DR21" s="33">
        <f t="shared" si="105"/>
        <v>552350</v>
      </c>
      <c r="DS21" s="13"/>
      <c r="DT21" s="55">
        <f t="shared" si="106"/>
        <v>1.681332749109532E-2</v>
      </c>
      <c r="DU21" s="55">
        <f t="shared" si="107"/>
        <v>2.0795431370565266E-2</v>
      </c>
      <c r="DV21" s="56">
        <f t="shared" si="108"/>
        <v>12434.826842105263</v>
      </c>
      <c r="DW21" s="56">
        <f t="shared" si="109"/>
        <v>14535.526315789473</v>
      </c>
      <c r="DX21" s="31">
        <f t="shared" si="44"/>
        <v>20184</v>
      </c>
      <c r="DY21" s="15"/>
      <c r="DZ21" s="16"/>
      <c r="EA21" s="16"/>
      <c r="EB21" s="16"/>
      <c r="EC21" s="16"/>
      <c r="ED21" s="16"/>
      <c r="EE21" s="13"/>
      <c r="EF21" s="33" t="str">
        <f t="shared" si="110"/>
        <v/>
      </c>
      <c r="EG21" s="33" t="str">
        <f t="shared" si="111"/>
        <v/>
      </c>
      <c r="EH21" s="33" t="str">
        <f t="shared" si="112"/>
        <v/>
      </c>
      <c r="EI21" s="33" t="str">
        <f t="shared" si="113"/>
        <v/>
      </c>
      <c r="EJ21" s="33" t="str">
        <f t="shared" si="114"/>
        <v/>
      </c>
      <c r="EK21" s="13"/>
      <c r="EL21" s="55">
        <f t="shared" si="115"/>
        <v>0</v>
      </c>
      <c r="EM21" s="55">
        <f t="shared" si="116"/>
        <v>0</v>
      </c>
      <c r="EN21" s="56">
        <f t="shared" si="117"/>
        <v>0</v>
      </c>
      <c r="EO21" s="56">
        <f t="shared" si="118"/>
        <v>0</v>
      </c>
      <c r="EP21" s="31">
        <f t="shared" si="45"/>
        <v>20184</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20184</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20191</v>
      </c>
      <c r="C22" s="15"/>
      <c r="D22" s="16">
        <v>905023.94166666677</v>
      </c>
      <c r="E22" s="16">
        <v>38524</v>
      </c>
      <c r="F22" s="16">
        <v>80917</v>
      </c>
      <c r="G22" s="16">
        <v>298937627.57999998</v>
      </c>
      <c r="H22" s="16">
        <v>298525571.93999976</v>
      </c>
      <c r="I22" s="13"/>
      <c r="J22" s="33">
        <f t="shared" si="47"/>
        <v>3650196.7566666668</v>
      </c>
      <c r="K22" s="33">
        <f t="shared" si="48"/>
        <v>158896</v>
      </c>
      <c r="L22" s="33">
        <f t="shared" si="49"/>
        <v>323246</v>
      </c>
      <c r="M22" s="33">
        <f t="shared" si="50"/>
        <v>1155699971.8199999</v>
      </c>
      <c r="N22" s="33">
        <f t="shared" si="51"/>
        <v>1162961612.2000003</v>
      </c>
      <c r="O22" s="13"/>
      <c r="P22" s="55">
        <f t="shared" si="52"/>
        <v>4.3530804116187607</v>
      </c>
      <c r="Q22" s="55">
        <f t="shared" si="53"/>
        <v>8.8555774263299138</v>
      </c>
      <c r="R22" s="56">
        <f t="shared" si="54"/>
        <v>7273.3106674806158</v>
      </c>
      <c r="S22" s="56">
        <f t="shared" si="55"/>
        <v>7319.0112539019246</v>
      </c>
      <c r="T22" s="31">
        <f t="shared" si="38"/>
        <v>20191</v>
      </c>
      <c r="U22" s="15"/>
      <c r="V22" s="16">
        <v>512022.13916666666</v>
      </c>
      <c r="W22" s="16">
        <v>4020</v>
      </c>
      <c r="X22" s="16">
        <v>9051</v>
      </c>
      <c r="Y22" s="16">
        <v>16458758.529999999</v>
      </c>
      <c r="Z22" s="16">
        <v>17773100.800000001</v>
      </c>
      <c r="AA22" s="13"/>
      <c r="AB22" s="33">
        <f t="shared" si="56"/>
        <v>2064536.7041666666</v>
      </c>
      <c r="AC22" s="33">
        <f t="shared" si="57"/>
        <v>15962</v>
      </c>
      <c r="AD22" s="33">
        <f t="shared" si="58"/>
        <v>38056</v>
      </c>
      <c r="AE22" s="33">
        <f t="shared" si="59"/>
        <v>66508845.439999998</v>
      </c>
      <c r="AF22" s="33">
        <f t="shared" si="60"/>
        <v>70205530.069999978</v>
      </c>
      <c r="AG22" s="13"/>
      <c r="AH22" s="55">
        <f t="shared" si="61"/>
        <v>0.77315166970804383</v>
      </c>
      <c r="AI22" s="55">
        <f t="shared" si="62"/>
        <v>1.8433191293327476</v>
      </c>
      <c r="AJ22" s="56">
        <f t="shared" si="63"/>
        <v>4166.6987495301337</v>
      </c>
      <c r="AK22" s="56">
        <f t="shared" si="64"/>
        <v>4398.2915718581617</v>
      </c>
      <c r="AL22" s="31">
        <f t="shared" si="39"/>
        <v>20191</v>
      </c>
      <c r="AM22" s="15"/>
      <c r="AN22" s="16">
        <v>886106.86750000005</v>
      </c>
      <c r="AO22" s="16">
        <v>6254</v>
      </c>
      <c r="AP22" s="16">
        <v>8536</v>
      </c>
      <c r="AQ22" s="16">
        <v>47438629.539999999</v>
      </c>
      <c r="AR22" s="16">
        <v>46572924.699999988</v>
      </c>
      <c r="AS22" s="13"/>
      <c r="AT22" s="33">
        <f t="shared" si="65"/>
        <v>3572310.1116666668</v>
      </c>
      <c r="AU22" s="33">
        <f t="shared" si="66"/>
        <v>27238</v>
      </c>
      <c r="AV22" s="33">
        <f t="shared" si="67"/>
        <v>37520</v>
      </c>
      <c r="AW22" s="33">
        <f t="shared" si="68"/>
        <v>198778394.09999999</v>
      </c>
      <c r="AX22" s="33">
        <f t="shared" si="69"/>
        <v>197467492.08999997</v>
      </c>
      <c r="AY22" s="13"/>
      <c r="AZ22" s="55">
        <f t="shared" si="70"/>
        <v>0.76247579713319091</v>
      </c>
      <c r="BA22" s="55">
        <f t="shared" si="71"/>
        <v>1.0503007529347721</v>
      </c>
      <c r="BB22" s="56">
        <f t="shared" si="72"/>
        <v>7297.8336919010208</v>
      </c>
      <c r="BC22" s="56">
        <f t="shared" si="73"/>
        <v>7249.7060022762307</v>
      </c>
      <c r="BD22" s="31">
        <f t="shared" si="40"/>
        <v>20191</v>
      </c>
      <c r="BE22" s="15"/>
      <c r="BF22" s="16">
        <v>805446.58083333343</v>
      </c>
      <c r="BG22" s="16">
        <v>24356</v>
      </c>
      <c r="BH22" s="16">
        <v>40392</v>
      </c>
      <c r="BI22" s="16">
        <v>62640013.43</v>
      </c>
      <c r="BJ22" s="16">
        <v>64694329.580000021</v>
      </c>
      <c r="BK22" s="13"/>
      <c r="BL22" s="33">
        <f t="shared" si="74"/>
        <v>3241913.3575000004</v>
      </c>
      <c r="BM22" s="33">
        <f t="shared" si="75"/>
        <v>98752</v>
      </c>
      <c r="BN22" s="33">
        <f t="shared" si="76"/>
        <v>129537</v>
      </c>
      <c r="BO22" s="33">
        <f t="shared" si="77"/>
        <v>228888836.47</v>
      </c>
      <c r="BP22" s="33">
        <f t="shared" si="78"/>
        <v>231666065.30999997</v>
      </c>
      <c r="BQ22" s="13"/>
      <c r="BR22" s="55">
        <f t="shared" si="79"/>
        <v>3.0461023818401043</v>
      </c>
      <c r="BS22" s="55">
        <f t="shared" si="80"/>
        <v>3.9956959275399133</v>
      </c>
      <c r="BT22" s="56">
        <f t="shared" si="81"/>
        <v>2317.8146920568697</v>
      </c>
      <c r="BU22" s="56">
        <f t="shared" si="82"/>
        <v>2345.93795882615</v>
      </c>
      <c r="BV22" s="31">
        <f t="shared" si="41"/>
        <v>20191</v>
      </c>
      <c r="BW22" s="15"/>
      <c r="BX22" s="16">
        <v>775744.8075</v>
      </c>
      <c r="BY22" s="16">
        <v>53414</v>
      </c>
      <c r="BZ22" s="16">
        <v>87594</v>
      </c>
      <c r="CA22" s="16">
        <v>232868820.09</v>
      </c>
      <c r="CB22" s="16">
        <v>224403609.75999999</v>
      </c>
      <c r="CC22" s="13"/>
      <c r="CD22" s="33">
        <f t="shared" si="83"/>
        <v>3123575.1308333334</v>
      </c>
      <c r="CE22" s="33">
        <f t="shared" si="84"/>
        <v>214850</v>
      </c>
      <c r="CF22" s="33">
        <f t="shared" si="85"/>
        <v>366432</v>
      </c>
      <c r="CG22" s="33">
        <f t="shared" si="86"/>
        <v>844429179.51999998</v>
      </c>
      <c r="CH22" s="33">
        <f t="shared" si="87"/>
        <v>832375742.11999989</v>
      </c>
      <c r="CI22" s="13"/>
      <c r="CJ22" s="55">
        <f t="shared" si="88"/>
        <v>6.8783362333493967</v>
      </c>
      <c r="CK22" s="55">
        <f t="shared" si="89"/>
        <v>11.731172923708105</v>
      </c>
      <c r="CL22" s="56">
        <f t="shared" si="90"/>
        <v>3930.3196626483591</v>
      </c>
      <c r="CM22" s="56">
        <f t="shared" si="91"/>
        <v>3874.218022434256</v>
      </c>
      <c r="CN22" s="31">
        <f t="shared" si="42"/>
        <v>20191</v>
      </c>
      <c r="CO22" s="15"/>
      <c r="CP22" s="16">
        <v>970690.03749999998</v>
      </c>
      <c r="CQ22" s="16">
        <v>86324</v>
      </c>
      <c r="CR22" s="16">
        <v>108274</v>
      </c>
      <c r="CS22" s="16">
        <v>13797471.380000001</v>
      </c>
      <c r="CT22" s="16">
        <v>13639159.030000001</v>
      </c>
      <c r="CU22" s="13"/>
      <c r="CV22" s="33">
        <f t="shared" si="92"/>
        <v>3900926.3716666666</v>
      </c>
      <c r="CW22" s="33">
        <f t="shared" si="93"/>
        <v>348211</v>
      </c>
      <c r="CX22" s="33">
        <f t="shared" si="94"/>
        <v>442084</v>
      </c>
      <c r="CY22" s="33">
        <f t="shared" si="95"/>
        <v>51205650.600000001</v>
      </c>
      <c r="CZ22" s="33">
        <f t="shared" si="96"/>
        <v>51529526.499999933</v>
      </c>
      <c r="DA22" s="13"/>
      <c r="DB22" s="55">
        <f t="shared" si="97"/>
        <v>8.9263668888789418</v>
      </c>
      <c r="DC22" s="55">
        <f t="shared" si="98"/>
        <v>11.332795287062034</v>
      </c>
      <c r="DD22" s="56">
        <f t="shared" si="99"/>
        <v>147.05351238186043</v>
      </c>
      <c r="DE22" s="56">
        <f t="shared" si="100"/>
        <v>147.98362630703778</v>
      </c>
      <c r="DF22" s="31">
        <f t="shared" si="43"/>
        <v>20191</v>
      </c>
      <c r="DG22" s="15"/>
      <c r="DH22" s="16">
        <v>55781.805833333339</v>
      </c>
      <c r="DI22" s="16">
        <v>4</v>
      </c>
      <c r="DJ22" s="16">
        <v>9</v>
      </c>
      <c r="DK22" s="16">
        <v>129850</v>
      </c>
      <c r="DL22" s="16">
        <v>70000</v>
      </c>
      <c r="DM22" s="13"/>
      <c r="DN22" s="33">
        <f t="shared" si="101"/>
        <v>224714.8641666667</v>
      </c>
      <c r="DO22" s="33">
        <f t="shared" si="102"/>
        <v>29</v>
      </c>
      <c r="DP22" s="33">
        <f t="shared" si="103"/>
        <v>47</v>
      </c>
      <c r="DQ22" s="33">
        <f t="shared" si="104"/>
        <v>459123.42</v>
      </c>
      <c r="DR22" s="33">
        <f t="shared" si="105"/>
        <v>388750</v>
      </c>
      <c r="DS22" s="13"/>
      <c r="DT22" s="55">
        <f t="shared" si="106"/>
        <v>1.2905243321372481E-2</v>
      </c>
      <c r="DU22" s="55">
        <f t="shared" si="107"/>
        <v>2.0915394348431267E-2</v>
      </c>
      <c r="DV22" s="56">
        <f t="shared" si="108"/>
        <v>15831.842068965516</v>
      </c>
      <c r="DW22" s="56">
        <f t="shared" si="109"/>
        <v>13405.172413793103</v>
      </c>
      <c r="DX22" s="31">
        <f t="shared" si="44"/>
        <v>20191</v>
      </c>
      <c r="DY22" s="15"/>
      <c r="DZ22" s="16"/>
      <c r="EA22" s="16"/>
      <c r="EB22" s="16"/>
      <c r="EC22" s="16"/>
      <c r="ED22" s="16"/>
      <c r="EE22" s="13"/>
      <c r="EF22" s="33" t="str">
        <f t="shared" si="110"/>
        <v/>
      </c>
      <c r="EG22" s="33" t="str">
        <f t="shared" si="111"/>
        <v/>
      </c>
      <c r="EH22" s="33" t="str">
        <f t="shared" si="112"/>
        <v/>
      </c>
      <c r="EI22" s="33" t="str">
        <f t="shared" si="113"/>
        <v/>
      </c>
      <c r="EJ22" s="33" t="str">
        <f t="shared" si="114"/>
        <v/>
      </c>
      <c r="EK22" s="13"/>
      <c r="EL22" s="55">
        <f t="shared" si="115"/>
        <v>0</v>
      </c>
      <c r="EM22" s="55">
        <f t="shared" si="116"/>
        <v>0</v>
      </c>
      <c r="EN22" s="56">
        <f t="shared" si="117"/>
        <v>0</v>
      </c>
      <c r="EO22" s="56">
        <f t="shared" si="118"/>
        <v>0</v>
      </c>
      <c r="EP22" s="31">
        <f t="shared" si="45"/>
        <v>20191</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20191</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20192</v>
      </c>
      <c r="C23" s="15"/>
      <c r="D23" s="16">
        <v>901738.12666666659</v>
      </c>
      <c r="E23" s="16">
        <v>37362</v>
      </c>
      <c r="F23" s="16">
        <v>80430</v>
      </c>
      <c r="G23" s="16">
        <v>287822714.80000001</v>
      </c>
      <c r="H23" s="16">
        <v>299269477.74999994</v>
      </c>
      <c r="I23" s="13"/>
      <c r="J23" s="33">
        <f t="shared" si="47"/>
        <v>3630040.3608333333</v>
      </c>
      <c r="K23" s="33">
        <f t="shared" si="48"/>
        <v>155600</v>
      </c>
      <c r="L23" s="33">
        <f t="shared" si="49"/>
        <v>323079</v>
      </c>
      <c r="M23" s="33">
        <f t="shared" si="50"/>
        <v>1150780069.8699999</v>
      </c>
      <c r="N23" s="33">
        <f t="shared" si="51"/>
        <v>1133418271.4400001</v>
      </c>
      <c r="O23" s="13"/>
      <c r="P23" s="55">
        <f t="shared" si="52"/>
        <v>4.2864537176738038</v>
      </c>
      <c r="Q23" s="55">
        <f t="shared" si="53"/>
        <v>8.9001489759147496</v>
      </c>
      <c r="R23" s="56">
        <f t="shared" si="54"/>
        <v>7395.7588037917731</v>
      </c>
      <c r="S23" s="56">
        <f t="shared" si="55"/>
        <v>7284.1791223650389</v>
      </c>
      <c r="T23" s="31">
        <f t="shared" si="38"/>
        <v>20192</v>
      </c>
      <c r="U23" s="15"/>
      <c r="V23" s="16">
        <v>509755.93583333335</v>
      </c>
      <c r="W23" s="16">
        <v>4222</v>
      </c>
      <c r="X23" s="16">
        <v>9000</v>
      </c>
      <c r="Y23" s="16">
        <v>18162290.09</v>
      </c>
      <c r="Z23" s="16">
        <v>19897970.550000001</v>
      </c>
      <c r="AA23" s="13"/>
      <c r="AB23" s="33">
        <f t="shared" si="56"/>
        <v>2053211.5024999999</v>
      </c>
      <c r="AC23" s="33">
        <f t="shared" si="57"/>
        <v>15882</v>
      </c>
      <c r="AD23" s="33">
        <f t="shared" si="58"/>
        <v>37235</v>
      </c>
      <c r="AE23" s="33">
        <f t="shared" si="59"/>
        <v>68603131.670000002</v>
      </c>
      <c r="AF23" s="33">
        <f t="shared" si="60"/>
        <v>72355934.339999974</v>
      </c>
      <c r="AG23" s="13"/>
      <c r="AH23" s="55">
        <f t="shared" si="61"/>
        <v>0.77351992138471859</v>
      </c>
      <c r="AI23" s="55">
        <f t="shared" si="62"/>
        <v>1.8135004579246945</v>
      </c>
      <c r="AJ23" s="56">
        <f t="shared" si="63"/>
        <v>4319.5524285354486</v>
      </c>
      <c r="AK23" s="56">
        <f t="shared" si="64"/>
        <v>4555.8452550056654</v>
      </c>
      <c r="AL23" s="31">
        <f t="shared" si="39"/>
        <v>20192</v>
      </c>
      <c r="AM23" s="15"/>
      <c r="AN23" s="16">
        <v>883063.755</v>
      </c>
      <c r="AO23" s="16">
        <v>5843</v>
      </c>
      <c r="AP23" s="16">
        <v>8039</v>
      </c>
      <c r="AQ23" s="16">
        <v>50626718.859999999</v>
      </c>
      <c r="AR23" s="16">
        <v>49475015.219999984</v>
      </c>
      <c r="AS23" s="13"/>
      <c r="AT23" s="33">
        <f t="shared" si="65"/>
        <v>3553666.4191666669</v>
      </c>
      <c r="AU23" s="33">
        <f t="shared" si="66"/>
        <v>25386</v>
      </c>
      <c r="AV23" s="33">
        <f t="shared" si="67"/>
        <v>34787</v>
      </c>
      <c r="AW23" s="33">
        <f t="shared" si="68"/>
        <v>197850529.31</v>
      </c>
      <c r="AX23" s="33">
        <f t="shared" si="69"/>
        <v>196460599.35999995</v>
      </c>
      <c r="AY23" s="13"/>
      <c r="AZ23" s="55">
        <f t="shared" si="70"/>
        <v>0.7143608039032826</v>
      </c>
      <c r="BA23" s="55">
        <f t="shared" si="71"/>
        <v>0.97890448614919612</v>
      </c>
      <c r="BB23" s="56">
        <f t="shared" si="72"/>
        <v>7793.6866505160324</v>
      </c>
      <c r="BC23" s="56">
        <f t="shared" si="73"/>
        <v>7738.9348207673502</v>
      </c>
      <c r="BD23" s="31">
        <f t="shared" si="40"/>
        <v>20192</v>
      </c>
      <c r="BE23" s="15"/>
      <c r="BF23" s="16">
        <v>803494.13416666666</v>
      </c>
      <c r="BG23" s="16">
        <v>25809</v>
      </c>
      <c r="BH23" s="16">
        <v>43915</v>
      </c>
      <c r="BI23" s="16">
        <v>56371865.039999999</v>
      </c>
      <c r="BJ23" s="16">
        <v>56262351.289999969</v>
      </c>
      <c r="BK23" s="13"/>
      <c r="BL23" s="33">
        <f t="shared" si="74"/>
        <v>3228279.7983333338</v>
      </c>
      <c r="BM23" s="33">
        <f t="shared" si="75"/>
        <v>99655</v>
      </c>
      <c r="BN23" s="33">
        <f t="shared" si="76"/>
        <v>143821</v>
      </c>
      <c r="BO23" s="33">
        <f t="shared" si="77"/>
        <v>233092871.38999999</v>
      </c>
      <c r="BP23" s="33">
        <f t="shared" si="78"/>
        <v>234757878.86999995</v>
      </c>
      <c r="BQ23" s="13"/>
      <c r="BR23" s="55">
        <f t="shared" si="79"/>
        <v>3.0869381288278963</v>
      </c>
      <c r="BS23" s="55">
        <f t="shared" si="80"/>
        <v>4.4550351575551339</v>
      </c>
      <c r="BT23" s="56">
        <f t="shared" si="81"/>
        <v>2338.9982578897193</v>
      </c>
      <c r="BU23" s="56">
        <f t="shared" si="82"/>
        <v>2355.7059743113737</v>
      </c>
      <c r="BV23" s="31">
        <f t="shared" si="41"/>
        <v>20192</v>
      </c>
      <c r="BW23" s="15"/>
      <c r="BX23" s="16">
        <v>773710.94499999995</v>
      </c>
      <c r="BY23" s="16">
        <v>52901</v>
      </c>
      <c r="BZ23" s="16">
        <v>87545</v>
      </c>
      <c r="CA23" s="16">
        <v>202840301.12</v>
      </c>
      <c r="CB23" s="16">
        <v>212729678.58999988</v>
      </c>
      <c r="CC23" s="13"/>
      <c r="CD23" s="33">
        <f t="shared" si="83"/>
        <v>3109616.6850000001</v>
      </c>
      <c r="CE23" s="33">
        <f t="shared" si="84"/>
        <v>213193</v>
      </c>
      <c r="CF23" s="33">
        <f t="shared" si="85"/>
        <v>361097</v>
      </c>
      <c r="CG23" s="33">
        <f t="shared" si="86"/>
        <v>847759416.83000004</v>
      </c>
      <c r="CH23" s="33">
        <f t="shared" si="87"/>
        <v>844441497.37999988</v>
      </c>
      <c r="CI23" s="13"/>
      <c r="CJ23" s="55">
        <f t="shared" si="88"/>
        <v>6.8559253951906287</v>
      </c>
      <c r="CK23" s="55">
        <f t="shared" si="89"/>
        <v>11.612267252804505</v>
      </c>
      <c r="CL23" s="56">
        <f t="shared" si="90"/>
        <v>3976.4880499359738</v>
      </c>
      <c r="CM23" s="56">
        <f t="shared" si="91"/>
        <v>3960.9250649880619</v>
      </c>
      <c r="CN23" s="31">
        <f t="shared" si="42"/>
        <v>20192</v>
      </c>
      <c r="CO23" s="15"/>
      <c r="CP23" s="16">
        <v>969346.00250000006</v>
      </c>
      <c r="CQ23" s="16">
        <v>82373</v>
      </c>
      <c r="CR23" s="16">
        <v>104458</v>
      </c>
      <c r="CS23" s="16">
        <v>13127399.380000001</v>
      </c>
      <c r="CT23" s="16">
        <v>13127446.269999994</v>
      </c>
      <c r="CU23" s="13"/>
      <c r="CV23" s="33">
        <f t="shared" si="92"/>
        <v>3887877.9249999998</v>
      </c>
      <c r="CW23" s="33">
        <f t="shared" si="93"/>
        <v>343619</v>
      </c>
      <c r="CX23" s="33">
        <f t="shared" si="94"/>
        <v>436107</v>
      </c>
      <c r="CY23" s="33">
        <f t="shared" si="95"/>
        <v>52279780.300000004</v>
      </c>
      <c r="CZ23" s="33">
        <f t="shared" si="96"/>
        <v>52321762.569999956</v>
      </c>
      <c r="DA23" s="13"/>
      <c r="DB23" s="55">
        <f t="shared" si="97"/>
        <v>8.8382147441010517</v>
      </c>
      <c r="DC23" s="55">
        <f t="shared" si="98"/>
        <v>11.217096020318076</v>
      </c>
      <c r="DD23" s="56">
        <f t="shared" si="99"/>
        <v>152.14461452946432</v>
      </c>
      <c r="DE23" s="56">
        <f t="shared" si="100"/>
        <v>152.26679132993215</v>
      </c>
      <c r="DF23" s="31">
        <f t="shared" si="43"/>
        <v>20192</v>
      </c>
      <c r="DG23" s="15"/>
      <c r="DH23" s="16">
        <v>55667.427500000005</v>
      </c>
      <c r="DI23" s="16">
        <v>13</v>
      </c>
      <c r="DJ23" s="16">
        <v>13</v>
      </c>
      <c r="DK23" s="16">
        <v>84998</v>
      </c>
      <c r="DL23" s="16">
        <v>108200</v>
      </c>
      <c r="DM23" s="13"/>
      <c r="DN23" s="33">
        <f t="shared" si="101"/>
        <v>223654.28250000003</v>
      </c>
      <c r="DO23" s="33">
        <f t="shared" si="102"/>
        <v>36</v>
      </c>
      <c r="DP23" s="33">
        <f t="shared" si="103"/>
        <v>50</v>
      </c>
      <c r="DQ23" s="33">
        <f t="shared" si="104"/>
        <v>464371.42</v>
      </c>
      <c r="DR23" s="33">
        <f t="shared" si="105"/>
        <v>427200</v>
      </c>
      <c r="DS23" s="13"/>
      <c r="DT23" s="55">
        <f t="shared" si="106"/>
        <v>1.6096271261874896E-2</v>
      </c>
      <c r="DU23" s="55">
        <f t="shared" si="107"/>
        <v>2.235593230815958E-2</v>
      </c>
      <c r="DV23" s="56">
        <f t="shared" si="108"/>
        <v>12899.206111111111</v>
      </c>
      <c r="DW23" s="56">
        <f t="shared" si="109"/>
        <v>11866.666666666666</v>
      </c>
      <c r="DX23" s="31">
        <f t="shared" si="44"/>
        <v>20192</v>
      </c>
      <c r="DY23" s="15"/>
      <c r="DZ23" s="16"/>
      <c r="EA23" s="16"/>
      <c r="EB23" s="16"/>
      <c r="EC23" s="16"/>
      <c r="ED23" s="16"/>
      <c r="EE23" s="13"/>
      <c r="EF23" s="33" t="str">
        <f t="shared" si="110"/>
        <v/>
      </c>
      <c r="EG23" s="33" t="str">
        <f t="shared" si="111"/>
        <v/>
      </c>
      <c r="EH23" s="33" t="str">
        <f t="shared" si="112"/>
        <v/>
      </c>
      <c r="EI23" s="33" t="str">
        <f t="shared" si="113"/>
        <v/>
      </c>
      <c r="EJ23" s="33" t="str">
        <f t="shared" si="114"/>
        <v/>
      </c>
      <c r="EK23" s="13"/>
      <c r="EL23" s="55">
        <f t="shared" si="115"/>
        <v>0</v>
      </c>
      <c r="EM23" s="55">
        <f t="shared" si="116"/>
        <v>0</v>
      </c>
      <c r="EN23" s="56">
        <f t="shared" si="117"/>
        <v>0</v>
      </c>
      <c r="EO23" s="56">
        <f t="shared" si="118"/>
        <v>0</v>
      </c>
      <c r="EP23" s="31">
        <f t="shared" si="45"/>
        <v>20192</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20192</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20193</v>
      </c>
      <c r="C24" s="15"/>
      <c r="D24" s="16">
        <v>895378.79499999993</v>
      </c>
      <c r="E24" s="16">
        <v>40237</v>
      </c>
      <c r="F24" s="16">
        <v>85804</v>
      </c>
      <c r="G24" s="16">
        <v>296161184.28999996</v>
      </c>
      <c r="H24" s="16">
        <v>287696333.43000007</v>
      </c>
      <c r="I24" s="13"/>
      <c r="J24" s="33">
        <f t="shared" si="47"/>
        <v>3610739.3466666667</v>
      </c>
      <c r="K24" s="33">
        <f t="shared" si="48"/>
        <v>156444</v>
      </c>
      <c r="L24" s="33">
        <f t="shared" si="49"/>
        <v>330144</v>
      </c>
      <c r="M24" s="33">
        <f t="shared" si="50"/>
        <v>1162408983.75</v>
      </c>
      <c r="N24" s="33">
        <f t="shared" si="51"/>
        <v>1153341003.79</v>
      </c>
      <c r="O24" s="13"/>
      <c r="P24" s="55">
        <f t="shared" si="52"/>
        <v>4.3327414410133125</v>
      </c>
      <c r="Q24" s="55">
        <f t="shared" si="53"/>
        <v>9.1433905442324352</v>
      </c>
      <c r="R24" s="56">
        <f t="shared" si="54"/>
        <v>7430.1921694024695</v>
      </c>
      <c r="S24" s="56">
        <f t="shared" si="55"/>
        <v>7372.2290646493311</v>
      </c>
      <c r="T24" s="31">
        <f t="shared" si="38"/>
        <v>20193</v>
      </c>
      <c r="U24" s="15"/>
      <c r="V24" s="16">
        <v>506955.48</v>
      </c>
      <c r="W24" s="16">
        <v>3739</v>
      </c>
      <c r="X24" s="16">
        <v>9015</v>
      </c>
      <c r="Y24" s="16">
        <v>17771300.399999999</v>
      </c>
      <c r="Z24" s="16">
        <v>17849522.010000005</v>
      </c>
      <c r="AA24" s="13"/>
      <c r="AB24" s="33">
        <f t="shared" si="56"/>
        <v>2042903.5491666666</v>
      </c>
      <c r="AC24" s="33">
        <f t="shared" si="57"/>
        <v>15778</v>
      </c>
      <c r="AD24" s="33">
        <f t="shared" si="58"/>
        <v>36743</v>
      </c>
      <c r="AE24" s="33">
        <f t="shared" si="59"/>
        <v>69669155.669999987</v>
      </c>
      <c r="AF24" s="33">
        <f t="shared" si="60"/>
        <v>73271271.400000006</v>
      </c>
      <c r="AG24" s="13"/>
      <c r="AH24" s="55">
        <f t="shared" si="61"/>
        <v>0.77233210576368627</v>
      </c>
      <c r="AI24" s="55">
        <f t="shared" si="62"/>
        <v>1.7985675346732872</v>
      </c>
      <c r="AJ24" s="56">
        <f t="shared" si="63"/>
        <v>4415.5885200912653</v>
      </c>
      <c r="AK24" s="56">
        <f t="shared" si="64"/>
        <v>4643.8884142476873</v>
      </c>
      <c r="AL24" s="31">
        <f t="shared" si="39"/>
        <v>20193</v>
      </c>
      <c r="AM24" s="15"/>
      <c r="AN24" s="16">
        <v>877055.80666666664</v>
      </c>
      <c r="AO24" s="16">
        <v>5939</v>
      </c>
      <c r="AP24" s="16">
        <v>8321</v>
      </c>
      <c r="AQ24" s="16">
        <v>47645499.409999996</v>
      </c>
      <c r="AR24" s="16">
        <v>47333803.510000005</v>
      </c>
      <c r="AS24" s="13"/>
      <c r="AT24" s="33">
        <f t="shared" si="65"/>
        <v>3535714.2316666669</v>
      </c>
      <c r="AU24" s="33">
        <f t="shared" si="66"/>
        <v>24632</v>
      </c>
      <c r="AV24" s="33">
        <f t="shared" si="67"/>
        <v>34192</v>
      </c>
      <c r="AW24" s="33">
        <f t="shared" si="68"/>
        <v>194266334.80999997</v>
      </c>
      <c r="AX24" s="33">
        <f t="shared" si="69"/>
        <v>193061899.10999995</v>
      </c>
      <c r="AY24" s="13"/>
      <c r="AZ24" s="55">
        <f t="shared" si="70"/>
        <v>0.6966626369119473</v>
      </c>
      <c r="BA24" s="55">
        <f t="shared" si="71"/>
        <v>0.96704647942892596</v>
      </c>
      <c r="BB24" s="56">
        <f t="shared" si="72"/>
        <v>7886.7462979051625</v>
      </c>
      <c r="BC24" s="56">
        <f t="shared" si="73"/>
        <v>7837.8491031990889</v>
      </c>
      <c r="BD24" s="31">
        <f t="shared" si="40"/>
        <v>20193</v>
      </c>
      <c r="BE24" s="15"/>
      <c r="BF24" s="16">
        <v>799203.4916666667</v>
      </c>
      <c r="BG24" s="16">
        <v>28862</v>
      </c>
      <c r="BH24" s="16">
        <v>51740</v>
      </c>
      <c r="BI24" s="16">
        <v>59461335.140000001</v>
      </c>
      <c r="BJ24" s="16">
        <v>60274021.140000053</v>
      </c>
      <c r="BK24" s="13"/>
      <c r="BL24" s="33">
        <f t="shared" si="74"/>
        <v>3215641.2641666667</v>
      </c>
      <c r="BM24" s="33">
        <f t="shared" si="75"/>
        <v>102702</v>
      </c>
      <c r="BN24" s="33">
        <f t="shared" si="76"/>
        <v>164594</v>
      </c>
      <c r="BO24" s="33">
        <f t="shared" si="77"/>
        <v>236818441.26999998</v>
      </c>
      <c r="BP24" s="33">
        <f t="shared" si="78"/>
        <v>239477000.76000002</v>
      </c>
      <c r="BQ24" s="13"/>
      <c r="BR24" s="55">
        <f t="shared" si="79"/>
        <v>3.1938264116851114</v>
      </c>
      <c r="BS24" s="55">
        <f t="shared" si="80"/>
        <v>5.1185435960828345</v>
      </c>
      <c r="BT24" s="56">
        <f t="shared" si="81"/>
        <v>2305.8795473311129</v>
      </c>
      <c r="BU24" s="56">
        <f t="shared" si="82"/>
        <v>2331.7656984284631</v>
      </c>
      <c r="BV24" s="31">
        <f t="shared" si="41"/>
        <v>20193</v>
      </c>
      <c r="BW24" s="15"/>
      <c r="BX24" s="16">
        <v>769492.42166666675</v>
      </c>
      <c r="BY24" s="16">
        <v>53567</v>
      </c>
      <c r="BZ24" s="16">
        <v>92335</v>
      </c>
      <c r="CA24" s="16">
        <v>207793006.28</v>
      </c>
      <c r="CB24" s="16">
        <v>207885916.57999986</v>
      </c>
      <c r="CC24" s="13"/>
      <c r="CD24" s="33">
        <f t="shared" si="83"/>
        <v>3096862.8241666667</v>
      </c>
      <c r="CE24" s="33">
        <f t="shared" si="84"/>
        <v>213663</v>
      </c>
      <c r="CF24" s="33">
        <f t="shared" si="85"/>
        <v>361120</v>
      </c>
      <c r="CG24" s="33">
        <f t="shared" si="86"/>
        <v>858153493.25999999</v>
      </c>
      <c r="CH24" s="33">
        <f t="shared" si="87"/>
        <v>856030267.2099998</v>
      </c>
      <c r="CI24" s="13"/>
      <c r="CJ24" s="55">
        <f t="shared" si="88"/>
        <v>6.8993369138813723</v>
      </c>
      <c r="CK24" s="55">
        <f t="shared" si="89"/>
        <v>11.660832930085419</v>
      </c>
      <c r="CL24" s="56">
        <f t="shared" si="90"/>
        <v>4016.3879251906037</v>
      </c>
      <c r="CM24" s="56">
        <f t="shared" si="91"/>
        <v>4006.4506592624825</v>
      </c>
      <c r="CN24" s="31">
        <f t="shared" si="42"/>
        <v>20193</v>
      </c>
      <c r="CO24" s="15"/>
      <c r="CP24" s="16">
        <v>963749.54916666658</v>
      </c>
      <c r="CQ24" s="16">
        <v>85011</v>
      </c>
      <c r="CR24" s="16">
        <v>107610</v>
      </c>
      <c r="CS24" s="16">
        <v>13671685.630000001</v>
      </c>
      <c r="CT24" s="16">
        <v>13623102.149999997</v>
      </c>
      <c r="CU24" s="13"/>
      <c r="CV24" s="33">
        <f t="shared" si="92"/>
        <v>3875516.7008333327</v>
      </c>
      <c r="CW24" s="33">
        <f t="shared" si="93"/>
        <v>342450</v>
      </c>
      <c r="CX24" s="33">
        <f t="shared" si="94"/>
        <v>432309</v>
      </c>
      <c r="CY24" s="33">
        <f t="shared" si="95"/>
        <v>53633878.680000007</v>
      </c>
      <c r="CZ24" s="33">
        <f t="shared" si="96"/>
        <v>53586349.709999971</v>
      </c>
      <c r="DA24" s="13"/>
      <c r="DB24" s="55">
        <f t="shared" si="97"/>
        <v>8.8362411114462418</v>
      </c>
      <c r="DC24" s="55">
        <f t="shared" si="98"/>
        <v>11.154873875451052</v>
      </c>
      <c r="DD24" s="56">
        <f t="shared" si="99"/>
        <v>156.61813017958829</v>
      </c>
      <c r="DE24" s="56">
        <f t="shared" si="100"/>
        <v>156.47933920280323</v>
      </c>
      <c r="DF24" s="31">
        <f t="shared" si="43"/>
        <v>20193</v>
      </c>
      <c r="DG24" s="15"/>
      <c r="DH24" s="16">
        <v>55269.02583333334</v>
      </c>
      <c r="DI24" s="16">
        <v>9</v>
      </c>
      <c r="DJ24" s="16">
        <v>20</v>
      </c>
      <c r="DK24" s="16">
        <v>179350</v>
      </c>
      <c r="DL24" s="16">
        <v>126171.42</v>
      </c>
      <c r="DM24" s="13"/>
      <c r="DN24" s="33">
        <f t="shared" si="101"/>
        <v>222652.9941666667</v>
      </c>
      <c r="DO24" s="33">
        <f t="shared" si="102"/>
        <v>38</v>
      </c>
      <c r="DP24" s="33">
        <f t="shared" si="103"/>
        <v>57</v>
      </c>
      <c r="DQ24" s="33">
        <f t="shared" si="104"/>
        <v>542698</v>
      </c>
      <c r="DR24" s="33">
        <f t="shared" si="105"/>
        <v>438371.42</v>
      </c>
      <c r="DS24" s="13"/>
      <c r="DT24" s="55">
        <f t="shared" si="106"/>
        <v>1.7066916230892962E-2</v>
      </c>
      <c r="DU24" s="55">
        <f t="shared" si="107"/>
        <v>2.5600374346339445E-2</v>
      </c>
      <c r="DV24" s="56">
        <f t="shared" si="108"/>
        <v>14281.526315789473</v>
      </c>
      <c r="DW24" s="56">
        <f t="shared" si="109"/>
        <v>11536.09</v>
      </c>
      <c r="DX24" s="31">
        <f t="shared" si="44"/>
        <v>20193</v>
      </c>
      <c r="DY24" s="15"/>
      <c r="DZ24" s="16"/>
      <c r="EA24" s="16"/>
      <c r="EB24" s="16"/>
      <c r="EC24" s="16"/>
      <c r="ED24" s="16"/>
      <c r="EE24" s="13"/>
      <c r="EF24" s="33" t="str">
        <f t="shared" si="110"/>
        <v/>
      </c>
      <c r="EG24" s="33" t="str">
        <f t="shared" si="111"/>
        <v/>
      </c>
      <c r="EH24" s="33" t="str">
        <f t="shared" si="112"/>
        <v/>
      </c>
      <c r="EI24" s="33" t="str">
        <f t="shared" si="113"/>
        <v/>
      </c>
      <c r="EJ24" s="33" t="str">
        <f t="shared" si="114"/>
        <v/>
      </c>
      <c r="EK24" s="13"/>
      <c r="EL24" s="55">
        <f t="shared" si="115"/>
        <v>0</v>
      </c>
      <c r="EM24" s="55">
        <f t="shared" si="116"/>
        <v>0</v>
      </c>
      <c r="EN24" s="56">
        <f t="shared" si="117"/>
        <v>0</v>
      </c>
      <c r="EO24" s="56">
        <f t="shared" si="118"/>
        <v>0</v>
      </c>
      <c r="EP24" s="31">
        <f t="shared" si="45"/>
        <v>20193</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20193</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20194</v>
      </c>
      <c r="C25" s="15"/>
      <c r="D25" s="16">
        <v>890456.56499999994</v>
      </c>
      <c r="E25" s="16">
        <v>38756</v>
      </c>
      <c r="F25" s="16">
        <v>84952</v>
      </c>
      <c r="G25" s="16">
        <v>288481119</v>
      </c>
      <c r="H25" s="16">
        <v>280921148.38000011</v>
      </c>
      <c r="I25" s="13"/>
      <c r="J25" s="33">
        <f t="shared" si="47"/>
        <v>3592597.4283333332</v>
      </c>
      <c r="K25" s="33">
        <f t="shared" si="48"/>
        <v>154879</v>
      </c>
      <c r="L25" s="33">
        <f t="shared" si="49"/>
        <v>332103</v>
      </c>
      <c r="M25" s="33">
        <f t="shared" si="50"/>
        <v>1171402645.6700001</v>
      </c>
      <c r="N25" s="33">
        <f t="shared" si="51"/>
        <v>1166412531.5</v>
      </c>
      <c r="O25" s="13"/>
      <c r="P25" s="55">
        <f t="shared" si="52"/>
        <v>4.3110591456346663</v>
      </c>
      <c r="Q25" s="55">
        <f t="shared" si="53"/>
        <v>9.2440916808780393</v>
      </c>
      <c r="R25" s="56">
        <f t="shared" si="54"/>
        <v>7563.3407090050951</v>
      </c>
      <c r="S25" s="56">
        <f t="shared" si="55"/>
        <v>7531.1212720898247</v>
      </c>
      <c r="T25" s="31">
        <f t="shared" si="38"/>
        <v>20194</v>
      </c>
      <c r="U25" s="15"/>
      <c r="V25" s="16">
        <v>504923.33333333331</v>
      </c>
      <c r="W25" s="16">
        <v>3921</v>
      </c>
      <c r="X25" s="16">
        <v>9167</v>
      </c>
      <c r="Y25" s="16">
        <v>17144701.559999999</v>
      </c>
      <c r="Z25" s="16">
        <v>18416179.560000002</v>
      </c>
      <c r="AA25" s="13"/>
      <c r="AB25" s="33">
        <f t="shared" si="56"/>
        <v>2033656.8883333332</v>
      </c>
      <c r="AC25" s="33">
        <f t="shared" si="57"/>
        <v>15902</v>
      </c>
      <c r="AD25" s="33">
        <f t="shared" si="58"/>
        <v>36233</v>
      </c>
      <c r="AE25" s="33">
        <f t="shared" si="59"/>
        <v>69537050.579999998</v>
      </c>
      <c r="AF25" s="33">
        <f t="shared" si="60"/>
        <v>73936772.920000017</v>
      </c>
      <c r="AG25" s="13"/>
      <c r="AH25" s="55">
        <f t="shared" si="61"/>
        <v>0.7819411470649974</v>
      </c>
      <c r="AI25" s="55">
        <f t="shared" si="62"/>
        <v>1.7816673111310559</v>
      </c>
      <c r="AJ25" s="56">
        <f t="shared" si="63"/>
        <v>4372.8493636020621</v>
      </c>
      <c r="AK25" s="56">
        <f t="shared" si="64"/>
        <v>4649.5266582819786</v>
      </c>
      <c r="AL25" s="31">
        <f t="shared" si="39"/>
        <v>20194</v>
      </c>
      <c r="AM25" s="15"/>
      <c r="AN25" s="16">
        <v>872484.91333333345</v>
      </c>
      <c r="AO25" s="16">
        <v>5861</v>
      </c>
      <c r="AP25" s="16">
        <v>8093</v>
      </c>
      <c r="AQ25" s="16">
        <v>49802979.700000003</v>
      </c>
      <c r="AR25" s="16">
        <v>49597756.330000006</v>
      </c>
      <c r="AS25" s="13"/>
      <c r="AT25" s="33">
        <f t="shared" si="65"/>
        <v>3518711.3425000003</v>
      </c>
      <c r="AU25" s="33">
        <f t="shared" si="66"/>
        <v>23897</v>
      </c>
      <c r="AV25" s="33">
        <f t="shared" si="67"/>
        <v>32989</v>
      </c>
      <c r="AW25" s="33">
        <f t="shared" si="68"/>
        <v>195513827.50999999</v>
      </c>
      <c r="AX25" s="33">
        <f t="shared" si="69"/>
        <v>192979499.75999999</v>
      </c>
      <c r="AY25" s="13"/>
      <c r="AZ25" s="55">
        <f t="shared" si="70"/>
        <v>0.67914067605845385</v>
      </c>
      <c r="BA25" s="55">
        <f t="shared" si="71"/>
        <v>0.93753072613685129</v>
      </c>
      <c r="BB25" s="56">
        <f t="shared" si="72"/>
        <v>8181.5218441645393</v>
      </c>
      <c r="BC25" s="56">
        <f t="shared" si="73"/>
        <v>8075.4697141900651</v>
      </c>
      <c r="BD25" s="31">
        <f t="shared" si="40"/>
        <v>20194</v>
      </c>
      <c r="BE25" s="15"/>
      <c r="BF25" s="16">
        <v>796014.77166666661</v>
      </c>
      <c r="BG25" s="16">
        <v>25583</v>
      </c>
      <c r="BH25" s="16">
        <v>44770</v>
      </c>
      <c r="BI25" s="16">
        <v>58056581.539999999</v>
      </c>
      <c r="BJ25" s="16">
        <v>62077978.770000048</v>
      </c>
      <c r="BK25" s="13"/>
      <c r="BL25" s="33">
        <f t="shared" si="74"/>
        <v>3204158.9783333335</v>
      </c>
      <c r="BM25" s="33">
        <f t="shared" si="75"/>
        <v>104610</v>
      </c>
      <c r="BN25" s="33">
        <f t="shared" si="76"/>
        <v>180817</v>
      </c>
      <c r="BO25" s="33">
        <f t="shared" si="77"/>
        <v>236529795.15000001</v>
      </c>
      <c r="BP25" s="33">
        <f t="shared" si="78"/>
        <v>243308680.78000009</v>
      </c>
      <c r="BQ25" s="13"/>
      <c r="BR25" s="55">
        <f t="shared" si="79"/>
        <v>3.26481927730108</v>
      </c>
      <c r="BS25" s="55">
        <f t="shared" si="80"/>
        <v>5.6431968957437091</v>
      </c>
      <c r="BT25" s="56">
        <f t="shared" si="81"/>
        <v>2261.062949526814</v>
      </c>
      <c r="BU25" s="56">
        <f t="shared" si="82"/>
        <v>2325.8644563617254</v>
      </c>
      <c r="BV25" s="31">
        <f t="shared" si="41"/>
        <v>20194</v>
      </c>
      <c r="BW25" s="15"/>
      <c r="BX25" s="16">
        <v>766541.34583333333</v>
      </c>
      <c r="BY25" s="16">
        <v>51923</v>
      </c>
      <c r="BZ25" s="16">
        <v>90641</v>
      </c>
      <c r="CA25" s="16">
        <v>224783983.69</v>
      </c>
      <c r="CB25" s="16">
        <v>215385727.48999992</v>
      </c>
      <c r="CC25" s="13"/>
      <c r="CD25" s="33">
        <f t="shared" si="83"/>
        <v>3085489.52</v>
      </c>
      <c r="CE25" s="33">
        <f t="shared" si="84"/>
        <v>211805</v>
      </c>
      <c r="CF25" s="33">
        <f t="shared" si="85"/>
        <v>358115</v>
      </c>
      <c r="CG25" s="33">
        <f t="shared" si="86"/>
        <v>868286111.18000007</v>
      </c>
      <c r="CH25" s="33">
        <f t="shared" si="87"/>
        <v>860404932.41999972</v>
      </c>
      <c r="CI25" s="13"/>
      <c r="CJ25" s="55">
        <f t="shared" si="88"/>
        <v>6.8645509449016053</v>
      </c>
      <c r="CK25" s="55">
        <f t="shared" si="89"/>
        <v>11.606424124234264</v>
      </c>
      <c r="CL25" s="56">
        <f t="shared" si="90"/>
        <v>4099.4599333349079</v>
      </c>
      <c r="CM25" s="56">
        <f t="shared" si="91"/>
        <v>4062.2503360166179</v>
      </c>
      <c r="CN25" s="31">
        <f t="shared" si="42"/>
        <v>20194</v>
      </c>
      <c r="CO25" s="15"/>
      <c r="CP25" s="16">
        <v>960506.84833333339</v>
      </c>
      <c r="CQ25" s="16">
        <v>84817</v>
      </c>
      <c r="CR25" s="16">
        <v>106439</v>
      </c>
      <c r="CS25" s="16">
        <v>13989171.66</v>
      </c>
      <c r="CT25" s="16">
        <v>13934676.979999993</v>
      </c>
      <c r="CU25" s="13"/>
      <c r="CV25" s="33">
        <f t="shared" si="92"/>
        <v>3864292.4375</v>
      </c>
      <c r="CW25" s="33">
        <f t="shared" si="93"/>
        <v>338525</v>
      </c>
      <c r="CX25" s="33">
        <f t="shared" si="94"/>
        <v>426781</v>
      </c>
      <c r="CY25" s="33">
        <f t="shared" si="95"/>
        <v>54585728.049999997</v>
      </c>
      <c r="CZ25" s="33">
        <f t="shared" si="96"/>
        <v>54324384.429999992</v>
      </c>
      <c r="DA25" s="13"/>
      <c r="DB25" s="55">
        <f t="shared" si="97"/>
        <v>8.7603359599515311</v>
      </c>
      <c r="DC25" s="55">
        <f t="shared" si="98"/>
        <v>11.044221080641234</v>
      </c>
      <c r="DD25" s="56">
        <f t="shared" si="99"/>
        <v>161.24578110922383</v>
      </c>
      <c r="DE25" s="56">
        <f t="shared" si="100"/>
        <v>160.47377425596335</v>
      </c>
      <c r="DF25" s="31">
        <f t="shared" si="43"/>
        <v>20194</v>
      </c>
      <c r="DG25" s="15"/>
      <c r="DH25" s="16">
        <v>54993.393333333333</v>
      </c>
      <c r="DI25" s="16">
        <v>11</v>
      </c>
      <c r="DJ25" s="16">
        <v>5</v>
      </c>
      <c r="DK25" s="16">
        <v>102784.12</v>
      </c>
      <c r="DL25" s="16">
        <v>189834.12</v>
      </c>
      <c r="DM25" s="13"/>
      <c r="DN25" s="33">
        <f t="shared" si="101"/>
        <v>221711.65250000003</v>
      </c>
      <c r="DO25" s="33">
        <f t="shared" si="102"/>
        <v>37</v>
      </c>
      <c r="DP25" s="33">
        <f t="shared" si="103"/>
        <v>47</v>
      </c>
      <c r="DQ25" s="33">
        <f t="shared" si="104"/>
        <v>496982.12</v>
      </c>
      <c r="DR25" s="33">
        <f t="shared" si="105"/>
        <v>494205.54</v>
      </c>
      <c r="DS25" s="13"/>
      <c r="DT25" s="55">
        <f t="shared" si="106"/>
        <v>1.6688342530846455E-2</v>
      </c>
      <c r="DU25" s="55">
        <f t="shared" si="107"/>
        <v>2.1198705377021173E-2</v>
      </c>
      <c r="DV25" s="56">
        <f t="shared" si="108"/>
        <v>13431.949189189188</v>
      </c>
      <c r="DW25" s="56">
        <f t="shared" si="109"/>
        <v>13356.906486486487</v>
      </c>
      <c r="DX25" s="31">
        <f t="shared" si="44"/>
        <v>20194</v>
      </c>
      <c r="DY25" s="15"/>
      <c r="DZ25" s="16"/>
      <c r="EA25" s="16"/>
      <c r="EB25" s="16"/>
      <c r="EC25" s="16"/>
      <c r="ED25" s="16"/>
      <c r="EE25" s="13"/>
      <c r="EF25" s="33" t="str">
        <f t="shared" si="110"/>
        <v/>
      </c>
      <c r="EG25" s="33" t="str">
        <f t="shared" si="111"/>
        <v/>
      </c>
      <c r="EH25" s="33" t="str">
        <f t="shared" si="112"/>
        <v/>
      </c>
      <c r="EI25" s="33" t="str">
        <f t="shared" si="113"/>
        <v/>
      </c>
      <c r="EJ25" s="33" t="str">
        <f t="shared" si="114"/>
        <v/>
      </c>
      <c r="EK25" s="13"/>
      <c r="EL25" s="55">
        <f t="shared" si="115"/>
        <v>0</v>
      </c>
      <c r="EM25" s="55">
        <f t="shared" si="116"/>
        <v>0</v>
      </c>
      <c r="EN25" s="56">
        <f t="shared" si="117"/>
        <v>0</v>
      </c>
      <c r="EO25" s="56">
        <f t="shared" si="118"/>
        <v>0</v>
      </c>
      <c r="EP25" s="31">
        <f t="shared" si="45"/>
        <v>20194</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20194</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20201</v>
      </c>
      <c r="C26" s="15"/>
      <c r="D26" s="16">
        <v>890313.22000000009</v>
      </c>
      <c r="E26" s="16">
        <v>37550</v>
      </c>
      <c r="F26" s="16">
        <v>74146</v>
      </c>
      <c r="G26" s="16">
        <v>297961597.78999996</v>
      </c>
      <c r="H26" s="16">
        <v>288345115.20999992</v>
      </c>
      <c r="I26" s="13"/>
      <c r="J26" s="33">
        <f t="shared" si="47"/>
        <v>3577886.7066666665</v>
      </c>
      <c r="K26" s="33">
        <f t="shared" si="48"/>
        <v>153905</v>
      </c>
      <c r="L26" s="33">
        <f t="shared" si="49"/>
        <v>325332</v>
      </c>
      <c r="M26" s="33">
        <f t="shared" si="50"/>
        <v>1170426615.8799999</v>
      </c>
      <c r="N26" s="33">
        <f t="shared" si="51"/>
        <v>1156232074.77</v>
      </c>
      <c r="O26" s="13"/>
      <c r="P26" s="55">
        <f t="shared" si="52"/>
        <v>4.3015615814002501</v>
      </c>
      <c r="Q26" s="55">
        <f t="shared" si="53"/>
        <v>9.0928535941009478</v>
      </c>
      <c r="R26" s="56">
        <f t="shared" si="54"/>
        <v>7604.8641426854219</v>
      </c>
      <c r="S26" s="56">
        <f t="shared" si="55"/>
        <v>7512.6349031545433</v>
      </c>
      <c r="T26" s="31">
        <f t="shared" si="38"/>
        <v>20201</v>
      </c>
      <c r="U26" s="15"/>
      <c r="V26" s="16">
        <v>504985.36833333335</v>
      </c>
      <c r="W26" s="16">
        <v>3222</v>
      </c>
      <c r="X26" s="16">
        <v>7996</v>
      </c>
      <c r="Y26" s="16">
        <v>17054646.32</v>
      </c>
      <c r="Z26" s="16">
        <v>16636207.73</v>
      </c>
      <c r="AA26" s="13"/>
      <c r="AB26" s="33">
        <f t="shared" si="56"/>
        <v>2026620.1174999999</v>
      </c>
      <c r="AC26" s="33">
        <f t="shared" si="57"/>
        <v>15104</v>
      </c>
      <c r="AD26" s="33">
        <f t="shared" si="58"/>
        <v>35178</v>
      </c>
      <c r="AE26" s="33">
        <f t="shared" si="59"/>
        <v>70132938.370000005</v>
      </c>
      <c r="AF26" s="33">
        <f t="shared" si="60"/>
        <v>72799879.850000009</v>
      </c>
      <c r="AG26" s="13"/>
      <c r="AH26" s="55">
        <f t="shared" si="61"/>
        <v>0.74528027574462286</v>
      </c>
      <c r="AI26" s="55">
        <f t="shared" si="62"/>
        <v>1.7357964473082854</v>
      </c>
      <c r="AJ26" s="56">
        <f t="shared" si="63"/>
        <v>4643.3354323358053</v>
      </c>
      <c r="AK26" s="56">
        <f t="shared" si="64"/>
        <v>4819.9072993908903</v>
      </c>
      <c r="AL26" s="31">
        <f t="shared" si="39"/>
        <v>20201</v>
      </c>
      <c r="AM26" s="15"/>
      <c r="AN26" s="16">
        <v>872615.96749999991</v>
      </c>
      <c r="AO26" s="16">
        <v>5610</v>
      </c>
      <c r="AP26" s="16">
        <v>8257</v>
      </c>
      <c r="AQ26" s="16">
        <v>43419296.479999997</v>
      </c>
      <c r="AR26" s="16">
        <v>42340169.25</v>
      </c>
      <c r="AS26" s="13"/>
      <c r="AT26" s="33">
        <f t="shared" si="65"/>
        <v>3505220.4424999999</v>
      </c>
      <c r="AU26" s="33">
        <f t="shared" si="66"/>
        <v>23253</v>
      </c>
      <c r="AV26" s="33">
        <f t="shared" si="67"/>
        <v>32710</v>
      </c>
      <c r="AW26" s="33">
        <f t="shared" si="68"/>
        <v>191494494.44999999</v>
      </c>
      <c r="AX26" s="33">
        <f t="shared" si="69"/>
        <v>188746744.31</v>
      </c>
      <c r="AY26" s="13"/>
      <c r="AZ26" s="55">
        <f t="shared" si="70"/>
        <v>0.66338195789522025</v>
      </c>
      <c r="BA26" s="55">
        <f t="shared" si="71"/>
        <v>0.93317953996269953</v>
      </c>
      <c r="BB26" s="56">
        <f t="shared" si="72"/>
        <v>8235.2597277770601</v>
      </c>
      <c r="BC26" s="56">
        <f t="shared" si="73"/>
        <v>8117.0921734829917</v>
      </c>
      <c r="BD26" s="31">
        <f t="shared" si="40"/>
        <v>20201</v>
      </c>
      <c r="BE26" s="15"/>
      <c r="BF26" s="16">
        <v>797155.75</v>
      </c>
      <c r="BG26" s="16">
        <v>25744</v>
      </c>
      <c r="BH26" s="16">
        <v>44096</v>
      </c>
      <c r="BI26" s="16">
        <v>55618497.740000002</v>
      </c>
      <c r="BJ26" s="16">
        <v>57145635.569999978</v>
      </c>
      <c r="BK26" s="13"/>
      <c r="BL26" s="33">
        <f t="shared" si="74"/>
        <v>3195868.1475</v>
      </c>
      <c r="BM26" s="33">
        <f t="shared" si="75"/>
        <v>105998</v>
      </c>
      <c r="BN26" s="33">
        <f t="shared" si="76"/>
        <v>184521</v>
      </c>
      <c r="BO26" s="33">
        <f t="shared" si="77"/>
        <v>229508279.46000001</v>
      </c>
      <c r="BP26" s="33">
        <f t="shared" si="78"/>
        <v>235759986.77000004</v>
      </c>
      <c r="BQ26" s="13"/>
      <c r="BR26" s="55">
        <f t="shared" si="79"/>
        <v>3.3167200618998631</v>
      </c>
      <c r="BS26" s="55">
        <f t="shared" si="80"/>
        <v>5.7737363208911923</v>
      </c>
      <c r="BT26" s="56">
        <f t="shared" si="81"/>
        <v>2165.2133008169967</v>
      </c>
      <c r="BU26" s="56">
        <f t="shared" si="82"/>
        <v>2224.1927844864999</v>
      </c>
      <c r="BV26" s="31">
        <f t="shared" si="41"/>
        <v>20201</v>
      </c>
      <c r="BW26" s="15"/>
      <c r="BX26" s="16">
        <v>767610.5</v>
      </c>
      <c r="BY26" s="16">
        <v>50335</v>
      </c>
      <c r="BZ26" s="16">
        <v>78082</v>
      </c>
      <c r="CA26" s="16">
        <v>211061453.75</v>
      </c>
      <c r="CB26" s="16">
        <v>218445892.69000006</v>
      </c>
      <c r="CC26" s="13"/>
      <c r="CD26" s="33">
        <f t="shared" si="83"/>
        <v>3077355.2124999999</v>
      </c>
      <c r="CE26" s="33">
        <f t="shared" si="84"/>
        <v>208726</v>
      </c>
      <c r="CF26" s="33">
        <f t="shared" si="85"/>
        <v>348603</v>
      </c>
      <c r="CG26" s="33">
        <f t="shared" si="86"/>
        <v>846478744.83999991</v>
      </c>
      <c r="CH26" s="33">
        <f t="shared" si="87"/>
        <v>854447215.34999967</v>
      </c>
      <c r="CI26" s="13"/>
      <c r="CJ26" s="55">
        <f t="shared" si="88"/>
        <v>6.7826424181443103</v>
      </c>
      <c r="CK26" s="55">
        <f t="shared" si="89"/>
        <v>11.328006548740269</v>
      </c>
      <c r="CL26" s="56">
        <f t="shared" si="90"/>
        <v>4055.4542550520773</v>
      </c>
      <c r="CM26" s="56">
        <f t="shared" si="91"/>
        <v>4093.6309580502652</v>
      </c>
      <c r="CN26" s="31">
        <f t="shared" si="42"/>
        <v>20201</v>
      </c>
      <c r="CO26" s="15"/>
      <c r="CP26" s="16">
        <v>963301.95750000002</v>
      </c>
      <c r="CQ26" s="16">
        <v>78005</v>
      </c>
      <c r="CR26" s="16">
        <v>95634</v>
      </c>
      <c r="CS26" s="16">
        <v>13304532.51</v>
      </c>
      <c r="CT26" s="16">
        <v>13305799.080000024</v>
      </c>
      <c r="CU26" s="13"/>
      <c r="CV26" s="33">
        <f t="shared" si="92"/>
        <v>3856904.3575000004</v>
      </c>
      <c r="CW26" s="33">
        <f t="shared" si="93"/>
        <v>330206</v>
      </c>
      <c r="CX26" s="33">
        <f t="shared" si="94"/>
        <v>414141</v>
      </c>
      <c r="CY26" s="33">
        <f t="shared" si="95"/>
        <v>54092789.18</v>
      </c>
      <c r="CZ26" s="33">
        <f t="shared" si="96"/>
        <v>53991024.480000004</v>
      </c>
      <c r="DA26" s="13"/>
      <c r="DB26" s="55">
        <f t="shared" si="97"/>
        <v>8.5614256769912647</v>
      </c>
      <c r="DC26" s="55">
        <f t="shared" si="98"/>
        <v>10.737652832761487</v>
      </c>
      <c r="DD26" s="56">
        <f t="shared" si="99"/>
        <v>163.81528252060835</v>
      </c>
      <c r="DE26" s="56">
        <f t="shared" si="100"/>
        <v>163.50709702428182</v>
      </c>
      <c r="DF26" s="31">
        <f t="shared" si="43"/>
        <v>20201</v>
      </c>
      <c r="DG26" s="15"/>
      <c r="DH26" s="16">
        <v>54966.056666666664</v>
      </c>
      <c r="DI26" s="16">
        <v>6</v>
      </c>
      <c r="DJ26" s="16">
        <v>10</v>
      </c>
      <c r="DK26" s="16">
        <v>58950</v>
      </c>
      <c r="DL26" s="16">
        <v>77750</v>
      </c>
      <c r="DM26" s="13"/>
      <c r="DN26" s="33">
        <f t="shared" si="101"/>
        <v>220895.90333333335</v>
      </c>
      <c r="DO26" s="33">
        <f t="shared" si="102"/>
        <v>39</v>
      </c>
      <c r="DP26" s="33">
        <f t="shared" si="103"/>
        <v>48</v>
      </c>
      <c r="DQ26" s="33">
        <f t="shared" si="104"/>
        <v>426082.12</v>
      </c>
      <c r="DR26" s="33">
        <f t="shared" si="105"/>
        <v>501955.54</v>
      </c>
      <c r="DS26" s="13"/>
      <c r="DT26" s="55">
        <f t="shared" si="106"/>
        <v>1.7655374957836475E-2</v>
      </c>
      <c r="DU26" s="55">
        <f t="shared" si="107"/>
        <v>2.1729692255798738E-2</v>
      </c>
      <c r="DV26" s="56">
        <f t="shared" si="108"/>
        <v>10925.182564102564</v>
      </c>
      <c r="DW26" s="56">
        <f t="shared" si="109"/>
        <v>12870.654871794872</v>
      </c>
      <c r="DX26" s="31">
        <f t="shared" si="44"/>
        <v>20201</v>
      </c>
      <c r="DY26" s="15"/>
      <c r="DZ26" s="16"/>
      <c r="EA26" s="16"/>
      <c r="EB26" s="16"/>
      <c r="EC26" s="16"/>
      <c r="ED26" s="16"/>
      <c r="EE26" s="13"/>
      <c r="EF26" s="33" t="str">
        <f t="shared" si="110"/>
        <v/>
      </c>
      <c r="EG26" s="33" t="str">
        <f t="shared" si="111"/>
        <v/>
      </c>
      <c r="EH26" s="33" t="str">
        <f t="shared" si="112"/>
        <v/>
      </c>
      <c r="EI26" s="33" t="str">
        <f t="shared" si="113"/>
        <v/>
      </c>
      <c r="EJ26" s="33" t="str">
        <f t="shared" si="114"/>
        <v/>
      </c>
      <c r="EK26" s="13"/>
      <c r="EL26" s="55">
        <f t="shared" si="115"/>
        <v>0</v>
      </c>
      <c r="EM26" s="55">
        <f t="shared" si="116"/>
        <v>0</v>
      </c>
      <c r="EN26" s="56">
        <f t="shared" si="117"/>
        <v>0</v>
      </c>
      <c r="EO26" s="56">
        <f t="shared" si="118"/>
        <v>0</v>
      </c>
      <c r="EP26" s="31">
        <f t="shared" si="45"/>
        <v>20201</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20201</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20202</v>
      </c>
      <c r="C27" s="15"/>
      <c r="D27" s="16">
        <v>894988.84666666668</v>
      </c>
      <c r="E27" s="16">
        <v>29181</v>
      </c>
      <c r="F27" s="16">
        <v>44339</v>
      </c>
      <c r="G27" s="16">
        <v>235683187.17000002</v>
      </c>
      <c r="H27" s="16">
        <v>266536705.5</v>
      </c>
      <c r="I27" s="13"/>
      <c r="J27" s="33">
        <f t="shared" si="47"/>
        <v>3571137.4266666668</v>
      </c>
      <c r="K27" s="33">
        <f t="shared" si="48"/>
        <v>145724</v>
      </c>
      <c r="L27" s="33">
        <f t="shared" si="49"/>
        <v>289241</v>
      </c>
      <c r="M27" s="33">
        <f t="shared" si="50"/>
        <v>1118287088.25</v>
      </c>
      <c r="N27" s="33">
        <f t="shared" si="51"/>
        <v>1123499302.52</v>
      </c>
      <c r="O27" s="13"/>
      <c r="P27" s="55">
        <f t="shared" si="52"/>
        <v>4.0806046530676401</v>
      </c>
      <c r="Q27" s="55">
        <f t="shared" si="53"/>
        <v>8.0994082680816977</v>
      </c>
      <c r="R27" s="56">
        <f t="shared" si="54"/>
        <v>7674.0076325793971</v>
      </c>
      <c r="S27" s="56">
        <f t="shared" si="55"/>
        <v>7709.7753459965415</v>
      </c>
      <c r="T27" s="31">
        <f t="shared" si="38"/>
        <v>20202</v>
      </c>
      <c r="U27" s="15"/>
      <c r="V27" s="16">
        <v>505638.63416666671</v>
      </c>
      <c r="W27" s="16">
        <v>3653</v>
      </c>
      <c r="X27" s="16">
        <v>5155</v>
      </c>
      <c r="Y27" s="16">
        <v>13758712.09</v>
      </c>
      <c r="Z27" s="16">
        <v>17412211.730000008</v>
      </c>
      <c r="AA27" s="13"/>
      <c r="AB27" s="33">
        <f t="shared" si="56"/>
        <v>2022502.8158333334</v>
      </c>
      <c r="AC27" s="33">
        <f t="shared" si="57"/>
        <v>14535</v>
      </c>
      <c r="AD27" s="33">
        <f t="shared" si="58"/>
        <v>31333</v>
      </c>
      <c r="AE27" s="33">
        <f t="shared" si="59"/>
        <v>65729360.36999999</v>
      </c>
      <c r="AF27" s="33">
        <f t="shared" si="60"/>
        <v>70314121.030000016</v>
      </c>
      <c r="AG27" s="13"/>
      <c r="AH27" s="55">
        <f t="shared" si="61"/>
        <v>0.71866401797869106</v>
      </c>
      <c r="AI27" s="55">
        <f t="shared" si="62"/>
        <v>1.5492191039096199</v>
      </c>
      <c r="AJ27" s="56">
        <f t="shared" si="63"/>
        <v>4522.143816305469</v>
      </c>
      <c r="AK27" s="56">
        <f t="shared" si="64"/>
        <v>4837.5728262813909</v>
      </c>
      <c r="AL27" s="31">
        <f t="shared" si="39"/>
        <v>20202</v>
      </c>
      <c r="AM27" s="15"/>
      <c r="AN27" s="16">
        <v>877115.44499999995</v>
      </c>
      <c r="AO27" s="16">
        <v>4714</v>
      </c>
      <c r="AP27" s="16">
        <v>6371</v>
      </c>
      <c r="AQ27" s="16">
        <v>44542948.350000001</v>
      </c>
      <c r="AR27" s="16">
        <v>44410127.43</v>
      </c>
      <c r="AS27" s="13"/>
      <c r="AT27" s="33">
        <f t="shared" si="65"/>
        <v>3499272.1324999998</v>
      </c>
      <c r="AU27" s="33">
        <f t="shared" si="66"/>
        <v>22124</v>
      </c>
      <c r="AV27" s="33">
        <f t="shared" si="67"/>
        <v>31042</v>
      </c>
      <c r="AW27" s="33">
        <f t="shared" si="68"/>
        <v>185410723.94</v>
      </c>
      <c r="AX27" s="33">
        <f t="shared" si="69"/>
        <v>183681856.52000001</v>
      </c>
      <c r="AY27" s="13"/>
      <c r="AZ27" s="55">
        <f t="shared" si="70"/>
        <v>0.63224576889919837</v>
      </c>
      <c r="BA27" s="55">
        <f t="shared" si="71"/>
        <v>0.88709876867514526</v>
      </c>
      <c r="BB27" s="56">
        <f t="shared" si="72"/>
        <v>8380.524495570422</v>
      </c>
      <c r="BC27" s="56">
        <f t="shared" si="73"/>
        <v>8302.3800632796974</v>
      </c>
      <c r="BD27" s="31">
        <f t="shared" si="40"/>
        <v>20202</v>
      </c>
      <c r="BE27" s="15"/>
      <c r="BF27" s="16">
        <v>802220.96833333327</v>
      </c>
      <c r="BG27" s="16">
        <v>21033</v>
      </c>
      <c r="BH27" s="16">
        <v>39782</v>
      </c>
      <c r="BI27" s="16">
        <v>48596290.450000003</v>
      </c>
      <c r="BJ27" s="16">
        <v>49618353.170000002</v>
      </c>
      <c r="BK27" s="13"/>
      <c r="BL27" s="33">
        <f t="shared" si="74"/>
        <v>3194594.9816666665</v>
      </c>
      <c r="BM27" s="33">
        <f t="shared" si="75"/>
        <v>101222</v>
      </c>
      <c r="BN27" s="33">
        <f t="shared" si="76"/>
        <v>180388</v>
      </c>
      <c r="BO27" s="33">
        <f t="shared" si="77"/>
        <v>221732704.87</v>
      </c>
      <c r="BP27" s="33">
        <f t="shared" si="78"/>
        <v>229115988.6500001</v>
      </c>
      <c r="BQ27" s="13"/>
      <c r="BR27" s="55">
        <f t="shared" si="79"/>
        <v>3.1685393791982674</v>
      </c>
      <c r="BS27" s="55">
        <f t="shared" si="80"/>
        <v>5.6466625983957739</v>
      </c>
      <c r="BT27" s="56">
        <f t="shared" si="81"/>
        <v>2190.5584247495603</v>
      </c>
      <c r="BU27" s="56">
        <f t="shared" si="82"/>
        <v>2263.4999175080525</v>
      </c>
      <c r="BV27" s="31">
        <f t="shared" si="41"/>
        <v>20202</v>
      </c>
      <c r="BW27" s="15"/>
      <c r="BX27" s="16">
        <v>770694.78500000003</v>
      </c>
      <c r="BY27" s="16">
        <v>30066</v>
      </c>
      <c r="BZ27" s="16">
        <v>47577</v>
      </c>
      <c r="CA27" s="16">
        <v>87495299.780000001</v>
      </c>
      <c r="CB27" s="16">
        <v>139116177.54000005</v>
      </c>
      <c r="CC27" s="13"/>
      <c r="CD27" s="33">
        <f t="shared" si="83"/>
        <v>3074339.0525000002</v>
      </c>
      <c r="CE27" s="33">
        <f t="shared" si="84"/>
        <v>185891</v>
      </c>
      <c r="CF27" s="33">
        <f t="shared" si="85"/>
        <v>308635</v>
      </c>
      <c r="CG27" s="33">
        <f t="shared" si="86"/>
        <v>731133743.5</v>
      </c>
      <c r="CH27" s="33">
        <f t="shared" si="87"/>
        <v>780833714.29999995</v>
      </c>
      <c r="CI27" s="13"/>
      <c r="CJ27" s="55">
        <f t="shared" si="88"/>
        <v>6.0465354284471848</v>
      </c>
      <c r="CK27" s="55">
        <f t="shared" si="89"/>
        <v>10.039068389318455</v>
      </c>
      <c r="CL27" s="56">
        <f t="shared" si="90"/>
        <v>3933.1314775863275</v>
      </c>
      <c r="CM27" s="56">
        <f t="shared" si="91"/>
        <v>4200.4923008644846</v>
      </c>
      <c r="CN27" s="31">
        <f t="shared" si="42"/>
        <v>20202</v>
      </c>
      <c r="CO27" s="15"/>
      <c r="CP27" s="16">
        <v>970942.5708333333</v>
      </c>
      <c r="CQ27" s="16">
        <v>57147</v>
      </c>
      <c r="CR27" s="16">
        <v>71184</v>
      </c>
      <c r="CS27" s="16">
        <v>7398717.6799999997</v>
      </c>
      <c r="CT27" s="16">
        <v>8614249.2300000153</v>
      </c>
      <c r="CU27" s="13"/>
      <c r="CV27" s="33">
        <f t="shared" si="92"/>
        <v>3858500.9258333333</v>
      </c>
      <c r="CW27" s="33">
        <f t="shared" si="93"/>
        <v>304980</v>
      </c>
      <c r="CX27" s="33">
        <f t="shared" si="94"/>
        <v>380867</v>
      </c>
      <c r="CY27" s="33">
        <f t="shared" si="95"/>
        <v>48364107.479999997</v>
      </c>
      <c r="CZ27" s="33">
        <f t="shared" si="96"/>
        <v>49477827.440000027</v>
      </c>
      <c r="DA27" s="13"/>
      <c r="DB27" s="55">
        <f t="shared" si="97"/>
        <v>7.9041059173552597</v>
      </c>
      <c r="DC27" s="55">
        <f t="shared" si="98"/>
        <v>9.8708541819966751</v>
      </c>
      <c r="DD27" s="56">
        <f t="shared" si="99"/>
        <v>158.58124296675192</v>
      </c>
      <c r="DE27" s="56">
        <f t="shared" si="100"/>
        <v>162.23302328021518</v>
      </c>
      <c r="DF27" s="31">
        <f t="shared" si="43"/>
        <v>20202</v>
      </c>
      <c r="DG27" s="15"/>
      <c r="DH27" s="16">
        <v>55489.664166666669</v>
      </c>
      <c r="DI27" s="16">
        <v>3</v>
      </c>
      <c r="DJ27" s="16">
        <v>6</v>
      </c>
      <c r="DK27" s="16">
        <v>56450</v>
      </c>
      <c r="DL27" s="16">
        <v>42850</v>
      </c>
      <c r="DM27" s="13"/>
      <c r="DN27" s="33">
        <f t="shared" si="101"/>
        <v>220718.14</v>
      </c>
      <c r="DO27" s="33">
        <f t="shared" si="102"/>
        <v>29</v>
      </c>
      <c r="DP27" s="33">
        <f t="shared" si="103"/>
        <v>41</v>
      </c>
      <c r="DQ27" s="33">
        <f t="shared" si="104"/>
        <v>397534.12</v>
      </c>
      <c r="DR27" s="33">
        <f t="shared" si="105"/>
        <v>436605.54</v>
      </c>
      <c r="DS27" s="13"/>
      <c r="DT27" s="55">
        <f t="shared" si="106"/>
        <v>1.3138929133781209E-2</v>
      </c>
      <c r="DU27" s="55">
        <f t="shared" si="107"/>
        <v>1.8575727396035503E-2</v>
      </c>
      <c r="DV27" s="56">
        <f t="shared" si="108"/>
        <v>13708.073103448276</v>
      </c>
      <c r="DW27" s="56">
        <f t="shared" si="109"/>
        <v>15055.363448275861</v>
      </c>
      <c r="DX27" s="31">
        <f t="shared" si="44"/>
        <v>20202</v>
      </c>
      <c r="DY27" s="15"/>
      <c r="DZ27" s="16"/>
      <c r="EA27" s="16"/>
      <c r="EB27" s="16"/>
      <c r="EC27" s="16"/>
      <c r="ED27" s="16"/>
      <c r="EE27" s="13"/>
      <c r="EF27" s="33" t="str">
        <f t="shared" si="110"/>
        <v/>
      </c>
      <c r="EG27" s="33" t="str">
        <f t="shared" si="111"/>
        <v/>
      </c>
      <c r="EH27" s="33" t="str">
        <f t="shared" si="112"/>
        <v/>
      </c>
      <c r="EI27" s="33" t="str">
        <f t="shared" si="113"/>
        <v/>
      </c>
      <c r="EJ27" s="33" t="str">
        <f t="shared" si="114"/>
        <v/>
      </c>
      <c r="EK27" s="13"/>
      <c r="EL27" s="55">
        <f t="shared" si="115"/>
        <v>0</v>
      </c>
      <c r="EM27" s="55">
        <f t="shared" si="116"/>
        <v>0</v>
      </c>
      <c r="EN27" s="56">
        <f t="shared" si="117"/>
        <v>0</v>
      </c>
      <c r="EO27" s="56">
        <f t="shared" si="118"/>
        <v>0</v>
      </c>
      <c r="EP27" s="31">
        <f t="shared" si="45"/>
        <v>20202</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20202</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20203</v>
      </c>
      <c r="C28" s="15"/>
      <c r="D28" s="16">
        <v>885217.78916666668</v>
      </c>
      <c r="E28" s="16">
        <v>23790</v>
      </c>
      <c r="F28" s="16">
        <v>50614</v>
      </c>
      <c r="G28" s="16">
        <v>194835206.05000001</v>
      </c>
      <c r="H28" s="16">
        <v>224713365.63999999</v>
      </c>
      <c r="I28" s="13"/>
      <c r="J28" s="33">
        <f t="shared" si="47"/>
        <v>3560976.4208333334</v>
      </c>
      <c r="K28" s="33">
        <f t="shared" si="48"/>
        <v>129277</v>
      </c>
      <c r="L28" s="33">
        <f t="shared" si="49"/>
        <v>254051</v>
      </c>
      <c r="M28" s="33">
        <f t="shared" si="50"/>
        <v>1016961110.01</v>
      </c>
      <c r="N28" s="33">
        <f t="shared" si="51"/>
        <v>1060516334.73</v>
      </c>
      <c r="O28" s="13"/>
      <c r="P28" s="55">
        <f t="shared" si="52"/>
        <v>3.6303806799638063</v>
      </c>
      <c r="Q28" s="55">
        <f t="shared" si="53"/>
        <v>7.1343072791407991</v>
      </c>
      <c r="R28" s="56">
        <f t="shared" si="54"/>
        <v>7866.5277660372685</v>
      </c>
      <c r="S28" s="56">
        <f t="shared" si="55"/>
        <v>8203.4417160825215</v>
      </c>
      <c r="T28" s="31">
        <f t="shared" si="38"/>
        <v>20203</v>
      </c>
      <c r="U28" s="15"/>
      <c r="V28" s="16">
        <v>501548.47833333333</v>
      </c>
      <c r="W28" s="16">
        <v>2402</v>
      </c>
      <c r="X28" s="16">
        <v>5936</v>
      </c>
      <c r="Y28" s="16">
        <v>11988837.939999999</v>
      </c>
      <c r="Z28" s="16">
        <v>13603382.919999994</v>
      </c>
      <c r="AA28" s="13"/>
      <c r="AB28" s="33">
        <f t="shared" si="56"/>
        <v>2017095.8141666667</v>
      </c>
      <c r="AC28" s="33">
        <f t="shared" si="57"/>
        <v>13198</v>
      </c>
      <c r="AD28" s="33">
        <f t="shared" si="58"/>
        <v>28254</v>
      </c>
      <c r="AE28" s="33">
        <f t="shared" si="59"/>
        <v>59946897.909999996</v>
      </c>
      <c r="AF28" s="33">
        <f t="shared" si="60"/>
        <v>66067981.940000005</v>
      </c>
      <c r="AG28" s="13"/>
      <c r="AH28" s="55">
        <f t="shared" si="61"/>
        <v>0.65430704418235874</v>
      </c>
      <c r="AI28" s="55">
        <f t="shared" si="62"/>
        <v>1.4007267181639917</v>
      </c>
      <c r="AJ28" s="56">
        <f t="shared" si="63"/>
        <v>4542.1198598272467</v>
      </c>
      <c r="AK28" s="56">
        <f t="shared" si="64"/>
        <v>5005.9086179724209</v>
      </c>
      <c r="AL28" s="31">
        <f t="shared" si="39"/>
        <v>20203</v>
      </c>
      <c r="AM28" s="15"/>
      <c r="AN28" s="16">
        <v>867966.32333333336</v>
      </c>
      <c r="AO28" s="16">
        <v>4793</v>
      </c>
      <c r="AP28" s="16">
        <v>6805</v>
      </c>
      <c r="AQ28" s="16">
        <v>40350221.460000001</v>
      </c>
      <c r="AR28" s="16">
        <v>40013056.230000012</v>
      </c>
      <c r="AS28" s="13"/>
      <c r="AT28" s="33">
        <f t="shared" si="65"/>
        <v>3490182.6491666664</v>
      </c>
      <c r="AU28" s="33">
        <f t="shared" si="66"/>
        <v>20978</v>
      </c>
      <c r="AV28" s="33">
        <f t="shared" si="67"/>
        <v>29526</v>
      </c>
      <c r="AW28" s="33">
        <f t="shared" si="68"/>
        <v>178115445.99000001</v>
      </c>
      <c r="AX28" s="33">
        <f t="shared" si="69"/>
        <v>176361109.24000004</v>
      </c>
      <c r="AY28" s="13"/>
      <c r="AZ28" s="55">
        <f t="shared" si="70"/>
        <v>0.60105736887462935</v>
      </c>
      <c r="BA28" s="55">
        <f t="shared" si="71"/>
        <v>0.84597291798037488</v>
      </c>
      <c r="BB28" s="56">
        <f t="shared" si="72"/>
        <v>8490.5828005529602</v>
      </c>
      <c r="BC28" s="56">
        <f t="shared" si="73"/>
        <v>8406.955345600154</v>
      </c>
      <c r="BD28" s="31">
        <f t="shared" si="40"/>
        <v>20203</v>
      </c>
      <c r="BE28" s="15"/>
      <c r="BF28" s="16">
        <v>795964.72916666663</v>
      </c>
      <c r="BG28" s="16">
        <v>27905</v>
      </c>
      <c r="BH28" s="16">
        <v>48955</v>
      </c>
      <c r="BI28" s="16">
        <v>61853754.810000002</v>
      </c>
      <c r="BJ28" s="16">
        <v>61751296.760000013</v>
      </c>
      <c r="BK28" s="13"/>
      <c r="BL28" s="33">
        <f t="shared" si="74"/>
        <v>3191356.2191666663</v>
      </c>
      <c r="BM28" s="33">
        <f t="shared" si="75"/>
        <v>100265</v>
      </c>
      <c r="BN28" s="33">
        <f t="shared" si="76"/>
        <v>177603</v>
      </c>
      <c r="BO28" s="33">
        <f t="shared" si="77"/>
        <v>224125124.54000002</v>
      </c>
      <c r="BP28" s="33">
        <f t="shared" si="78"/>
        <v>230593264.27000007</v>
      </c>
      <c r="BQ28" s="13"/>
      <c r="BR28" s="55">
        <f t="shared" si="79"/>
        <v>3.1417677349155779</v>
      </c>
      <c r="BS28" s="55">
        <f t="shared" si="80"/>
        <v>5.5651261659024724</v>
      </c>
      <c r="BT28" s="56">
        <f t="shared" si="81"/>
        <v>2235.3276271879522</v>
      </c>
      <c r="BU28" s="56">
        <f t="shared" si="82"/>
        <v>2299.8380718097051</v>
      </c>
      <c r="BV28" s="31">
        <f t="shared" si="41"/>
        <v>20203</v>
      </c>
      <c r="BW28" s="15"/>
      <c r="BX28" s="16">
        <v>765108.95000000007</v>
      </c>
      <c r="BY28" s="16">
        <v>36741</v>
      </c>
      <c r="BZ28" s="16">
        <v>59554</v>
      </c>
      <c r="CA28" s="16">
        <v>147995359.06999999</v>
      </c>
      <c r="CB28" s="16">
        <v>152085900.12</v>
      </c>
      <c r="CC28" s="13"/>
      <c r="CD28" s="33">
        <f t="shared" si="83"/>
        <v>3069955.5808333335</v>
      </c>
      <c r="CE28" s="33">
        <f t="shared" si="84"/>
        <v>169065</v>
      </c>
      <c r="CF28" s="33">
        <f t="shared" si="85"/>
        <v>275854</v>
      </c>
      <c r="CG28" s="33">
        <f t="shared" si="86"/>
        <v>671336096.28999996</v>
      </c>
      <c r="CH28" s="33">
        <f t="shared" si="87"/>
        <v>725033697.84000003</v>
      </c>
      <c r="CI28" s="13"/>
      <c r="CJ28" s="55">
        <f t="shared" si="88"/>
        <v>5.5070829381221094</v>
      </c>
      <c r="CK28" s="55">
        <f t="shared" si="89"/>
        <v>8.9856023234420856</v>
      </c>
      <c r="CL28" s="56">
        <f t="shared" si="90"/>
        <v>3970.8756767515451</v>
      </c>
      <c r="CM28" s="56">
        <f t="shared" si="91"/>
        <v>4288.4908043651849</v>
      </c>
      <c r="CN28" s="31">
        <f t="shared" si="42"/>
        <v>20203</v>
      </c>
      <c r="CO28" s="15"/>
      <c r="CP28" s="16">
        <v>961928.54249999998</v>
      </c>
      <c r="CQ28" s="16">
        <v>67024</v>
      </c>
      <c r="CR28" s="16">
        <v>84292</v>
      </c>
      <c r="CS28" s="16">
        <v>10419975.029999999</v>
      </c>
      <c r="CT28" s="16">
        <v>10688953.150000019</v>
      </c>
      <c r="CU28" s="13"/>
      <c r="CV28" s="33">
        <f t="shared" si="92"/>
        <v>3856679.9191666669</v>
      </c>
      <c r="CW28" s="33">
        <f t="shared" si="93"/>
        <v>286993</v>
      </c>
      <c r="CX28" s="33">
        <f t="shared" si="94"/>
        <v>357549</v>
      </c>
      <c r="CY28" s="33">
        <f t="shared" si="95"/>
        <v>45112396.880000003</v>
      </c>
      <c r="CZ28" s="33">
        <f t="shared" si="96"/>
        <v>46543678.440000057</v>
      </c>
      <c r="DA28" s="13"/>
      <c r="DB28" s="55">
        <f t="shared" si="97"/>
        <v>7.4414523894949545</v>
      </c>
      <c r="DC28" s="55">
        <f t="shared" si="98"/>
        <v>9.270901591368192</v>
      </c>
      <c r="DD28" s="56">
        <f t="shared" si="99"/>
        <v>157.18988574634224</v>
      </c>
      <c r="DE28" s="56">
        <f t="shared" si="100"/>
        <v>162.17705114758917</v>
      </c>
      <c r="DF28" s="31">
        <f t="shared" si="43"/>
        <v>20203</v>
      </c>
      <c r="DG28" s="15"/>
      <c r="DH28" s="16">
        <v>54919.927499999998</v>
      </c>
      <c r="DI28" s="16">
        <v>7</v>
      </c>
      <c r="DJ28" s="16">
        <v>8</v>
      </c>
      <c r="DK28" s="16">
        <v>72350</v>
      </c>
      <c r="DL28" s="16">
        <v>78050</v>
      </c>
      <c r="DM28" s="13"/>
      <c r="DN28" s="33">
        <f t="shared" si="101"/>
        <v>220369.04166666666</v>
      </c>
      <c r="DO28" s="33">
        <f t="shared" si="102"/>
        <v>27</v>
      </c>
      <c r="DP28" s="33">
        <f t="shared" si="103"/>
        <v>29</v>
      </c>
      <c r="DQ28" s="33">
        <f t="shared" si="104"/>
        <v>290534.12</v>
      </c>
      <c r="DR28" s="33">
        <f t="shared" si="105"/>
        <v>388484.12</v>
      </c>
      <c r="DS28" s="13"/>
      <c r="DT28" s="55">
        <f t="shared" si="106"/>
        <v>1.2252174713742498E-2</v>
      </c>
      <c r="DU28" s="55">
        <f t="shared" si="107"/>
        <v>1.3159743211056755E-2</v>
      </c>
      <c r="DV28" s="56">
        <f t="shared" si="108"/>
        <v>10760.522962962963</v>
      </c>
      <c r="DW28" s="56">
        <f t="shared" si="109"/>
        <v>14388.30074074074</v>
      </c>
      <c r="DX28" s="31">
        <f t="shared" si="44"/>
        <v>20203</v>
      </c>
      <c r="DY28" s="15"/>
      <c r="DZ28" s="16"/>
      <c r="EA28" s="16"/>
      <c r="EB28" s="16"/>
      <c r="EC28" s="16"/>
      <c r="ED28" s="16"/>
      <c r="EE28" s="13"/>
      <c r="EF28" s="33" t="str">
        <f t="shared" si="110"/>
        <v/>
      </c>
      <c r="EG28" s="33" t="str">
        <f t="shared" si="111"/>
        <v/>
      </c>
      <c r="EH28" s="33" t="str">
        <f t="shared" si="112"/>
        <v/>
      </c>
      <c r="EI28" s="33" t="str">
        <f t="shared" si="113"/>
        <v/>
      </c>
      <c r="EJ28" s="33" t="str">
        <f t="shared" si="114"/>
        <v/>
      </c>
      <c r="EK28" s="13"/>
      <c r="EL28" s="55">
        <f t="shared" si="115"/>
        <v>0</v>
      </c>
      <c r="EM28" s="55">
        <f t="shared" si="116"/>
        <v>0</v>
      </c>
      <c r="EN28" s="56">
        <f t="shared" si="117"/>
        <v>0</v>
      </c>
      <c r="EO28" s="56">
        <f t="shared" si="118"/>
        <v>0</v>
      </c>
      <c r="EP28" s="31">
        <f t="shared" si="45"/>
        <v>20203</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20203</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20204</v>
      </c>
      <c r="C29" s="15"/>
      <c r="D29" s="16">
        <v>889956.24583333323</v>
      </c>
      <c r="E29" s="16">
        <v>23041</v>
      </c>
      <c r="F29" s="16">
        <v>51894</v>
      </c>
      <c r="G29" s="16">
        <v>197847201.11000001</v>
      </c>
      <c r="H29" s="16">
        <v>197175501.89999995</v>
      </c>
      <c r="I29" s="13"/>
      <c r="J29" s="33">
        <f t="shared" si="47"/>
        <v>3560476.1016666666</v>
      </c>
      <c r="K29" s="33">
        <f t="shared" si="48"/>
        <v>113562</v>
      </c>
      <c r="L29" s="33">
        <f t="shared" si="49"/>
        <v>220993</v>
      </c>
      <c r="M29" s="33">
        <f t="shared" si="50"/>
        <v>926327192.12</v>
      </c>
      <c r="N29" s="33">
        <f t="shared" si="51"/>
        <v>976770688.24999988</v>
      </c>
      <c r="O29" s="13"/>
      <c r="P29" s="55">
        <f t="shared" si="52"/>
        <v>3.1895172655938171</v>
      </c>
      <c r="Q29" s="55">
        <f t="shared" si="53"/>
        <v>6.2068384589508323</v>
      </c>
      <c r="R29" s="56">
        <f t="shared" si="54"/>
        <v>8157.0172427396492</v>
      </c>
      <c r="S29" s="56">
        <f t="shared" si="55"/>
        <v>8601.2106888747985</v>
      </c>
      <c r="T29" s="31">
        <f t="shared" si="38"/>
        <v>20204</v>
      </c>
      <c r="U29" s="15"/>
      <c r="V29" s="16">
        <v>503351.26499999996</v>
      </c>
      <c r="W29" s="16">
        <v>2477</v>
      </c>
      <c r="X29" s="16">
        <v>6501</v>
      </c>
      <c r="Y29" s="16">
        <v>13130860.24</v>
      </c>
      <c r="Z29" s="16">
        <v>13758576.670000002</v>
      </c>
      <c r="AA29" s="13"/>
      <c r="AB29" s="33">
        <f t="shared" si="56"/>
        <v>2015523.7458333333</v>
      </c>
      <c r="AC29" s="33">
        <f t="shared" si="57"/>
        <v>11754</v>
      </c>
      <c r="AD29" s="33">
        <f t="shared" si="58"/>
        <v>25588</v>
      </c>
      <c r="AE29" s="33">
        <f t="shared" si="59"/>
        <v>55933056.590000004</v>
      </c>
      <c r="AF29" s="33">
        <f t="shared" si="60"/>
        <v>61410379.050000004</v>
      </c>
      <c r="AG29" s="13"/>
      <c r="AH29" s="55">
        <f t="shared" si="61"/>
        <v>0.58317348154785553</v>
      </c>
      <c r="AI29" s="55">
        <f t="shared" si="62"/>
        <v>1.2695459457075486</v>
      </c>
      <c r="AJ29" s="56">
        <f t="shared" si="63"/>
        <v>4758.6401727071634</v>
      </c>
      <c r="AK29" s="56">
        <f t="shared" si="64"/>
        <v>5224.6366385911178</v>
      </c>
      <c r="AL29" s="31">
        <f t="shared" si="39"/>
        <v>20204</v>
      </c>
      <c r="AM29" s="15"/>
      <c r="AN29" s="16">
        <v>872807.54666666675</v>
      </c>
      <c r="AO29" s="16">
        <v>4870</v>
      </c>
      <c r="AP29" s="16">
        <v>6975</v>
      </c>
      <c r="AQ29" s="16">
        <v>46410467.469999999</v>
      </c>
      <c r="AR29" s="16">
        <v>45874021.729999989</v>
      </c>
      <c r="AS29" s="13"/>
      <c r="AT29" s="33">
        <f t="shared" si="65"/>
        <v>3490505.2825000002</v>
      </c>
      <c r="AU29" s="33">
        <f t="shared" si="66"/>
        <v>19987</v>
      </c>
      <c r="AV29" s="33">
        <f t="shared" si="67"/>
        <v>28408</v>
      </c>
      <c r="AW29" s="33">
        <f t="shared" si="68"/>
        <v>174722933.75999999</v>
      </c>
      <c r="AX29" s="33">
        <f t="shared" si="69"/>
        <v>172637374.64000002</v>
      </c>
      <c r="AY29" s="13"/>
      <c r="AZ29" s="55">
        <f t="shared" si="70"/>
        <v>0.57261050714367445</v>
      </c>
      <c r="BA29" s="55">
        <f t="shared" si="71"/>
        <v>0.81386497658165324</v>
      </c>
      <c r="BB29" s="56">
        <f t="shared" si="72"/>
        <v>8741.8288767698996</v>
      </c>
      <c r="BC29" s="56">
        <f t="shared" si="73"/>
        <v>8637.4830960124091</v>
      </c>
      <c r="BD29" s="31">
        <f t="shared" si="40"/>
        <v>20204</v>
      </c>
      <c r="BE29" s="15"/>
      <c r="BF29" s="16">
        <v>801471.40666666673</v>
      </c>
      <c r="BG29" s="16">
        <v>25836</v>
      </c>
      <c r="BH29" s="16">
        <v>43353</v>
      </c>
      <c r="BI29" s="16">
        <v>66357438.060000002</v>
      </c>
      <c r="BJ29" s="16">
        <v>67407084.760000005</v>
      </c>
      <c r="BK29" s="13"/>
      <c r="BL29" s="33">
        <f t="shared" si="74"/>
        <v>3196812.8541666665</v>
      </c>
      <c r="BM29" s="33">
        <f t="shared" si="75"/>
        <v>100518</v>
      </c>
      <c r="BN29" s="33">
        <f t="shared" si="76"/>
        <v>176186</v>
      </c>
      <c r="BO29" s="33">
        <f t="shared" si="77"/>
        <v>232425981.06</v>
      </c>
      <c r="BP29" s="33">
        <f t="shared" si="78"/>
        <v>235922370.25999999</v>
      </c>
      <c r="BQ29" s="13"/>
      <c r="BR29" s="55">
        <f t="shared" si="79"/>
        <v>3.1443191886877804</v>
      </c>
      <c r="BS29" s="55">
        <f t="shared" si="80"/>
        <v>5.5113016631662513</v>
      </c>
      <c r="BT29" s="56">
        <f t="shared" si="81"/>
        <v>2312.2821888616963</v>
      </c>
      <c r="BU29" s="56">
        <f t="shared" si="82"/>
        <v>2347.06590123162</v>
      </c>
      <c r="BV29" s="31">
        <f t="shared" si="41"/>
        <v>20204</v>
      </c>
      <c r="BW29" s="15"/>
      <c r="BX29" s="16">
        <v>770767.56</v>
      </c>
      <c r="BY29" s="16">
        <v>37435</v>
      </c>
      <c r="BZ29" s="16">
        <v>60400</v>
      </c>
      <c r="CA29" s="16">
        <v>175635252.72999999</v>
      </c>
      <c r="CB29" s="16">
        <v>170409326.05999997</v>
      </c>
      <c r="CC29" s="13"/>
      <c r="CD29" s="33">
        <f t="shared" si="83"/>
        <v>3074181.7950000004</v>
      </c>
      <c r="CE29" s="33">
        <f t="shared" si="84"/>
        <v>154577</v>
      </c>
      <c r="CF29" s="33">
        <f t="shared" si="85"/>
        <v>245613</v>
      </c>
      <c r="CG29" s="33">
        <f t="shared" si="86"/>
        <v>622187365.32999992</v>
      </c>
      <c r="CH29" s="33">
        <f t="shared" si="87"/>
        <v>680057296.41000009</v>
      </c>
      <c r="CI29" s="13"/>
      <c r="CJ29" s="55">
        <f t="shared" si="88"/>
        <v>5.0282322356931388</v>
      </c>
      <c r="CK29" s="55">
        <f t="shared" si="89"/>
        <v>7.9895405144704519</v>
      </c>
      <c r="CL29" s="56">
        <f t="shared" si="90"/>
        <v>4025.0966529949469</v>
      </c>
      <c r="CM29" s="56">
        <f t="shared" si="91"/>
        <v>4399.472731454227</v>
      </c>
      <c r="CN29" s="31">
        <f t="shared" si="42"/>
        <v>20204</v>
      </c>
      <c r="CO29" s="15"/>
      <c r="CP29" s="16">
        <v>970799.78749999986</v>
      </c>
      <c r="CQ29" s="16">
        <v>68507</v>
      </c>
      <c r="CR29" s="16">
        <v>85931</v>
      </c>
      <c r="CS29" s="16">
        <v>11177807.99</v>
      </c>
      <c r="CT29" s="16">
        <v>11193420.26000002</v>
      </c>
      <c r="CU29" s="13"/>
      <c r="CV29" s="33">
        <f t="shared" si="92"/>
        <v>3866972.8583333334</v>
      </c>
      <c r="CW29" s="33">
        <f t="shared" si="93"/>
        <v>270683</v>
      </c>
      <c r="CX29" s="33">
        <f t="shared" si="94"/>
        <v>337041</v>
      </c>
      <c r="CY29" s="33">
        <f t="shared" si="95"/>
        <v>42301033.210000001</v>
      </c>
      <c r="CZ29" s="33">
        <f t="shared" si="96"/>
        <v>43802421.720000081</v>
      </c>
      <c r="DA29" s="13"/>
      <c r="DB29" s="55">
        <f t="shared" si="97"/>
        <v>6.9998681117370047</v>
      </c>
      <c r="DC29" s="55">
        <f t="shared" si="98"/>
        <v>8.7158873968736561</v>
      </c>
      <c r="DD29" s="56">
        <f t="shared" si="99"/>
        <v>156.2751750571702</v>
      </c>
      <c r="DE29" s="56">
        <f t="shared" si="100"/>
        <v>161.82184222873281</v>
      </c>
      <c r="DF29" s="31">
        <f t="shared" si="43"/>
        <v>20204</v>
      </c>
      <c r="DG29" s="15"/>
      <c r="DH29" s="16">
        <v>55185.065000000002</v>
      </c>
      <c r="DI29" s="16">
        <v>4</v>
      </c>
      <c r="DJ29" s="16">
        <v>8</v>
      </c>
      <c r="DK29" s="16">
        <v>21400</v>
      </c>
      <c r="DL29" s="16">
        <v>35800</v>
      </c>
      <c r="DM29" s="13"/>
      <c r="DN29" s="33">
        <f t="shared" si="101"/>
        <v>220560.71333333332</v>
      </c>
      <c r="DO29" s="33">
        <f t="shared" si="102"/>
        <v>20</v>
      </c>
      <c r="DP29" s="33">
        <f t="shared" si="103"/>
        <v>32</v>
      </c>
      <c r="DQ29" s="33">
        <f t="shared" si="104"/>
        <v>209150</v>
      </c>
      <c r="DR29" s="33">
        <f t="shared" si="105"/>
        <v>234450</v>
      </c>
      <c r="DS29" s="13"/>
      <c r="DT29" s="55">
        <f t="shared" si="106"/>
        <v>9.0677980215696924E-3</v>
      </c>
      <c r="DU29" s="55">
        <f t="shared" si="107"/>
        <v>1.450847683451151E-2</v>
      </c>
      <c r="DV29" s="56">
        <f t="shared" si="108"/>
        <v>10457.5</v>
      </c>
      <c r="DW29" s="56">
        <f t="shared" si="109"/>
        <v>11722.5</v>
      </c>
      <c r="DX29" s="31">
        <f t="shared" si="44"/>
        <v>20204</v>
      </c>
      <c r="DY29" s="15"/>
      <c r="DZ29" s="16"/>
      <c r="EA29" s="16"/>
      <c r="EB29" s="16"/>
      <c r="EC29" s="16"/>
      <c r="ED29" s="16"/>
      <c r="EE29" s="13"/>
      <c r="EF29" s="33" t="str">
        <f t="shared" si="110"/>
        <v/>
      </c>
      <c r="EG29" s="33" t="str">
        <f t="shared" si="111"/>
        <v/>
      </c>
      <c r="EH29" s="33" t="str">
        <f t="shared" si="112"/>
        <v/>
      </c>
      <c r="EI29" s="33" t="str">
        <f t="shared" si="113"/>
        <v/>
      </c>
      <c r="EJ29" s="33" t="str">
        <f t="shared" si="114"/>
        <v/>
      </c>
      <c r="EK29" s="13"/>
      <c r="EL29" s="55">
        <f t="shared" si="115"/>
        <v>0</v>
      </c>
      <c r="EM29" s="55">
        <f t="shared" si="116"/>
        <v>0</v>
      </c>
      <c r="EN29" s="56">
        <f t="shared" si="117"/>
        <v>0</v>
      </c>
      <c r="EO29" s="56">
        <f t="shared" si="118"/>
        <v>0</v>
      </c>
      <c r="EP29" s="31">
        <f t="shared" si="45"/>
        <v>20204</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20204</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20211</v>
      </c>
      <c r="C30" s="15"/>
      <c r="D30" s="16">
        <v>897125.22166666668</v>
      </c>
      <c r="E30" s="16">
        <v>22461</v>
      </c>
      <c r="F30" s="16">
        <v>51566</v>
      </c>
      <c r="G30" s="16">
        <v>194699594.32999998</v>
      </c>
      <c r="H30" s="16">
        <v>198352878.24000001</v>
      </c>
      <c r="I30" s="13"/>
      <c r="J30" s="33">
        <f t="shared" si="47"/>
        <v>3567288.103333333</v>
      </c>
      <c r="K30" s="33">
        <f t="shared" si="48"/>
        <v>98473</v>
      </c>
      <c r="L30" s="33">
        <f t="shared" si="49"/>
        <v>198413</v>
      </c>
      <c r="M30" s="33">
        <f t="shared" si="50"/>
        <v>823065188.66000009</v>
      </c>
      <c r="N30" s="33">
        <f t="shared" si="51"/>
        <v>886778451.27999997</v>
      </c>
      <c r="O30" s="13"/>
      <c r="P30" s="55">
        <f t="shared" si="52"/>
        <v>2.7604442687986204</v>
      </c>
      <c r="Q30" s="55">
        <f t="shared" si="53"/>
        <v>5.5620122135523511</v>
      </c>
      <c r="R30" s="56">
        <f t="shared" si="54"/>
        <v>8358.2828659632596</v>
      </c>
      <c r="S30" s="56">
        <f t="shared" si="55"/>
        <v>9005.2953731479683</v>
      </c>
      <c r="T30" s="31">
        <f t="shared" si="38"/>
        <v>20211</v>
      </c>
      <c r="U30" s="15"/>
      <c r="V30" s="16">
        <v>506507.33666666667</v>
      </c>
      <c r="W30" s="16">
        <v>2274</v>
      </c>
      <c r="X30" s="16">
        <v>6352</v>
      </c>
      <c r="Y30" s="16">
        <v>11263145.83</v>
      </c>
      <c r="Z30" s="16">
        <v>12406470.409999996</v>
      </c>
      <c r="AA30" s="13"/>
      <c r="AB30" s="33">
        <f t="shared" si="56"/>
        <v>2017045.7141666666</v>
      </c>
      <c r="AC30" s="33">
        <f t="shared" si="57"/>
        <v>10806</v>
      </c>
      <c r="AD30" s="33">
        <f t="shared" si="58"/>
        <v>23944</v>
      </c>
      <c r="AE30" s="33">
        <f t="shared" si="59"/>
        <v>50141556.100000001</v>
      </c>
      <c r="AF30" s="33">
        <f t="shared" si="60"/>
        <v>57180641.730000004</v>
      </c>
      <c r="AG30" s="13"/>
      <c r="AH30" s="55">
        <f t="shared" si="61"/>
        <v>0.53573401555078037</v>
      </c>
      <c r="AI30" s="55">
        <f t="shared" si="62"/>
        <v>1.1870826641077075</v>
      </c>
      <c r="AJ30" s="56">
        <f t="shared" si="63"/>
        <v>4640.1588099204146</v>
      </c>
      <c r="AK30" s="56">
        <f t="shared" si="64"/>
        <v>5291.5641060521939</v>
      </c>
      <c r="AL30" s="31">
        <f t="shared" si="39"/>
        <v>20211</v>
      </c>
      <c r="AM30" s="15"/>
      <c r="AN30" s="16">
        <v>880162.80583333329</v>
      </c>
      <c r="AO30" s="16">
        <v>4964</v>
      </c>
      <c r="AP30" s="16">
        <v>6928</v>
      </c>
      <c r="AQ30" s="16">
        <v>45995245.68</v>
      </c>
      <c r="AR30" s="16">
        <v>46694763.420000002</v>
      </c>
      <c r="AS30" s="13"/>
      <c r="AT30" s="33">
        <f t="shared" si="65"/>
        <v>3498052.1208333331</v>
      </c>
      <c r="AU30" s="33">
        <f t="shared" si="66"/>
        <v>19341</v>
      </c>
      <c r="AV30" s="33">
        <f t="shared" si="67"/>
        <v>27079</v>
      </c>
      <c r="AW30" s="33">
        <f t="shared" si="68"/>
        <v>177298882.96000001</v>
      </c>
      <c r="AX30" s="33">
        <f t="shared" si="69"/>
        <v>176991968.81</v>
      </c>
      <c r="AY30" s="13"/>
      <c r="AZ30" s="55">
        <f t="shared" si="70"/>
        <v>0.55290771354751678</v>
      </c>
      <c r="BA30" s="55">
        <f t="shared" si="71"/>
        <v>0.77411653870809194</v>
      </c>
      <c r="BB30" s="56">
        <f t="shared" si="72"/>
        <v>9166.9966888992294</v>
      </c>
      <c r="BC30" s="56">
        <f t="shared" si="73"/>
        <v>9151.1281117832586</v>
      </c>
      <c r="BD30" s="31">
        <f t="shared" si="40"/>
        <v>20211</v>
      </c>
      <c r="BE30" s="15"/>
      <c r="BF30" s="16">
        <v>809232.35583333333</v>
      </c>
      <c r="BG30" s="16">
        <v>26010</v>
      </c>
      <c r="BH30" s="16">
        <v>45243</v>
      </c>
      <c r="BI30" s="16">
        <v>66686268.5</v>
      </c>
      <c r="BJ30" s="16">
        <v>69061708.810000017</v>
      </c>
      <c r="BK30" s="13"/>
      <c r="BL30" s="33">
        <f t="shared" si="74"/>
        <v>3208889.46</v>
      </c>
      <c r="BM30" s="33">
        <f t="shared" si="75"/>
        <v>100784</v>
      </c>
      <c r="BN30" s="33">
        <f t="shared" si="76"/>
        <v>177333</v>
      </c>
      <c r="BO30" s="33">
        <f t="shared" si="77"/>
        <v>243493751.81999999</v>
      </c>
      <c r="BP30" s="33">
        <f t="shared" si="78"/>
        <v>247838443.5</v>
      </c>
      <c r="BQ30" s="13"/>
      <c r="BR30" s="55">
        <f t="shared" si="79"/>
        <v>3.1407750642803385</v>
      </c>
      <c r="BS30" s="55">
        <f t="shared" si="80"/>
        <v>5.5263044181023302</v>
      </c>
      <c r="BT30" s="56">
        <f t="shared" si="81"/>
        <v>2415.9961087077313</v>
      </c>
      <c r="BU30" s="56">
        <f t="shared" si="82"/>
        <v>2459.1050513970472</v>
      </c>
      <c r="BV30" s="31">
        <f t="shared" si="41"/>
        <v>20211</v>
      </c>
      <c r="BW30" s="15"/>
      <c r="BX30" s="16">
        <v>778514.83583333332</v>
      </c>
      <c r="BY30" s="16">
        <v>37040</v>
      </c>
      <c r="BZ30" s="16">
        <v>59353</v>
      </c>
      <c r="CA30" s="16">
        <v>184477741.88999999</v>
      </c>
      <c r="CB30" s="16">
        <v>180274076.01999992</v>
      </c>
      <c r="CC30" s="13"/>
      <c r="CD30" s="33">
        <f t="shared" si="83"/>
        <v>3085086.1308333334</v>
      </c>
      <c r="CE30" s="33">
        <f t="shared" si="84"/>
        <v>141282</v>
      </c>
      <c r="CF30" s="33">
        <f t="shared" si="85"/>
        <v>226884</v>
      </c>
      <c r="CG30" s="33">
        <f t="shared" si="86"/>
        <v>595603653.47000003</v>
      </c>
      <c r="CH30" s="33">
        <f t="shared" si="87"/>
        <v>641885479.74000001</v>
      </c>
      <c r="CI30" s="13"/>
      <c r="CJ30" s="55">
        <f t="shared" si="88"/>
        <v>4.5795155794187625</v>
      </c>
      <c r="CK30" s="55">
        <f t="shared" si="89"/>
        <v>7.3542193111708958</v>
      </c>
      <c r="CL30" s="56">
        <f t="shared" si="90"/>
        <v>4215.7079703713143</v>
      </c>
      <c r="CM30" s="56">
        <f t="shared" si="91"/>
        <v>4543.2927035291123</v>
      </c>
      <c r="CN30" s="31">
        <f t="shared" si="42"/>
        <v>20211</v>
      </c>
      <c r="CO30" s="15"/>
      <c r="CP30" s="16">
        <v>982827.30666666676</v>
      </c>
      <c r="CQ30" s="16">
        <v>64216</v>
      </c>
      <c r="CR30" s="16">
        <v>82101</v>
      </c>
      <c r="CS30" s="16">
        <v>11383833.09</v>
      </c>
      <c r="CT30" s="16">
        <v>11327300.160000019</v>
      </c>
      <c r="CU30" s="13"/>
      <c r="CV30" s="33">
        <f t="shared" si="92"/>
        <v>3886498.2074999996</v>
      </c>
      <c r="CW30" s="33">
        <f t="shared" si="93"/>
        <v>256894</v>
      </c>
      <c r="CX30" s="33">
        <f t="shared" si="94"/>
        <v>323508</v>
      </c>
      <c r="CY30" s="33">
        <f t="shared" si="95"/>
        <v>40380333.790000007</v>
      </c>
      <c r="CZ30" s="33">
        <f t="shared" si="96"/>
        <v>41823922.800000072</v>
      </c>
      <c r="DA30" s="13"/>
      <c r="DB30" s="55">
        <f t="shared" si="97"/>
        <v>6.60990913373527</v>
      </c>
      <c r="DC30" s="55">
        <f t="shared" si="98"/>
        <v>8.3238942288898521</v>
      </c>
      <c r="DD30" s="56">
        <f t="shared" si="99"/>
        <v>157.18675325231422</v>
      </c>
      <c r="DE30" s="56">
        <f t="shared" si="100"/>
        <v>162.8061488395995</v>
      </c>
      <c r="DF30" s="31">
        <f t="shared" si="43"/>
        <v>20211</v>
      </c>
      <c r="DG30" s="15"/>
      <c r="DH30" s="16">
        <v>55555.38</v>
      </c>
      <c r="DI30" s="16">
        <v>5</v>
      </c>
      <c r="DJ30" s="16">
        <v>8</v>
      </c>
      <c r="DK30" s="16">
        <v>50500</v>
      </c>
      <c r="DL30" s="16">
        <v>51750</v>
      </c>
      <c r="DM30" s="13"/>
      <c r="DN30" s="33">
        <f t="shared" si="101"/>
        <v>221150.03666666668</v>
      </c>
      <c r="DO30" s="33">
        <f t="shared" si="102"/>
        <v>19</v>
      </c>
      <c r="DP30" s="33">
        <f t="shared" si="103"/>
        <v>30</v>
      </c>
      <c r="DQ30" s="33">
        <f t="shared" si="104"/>
        <v>200700</v>
      </c>
      <c r="DR30" s="33">
        <f t="shared" si="105"/>
        <v>208450</v>
      </c>
      <c r="DS30" s="13"/>
      <c r="DT30" s="55">
        <f t="shared" si="106"/>
        <v>8.5914523399506244E-3</v>
      </c>
      <c r="DU30" s="55">
        <f t="shared" si="107"/>
        <v>1.3565451063079933E-2</v>
      </c>
      <c r="DV30" s="56">
        <f t="shared" si="108"/>
        <v>10563.157894736842</v>
      </c>
      <c r="DW30" s="56">
        <f t="shared" si="109"/>
        <v>10971.052631578947</v>
      </c>
      <c r="DX30" s="31">
        <f t="shared" si="44"/>
        <v>20211</v>
      </c>
      <c r="DY30" s="15"/>
      <c r="DZ30" s="16"/>
      <c r="EA30" s="16"/>
      <c r="EB30" s="16"/>
      <c r="EC30" s="16"/>
      <c r="ED30" s="16"/>
      <c r="EE30" s="13"/>
      <c r="EF30" s="33" t="str">
        <f t="shared" si="110"/>
        <v/>
      </c>
      <c r="EG30" s="33" t="str">
        <f t="shared" si="111"/>
        <v/>
      </c>
      <c r="EH30" s="33" t="str">
        <f t="shared" si="112"/>
        <v/>
      </c>
      <c r="EI30" s="33" t="str">
        <f t="shared" si="113"/>
        <v/>
      </c>
      <c r="EJ30" s="33" t="str">
        <f t="shared" si="114"/>
        <v/>
      </c>
      <c r="EK30" s="13"/>
      <c r="EL30" s="55">
        <f t="shared" si="115"/>
        <v>0</v>
      </c>
      <c r="EM30" s="55">
        <f t="shared" si="116"/>
        <v>0</v>
      </c>
      <c r="EN30" s="56">
        <f t="shared" si="117"/>
        <v>0</v>
      </c>
      <c r="EO30" s="56">
        <f t="shared" si="118"/>
        <v>0</v>
      </c>
      <c r="EP30" s="31">
        <f t="shared" si="45"/>
        <v>20211</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20211</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20212</v>
      </c>
      <c r="C31" s="15"/>
      <c r="D31" s="16">
        <v>905797.84249999991</v>
      </c>
      <c r="E31" s="16">
        <v>24109</v>
      </c>
      <c r="F31" s="16">
        <v>60635</v>
      </c>
      <c r="G31" s="16">
        <v>206771606.07999998</v>
      </c>
      <c r="H31" s="16">
        <v>199665152.91000009</v>
      </c>
      <c r="I31" s="13"/>
      <c r="J31" s="33">
        <f t="shared" si="47"/>
        <v>3578097.0991666666</v>
      </c>
      <c r="K31" s="33">
        <f t="shared" si="48"/>
        <v>93401</v>
      </c>
      <c r="L31" s="33">
        <f t="shared" si="49"/>
        <v>214709</v>
      </c>
      <c r="M31" s="33">
        <f t="shared" si="50"/>
        <v>794153607.56999993</v>
      </c>
      <c r="N31" s="33">
        <f t="shared" si="51"/>
        <v>819906898.69000006</v>
      </c>
      <c r="O31" s="13"/>
      <c r="P31" s="55">
        <f t="shared" si="52"/>
        <v>2.6103539789837717</v>
      </c>
      <c r="Q31" s="55">
        <f t="shared" si="53"/>
        <v>6.0006476640895352</v>
      </c>
      <c r="R31" s="56">
        <f t="shared" si="54"/>
        <v>8502.6242499544969</v>
      </c>
      <c r="S31" s="56">
        <f t="shared" si="55"/>
        <v>8778.3524661406209</v>
      </c>
      <c r="T31" s="31">
        <f t="shared" si="38"/>
        <v>20212</v>
      </c>
      <c r="U31" s="15"/>
      <c r="V31" s="16">
        <v>510414.60666666669</v>
      </c>
      <c r="W31" s="16">
        <v>2473</v>
      </c>
      <c r="X31" s="16">
        <v>7733</v>
      </c>
      <c r="Y31" s="16">
        <v>12698816.369999999</v>
      </c>
      <c r="Z31" s="16">
        <v>14131882.299999997</v>
      </c>
      <c r="AA31" s="13"/>
      <c r="AB31" s="33">
        <f t="shared" si="56"/>
        <v>2021821.6866666668</v>
      </c>
      <c r="AC31" s="33">
        <f t="shared" si="57"/>
        <v>9626</v>
      </c>
      <c r="AD31" s="33">
        <f t="shared" si="58"/>
        <v>26522</v>
      </c>
      <c r="AE31" s="33">
        <f t="shared" si="59"/>
        <v>49081660.379999995</v>
      </c>
      <c r="AF31" s="33">
        <f t="shared" si="60"/>
        <v>53900312.29999999</v>
      </c>
      <c r="AG31" s="13"/>
      <c r="AH31" s="55">
        <f t="shared" si="61"/>
        <v>0.47610528977311428</v>
      </c>
      <c r="AI31" s="55">
        <f t="shared" si="62"/>
        <v>1.3117872943447473</v>
      </c>
      <c r="AJ31" s="56">
        <f t="shared" si="63"/>
        <v>5098.8635341782665</v>
      </c>
      <c r="AK31" s="56">
        <f t="shared" si="64"/>
        <v>5599.4506856430489</v>
      </c>
      <c r="AL31" s="31">
        <f t="shared" si="39"/>
        <v>20212</v>
      </c>
      <c r="AM31" s="15"/>
      <c r="AN31" s="16">
        <v>889046.32416666672</v>
      </c>
      <c r="AO31" s="16">
        <v>4825</v>
      </c>
      <c r="AP31" s="16">
        <v>6828</v>
      </c>
      <c r="AQ31" s="16">
        <v>48987511.829999998</v>
      </c>
      <c r="AR31" s="16">
        <v>47942716.030000001</v>
      </c>
      <c r="AS31" s="13"/>
      <c r="AT31" s="33">
        <f t="shared" si="65"/>
        <v>3509983</v>
      </c>
      <c r="AU31" s="33">
        <f t="shared" si="66"/>
        <v>19452</v>
      </c>
      <c r="AV31" s="33">
        <f t="shared" si="67"/>
        <v>27536</v>
      </c>
      <c r="AW31" s="33">
        <f t="shared" si="68"/>
        <v>181743446.44</v>
      </c>
      <c r="AX31" s="33">
        <f t="shared" si="69"/>
        <v>180524557.41000003</v>
      </c>
      <c r="AY31" s="13"/>
      <c r="AZ31" s="55">
        <f t="shared" si="70"/>
        <v>0.55419071830262423</v>
      </c>
      <c r="BA31" s="55">
        <f t="shared" si="71"/>
        <v>0.78450522409937595</v>
      </c>
      <c r="BB31" s="56">
        <f t="shared" si="72"/>
        <v>9343.1753259304951</v>
      </c>
      <c r="BC31" s="56">
        <f t="shared" si="73"/>
        <v>9280.5139528069103</v>
      </c>
      <c r="BD31" s="31">
        <f t="shared" si="40"/>
        <v>20212</v>
      </c>
      <c r="BE31" s="15"/>
      <c r="BF31" s="16">
        <v>818526.61750000005</v>
      </c>
      <c r="BG31" s="16">
        <v>29259</v>
      </c>
      <c r="BH31" s="16">
        <v>54897</v>
      </c>
      <c r="BI31" s="16">
        <v>64239076.700000003</v>
      </c>
      <c r="BJ31" s="16">
        <v>78351369.790000007</v>
      </c>
      <c r="BK31" s="13"/>
      <c r="BL31" s="33">
        <f t="shared" si="74"/>
        <v>3225195.1091666669</v>
      </c>
      <c r="BM31" s="33">
        <f t="shared" si="75"/>
        <v>109010</v>
      </c>
      <c r="BN31" s="33">
        <f t="shared" si="76"/>
        <v>192448</v>
      </c>
      <c r="BO31" s="33">
        <f t="shared" si="77"/>
        <v>259136538.06999999</v>
      </c>
      <c r="BP31" s="33">
        <f t="shared" si="78"/>
        <v>276571460.12000006</v>
      </c>
      <c r="BQ31" s="13"/>
      <c r="BR31" s="55">
        <f t="shared" si="79"/>
        <v>3.3799505552445859</v>
      </c>
      <c r="BS31" s="55">
        <f t="shared" si="80"/>
        <v>5.9670188464884886</v>
      </c>
      <c r="BT31" s="56">
        <f t="shared" si="81"/>
        <v>2377.181341803504</v>
      </c>
      <c r="BU31" s="56">
        <f t="shared" si="82"/>
        <v>2537.120081827356</v>
      </c>
      <c r="BV31" s="31">
        <f t="shared" si="41"/>
        <v>20212</v>
      </c>
      <c r="BW31" s="15"/>
      <c r="BX31" s="16">
        <v>788098.29249999998</v>
      </c>
      <c r="BY31" s="16">
        <v>41422</v>
      </c>
      <c r="BZ31" s="16">
        <v>72610</v>
      </c>
      <c r="CA31" s="16">
        <v>193976007.84999999</v>
      </c>
      <c r="CB31" s="16">
        <v>225438788.5800001</v>
      </c>
      <c r="CC31" s="13"/>
      <c r="CD31" s="33">
        <f t="shared" si="83"/>
        <v>3102489.6383333337</v>
      </c>
      <c r="CE31" s="33">
        <f t="shared" si="84"/>
        <v>152638</v>
      </c>
      <c r="CF31" s="33">
        <f t="shared" si="85"/>
        <v>251917</v>
      </c>
      <c r="CG31" s="33">
        <f t="shared" si="86"/>
        <v>702084361.53999996</v>
      </c>
      <c r="CH31" s="33">
        <f t="shared" si="87"/>
        <v>728208090.77999997</v>
      </c>
      <c r="CI31" s="13"/>
      <c r="CJ31" s="55">
        <f t="shared" si="88"/>
        <v>4.9198552708784415</v>
      </c>
      <c r="CK31" s="55">
        <f t="shared" si="89"/>
        <v>8.1198337260307678</v>
      </c>
      <c r="CL31" s="56">
        <f t="shared" si="90"/>
        <v>4599.6695550256163</v>
      </c>
      <c r="CM31" s="56">
        <f t="shared" si="91"/>
        <v>4770.8178224295389</v>
      </c>
      <c r="CN31" s="31">
        <f t="shared" si="42"/>
        <v>20212</v>
      </c>
      <c r="CO31" s="15"/>
      <c r="CP31" s="16">
        <v>996989.9833333334</v>
      </c>
      <c r="CQ31" s="16">
        <v>67758</v>
      </c>
      <c r="CR31" s="16">
        <v>90022</v>
      </c>
      <c r="CS31" s="16">
        <v>12617956.939999999</v>
      </c>
      <c r="CT31" s="16">
        <v>12324520.080000013</v>
      </c>
      <c r="CU31" s="13"/>
      <c r="CV31" s="33">
        <f t="shared" si="92"/>
        <v>3912545.62</v>
      </c>
      <c r="CW31" s="33">
        <f t="shared" si="93"/>
        <v>267505</v>
      </c>
      <c r="CX31" s="33">
        <f t="shared" si="94"/>
        <v>342346</v>
      </c>
      <c r="CY31" s="33">
        <f t="shared" si="95"/>
        <v>45599573.049999997</v>
      </c>
      <c r="CZ31" s="33">
        <f t="shared" si="96"/>
        <v>45534193.650000073</v>
      </c>
      <c r="DA31" s="13"/>
      <c r="DB31" s="55">
        <f t="shared" si="97"/>
        <v>6.8371087772773373</v>
      </c>
      <c r="DC31" s="55">
        <f t="shared" si="98"/>
        <v>8.7499554829471862</v>
      </c>
      <c r="DD31" s="56">
        <f t="shared" si="99"/>
        <v>170.46250742976767</v>
      </c>
      <c r="DE31" s="56">
        <f t="shared" si="100"/>
        <v>170.21810302611195</v>
      </c>
      <c r="DF31" s="31">
        <f t="shared" si="43"/>
        <v>20212</v>
      </c>
      <c r="DG31" s="15"/>
      <c r="DH31" s="16">
        <v>56014.765833333331</v>
      </c>
      <c r="DI31" s="16">
        <v>5</v>
      </c>
      <c r="DJ31" s="16">
        <v>4</v>
      </c>
      <c r="DK31" s="16">
        <v>76800</v>
      </c>
      <c r="DL31" s="16">
        <v>65000</v>
      </c>
      <c r="DM31" s="13"/>
      <c r="DN31" s="33">
        <f t="shared" si="101"/>
        <v>221675.13833333334</v>
      </c>
      <c r="DO31" s="33">
        <f t="shared" si="102"/>
        <v>21</v>
      </c>
      <c r="DP31" s="33">
        <f t="shared" si="103"/>
        <v>28</v>
      </c>
      <c r="DQ31" s="33">
        <f t="shared" si="104"/>
        <v>221050</v>
      </c>
      <c r="DR31" s="33">
        <f t="shared" si="105"/>
        <v>230600</v>
      </c>
      <c r="DS31" s="13"/>
      <c r="DT31" s="55">
        <f t="shared" si="106"/>
        <v>9.4733221586726871E-3</v>
      </c>
      <c r="DU31" s="55">
        <f t="shared" si="107"/>
        <v>1.2631096211563584E-2</v>
      </c>
      <c r="DV31" s="56">
        <f t="shared" si="108"/>
        <v>10526.190476190477</v>
      </c>
      <c r="DW31" s="56">
        <f t="shared" si="109"/>
        <v>10980.952380952382</v>
      </c>
      <c r="DX31" s="31">
        <f t="shared" si="44"/>
        <v>20212</v>
      </c>
      <c r="DY31" s="15"/>
      <c r="DZ31" s="16"/>
      <c r="EA31" s="16"/>
      <c r="EB31" s="16"/>
      <c r="EC31" s="16"/>
      <c r="ED31" s="16"/>
      <c r="EE31" s="13"/>
      <c r="EF31" s="33" t="str">
        <f t="shared" si="110"/>
        <v/>
      </c>
      <c r="EG31" s="33" t="str">
        <f t="shared" si="111"/>
        <v/>
      </c>
      <c r="EH31" s="33" t="str">
        <f t="shared" si="112"/>
        <v/>
      </c>
      <c r="EI31" s="33" t="str">
        <f t="shared" si="113"/>
        <v/>
      </c>
      <c r="EJ31" s="33" t="str">
        <f t="shared" si="114"/>
        <v/>
      </c>
      <c r="EK31" s="13"/>
      <c r="EL31" s="55">
        <f t="shared" si="115"/>
        <v>0</v>
      </c>
      <c r="EM31" s="55">
        <f t="shared" si="116"/>
        <v>0</v>
      </c>
      <c r="EN31" s="56">
        <f t="shared" si="117"/>
        <v>0</v>
      </c>
      <c r="EO31" s="56">
        <f t="shared" si="118"/>
        <v>0</v>
      </c>
      <c r="EP31" s="31">
        <f t="shared" si="45"/>
        <v>20212</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20212</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20213</v>
      </c>
      <c r="C32" s="15"/>
      <c r="D32" s="16">
        <v>910156.11166666669</v>
      </c>
      <c r="E32" s="16">
        <v>26836</v>
      </c>
      <c r="F32" s="16">
        <v>63661</v>
      </c>
      <c r="G32" s="16">
        <v>242540584.05000001</v>
      </c>
      <c r="H32" s="16">
        <v>223037814.79000008</v>
      </c>
      <c r="I32" s="13"/>
      <c r="J32" s="33">
        <f t="shared" si="47"/>
        <v>3603035.4216666664</v>
      </c>
      <c r="K32" s="33">
        <f t="shared" si="48"/>
        <v>96447</v>
      </c>
      <c r="L32" s="33">
        <f t="shared" si="49"/>
        <v>227756</v>
      </c>
      <c r="M32" s="33">
        <f t="shared" si="50"/>
        <v>841858985.56999993</v>
      </c>
      <c r="N32" s="33">
        <f t="shared" si="51"/>
        <v>818231347.84000015</v>
      </c>
      <c r="O32" s="13"/>
      <c r="P32" s="55">
        <f t="shared" si="52"/>
        <v>2.6768263065087003</v>
      </c>
      <c r="Q32" s="55">
        <f t="shared" si="53"/>
        <v>6.321225670733102</v>
      </c>
      <c r="R32" s="56">
        <f t="shared" si="54"/>
        <v>8728.7213243543083</v>
      </c>
      <c r="S32" s="56">
        <f t="shared" si="55"/>
        <v>8483.7407886196579</v>
      </c>
      <c r="T32" s="31">
        <f t="shared" si="38"/>
        <v>20213</v>
      </c>
      <c r="U32" s="15"/>
      <c r="V32" s="16">
        <v>513008.4458333333</v>
      </c>
      <c r="W32" s="16">
        <v>2504</v>
      </c>
      <c r="X32" s="16">
        <v>8031</v>
      </c>
      <c r="Y32" s="16">
        <v>12124250.41</v>
      </c>
      <c r="Z32" s="16">
        <v>12755761.679999998</v>
      </c>
      <c r="AA32" s="13"/>
      <c r="AB32" s="33">
        <f t="shared" si="56"/>
        <v>2033281.6541666666</v>
      </c>
      <c r="AC32" s="33">
        <f t="shared" si="57"/>
        <v>9728</v>
      </c>
      <c r="AD32" s="33">
        <f t="shared" si="58"/>
        <v>28617</v>
      </c>
      <c r="AE32" s="33">
        <f t="shared" si="59"/>
        <v>49217072.849999994</v>
      </c>
      <c r="AF32" s="33">
        <f t="shared" si="60"/>
        <v>53052691.059999995</v>
      </c>
      <c r="AG32" s="13"/>
      <c r="AH32" s="55">
        <f t="shared" si="61"/>
        <v>0.47843838949046075</v>
      </c>
      <c r="AI32" s="55">
        <f t="shared" si="62"/>
        <v>1.4074292138207767</v>
      </c>
      <c r="AJ32" s="56">
        <f t="shared" si="63"/>
        <v>5059.3208110608548</v>
      </c>
      <c r="AK32" s="56">
        <f t="shared" si="64"/>
        <v>5453.607222450657</v>
      </c>
      <c r="AL32" s="31">
        <f t="shared" si="39"/>
        <v>20213</v>
      </c>
      <c r="AM32" s="15"/>
      <c r="AN32" s="16">
        <v>893791.43583333341</v>
      </c>
      <c r="AO32" s="16">
        <v>5031</v>
      </c>
      <c r="AP32" s="16">
        <v>7482</v>
      </c>
      <c r="AQ32" s="16">
        <v>45776979.969999999</v>
      </c>
      <c r="AR32" s="16">
        <v>45656564.769999996</v>
      </c>
      <c r="AS32" s="13"/>
      <c r="AT32" s="33">
        <f t="shared" si="65"/>
        <v>3535808.1125000003</v>
      </c>
      <c r="AU32" s="33">
        <f t="shared" si="66"/>
        <v>19690</v>
      </c>
      <c r="AV32" s="33">
        <f t="shared" si="67"/>
        <v>28213</v>
      </c>
      <c r="AW32" s="33">
        <f t="shared" si="68"/>
        <v>187170204.95000002</v>
      </c>
      <c r="AX32" s="33">
        <f t="shared" si="69"/>
        <v>186168065.94999999</v>
      </c>
      <c r="AY32" s="13"/>
      <c r="AZ32" s="55">
        <f t="shared" si="70"/>
        <v>0.55687411119372499</v>
      </c>
      <c r="BA32" s="55">
        <f t="shared" si="71"/>
        <v>0.79792225998519872</v>
      </c>
      <c r="BB32" s="56">
        <f t="shared" si="72"/>
        <v>9505.8509370238717</v>
      </c>
      <c r="BC32" s="56">
        <f t="shared" si="73"/>
        <v>9454.9551015744019</v>
      </c>
      <c r="BD32" s="31">
        <f t="shared" si="40"/>
        <v>20213</v>
      </c>
      <c r="BE32" s="15"/>
      <c r="BF32" s="16">
        <v>824551.16333333345</v>
      </c>
      <c r="BG32" s="16">
        <v>31025</v>
      </c>
      <c r="BH32" s="16">
        <v>57542</v>
      </c>
      <c r="BI32" s="16">
        <v>75123186.340000004</v>
      </c>
      <c r="BJ32" s="16">
        <v>74271041.780000001</v>
      </c>
      <c r="BK32" s="13"/>
      <c r="BL32" s="33">
        <f t="shared" si="74"/>
        <v>3253781.5433333339</v>
      </c>
      <c r="BM32" s="33">
        <f t="shared" si="75"/>
        <v>112130</v>
      </c>
      <c r="BN32" s="33">
        <f t="shared" si="76"/>
        <v>201035</v>
      </c>
      <c r="BO32" s="33">
        <f t="shared" si="77"/>
        <v>272405969.60000002</v>
      </c>
      <c r="BP32" s="33">
        <f t="shared" si="78"/>
        <v>289091205.13999999</v>
      </c>
      <c r="BQ32" s="13"/>
      <c r="BR32" s="55">
        <f t="shared" si="79"/>
        <v>3.4461440790253088</v>
      </c>
      <c r="BS32" s="55">
        <f t="shared" si="80"/>
        <v>6.1785032990890301</v>
      </c>
      <c r="BT32" s="56">
        <f t="shared" si="81"/>
        <v>2429.3763453134757</v>
      </c>
      <c r="BU32" s="56">
        <f t="shared" si="82"/>
        <v>2578.1789453313118</v>
      </c>
      <c r="BV32" s="31">
        <f t="shared" si="41"/>
        <v>20213</v>
      </c>
      <c r="BW32" s="15"/>
      <c r="BX32" s="16">
        <v>794559.4</v>
      </c>
      <c r="BY32" s="16">
        <v>45984</v>
      </c>
      <c r="BZ32" s="16">
        <v>80749</v>
      </c>
      <c r="CA32" s="16">
        <v>247007129.78</v>
      </c>
      <c r="CB32" s="16">
        <v>231898917.38000011</v>
      </c>
      <c r="CC32" s="13"/>
      <c r="CD32" s="33">
        <f t="shared" si="83"/>
        <v>3131940.0883333334</v>
      </c>
      <c r="CE32" s="33">
        <f t="shared" si="84"/>
        <v>161881</v>
      </c>
      <c r="CF32" s="33">
        <f t="shared" si="85"/>
        <v>273112</v>
      </c>
      <c r="CG32" s="33">
        <f t="shared" si="86"/>
        <v>801096132.25</v>
      </c>
      <c r="CH32" s="33">
        <f t="shared" si="87"/>
        <v>808021108.0400002</v>
      </c>
      <c r="CI32" s="13"/>
      <c r="CJ32" s="55">
        <f t="shared" si="88"/>
        <v>5.1687131756771638</v>
      </c>
      <c r="CK32" s="55">
        <f t="shared" si="89"/>
        <v>8.7202178936103767</v>
      </c>
      <c r="CL32" s="56">
        <f t="shared" si="90"/>
        <v>4948.6729897270216</v>
      </c>
      <c r="CM32" s="56">
        <f t="shared" si="91"/>
        <v>4991.4511773463237</v>
      </c>
      <c r="CN32" s="31">
        <f t="shared" si="42"/>
        <v>20213</v>
      </c>
      <c r="CO32" s="15"/>
      <c r="CP32" s="16">
        <v>1006582.33</v>
      </c>
      <c r="CQ32" s="16">
        <v>72514</v>
      </c>
      <c r="CR32" s="16">
        <v>97770</v>
      </c>
      <c r="CS32" s="16">
        <v>14638878.65</v>
      </c>
      <c r="CT32" s="16">
        <v>14249458.990000017</v>
      </c>
      <c r="CU32" s="13"/>
      <c r="CV32" s="33">
        <f t="shared" si="92"/>
        <v>3957199.4075000002</v>
      </c>
      <c r="CW32" s="33">
        <f t="shared" si="93"/>
        <v>272995</v>
      </c>
      <c r="CX32" s="33">
        <f t="shared" si="94"/>
        <v>355824</v>
      </c>
      <c r="CY32" s="33">
        <f t="shared" si="95"/>
        <v>49818476.669999994</v>
      </c>
      <c r="CZ32" s="33">
        <f t="shared" si="96"/>
        <v>49094699.490000069</v>
      </c>
      <c r="DA32" s="13"/>
      <c r="DB32" s="55">
        <f t="shared" si="97"/>
        <v>6.8986920265528715</v>
      </c>
      <c r="DC32" s="55">
        <f t="shared" si="98"/>
        <v>8.9918137389188413</v>
      </c>
      <c r="DD32" s="56">
        <f t="shared" si="99"/>
        <v>182.48860480961187</v>
      </c>
      <c r="DE32" s="56">
        <f t="shared" si="100"/>
        <v>179.83735779043599</v>
      </c>
      <c r="DF32" s="31">
        <f t="shared" si="43"/>
        <v>20213</v>
      </c>
      <c r="DG32" s="15"/>
      <c r="DH32" s="16">
        <v>56074.738333333335</v>
      </c>
      <c r="DI32" s="16">
        <v>3</v>
      </c>
      <c r="DJ32" s="16">
        <v>6</v>
      </c>
      <c r="DK32" s="16">
        <v>26275</v>
      </c>
      <c r="DL32" s="16">
        <v>58250</v>
      </c>
      <c r="DM32" s="13"/>
      <c r="DN32" s="33">
        <f t="shared" si="101"/>
        <v>222829.94916666669</v>
      </c>
      <c r="DO32" s="33">
        <f t="shared" si="102"/>
        <v>17</v>
      </c>
      <c r="DP32" s="33">
        <f t="shared" si="103"/>
        <v>26</v>
      </c>
      <c r="DQ32" s="33">
        <f t="shared" si="104"/>
        <v>174975</v>
      </c>
      <c r="DR32" s="33">
        <f t="shared" si="105"/>
        <v>210800</v>
      </c>
      <c r="DS32" s="13"/>
      <c r="DT32" s="55">
        <f t="shared" si="106"/>
        <v>7.6291360580461164E-3</v>
      </c>
      <c r="DU32" s="55">
        <f t="shared" si="107"/>
        <v>1.166809044171759E-2</v>
      </c>
      <c r="DV32" s="56">
        <f t="shared" si="108"/>
        <v>10292.64705882353</v>
      </c>
      <c r="DW32" s="56">
        <f t="shared" si="109"/>
        <v>12400</v>
      </c>
      <c r="DX32" s="31">
        <f t="shared" si="44"/>
        <v>20213</v>
      </c>
      <c r="DY32" s="15"/>
      <c r="DZ32" s="16"/>
      <c r="EA32" s="16"/>
      <c r="EB32" s="16"/>
      <c r="EC32" s="16"/>
      <c r="ED32" s="16"/>
      <c r="EE32" s="13"/>
      <c r="EF32" s="33" t="str">
        <f t="shared" si="110"/>
        <v/>
      </c>
      <c r="EG32" s="33" t="str">
        <f t="shared" si="111"/>
        <v/>
      </c>
      <c r="EH32" s="33" t="str">
        <f t="shared" si="112"/>
        <v/>
      </c>
      <c r="EI32" s="33" t="str">
        <f t="shared" si="113"/>
        <v/>
      </c>
      <c r="EJ32" s="33" t="str">
        <f t="shared" si="114"/>
        <v/>
      </c>
      <c r="EK32" s="13"/>
      <c r="EL32" s="55">
        <f t="shared" si="115"/>
        <v>0</v>
      </c>
      <c r="EM32" s="55">
        <f t="shared" si="116"/>
        <v>0</v>
      </c>
      <c r="EN32" s="56">
        <f t="shared" si="117"/>
        <v>0</v>
      </c>
      <c r="EO32" s="56">
        <f t="shared" si="118"/>
        <v>0</v>
      </c>
      <c r="EP32" s="31">
        <f t="shared" si="45"/>
        <v>20213</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20213</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20214</v>
      </c>
      <c r="C33" s="15"/>
      <c r="D33" s="16">
        <v>912864.33250000002</v>
      </c>
      <c r="E33" s="16">
        <v>25854</v>
      </c>
      <c r="F33" s="16">
        <v>65988</v>
      </c>
      <c r="G33" s="16">
        <v>243590156.12</v>
      </c>
      <c r="H33" s="16">
        <v>240441400.27999991</v>
      </c>
      <c r="I33" s="13"/>
      <c r="J33" s="33">
        <f t="shared" si="47"/>
        <v>3625943.5083333333</v>
      </c>
      <c r="K33" s="33">
        <f t="shared" si="48"/>
        <v>99260</v>
      </c>
      <c r="L33" s="33">
        <f t="shared" si="49"/>
        <v>241850</v>
      </c>
      <c r="M33" s="33">
        <f t="shared" si="50"/>
        <v>887601940.58000004</v>
      </c>
      <c r="N33" s="33">
        <f t="shared" si="51"/>
        <v>861497246.22000003</v>
      </c>
      <c r="O33" s="13"/>
      <c r="P33" s="55">
        <f t="shared" si="52"/>
        <v>2.7374943865472661</v>
      </c>
      <c r="Q33" s="55">
        <f t="shared" si="53"/>
        <v>6.6699880856987335</v>
      </c>
      <c r="R33" s="56">
        <f t="shared" si="54"/>
        <v>8942.1916238162412</v>
      </c>
      <c r="S33" s="56">
        <f t="shared" si="55"/>
        <v>8679.1985313318564</v>
      </c>
      <c r="T33" s="31">
        <f t="shared" si="38"/>
        <v>20214</v>
      </c>
      <c r="U33" s="15"/>
      <c r="V33" s="16">
        <v>515146.48583333334</v>
      </c>
      <c r="W33" s="16">
        <v>2759</v>
      </c>
      <c r="X33" s="16">
        <v>8462</v>
      </c>
      <c r="Y33" s="16">
        <v>13531987.939999999</v>
      </c>
      <c r="Z33" s="16">
        <v>14288641.749999996</v>
      </c>
      <c r="AA33" s="13"/>
      <c r="AB33" s="33">
        <f t="shared" si="56"/>
        <v>2045076.875</v>
      </c>
      <c r="AC33" s="33">
        <f t="shared" si="57"/>
        <v>10010</v>
      </c>
      <c r="AD33" s="33">
        <f t="shared" si="58"/>
        <v>30578</v>
      </c>
      <c r="AE33" s="33">
        <f t="shared" si="59"/>
        <v>49618200.549999997</v>
      </c>
      <c r="AF33" s="33">
        <f t="shared" si="60"/>
        <v>53582756.139999986</v>
      </c>
      <c r="AG33" s="13"/>
      <c r="AH33" s="55">
        <f t="shared" si="61"/>
        <v>0.48946815263362653</v>
      </c>
      <c r="AI33" s="55">
        <f t="shared" si="62"/>
        <v>1.4952005166064968</v>
      </c>
      <c r="AJ33" s="56">
        <f t="shared" si="63"/>
        <v>4956.8631918081919</v>
      </c>
      <c r="AK33" s="56">
        <f t="shared" si="64"/>
        <v>5352.9226913086895</v>
      </c>
      <c r="AL33" s="31">
        <f t="shared" si="39"/>
        <v>20214</v>
      </c>
      <c r="AM33" s="15"/>
      <c r="AN33" s="16">
        <v>896873.66666666663</v>
      </c>
      <c r="AO33" s="16">
        <v>4910</v>
      </c>
      <c r="AP33" s="16">
        <v>7366</v>
      </c>
      <c r="AQ33" s="16">
        <v>52740844.210000001</v>
      </c>
      <c r="AR33" s="16">
        <v>50439676.380000003</v>
      </c>
      <c r="AS33" s="13"/>
      <c r="AT33" s="33">
        <f t="shared" si="65"/>
        <v>3559874.2324999999</v>
      </c>
      <c r="AU33" s="33">
        <f t="shared" si="66"/>
        <v>19730</v>
      </c>
      <c r="AV33" s="33">
        <f t="shared" si="67"/>
        <v>28604</v>
      </c>
      <c r="AW33" s="33">
        <f t="shared" si="68"/>
        <v>193500581.69</v>
      </c>
      <c r="AX33" s="33">
        <f t="shared" si="69"/>
        <v>190733720.59999999</v>
      </c>
      <c r="AY33" s="13"/>
      <c r="AZ33" s="55">
        <f t="shared" si="70"/>
        <v>0.55423306306369635</v>
      </c>
      <c r="BA33" s="55">
        <f t="shared" si="71"/>
        <v>0.8035115324822083</v>
      </c>
      <c r="BB33" s="56">
        <f t="shared" si="72"/>
        <v>9807.4293811454645</v>
      </c>
      <c r="BC33" s="56">
        <f t="shared" si="73"/>
        <v>9667.193137354283</v>
      </c>
      <c r="BD33" s="31">
        <f t="shared" si="40"/>
        <v>20214</v>
      </c>
      <c r="BE33" s="15"/>
      <c r="BF33" s="16">
        <v>828931.53833333345</v>
      </c>
      <c r="BG33" s="16">
        <v>29899</v>
      </c>
      <c r="BH33" s="16">
        <v>53880</v>
      </c>
      <c r="BI33" s="16">
        <v>77837000.980000004</v>
      </c>
      <c r="BJ33" s="16">
        <v>83445291.540000007</v>
      </c>
      <c r="BK33" s="13"/>
      <c r="BL33" s="33">
        <f t="shared" si="74"/>
        <v>3281241.6750000003</v>
      </c>
      <c r="BM33" s="33">
        <f t="shared" si="75"/>
        <v>116193</v>
      </c>
      <c r="BN33" s="33">
        <f t="shared" si="76"/>
        <v>211562</v>
      </c>
      <c r="BO33" s="33">
        <f t="shared" si="77"/>
        <v>283885532.52000004</v>
      </c>
      <c r="BP33" s="33">
        <f t="shared" si="78"/>
        <v>305129411.92000002</v>
      </c>
      <c r="BQ33" s="13"/>
      <c r="BR33" s="55">
        <f t="shared" si="79"/>
        <v>3.5411289843501086</v>
      </c>
      <c r="BS33" s="55">
        <f t="shared" si="80"/>
        <v>6.4476201680572638</v>
      </c>
      <c r="BT33" s="56">
        <f t="shared" si="81"/>
        <v>2443.2240541168576</v>
      </c>
      <c r="BU33" s="56">
        <f t="shared" si="82"/>
        <v>2626.0567497181414</v>
      </c>
      <c r="BV33" s="31">
        <f t="shared" si="41"/>
        <v>20214</v>
      </c>
      <c r="BW33" s="15"/>
      <c r="BX33" s="16">
        <v>799383.92666666664</v>
      </c>
      <c r="BY33" s="16">
        <v>45075</v>
      </c>
      <c r="BZ33" s="16">
        <v>84136</v>
      </c>
      <c r="CA33" s="16">
        <v>251901939.58000001</v>
      </c>
      <c r="CB33" s="16">
        <v>248063405.85000002</v>
      </c>
      <c r="CC33" s="13"/>
      <c r="CD33" s="33">
        <f t="shared" si="83"/>
        <v>3160556.4550000001</v>
      </c>
      <c r="CE33" s="33">
        <f t="shared" si="84"/>
        <v>169521</v>
      </c>
      <c r="CF33" s="33">
        <f t="shared" si="85"/>
        <v>296848</v>
      </c>
      <c r="CG33" s="33">
        <f t="shared" si="86"/>
        <v>877362819.10000002</v>
      </c>
      <c r="CH33" s="33">
        <f t="shared" si="87"/>
        <v>885675187.83000016</v>
      </c>
      <c r="CI33" s="13"/>
      <c r="CJ33" s="55">
        <f t="shared" si="88"/>
        <v>5.3636441055124262</v>
      </c>
      <c r="CK33" s="55">
        <f t="shared" si="89"/>
        <v>9.3922701342792507</v>
      </c>
      <c r="CL33" s="56">
        <f t="shared" si="90"/>
        <v>5175.5406061785861</v>
      </c>
      <c r="CM33" s="56">
        <f t="shared" si="91"/>
        <v>5224.5750545950068</v>
      </c>
      <c r="CN33" s="31">
        <f t="shared" si="42"/>
        <v>20214</v>
      </c>
      <c r="CO33" s="15"/>
      <c r="CP33" s="16">
        <v>1014312.72</v>
      </c>
      <c r="CQ33" s="16">
        <v>76679</v>
      </c>
      <c r="CR33" s="16">
        <v>101952</v>
      </c>
      <c r="CS33" s="16">
        <v>15935849.49</v>
      </c>
      <c r="CT33" s="16">
        <v>15496730.299999993</v>
      </c>
      <c r="CU33" s="13"/>
      <c r="CV33" s="33">
        <f t="shared" si="92"/>
        <v>4000712.34</v>
      </c>
      <c r="CW33" s="33">
        <f t="shared" si="93"/>
        <v>281167</v>
      </c>
      <c r="CX33" s="33">
        <f t="shared" si="94"/>
        <v>371845</v>
      </c>
      <c r="CY33" s="33">
        <f t="shared" si="95"/>
        <v>54576518.170000002</v>
      </c>
      <c r="CZ33" s="33">
        <f t="shared" si="96"/>
        <v>53398009.530000046</v>
      </c>
      <c r="DA33" s="13"/>
      <c r="DB33" s="55">
        <f t="shared" si="97"/>
        <v>7.0279234322555677</v>
      </c>
      <c r="DC33" s="55">
        <f t="shared" si="98"/>
        <v>9.294469794346675</v>
      </c>
      <c r="DD33" s="56">
        <f t="shared" si="99"/>
        <v>194.10712555171838</v>
      </c>
      <c r="DE33" s="56">
        <f t="shared" si="100"/>
        <v>189.91563565425545</v>
      </c>
      <c r="DF33" s="31">
        <f t="shared" si="43"/>
        <v>20214</v>
      </c>
      <c r="DG33" s="15"/>
      <c r="DH33" s="16">
        <v>55760.519166666665</v>
      </c>
      <c r="DI33" s="16">
        <v>5</v>
      </c>
      <c r="DJ33" s="16">
        <v>8</v>
      </c>
      <c r="DK33" s="16">
        <v>51500</v>
      </c>
      <c r="DL33" s="16">
        <v>33550</v>
      </c>
      <c r="DM33" s="13"/>
      <c r="DN33" s="33">
        <f t="shared" si="101"/>
        <v>223405.40333333332</v>
      </c>
      <c r="DO33" s="33">
        <f t="shared" si="102"/>
        <v>18</v>
      </c>
      <c r="DP33" s="33">
        <f t="shared" si="103"/>
        <v>26</v>
      </c>
      <c r="DQ33" s="33">
        <f t="shared" si="104"/>
        <v>205075</v>
      </c>
      <c r="DR33" s="33">
        <f t="shared" si="105"/>
        <v>208550</v>
      </c>
      <c r="DS33" s="13"/>
      <c r="DT33" s="55">
        <f t="shared" si="106"/>
        <v>8.0571014538726241E-3</v>
      </c>
      <c r="DU33" s="55">
        <f t="shared" si="107"/>
        <v>1.1638035433371567E-2</v>
      </c>
      <c r="DV33" s="56">
        <f t="shared" si="108"/>
        <v>11393.055555555555</v>
      </c>
      <c r="DW33" s="56">
        <f t="shared" si="109"/>
        <v>11586.111111111111</v>
      </c>
      <c r="DX33" s="31">
        <f t="shared" si="44"/>
        <v>20214</v>
      </c>
      <c r="DY33" s="15"/>
      <c r="DZ33" s="16"/>
      <c r="EA33" s="16"/>
      <c r="EB33" s="16"/>
      <c r="EC33" s="16"/>
      <c r="ED33" s="16"/>
      <c r="EE33" s="13"/>
      <c r="EF33" s="33" t="str">
        <f t="shared" si="110"/>
        <v/>
      </c>
      <c r="EG33" s="33" t="str">
        <f t="shared" si="111"/>
        <v/>
      </c>
      <c r="EH33" s="33" t="str">
        <f t="shared" si="112"/>
        <v/>
      </c>
      <c r="EI33" s="33" t="str">
        <f t="shared" si="113"/>
        <v/>
      </c>
      <c r="EJ33" s="33" t="str">
        <f t="shared" si="114"/>
        <v/>
      </c>
      <c r="EK33" s="13"/>
      <c r="EL33" s="55">
        <f t="shared" si="115"/>
        <v>0</v>
      </c>
      <c r="EM33" s="55">
        <f t="shared" si="116"/>
        <v>0</v>
      </c>
      <c r="EN33" s="56">
        <f t="shared" si="117"/>
        <v>0</v>
      </c>
      <c r="EO33" s="56">
        <f t="shared" si="118"/>
        <v>0</v>
      </c>
      <c r="EP33" s="31">
        <f t="shared" si="45"/>
        <v>20214</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20214</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20221</v>
      </c>
      <c r="C34" s="15"/>
      <c r="D34" s="16">
        <v>914860.22916666663</v>
      </c>
      <c r="E34" s="16">
        <v>29501</v>
      </c>
      <c r="F34" s="16">
        <v>66379</v>
      </c>
      <c r="G34" s="16">
        <v>278635132.37</v>
      </c>
      <c r="H34" s="16">
        <v>267010563.37999988</v>
      </c>
      <c r="I34" s="13"/>
      <c r="J34" s="33">
        <f t="shared" si="47"/>
        <v>3643678.5158333331</v>
      </c>
      <c r="K34" s="33">
        <f t="shared" si="48"/>
        <v>106300</v>
      </c>
      <c r="L34" s="33">
        <f t="shared" si="49"/>
        <v>256663</v>
      </c>
      <c r="M34" s="33">
        <f t="shared" si="50"/>
        <v>971537478.62</v>
      </c>
      <c r="N34" s="33">
        <f t="shared" si="51"/>
        <v>930154931.3599999</v>
      </c>
      <c r="O34" s="13"/>
      <c r="P34" s="55">
        <f t="shared" si="52"/>
        <v>2.917381419301436</v>
      </c>
      <c r="Q34" s="55">
        <f t="shared" si="53"/>
        <v>7.0440627208105786</v>
      </c>
      <c r="R34" s="56">
        <f t="shared" si="54"/>
        <v>9139.5811723424267</v>
      </c>
      <c r="S34" s="56">
        <f t="shared" si="55"/>
        <v>8750.2815744120398</v>
      </c>
      <c r="T34" s="31">
        <f t="shared" si="38"/>
        <v>20221</v>
      </c>
      <c r="U34" s="15"/>
      <c r="V34" s="16">
        <v>516858.05499999999</v>
      </c>
      <c r="W34" s="16">
        <v>2746</v>
      </c>
      <c r="X34" s="16">
        <v>7805</v>
      </c>
      <c r="Y34" s="16">
        <v>14108606.52</v>
      </c>
      <c r="Z34" s="16">
        <v>14518987.540000007</v>
      </c>
      <c r="AA34" s="13"/>
      <c r="AB34" s="33">
        <f t="shared" si="56"/>
        <v>2055427.5933333333</v>
      </c>
      <c r="AC34" s="33">
        <f t="shared" si="57"/>
        <v>10482</v>
      </c>
      <c r="AD34" s="33">
        <f t="shared" si="58"/>
        <v>32031</v>
      </c>
      <c r="AE34" s="33">
        <f t="shared" si="59"/>
        <v>52463661.239999995</v>
      </c>
      <c r="AF34" s="33">
        <f t="shared" si="60"/>
        <v>55695273.269999996</v>
      </c>
      <c r="AG34" s="13"/>
      <c r="AH34" s="55">
        <f t="shared" si="61"/>
        <v>0.50996688153831315</v>
      </c>
      <c r="AI34" s="55">
        <f t="shared" si="62"/>
        <v>1.5583618758398881</v>
      </c>
      <c r="AJ34" s="56">
        <f t="shared" si="63"/>
        <v>5005.1193703491699</v>
      </c>
      <c r="AK34" s="56">
        <f t="shared" si="64"/>
        <v>5313.4204607899255</v>
      </c>
      <c r="AL34" s="31">
        <f t="shared" si="39"/>
        <v>20221</v>
      </c>
      <c r="AM34" s="15"/>
      <c r="AN34" s="16">
        <v>899106.24583333323</v>
      </c>
      <c r="AO34" s="16">
        <v>5174</v>
      </c>
      <c r="AP34" s="16">
        <v>7798</v>
      </c>
      <c r="AQ34" s="16">
        <v>56660761.75</v>
      </c>
      <c r="AR34" s="16">
        <v>56728499.969999984</v>
      </c>
      <c r="AS34" s="13"/>
      <c r="AT34" s="33">
        <f t="shared" si="65"/>
        <v>3578817.6724999999</v>
      </c>
      <c r="AU34" s="33">
        <f t="shared" si="66"/>
        <v>19940</v>
      </c>
      <c r="AV34" s="33">
        <f t="shared" si="67"/>
        <v>29474</v>
      </c>
      <c r="AW34" s="33">
        <f t="shared" si="68"/>
        <v>204166097.75999999</v>
      </c>
      <c r="AX34" s="33">
        <f t="shared" si="69"/>
        <v>200767457.14999998</v>
      </c>
      <c r="AY34" s="13"/>
      <c r="AZ34" s="55">
        <f t="shared" si="70"/>
        <v>0.55716724976578136</v>
      </c>
      <c r="BA34" s="55">
        <f t="shared" si="71"/>
        <v>0.82356808022049366</v>
      </c>
      <c r="BB34" s="56">
        <f t="shared" si="72"/>
        <v>10239.021953861584</v>
      </c>
      <c r="BC34" s="56">
        <f t="shared" si="73"/>
        <v>10068.578593279839</v>
      </c>
      <c r="BD34" s="31">
        <f t="shared" si="40"/>
        <v>20221</v>
      </c>
      <c r="BE34" s="15"/>
      <c r="BF34" s="16">
        <v>832830.63166666671</v>
      </c>
      <c r="BG34" s="16">
        <v>33119</v>
      </c>
      <c r="BH34" s="16">
        <v>58814</v>
      </c>
      <c r="BI34" s="16">
        <v>95981225.650000006</v>
      </c>
      <c r="BJ34" s="16">
        <v>94183518.25999999</v>
      </c>
      <c r="BK34" s="13"/>
      <c r="BL34" s="33">
        <f t="shared" si="74"/>
        <v>3304839.9508333337</v>
      </c>
      <c r="BM34" s="33">
        <f t="shared" si="75"/>
        <v>123302</v>
      </c>
      <c r="BN34" s="33">
        <f t="shared" si="76"/>
        <v>225133</v>
      </c>
      <c r="BO34" s="33">
        <f t="shared" si="77"/>
        <v>313180489.67000008</v>
      </c>
      <c r="BP34" s="33">
        <f t="shared" si="78"/>
        <v>330251221.37</v>
      </c>
      <c r="BQ34" s="13"/>
      <c r="BR34" s="55">
        <f t="shared" si="79"/>
        <v>3.7309522347340516</v>
      </c>
      <c r="BS34" s="55">
        <f t="shared" si="80"/>
        <v>6.8122209652915711</v>
      </c>
      <c r="BT34" s="56">
        <f t="shared" si="81"/>
        <v>2539.9465513130367</v>
      </c>
      <c r="BU34" s="56">
        <f t="shared" si="82"/>
        <v>2678.3930623185352</v>
      </c>
      <c r="BV34" s="31">
        <f t="shared" si="41"/>
        <v>20221</v>
      </c>
      <c r="BW34" s="15"/>
      <c r="BX34" s="16">
        <v>803454.73249999993</v>
      </c>
      <c r="BY34" s="16">
        <v>49014</v>
      </c>
      <c r="BZ34" s="16">
        <v>84037</v>
      </c>
      <c r="CA34" s="16">
        <v>307157927.42000002</v>
      </c>
      <c r="CB34" s="16">
        <v>295143422.47999984</v>
      </c>
      <c r="CC34" s="13"/>
      <c r="CD34" s="33">
        <f t="shared" si="83"/>
        <v>3185496.3516666666</v>
      </c>
      <c r="CE34" s="33">
        <f t="shared" si="84"/>
        <v>181495</v>
      </c>
      <c r="CF34" s="33">
        <f t="shared" si="85"/>
        <v>321532</v>
      </c>
      <c r="CG34" s="33">
        <f t="shared" si="86"/>
        <v>1000043004.6300001</v>
      </c>
      <c r="CH34" s="33">
        <f t="shared" si="87"/>
        <v>1000544534.29</v>
      </c>
      <c r="CI34" s="13"/>
      <c r="CJ34" s="55">
        <f t="shared" si="88"/>
        <v>5.6975422340396333</v>
      </c>
      <c r="CK34" s="55">
        <f t="shared" si="89"/>
        <v>10.093623238079457</v>
      </c>
      <c r="CL34" s="56">
        <f t="shared" si="90"/>
        <v>5510.0306048651482</v>
      </c>
      <c r="CM34" s="56">
        <f t="shared" si="91"/>
        <v>5512.7939298052288</v>
      </c>
      <c r="CN34" s="31">
        <f t="shared" si="42"/>
        <v>20221</v>
      </c>
      <c r="CO34" s="15"/>
      <c r="CP34" s="16">
        <v>1020885.6641666668</v>
      </c>
      <c r="CQ34" s="16">
        <v>71922</v>
      </c>
      <c r="CR34" s="16">
        <v>97228</v>
      </c>
      <c r="CS34" s="16">
        <v>17008420.120000001</v>
      </c>
      <c r="CT34" s="16">
        <v>16834592.849999979</v>
      </c>
      <c r="CU34" s="13"/>
      <c r="CV34" s="33">
        <f t="shared" si="92"/>
        <v>4038770.6974999998</v>
      </c>
      <c r="CW34" s="33">
        <f t="shared" si="93"/>
        <v>288873</v>
      </c>
      <c r="CX34" s="33">
        <f t="shared" si="94"/>
        <v>386972</v>
      </c>
      <c r="CY34" s="33">
        <f t="shared" si="95"/>
        <v>60201105.200000003</v>
      </c>
      <c r="CZ34" s="33">
        <f t="shared" si="96"/>
        <v>58905302.219999999</v>
      </c>
      <c r="DA34" s="13"/>
      <c r="DB34" s="55">
        <f t="shared" si="97"/>
        <v>7.1524981643254089</v>
      </c>
      <c r="DC34" s="55">
        <f t="shared" si="98"/>
        <v>9.5814303159012173</v>
      </c>
      <c r="DD34" s="56">
        <f t="shared" si="99"/>
        <v>208.39990307159204</v>
      </c>
      <c r="DE34" s="56">
        <f t="shared" si="100"/>
        <v>203.91418450322459</v>
      </c>
      <c r="DF34" s="31">
        <f t="shared" si="43"/>
        <v>20221</v>
      </c>
      <c r="DG34" s="15"/>
      <c r="DH34" s="16">
        <v>55901.560833333337</v>
      </c>
      <c r="DI34" s="16">
        <v>1</v>
      </c>
      <c r="DJ34" s="16">
        <v>8</v>
      </c>
      <c r="DK34" s="16">
        <v>41750</v>
      </c>
      <c r="DL34" s="16">
        <v>40000</v>
      </c>
      <c r="DM34" s="13"/>
      <c r="DN34" s="33">
        <f t="shared" si="101"/>
        <v>223751.58416666667</v>
      </c>
      <c r="DO34" s="33">
        <f t="shared" si="102"/>
        <v>14</v>
      </c>
      <c r="DP34" s="33">
        <f t="shared" si="103"/>
        <v>26</v>
      </c>
      <c r="DQ34" s="33">
        <f t="shared" si="104"/>
        <v>196325</v>
      </c>
      <c r="DR34" s="33">
        <f t="shared" si="105"/>
        <v>196800</v>
      </c>
      <c r="DS34" s="13"/>
      <c r="DT34" s="55">
        <f t="shared" si="106"/>
        <v>6.2569389406296975E-3</v>
      </c>
      <c r="DU34" s="55">
        <f t="shared" si="107"/>
        <v>1.162002946116944E-2</v>
      </c>
      <c r="DV34" s="56">
        <f t="shared" si="108"/>
        <v>14023.214285714286</v>
      </c>
      <c r="DW34" s="56">
        <f t="shared" si="109"/>
        <v>14057.142857142857</v>
      </c>
      <c r="DX34" s="31">
        <f t="shared" si="44"/>
        <v>20221</v>
      </c>
      <c r="DY34" s="15"/>
      <c r="DZ34" s="16"/>
      <c r="EA34" s="16"/>
      <c r="EB34" s="16"/>
      <c r="EC34" s="16"/>
      <c r="ED34" s="16"/>
      <c r="EE34" s="13"/>
      <c r="EF34" s="33" t="str">
        <f t="shared" si="110"/>
        <v/>
      </c>
      <c r="EG34" s="33" t="str">
        <f t="shared" si="111"/>
        <v/>
      </c>
      <c r="EH34" s="33" t="str">
        <f t="shared" si="112"/>
        <v/>
      </c>
      <c r="EI34" s="33" t="str">
        <f t="shared" si="113"/>
        <v/>
      </c>
      <c r="EJ34" s="33" t="str">
        <f t="shared" si="114"/>
        <v/>
      </c>
      <c r="EK34" s="13"/>
      <c r="EL34" s="55">
        <f t="shared" si="115"/>
        <v>0</v>
      </c>
      <c r="EM34" s="55">
        <f t="shared" si="116"/>
        <v>0</v>
      </c>
      <c r="EN34" s="56">
        <f t="shared" si="117"/>
        <v>0</v>
      </c>
      <c r="EO34" s="56">
        <f t="shared" si="118"/>
        <v>0</v>
      </c>
      <c r="EP34" s="31">
        <f t="shared" si="45"/>
        <v>20221</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20221</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20222</v>
      </c>
      <c r="C35" s="15"/>
      <c r="D35" s="16">
        <v>920684.72583333345</v>
      </c>
      <c r="E35" s="16">
        <v>30713</v>
      </c>
      <c r="F35" s="16">
        <v>66509</v>
      </c>
      <c r="G35" s="16">
        <v>312268659.45000005</v>
      </c>
      <c r="H35" s="16">
        <v>313132176.66999996</v>
      </c>
      <c r="I35" s="13"/>
      <c r="J35" s="33">
        <f t="shared" si="47"/>
        <v>3658565.3991666669</v>
      </c>
      <c r="K35" s="33">
        <f t="shared" si="48"/>
        <v>112904</v>
      </c>
      <c r="L35" s="33">
        <f t="shared" si="49"/>
        <v>262537</v>
      </c>
      <c r="M35" s="33">
        <f t="shared" si="50"/>
        <v>1077034531.99</v>
      </c>
      <c r="N35" s="33">
        <f t="shared" si="51"/>
        <v>1043621955.1199998</v>
      </c>
      <c r="O35" s="13"/>
      <c r="P35" s="55">
        <f t="shared" si="52"/>
        <v>3.0860183618889749</v>
      </c>
      <c r="Q35" s="55">
        <f t="shared" si="53"/>
        <v>7.1759548171477157</v>
      </c>
      <c r="R35" s="56">
        <f t="shared" si="54"/>
        <v>9539.383298997378</v>
      </c>
      <c r="S35" s="56">
        <f t="shared" si="55"/>
        <v>9243.4453617232321</v>
      </c>
      <c r="T35" s="31">
        <f t="shared" si="38"/>
        <v>20222</v>
      </c>
      <c r="U35" s="15"/>
      <c r="V35" s="16">
        <v>519969.83083333331</v>
      </c>
      <c r="W35" s="16">
        <v>2959</v>
      </c>
      <c r="X35" s="16">
        <v>8128</v>
      </c>
      <c r="Y35" s="16">
        <v>15188819.470000001</v>
      </c>
      <c r="Z35" s="16">
        <v>16365546.419999998</v>
      </c>
      <c r="AA35" s="13"/>
      <c r="AB35" s="33">
        <f t="shared" si="56"/>
        <v>2064982.8174999999</v>
      </c>
      <c r="AC35" s="33">
        <f t="shared" si="57"/>
        <v>10968</v>
      </c>
      <c r="AD35" s="33">
        <f t="shared" si="58"/>
        <v>32426</v>
      </c>
      <c r="AE35" s="33">
        <f t="shared" si="59"/>
        <v>54953664.340000004</v>
      </c>
      <c r="AF35" s="33">
        <f t="shared" si="60"/>
        <v>57928937.390000001</v>
      </c>
      <c r="AG35" s="13"/>
      <c r="AH35" s="55">
        <f t="shared" si="61"/>
        <v>0.5311424340701566</v>
      </c>
      <c r="AI35" s="55">
        <f t="shared" si="62"/>
        <v>1.5702794098430797</v>
      </c>
      <c r="AJ35" s="56">
        <f t="shared" si="63"/>
        <v>5010.3632695113056</v>
      </c>
      <c r="AK35" s="56">
        <f t="shared" si="64"/>
        <v>5281.6317824580601</v>
      </c>
      <c r="AL35" s="31">
        <f t="shared" si="39"/>
        <v>20222</v>
      </c>
      <c r="AM35" s="15"/>
      <c r="AN35" s="16">
        <v>905146.97499999998</v>
      </c>
      <c r="AO35" s="16">
        <v>5042</v>
      </c>
      <c r="AP35" s="16">
        <v>7546</v>
      </c>
      <c r="AQ35" s="16">
        <v>58189284.299999997</v>
      </c>
      <c r="AR35" s="16">
        <v>61411944.329999998</v>
      </c>
      <c r="AS35" s="13"/>
      <c r="AT35" s="33">
        <f t="shared" si="65"/>
        <v>3594918.3233333332</v>
      </c>
      <c r="AU35" s="33">
        <f t="shared" si="66"/>
        <v>20157</v>
      </c>
      <c r="AV35" s="33">
        <f t="shared" si="67"/>
        <v>30192</v>
      </c>
      <c r="AW35" s="33">
        <f t="shared" si="68"/>
        <v>213367870.23000002</v>
      </c>
      <c r="AX35" s="33">
        <f t="shared" si="69"/>
        <v>214236685.44999999</v>
      </c>
      <c r="AY35" s="13"/>
      <c r="AZ35" s="55">
        <f t="shared" si="70"/>
        <v>0.56070814931087865</v>
      </c>
      <c r="BA35" s="55">
        <f t="shared" si="71"/>
        <v>0.83985218256655492</v>
      </c>
      <c r="BB35" s="56">
        <f t="shared" si="72"/>
        <v>10585.298915017116</v>
      </c>
      <c r="BC35" s="56">
        <f t="shared" si="73"/>
        <v>10628.401322121346</v>
      </c>
      <c r="BD35" s="31">
        <f t="shared" si="40"/>
        <v>20222</v>
      </c>
      <c r="BE35" s="15"/>
      <c r="BF35" s="16">
        <v>839956.255</v>
      </c>
      <c r="BG35" s="16">
        <v>33739</v>
      </c>
      <c r="BH35" s="16">
        <v>62171</v>
      </c>
      <c r="BI35" s="16">
        <v>90613265.120000005</v>
      </c>
      <c r="BJ35" s="16">
        <v>93926621.100000009</v>
      </c>
      <c r="BK35" s="13"/>
      <c r="BL35" s="33">
        <f t="shared" si="74"/>
        <v>3326269.5883333334</v>
      </c>
      <c r="BM35" s="33">
        <f t="shared" si="75"/>
        <v>127782</v>
      </c>
      <c r="BN35" s="33">
        <f t="shared" si="76"/>
        <v>232407</v>
      </c>
      <c r="BO35" s="33">
        <f t="shared" si="77"/>
        <v>339554678.09000003</v>
      </c>
      <c r="BP35" s="33">
        <f t="shared" si="78"/>
        <v>345826472.68000001</v>
      </c>
      <c r="BQ35" s="13"/>
      <c r="BR35" s="55">
        <f t="shared" si="79"/>
        <v>3.8416008265892447</v>
      </c>
      <c r="BS35" s="55">
        <f t="shared" si="80"/>
        <v>6.9870163505433212</v>
      </c>
      <c r="BT35" s="56">
        <f t="shared" si="81"/>
        <v>2657.2966309026315</v>
      </c>
      <c r="BU35" s="56">
        <f t="shared" si="82"/>
        <v>2706.3786188978106</v>
      </c>
      <c r="BV35" s="31">
        <f t="shared" si="41"/>
        <v>20222</v>
      </c>
      <c r="BW35" s="15"/>
      <c r="BX35" s="16">
        <v>810637.33666666655</v>
      </c>
      <c r="BY35" s="16">
        <v>49674</v>
      </c>
      <c r="BZ35" s="16">
        <v>85632</v>
      </c>
      <c r="CA35" s="16">
        <v>283806172.85000002</v>
      </c>
      <c r="CB35" s="16">
        <v>307373555.56999993</v>
      </c>
      <c r="CC35" s="13"/>
      <c r="CD35" s="33">
        <f t="shared" si="83"/>
        <v>3208035.395833333</v>
      </c>
      <c r="CE35" s="33">
        <f t="shared" si="84"/>
        <v>189747</v>
      </c>
      <c r="CF35" s="33">
        <f t="shared" si="85"/>
        <v>334554</v>
      </c>
      <c r="CG35" s="33">
        <f t="shared" si="86"/>
        <v>1089873169.6300001</v>
      </c>
      <c r="CH35" s="33">
        <f t="shared" si="87"/>
        <v>1082479301.28</v>
      </c>
      <c r="CI35" s="13"/>
      <c r="CJ35" s="55">
        <f t="shared" si="88"/>
        <v>5.9147414721934668</v>
      </c>
      <c r="CK35" s="55">
        <f t="shared" si="89"/>
        <v>10.428625582951051</v>
      </c>
      <c r="CL35" s="56">
        <f t="shared" si="90"/>
        <v>5743.822930691922</v>
      </c>
      <c r="CM35" s="56">
        <f t="shared" si="91"/>
        <v>5704.8559464971777</v>
      </c>
      <c r="CN35" s="31">
        <f t="shared" si="42"/>
        <v>20222</v>
      </c>
      <c r="CO35" s="15"/>
      <c r="CP35" s="16">
        <v>1032011.0416666667</v>
      </c>
      <c r="CQ35" s="16">
        <v>70716</v>
      </c>
      <c r="CR35" s="16">
        <v>94894</v>
      </c>
      <c r="CS35" s="16">
        <v>16496262.6</v>
      </c>
      <c r="CT35" s="16">
        <v>16828140.639999978</v>
      </c>
      <c r="CU35" s="13"/>
      <c r="CV35" s="33">
        <f t="shared" si="92"/>
        <v>4073791.7558333334</v>
      </c>
      <c r="CW35" s="33">
        <f t="shared" si="93"/>
        <v>291831</v>
      </c>
      <c r="CX35" s="33">
        <f t="shared" si="94"/>
        <v>391844</v>
      </c>
      <c r="CY35" s="33">
        <f t="shared" si="95"/>
        <v>64079410.860000007</v>
      </c>
      <c r="CZ35" s="33">
        <f t="shared" si="96"/>
        <v>63408922.779999964</v>
      </c>
      <c r="DA35" s="13"/>
      <c r="DB35" s="55">
        <f t="shared" si="97"/>
        <v>7.1636209578489654</v>
      </c>
      <c r="DC35" s="55">
        <f t="shared" si="98"/>
        <v>9.6186556281113731</v>
      </c>
      <c r="DD35" s="56">
        <f t="shared" si="99"/>
        <v>219.57712121056366</v>
      </c>
      <c r="DE35" s="56">
        <f t="shared" si="100"/>
        <v>217.2795994256949</v>
      </c>
      <c r="DF35" s="31">
        <f t="shared" si="43"/>
        <v>20222</v>
      </c>
      <c r="DG35" s="15"/>
      <c r="DH35" s="16">
        <v>56359.81</v>
      </c>
      <c r="DI35" s="16">
        <v>8</v>
      </c>
      <c r="DJ35" s="16">
        <v>8</v>
      </c>
      <c r="DK35" s="16">
        <v>104250</v>
      </c>
      <c r="DL35" s="16">
        <v>115250</v>
      </c>
      <c r="DM35" s="13"/>
      <c r="DN35" s="33">
        <f t="shared" si="101"/>
        <v>224096.62833333336</v>
      </c>
      <c r="DO35" s="33">
        <f t="shared" si="102"/>
        <v>17</v>
      </c>
      <c r="DP35" s="33">
        <f t="shared" si="103"/>
        <v>30</v>
      </c>
      <c r="DQ35" s="33">
        <f t="shared" si="104"/>
        <v>223775</v>
      </c>
      <c r="DR35" s="33">
        <f t="shared" si="105"/>
        <v>247050</v>
      </c>
      <c r="DS35" s="13"/>
      <c r="DT35" s="55">
        <f t="shared" si="106"/>
        <v>7.5860132865155326E-3</v>
      </c>
      <c r="DU35" s="55">
        <f t="shared" si="107"/>
        <v>1.3387082270321527E-2</v>
      </c>
      <c r="DV35" s="56">
        <f t="shared" si="108"/>
        <v>13163.235294117647</v>
      </c>
      <c r="DW35" s="56">
        <f t="shared" si="109"/>
        <v>14532.35294117647</v>
      </c>
      <c r="DX35" s="31">
        <f t="shared" si="44"/>
        <v>20222</v>
      </c>
      <c r="DY35" s="15"/>
      <c r="DZ35" s="16"/>
      <c r="EA35" s="16"/>
      <c r="EB35" s="16"/>
      <c r="EC35" s="16"/>
      <c r="ED35" s="16"/>
      <c r="EE35" s="13"/>
      <c r="EF35" s="33" t="str">
        <f t="shared" si="110"/>
        <v/>
      </c>
      <c r="EG35" s="33" t="str">
        <f t="shared" si="111"/>
        <v/>
      </c>
      <c r="EH35" s="33" t="str">
        <f t="shared" si="112"/>
        <v/>
      </c>
      <c r="EI35" s="33" t="str">
        <f t="shared" si="113"/>
        <v/>
      </c>
      <c r="EJ35" s="33" t="str">
        <f t="shared" si="114"/>
        <v/>
      </c>
      <c r="EK35" s="13"/>
      <c r="EL35" s="55">
        <f t="shared" si="115"/>
        <v>0</v>
      </c>
      <c r="EM35" s="55">
        <f t="shared" si="116"/>
        <v>0</v>
      </c>
      <c r="EN35" s="56">
        <f t="shared" si="117"/>
        <v>0</v>
      </c>
      <c r="EO35" s="56">
        <f t="shared" si="118"/>
        <v>0</v>
      </c>
      <c r="EP35" s="31">
        <f t="shared" si="45"/>
        <v>20222</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20222</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20223</v>
      </c>
      <c r="C36" s="15"/>
      <c r="D36" s="16">
        <v>927188.62583333335</v>
      </c>
      <c r="E36" s="16">
        <v>30876</v>
      </c>
      <c r="F36" s="16">
        <v>68987</v>
      </c>
      <c r="G36" s="16">
        <v>301797644.19</v>
      </c>
      <c r="H36" s="16">
        <v>336103774.36000001</v>
      </c>
      <c r="I36" s="13"/>
      <c r="J36" s="33">
        <f t="shared" si="47"/>
        <v>3675597.9133333336</v>
      </c>
      <c r="K36" s="33">
        <f t="shared" si="48"/>
        <v>116944</v>
      </c>
      <c r="L36" s="33">
        <f t="shared" si="49"/>
        <v>267863</v>
      </c>
      <c r="M36" s="33">
        <f t="shared" si="50"/>
        <v>1136291592.1300001</v>
      </c>
      <c r="N36" s="33">
        <f t="shared" si="51"/>
        <v>1156687914.6899996</v>
      </c>
      <c r="O36" s="13"/>
      <c r="P36" s="55">
        <f t="shared" si="52"/>
        <v>3.1816320162709419</v>
      </c>
      <c r="Q36" s="55">
        <f t="shared" si="53"/>
        <v>7.287603440744145</v>
      </c>
      <c r="R36" s="56">
        <f t="shared" si="54"/>
        <v>9716.5446036564517</v>
      </c>
      <c r="S36" s="56">
        <f t="shared" si="55"/>
        <v>9890.9556256840842</v>
      </c>
      <c r="T36" s="31">
        <f>IF(RIGHT(T37,1)="1",T37-7,T37-1)</f>
        <v>20223</v>
      </c>
      <c r="U36" s="15"/>
      <c r="V36" s="16">
        <v>523240.04916666663</v>
      </c>
      <c r="W36" s="16">
        <v>3018</v>
      </c>
      <c r="X36" s="16">
        <v>8682</v>
      </c>
      <c r="Y36" s="16">
        <v>16420110.029999999</v>
      </c>
      <c r="Z36" s="16">
        <v>18465929.289999999</v>
      </c>
      <c r="AA36" s="13"/>
      <c r="AB36" s="33">
        <f t="shared" si="56"/>
        <v>2075214.4208333332</v>
      </c>
      <c r="AC36" s="33">
        <f t="shared" si="57"/>
        <v>11482</v>
      </c>
      <c r="AD36" s="33">
        <f t="shared" si="58"/>
        <v>33077</v>
      </c>
      <c r="AE36" s="33">
        <f t="shared" si="59"/>
        <v>59249523.960000001</v>
      </c>
      <c r="AF36" s="33">
        <f t="shared" si="60"/>
        <v>63639105</v>
      </c>
      <c r="AG36" s="13"/>
      <c r="AH36" s="55">
        <f t="shared" si="61"/>
        <v>0.5532922229496281</v>
      </c>
      <c r="AI36" s="55">
        <f t="shared" si="62"/>
        <v>1.5939075821725177</v>
      </c>
      <c r="AJ36" s="56">
        <f t="shared" si="63"/>
        <v>5160.2093677059747</v>
      </c>
      <c r="AK36" s="56">
        <f t="shared" si="64"/>
        <v>5542.5104511409163</v>
      </c>
      <c r="AL36" s="31">
        <f>IF(RIGHT(AL37,1)="1",AL37-7,AL37-1)</f>
        <v>20223</v>
      </c>
      <c r="AM36" s="15"/>
      <c r="AN36" s="16">
        <v>911794.99416666664</v>
      </c>
      <c r="AO36" s="16">
        <v>5234</v>
      </c>
      <c r="AP36" s="16">
        <v>8016</v>
      </c>
      <c r="AQ36" s="16">
        <v>61139559.960000001</v>
      </c>
      <c r="AR36" s="16">
        <v>61994113.969999999</v>
      </c>
      <c r="AS36" s="13"/>
      <c r="AT36" s="33">
        <f t="shared" si="65"/>
        <v>3612921.8816666664</v>
      </c>
      <c r="AU36" s="33">
        <f t="shared" si="66"/>
        <v>20360</v>
      </c>
      <c r="AV36" s="33">
        <f t="shared" si="67"/>
        <v>30726</v>
      </c>
      <c r="AW36" s="33">
        <f t="shared" si="68"/>
        <v>228730450.22</v>
      </c>
      <c r="AX36" s="33">
        <f t="shared" si="69"/>
        <v>230574234.65000001</v>
      </c>
      <c r="AY36" s="13"/>
      <c r="AZ36" s="55">
        <f t="shared" si="70"/>
        <v>0.56353280438512521</v>
      </c>
      <c r="BA36" s="55">
        <f t="shared" si="71"/>
        <v>0.85044739427983085</v>
      </c>
      <c r="BB36" s="56">
        <f t="shared" si="72"/>
        <v>11234.305020628684</v>
      </c>
      <c r="BC36" s="56">
        <f t="shared" si="73"/>
        <v>11324.864177308447</v>
      </c>
      <c r="BD36" s="31">
        <f>IF(RIGHT(BD37,1)="1",BD37-7,BD37-1)</f>
        <v>20223</v>
      </c>
      <c r="BE36" s="15"/>
      <c r="BF36" s="16">
        <v>847517.01750000007</v>
      </c>
      <c r="BG36" s="16">
        <v>35911</v>
      </c>
      <c r="BH36" s="16">
        <v>66026</v>
      </c>
      <c r="BI36" s="16">
        <v>99388048.409999996</v>
      </c>
      <c r="BJ36" s="16">
        <v>100940690.77</v>
      </c>
      <c r="BK36" s="13"/>
      <c r="BL36" s="33">
        <f t="shared" si="74"/>
        <v>3349235.4425000004</v>
      </c>
      <c r="BM36" s="33">
        <f t="shared" si="75"/>
        <v>132668</v>
      </c>
      <c r="BN36" s="33">
        <f t="shared" si="76"/>
        <v>240891</v>
      </c>
      <c r="BO36" s="33">
        <f t="shared" si="77"/>
        <v>363819540.15999997</v>
      </c>
      <c r="BP36" s="33">
        <f t="shared" si="78"/>
        <v>372496121.67000002</v>
      </c>
      <c r="BQ36" s="13"/>
      <c r="BR36" s="55">
        <f t="shared" si="79"/>
        <v>3.9611428422294317</v>
      </c>
      <c r="BS36" s="55">
        <f t="shared" si="80"/>
        <v>7.1924176169648302</v>
      </c>
      <c r="BT36" s="56">
        <f t="shared" si="81"/>
        <v>2742.3307818011876</v>
      </c>
      <c r="BU36" s="56">
        <f t="shared" si="82"/>
        <v>2807.7314926734407</v>
      </c>
      <c r="BV36" s="31">
        <f>IF(RIGHT(BV37,1)="1",BV37-7,BV37-1)</f>
        <v>20223</v>
      </c>
      <c r="BW36" s="15"/>
      <c r="BX36" s="16">
        <v>818206.96583333332</v>
      </c>
      <c r="BY36" s="16">
        <v>49756</v>
      </c>
      <c r="BZ36" s="16">
        <v>90128</v>
      </c>
      <c r="CA36" s="16">
        <v>290641052.31999999</v>
      </c>
      <c r="CB36" s="16">
        <v>330954608.75</v>
      </c>
      <c r="CC36" s="13"/>
      <c r="CD36" s="33">
        <f t="shared" si="83"/>
        <v>3231682.9616666664</v>
      </c>
      <c r="CE36" s="33">
        <f t="shared" si="84"/>
        <v>193519</v>
      </c>
      <c r="CF36" s="33">
        <f t="shared" si="85"/>
        <v>343933</v>
      </c>
      <c r="CG36" s="33">
        <f t="shared" si="86"/>
        <v>1133507092.1700001</v>
      </c>
      <c r="CH36" s="33">
        <f t="shared" si="87"/>
        <v>1181534992.6499999</v>
      </c>
      <c r="CI36" s="13"/>
      <c r="CJ36" s="55">
        <f t="shared" si="88"/>
        <v>5.9881802236008017</v>
      </c>
      <c r="CK36" s="55">
        <f t="shared" si="89"/>
        <v>10.642535300635569</v>
      </c>
      <c r="CL36" s="56">
        <f t="shared" si="90"/>
        <v>5857.342649403935</v>
      </c>
      <c r="CM36" s="56">
        <f t="shared" si="91"/>
        <v>6105.5244841591775</v>
      </c>
      <c r="CN36" s="31">
        <f>IF(RIGHT(CN37,1)="1",CN37-7,CN37-1)</f>
        <v>20223</v>
      </c>
      <c r="CO36" s="15"/>
      <c r="CP36" s="16">
        <v>1043890.0125</v>
      </c>
      <c r="CQ36" s="16">
        <v>74588</v>
      </c>
      <c r="CR36" s="16">
        <v>103144</v>
      </c>
      <c r="CS36" s="16">
        <v>17725977.359999999</v>
      </c>
      <c r="CT36" s="16">
        <v>18587217.959999979</v>
      </c>
      <c r="CU36" s="13"/>
      <c r="CV36" s="33">
        <f t="shared" si="92"/>
        <v>4111099.4383333335</v>
      </c>
      <c r="CW36" s="33">
        <f t="shared" si="93"/>
        <v>293905</v>
      </c>
      <c r="CX36" s="33">
        <f t="shared" si="94"/>
        <v>397218</v>
      </c>
      <c r="CY36" s="33">
        <f t="shared" si="95"/>
        <v>67166509.569999993</v>
      </c>
      <c r="CZ36" s="33">
        <f t="shared" si="96"/>
        <v>67746681.749999925</v>
      </c>
      <c r="DA36" s="13"/>
      <c r="DB36" s="55">
        <f t="shared" si="97"/>
        <v>7.1490608390428774</v>
      </c>
      <c r="DC36" s="55">
        <f t="shared" si="98"/>
        <v>9.6620868932577988</v>
      </c>
      <c r="DD36" s="56">
        <f t="shared" si="99"/>
        <v>228.5313607117946</v>
      </c>
      <c r="DE36" s="56">
        <f t="shared" si="100"/>
        <v>230.5053733349209</v>
      </c>
      <c r="DF36" s="31">
        <f>IF(RIGHT(DF37,1)="1",DF37-7,DF37-1)</f>
        <v>20223</v>
      </c>
      <c r="DG36" s="15"/>
      <c r="DH36" s="16">
        <v>56692.342499999999</v>
      </c>
      <c r="DI36" s="16">
        <v>7</v>
      </c>
      <c r="DJ36" s="16">
        <v>12</v>
      </c>
      <c r="DK36" s="16">
        <v>111225</v>
      </c>
      <c r="DL36" s="16">
        <v>91750</v>
      </c>
      <c r="DM36" s="13"/>
      <c r="DN36" s="33">
        <f t="shared" si="101"/>
        <v>224714.23250000001</v>
      </c>
      <c r="DO36" s="33">
        <f t="shared" si="102"/>
        <v>21</v>
      </c>
      <c r="DP36" s="33">
        <f t="shared" si="103"/>
        <v>36</v>
      </c>
      <c r="DQ36" s="33">
        <f t="shared" si="104"/>
        <v>308725</v>
      </c>
      <c r="DR36" s="33">
        <f t="shared" si="105"/>
        <v>280550</v>
      </c>
      <c r="DS36" s="13"/>
      <c r="DT36" s="55">
        <f t="shared" si="106"/>
        <v>9.3452024673159051E-3</v>
      </c>
      <c r="DU36" s="55">
        <f t="shared" si="107"/>
        <v>1.6020347086827265E-2</v>
      </c>
      <c r="DV36" s="56">
        <f t="shared" si="108"/>
        <v>14701.190476190477</v>
      </c>
      <c r="DW36" s="56">
        <f t="shared" si="109"/>
        <v>13359.523809523809</v>
      </c>
      <c r="DX36" s="31">
        <f>IF(RIGHT(DX37,1)="1",DX37-7,DX37-1)</f>
        <v>20223</v>
      </c>
      <c r="DY36" s="15"/>
      <c r="DZ36" s="16"/>
      <c r="EA36" s="16"/>
      <c r="EB36" s="16"/>
      <c r="EC36" s="16"/>
      <c r="ED36" s="16"/>
      <c r="EE36" s="13"/>
      <c r="EF36" s="33" t="str">
        <f t="shared" si="110"/>
        <v/>
      </c>
      <c r="EG36" s="33" t="str">
        <f t="shared" si="111"/>
        <v/>
      </c>
      <c r="EH36" s="33" t="str">
        <f t="shared" si="112"/>
        <v/>
      </c>
      <c r="EI36" s="33" t="str">
        <f t="shared" si="113"/>
        <v/>
      </c>
      <c r="EJ36" s="33" t="str">
        <f t="shared" si="114"/>
        <v/>
      </c>
      <c r="EK36" s="13"/>
      <c r="EL36" s="55">
        <f t="shared" si="115"/>
        <v>0</v>
      </c>
      <c r="EM36" s="55">
        <f t="shared" si="116"/>
        <v>0</v>
      </c>
      <c r="EN36" s="56">
        <f t="shared" si="117"/>
        <v>0</v>
      </c>
      <c r="EO36" s="56">
        <f t="shared" si="118"/>
        <v>0</v>
      </c>
      <c r="EP36" s="31">
        <f>IF(RIGHT(EP37,1)="1",EP37-7,EP37-1)</f>
        <v>20223</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20223</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20224</v>
      </c>
      <c r="C37" s="6"/>
      <c r="D37" s="16">
        <v>939206.83583333332</v>
      </c>
      <c r="E37" s="16">
        <v>29950</v>
      </c>
      <c r="F37" s="16">
        <v>69179</v>
      </c>
      <c r="G37" s="16">
        <v>324744232.17000002</v>
      </c>
      <c r="H37" s="16">
        <v>391790250.44000012</v>
      </c>
      <c r="I37" s="13"/>
      <c r="J37" s="33">
        <f t="shared" si="47"/>
        <v>3701940.416666667</v>
      </c>
      <c r="K37" s="33">
        <f t="shared" si="48"/>
        <v>121040</v>
      </c>
      <c r="L37" s="33">
        <f t="shared" si="49"/>
        <v>271054</v>
      </c>
      <c r="M37" s="33">
        <f t="shared" si="50"/>
        <v>1217445668.1800001</v>
      </c>
      <c r="N37" s="33">
        <f t="shared" si="51"/>
        <v>1308036764.8499999</v>
      </c>
      <c r="O37" s="13"/>
      <c r="P37" s="55">
        <f t="shared" si="52"/>
        <v>3.2696366331305753</v>
      </c>
      <c r="Q37" s="55">
        <f t="shared" si="53"/>
        <v>7.3219438859598061</v>
      </c>
      <c r="R37" s="56">
        <f t="shared" si="54"/>
        <v>10058.209419861203</v>
      </c>
      <c r="S37" s="56">
        <f t="shared" si="55"/>
        <v>10806.64875123926</v>
      </c>
      <c r="T37" s="31">
        <f>$B$37</f>
        <v>20224</v>
      </c>
      <c r="U37" s="6"/>
      <c r="V37" s="16">
        <v>529018.3716666667</v>
      </c>
      <c r="W37" s="16">
        <v>2963</v>
      </c>
      <c r="X37" s="16">
        <v>8996</v>
      </c>
      <c r="Y37" s="16">
        <v>14991051.310000001</v>
      </c>
      <c r="Z37" s="16">
        <v>19533211.499999989</v>
      </c>
      <c r="AA37" s="13"/>
      <c r="AB37" s="33">
        <f t="shared" si="56"/>
        <v>2089086.3066666666</v>
      </c>
      <c r="AC37" s="33">
        <f t="shared" si="57"/>
        <v>11686</v>
      </c>
      <c r="AD37" s="33">
        <f t="shared" si="58"/>
        <v>33611</v>
      </c>
      <c r="AE37" s="33">
        <f t="shared" si="59"/>
        <v>60708587.330000006</v>
      </c>
      <c r="AF37" s="33">
        <f t="shared" si="60"/>
        <v>68883674.749999985</v>
      </c>
      <c r="AG37" s="13"/>
      <c r="AH37" s="55">
        <f t="shared" si="61"/>
        <v>0.55938330372985456</v>
      </c>
      <c r="AI37" s="55">
        <f t="shared" si="62"/>
        <v>1.6088851807003373</v>
      </c>
      <c r="AJ37" s="56">
        <f t="shared" si="63"/>
        <v>5194.9843684750986</v>
      </c>
      <c r="AK37" s="56">
        <f t="shared" si="64"/>
        <v>5894.5468723258591</v>
      </c>
      <c r="AL37" s="31">
        <f>$B$37</f>
        <v>20224</v>
      </c>
      <c r="AM37" s="6"/>
      <c r="AN37" s="16">
        <v>923832.40499999991</v>
      </c>
      <c r="AO37" s="16">
        <v>4978</v>
      </c>
      <c r="AP37" s="16">
        <v>7744</v>
      </c>
      <c r="AQ37" s="16">
        <v>59108306.490000002</v>
      </c>
      <c r="AR37" s="16">
        <v>63596885.610000014</v>
      </c>
      <c r="AS37" s="13"/>
      <c r="AT37" s="33">
        <f t="shared" si="65"/>
        <v>3639880.6199999996</v>
      </c>
      <c r="AU37" s="33">
        <f t="shared" si="66"/>
        <v>20428</v>
      </c>
      <c r="AV37" s="33">
        <f t="shared" si="67"/>
        <v>31104</v>
      </c>
      <c r="AW37" s="33">
        <f t="shared" si="68"/>
        <v>235097912.5</v>
      </c>
      <c r="AX37" s="33">
        <f t="shared" si="69"/>
        <v>243731443.88</v>
      </c>
      <c r="AY37" s="13"/>
      <c r="AZ37" s="55">
        <f t="shared" si="70"/>
        <v>0.5612271976106733</v>
      </c>
      <c r="BA37" s="55">
        <f t="shared" si="71"/>
        <v>0.85453352038781982</v>
      </c>
      <c r="BB37" s="56">
        <f t="shared" si="72"/>
        <v>11508.611342275308</v>
      </c>
      <c r="BC37" s="56">
        <f t="shared" si="73"/>
        <v>11931.243581358918</v>
      </c>
      <c r="BD37" s="31">
        <f>$B$37</f>
        <v>20224</v>
      </c>
      <c r="BE37" s="6"/>
      <c r="BF37" s="16">
        <v>859821.48166666657</v>
      </c>
      <c r="BG37" s="16">
        <v>33969</v>
      </c>
      <c r="BH37" s="16">
        <v>60139</v>
      </c>
      <c r="BI37" s="16">
        <v>101186289.69</v>
      </c>
      <c r="BJ37" s="16">
        <v>104975171.85999995</v>
      </c>
      <c r="BK37" s="13"/>
      <c r="BL37" s="33">
        <f t="shared" si="74"/>
        <v>3380125.3858333332</v>
      </c>
      <c r="BM37" s="33">
        <f t="shared" si="75"/>
        <v>136738</v>
      </c>
      <c r="BN37" s="33">
        <f t="shared" si="76"/>
        <v>247150</v>
      </c>
      <c r="BO37" s="33">
        <f t="shared" si="77"/>
        <v>387168828.87</v>
      </c>
      <c r="BP37" s="33">
        <f t="shared" si="78"/>
        <v>394026001.98999995</v>
      </c>
      <c r="BQ37" s="13"/>
      <c r="BR37" s="55">
        <f t="shared" si="79"/>
        <v>4.0453528905493172</v>
      </c>
      <c r="BS37" s="55">
        <f t="shared" si="80"/>
        <v>7.3118589338681534</v>
      </c>
      <c r="BT37" s="56">
        <f t="shared" si="81"/>
        <v>2831.4647637818312</v>
      </c>
      <c r="BU37" s="56">
        <f t="shared" si="82"/>
        <v>2881.6130262984684</v>
      </c>
      <c r="BV37" s="31">
        <f>$B$37</f>
        <v>20224</v>
      </c>
      <c r="BW37" s="6"/>
      <c r="BX37" s="16">
        <v>830433.61833333329</v>
      </c>
      <c r="BY37" s="16">
        <v>50084</v>
      </c>
      <c r="BZ37" s="16">
        <v>91623</v>
      </c>
      <c r="CA37" s="16">
        <v>316331199.81999999</v>
      </c>
      <c r="CB37" s="16">
        <v>389890370.21999991</v>
      </c>
      <c r="CC37" s="13"/>
      <c r="CD37" s="33">
        <f t="shared" si="83"/>
        <v>3262732.6533333329</v>
      </c>
      <c r="CE37" s="33">
        <f t="shared" si="84"/>
        <v>198528</v>
      </c>
      <c r="CF37" s="33">
        <f t="shared" si="85"/>
        <v>351420</v>
      </c>
      <c r="CG37" s="33">
        <f t="shared" si="86"/>
        <v>1197936352.4099998</v>
      </c>
      <c r="CH37" s="33">
        <f t="shared" si="87"/>
        <v>1323361957.0199995</v>
      </c>
      <c r="CI37" s="13"/>
      <c r="CJ37" s="55">
        <f t="shared" si="88"/>
        <v>6.0847155159089175</v>
      </c>
      <c r="CK37" s="55">
        <f t="shared" si="89"/>
        <v>10.770726177671218</v>
      </c>
      <c r="CL37" s="56">
        <f t="shared" si="90"/>
        <v>6034.0926842057534</v>
      </c>
      <c r="CM37" s="56">
        <f t="shared" si="91"/>
        <v>6665.8705926619896</v>
      </c>
      <c r="CN37" s="31">
        <f>$B$37</f>
        <v>20224</v>
      </c>
      <c r="CO37" s="6"/>
      <c r="CP37" s="16">
        <v>1063292.1741666668</v>
      </c>
      <c r="CQ37" s="16">
        <v>80640</v>
      </c>
      <c r="CR37" s="16">
        <v>105391</v>
      </c>
      <c r="CS37" s="16">
        <v>19908047.789999999</v>
      </c>
      <c r="CT37" s="16">
        <v>21554528.810000006</v>
      </c>
      <c r="CU37" s="13"/>
      <c r="CV37" s="33">
        <f t="shared" si="92"/>
        <v>4160078.8925000005</v>
      </c>
      <c r="CW37" s="33">
        <f t="shared" si="93"/>
        <v>297866</v>
      </c>
      <c r="CX37" s="33">
        <f t="shared" si="94"/>
        <v>400657</v>
      </c>
      <c r="CY37" s="33">
        <f t="shared" si="95"/>
        <v>71138707.870000005</v>
      </c>
      <c r="CZ37" s="33">
        <f t="shared" si="96"/>
        <v>73804480.259999946</v>
      </c>
      <c r="DA37" s="13"/>
      <c r="DB37" s="55">
        <f t="shared" si="97"/>
        <v>7.1601045965019514</v>
      </c>
      <c r="DC37" s="55">
        <f t="shared" si="98"/>
        <v>9.6309952371894827</v>
      </c>
      <c r="DD37" s="56">
        <f t="shared" si="99"/>
        <v>238.82788861434338</v>
      </c>
      <c r="DE37" s="56">
        <f t="shared" si="100"/>
        <v>247.77745785017405</v>
      </c>
      <c r="DF37" s="31">
        <f>$B$37</f>
        <v>20224</v>
      </c>
      <c r="DG37" s="6"/>
      <c r="DH37" s="16">
        <v>57470.159999999996</v>
      </c>
      <c r="DI37" s="16">
        <v>7</v>
      </c>
      <c r="DJ37" s="16">
        <v>10</v>
      </c>
      <c r="DK37" s="16">
        <v>96400</v>
      </c>
      <c r="DL37" s="16">
        <v>80250</v>
      </c>
      <c r="DM37" s="13"/>
      <c r="DN37" s="33">
        <f t="shared" si="101"/>
        <v>226423.87333333332</v>
      </c>
      <c r="DO37" s="33">
        <f t="shared" si="102"/>
        <v>23</v>
      </c>
      <c r="DP37" s="33">
        <f t="shared" si="103"/>
        <v>38</v>
      </c>
      <c r="DQ37" s="33">
        <f t="shared" si="104"/>
        <v>353625</v>
      </c>
      <c r="DR37" s="33">
        <f t="shared" si="105"/>
        <v>327250</v>
      </c>
      <c r="DS37" s="13"/>
      <c r="DT37" s="55">
        <f t="shared" si="106"/>
        <v>1.0157939470516963E-2</v>
      </c>
      <c r="DU37" s="55">
        <f t="shared" si="107"/>
        <v>1.6782682603462811E-2</v>
      </c>
      <c r="DV37" s="56">
        <f t="shared" si="108"/>
        <v>15375</v>
      </c>
      <c r="DW37" s="56">
        <f t="shared" si="109"/>
        <v>14228.260869565218</v>
      </c>
      <c r="DX37" s="31">
        <f>$B$37</f>
        <v>20224</v>
      </c>
      <c r="DY37" s="6"/>
      <c r="DZ37" s="16"/>
      <c r="EA37" s="16"/>
      <c r="EB37" s="16"/>
      <c r="EC37" s="16"/>
      <c r="ED37" s="16"/>
      <c r="EE37" s="13"/>
      <c r="EF37" s="33" t="str">
        <f t="shared" si="110"/>
        <v/>
      </c>
      <c r="EG37" s="33" t="str">
        <f t="shared" si="111"/>
        <v/>
      </c>
      <c r="EH37" s="33" t="str">
        <f t="shared" si="112"/>
        <v/>
      </c>
      <c r="EI37" s="33" t="str">
        <f t="shared" si="113"/>
        <v/>
      </c>
      <c r="EJ37" s="33" t="str">
        <f t="shared" si="114"/>
        <v/>
      </c>
      <c r="EK37" s="13"/>
      <c r="EL37" s="55">
        <f t="shared" si="115"/>
        <v>0</v>
      </c>
      <c r="EM37" s="55">
        <f t="shared" si="116"/>
        <v>0</v>
      </c>
      <c r="EN37" s="56">
        <f t="shared" si="117"/>
        <v>0</v>
      </c>
      <c r="EO37" s="56">
        <f t="shared" si="118"/>
        <v>0</v>
      </c>
      <c r="EP37" s="31">
        <f>$B$37</f>
        <v>20224</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20224</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190</v>
      </c>
      <c r="V38" t="s">
        <v>190</v>
      </c>
      <c r="AN38" t="s">
        <v>190</v>
      </c>
      <c r="BF38" t="s">
        <v>190</v>
      </c>
      <c r="BX38" t="s">
        <v>190</v>
      </c>
      <c r="CP38" t="s">
        <v>190</v>
      </c>
      <c r="DH38" t="s">
        <v>190</v>
      </c>
      <c r="DZ38" t="s">
        <v>190</v>
      </c>
      <c r="ER38" t="s">
        <v>190</v>
      </c>
      <c r="FJ38" t="s">
        <v>190</v>
      </c>
    </row>
    <row r="39" spans="1:181" ht="15.75" thickBot="1" x14ac:dyDescent="0.3">
      <c r="B39" s="135"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
      </c>
      <c r="J39" s="54"/>
      <c r="K39" s="54"/>
      <c r="L39" s="54"/>
      <c r="M39" s="54"/>
      <c r="N39" s="216" t="s">
        <v>168</v>
      </c>
      <c r="O39" s="214"/>
      <c r="P39" s="215"/>
      <c r="Q39" s="73"/>
      <c r="R39" s="73"/>
      <c r="S39" s="74"/>
      <c r="T39" s="135"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B39" s="54"/>
      <c r="AC39" s="54"/>
      <c r="AD39" s="54"/>
      <c r="AE39" s="54"/>
      <c r="AF39" s="216" t="s">
        <v>168</v>
      </c>
      <c r="AG39" s="214"/>
      <c r="AH39" s="215"/>
      <c r="AI39" s="73"/>
      <c r="AJ39" s="73"/>
      <c r="AK39" s="74"/>
      <c r="AL39" s="135"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T39" s="60"/>
      <c r="AU39" s="60"/>
      <c r="AV39" s="60"/>
      <c r="AW39" s="60"/>
      <c r="AX39" s="216" t="s">
        <v>168</v>
      </c>
      <c r="AY39" s="214"/>
      <c r="AZ39" s="215"/>
      <c r="BA39" s="73"/>
      <c r="BB39" s="73"/>
      <c r="BC39" s="74"/>
      <c r="BD39" s="135"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60"/>
      <c r="BM39" s="60"/>
      <c r="BN39" s="60"/>
      <c r="BO39" s="60"/>
      <c r="BP39" s="216" t="s">
        <v>168</v>
      </c>
      <c r="BQ39" s="214"/>
      <c r="BR39" s="215"/>
      <c r="BS39" s="73"/>
      <c r="BT39" s="73"/>
      <c r="BU39" s="74"/>
      <c r="BV39" s="135"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54"/>
      <c r="CE39" s="54"/>
      <c r="CF39" s="54"/>
      <c r="CG39" s="54"/>
      <c r="CH39" s="216" t="s">
        <v>168</v>
      </c>
      <c r="CI39" s="214"/>
      <c r="CJ39" s="215"/>
      <c r="CK39" s="73"/>
      <c r="CL39" s="73"/>
      <c r="CM39" s="74"/>
      <c r="CN39" s="135"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54"/>
      <c r="CW39" s="54"/>
      <c r="CX39" s="54"/>
      <c r="CY39" s="54"/>
      <c r="CZ39" s="216" t="s">
        <v>168</v>
      </c>
      <c r="DA39" s="214"/>
      <c r="DB39" s="215"/>
      <c r="DC39" s="73"/>
      <c r="DD39" s="73"/>
      <c r="DE39" s="74"/>
      <c r="DF39" s="135"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60"/>
      <c r="DO39" s="60"/>
      <c r="DP39" s="60"/>
      <c r="DQ39" s="60"/>
      <c r="DR39" s="216" t="s">
        <v>168</v>
      </c>
      <c r="DS39" s="214"/>
      <c r="DT39" s="215"/>
      <c r="DU39" s="73"/>
      <c r="DV39" s="73"/>
      <c r="DW39" s="74"/>
      <c r="DX39" s="135"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79"/>
      <c r="EG39" s="79"/>
      <c r="EH39" s="79"/>
      <c r="EI39" s="79"/>
      <c r="EJ39" s="216" t="s">
        <v>168</v>
      </c>
      <c r="EK39" s="214"/>
      <c r="EL39" s="215"/>
      <c r="EM39" s="73"/>
      <c r="EN39" s="73"/>
      <c r="EO39" s="74"/>
      <c r="EP39" s="135"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78"/>
      <c r="EY39" s="78"/>
      <c r="EZ39" s="78"/>
      <c r="FA39" s="78"/>
      <c r="FB39" s="216" t="s">
        <v>168</v>
      </c>
      <c r="FC39" s="214"/>
      <c r="FD39" s="215"/>
      <c r="FE39" s="73"/>
      <c r="FF39" s="73"/>
      <c r="FG39" s="74"/>
      <c r="FH39" s="135"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54"/>
      <c r="FQ39" s="54"/>
      <c r="FR39" s="54"/>
      <c r="FS39" s="54"/>
      <c r="FT39" s="216" t="s">
        <v>168</v>
      </c>
      <c r="FU39" s="214"/>
      <c r="FV39" s="215"/>
      <c r="FW39" s="73"/>
      <c r="FX39" s="73"/>
      <c r="FY39" s="74"/>
    </row>
    <row r="40" spans="1:181" ht="45" x14ac:dyDescent="0.25">
      <c r="B40" s="61" t="s">
        <v>12</v>
      </c>
      <c r="C40" s="25"/>
      <c r="D40" s="23" t="s">
        <v>8</v>
      </c>
      <c r="E40" s="62" t="s">
        <v>31</v>
      </c>
      <c r="F40" s="65" t="s">
        <v>170</v>
      </c>
      <c r="G40" s="64" t="s">
        <v>32</v>
      </c>
      <c r="H40" s="66" t="s">
        <v>34</v>
      </c>
      <c r="J40" s="54"/>
      <c r="K40" s="54"/>
      <c r="L40" s="54"/>
      <c r="M40" s="54"/>
      <c r="N40" s="213"/>
      <c r="O40" s="4"/>
      <c r="P40" s="57" t="s">
        <v>24</v>
      </c>
      <c r="Q40" s="57" t="s">
        <v>25</v>
      </c>
      <c r="R40" s="57" t="s">
        <v>26</v>
      </c>
      <c r="S40" s="76" t="s">
        <v>169</v>
      </c>
      <c r="T40" s="61" t="s">
        <v>12</v>
      </c>
      <c r="U40" s="25"/>
      <c r="V40" s="23" t="s">
        <v>9</v>
      </c>
      <c r="W40" s="62" t="s">
        <v>31</v>
      </c>
      <c r="X40" s="65" t="s">
        <v>170</v>
      </c>
      <c r="Y40" s="64" t="s">
        <v>32</v>
      </c>
      <c r="Z40" s="66" t="s">
        <v>34</v>
      </c>
      <c r="AB40" s="54"/>
      <c r="AC40" s="54"/>
      <c r="AD40" s="54"/>
      <c r="AE40" s="54"/>
      <c r="AF40" s="213"/>
      <c r="AG40" s="4"/>
      <c r="AH40" s="57" t="s">
        <v>24</v>
      </c>
      <c r="AI40" s="57" t="s">
        <v>25</v>
      </c>
      <c r="AJ40" s="57" t="s">
        <v>26</v>
      </c>
      <c r="AK40" s="76" t="s">
        <v>169</v>
      </c>
      <c r="AL40" s="61" t="s">
        <v>12</v>
      </c>
      <c r="AM40" s="25"/>
      <c r="AN40" s="23" t="s">
        <v>9</v>
      </c>
      <c r="AO40" s="62" t="s">
        <v>31</v>
      </c>
      <c r="AP40" s="65" t="s">
        <v>170</v>
      </c>
      <c r="AQ40" s="64" t="s">
        <v>32</v>
      </c>
      <c r="AR40" s="66" t="s">
        <v>34</v>
      </c>
      <c r="AT40" s="60"/>
      <c r="AU40" s="60"/>
      <c r="AV40" s="60"/>
      <c r="AW40" s="60"/>
      <c r="AX40" s="213"/>
      <c r="AY40" s="4"/>
      <c r="AZ40" s="57" t="s">
        <v>24</v>
      </c>
      <c r="BA40" s="57" t="s">
        <v>25</v>
      </c>
      <c r="BB40" s="57" t="s">
        <v>26</v>
      </c>
      <c r="BC40" s="76" t="s">
        <v>169</v>
      </c>
      <c r="BD40" s="61" t="s">
        <v>12</v>
      </c>
      <c r="BE40" s="25"/>
      <c r="BF40" s="23" t="s">
        <v>9</v>
      </c>
      <c r="BG40" s="62" t="s">
        <v>31</v>
      </c>
      <c r="BH40" s="65" t="s">
        <v>170</v>
      </c>
      <c r="BI40" s="64" t="s">
        <v>32</v>
      </c>
      <c r="BJ40" s="66" t="s">
        <v>34</v>
      </c>
      <c r="BL40" s="60"/>
      <c r="BM40" s="60"/>
      <c r="BN40" s="60"/>
      <c r="BO40" s="60"/>
      <c r="BP40" s="213"/>
      <c r="BQ40" s="4"/>
      <c r="BR40" s="57" t="s">
        <v>24</v>
      </c>
      <c r="BS40" s="57" t="s">
        <v>25</v>
      </c>
      <c r="BT40" s="57" t="s">
        <v>26</v>
      </c>
      <c r="BU40" s="76" t="s">
        <v>169</v>
      </c>
      <c r="BV40" s="61" t="s">
        <v>12</v>
      </c>
      <c r="BW40" s="25"/>
      <c r="BX40" s="23" t="s">
        <v>9</v>
      </c>
      <c r="BY40" s="62" t="s">
        <v>31</v>
      </c>
      <c r="BZ40" s="65" t="s">
        <v>170</v>
      </c>
      <c r="CA40" s="64" t="s">
        <v>32</v>
      </c>
      <c r="CB40" s="66" t="s">
        <v>34</v>
      </c>
      <c r="CD40" s="54"/>
      <c r="CE40" s="54"/>
      <c r="CF40" s="54"/>
      <c r="CG40" s="54"/>
      <c r="CH40" s="213"/>
      <c r="CI40" s="4"/>
      <c r="CJ40" s="57" t="s">
        <v>24</v>
      </c>
      <c r="CK40" s="57" t="s">
        <v>25</v>
      </c>
      <c r="CL40" s="57" t="s">
        <v>26</v>
      </c>
      <c r="CM40" s="76" t="s">
        <v>169</v>
      </c>
      <c r="CN40" s="61" t="s">
        <v>12</v>
      </c>
      <c r="CO40" s="25"/>
      <c r="CP40" s="23" t="s">
        <v>9</v>
      </c>
      <c r="CQ40" s="62" t="s">
        <v>31</v>
      </c>
      <c r="CR40" s="65" t="s">
        <v>170</v>
      </c>
      <c r="CS40" s="64" t="s">
        <v>32</v>
      </c>
      <c r="CT40" s="66" t="s">
        <v>34</v>
      </c>
      <c r="CV40" s="54"/>
      <c r="CW40" s="54"/>
      <c r="CX40" s="54"/>
      <c r="CY40" s="54"/>
      <c r="CZ40" s="213"/>
      <c r="DA40" s="4"/>
      <c r="DB40" s="57" t="s">
        <v>24</v>
      </c>
      <c r="DC40" s="57" t="s">
        <v>25</v>
      </c>
      <c r="DD40" s="57" t="s">
        <v>26</v>
      </c>
      <c r="DE40" s="76" t="s">
        <v>169</v>
      </c>
      <c r="DF40" s="61" t="s">
        <v>12</v>
      </c>
      <c r="DG40" s="25"/>
      <c r="DH40" s="23" t="s">
        <v>11</v>
      </c>
      <c r="DI40" s="62" t="s">
        <v>31</v>
      </c>
      <c r="DJ40" s="65" t="s">
        <v>170</v>
      </c>
      <c r="DK40" s="64" t="s">
        <v>32</v>
      </c>
      <c r="DL40" s="66" t="s">
        <v>34</v>
      </c>
      <c r="DN40" s="60"/>
      <c r="DO40" s="60"/>
      <c r="DP40" s="60"/>
      <c r="DQ40" s="60"/>
      <c r="DR40" s="213"/>
      <c r="DS40" s="4"/>
      <c r="DT40" s="57" t="s">
        <v>24</v>
      </c>
      <c r="DU40" s="57" t="s">
        <v>25</v>
      </c>
      <c r="DV40" s="57" t="s">
        <v>26</v>
      </c>
      <c r="DW40" s="76" t="s">
        <v>169</v>
      </c>
      <c r="DX40" s="61" t="s">
        <v>12</v>
      </c>
      <c r="DY40" s="25"/>
      <c r="DZ40" s="23"/>
      <c r="EA40" s="62" t="s">
        <v>31</v>
      </c>
      <c r="EB40" s="65" t="s">
        <v>170</v>
      </c>
      <c r="EC40" s="64" t="s">
        <v>32</v>
      </c>
      <c r="ED40" s="66" t="s">
        <v>34</v>
      </c>
      <c r="EF40" s="79"/>
      <c r="EG40" s="79"/>
      <c r="EH40" s="79"/>
      <c r="EI40" s="79"/>
      <c r="EJ40" s="213"/>
      <c r="EK40" s="4"/>
      <c r="EL40" s="57" t="s">
        <v>24</v>
      </c>
      <c r="EM40" s="57" t="s">
        <v>25</v>
      </c>
      <c r="EN40" s="57" t="s">
        <v>26</v>
      </c>
      <c r="EO40" s="76" t="s">
        <v>169</v>
      </c>
      <c r="EP40" s="61" t="s">
        <v>12</v>
      </c>
      <c r="EQ40" s="25"/>
      <c r="ER40" s="23"/>
      <c r="ES40" s="62" t="s">
        <v>31</v>
      </c>
      <c r="ET40" s="65" t="s">
        <v>170</v>
      </c>
      <c r="EU40" s="64" t="s">
        <v>32</v>
      </c>
      <c r="EV40" s="66" t="s">
        <v>34</v>
      </c>
      <c r="EX40" s="78"/>
      <c r="EY40" s="78"/>
      <c r="EZ40" s="78"/>
      <c r="FA40" s="78"/>
      <c r="FB40" s="213"/>
      <c r="FC40" s="4"/>
      <c r="FD40" s="57" t="s">
        <v>24</v>
      </c>
      <c r="FE40" s="57" t="s">
        <v>25</v>
      </c>
      <c r="FF40" s="57" t="s">
        <v>26</v>
      </c>
      <c r="FG40" s="76" t="s">
        <v>169</v>
      </c>
      <c r="FH40" s="61" t="s">
        <v>12</v>
      </c>
      <c r="FI40" s="25"/>
      <c r="FJ40" s="23"/>
      <c r="FK40" s="62" t="s">
        <v>31</v>
      </c>
      <c r="FL40" s="65" t="s">
        <v>170</v>
      </c>
      <c r="FM40" s="64" t="s">
        <v>32</v>
      </c>
      <c r="FN40" s="66" t="s">
        <v>34</v>
      </c>
      <c r="FP40" s="54"/>
      <c r="FQ40" s="54"/>
      <c r="FR40" s="54"/>
      <c r="FS40" s="54"/>
      <c r="FT40" s="213"/>
      <c r="FU40" s="4"/>
      <c r="FV40" s="57" t="s">
        <v>24</v>
      </c>
      <c r="FW40" s="57" t="s">
        <v>25</v>
      </c>
      <c r="FX40" s="57" t="s">
        <v>26</v>
      </c>
      <c r="FY40" s="76" t="s">
        <v>169</v>
      </c>
    </row>
    <row r="41" spans="1:181" x14ac:dyDescent="0.25">
      <c r="B41" s="17" t="s">
        <v>29</v>
      </c>
      <c r="D41" s="23" t="s">
        <v>247</v>
      </c>
      <c r="E41" s="36">
        <f>IF(D$41="Closed",VLOOKUP(D$40,$N$41:$S$45,3,FALSE),VLOOKUP(D$40,$N$41:$S$45,4,FALSE))</f>
        <v>-2.8438922058565574E-2</v>
      </c>
      <c r="F41" s="126"/>
      <c r="G41" s="126"/>
      <c r="H41" s="126"/>
      <c r="J41" s="54"/>
      <c r="K41" s="54"/>
      <c r="L41" s="54"/>
      <c r="M41" s="54"/>
      <c r="N41" s="77" t="s">
        <v>7</v>
      </c>
      <c r="O41" s="4"/>
      <c r="P41" s="78">
        <f>LOGEST(P30:P$37)^4-1</f>
        <v>0.13530594936103713</v>
      </c>
      <c r="Q41" s="78">
        <f>LOGEST(Q30:Q$37)^4-1</f>
        <v>0.1718904847688103</v>
      </c>
      <c r="R41" s="78">
        <f>LOGEST(R30:R$37)^4-1</f>
        <v>0.11317238518761963</v>
      </c>
      <c r="S41" s="211">
        <f>LOGEST(S30:S$37)^4-1</f>
        <v>0.10720145188838215</v>
      </c>
      <c r="T41" s="17" t="s">
        <v>29</v>
      </c>
      <c r="V41" s="23" t="s">
        <v>247</v>
      </c>
      <c r="W41" s="36">
        <f>IF(V$41="Closed",VLOOKUP(V$40,$AF$41:$AK$45,3,FALSE),VLOOKUP(V$40,$AF$41:$AK$45,4,FALSE))</f>
        <v>-4.7118374535676244E-2</v>
      </c>
      <c r="X41" s="126"/>
      <c r="Y41" s="126"/>
      <c r="Z41" s="126"/>
      <c r="AB41" s="54"/>
      <c r="AC41" s="54"/>
      <c r="AD41" s="54"/>
      <c r="AE41" s="54"/>
      <c r="AF41" s="77" t="s">
        <v>7</v>
      </c>
      <c r="AG41" s="4"/>
      <c r="AH41" s="78">
        <f>LOGEST(AH30:AH$37)^4-1</f>
        <v>6.9354087522585761E-2</v>
      </c>
      <c r="AI41" s="78">
        <f>LOGEST(AI30:AI$37)^4-1</f>
        <v>0.17979365816481185</v>
      </c>
      <c r="AJ41" s="78">
        <f>LOGEST(AJ30:AJ$37)^4-1</f>
        <v>4.0361300878244855E-2</v>
      </c>
      <c r="AK41" s="211">
        <f>LOGEST(AK30:AK$37)^4-1</f>
        <v>2.9020665904842646E-2</v>
      </c>
      <c r="AL41" s="17" t="s">
        <v>29</v>
      </c>
      <c r="AN41" s="23" t="s">
        <v>247</v>
      </c>
      <c r="AO41" s="36">
        <f>IF(AN$41="Closed",VLOOKUP(AN$40,$AX$41:$BC$45,3,FALSE),VLOOKUP(AN$40,$AX$41:$BC$45,4,FALSE))</f>
        <v>-5.4315523790132714E-2</v>
      </c>
      <c r="AP41" s="126"/>
      <c r="AQ41" s="126"/>
      <c r="AR41" s="126"/>
      <c r="AT41" s="60"/>
      <c r="AU41" s="60"/>
      <c r="AV41" s="60"/>
      <c r="AW41" s="60"/>
      <c r="AX41" s="77" t="s">
        <v>7</v>
      </c>
      <c r="AY41" s="4"/>
      <c r="AZ41" s="78">
        <f>LOGEST(AZ30:AZ$37)^4-1</f>
        <v>1.0242115803193563E-2</v>
      </c>
      <c r="BA41" s="78">
        <f>LOGEST(BA30:BA$37)^4-1</f>
        <v>6.2528411853211674E-2</v>
      </c>
      <c r="BB41" s="78">
        <f>LOGEST(BB30:BB$37)^4-1</f>
        <v>0.14697955036198485</v>
      </c>
      <c r="BC41" s="211">
        <f>LOGEST(BC30:BC$37)^4-1</f>
        <v>0.16704960031621585</v>
      </c>
      <c r="BD41" s="17" t="s">
        <v>29</v>
      </c>
      <c r="BF41" s="23" t="s">
        <v>248</v>
      </c>
      <c r="BG41" s="36">
        <f>IF(BF$41="Closed",VLOOKUP(BF$40,$BP$41:$BU$45,3,FALSE),VLOOKUP(BF$40,$BP$41:$BU$45,4,FALSE))</f>
        <v>7.2041309512567375E-2</v>
      </c>
      <c r="BH41" s="126"/>
      <c r="BI41" s="126"/>
      <c r="BJ41" s="126"/>
      <c r="BL41" s="60"/>
      <c r="BM41" s="60"/>
      <c r="BN41" s="60"/>
      <c r="BO41" s="60"/>
      <c r="BP41" s="77" t="s">
        <v>7</v>
      </c>
      <c r="BQ41" s="4"/>
      <c r="BR41" s="78">
        <f>LOGEST(BR30:BR$37)^4-1</f>
        <v>0.15044741077296608</v>
      </c>
      <c r="BS41" s="78">
        <f>LOGEST(BS30:BS$37)^4-1</f>
        <v>0.17114873690289523</v>
      </c>
      <c r="BT41" s="78">
        <f>LOGEST(BT30:BT$37)^4-1</f>
        <v>0.106913715417291</v>
      </c>
      <c r="BU41" s="211">
        <f>LOGEST(BU30:BU$37)^4-1</f>
        <v>8.8557574117350324E-2</v>
      </c>
      <c r="BV41" s="17" t="s">
        <v>29</v>
      </c>
      <c r="BX41" s="23" t="s">
        <v>247</v>
      </c>
      <c r="BY41" s="36">
        <f>IF(BX$41="Closed",VLOOKUP(BX$40,$CH$41:$CM$45,3,FALSE),VLOOKUP(BX$40,$CH$41:$CM$45,4,FALSE))</f>
        <v>-4.2049359839612777E-2</v>
      </c>
      <c r="BZ41" s="126"/>
      <c r="CA41" s="126"/>
      <c r="CB41" s="126"/>
      <c r="CD41" s="54"/>
      <c r="CE41" s="54"/>
      <c r="CF41" s="54"/>
      <c r="CG41" s="54"/>
      <c r="CH41" s="77" t="s">
        <v>7</v>
      </c>
      <c r="CI41" s="4"/>
      <c r="CJ41" s="78">
        <f>LOGEST(CJ30:CJ$37)^4-1</f>
        <v>0.17780553896419837</v>
      </c>
      <c r="CK41" s="78">
        <f>LOGEST(CK30:CK$37)^4-1</f>
        <v>0.24681254140835573</v>
      </c>
      <c r="CL41" s="78">
        <f>LOGEST(CL30:CL$37)^4-1</f>
        <v>0.22305897077048287</v>
      </c>
      <c r="CM41" s="211">
        <f>LOGEST(CM30:CM$37)^4-1</f>
        <v>0.23140621958795826</v>
      </c>
      <c r="CN41" s="17" t="s">
        <v>29</v>
      </c>
      <c r="CP41" s="23" t="s">
        <v>247</v>
      </c>
      <c r="CQ41" s="36">
        <f>IF(CP$41="Closed",VLOOKUP(CP$40,$CZ$41:$DE$45,3,FALSE),VLOOKUP(CP$40,$CZ$41:$DE$45,4,FALSE))</f>
        <v>-5.1483533374836798E-2</v>
      </c>
      <c r="CR41" s="126"/>
      <c r="CS41" s="126"/>
      <c r="CT41" s="126"/>
      <c r="CV41" s="54"/>
      <c r="CW41" s="54"/>
      <c r="CX41" s="54"/>
      <c r="CY41" s="54"/>
      <c r="CZ41" s="77" t="s">
        <v>7</v>
      </c>
      <c r="DA41" s="4"/>
      <c r="DB41" s="78">
        <f>LOGEST(DB30:DB$37)^4-1</f>
        <v>4.4454257446220335E-2</v>
      </c>
      <c r="DC41" s="78">
        <f>LOGEST(DC30:DC$37)^4-1</f>
        <v>8.6871799436415875E-2</v>
      </c>
      <c r="DD41" s="78">
        <f>LOGEST(DD30:DD$37)^4-1</f>
        <v>0.27004180923219412</v>
      </c>
      <c r="DE41" s="211">
        <f>LOGEST(DE30:DE$37)^4-1</f>
        <v>0.27453922148406606</v>
      </c>
      <c r="DF41" s="17" t="s">
        <v>29</v>
      </c>
      <c r="DH41" s="23" t="s">
        <v>247</v>
      </c>
      <c r="DI41" s="36">
        <f>IF(DH$41="Closed",VLOOKUP(DH$40,$DR$41:$DW$45,3,FALSE),VLOOKUP(DH$40,$DR$41:$DW$45,4,FALSE))</f>
        <v>-0.10245062647484771</v>
      </c>
      <c r="DJ41" s="126"/>
      <c r="DK41" s="126"/>
      <c r="DL41" s="126"/>
      <c r="DN41" s="60"/>
      <c r="DO41" s="60"/>
      <c r="DP41" s="60"/>
      <c r="DQ41" s="60"/>
      <c r="DR41" s="77" t="s">
        <v>7</v>
      </c>
      <c r="DS41" s="4"/>
      <c r="DT41" s="78">
        <f>LOGEST(DT30:DT$37)^4-1</f>
        <v>4.0536430540299317E-2</v>
      </c>
      <c r="DU41" s="78">
        <f>LOGEST(DU30:DU$37)^4-1</f>
        <v>0.15846361711863799</v>
      </c>
      <c r="DV41" s="78">
        <f>LOGEST(DV30:DV$37)^4-1</f>
        <v>0.28363462881223689</v>
      </c>
      <c r="DW41" s="211">
        <f>LOGEST(DW30:DW$37)^4-1</f>
        <v>0.17964547382201479</v>
      </c>
      <c r="DX41" s="17" t="s">
        <v>29</v>
      </c>
      <c r="DZ41" s="23"/>
      <c r="EA41" s="36" t="e">
        <f>IF(DZ$41="Closed",VLOOKUP(DZ$40,$EJ$41:$EO$45,3,FALSE),VLOOKUP(DZ$40,$EJ$41:$EO$45,4,FALSE))</f>
        <v>#N/A</v>
      </c>
      <c r="EB41" s="126"/>
      <c r="EC41" s="126"/>
      <c r="ED41" s="126"/>
      <c r="EF41" s="79"/>
      <c r="EG41" s="79"/>
      <c r="EH41" s="79"/>
      <c r="EI41" s="79"/>
      <c r="EJ41" s="77" t="s">
        <v>7</v>
      </c>
      <c r="EK41" s="4"/>
      <c r="EL41" s="78" t="e">
        <f>LOGEST(EL30:EL$37)^4-1</f>
        <v>#NUM!</v>
      </c>
      <c r="EM41" s="78" t="e">
        <f>LOGEST(EM30:EM$37)^4-1</f>
        <v>#NUM!</v>
      </c>
      <c r="EN41" s="78" t="e">
        <f>LOGEST(EN30:EN$37)^4-1</f>
        <v>#NUM!</v>
      </c>
      <c r="EO41" s="211" t="e">
        <f>LOGEST(EO30:EO$37)^4-1</f>
        <v>#NUM!</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1"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1" t="e">
        <f>LOGEST(FY30:FY$37)^4-1</f>
        <v>#NUM!</v>
      </c>
    </row>
    <row r="42" spans="1:181" ht="15.75" thickBot="1" x14ac:dyDescent="0.3">
      <c r="B42" s="17" t="s">
        <v>30</v>
      </c>
      <c r="D42" s="59" t="s">
        <v>165</v>
      </c>
      <c r="E42" s="36">
        <f>IF(D$42="Paid",VLOOKUP(D$40,$N$41:$S$45,5,FALSE),VLOOKUP(D$40,$N$41:$S$45,6,FALSE))</f>
        <v>0.10821584547726215</v>
      </c>
      <c r="F42" s="126"/>
      <c r="G42" s="126"/>
      <c r="H42" s="126"/>
      <c r="J42" s="54"/>
      <c r="K42" s="54"/>
      <c r="L42" s="54"/>
      <c r="M42" s="54"/>
      <c r="N42" s="77" t="s">
        <v>8</v>
      </c>
      <c r="O42" s="4"/>
      <c r="P42" s="78">
        <f>LOGEST(P26:P$37)^4-1</f>
        <v>-9.123043463544056E-2</v>
      </c>
      <c r="Q42" s="78">
        <f>LOGEST(Q26:Q$37)^4-1</f>
        <v>-2.8438922058565574E-2</v>
      </c>
      <c r="R42" s="78">
        <f>LOGEST(R26:R$37)^4-1</f>
        <v>0.10821584547726215</v>
      </c>
      <c r="S42" s="211">
        <f>LOGEST(S26:S$37)^4-1</f>
        <v>0.10313505717794436</v>
      </c>
      <c r="T42" s="17" t="s">
        <v>30</v>
      </c>
      <c r="V42" s="59" t="s">
        <v>165</v>
      </c>
      <c r="W42" s="36">
        <f>IF(V$42="Paid",VLOOKUP(V$40,$AF$41:$AK$45,5,FALSE),VLOOKUP(V$40,$AF$41:$AK$45,6,FALSE))</f>
        <v>5.7883902215939642E-2</v>
      </c>
      <c r="X42" s="126"/>
      <c r="Y42" s="126"/>
      <c r="Z42" s="126"/>
      <c r="AB42" s="54"/>
      <c r="AC42" s="54"/>
      <c r="AD42" s="54"/>
      <c r="AE42" s="54"/>
      <c r="AF42" s="77" t="s">
        <v>8</v>
      </c>
      <c r="AG42" s="4"/>
      <c r="AH42" s="78">
        <f>LOGEST(AH26:AH$37)^4-1</f>
        <v>-0.10468361443015806</v>
      </c>
      <c r="AI42" s="78">
        <f>LOGEST(AI26:AI$37)^4-1</f>
        <v>2.848400165966436E-2</v>
      </c>
      <c r="AJ42" s="78">
        <f>LOGEST(AJ26:AJ$37)^4-1</f>
        <v>5.0938461253335232E-2</v>
      </c>
      <c r="AK42" s="211">
        <f>LOGEST(AK26:AK$37)^4-1</f>
        <v>5.6150189818928942E-2</v>
      </c>
      <c r="AL42" s="17" t="s">
        <v>30</v>
      </c>
      <c r="AN42" s="59" t="s">
        <v>165</v>
      </c>
      <c r="AO42" s="36">
        <f>IF(AN$42="Paid",VLOOKUP(AN$40,$AX$41:$BC$45,5,FALSE),VLOOKUP(AN$40,$AX$41:$BC$45,6,FALSE))</f>
        <v>0.11844661579352067</v>
      </c>
      <c r="AP42" s="126"/>
      <c r="AQ42" s="126"/>
      <c r="AR42" s="126"/>
      <c r="AT42" s="60"/>
      <c r="AU42" s="60"/>
      <c r="AV42" s="60"/>
      <c r="AW42" s="60"/>
      <c r="AX42" s="77" t="s">
        <v>8</v>
      </c>
      <c r="AY42" s="4"/>
      <c r="AZ42" s="78">
        <f>LOGEST(AZ26:AZ$37)^4-1</f>
        <v>-4.7586690747639104E-2</v>
      </c>
      <c r="BA42" s="78">
        <f>LOGEST(BA26:BA$37)^4-1</f>
        <v>-1.6794585758683978E-2</v>
      </c>
      <c r="BB42" s="78">
        <f>LOGEST(BB26:BB$37)^4-1</f>
        <v>0.13212317045189703</v>
      </c>
      <c r="BC42" s="211">
        <f>LOGEST(BC26:BC$37)^4-1</f>
        <v>0.14405247349668993</v>
      </c>
      <c r="BD42" s="17" t="s">
        <v>30</v>
      </c>
      <c r="BF42" s="59" t="s">
        <v>165</v>
      </c>
      <c r="BG42" s="36">
        <f>IF(BF$42="Paid",VLOOKUP(BF$40,$BP$41:$BU$45,5,FALSE),VLOOKUP(BF$40,$BP$41:$BU$45,6,FALSE))</f>
        <v>5.6038499586139157E-2</v>
      </c>
      <c r="BH42" s="126"/>
      <c r="BI42" s="126"/>
      <c r="BJ42" s="126"/>
      <c r="BL42" s="60"/>
      <c r="BM42" s="60"/>
      <c r="BN42" s="60"/>
      <c r="BO42" s="60"/>
      <c r="BP42" s="77" t="s">
        <v>8</v>
      </c>
      <c r="BQ42" s="4"/>
      <c r="BR42" s="78">
        <f>LOGEST(BR26:BR$37)^4-1</f>
        <v>0.10033195419928109</v>
      </c>
      <c r="BS42" s="78">
        <f>LOGEST(BS26:BS$37)^4-1</f>
        <v>0.11722070210740254</v>
      </c>
      <c r="BT42" s="78">
        <f>LOGEST(BT26:BT$37)^4-1</f>
        <v>9.8363463321497813E-2</v>
      </c>
      <c r="BU42" s="211">
        <f>LOGEST(BU26:BU$37)^4-1</f>
        <v>9.9781512626623714E-2</v>
      </c>
      <c r="BV42" s="17" t="s">
        <v>30</v>
      </c>
      <c r="BX42" s="59" t="s">
        <v>165</v>
      </c>
      <c r="BY42" s="36">
        <f>IF(BX$42="Paid",VLOOKUP(BX$40,$CH$41:$CM$45,5,FALSE),VLOOKUP(BX$40,$CH$41:$CM$45,6,FALSE))</f>
        <v>0.13418126336560454</v>
      </c>
      <c r="BZ42" s="126"/>
      <c r="CA42" s="126"/>
      <c r="CB42" s="126"/>
      <c r="CD42" s="54"/>
      <c r="CE42" s="54"/>
      <c r="CF42" s="54"/>
      <c r="CG42" s="54"/>
      <c r="CH42" s="77" t="s">
        <v>8</v>
      </c>
      <c r="CI42" s="4"/>
      <c r="CJ42" s="78">
        <f>LOGEST(CJ26:CJ$37)^4-1</f>
        <v>5.1387703191174694E-3</v>
      </c>
      <c r="CK42" s="78">
        <f>LOGEST(CK26:CK$37)^4-1</f>
        <v>4.2661189920390141E-2</v>
      </c>
      <c r="CL42" s="78">
        <f>LOGEST(CL26:CL$37)^4-1</f>
        <v>0.19601104667027736</v>
      </c>
      <c r="CM42" s="211">
        <f>LOGEST(CM26:CM$37)^4-1</f>
        <v>0.18802951431551485</v>
      </c>
      <c r="CN42" s="17" t="s">
        <v>30</v>
      </c>
      <c r="CP42" s="59" t="s">
        <v>165</v>
      </c>
      <c r="CQ42" s="36">
        <f>IF(CP$42="Paid",VLOOKUP(CP$40,$CZ$41:$DE$45,5,FALSE),VLOOKUP(CP$40,$CZ$41:$DE$45,6,FALSE))</f>
        <v>0.12967120887067152</v>
      </c>
      <c r="CR42" s="126"/>
      <c r="CS42" s="126"/>
      <c r="CT42" s="126"/>
      <c r="CV42" s="54"/>
      <c r="CW42" s="54"/>
      <c r="CX42" s="54"/>
      <c r="CY42" s="54"/>
      <c r="CZ42" s="77" t="s">
        <v>8</v>
      </c>
      <c r="DA42" s="4"/>
      <c r="DB42" s="78">
        <f>LOGEST(DB26:DB$37)^4-1</f>
        <v>-3.887921527523186E-2</v>
      </c>
      <c r="DC42" s="78">
        <f>LOGEST(DC26:DC$37)^4-1</f>
        <v>-4.1809131412006151E-3</v>
      </c>
      <c r="DD42" s="78">
        <f>LOGEST(DD26:DD$37)^4-1</f>
        <v>0.1813451448047283</v>
      </c>
      <c r="DE42" s="211">
        <f>LOGEST(DE26:DE$37)^4-1</f>
        <v>0.17374242710260757</v>
      </c>
      <c r="DF42" s="17" t="s">
        <v>30</v>
      </c>
      <c r="DH42" s="59" t="s">
        <v>165</v>
      </c>
      <c r="DI42" s="36">
        <f>IF(DH$42="Paid",VLOOKUP(DH$40,$DR$41:$DW$45,5,FALSE),VLOOKUP(DH$40,$DR$41:$DW$45,6,FALSE))</f>
        <v>2.1400069692559587E-2</v>
      </c>
      <c r="DJ42" s="126"/>
      <c r="DK42" s="126"/>
      <c r="DL42" s="126"/>
      <c r="DN42" s="60"/>
      <c r="DO42" s="60"/>
      <c r="DP42" s="60"/>
      <c r="DQ42" s="60"/>
      <c r="DR42" s="77" t="s">
        <v>8</v>
      </c>
      <c r="DS42" s="4"/>
      <c r="DT42" s="78">
        <f>LOGEST(DT26:DT$37)^4-1</f>
        <v>-0.18660159191465742</v>
      </c>
      <c r="DU42" s="78">
        <f>LOGEST(DU26:DU$37)^4-1</f>
        <v>-7.6661355109630014E-2</v>
      </c>
      <c r="DV42" s="78">
        <f>LOGEST(DV26:DV$37)^4-1</f>
        <v>0.11013016115081342</v>
      </c>
      <c r="DW42" s="211">
        <f>LOGEST(DW26:DW$37)^4-1</f>
        <v>1.8213553604278454E-2</v>
      </c>
      <c r="DX42" s="17" t="s">
        <v>30</v>
      </c>
      <c r="DZ42" s="59"/>
      <c r="EA42" s="36" t="e">
        <f>IF(DZ$42="Paid",VLOOKUP(DZ$40,$EJ$41:$EO$45,5,FALSE),VLOOKUP(DZ$40,$EJ$41:$EO$45,6,FALSE))</f>
        <v>#N/A</v>
      </c>
      <c r="EB42" s="126"/>
      <c r="EC42" s="126"/>
      <c r="ED42" s="126"/>
      <c r="EF42" s="79"/>
      <c r="EG42" s="79"/>
      <c r="EH42" s="79"/>
      <c r="EI42" s="79"/>
      <c r="EJ42" s="77" t="s">
        <v>8</v>
      </c>
      <c r="EK42" s="4"/>
      <c r="EL42" s="78" t="e">
        <f>LOGEST(EL26:EL$37)^4-1</f>
        <v>#NUM!</v>
      </c>
      <c r="EM42" s="78" t="e">
        <f>LOGEST(EM26:EM$37)^4-1</f>
        <v>#NUM!</v>
      </c>
      <c r="EN42" s="78" t="e">
        <f>LOGEST(EN26:EN$37)^4-1</f>
        <v>#NUM!</v>
      </c>
      <c r="EO42" s="211" t="e">
        <f>LOGEST(EO26:EO$37)^4-1</f>
        <v>#NUM!</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1"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1" t="e">
        <f>LOGEST(FY26:FY$37)^4-1</f>
        <v>#NUM!</v>
      </c>
    </row>
    <row r="43" spans="1:181" ht="15.75" thickBot="1" x14ac:dyDescent="0.3">
      <c r="B43" s="17" t="s">
        <v>33</v>
      </c>
      <c r="E43" s="63">
        <f>(1+E41)*(1+E42)-1</f>
        <v>7.6699381423666946E-2</v>
      </c>
      <c r="F43" s="219">
        <v>1</v>
      </c>
      <c r="G43" s="127" t="str">
        <f>IF(F43=1,"N/A",E98)</f>
        <v>N/A</v>
      </c>
      <c r="H43" s="128">
        <f>IF(F43=1,E43,IF(F43=0,G43,E43*F43+(G43*(1-F43))))</f>
        <v>7.6699381423666946E-2</v>
      </c>
      <c r="J43" s="54"/>
      <c r="K43" s="54"/>
      <c r="L43" s="54"/>
      <c r="M43" s="54"/>
      <c r="N43" s="77" t="s">
        <v>9</v>
      </c>
      <c r="O43" s="4"/>
      <c r="P43" s="78">
        <f>LOGEST(P22:P$37)^4-1</f>
        <v>-0.12045994958835837</v>
      </c>
      <c r="Q43" s="78">
        <f>LOGEST(Q22:Q$37)^4-1</f>
        <v>-8.2297549978415874E-2</v>
      </c>
      <c r="R43" s="78">
        <f>LOGEST(R22:R$37)^4-1</f>
        <v>9.1593321764805724E-2</v>
      </c>
      <c r="S43" s="211">
        <f>LOGEST(S22:S$37)^4-1</f>
        <v>9.4808755800593447E-2</v>
      </c>
      <c r="T43" s="17" t="s">
        <v>33</v>
      </c>
      <c r="W43" s="63">
        <f>(1+W41)*(1+W42)-1</f>
        <v>8.0381322960663137E-3</v>
      </c>
      <c r="X43" s="97">
        <v>1</v>
      </c>
      <c r="Y43" s="127" t="str">
        <f>IF(X43=1,"N/A",W98)</f>
        <v>N/A</v>
      </c>
      <c r="Z43" s="128">
        <f>IF(X43=1,W43,IF(X43=0,Y43,W43*X43+(Y43*(1-X43))))</f>
        <v>8.0381322960663137E-3</v>
      </c>
      <c r="AB43" s="54"/>
      <c r="AC43" s="54"/>
      <c r="AD43" s="54"/>
      <c r="AE43" s="54"/>
      <c r="AF43" s="77" t="s">
        <v>9</v>
      </c>
      <c r="AG43" s="4"/>
      <c r="AH43" s="78">
        <f>LOGEST(AH22:AH$37)^4-1</f>
        <v>-0.12752523138293403</v>
      </c>
      <c r="AI43" s="78">
        <f>LOGEST(AI22:AI$37)^4-1</f>
        <v>-4.7118374535676244E-2</v>
      </c>
      <c r="AJ43" s="78">
        <f>LOGEST(AJ22:AJ$37)^4-1</f>
        <v>5.7883902215939642E-2</v>
      </c>
      <c r="AK43" s="211">
        <f>LOGEST(AK22:AK$37)^4-1</f>
        <v>6.8351187860776541E-2</v>
      </c>
      <c r="AL43" s="17" t="s">
        <v>33</v>
      </c>
      <c r="AO43" s="63">
        <f>(1+AO41)*(1+AO42)-1</f>
        <v>5.7697602025394312E-2</v>
      </c>
      <c r="AP43" s="97">
        <v>1</v>
      </c>
      <c r="AQ43" s="127" t="str">
        <f>IF(AP43=1,"N/A",AO98)</f>
        <v>N/A</v>
      </c>
      <c r="AR43" s="128">
        <f>IF(AP43=1,AO43,IF(AP43=0,AQ43,AO43*AP43+(AQ43*(1-AP43))))</f>
        <v>5.7697602025394312E-2</v>
      </c>
      <c r="AT43" s="60"/>
      <c r="AU43" s="60"/>
      <c r="AV43" s="60"/>
      <c r="AW43" s="60"/>
      <c r="AX43" s="77" t="s">
        <v>9</v>
      </c>
      <c r="AY43" s="4"/>
      <c r="AZ43" s="78">
        <f>LOGEST(AZ22:AZ$37)^4-1</f>
        <v>-7.9167845879865917E-2</v>
      </c>
      <c r="BA43" s="78">
        <f>LOGEST(BA22:BA$37)^4-1</f>
        <v>-5.4315523790132714E-2</v>
      </c>
      <c r="BB43" s="78">
        <f>LOGEST(BB22:BB$37)^4-1</f>
        <v>0.11844661579352067</v>
      </c>
      <c r="BC43" s="211">
        <f>LOGEST(BC22:BC$37)^4-1</f>
        <v>0.12475287757465381</v>
      </c>
      <c r="BD43" s="17" t="s">
        <v>33</v>
      </c>
      <c r="BG43" s="63">
        <f>(1+BG41)*(1+BG42)-1</f>
        <v>0.13211689599201137</v>
      </c>
      <c r="BH43" s="97">
        <v>1</v>
      </c>
      <c r="BI43" s="127" t="str">
        <f>IF(BH43=1,"N/A",BG98)</f>
        <v>N/A</v>
      </c>
      <c r="BJ43" s="128">
        <f>IF(BH43=1,BG43,IF(BH43=0,BI43,BG43*BH43+(BI43*(1-BH43))))</f>
        <v>0.13211689599201137</v>
      </c>
      <c r="BL43" s="60"/>
      <c r="BM43" s="60"/>
      <c r="BN43" s="60"/>
      <c r="BO43" s="60"/>
      <c r="BP43" s="77" t="s">
        <v>9</v>
      </c>
      <c r="BQ43" s="4"/>
      <c r="BR43" s="78">
        <f>LOGEST(BR22:BR$37)^4-1</f>
        <v>7.2041309512567375E-2</v>
      </c>
      <c r="BS43" s="78">
        <f>LOGEST(BS22:BS$37)^4-1</f>
        <v>0.13710955628519939</v>
      </c>
      <c r="BT43" s="78">
        <f>LOGEST(BT22:BT$37)^4-1</f>
        <v>5.6038499586139157E-2</v>
      </c>
      <c r="BU43" s="211">
        <f>LOGEST(BU22:BU$37)^4-1</f>
        <v>6.3277879424288308E-2</v>
      </c>
      <c r="BV43" s="17" t="s">
        <v>33</v>
      </c>
      <c r="BY43" s="63">
        <f>(1+BY41)*(1+BY42)-1</f>
        <v>8.6489667298997652E-2</v>
      </c>
      <c r="BZ43" s="97">
        <v>1</v>
      </c>
      <c r="CA43" s="127" t="str">
        <f>IF(BZ43=1,"N/A",BY98)</f>
        <v>N/A</v>
      </c>
      <c r="CB43" s="128">
        <f>IF(BZ43=1,BY43,IF(BZ43=0,CA43,BY43*BZ43+(CA43*(1-BZ43))))</f>
        <v>8.6489667298997652E-2</v>
      </c>
      <c r="CD43" s="54"/>
      <c r="CE43" s="54"/>
      <c r="CF43" s="54"/>
      <c r="CG43" s="54"/>
      <c r="CH43" s="77" t="s">
        <v>9</v>
      </c>
      <c r="CI43" s="4"/>
      <c r="CJ43" s="78">
        <f>LOGEST(CJ22:CJ$37)^4-1</f>
        <v>-5.6172823032267671E-2</v>
      </c>
      <c r="CK43" s="78">
        <f>LOGEST(CK22:CK$37)^4-1</f>
        <v>-4.2049359839612777E-2</v>
      </c>
      <c r="CL43" s="78">
        <f>LOGEST(CL22:CL$37)^4-1</f>
        <v>0.13418126336560454</v>
      </c>
      <c r="CM43" s="211">
        <f>LOGEST(CM22:CM$37)^4-1</f>
        <v>0.1470496769652867</v>
      </c>
      <c r="CN43" s="17" t="s">
        <v>33</v>
      </c>
      <c r="CQ43" s="63">
        <f>(1+CQ41)*(1+CQ42)-1</f>
        <v>7.1511743486186052E-2</v>
      </c>
      <c r="CR43" s="97">
        <v>1</v>
      </c>
      <c r="CS43" s="127" t="str">
        <f>IF(CR43=1,"N/A",CQ98)</f>
        <v>N/A</v>
      </c>
      <c r="CT43" s="128">
        <f>IF(CR43=1,CQ43,IF(CR43=0,CS43,CQ43*CR43+(CS43*(1-CR43))))</f>
        <v>7.1511743486186052E-2</v>
      </c>
      <c r="CV43" s="54"/>
      <c r="CW43" s="54"/>
      <c r="CX43" s="54"/>
      <c r="CY43" s="54"/>
      <c r="CZ43" s="77" t="s">
        <v>9</v>
      </c>
      <c r="DA43" s="4"/>
      <c r="DB43" s="78">
        <f>LOGEST(DB22:DB$37)^4-1</f>
        <v>-7.1280170025649792E-2</v>
      </c>
      <c r="DC43" s="78">
        <f>LOGEST(DC22:DC$37)^4-1</f>
        <v>-5.1483533374836798E-2</v>
      </c>
      <c r="DD43" s="78">
        <f>LOGEST(DD22:DD$37)^4-1</f>
        <v>0.12967120887067152</v>
      </c>
      <c r="DE43" s="211">
        <f>LOGEST(DE22:DE$37)^4-1</f>
        <v>0.12884501909016399</v>
      </c>
      <c r="DF43" s="17" t="s">
        <v>33</v>
      </c>
      <c r="DI43" s="63">
        <f>(1+DI41)*(1+DI42)-1</f>
        <v>-8.3243007328896224E-2</v>
      </c>
      <c r="DJ43" s="97">
        <v>0.214</v>
      </c>
      <c r="DK43" s="127" t="e">
        <f>IF(DJ43=1,"N/A",DI98)</f>
        <v>#NUM!</v>
      </c>
      <c r="DL43" s="128" t="e">
        <f>IF(DJ43=1,DI43,IF(DJ43=0,DK43,DI43*DJ43+(DK43*(1-DJ43))))</f>
        <v>#NUM!</v>
      </c>
      <c r="DN43" s="60"/>
      <c r="DO43" s="60"/>
      <c r="DP43" s="60"/>
      <c r="DQ43" s="60"/>
      <c r="DR43" s="77" t="s">
        <v>9</v>
      </c>
      <c r="DS43" s="4"/>
      <c r="DT43" s="78">
        <f>LOGEST(DT22:DT$37)^4-1</f>
        <v>-0.19768189618117404</v>
      </c>
      <c r="DU43" s="78">
        <f>LOGEST(DU22:DU$37)^4-1</f>
        <v>-0.14716651796501823</v>
      </c>
      <c r="DV43" s="78">
        <f>LOGEST(DV22:DV$37)^4-1</f>
        <v>-2.6069516302301698E-3</v>
      </c>
      <c r="DW43" s="211">
        <f>LOGEST(DW22:DW$37)^4-1</f>
        <v>1.6911021384533154E-2</v>
      </c>
      <c r="DX43" s="17" t="s">
        <v>33</v>
      </c>
      <c r="EA43" s="63" t="e">
        <f>(1+EA41)*(1+EA42)-1</f>
        <v>#N/A</v>
      </c>
      <c r="EB43" s="97">
        <v>0.214</v>
      </c>
      <c r="EC43" s="127" t="e">
        <f>IF(EB43=1,"N/A",EA98)</f>
        <v>#N/A</v>
      </c>
      <c r="ED43" s="128" t="e">
        <f>IF(EB43=1,EA43,IF(EB43=0,EC43,EA43*EB43+(EC43*(1-EB43))))</f>
        <v>#N/A</v>
      </c>
      <c r="EF43" s="79"/>
      <c r="EG43" s="79"/>
      <c r="EH43" s="79"/>
      <c r="EI43" s="79"/>
      <c r="EJ43" s="77" t="s">
        <v>9</v>
      </c>
      <c r="EK43" s="4"/>
      <c r="EL43" s="78" t="e">
        <f>LOGEST(EL22:EL$37)^4-1</f>
        <v>#NUM!</v>
      </c>
      <c r="EM43" s="78" t="e">
        <f>LOGEST(EM22:EM$37)^4-1</f>
        <v>#NUM!</v>
      </c>
      <c r="EN43" s="78" t="e">
        <f>LOGEST(EN22:EN$37)^4-1</f>
        <v>#NUM!</v>
      </c>
      <c r="EO43" s="211" t="e">
        <f>LOGEST(EO22:EO$37)^4-1</f>
        <v>#NUM!</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1"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1" t="e">
        <f>LOGEST(FY22:FY$37)^4-1</f>
        <v>#NUM!</v>
      </c>
    </row>
    <row r="44" spans="1:181" x14ac:dyDescent="0.25">
      <c r="B44" s="135"/>
      <c r="J44" s="54"/>
      <c r="K44" s="54"/>
      <c r="L44" s="54"/>
      <c r="M44" s="54"/>
      <c r="N44" s="77" t="s">
        <v>10</v>
      </c>
      <c r="O44" s="4"/>
      <c r="P44" s="78">
        <f>LOGEST(P18:P$37)^4-1</f>
        <v>-0.11431745113383307</v>
      </c>
      <c r="Q44" s="78">
        <f>LOGEST(Q18:Q$37)^4-1</f>
        <v>-6.5317118225870829E-2</v>
      </c>
      <c r="R44" s="78">
        <f>LOGEST(R18:R$37)^4-1</f>
        <v>7.736979983113601E-2</v>
      </c>
      <c r="S44" s="211">
        <f>LOGEST(S18:S$37)^4-1</f>
        <v>8.5446343965726701E-2</v>
      </c>
      <c r="T44" s="135"/>
      <c r="AB44" s="54"/>
      <c r="AC44" s="54"/>
      <c r="AD44" s="54"/>
      <c r="AE44" s="54"/>
      <c r="AF44" s="77" t="s">
        <v>10</v>
      </c>
      <c r="AG44" s="4"/>
      <c r="AH44" s="78">
        <f>LOGEST(AH18:AH$37)^4-1</f>
        <v>-0.10945633438315172</v>
      </c>
      <c r="AI44" s="78">
        <f>LOGEST(AI18:AI$37)^4-1</f>
        <v>-6.2318084053106015E-2</v>
      </c>
      <c r="AJ44" s="78">
        <f>LOGEST(AJ18:AJ$37)^4-1</f>
        <v>5.7306950317260297E-2</v>
      </c>
      <c r="AK44" s="211">
        <f>LOGEST(AK18:AK$37)^4-1</f>
        <v>6.9534514714075346E-2</v>
      </c>
      <c r="AL44" s="135"/>
      <c r="AT44" s="60"/>
      <c r="AU44" s="60"/>
      <c r="AV44" s="60"/>
      <c r="AW44" s="60"/>
      <c r="AX44" s="77" t="s">
        <v>10</v>
      </c>
      <c r="AY44" s="4"/>
      <c r="AZ44" s="78">
        <f>LOGEST(AZ18:AZ$37)^4-1</f>
        <v>-8.3420004771064482E-2</v>
      </c>
      <c r="BA44" s="78">
        <f>LOGEST(BA18:BA$37)^4-1</f>
        <v>-6.4670876170473179E-2</v>
      </c>
      <c r="BB44" s="78">
        <f>LOGEST(BB18:BB$37)^4-1</f>
        <v>0.11333660755967068</v>
      </c>
      <c r="BC44" s="211">
        <f>LOGEST(BC18:BC$37)^4-1</f>
        <v>0.11811842846731824</v>
      </c>
      <c r="BD44" s="135"/>
      <c r="BL44" s="60"/>
      <c r="BM44" s="60"/>
      <c r="BN44" s="60"/>
      <c r="BO44" s="60"/>
      <c r="BP44" s="77" t="s">
        <v>10</v>
      </c>
      <c r="BQ44" s="4"/>
      <c r="BR44" s="78">
        <f>LOGEST(BR18:BR$37)^4-1</f>
        <v>5.6307486655844841E-2</v>
      </c>
      <c r="BS44" s="78">
        <f>LOGEST(BS18:BS$37)^4-1</f>
        <v>0.16753460900443007</v>
      </c>
      <c r="BT44" s="78">
        <f>LOGEST(BT18:BT$37)^4-1</f>
        <v>4.7963563154616029E-2</v>
      </c>
      <c r="BU44" s="211">
        <f>LOGEST(BU18:BU$37)^4-1</f>
        <v>4.3015685634969492E-2</v>
      </c>
      <c r="BV44" s="135"/>
      <c r="CD44" s="54"/>
      <c r="CE44" s="54"/>
      <c r="CF44" s="54"/>
      <c r="CG44" s="54"/>
      <c r="CH44" s="77" t="s">
        <v>10</v>
      </c>
      <c r="CI44" s="4"/>
      <c r="CJ44" s="78">
        <f>LOGEST(CJ18:CJ$37)^4-1</f>
        <v>-6.4602503768327324E-2</v>
      </c>
      <c r="CK44" s="78">
        <f>LOGEST(CK18:CK$37)^4-1</f>
        <v>-5.9179768789964449E-2</v>
      </c>
      <c r="CL44" s="78">
        <f>LOGEST(CL18:CL$37)^4-1</f>
        <v>0.1118057319094361</v>
      </c>
      <c r="CM44" s="211">
        <f>LOGEST(CM18:CM$37)^4-1</f>
        <v>0.12349179266282073</v>
      </c>
      <c r="CN44" s="135"/>
      <c r="CV44" s="54"/>
      <c r="CW44" s="54"/>
      <c r="CX44" s="54"/>
      <c r="CY44" s="54"/>
      <c r="CZ44" s="77" t="s">
        <v>10</v>
      </c>
      <c r="DA44" s="4"/>
      <c r="DB44" s="78">
        <f>LOGEST(DB18:DB$37)^4-1</f>
        <v>-7.1108691372018584E-2</v>
      </c>
      <c r="DC44" s="78">
        <f>LOGEST(DC18:DC$37)^4-1</f>
        <v>-6.0266580283147353E-2</v>
      </c>
      <c r="DD44" s="78">
        <f>LOGEST(DD18:DD$37)^4-1</f>
        <v>0.10928180937070575</v>
      </c>
      <c r="DE44" s="211">
        <f>LOGEST(DE18:DE$37)^4-1</f>
        <v>0.10797173221709455</v>
      </c>
      <c r="DF44" s="135"/>
      <c r="DN44" s="60"/>
      <c r="DO44" s="60"/>
      <c r="DP44" s="60"/>
      <c r="DQ44" s="60"/>
      <c r="DR44" s="77" t="s">
        <v>10</v>
      </c>
      <c r="DS44" s="4"/>
      <c r="DT44" s="78">
        <f>LOGEST(DT18:DT$37)^4-1</f>
        <v>-0.15569523051446676</v>
      </c>
      <c r="DU44" s="78">
        <f>LOGEST(DU18:DU$37)^4-1</f>
        <v>-0.11928369869845667</v>
      </c>
      <c r="DV44" s="78">
        <f>LOGEST(DV18:DV$37)^4-1</f>
        <v>-4.7442309879834887E-3</v>
      </c>
      <c r="DW44" s="211">
        <f>LOGEST(DW18:DW$37)^4-1</f>
        <v>-1.9063779271767389E-2</v>
      </c>
      <c r="DX44" s="135"/>
      <c r="EF44" s="79"/>
      <c r="EG44" s="79"/>
      <c r="EH44" s="79"/>
      <c r="EI44" s="79"/>
      <c r="EJ44" s="77" t="s">
        <v>10</v>
      </c>
      <c r="EK44" s="4"/>
      <c r="EL44" s="78" t="e">
        <f>LOGEST(EL18:EL$37)^4-1</f>
        <v>#NUM!</v>
      </c>
      <c r="EM44" s="78" t="e">
        <f>LOGEST(EM18:EM$37)^4-1</f>
        <v>#NUM!</v>
      </c>
      <c r="EN44" s="78" t="e">
        <f>LOGEST(EN18:EN$37)^4-1</f>
        <v>#NUM!</v>
      </c>
      <c r="EO44" s="211" t="e">
        <f>LOGEST(EO18:EO$37)^4-1</f>
        <v>#NUM!</v>
      </c>
      <c r="EP44" s="135"/>
      <c r="EX44" s="78"/>
      <c r="EY44" s="78"/>
      <c r="EZ44" s="78"/>
      <c r="FA44" s="78"/>
      <c r="FB44" s="77" t="s">
        <v>10</v>
      </c>
      <c r="FC44" s="4"/>
      <c r="FD44" s="78" t="e">
        <f>LOGEST(FD18:FD$37)^4-1</f>
        <v>#NUM!</v>
      </c>
      <c r="FE44" s="78" t="e">
        <f>LOGEST(FE18:FE$37)^4-1</f>
        <v>#NUM!</v>
      </c>
      <c r="FF44" s="78" t="e">
        <f>LOGEST(FF18:FF$37)^4-1</f>
        <v>#NUM!</v>
      </c>
      <c r="FG44" s="211" t="e">
        <f>LOGEST(FG18:FG$37)^4-1</f>
        <v>#NUM!</v>
      </c>
      <c r="FH44" s="135"/>
      <c r="FP44" s="54"/>
      <c r="FQ44" s="54"/>
      <c r="FR44" s="54"/>
      <c r="FS44" s="54"/>
      <c r="FT44" s="77" t="s">
        <v>10</v>
      </c>
      <c r="FU44" s="4"/>
      <c r="FV44" s="78" t="e">
        <f>LOGEST(FV18:FV$37)^4-1</f>
        <v>#NUM!</v>
      </c>
      <c r="FW44" s="78" t="e">
        <f>LOGEST(FW18:FW$37)^4-1</f>
        <v>#NUM!</v>
      </c>
      <c r="FX44" s="78" t="e">
        <f>LOGEST(FX18:FX$37)^4-1</f>
        <v>#NUM!</v>
      </c>
      <c r="FY44" s="211" t="e">
        <f>LOGEST(FY18:FY$37)^4-1</f>
        <v>#NUM!</v>
      </c>
    </row>
    <row r="45" spans="1:181" ht="15.75" thickBot="1" x14ac:dyDescent="0.3">
      <c r="B45" s="25" t="s">
        <v>13</v>
      </c>
      <c r="C45" s="25"/>
      <c r="D45" s="25"/>
      <c r="E45" s="25"/>
      <c r="J45" s="54"/>
      <c r="K45" s="54"/>
      <c r="L45" s="54"/>
      <c r="M45" s="54"/>
      <c r="N45" s="80" t="s">
        <v>11</v>
      </c>
      <c r="O45" s="82"/>
      <c r="P45" s="81">
        <f>LOGEST(P14:P$37)^4-1</f>
        <v>-0.10403544506855067</v>
      </c>
      <c r="Q45" s="81">
        <f>LOGEST(Q14:Q$37)^4-1</f>
        <v>-4.7076157670725594E-2</v>
      </c>
      <c r="R45" s="81">
        <f>LOGEST(R14:R$37)^4-1</f>
        <v>6.7449058727593325E-2</v>
      </c>
      <c r="S45" s="212">
        <f>LOGEST(S14:S$37)^4-1</f>
        <v>7.169316451633545E-2</v>
      </c>
      <c r="T45" s="25" t="s">
        <v>13</v>
      </c>
      <c r="U45" s="25"/>
      <c r="V45" s="25"/>
      <c r="W45" s="25"/>
      <c r="AB45" s="54"/>
      <c r="AC45" s="54"/>
      <c r="AD45" s="54"/>
      <c r="AE45" s="54"/>
      <c r="AF45" s="80" t="s">
        <v>11</v>
      </c>
      <c r="AG45" s="82"/>
      <c r="AH45" s="81">
        <f>LOGEST(AH14:AH$37)^4-1</f>
        <v>-9.3005688067451908E-2</v>
      </c>
      <c r="AI45" s="81">
        <f>LOGEST(AI14:AI$37)^4-1</f>
        <v>-6.4978395952100088E-2</v>
      </c>
      <c r="AJ45" s="81">
        <f>LOGEST(AJ14:AJ$37)^4-1</f>
        <v>5.8601452455823377E-2</v>
      </c>
      <c r="AK45" s="212">
        <f>LOGEST(AK14:AK$37)^4-1</f>
        <v>7.2149330274283496E-2</v>
      </c>
      <c r="AL45" s="25" t="s">
        <v>13</v>
      </c>
      <c r="AM45" s="25"/>
      <c r="AN45" s="25"/>
      <c r="AO45" s="25"/>
      <c r="AT45" s="60"/>
      <c r="AU45" s="60"/>
      <c r="AV45" s="60"/>
      <c r="AW45" s="60"/>
      <c r="AX45" s="80" t="s">
        <v>11</v>
      </c>
      <c r="AY45" s="82"/>
      <c r="AZ45" s="81">
        <f>LOGEST(AZ14:AZ$37)^4-1</f>
        <v>-6.6484279974842408E-2</v>
      </c>
      <c r="BA45" s="81">
        <f>LOGEST(BA14:BA$37)^4-1</f>
        <v>-5.1565752127932241E-2</v>
      </c>
      <c r="BB45" s="81">
        <f>LOGEST(BB14:BB$37)^4-1</f>
        <v>0.10258672423176041</v>
      </c>
      <c r="BC45" s="212">
        <f>LOGEST(BC14:BC$37)^4-1</f>
        <v>0.10568567892825609</v>
      </c>
      <c r="BD45" s="25" t="s">
        <v>13</v>
      </c>
      <c r="BE45" s="25"/>
      <c r="BF45" s="25"/>
      <c r="BG45" s="25"/>
      <c r="BL45" s="60"/>
      <c r="BM45" s="60"/>
      <c r="BN45" s="60"/>
      <c r="BO45" s="60"/>
      <c r="BP45" s="80" t="s">
        <v>11</v>
      </c>
      <c r="BQ45" s="82"/>
      <c r="BR45" s="81">
        <f>LOGEST(BR14:BR$37)^4-1</f>
        <v>4.2344933390080497E-2</v>
      </c>
      <c r="BS45" s="81">
        <f>LOGEST(BS14:BS$37)^4-1</f>
        <v>0.14710589338671443</v>
      </c>
      <c r="BT45" s="81">
        <f>LOGEST(BT14:BT$37)^4-1</f>
        <v>4.0457025503989108E-2</v>
      </c>
      <c r="BU45" s="212">
        <f>LOGEST(BU14:BU$37)^4-1</f>
        <v>3.7771792914413238E-2</v>
      </c>
      <c r="BV45" s="25" t="s">
        <v>13</v>
      </c>
      <c r="BW45" s="25"/>
      <c r="BX45" s="25"/>
      <c r="BY45" s="25"/>
      <c r="CD45" s="54"/>
      <c r="CE45" s="54"/>
      <c r="CF45" s="54"/>
      <c r="CG45" s="54"/>
      <c r="CH45" s="80" t="s">
        <v>11</v>
      </c>
      <c r="CI45" s="82"/>
      <c r="CJ45" s="81">
        <f>LOGEST(CJ14:CJ$37)^4-1</f>
        <v>-6.0913497146110607E-2</v>
      </c>
      <c r="CK45" s="81">
        <f>LOGEST(CK14:CK$37)^4-1</f>
        <v>-6.3934449354644429E-2</v>
      </c>
      <c r="CL45" s="81">
        <f>LOGEST(CL14:CL$37)^4-1</f>
        <v>9.0420306077859669E-2</v>
      </c>
      <c r="CM45" s="212">
        <f>LOGEST(CM14:CM$37)^4-1</f>
        <v>0.1020203408832836</v>
      </c>
      <c r="CN45" s="25" t="s">
        <v>13</v>
      </c>
      <c r="CO45" s="25"/>
      <c r="CP45" s="25"/>
      <c r="CQ45" s="25"/>
      <c r="CV45" s="54"/>
      <c r="CW45" s="54"/>
      <c r="CX45" s="54"/>
      <c r="CY45" s="54"/>
      <c r="CZ45" s="80" t="s">
        <v>11</v>
      </c>
      <c r="DA45" s="82"/>
      <c r="DB45" s="81">
        <f>LOGEST(DB14:DB$37)^4-1</f>
        <v>-6.5826204371808639E-2</v>
      </c>
      <c r="DC45" s="81">
        <f>LOGEST(DC14:DC$37)^4-1</f>
        <v>-6.4184724531304416E-2</v>
      </c>
      <c r="DD45" s="81">
        <f>LOGEST(DD14:DD$37)^4-1</f>
        <v>8.7608003019583158E-2</v>
      </c>
      <c r="DE45" s="212">
        <f>LOGEST(DE14:DE$37)^4-1</f>
        <v>8.8117512650175422E-2</v>
      </c>
      <c r="DF45" s="25" t="s">
        <v>13</v>
      </c>
      <c r="DG45" s="25"/>
      <c r="DH45" s="25"/>
      <c r="DI45" s="25"/>
      <c r="DN45" s="60"/>
      <c r="DO45" s="60"/>
      <c r="DP45" s="60"/>
      <c r="DQ45" s="60"/>
      <c r="DR45" s="80" t="s">
        <v>11</v>
      </c>
      <c r="DS45" s="82"/>
      <c r="DT45" s="81">
        <f>LOGEST(DT14:DT$37)^4-1</f>
        <v>-0.1166674981777438</v>
      </c>
      <c r="DU45" s="81">
        <f>LOGEST(DU14:DU$37)^4-1</f>
        <v>-0.10245062647484771</v>
      </c>
      <c r="DV45" s="81">
        <f>LOGEST(DV14:DV$37)^4-1</f>
        <v>2.1400069692559587E-2</v>
      </c>
      <c r="DW45" s="212">
        <f>LOGEST(DW14:DW$37)^4-1</f>
        <v>5.4327568337726007E-2</v>
      </c>
      <c r="DX45" s="25" t="s">
        <v>13</v>
      </c>
      <c r="DY45" s="25"/>
      <c r="DZ45" s="25"/>
      <c r="EA45" s="25"/>
      <c r="EF45" s="79"/>
      <c r="EG45" s="79"/>
      <c r="EH45" s="79"/>
      <c r="EI45" s="79"/>
      <c r="EJ45" s="80" t="s">
        <v>11</v>
      </c>
      <c r="EK45" s="82"/>
      <c r="EL45" s="81" t="e">
        <f>LOGEST(EL14:EL$37)^4-1</f>
        <v>#NUM!</v>
      </c>
      <c r="EM45" s="81" t="e">
        <f>LOGEST(EM14:EM$37)^4-1</f>
        <v>#NUM!</v>
      </c>
      <c r="EN45" s="81" t="e">
        <f>LOGEST(EN14:EN$37)^4-1</f>
        <v>#NUM!</v>
      </c>
      <c r="EO45" s="212" t="e">
        <f>LOGEST(EO14:EO$37)^4-1</f>
        <v>#NUM!</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2"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2" t="e">
        <f>LOGEST(FY14:FY$37)^4-1</f>
        <v>#NUM!</v>
      </c>
    </row>
    <row r="46" spans="1:181" x14ac:dyDescent="0.25">
      <c r="B46" s="37" t="s">
        <v>54</v>
      </c>
      <c r="C46" s="25"/>
      <c r="D46" s="25"/>
      <c r="F46" s="24">
        <v>2.258</v>
      </c>
      <c r="J46" s="124"/>
      <c r="K46" s="78"/>
      <c r="L46" s="79"/>
      <c r="M46" s="78"/>
      <c r="N46" s="79"/>
      <c r="O46" s="4"/>
      <c r="P46" s="78"/>
      <c r="Q46" s="79"/>
      <c r="R46" s="78"/>
      <c r="S46" s="79"/>
      <c r="T46" s="37" t="s">
        <v>54</v>
      </c>
      <c r="U46" s="25"/>
      <c r="V46" s="25"/>
      <c r="X46" s="261">
        <f>$F$46</f>
        <v>2.258</v>
      </c>
      <c r="AB46" s="54"/>
      <c r="AC46" s="54"/>
      <c r="AD46" s="54"/>
      <c r="AE46" s="54"/>
      <c r="AF46" s="79"/>
      <c r="AG46" s="4"/>
      <c r="AH46" s="78"/>
      <c r="AI46" s="79"/>
      <c r="AJ46" s="78"/>
      <c r="AK46" s="79"/>
      <c r="AL46" s="37" t="s">
        <v>54</v>
      </c>
      <c r="AM46" s="25"/>
      <c r="AN46" s="25"/>
      <c r="AP46" s="261">
        <f>$F$46</f>
        <v>2.258</v>
      </c>
      <c r="AT46" s="60"/>
      <c r="AU46" s="60"/>
      <c r="AV46" s="60"/>
      <c r="AW46" s="60"/>
      <c r="AX46" s="79"/>
      <c r="AY46" s="4"/>
      <c r="AZ46" s="78"/>
      <c r="BA46" s="79"/>
      <c r="BB46" s="78"/>
      <c r="BC46" s="79"/>
      <c r="BD46" s="37" t="s">
        <v>54</v>
      </c>
      <c r="BE46" s="25"/>
      <c r="BF46" s="25"/>
      <c r="BH46" s="261">
        <f>$F$46</f>
        <v>2.258</v>
      </c>
      <c r="BL46" s="124"/>
      <c r="BM46" s="78"/>
      <c r="BN46" s="79"/>
      <c r="BO46" s="78"/>
      <c r="BP46" s="79"/>
      <c r="BQ46" s="4"/>
      <c r="BR46" s="78"/>
      <c r="BS46" s="79"/>
      <c r="BT46" s="78"/>
      <c r="BU46" s="79"/>
      <c r="BV46" s="37" t="s">
        <v>54</v>
      </c>
      <c r="BW46" s="25"/>
      <c r="BX46" s="25"/>
      <c r="BZ46" s="261">
        <f>$F$46</f>
        <v>2.258</v>
      </c>
      <c r="CD46" s="54"/>
      <c r="CE46" s="54"/>
      <c r="CF46" s="54"/>
      <c r="CG46" s="54"/>
      <c r="CH46" s="79"/>
      <c r="CI46" s="4"/>
      <c r="CJ46" s="78"/>
      <c r="CK46" s="79"/>
      <c r="CL46" s="78"/>
      <c r="CM46" s="79"/>
      <c r="CN46" s="37" t="s">
        <v>54</v>
      </c>
      <c r="CO46" s="25"/>
      <c r="CP46" s="25"/>
      <c r="CR46" s="261">
        <f>$F$46</f>
        <v>2.258</v>
      </c>
      <c r="CV46" s="124"/>
      <c r="CW46" s="78"/>
      <c r="CX46" s="79"/>
      <c r="CY46" s="78"/>
      <c r="CZ46" s="79"/>
      <c r="DA46" s="4"/>
      <c r="DB46" s="78"/>
      <c r="DC46" s="79"/>
      <c r="DD46" s="78"/>
      <c r="DE46" s="79"/>
      <c r="DF46" s="37" t="s">
        <v>54</v>
      </c>
      <c r="DG46" s="25"/>
      <c r="DH46" s="25"/>
      <c r="DJ46" s="261">
        <f>$F$46</f>
        <v>2.258</v>
      </c>
      <c r="DN46" s="124"/>
      <c r="DO46" s="78"/>
      <c r="DP46" s="79"/>
      <c r="DQ46" s="78"/>
      <c r="DR46" s="79"/>
      <c r="DS46" s="4"/>
      <c r="DT46" s="78"/>
      <c r="DU46" s="79"/>
      <c r="DV46" s="78"/>
      <c r="DW46" s="79"/>
      <c r="DX46" s="37" t="s">
        <v>54</v>
      </c>
      <c r="DY46" s="25"/>
      <c r="DZ46" s="25"/>
      <c r="EB46" s="261">
        <f>$F$46</f>
        <v>2.258</v>
      </c>
      <c r="EF46" s="79"/>
      <c r="EG46" s="79"/>
      <c r="EH46" s="79"/>
      <c r="EI46" s="79"/>
      <c r="EJ46" s="79"/>
      <c r="EK46" s="4"/>
      <c r="EL46" s="78"/>
      <c r="EM46" s="79"/>
      <c r="EN46" s="78"/>
      <c r="EO46" s="79"/>
      <c r="EP46" s="37" t="s">
        <v>54</v>
      </c>
      <c r="EQ46" s="25"/>
      <c r="ER46" s="25"/>
      <c r="ET46" s="261">
        <f>$F$46</f>
        <v>2.258</v>
      </c>
      <c r="EX46" s="78"/>
      <c r="EY46" s="78"/>
      <c r="EZ46" s="78"/>
      <c r="FA46" s="78"/>
      <c r="FB46" s="79"/>
      <c r="FC46" s="4"/>
      <c r="FD46" s="78"/>
      <c r="FE46" s="79"/>
      <c r="FF46" s="78"/>
      <c r="FG46" s="79"/>
      <c r="FH46" s="37" t="s">
        <v>54</v>
      </c>
      <c r="FI46" s="25"/>
      <c r="FJ46" s="25"/>
      <c r="FL46" s="261">
        <f>$F$46</f>
        <v>2.258</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1.7097854477575347</v>
      </c>
      <c r="F50" s="38"/>
      <c r="J50" s="54"/>
      <c r="K50" s="60"/>
      <c r="L50" s="58"/>
      <c r="M50" s="60"/>
      <c r="N50" s="58"/>
      <c r="P50" s="60"/>
      <c r="Q50" s="58"/>
      <c r="R50" s="60"/>
      <c r="S50" s="58"/>
      <c r="T50" s="38" t="s">
        <v>20</v>
      </c>
      <c r="W50" s="123">
        <f>(1+LTrnd_Cov2)^(X$46+5)</f>
        <v>1.0598289612402854</v>
      </c>
      <c r="AB50" s="54"/>
      <c r="AC50" s="60"/>
      <c r="AD50" s="58"/>
      <c r="AE50" s="60"/>
      <c r="AF50" s="58"/>
      <c r="AH50" s="60"/>
      <c r="AI50" s="58"/>
      <c r="AJ50" s="60"/>
      <c r="AK50" s="58"/>
      <c r="AL50" s="38" t="s">
        <v>20</v>
      </c>
      <c r="AO50" s="123">
        <f>(1+LTrnd_Cov3)^(AP$46+5)</f>
        <v>1.5025049458269455</v>
      </c>
      <c r="AT50" s="54"/>
      <c r="AU50" s="60"/>
      <c r="AV50" s="58"/>
      <c r="AW50" s="60"/>
      <c r="AX50" s="58"/>
      <c r="AZ50" s="60"/>
      <c r="BA50" s="58"/>
      <c r="BB50" s="60"/>
      <c r="BC50" s="58"/>
      <c r="BD50" s="38" t="s">
        <v>20</v>
      </c>
      <c r="BG50" s="123">
        <f>(1+LTrnd_Cov4)^(BH$46+5)</f>
        <v>2.461177022633203</v>
      </c>
      <c r="BL50" s="54"/>
      <c r="BM50" s="60"/>
      <c r="BN50" s="58"/>
      <c r="BO50" s="60"/>
      <c r="BP50" s="58"/>
      <c r="BR50" s="60"/>
      <c r="BS50" s="58"/>
      <c r="BT50" s="60"/>
      <c r="BU50" s="58"/>
      <c r="BV50" s="38" t="s">
        <v>20</v>
      </c>
      <c r="BY50" s="123">
        <f>(1+LTrnd_Cov5)^(BZ$46+5)</f>
        <v>1.8258866284381536</v>
      </c>
      <c r="CD50" s="54"/>
      <c r="CE50" s="60"/>
      <c r="CF50" s="58"/>
      <c r="CG50" s="60"/>
      <c r="CH50" s="58"/>
      <c r="CJ50" s="60"/>
      <c r="CK50" s="58"/>
      <c r="CL50" s="60"/>
      <c r="CM50" s="58"/>
      <c r="CN50" s="38" t="s">
        <v>20</v>
      </c>
      <c r="CQ50" s="123">
        <f>(1+LTrnd_Cov6)^(CR$46+5)</f>
        <v>1.6508885497956851</v>
      </c>
      <c r="CV50" s="54"/>
      <c r="CW50" s="60"/>
      <c r="CX50" s="58"/>
      <c r="CY50" s="60"/>
      <c r="CZ50" s="58"/>
      <c r="DB50" s="60"/>
      <c r="DC50" s="58"/>
      <c r="DD50" s="60"/>
      <c r="DE50" s="58"/>
      <c r="DF50" s="38" t="s">
        <v>20</v>
      </c>
      <c r="DI50" s="123" t="e">
        <f>(1+LTrnd_Cov7)^(DJ$46+5)</f>
        <v>#NUM!</v>
      </c>
      <c r="DN50" s="54"/>
      <c r="DO50" s="60"/>
      <c r="DP50" s="58"/>
      <c r="DQ50" s="60"/>
      <c r="DR50" s="58"/>
      <c r="DT50" s="60"/>
      <c r="DU50" s="58"/>
      <c r="DV50" s="60"/>
      <c r="DW50" s="58"/>
      <c r="DX50" s="38" t="s">
        <v>20</v>
      </c>
      <c r="EA50" s="123" t="e">
        <f>(1+LTrnd_Cov8)^(EB$46+5)</f>
        <v>#N/A</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1.5879877682262333</v>
      </c>
      <c r="F51" s="38"/>
      <c r="J51" s="54"/>
      <c r="K51" s="60"/>
      <c r="L51" s="58"/>
      <c r="M51" s="60"/>
      <c r="N51" s="58"/>
      <c r="P51" s="60"/>
      <c r="Q51" s="58"/>
      <c r="R51" s="60"/>
      <c r="S51" s="58"/>
      <c r="T51" s="38" t="s">
        <v>19</v>
      </c>
      <c r="W51" s="46">
        <f>(1+LTrnd_Cov2)^(X$46+4)</f>
        <v>1.0513778470128428</v>
      </c>
      <c r="AB51" s="54"/>
      <c r="AC51" s="60"/>
      <c r="AD51" s="58"/>
      <c r="AE51" s="60"/>
      <c r="AF51" s="58"/>
      <c r="AH51" s="60"/>
      <c r="AI51" s="58"/>
      <c r="AJ51" s="60"/>
      <c r="AK51" s="58"/>
      <c r="AL51" s="38" t="s">
        <v>19</v>
      </c>
      <c r="AO51" s="46">
        <f>(1+LTrnd_Cov3)^(AP$46+4)</f>
        <v>1.4205430199990865</v>
      </c>
      <c r="AT51" s="54"/>
      <c r="AU51" s="60"/>
      <c r="AV51" s="58"/>
      <c r="AW51" s="60"/>
      <c r="AX51" s="58"/>
      <c r="AZ51" s="60"/>
      <c r="BA51" s="58"/>
      <c r="BB51" s="60"/>
      <c r="BC51" s="58"/>
      <c r="BD51" s="38" t="s">
        <v>19</v>
      </c>
      <c r="BG51" s="46">
        <f>(1+LTrnd_Cov4)^(BH$46+4)</f>
        <v>2.1739601549507923</v>
      </c>
      <c r="BL51" s="54"/>
      <c r="BM51" s="60"/>
      <c r="BN51" s="58"/>
      <c r="BO51" s="60"/>
      <c r="BP51" s="58"/>
      <c r="BR51" s="60"/>
      <c r="BS51" s="58"/>
      <c r="BT51" s="60"/>
      <c r="BU51" s="58"/>
      <c r="BV51" s="38" t="s">
        <v>19</v>
      </c>
      <c r="BY51" s="46">
        <f>(1+LTrnd_Cov5)^(BZ$46+4)</f>
        <v>1.6805374992449669</v>
      </c>
      <c r="CD51" s="54"/>
      <c r="CE51" s="60"/>
      <c r="CF51" s="58"/>
      <c r="CG51" s="60"/>
      <c r="CH51" s="58"/>
      <c r="CJ51" s="60"/>
      <c r="CK51" s="58"/>
      <c r="CL51" s="60"/>
      <c r="CM51" s="58"/>
      <c r="CN51" s="38" t="s">
        <v>19</v>
      </c>
      <c r="CQ51" s="46">
        <f>(1+LTrnd_Cov6)^(CR$46+4)</f>
        <v>1.5407097120788282</v>
      </c>
      <c r="CV51" s="54"/>
      <c r="CW51" s="60"/>
      <c r="CX51" s="58"/>
      <c r="CY51" s="60"/>
      <c r="CZ51" s="58"/>
      <c r="DB51" s="60"/>
      <c r="DC51" s="58"/>
      <c r="DD51" s="60"/>
      <c r="DE51" s="58"/>
      <c r="DF51" s="38" t="s">
        <v>19</v>
      </c>
      <c r="DI51" s="46" t="e">
        <f>(1+LTrnd_Cov7)^(DJ$46+4)</f>
        <v>#NUM!</v>
      </c>
      <c r="DN51" s="54"/>
      <c r="DO51" s="60"/>
      <c r="DP51" s="58"/>
      <c r="DQ51" s="60"/>
      <c r="DR51" s="58"/>
      <c r="DT51" s="60"/>
      <c r="DU51" s="58"/>
      <c r="DV51" s="60"/>
      <c r="DW51" s="58"/>
      <c r="DX51" s="38" t="s">
        <v>19</v>
      </c>
      <c r="EA51" s="46" t="e">
        <f>(1+LTrnd_Cov8)^(EB$46+4)</f>
        <v>#N/A</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1.4748664256930424</v>
      </c>
      <c r="F52" s="38"/>
      <c r="J52" s="54"/>
      <c r="K52" s="60"/>
      <c r="L52" s="58"/>
      <c r="M52" s="60"/>
      <c r="N52" s="58"/>
      <c r="P52" s="60"/>
      <c r="Q52" s="58"/>
      <c r="R52" s="60"/>
      <c r="S52" s="58"/>
      <c r="T52" s="38" t="s">
        <v>18</v>
      </c>
      <c r="W52" s="46">
        <f>(1+LTrnd_Cov2)^(X$46+3)</f>
        <v>1.0429941222739847</v>
      </c>
      <c r="AB52" s="54"/>
      <c r="AC52" s="60"/>
      <c r="AD52" s="58"/>
      <c r="AE52" s="60"/>
      <c r="AF52" s="58"/>
      <c r="AH52" s="60"/>
      <c r="AI52" s="58"/>
      <c r="AJ52" s="60"/>
      <c r="AK52" s="58"/>
      <c r="AL52" s="38" t="s">
        <v>18</v>
      </c>
      <c r="AO52" s="46">
        <f>(1+LTrnd_Cov3)^(AP$46+3)</f>
        <v>1.3430521325555398</v>
      </c>
      <c r="AT52" s="54"/>
      <c r="AU52" s="60"/>
      <c r="AV52" s="58"/>
      <c r="AW52" s="60"/>
      <c r="AX52" s="58"/>
      <c r="AZ52" s="60"/>
      <c r="BA52" s="58"/>
      <c r="BB52" s="60"/>
      <c r="BC52" s="58"/>
      <c r="BD52" s="38" t="s">
        <v>18</v>
      </c>
      <c r="BG52" s="46">
        <f>(1+LTrnd_Cov4)^(BH$46+3)</f>
        <v>1.920261205046208</v>
      </c>
      <c r="BL52" s="54"/>
      <c r="BM52" s="60"/>
      <c r="BN52" s="58"/>
      <c r="BO52" s="60"/>
      <c r="BP52" s="58"/>
      <c r="BR52" s="60"/>
      <c r="BS52" s="58"/>
      <c r="BT52" s="60"/>
      <c r="BU52" s="58"/>
      <c r="BV52" s="38" t="s">
        <v>18</v>
      </c>
      <c r="BY52" s="46">
        <f>(1+LTrnd_Cov5)^(BZ$46+3)</f>
        <v>1.5467588416397611</v>
      </c>
      <c r="CD52" s="54"/>
      <c r="CE52" s="60"/>
      <c r="CF52" s="58"/>
      <c r="CG52" s="60"/>
      <c r="CH52" s="58"/>
      <c r="CJ52" s="60"/>
      <c r="CK52" s="58"/>
      <c r="CL52" s="60"/>
      <c r="CM52" s="58"/>
      <c r="CN52" s="38" t="s">
        <v>18</v>
      </c>
      <c r="CQ52" s="46">
        <f>(1+LTrnd_Cov6)^(CR$46+3)</f>
        <v>1.4378841122786921</v>
      </c>
      <c r="CV52" s="54"/>
      <c r="CW52" s="60"/>
      <c r="CX52" s="58"/>
      <c r="CY52" s="60"/>
      <c r="CZ52" s="58"/>
      <c r="DB52" s="60"/>
      <c r="DC52" s="58"/>
      <c r="DD52" s="60"/>
      <c r="DE52" s="58"/>
      <c r="DF52" s="38" t="s">
        <v>18</v>
      </c>
      <c r="DI52" s="46" t="e">
        <f>(1+LTrnd_Cov7)^(DJ$46+3)</f>
        <v>#NUM!</v>
      </c>
      <c r="DN52" s="54"/>
      <c r="DO52" s="60"/>
      <c r="DP52" s="58"/>
      <c r="DQ52" s="60"/>
      <c r="DR52" s="58"/>
      <c r="DT52" s="60"/>
      <c r="DU52" s="58"/>
      <c r="DV52" s="60"/>
      <c r="DW52" s="58"/>
      <c r="DX52" s="38" t="s">
        <v>18</v>
      </c>
      <c r="EA52" s="46" t="e">
        <f>(1+LTrnd_Cov8)^(EB$46+3)</f>
        <v>#N/A</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1.3698033556431495</v>
      </c>
      <c r="J53" s="54"/>
      <c r="K53" s="60"/>
      <c r="L53" s="58"/>
      <c r="M53" s="60"/>
      <c r="N53" s="58"/>
      <c r="P53" s="60"/>
      <c r="Q53" s="58"/>
      <c r="R53" s="60"/>
      <c r="S53" s="58"/>
      <c r="T53" s="38" t="s">
        <v>17</v>
      </c>
      <c r="W53" s="46">
        <f>(1+LTrnd_Cov2)^(X$46+2)</f>
        <v>1.0346772496575076</v>
      </c>
      <c r="AB53" s="54"/>
      <c r="AC53" s="60"/>
      <c r="AD53" s="58"/>
      <c r="AE53" s="60"/>
      <c r="AF53" s="58"/>
      <c r="AH53" s="60"/>
      <c r="AI53" s="58"/>
      <c r="AJ53" s="60"/>
      <c r="AK53" s="58"/>
      <c r="AL53" s="38" t="s">
        <v>17</v>
      </c>
      <c r="AO53" s="46">
        <f>(1+LTrnd_Cov3)^(AP$46+2)</f>
        <v>1.2697883875161649</v>
      </c>
      <c r="AT53" s="54"/>
      <c r="AU53" s="60"/>
      <c r="AV53" s="58"/>
      <c r="AW53" s="60"/>
      <c r="AX53" s="58"/>
      <c r="AZ53" s="60"/>
      <c r="BA53" s="58"/>
      <c r="BB53" s="60"/>
      <c r="BC53" s="58"/>
      <c r="BD53" s="38" t="s">
        <v>17</v>
      </c>
      <c r="BG53" s="46">
        <f>(1+LTrnd_Cov4)^(BH$46+2)</f>
        <v>1.6961686658369228</v>
      </c>
      <c r="BL53" s="54"/>
      <c r="BM53" s="60"/>
      <c r="BN53" s="58"/>
      <c r="BO53" s="60"/>
      <c r="BP53" s="58"/>
      <c r="BR53" s="60"/>
      <c r="BS53" s="58"/>
      <c r="BT53" s="60"/>
      <c r="BU53" s="58"/>
      <c r="BV53" s="38" t="s">
        <v>17</v>
      </c>
      <c r="BY53" s="46">
        <f>(1+LTrnd_Cov5)^(BZ$46+2)</f>
        <v>1.4236295918809683</v>
      </c>
      <c r="CD53" s="54"/>
      <c r="CE53" s="60"/>
      <c r="CF53" s="58"/>
      <c r="CG53" s="60"/>
      <c r="CH53" s="58"/>
      <c r="CJ53" s="60"/>
      <c r="CK53" s="58"/>
      <c r="CL53" s="60"/>
      <c r="CM53" s="58"/>
      <c r="CN53" s="38" t="s">
        <v>17</v>
      </c>
      <c r="CQ53" s="46">
        <f>(1+LTrnd_Cov6)^(CR$46+2)</f>
        <v>1.3419210018179604</v>
      </c>
      <c r="CV53" s="54"/>
      <c r="CW53" s="60"/>
      <c r="CX53" s="58"/>
      <c r="CY53" s="60"/>
      <c r="CZ53" s="58"/>
      <c r="DB53" s="60"/>
      <c r="DC53" s="58"/>
      <c r="DD53" s="60"/>
      <c r="DE53" s="58"/>
      <c r="DF53" s="38" t="s">
        <v>17</v>
      </c>
      <c r="DI53" s="46" t="e">
        <f>(1+LTrnd_Cov7)^(DJ$46+2)</f>
        <v>#NUM!</v>
      </c>
      <c r="DN53" s="54"/>
      <c r="DO53" s="60"/>
      <c r="DP53" s="58"/>
      <c r="DQ53" s="60"/>
      <c r="DR53" s="58"/>
      <c r="DT53" s="60"/>
      <c r="DU53" s="58"/>
      <c r="DV53" s="60"/>
      <c r="DW53" s="58"/>
      <c r="DX53" s="38" t="s">
        <v>17</v>
      </c>
      <c r="EA53" s="46" t="e">
        <f>(1+LTrnd_Cov8)^(EB$46+2)</f>
        <v>#N/A</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1.2722245217898476</v>
      </c>
      <c r="J54" s="54"/>
      <c r="K54" s="60"/>
      <c r="L54" s="58"/>
      <c r="M54" s="60"/>
      <c r="N54" s="58"/>
      <c r="P54" s="60"/>
      <c r="Q54" s="58"/>
      <c r="R54" s="60"/>
      <c r="S54" s="58"/>
      <c r="T54" s="38" t="s">
        <v>16</v>
      </c>
      <c r="W54" s="46">
        <f>(1+LTrnd_Cov2)^(X$46+1)</f>
        <v>1.0264266960821848</v>
      </c>
      <c r="AB54" s="54"/>
      <c r="AC54" s="60"/>
      <c r="AD54" s="58"/>
      <c r="AE54" s="60"/>
      <c r="AF54" s="58"/>
      <c r="AH54" s="60"/>
      <c r="AI54" s="58"/>
      <c r="AJ54" s="60"/>
      <c r="AK54" s="58"/>
      <c r="AL54" s="38" t="s">
        <v>16</v>
      </c>
      <c r="AO54" s="46">
        <f>(1+LTrnd_Cov3)^(AP$46+1)</f>
        <v>1.2005211934721569</v>
      </c>
      <c r="AT54" s="54"/>
      <c r="AU54" s="60"/>
      <c r="AV54" s="58"/>
      <c r="AW54" s="60"/>
      <c r="AX54" s="58"/>
      <c r="AZ54" s="60"/>
      <c r="BA54" s="58"/>
      <c r="BB54" s="60"/>
      <c r="BC54" s="58"/>
      <c r="BD54" s="38" t="s">
        <v>16</v>
      </c>
      <c r="BG54" s="46">
        <f>(1+LTrnd_Cov4)^(BH$46+1)</f>
        <v>1.4982274991582596</v>
      </c>
      <c r="BL54" s="54"/>
      <c r="BM54" s="60"/>
      <c r="BN54" s="58"/>
      <c r="BO54" s="60"/>
      <c r="BP54" s="58"/>
      <c r="BR54" s="60"/>
      <c r="BS54" s="58"/>
      <c r="BT54" s="60"/>
      <c r="BU54" s="58"/>
      <c r="BV54" s="38" t="s">
        <v>16</v>
      </c>
      <c r="BY54" s="46">
        <f>(1+LTrnd_Cov5)^(BZ$46+1)</f>
        <v>1.3103020072156757</v>
      </c>
      <c r="CD54" s="54"/>
      <c r="CE54" s="60"/>
      <c r="CF54" s="58"/>
      <c r="CG54" s="60"/>
      <c r="CH54" s="58"/>
      <c r="CJ54" s="60"/>
      <c r="CK54" s="58"/>
      <c r="CL54" s="60"/>
      <c r="CM54" s="58"/>
      <c r="CN54" s="38" t="s">
        <v>16</v>
      </c>
      <c r="CQ54" s="46">
        <f>(1+LTrnd_Cov6)^(CR$46+1)</f>
        <v>1.2523623842441447</v>
      </c>
      <c r="CV54" s="54"/>
      <c r="CW54" s="60"/>
      <c r="CX54" s="58"/>
      <c r="CY54" s="60"/>
      <c r="CZ54" s="58"/>
      <c r="DB54" s="60"/>
      <c r="DC54" s="58"/>
      <c r="DD54" s="60"/>
      <c r="DE54" s="58"/>
      <c r="DF54" s="38" t="s">
        <v>16</v>
      </c>
      <c r="DI54" s="46" t="e">
        <f>(1+LTrnd_Cov7)^(DJ$46+1)</f>
        <v>#NUM!</v>
      </c>
      <c r="DN54" s="54"/>
      <c r="DO54" s="60"/>
      <c r="DP54" s="58"/>
      <c r="DQ54" s="60"/>
      <c r="DR54" s="58"/>
      <c r="DT54" s="60"/>
      <c r="DU54" s="58"/>
      <c r="DV54" s="60"/>
      <c r="DW54" s="58"/>
      <c r="DX54" s="38" t="s">
        <v>16</v>
      </c>
      <c r="EA54" s="46" t="e">
        <f>(1+LTrnd_Cov8)^(EB$46+1)</f>
        <v>#N/A</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1.1815967796950411</v>
      </c>
      <c r="J55" s="54"/>
      <c r="K55" s="60"/>
      <c r="L55" s="58"/>
      <c r="M55" s="60"/>
      <c r="N55" s="58"/>
      <c r="P55" s="60"/>
      <c r="Q55" s="58"/>
      <c r="R55" s="60"/>
      <c r="S55" s="58"/>
      <c r="T55" s="38" t="s">
        <v>15</v>
      </c>
      <c r="W55" s="46">
        <f>(1+LTrnd_Cov2)^(X$46+0)</f>
        <v>1.0182419327175987</v>
      </c>
      <c r="AB55" s="54"/>
      <c r="AC55" s="60"/>
      <c r="AD55" s="58"/>
      <c r="AE55" s="60"/>
      <c r="AF55" s="58"/>
      <c r="AH55" s="60"/>
      <c r="AI55" s="58"/>
      <c r="AJ55" s="60"/>
      <c r="AK55" s="58"/>
      <c r="AL55" s="38" t="s">
        <v>15</v>
      </c>
      <c r="AO55" s="46">
        <f>(1+LTrnd_Cov3)^(AP$46+0)</f>
        <v>1.1350325378191919</v>
      </c>
      <c r="AT55" s="54"/>
      <c r="AU55" s="60"/>
      <c r="AV55" s="58"/>
      <c r="AW55" s="60"/>
      <c r="AX55" s="58"/>
      <c r="AZ55" s="60"/>
      <c r="BA55" s="58"/>
      <c r="BB55" s="60"/>
      <c r="BC55" s="58"/>
      <c r="BD55" s="38" t="s">
        <v>15</v>
      </c>
      <c r="BG55" s="46">
        <f>(1+LTrnd_Cov4)^(BH$46+0)</f>
        <v>1.3233858663026541</v>
      </c>
      <c r="BL55" s="54"/>
      <c r="BM55" s="60"/>
      <c r="BN55" s="58"/>
      <c r="BO55" s="60"/>
      <c r="BP55" s="58"/>
      <c r="BR55" s="60"/>
      <c r="BS55" s="58"/>
      <c r="BT55" s="60"/>
      <c r="BU55" s="58"/>
      <c r="BV55" s="38" t="s">
        <v>15</v>
      </c>
      <c r="BY55" s="46">
        <f>(1+LTrnd_Cov5)^(BZ$46+0)</f>
        <v>1.2059958291854476</v>
      </c>
      <c r="CD55" s="54"/>
      <c r="CE55" s="60"/>
      <c r="CF55" s="58"/>
      <c r="CG55" s="60"/>
      <c r="CH55" s="58"/>
      <c r="CJ55" s="60"/>
      <c r="CK55" s="58"/>
      <c r="CL55" s="60"/>
      <c r="CM55" s="58"/>
      <c r="CN55" s="38" t="s">
        <v>15</v>
      </c>
      <c r="CQ55" s="46">
        <f>(1+LTrnd_Cov6)^(CR$46+0)</f>
        <v>1.1687808293818203</v>
      </c>
      <c r="CV55" s="54"/>
      <c r="CW55" s="60"/>
      <c r="CX55" s="58"/>
      <c r="CY55" s="60"/>
      <c r="CZ55" s="58"/>
      <c r="DB55" s="60"/>
      <c r="DC55" s="58"/>
      <c r="DD55" s="60"/>
      <c r="DE55" s="58"/>
      <c r="DF55" s="38" t="s">
        <v>15</v>
      </c>
      <c r="DI55" s="46" t="e">
        <f>(1+LTrnd_Cov7)^(DJ$46+0)</f>
        <v>#NUM!</v>
      </c>
      <c r="DN55" s="54"/>
      <c r="DO55" s="60"/>
      <c r="DP55" s="58"/>
      <c r="DQ55" s="60"/>
      <c r="DR55" s="58"/>
      <c r="DT55" s="60"/>
      <c r="DU55" s="58"/>
      <c r="DV55" s="60"/>
      <c r="DW55" s="58"/>
      <c r="DX55" s="38" t="s">
        <v>15</v>
      </c>
      <c r="EA55" s="46" t="e">
        <f>(1+LTrnd_Cov8)^(EB$46+0)</f>
        <v>#N/A</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Mutual Automobile Insurance Company</v>
      </c>
      <c r="C56" s="47"/>
      <c r="D56" s="47"/>
      <c r="E56" s="47"/>
      <c r="F56" s="47"/>
      <c r="G56" s="47"/>
      <c r="H56" s="47"/>
      <c r="I56" s="47"/>
      <c r="J56" s="47"/>
      <c r="K56" s="47"/>
      <c r="L56" s="47"/>
      <c r="M56" s="47"/>
      <c r="N56" s="47"/>
      <c r="O56" s="47"/>
      <c r="P56" s="47"/>
      <c r="Q56" s="45"/>
      <c r="R56" s="45"/>
      <c r="S56" s="2"/>
      <c r="T56" s="67" t="str">
        <f>T1</f>
        <v>State Farm Mutual Automobile Insurance Company</v>
      </c>
      <c r="U56" s="47"/>
      <c r="V56" s="47"/>
      <c r="W56" s="47"/>
      <c r="X56" s="47"/>
      <c r="Y56" s="47"/>
      <c r="Z56" s="47"/>
      <c r="AA56" s="47"/>
      <c r="AB56" s="47"/>
      <c r="AC56" s="47"/>
      <c r="AD56" s="47"/>
      <c r="AE56" s="47"/>
      <c r="AF56" s="47"/>
      <c r="AG56" s="47"/>
      <c r="AH56" s="47"/>
      <c r="AI56" s="45"/>
      <c r="AJ56" s="45"/>
      <c r="AK56" s="2"/>
      <c r="AL56" s="67" t="str">
        <f>AL1</f>
        <v>State Farm Mutual Automobile Insurance Company</v>
      </c>
      <c r="AM56" s="47"/>
      <c r="AN56" s="47"/>
      <c r="AO56" s="47"/>
      <c r="AP56" s="47"/>
      <c r="AQ56" s="47"/>
      <c r="AR56" s="47"/>
      <c r="AS56" s="47"/>
      <c r="AT56" s="47"/>
      <c r="AU56" s="47"/>
      <c r="AV56" s="47"/>
      <c r="AW56" s="47"/>
      <c r="AX56" s="47"/>
      <c r="AY56" s="47"/>
      <c r="AZ56" s="47"/>
      <c r="BA56" s="45"/>
      <c r="BB56" s="45"/>
      <c r="BC56" s="2"/>
      <c r="BD56" s="67" t="str">
        <f>BD1</f>
        <v>State Farm Mutual Automobile Insurance Company</v>
      </c>
      <c r="BE56" s="47"/>
      <c r="BF56" s="47"/>
      <c r="BG56" s="47"/>
      <c r="BH56" s="47"/>
      <c r="BI56" s="47"/>
      <c r="BJ56" s="47"/>
      <c r="BK56" s="47"/>
      <c r="BL56" s="47"/>
      <c r="BM56" s="47"/>
      <c r="BN56" s="47"/>
      <c r="BO56" s="47"/>
      <c r="BP56" s="47"/>
      <c r="BQ56" s="47"/>
      <c r="BR56" s="47"/>
      <c r="BS56" s="45"/>
      <c r="BT56" s="45"/>
      <c r="BU56" s="2"/>
      <c r="BV56" s="67" t="str">
        <f>BV1</f>
        <v>State Farm Mutual Automobile Insurance Company</v>
      </c>
      <c r="BW56" s="47"/>
      <c r="BX56" s="47"/>
      <c r="BY56" s="47"/>
      <c r="BZ56" s="47"/>
      <c r="CA56" s="47"/>
      <c r="CB56" s="47"/>
      <c r="CC56" s="47"/>
      <c r="CD56" s="47"/>
      <c r="CE56" s="47"/>
      <c r="CF56" s="47"/>
      <c r="CG56" s="47"/>
      <c r="CH56" s="47"/>
      <c r="CI56" s="47"/>
      <c r="CJ56" s="47"/>
      <c r="CK56" s="45"/>
      <c r="CL56" s="45"/>
      <c r="CM56" s="2"/>
      <c r="CN56" s="67" t="str">
        <f>CN1</f>
        <v>State Farm Mutual Automobile Insurance Company</v>
      </c>
      <c r="CO56" s="47"/>
      <c r="CP56" s="47"/>
      <c r="CQ56" s="47"/>
      <c r="CR56" s="47"/>
      <c r="CS56" s="47"/>
      <c r="CT56" s="47"/>
      <c r="CU56" s="47"/>
      <c r="CV56" s="47"/>
      <c r="CW56" s="47"/>
      <c r="CX56" s="47"/>
      <c r="CY56" s="47"/>
      <c r="CZ56" s="47"/>
      <c r="DA56" s="47"/>
      <c r="DB56" s="47"/>
      <c r="DC56" s="45"/>
      <c r="DD56" s="45"/>
      <c r="DE56" s="2"/>
      <c r="DF56" s="67" t="str">
        <f>DF1</f>
        <v>State Farm Mutual Automobile Insurance Company</v>
      </c>
      <c r="DG56" s="47"/>
      <c r="DH56" s="47"/>
      <c r="DI56" s="47"/>
      <c r="DJ56" s="47"/>
      <c r="DK56" s="47"/>
      <c r="DL56" s="47"/>
      <c r="DM56" s="47"/>
      <c r="DN56" s="47"/>
      <c r="DO56" s="47"/>
      <c r="DP56" s="47"/>
      <c r="DQ56" s="47"/>
      <c r="DR56" s="47"/>
      <c r="DS56" s="47"/>
      <c r="DT56" s="47"/>
      <c r="DU56" s="45"/>
      <c r="DV56" s="45"/>
      <c r="DW56" s="2"/>
      <c r="DX56" s="67" t="str">
        <f>DX1</f>
        <v>State Farm Mutual Automobile Insurance Company</v>
      </c>
      <c r="DY56" s="47"/>
      <c r="DZ56" s="47"/>
      <c r="EA56" s="47"/>
      <c r="EB56" s="47"/>
      <c r="EC56" s="47"/>
      <c r="ED56" s="47"/>
      <c r="EE56" s="47"/>
      <c r="EF56" s="47"/>
      <c r="EG56" s="47"/>
      <c r="EH56" s="47"/>
      <c r="EI56" s="47"/>
      <c r="EJ56" s="47"/>
      <c r="EK56" s="47"/>
      <c r="EL56" s="47"/>
      <c r="EM56" s="45"/>
      <c r="EN56" s="45"/>
      <c r="EO56" s="2"/>
      <c r="EP56" s="67" t="str">
        <f>EP1</f>
        <v>State Farm Mutual Automobile Insurance Company</v>
      </c>
      <c r="EQ56" s="47"/>
      <c r="ER56" s="47"/>
      <c r="ES56" s="47"/>
      <c r="ET56" s="47"/>
      <c r="EU56" s="47"/>
      <c r="EV56" s="47"/>
      <c r="EW56" s="47"/>
      <c r="EX56" s="47"/>
      <c r="EY56" s="47"/>
      <c r="EZ56" s="47"/>
      <c r="FA56" s="47"/>
      <c r="FB56" s="47"/>
      <c r="FC56" s="47"/>
      <c r="FD56" s="47"/>
      <c r="FE56" s="45"/>
      <c r="FF56" s="45"/>
      <c r="FG56" s="2"/>
      <c r="FH56" s="67" t="str">
        <f>FH1</f>
        <v>State Farm Mutual Automobile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Private Passenger Auto Liability</v>
      </c>
      <c r="C57" s="47"/>
      <c r="D57" s="47"/>
      <c r="E57" s="47"/>
      <c r="F57" s="47"/>
      <c r="G57" s="47"/>
      <c r="H57" s="47"/>
      <c r="I57" s="47"/>
      <c r="J57" s="47"/>
      <c r="K57" s="47"/>
      <c r="L57" s="47"/>
      <c r="M57" s="47"/>
      <c r="N57" s="47"/>
      <c r="O57" s="47"/>
      <c r="P57" s="47"/>
      <c r="Q57" s="45"/>
      <c r="R57" s="45"/>
      <c r="S57" s="2"/>
      <c r="T57" s="67" t="str">
        <f>T2</f>
        <v>Private Passenger Auto Liability</v>
      </c>
      <c r="U57" s="47"/>
      <c r="V57" s="47"/>
      <c r="W57" s="47"/>
      <c r="X57" s="47"/>
      <c r="Y57" s="47"/>
      <c r="Z57" s="47"/>
      <c r="AA57" s="47"/>
      <c r="AB57" s="47"/>
      <c r="AC57" s="47"/>
      <c r="AD57" s="47"/>
      <c r="AE57" s="47"/>
      <c r="AF57" s="47"/>
      <c r="AG57" s="47"/>
      <c r="AH57" s="47"/>
      <c r="AI57" s="45"/>
      <c r="AJ57" s="45"/>
      <c r="AK57" s="2"/>
      <c r="AL57" s="67" t="str">
        <f>AL2</f>
        <v>Private Passenger Auto Liability</v>
      </c>
      <c r="AM57" s="47"/>
      <c r="AN57" s="47"/>
      <c r="AO57" s="47"/>
      <c r="AP57" s="47"/>
      <c r="AQ57" s="47"/>
      <c r="AR57" s="47"/>
      <c r="AS57" s="47"/>
      <c r="AT57" s="47"/>
      <c r="AU57" s="47"/>
      <c r="AV57" s="47"/>
      <c r="AW57" s="47"/>
      <c r="AX57" s="47"/>
      <c r="AY57" s="47"/>
      <c r="AZ57" s="47"/>
      <c r="BA57" s="45"/>
      <c r="BB57" s="45"/>
      <c r="BC57" s="2"/>
      <c r="BD57" s="67" t="str">
        <f>BD2</f>
        <v>Private Passenger Auto Liability</v>
      </c>
      <c r="BE57" s="47"/>
      <c r="BF57" s="47"/>
      <c r="BG57" s="47"/>
      <c r="BH57" s="47"/>
      <c r="BI57" s="47"/>
      <c r="BJ57" s="47"/>
      <c r="BK57" s="47"/>
      <c r="BL57" s="47"/>
      <c r="BM57" s="47"/>
      <c r="BN57" s="47"/>
      <c r="BO57" s="47"/>
      <c r="BP57" s="47"/>
      <c r="BQ57" s="47"/>
      <c r="BR57" s="47"/>
      <c r="BS57" s="45"/>
      <c r="BT57" s="45"/>
      <c r="BU57" s="2"/>
      <c r="BV57" s="67" t="str">
        <f>BV2</f>
        <v>Private Passenger Auto Physical Damage</v>
      </c>
      <c r="BW57" s="47"/>
      <c r="BX57" s="47"/>
      <c r="BY57" s="47"/>
      <c r="BZ57" s="47"/>
      <c r="CA57" s="47"/>
      <c r="CB57" s="47"/>
      <c r="CC57" s="47"/>
      <c r="CD57" s="47"/>
      <c r="CE57" s="47"/>
      <c r="CF57" s="47"/>
      <c r="CG57" s="47"/>
      <c r="CH57" s="47"/>
      <c r="CI57" s="47"/>
      <c r="CJ57" s="47"/>
      <c r="CK57" s="45"/>
      <c r="CL57" s="45"/>
      <c r="CM57" s="2"/>
      <c r="CN57" s="67" t="str">
        <f>CN2</f>
        <v>Private Passenger Auto Physical Damage</v>
      </c>
      <c r="CO57" s="47"/>
      <c r="CP57" s="47"/>
      <c r="CQ57" s="47"/>
      <c r="CR57" s="47"/>
      <c r="CS57" s="47"/>
      <c r="CT57" s="47"/>
      <c r="CU57" s="47"/>
      <c r="CV57" s="47"/>
      <c r="CW57" s="47"/>
      <c r="CX57" s="47"/>
      <c r="CY57" s="47"/>
      <c r="CZ57" s="47"/>
      <c r="DA57" s="47"/>
      <c r="DB57" s="47"/>
      <c r="DC57" s="45"/>
      <c r="DD57" s="45"/>
      <c r="DE57" s="2"/>
      <c r="DF57" s="67" t="str">
        <f>DF2</f>
        <v>Private Passenger Auto Physical Damage</v>
      </c>
      <c r="DG57" s="47"/>
      <c r="DH57" s="47"/>
      <c r="DI57" s="47"/>
      <c r="DJ57" s="47"/>
      <c r="DK57" s="47"/>
      <c r="DL57" s="47"/>
      <c r="DM57" s="47"/>
      <c r="DN57" s="47"/>
      <c r="DO57" s="47"/>
      <c r="DP57" s="47"/>
      <c r="DQ57" s="47"/>
      <c r="DR57" s="47"/>
      <c r="DS57" s="47"/>
      <c r="DT57" s="47"/>
      <c r="DU57" s="45"/>
      <c r="DV57" s="45"/>
      <c r="DW57" s="2"/>
      <c r="DX57" s="67" t="str">
        <f>DX2</f>
        <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6" t="str">
        <f>IF(NOT(ISBLANK(CompSrc1)), Covg01 &amp; ", Source: " &amp; CompSrc1, "")</f>
        <v/>
      </c>
      <c r="C60" s="267"/>
      <c r="D60" s="268"/>
      <c r="E60" s="268"/>
      <c r="F60" s="268"/>
      <c r="G60" s="268"/>
      <c r="H60" s="268"/>
      <c r="I60" s="268"/>
      <c r="J60" s="268"/>
      <c r="K60" s="268"/>
      <c r="L60" s="268"/>
      <c r="M60" s="268"/>
      <c r="N60" s="268"/>
      <c r="O60" s="268"/>
      <c r="P60" s="268"/>
      <c r="Q60" s="269"/>
      <c r="R60" s="269"/>
      <c r="S60" s="269"/>
      <c r="T60" s="266" t="str">
        <f>IF(NOT(ISBLANK(CompSrc2)), Covg02 &amp; ", Source: " &amp; CompSrc2, "")</f>
        <v/>
      </c>
      <c r="U60" s="267"/>
      <c r="V60" s="268"/>
      <c r="W60" s="268"/>
      <c r="X60" s="268"/>
      <c r="Y60" s="268"/>
      <c r="Z60" s="268"/>
      <c r="AA60" s="268"/>
      <c r="AB60" s="268"/>
      <c r="AC60" s="268"/>
      <c r="AD60" s="268"/>
      <c r="AE60" s="268"/>
      <c r="AF60" s="268"/>
      <c r="AG60" s="268"/>
      <c r="AH60" s="268"/>
      <c r="AI60" s="269"/>
      <c r="AJ60" s="269"/>
      <c r="AK60" s="269"/>
      <c r="AL60" s="266" t="str">
        <f>IF(NOT(ISBLANK(CompSrc3)), Covg03 &amp; ", Source: " &amp; CompSrc3, "")</f>
        <v/>
      </c>
      <c r="AM60" s="267"/>
      <c r="AN60" s="268"/>
      <c r="AO60" s="268"/>
      <c r="AP60" s="268"/>
      <c r="AQ60" s="268"/>
      <c r="AR60" s="268"/>
      <c r="AS60" s="268"/>
      <c r="AT60" s="268"/>
      <c r="AU60" s="268"/>
      <c r="AV60" s="268"/>
      <c r="AW60" s="268"/>
      <c r="AX60" s="268"/>
      <c r="AY60" s="268"/>
      <c r="AZ60" s="268"/>
      <c r="BA60" s="269"/>
      <c r="BB60" s="269"/>
      <c r="BC60" s="269"/>
      <c r="BD60" s="266" t="str">
        <f>IF(NOT(ISBLANK(CompSrc4)), Covg04 &amp; ", Source: " &amp; CompSrc4, "")</f>
        <v/>
      </c>
      <c r="BE60" s="267"/>
      <c r="BF60" s="268"/>
      <c r="BG60" s="268"/>
      <c r="BH60" s="268"/>
      <c r="BI60" s="268"/>
      <c r="BJ60" s="268"/>
      <c r="BK60" s="268"/>
      <c r="BL60" s="268"/>
      <c r="BM60" s="268"/>
      <c r="BN60" s="268"/>
      <c r="BO60" s="268"/>
      <c r="BP60" s="268"/>
      <c r="BQ60" s="268"/>
      <c r="BR60" s="268"/>
      <c r="BS60" s="269"/>
      <c r="BT60" s="269"/>
      <c r="BU60" s="269"/>
      <c r="BV60" s="266" t="str">
        <f>IF(NOT(ISBLANK(CompSrc5)), Covg05 &amp; ", Source: " &amp; CompSrc5, "")</f>
        <v/>
      </c>
      <c r="BW60" s="267"/>
      <c r="BX60" s="268"/>
      <c r="BY60" s="268"/>
      <c r="BZ60" s="268"/>
      <c r="CA60" s="268"/>
      <c r="CB60" s="268"/>
      <c r="CC60" s="268"/>
      <c r="CD60" s="268"/>
      <c r="CE60" s="268"/>
      <c r="CF60" s="268"/>
      <c r="CG60" s="268"/>
      <c r="CH60" s="268"/>
      <c r="CI60" s="268"/>
      <c r="CJ60" s="268"/>
      <c r="CK60" s="269"/>
      <c r="CL60" s="269"/>
      <c r="CM60" s="269"/>
      <c r="CN60" s="266" t="str">
        <f>IF(NOT(ISBLANK(CompSrc6)), Covg06 &amp; ", Source: " &amp; CompSrc6, "")</f>
        <v/>
      </c>
      <c r="CO60" s="267"/>
      <c r="CP60" s="268"/>
      <c r="CQ60" s="268"/>
      <c r="CR60" s="268"/>
      <c r="CS60" s="268"/>
      <c r="CT60" s="268"/>
      <c r="CU60" s="268"/>
      <c r="CV60" s="268"/>
      <c r="CW60" s="268"/>
      <c r="CX60" s="268"/>
      <c r="CY60" s="268"/>
      <c r="CZ60" s="268"/>
      <c r="DA60" s="268"/>
      <c r="DB60" s="268"/>
      <c r="DC60" s="269"/>
      <c r="DD60" s="269"/>
      <c r="DE60" s="269"/>
      <c r="DF60" s="266" t="str">
        <f>IF(NOT(ISBLANK(CompSrc7)), Covg07 &amp; ", Source: " &amp; CompSrc7, "")</f>
        <v>Misc. Liability, Source: ISO Fast Track Bodily Injury and Property Damage</v>
      </c>
      <c r="DG60" s="267"/>
      <c r="DH60" s="268"/>
      <c r="DI60" s="268"/>
      <c r="DJ60" s="268"/>
      <c r="DK60" s="268"/>
      <c r="DL60" s="268"/>
      <c r="DM60" s="268"/>
      <c r="DN60" s="268"/>
      <c r="DO60" s="268"/>
      <c r="DP60" s="268"/>
      <c r="DQ60" s="268"/>
      <c r="DR60" s="268"/>
      <c r="DS60" s="268"/>
      <c r="DT60" s="268"/>
      <c r="DU60" s="269"/>
      <c r="DV60" s="269"/>
      <c r="DW60" s="269"/>
      <c r="DX60" s="266" t="str">
        <f>IF(NOT(ISBLANK(CompSrc8)), Covg08 &amp; ", Source: " &amp; CompSrc8, "")</f>
        <v/>
      </c>
      <c r="DY60" s="267"/>
      <c r="DZ60" s="268"/>
      <c r="EA60" s="268"/>
      <c r="EB60" s="268"/>
      <c r="EC60" s="268"/>
      <c r="ED60" s="268"/>
      <c r="EE60" s="268"/>
      <c r="EF60" s="268"/>
      <c r="EG60" s="268"/>
      <c r="EH60" s="268"/>
      <c r="EI60" s="268"/>
      <c r="EJ60" s="268"/>
      <c r="EK60" s="268"/>
      <c r="EL60" s="268"/>
      <c r="EM60" s="269"/>
      <c r="EN60" s="269"/>
      <c r="EO60" s="269"/>
      <c r="EP60" s="266" t="str">
        <f>IF(NOT(ISBLANK(CompSrc9)), Covg09 &amp; ", Source: " &amp; CompSrc9, "")</f>
        <v/>
      </c>
      <c r="EQ60" s="267"/>
      <c r="ER60" s="268"/>
      <c r="ES60" s="268"/>
      <c r="ET60" s="268"/>
      <c r="EU60" s="268"/>
      <c r="EV60" s="268"/>
      <c r="EW60" s="268"/>
      <c r="EX60" s="268"/>
      <c r="EY60" s="268"/>
      <c r="EZ60" s="268"/>
      <c r="FA60" s="268"/>
      <c r="FB60" s="268"/>
      <c r="FC60" s="268"/>
      <c r="FD60" s="268"/>
      <c r="FE60" s="269"/>
      <c r="FF60" s="269"/>
      <c r="FG60" s="269"/>
      <c r="FH60" s="266" t="str">
        <f>IF(NOT(ISBLANK(CompSrc10)), Covg10 &amp; ", Source: " &amp; CompSrc10, "")</f>
        <v/>
      </c>
      <c r="FI60" s="267"/>
      <c r="FJ60" s="268"/>
      <c r="FK60" s="268"/>
      <c r="FL60" s="268"/>
      <c r="FM60" s="268"/>
      <c r="FN60" s="268"/>
      <c r="FO60" s="268"/>
      <c r="FP60" s="268"/>
      <c r="FQ60" s="268"/>
      <c r="FR60" s="268"/>
      <c r="FS60" s="268"/>
      <c r="FT60" s="268"/>
      <c r="FU60" s="268"/>
      <c r="FV60" s="268"/>
      <c r="FW60" s="269"/>
      <c r="FX60" s="269"/>
      <c r="FY60" s="269"/>
    </row>
    <row r="61" spans="2:181" s="275" customFormat="1" ht="21" x14ac:dyDescent="0.35">
      <c r="B61" s="276" t="str">
        <f>IF(AND(ISBLANK(CompSrc1),OR(COUNTBLANK(D66:H92)&lt;&gt;135,NOT(ISBLANK(E100)))), "ERROR! Enter the source of your loss trend complement data in cell G21 on Page 1 (General).", "")</f>
        <v/>
      </c>
      <c r="C61" s="272"/>
      <c r="D61" s="273"/>
      <c r="E61" s="273"/>
      <c r="F61" s="273"/>
      <c r="G61" s="273"/>
      <c r="H61" s="273"/>
      <c r="I61" s="273"/>
      <c r="J61" s="273"/>
      <c r="K61" s="273"/>
      <c r="L61" s="273"/>
      <c r="M61" s="273"/>
      <c r="N61" s="273"/>
      <c r="O61" s="273"/>
      <c r="P61" s="273"/>
      <c r="Q61" s="274"/>
      <c r="R61" s="274"/>
      <c r="S61" s="274"/>
      <c r="T61" s="276" t="str">
        <f>IF(AND(ISBLANK(CompSrc2),OR(COUNTBLANK(V66:Z92)&lt;&gt;135,NOT(ISBLANK(W100)))), "ERROR! Enter the source of your loss trend complement data in cell G22 on Page 1 (General).", "")</f>
        <v/>
      </c>
      <c r="U61" s="272"/>
      <c r="V61" s="273"/>
      <c r="W61" s="273"/>
      <c r="X61" s="273"/>
      <c r="Y61" s="273"/>
      <c r="Z61" s="273"/>
      <c r="AA61" s="273"/>
      <c r="AB61" s="273"/>
      <c r="AC61" s="273"/>
      <c r="AD61" s="273"/>
      <c r="AE61" s="273"/>
      <c r="AF61" s="273"/>
      <c r="AG61" s="273"/>
      <c r="AH61" s="273"/>
      <c r="AI61" s="274"/>
      <c r="AJ61" s="274"/>
      <c r="AK61" s="274"/>
      <c r="AL61" s="276" t="str">
        <f>IF(AND(ISBLANK(CompSrc3),OR(COUNTBLANK(AN66:AR92)&lt;&gt;135,NOT(ISBLANK(AO100)))), "ERROR! Enter the source of your loss trend complement data in cell G23 on Page 1 (General).", "")</f>
        <v/>
      </c>
      <c r="AM61" s="272"/>
      <c r="AN61" s="273"/>
      <c r="AO61" s="273"/>
      <c r="AP61" s="273"/>
      <c r="AQ61" s="273"/>
      <c r="AR61" s="273"/>
      <c r="AS61" s="273"/>
      <c r="AT61" s="273"/>
      <c r="AU61" s="273"/>
      <c r="AV61" s="273"/>
      <c r="AW61" s="273"/>
      <c r="AX61" s="273"/>
      <c r="AY61" s="273"/>
      <c r="AZ61" s="273"/>
      <c r="BA61" s="274"/>
      <c r="BB61" s="274"/>
      <c r="BC61" s="274"/>
      <c r="BD61" s="276" t="str">
        <f>IF(AND(ISBLANK(CompSrc4),OR(COUNTBLANK(BF66:BJ92)&lt;&gt;135,NOT(ISBLANK(BG100)))), "ERROR! Enter the source of your loss trend complement data in cell G24 on Page 1 (General).", "")</f>
        <v/>
      </c>
      <c r="BE61" s="272"/>
      <c r="BF61" s="273"/>
      <c r="BG61" s="273"/>
      <c r="BH61" s="273"/>
      <c r="BI61" s="273"/>
      <c r="BJ61" s="273"/>
      <c r="BK61" s="273"/>
      <c r="BL61" s="273"/>
      <c r="BM61" s="273"/>
      <c r="BN61" s="273"/>
      <c r="BO61" s="273"/>
      <c r="BP61" s="273"/>
      <c r="BQ61" s="273"/>
      <c r="BR61" s="273"/>
      <c r="BS61" s="274"/>
      <c r="BT61" s="274"/>
      <c r="BU61" s="274"/>
      <c r="BV61" s="276" t="str">
        <f>IF(AND(ISBLANK(CompSrc5),OR(COUNTBLANK(BX66:CB92)&lt;&gt;135,NOT(ISBLANK(BY100)))), "ERROR! Enter the source of your loss trend complement data in cell G25 on Page 1 (General).", "")</f>
        <v/>
      </c>
      <c r="BW61" s="272"/>
      <c r="BX61" s="273"/>
      <c r="BY61" s="273"/>
      <c r="BZ61" s="273"/>
      <c r="CA61" s="273"/>
      <c r="CB61" s="273"/>
      <c r="CC61" s="273"/>
      <c r="CD61" s="273"/>
      <c r="CE61" s="273"/>
      <c r="CF61" s="273"/>
      <c r="CG61" s="273"/>
      <c r="CH61" s="273"/>
      <c r="CI61" s="273"/>
      <c r="CJ61" s="273"/>
      <c r="CK61" s="274"/>
      <c r="CL61" s="274"/>
      <c r="CM61" s="274"/>
      <c r="CN61" s="276" t="str">
        <f>IF(AND(ISBLANK(CompSrc6),OR(COUNTBLANK(CP66:CT92)&lt;&gt;135,NOT(ISBLANK(CQ100)))), "ERROR! Enter the source of your loss trend complement data in cell G26 on Page 1 (General).", "")</f>
        <v/>
      </c>
      <c r="CO61" s="272"/>
      <c r="CP61" s="273"/>
      <c r="CQ61" s="273"/>
      <c r="CR61" s="273"/>
      <c r="CS61" s="273"/>
      <c r="CT61" s="273"/>
      <c r="CU61" s="273"/>
      <c r="CV61" s="273"/>
      <c r="CW61" s="273"/>
      <c r="CX61" s="273"/>
      <c r="CY61" s="273"/>
      <c r="CZ61" s="273"/>
      <c r="DA61" s="273"/>
      <c r="DB61" s="273"/>
      <c r="DC61" s="274"/>
      <c r="DD61" s="274"/>
      <c r="DE61" s="274"/>
      <c r="DF61" s="276" t="str">
        <f>IF(AND(ISBLANK(CompSrc7),OR(COUNTBLANK(DH66:DL92)&lt;&gt;135,NOT(ISBLANK(DI100)))), "ERROR! Enter the source of your loss trend complement data in cell G27 on Page 1 (General).", "")</f>
        <v/>
      </c>
      <c r="DG61" s="272"/>
      <c r="DH61" s="273"/>
      <c r="DI61" s="273"/>
      <c r="DJ61" s="273"/>
      <c r="DK61" s="273"/>
      <c r="DL61" s="273"/>
      <c r="DM61" s="273"/>
      <c r="DN61" s="273"/>
      <c r="DO61" s="273"/>
      <c r="DP61" s="273"/>
      <c r="DQ61" s="273"/>
      <c r="DR61" s="273"/>
      <c r="DS61" s="273"/>
      <c r="DT61" s="273"/>
      <c r="DU61" s="274"/>
      <c r="DV61" s="274"/>
      <c r="DW61" s="274"/>
      <c r="DX61" s="276" t="str">
        <f>IF(AND(ISBLANK(CompSrc8),OR(COUNTBLANK(DZ66:ED92)&lt;&gt;135,NOT(ISBLANK(EA100)))), "ERROR! Enter the source of your loss trend complement data in cell G28 on Page 1 (General).", "")</f>
        <v/>
      </c>
      <c r="DY61" s="272"/>
      <c r="DZ61" s="273"/>
      <c r="EA61" s="273"/>
      <c r="EB61" s="273"/>
      <c r="EC61" s="273"/>
      <c r="ED61" s="273"/>
      <c r="EE61" s="273"/>
      <c r="EF61" s="273"/>
      <c r="EG61" s="273"/>
      <c r="EH61" s="273"/>
      <c r="EI61" s="273"/>
      <c r="EJ61" s="273"/>
      <c r="EK61" s="273"/>
      <c r="EL61" s="273"/>
      <c r="EM61" s="274"/>
      <c r="EN61" s="274"/>
      <c r="EO61" s="274"/>
      <c r="EP61" s="276" t="str">
        <f>IF(AND(ISBLANK(CompSrc9),OR(COUNTBLANK(ER66:EV92)&lt;&gt;135,NOT(ISBLANK(ES100)))), "ERROR! Enter the source of your loss trend complement data in cell G29 on Page 1 (General).", "")</f>
        <v/>
      </c>
      <c r="EQ61" s="272"/>
      <c r="ER61" s="273"/>
      <c r="ES61" s="273"/>
      <c r="ET61" s="273"/>
      <c r="EU61" s="273"/>
      <c r="EV61" s="273"/>
      <c r="EW61" s="273"/>
      <c r="EX61" s="273"/>
      <c r="EY61" s="273"/>
      <c r="EZ61" s="273"/>
      <c r="FA61" s="273"/>
      <c r="FB61" s="273"/>
      <c r="FC61" s="273"/>
      <c r="FD61" s="273"/>
      <c r="FE61" s="274"/>
      <c r="FF61" s="274"/>
      <c r="FG61" s="274"/>
      <c r="FH61" s="276" t="str">
        <f>IF(AND(ISBLANK(CompSrc10),OR(COUNTBLANK(FJ66:FN92)&lt;&gt;135,NOT(ISBLANK(FK100)))), "ERROR! Enter the source of your loss trend complement data in cell G30 on Page 1 (General).", "")</f>
        <v/>
      </c>
      <c r="FI61" s="272"/>
      <c r="FJ61" s="273"/>
      <c r="FK61" s="273"/>
      <c r="FL61" s="273"/>
      <c r="FM61" s="273"/>
      <c r="FN61" s="273"/>
      <c r="FO61" s="273"/>
      <c r="FP61" s="273"/>
      <c r="FQ61" s="273"/>
      <c r="FR61" s="273"/>
      <c r="FS61" s="273"/>
      <c r="FT61" s="273"/>
      <c r="FU61" s="273"/>
      <c r="FV61" s="273"/>
      <c r="FW61" s="274"/>
      <c r="FX61" s="274"/>
      <c r="FY61" s="274"/>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20161</v>
      </c>
      <c r="D66" s="84"/>
      <c r="E66" s="84"/>
      <c r="F66" s="84"/>
      <c r="G66" s="84"/>
      <c r="H66" s="84"/>
      <c r="J66" s="34"/>
      <c r="K66" s="34"/>
      <c r="L66" s="34"/>
      <c r="M66" s="34"/>
      <c r="N66" s="34"/>
      <c r="O66" s="4"/>
      <c r="P66" s="34"/>
      <c r="Q66" s="34"/>
      <c r="R66" s="34"/>
      <c r="S66" s="34"/>
      <c r="T66" s="31">
        <f t="shared" ref="T66:T90" si="178">IF(RIGHT(T67,1)="1",T67-7,T67-1)</f>
        <v>20161</v>
      </c>
      <c r="V66" s="84"/>
      <c r="W66" s="84"/>
      <c r="X66" s="84"/>
      <c r="Y66" s="84"/>
      <c r="Z66" s="84"/>
      <c r="AB66" s="34"/>
      <c r="AC66" s="34"/>
      <c r="AD66" s="34"/>
      <c r="AE66" s="34"/>
      <c r="AF66" s="34"/>
      <c r="AG66" s="4"/>
      <c r="AH66" s="34"/>
      <c r="AI66" s="34"/>
      <c r="AJ66" s="34"/>
      <c r="AK66" s="34"/>
      <c r="AL66" s="31">
        <f t="shared" ref="AL66:AL90" si="179">IF(RIGHT(AL67,1)="1",AL67-7,AL67-1)</f>
        <v>20161</v>
      </c>
      <c r="AN66" s="84"/>
      <c r="AO66" s="84"/>
      <c r="AP66" s="84"/>
      <c r="AQ66" s="84"/>
      <c r="AR66" s="84"/>
      <c r="AT66" s="34"/>
      <c r="AU66" s="34"/>
      <c r="AV66" s="34"/>
      <c r="AW66" s="34"/>
      <c r="AX66" s="34"/>
      <c r="AY66" s="4"/>
      <c r="AZ66" s="34"/>
      <c r="BA66" s="34"/>
      <c r="BB66" s="34"/>
      <c r="BC66" s="34"/>
      <c r="BD66" s="31">
        <f t="shared" ref="BD66:BD90" si="180">IF(RIGHT(BD67,1)="1",BD67-7,BD67-1)</f>
        <v>20161</v>
      </c>
      <c r="BF66" s="84"/>
      <c r="BG66" s="84"/>
      <c r="BH66" s="84"/>
      <c r="BI66" s="84"/>
      <c r="BJ66" s="84"/>
      <c r="BL66" s="34"/>
      <c r="BM66" s="34"/>
      <c r="BN66" s="34"/>
      <c r="BO66" s="34"/>
      <c r="BP66" s="34"/>
      <c r="BQ66" s="4"/>
      <c r="BR66" s="34"/>
      <c r="BS66" s="34"/>
      <c r="BT66" s="34"/>
      <c r="BU66" s="34"/>
      <c r="BV66" s="31">
        <f t="shared" ref="BV66:BV90" si="181">IF(RIGHT(BV67,1)="1",BV67-7,BV67-1)</f>
        <v>20161</v>
      </c>
      <c r="BX66" s="84"/>
      <c r="BY66" s="84"/>
      <c r="BZ66" s="84"/>
      <c r="CA66" s="84"/>
      <c r="CB66" s="84"/>
      <c r="CD66" s="34"/>
      <c r="CE66" s="34"/>
      <c r="CF66" s="34"/>
      <c r="CG66" s="34"/>
      <c r="CH66" s="34"/>
      <c r="CI66" s="4"/>
      <c r="CJ66" s="34"/>
      <c r="CK66" s="34"/>
      <c r="CL66" s="34"/>
      <c r="CM66" s="34"/>
      <c r="CN66" s="31">
        <f t="shared" ref="CN66:CN90" si="182">IF(RIGHT(CN67,1)="1",CN67-7,CN67-1)</f>
        <v>20161</v>
      </c>
      <c r="CP66" s="84"/>
      <c r="CQ66" s="84"/>
      <c r="CR66" s="84"/>
      <c r="CS66" s="84"/>
      <c r="CT66" s="84"/>
      <c r="CV66" s="34"/>
      <c r="CW66" s="34"/>
      <c r="CX66" s="34"/>
      <c r="CY66" s="34"/>
      <c r="CZ66" s="34"/>
      <c r="DA66" s="4"/>
      <c r="DB66" s="34"/>
      <c r="DC66" s="34"/>
      <c r="DD66" s="34"/>
      <c r="DE66" s="34"/>
      <c r="DF66" s="31">
        <f t="shared" ref="DF66:DF90" si="183">IF(RIGHT(DF67,1)="1",DF67-7,DF67-1)</f>
        <v>20161</v>
      </c>
      <c r="DH66" s="84"/>
      <c r="DI66" s="84"/>
      <c r="DJ66" s="84"/>
      <c r="DK66" s="84"/>
      <c r="DL66" s="84"/>
      <c r="DN66" s="34"/>
      <c r="DO66" s="34"/>
      <c r="DP66" s="34"/>
      <c r="DQ66" s="34"/>
      <c r="DR66" s="34"/>
      <c r="DS66" s="4"/>
      <c r="DT66" s="34"/>
      <c r="DU66" s="34"/>
      <c r="DV66" s="34"/>
      <c r="DW66" s="34"/>
      <c r="DX66" s="31">
        <f t="shared" ref="DX66:DX90" si="184">IF(RIGHT(DX67,1)="1",DX67-7,DX67-1)</f>
        <v>20161</v>
      </c>
      <c r="DZ66" s="84"/>
      <c r="EA66" s="84"/>
      <c r="EB66" s="84"/>
      <c r="EC66" s="84"/>
      <c r="ED66" s="84"/>
      <c r="EF66" s="34"/>
      <c r="EG66" s="34"/>
      <c r="EH66" s="34"/>
      <c r="EI66" s="34"/>
      <c r="EJ66" s="34"/>
      <c r="EK66" s="4"/>
      <c r="EL66" s="34"/>
      <c r="EM66" s="34"/>
      <c r="EN66" s="34"/>
      <c r="EO66" s="34"/>
      <c r="EP66" s="31">
        <f t="shared" ref="EP66:EP90" si="185">IF(RIGHT(EP67,1)="1",EP67-7,EP67-1)</f>
        <v>20161</v>
      </c>
      <c r="ER66" s="84"/>
      <c r="ES66" s="84"/>
      <c r="ET66" s="84"/>
      <c r="EU66" s="84"/>
      <c r="EV66" s="84"/>
      <c r="EX66" s="34"/>
      <c r="EY66" s="34"/>
      <c r="EZ66" s="34"/>
      <c r="FA66" s="34"/>
      <c r="FB66" s="34"/>
      <c r="FC66" s="4"/>
      <c r="FD66" s="34"/>
      <c r="FE66" s="34"/>
      <c r="FF66" s="34"/>
      <c r="FG66" s="34"/>
      <c r="FH66" s="31">
        <f t="shared" ref="FH66:FH90" si="186">IF(RIGHT(FH67,1)="1",FH67-7,FH67-1)</f>
        <v>20161</v>
      </c>
      <c r="FJ66" s="84"/>
      <c r="FK66" s="84"/>
      <c r="FL66" s="84"/>
      <c r="FM66" s="84"/>
      <c r="FN66" s="84"/>
      <c r="FP66" s="34"/>
      <c r="FQ66" s="34"/>
      <c r="FR66" s="34"/>
      <c r="FS66" s="34"/>
      <c r="FT66" s="34"/>
      <c r="FU66" s="4"/>
      <c r="FV66" s="34"/>
      <c r="FW66" s="34"/>
      <c r="FX66" s="34"/>
      <c r="FY66" s="34"/>
    </row>
    <row r="67" spans="1:181" x14ac:dyDescent="0.25">
      <c r="A67" s="25">
        <v>2</v>
      </c>
      <c r="B67" s="12">
        <f t="shared" si="177"/>
        <v>20162</v>
      </c>
      <c r="D67" s="16"/>
      <c r="E67" s="16"/>
      <c r="F67" s="16"/>
      <c r="G67" s="16"/>
      <c r="H67" s="16"/>
      <c r="J67" s="35"/>
      <c r="K67" s="35"/>
      <c r="L67" s="35"/>
      <c r="M67" s="35"/>
      <c r="N67" s="35"/>
      <c r="O67" s="4"/>
      <c r="P67" s="35"/>
      <c r="Q67" s="35"/>
      <c r="R67" s="35"/>
      <c r="S67" s="35"/>
      <c r="T67" s="31">
        <f t="shared" si="178"/>
        <v>20162</v>
      </c>
      <c r="V67" s="16"/>
      <c r="W67" s="16"/>
      <c r="X67" s="16"/>
      <c r="Y67" s="16"/>
      <c r="Z67" s="16"/>
      <c r="AB67" s="35"/>
      <c r="AC67" s="35"/>
      <c r="AD67" s="35"/>
      <c r="AE67" s="35"/>
      <c r="AF67" s="35"/>
      <c r="AG67" s="4"/>
      <c r="AH67" s="35"/>
      <c r="AI67" s="35"/>
      <c r="AJ67" s="35"/>
      <c r="AK67" s="35"/>
      <c r="AL67" s="31">
        <f t="shared" si="179"/>
        <v>20162</v>
      </c>
      <c r="AN67" s="16"/>
      <c r="AO67" s="16"/>
      <c r="AP67" s="16"/>
      <c r="AQ67" s="16"/>
      <c r="AR67" s="16"/>
      <c r="AT67" s="35"/>
      <c r="AU67" s="35"/>
      <c r="AV67" s="35"/>
      <c r="AW67" s="35"/>
      <c r="AX67" s="35"/>
      <c r="AY67" s="4"/>
      <c r="AZ67" s="35"/>
      <c r="BA67" s="35"/>
      <c r="BB67" s="35"/>
      <c r="BC67" s="35"/>
      <c r="BD67" s="31">
        <f t="shared" si="180"/>
        <v>20162</v>
      </c>
      <c r="BF67" s="16"/>
      <c r="BG67" s="16"/>
      <c r="BH67" s="16"/>
      <c r="BI67" s="16"/>
      <c r="BJ67" s="16"/>
      <c r="BL67" s="35"/>
      <c r="BM67" s="35"/>
      <c r="BN67" s="35"/>
      <c r="BO67" s="35"/>
      <c r="BP67" s="35"/>
      <c r="BQ67" s="4"/>
      <c r="BR67" s="35"/>
      <c r="BS67" s="35"/>
      <c r="BT67" s="35"/>
      <c r="BU67" s="35"/>
      <c r="BV67" s="31">
        <f t="shared" si="181"/>
        <v>20162</v>
      </c>
      <c r="BX67" s="16"/>
      <c r="BY67" s="16"/>
      <c r="BZ67" s="16"/>
      <c r="CA67" s="16"/>
      <c r="CB67" s="16"/>
      <c r="CD67" s="35"/>
      <c r="CE67" s="35"/>
      <c r="CF67" s="35"/>
      <c r="CG67" s="35"/>
      <c r="CH67" s="35"/>
      <c r="CI67" s="4"/>
      <c r="CJ67" s="35"/>
      <c r="CK67" s="35"/>
      <c r="CL67" s="35"/>
      <c r="CM67" s="35"/>
      <c r="CN67" s="31">
        <f t="shared" si="182"/>
        <v>20162</v>
      </c>
      <c r="CP67" s="16"/>
      <c r="CQ67" s="16"/>
      <c r="CR67" s="16"/>
      <c r="CS67" s="16"/>
      <c r="CT67" s="16"/>
      <c r="CV67" s="35"/>
      <c r="CW67" s="35"/>
      <c r="CX67" s="35"/>
      <c r="CY67" s="35"/>
      <c r="CZ67" s="35"/>
      <c r="DA67" s="4"/>
      <c r="DB67" s="35"/>
      <c r="DC67" s="35"/>
      <c r="DD67" s="35"/>
      <c r="DE67" s="35"/>
      <c r="DF67" s="31">
        <f t="shared" si="183"/>
        <v>20162</v>
      </c>
      <c r="DH67" s="16"/>
      <c r="DI67" s="16"/>
      <c r="DJ67" s="16"/>
      <c r="DK67" s="16"/>
      <c r="DL67" s="16"/>
      <c r="DN67" s="35"/>
      <c r="DO67" s="35"/>
      <c r="DP67" s="35"/>
      <c r="DQ67" s="35"/>
      <c r="DR67" s="35"/>
      <c r="DS67" s="4"/>
      <c r="DT67" s="35"/>
      <c r="DU67" s="35"/>
      <c r="DV67" s="35"/>
      <c r="DW67" s="35"/>
      <c r="DX67" s="31">
        <f t="shared" si="184"/>
        <v>20162</v>
      </c>
      <c r="DZ67" s="16"/>
      <c r="EA67" s="16"/>
      <c r="EB67" s="16"/>
      <c r="EC67" s="16"/>
      <c r="ED67" s="16"/>
      <c r="EF67" s="35"/>
      <c r="EG67" s="35"/>
      <c r="EH67" s="35"/>
      <c r="EI67" s="35"/>
      <c r="EJ67" s="35"/>
      <c r="EK67" s="4"/>
      <c r="EL67" s="35"/>
      <c r="EM67" s="35"/>
      <c r="EN67" s="35"/>
      <c r="EO67" s="35"/>
      <c r="EP67" s="31">
        <f t="shared" si="185"/>
        <v>20162</v>
      </c>
      <c r="ER67" s="16"/>
      <c r="ES67" s="16"/>
      <c r="ET67" s="16"/>
      <c r="EU67" s="16"/>
      <c r="EV67" s="16"/>
      <c r="EX67" s="35"/>
      <c r="EY67" s="35"/>
      <c r="EZ67" s="35"/>
      <c r="FA67" s="35"/>
      <c r="FB67" s="35"/>
      <c r="FC67" s="4"/>
      <c r="FD67" s="35"/>
      <c r="FE67" s="35"/>
      <c r="FF67" s="35"/>
      <c r="FG67" s="35"/>
      <c r="FH67" s="31">
        <f t="shared" si="186"/>
        <v>20162</v>
      </c>
      <c r="FJ67" s="16"/>
      <c r="FK67" s="16"/>
      <c r="FL67" s="16"/>
      <c r="FM67" s="16"/>
      <c r="FN67" s="16"/>
      <c r="FP67" s="35"/>
      <c r="FQ67" s="35"/>
      <c r="FR67" s="35"/>
      <c r="FS67" s="35"/>
      <c r="FT67" s="35"/>
      <c r="FU67" s="4"/>
      <c r="FV67" s="35"/>
      <c r="FW67" s="35"/>
      <c r="FX67" s="35"/>
      <c r="FY67" s="35"/>
    </row>
    <row r="68" spans="1:181" x14ac:dyDescent="0.25">
      <c r="A68" s="25">
        <v>3</v>
      </c>
      <c r="B68" s="12">
        <f t="shared" si="177"/>
        <v>20163</v>
      </c>
      <c r="D68" s="16"/>
      <c r="E68" s="16"/>
      <c r="F68" s="16"/>
      <c r="G68" s="16"/>
      <c r="H68" s="16"/>
      <c r="J68" s="35"/>
      <c r="K68" s="35"/>
      <c r="L68" s="35"/>
      <c r="M68" s="35"/>
      <c r="N68" s="35"/>
      <c r="O68" s="13"/>
      <c r="P68" s="35"/>
      <c r="Q68" s="35"/>
      <c r="R68" s="35"/>
      <c r="S68" s="35"/>
      <c r="T68" s="31">
        <f t="shared" si="178"/>
        <v>20163</v>
      </c>
      <c r="V68" s="16"/>
      <c r="W68" s="16"/>
      <c r="X68" s="16"/>
      <c r="Y68" s="16"/>
      <c r="Z68" s="16"/>
      <c r="AB68" s="35"/>
      <c r="AC68" s="35"/>
      <c r="AD68" s="35"/>
      <c r="AE68" s="35"/>
      <c r="AF68" s="35"/>
      <c r="AG68" s="13"/>
      <c r="AH68" s="35"/>
      <c r="AI68" s="35"/>
      <c r="AJ68" s="35"/>
      <c r="AK68" s="35"/>
      <c r="AL68" s="31">
        <f t="shared" si="179"/>
        <v>20163</v>
      </c>
      <c r="AN68" s="16"/>
      <c r="AO68" s="16"/>
      <c r="AP68" s="16"/>
      <c r="AQ68" s="16"/>
      <c r="AR68" s="16"/>
      <c r="AT68" s="35"/>
      <c r="AU68" s="35"/>
      <c r="AV68" s="35"/>
      <c r="AW68" s="35"/>
      <c r="AX68" s="35"/>
      <c r="AY68" s="13"/>
      <c r="AZ68" s="35"/>
      <c r="BA68" s="35"/>
      <c r="BB68" s="35"/>
      <c r="BC68" s="35"/>
      <c r="BD68" s="31">
        <f t="shared" si="180"/>
        <v>20163</v>
      </c>
      <c r="BF68" s="16"/>
      <c r="BG68" s="16"/>
      <c r="BH68" s="16"/>
      <c r="BI68" s="16"/>
      <c r="BJ68" s="16"/>
      <c r="BL68" s="35"/>
      <c r="BM68" s="35"/>
      <c r="BN68" s="35"/>
      <c r="BO68" s="35"/>
      <c r="BP68" s="35"/>
      <c r="BQ68" s="13"/>
      <c r="BR68" s="35"/>
      <c r="BS68" s="35"/>
      <c r="BT68" s="35"/>
      <c r="BU68" s="35"/>
      <c r="BV68" s="31">
        <f t="shared" si="181"/>
        <v>20163</v>
      </c>
      <c r="BX68" s="16"/>
      <c r="BY68" s="16"/>
      <c r="BZ68" s="16"/>
      <c r="CA68" s="16"/>
      <c r="CB68" s="16"/>
      <c r="CD68" s="35"/>
      <c r="CE68" s="35"/>
      <c r="CF68" s="35"/>
      <c r="CG68" s="35"/>
      <c r="CH68" s="35"/>
      <c r="CI68" s="13"/>
      <c r="CJ68" s="35"/>
      <c r="CK68" s="35"/>
      <c r="CL68" s="35"/>
      <c r="CM68" s="35"/>
      <c r="CN68" s="31">
        <f t="shared" si="182"/>
        <v>20163</v>
      </c>
      <c r="CP68" s="16"/>
      <c r="CQ68" s="16"/>
      <c r="CR68" s="16"/>
      <c r="CS68" s="16"/>
      <c r="CT68" s="16"/>
      <c r="CV68" s="35"/>
      <c r="CW68" s="35"/>
      <c r="CX68" s="35"/>
      <c r="CY68" s="35"/>
      <c r="CZ68" s="35"/>
      <c r="DA68" s="13"/>
      <c r="DB68" s="35"/>
      <c r="DC68" s="35"/>
      <c r="DD68" s="35"/>
      <c r="DE68" s="35"/>
      <c r="DF68" s="31">
        <f t="shared" si="183"/>
        <v>20163</v>
      </c>
      <c r="DH68" s="16"/>
      <c r="DI68" s="16"/>
      <c r="DJ68" s="16"/>
      <c r="DK68" s="16"/>
      <c r="DL68" s="16"/>
      <c r="DN68" s="35"/>
      <c r="DO68" s="35"/>
      <c r="DP68" s="35"/>
      <c r="DQ68" s="35"/>
      <c r="DR68" s="35"/>
      <c r="DS68" s="13"/>
      <c r="DT68" s="35"/>
      <c r="DU68" s="35"/>
      <c r="DV68" s="35"/>
      <c r="DW68" s="35"/>
      <c r="DX68" s="31">
        <f t="shared" si="184"/>
        <v>20163</v>
      </c>
      <c r="DZ68" s="16"/>
      <c r="EA68" s="16"/>
      <c r="EB68" s="16"/>
      <c r="EC68" s="16"/>
      <c r="ED68" s="16"/>
      <c r="EF68" s="35"/>
      <c r="EG68" s="35"/>
      <c r="EH68" s="35"/>
      <c r="EI68" s="35"/>
      <c r="EJ68" s="35"/>
      <c r="EK68" s="13"/>
      <c r="EL68" s="35"/>
      <c r="EM68" s="35"/>
      <c r="EN68" s="35"/>
      <c r="EO68" s="35"/>
      <c r="EP68" s="31">
        <f t="shared" si="185"/>
        <v>20163</v>
      </c>
      <c r="ER68" s="16"/>
      <c r="ES68" s="16"/>
      <c r="ET68" s="16"/>
      <c r="EU68" s="16"/>
      <c r="EV68" s="16"/>
      <c r="EX68" s="35"/>
      <c r="EY68" s="35"/>
      <c r="EZ68" s="35"/>
      <c r="FA68" s="35"/>
      <c r="FB68" s="35"/>
      <c r="FC68" s="13"/>
      <c r="FD68" s="35"/>
      <c r="FE68" s="35"/>
      <c r="FF68" s="35"/>
      <c r="FG68" s="35"/>
      <c r="FH68" s="31">
        <f t="shared" si="186"/>
        <v>20163</v>
      </c>
      <c r="FJ68" s="16"/>
      <c r="FK68" s="16"/>
      <c r="FL68" s="16"/>
      <c r="FM68" s="16"/>
      <c r="FN68" s="16"/>
      <c r="FP68" s="35"/>
      <c r="FQ68" s="35"/>
      <c r="FR68" s="35"/>
      <c r="FS68" s="35"/>
      <c r="FT68" s="35"/>
      <c r="FU68" s="13"/>
      <c r="FV68" s="35"/>
      <c r="FW68" s="35"/>
      <c r="FX68" s="35"/>
      <c r="FY68" s="35"/>
    </row>
    <row r="69" spans="1:181" x14ac:dyDescent="0.25">
      <c r="A69" s="25">
        <v>4</v>
      </c>
      <c r="B69" s="12">
        <f t="shared" si="177"/>
        <v>20164</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20164</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20164</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20164</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20164</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20164</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20164</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20164</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20164</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20164</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20171</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20171</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20171</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20171</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20171</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20171</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20171</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20171</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20171</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20171</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20172</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20172</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20172</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20172</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20172</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20172</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20172</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20172</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20172</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20172</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20173</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20173</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20173</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20173</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20173</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20173</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20173</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20173</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20173</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20173</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20174</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20174</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20174</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20174</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20174</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20174</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20174</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20174</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20174</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20174</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20181</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20181</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20181</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20181</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20181</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20181</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20181</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20181</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20181</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20181</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20182</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20182</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20182</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20182</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20182</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20182</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20182</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20182</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20182</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20182</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20183</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20183</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20183</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20183</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20183</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20183</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20183</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20183</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20183</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20183</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20184</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20184</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20184</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20184</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20184</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20184</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20184</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20184</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20184</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20184</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20191</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20191</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20191</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20191</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20191</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20191</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20191</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20191</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20191</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20191</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20192</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20192</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20192</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20192</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20192</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20192</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20192</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20192</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20192</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20192</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20193</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20193</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20193</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20193</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20193</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20193</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20193</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20193</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20193</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20193</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20194</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20194</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20194</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20194</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20194</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20194</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20194</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20194</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20194</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20194</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20201</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20201</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20201</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20201</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20201</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20201</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20201</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20201</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20201</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20201</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20202</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20202</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20202</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20202</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20202</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20202</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20202</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20202</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20202</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20202</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20203</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20203</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20203</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20203</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20203</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20203</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20203</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20203</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20203</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20203</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20204</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20204</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20204</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20204</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20204</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20204</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20204</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20204</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20204</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20204</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20211</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20211</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20211</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20211</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20211</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20211</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20211</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20211</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20211</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20211</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20212</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20212</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20212</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20212</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20212</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20212</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20212</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20212</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20212</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20212</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20213</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20213</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20213</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20213</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20213</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20213</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20213</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20213</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20213</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20213</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20214</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20214</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20214</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20214</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20214</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20214</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20214</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20214</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20214</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20214</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20221</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20221</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20221</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20221</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20221</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20221</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20221</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20221</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20221</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20221</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20222</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20222</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20222</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20222</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20222</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20222</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20222</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20222</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20222</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20222</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f>FYQtr_Comp</f>
        <v>20223</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20223</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20223</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20223</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20223</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20223</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20223</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20223</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20223</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20223</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B94" s="135"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
      </c>
      <c r="J94" s="54"/>
      <c r="K94" s="54"/>
      <c r="L94" s="54"/>
      <c r="M94" s="54"/>
      <c r="N94" s="216" t="s">
        <v>168</v>
      </c>
      <c r="O94" s="214"/>
      <c r="P94" s="215"/>
      <c r="Q94" s="73"/>
      <c r="R94" s="73"/>
      <c r="S94" s="74"/>
      <c r="T94" s="135"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F94" s="216" t="s">
        <v>168</v>
      </c>
      <c r="AG94" s="214"/>
      <c r="AH94" s="215"/>
      <c r="AI94" s="73"/>
      <c r="AJ94" s="73"/>
      <c r="AK94" s="74"/>
      <c r="AL94" s="135"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X94" s="216" t="s">
        <v>168</v>
      </c>
      <c r="AY94" s="214"/>
      <c r="AZ94" s="215"/>
      <c r="BA94" s="73"/>
      <c r="BB94" s="73"/>
      <c r="BC94" s="74"/>
      <c r="BD94" s="135"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216" t="s">
        <v>168</v>
      </c>
      <c r="BQ94" s="214"/>
      <c r="BR94" s="215"/>
      <c r="BS94" s="73"/>
      <c r="BT94" s="73"/>
      <c r="BU94" s="74"/>
      <c r="BV94" s="135"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216" t="s">
        <v>168</v>
      </c>
      <c r="CI94" s="214"/>
      <c r="CJ94" s="215"/>
      <c r="CK94" s="73"/>
      <c r="CL94" s="73"/>
      <c r="CM94" s="74"/>
      <c r="CN94" s="135"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216" t="s">
        <v>168</v>
      </c>
      <c r="DA94" s="214"/>
      <c r="DB94" s="215"/>
      <c r="DC94" s="73"/>
      <c r="DD94" s="73"/>
      <c r="DE94" s="74"/>
      <c r="DF94" s="135"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216" t="s">
        <v>168</v>
      </c>
      <c r="DS94" s="214"/>
      <c r="DT94" s="215"/>
      <c r="DU94" s="73"/>
      <c r="DV94" s="73"/>
      <c r="DW94" s="74"/>
      <c r="DX94" s="135"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216" t="s">
        <v>168</v>
      </c>
      <c r="EK94" s="214"/>
      <c r="EL94" s="215"/>
      <c r="EM94" s="73"/>
      <c r="EN94" s="73"/>
      <c r="EO94" s="74"/>
      <c r="EP94" s="135"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216" t="s">
        <v>168</v>
      </c>
      <c r="FC94" s="214"/>
      <c r="FD94" s="215"/>
      <c r="FE94" s="73"/>
      <c r="FF94" s="73"/>
      <c r="FG94" s="74"/>
      <c r="FH94" s="135"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216" t="s">
        <v>168</v>
      </c>
      <c r="FU94" s="214"/>
      <c r="FV94" s="215"/>
      <c r="FW94" s="73"/>
      <c r="FX94" s="73"/>
      <c r="FY94" s="74"/>
    </row>
    <row r="95" spans="1:181" ht="42" x14ac:dyDescent="0.35">
      <c r="B95" s="61" t="s">
        <v>12</v>
      </c>
      <c r="C95" s="25"/>
      <c r="D95" s="23" t="s">
        <v>8</v>
      </c>
      <c r="E95" s="64" t="s">
        <v>32</v>
      </c>
      <c r="F95" s="271"/>
      <c r="J95" s="54"/>
      <c r="K95" s="54"/>
      <c r="L95" s="54"/>
      <c r="M95" s="54"/>
      <c r="N95" s="213"/>
      <c r="O95" s="4"/>
      <c r="P95" s="57" t="s">
        <v>24</v>
      </c>
      <c r="Q95" s="57" t="s">
        <v>25</v>
      </c>
      <c r="R95" s="57" t="s">
        <v>26</v>
      </c>
      <c r="S95" s="76" t="s">
        <v>169</v>
      </c>
      <c r="T95" s="61" t="s">
        <v>12</v>
      </c>
      <c r="U95" s="25"/>
      <c r="V95" s="23" t="s">
        <v>9</v>
      </c>
      <c r="W95" s="64" t="s">
        <v>32</v>
      </c>
      <c r="X95" s="271"/>
      <c r="AF95" s="213"/>
      <c r="AG95" s="4"/>
      <c r="AH95" s="57" t="s">
        <v>24</v>
      </c>
      <c r="AI95" s="57" t="s">
        <v>25</v>
      </c>
      <c r="AJ95" s="57" t="s">
        <v>26</v>
      </c>
      <c r="AK95" s="76" t="s">
        <v>169</v>
      </c>
      <c r="AL95" s="61" t="s">
        <v>12</v>
      </c>
      <c r="AM95" s="25"/>
      <c r="AN95" s="23" t="s">
        <v>9</v>
      </c>
      <c r="AO95" s="64" t="s">
        <v>32</v>
      </c>
      <c r="AP95" s="271"/>
      <c r="AX95" s="213"/>
      <c r="AY95" s="4"/>
      <c r="AZ95" s="57" t="s">
        <v>24</v>
      </c>
      <c r="BA95" s="57" t="s">
        <v>25</v>
      </c>
      <c r="BB95" s="57" t="s">
        <v>26</v>
      </c>
      <c r="BC95" s="76" t="s">
        <v>169</v>
      </c>
      <c r="BD95" s="61" t="s">
        <v>12</v>
      </c>
      <c r="BE95" s="25"/>
      <c r="BF95" s="23" t="s">
        <v>9</v>
      </c>
      <c r="BG95" s="64" t="s">
        <v>32</v>
      </c>
      <c r="BH95" s="271"/>
      <c r="BP95" s="75"/>
      <c r="BQ95" s="4"/>
      <c r="BR95" s="57" t="s">
        <v>24</v>
      </c>
      <c r="BS95" s="57" t="s">
        <v>25</v>
      </c>
      <c r="BT95" s="57" t="s">
        <v>26</v>
      </c>
      <c r="BU95" s="76" t="s">
        <v>169</v>
      </c>
      <c r="BV95" s="61" t="s">
        <v>12</v>
      </c>
      <c r="BW95" s="25"/>
      <c r="BX95" s="23" t="s">
        <v>9</v>
      </c>
      <c r="BY95" s="64" t="s">
        <v>32</v>
      </c>
      <c r="BZ95" s="271"/>
      <c r="CH95" s="75"/>
      <c r="CI95" s="4"/>
      <c r="CJ95" s="57" t="s">
        <v>24</v>
      </c>
      <c r="CK95" s="57" t="s">
        <v>25</v>
      </c>
      <c r="CL95" s="57" t="s">
        <v>26</v>
      </c>
      <c r="CM95" s="76" t="s">
        <v>169</v>
      </c>
      <c r="CN95" s="61" t="s">
        <v>12</v>
      </c>
      <c r="CO95" s="25"/>
      <c r="CP95" s="23" t="s">
        <v>9</v>
      </c>
      <c r="CQ95" s="64" t="s">
        <v>32</v>
      </c>
      <c r="CR95" s="271"/>
      <c r="CZ95" s="75"/>
      <c r="DA95" s="4"/>
      <c r="DB95" s="57" t="s">
        <v>24</v>
      </c>
      <c r="DC95" s="57" t="s">
        <v>25</v>
      </c>
      <c r="DD95" s="57" t="s">
        <v>26</v>
      </c>
      <c r="DE95" s="76" t="s">
        <v>169</v>
      </c>
      <c r="DF95" s="61" t="s">
        <v>12</v>
      </c>
      <c r="DG95" s="25"/>
      <c r="DH95" s="23" t="s">
        <v>11</v>
      </c>
      <c r="DI95" s="64" t="s">
        <v>32</v>
      </c>
      <c r="DJ95" s="271"/>
      <c r="DR95" s="75"/>
      <c r="DS95" s="4"/>
      <c r="DT95" s="57" t="s">
        <v>24</v>
      </c>
      <c r="DU95" s="57" t="s">
        <v>25</v>
      </c>
      <c r="DV95" s="57" t="s">
        <v>26</v>
      </c>
      <c r="DW95" s="76" t="s">
        <v>169</v>
      </c>
      <c r="DX95" s="61" t="s">
        <v>12</v>
      </c>
      <c r="DY95" s="25"/>
      <c r="DZ95" s="23"/>
      <c r="EA95" s="64" t="s">
        <v>32</v>
      </c>
      <c r="EB95" s="271"/>
      <c r="EJ95" s="75"/>
      <c r="EK95" s="4"/>
      <c r="EL95" s="57" t="s">
        <v>24</v>
      </c>
      <c r="EM95" s="57" t="s">
        <v>25</v>
      </c>
      <c r="EN95" s="57" t="s">
        <v>26</v>
      </c>
      <c r="EO95" s="76" t="s">
        <v>169</v>
      </c>
      <c r="EP95" s="61" t="s">
        <v>12</v>
      </c>
      <c r="EQ95" s="25"/>
      <c r="ER95" s="23"/>
      <c r="ES95" s="64" t="s">
        <v>32</v>
      </c>
      <c r="ET95" s="271"/>
      <c r="FB95" s="75"/>
      <c r="FC95" s="4"/>
      <c r="FD95" s="57" t="s">
        <v>24</v>
      </c>
      <c r="FE95" s="57" t="s">
        <v>25</v>
      </c>
      <c r="FF95" s="57" t="s">
        <v>26</v>
      </c>
      <c r="FG95" s="76" t="s">
        <v>169</v>
      </c>
      <c r="FH95" s="61" t="s">
        <v>12</v>
      </c>
      <c r="FI95" s="25"/>
      <c r="FJ95" s="23"/>
      <c r="FK95" s="64" t="s">
        <v>32</v>
      </c>
      <c r="FL95" s="271"/>
      <c r="FT95" s="75"/>
      <c r="FU95" s="4"/>
      <c r="FV95" s="57" t="s">
        <v>24</v>
      </c>
      <c r="FW95" s="57" t="s">
        <v>25</v>
      </c>
      <c r="FX95" s="57" t="s">
        <v>26</v>
      </c>
      <c r="FY95" s="76" t="s">
        <v>169</v>
      </c>
    </row>
    <row r="96" spans="1:181" x14ac:dyDescent="0.25">
      <c r="B96" s="17" t="s">
        <v>29</v>
      </c>
      <c r="D96" s="96"/>
      <c r="E96" s="36" t="e">
        <f>IF(D$95="Alternate","",IF(D$96="Closed",VLOOKUP(D$95,$N$96:$S$100,3,FALSE),VLOOKUP(D$95,$N$96:$S$100,4,FALSE)))</f>
        <v>#NUM!</v>
      </c>
      <c r="J96" s="54"/>
      <c r="K96" s="54"/>
      <c r="L96" s="54"/>
      <c r="M96" s="54"/>
      <c r="N96" s="77" t="s">
        <v>7</v>
      </c>
      <c r="O96" s="4"/>
      <c r="P96" s="78" t="e">
        <f>LOGEST(P85:P$92)^4-1</f>
        <v>#NUM!</v>
      </c>
      <c r="Q96" s="78" t="e">
        <f>LOGEST(Q85:Q$92)^4-1</f>
        <v>#NUM!</v>
      </c>
      <c r="R96" s="78" t="e">
        <f>LOGEST(R85:R$92)^4-1</f>
        <v>#NUM!</v>
      </c>
      <c r="S96" s="211" t="e">
        <f>LOGEST(S85:S$92)^4-1</f>
        <v>#NUM!</v>
      </c>
      <c r="T96" s="17" t="s">
        <v>29</v>
      </c>
      <c r="V96" s="96"/>
      <c r="W96" s="36" t="e">
        <f>IF(V$95="Alternate","",IF(V$96="Closed",VLOOKUP(V$95,$AF$96:$AK$100,3,FALSE),VLOOKUP(V$95,$AF$96:$AK$100,4,FALSE)))</f>
        <v>#NUM!</v>
      </c>
      <c r="AF96" s="77" t="s">
        <v>7</v>
      </c>
      <c r="AG96" s="4"/>
      <c r="AH96" s="78" t="e">
        <f>LOGEST(AH85:AH$92)^4-1</f>
        <v>#NUM!</v>
      </c>
      <c r="AI96" s="78" t="e">
        <f>LOGEST(AI85:AI$92)^4-1</f>
        <v>#NUM!</v>
      </c>
      <c r="AJ96" s="78" t="e">
        <f>LOGEST(AJ85:AJ$92)^4-1</f>
        <v>#NUM!</v>
      </c>
      <c r="AK96" s="211" t="e">
        <f>LOGEST(AK85:AK$92)^4-1</f>
        <v>#NUM!</v>
      </c>
      <c r="AL96" s="17" t="s">
        <v>29</v>
      </c>
      <c r="AN96" s="96"/>
      <c r="AO96" s="36" t="e">
        <f>IF(AN$95="Alternate","",IF(AN$96="Closed",VLOOKUP(AN$95,$AX$96:$BC$100,3,FALSE),VLOOKUP(AN$95,$AX$96:$BC$100,4,FALSE)))</f>
        <v>#NUM!</v>
      </c>
      <c r="AX96" s="77" t="s">
        <v>7</v>
      </c>
      <c r="AY96" s="4"/>
      <c r="AZ96" s="78" t="e">
        <f>LOGEST(AZ85:AZ$92)^4-1</f>
        <v>#NUM!</v>
      </c>
      <c r="BA96" s="78" t="e">
        <f>LOGEST(BA85:BA$92)^4-1</f>
        <v>#NUM!</v>
      </c>
      <c r="BB96" s="78" t="e">
        <f>LOGEST(BB85:BB$92)^4-1</f>
        <v>#NUM!</v>
      </c>
      <c r="BC96" s="211" t="e">
        <f>LOGEST(BC85:BC$92)^4-1</f>
        <v>#NUM!</v>
      </c>
      <c r="BD96" s="17" t="s">
        <v>29</v>
      </c>
      <c r="BF96" s="96"/>
      <c r="BG96" s="36" t="e">
        <f>IF(BF$95="Alternate","",IF(BF$96="Closed",VLOOKUP(BF$95,$BP$96:$BU$100,3,FALSE),VLOOKUP(BF$95,$BP$96:$BU$100,4,FALSE)))</f>
        <v>#NUM!</v>
      </c>
      <c r="BP96" s="77" t="s">
        <v>7</v>
      </c>
      <c r="BQ96" s="4"/>
      <c r="BR96" s="78" t="e">
        <f>LOGEST(BR85:BR$92)^4-1</f>
        <v>#NUM!</v>
      </c>
      <c r="BS96" s="78" t="e">
        <f>LOGEST(BS85:BS$92)^4-1</f>
        <v>#NUM!</v>
      </c>
      <c r="BT96" s="78" t="e">
        <f>LOGEST(BT85:BT$92)^4-1</f>
        <v>#NUM!</v>
      </c>
      <c r="BU96" s="211" t="e">
        <f>LOGEST(BU85:BU$92)^4-1</f>
        <v>#NUM!</v>
      </c>
      <c r="BV96" s="17" t="s">
        <v>29</v>
      </c>
      <c r="BX96" s="96"/>
      <c r="BY96" s="36" t="e">
        <f>IF(BX$95="Alternate","",IF(BX$96="Closed",VLOOKUP(BX$95,$CH$96:$CM$100,3,FALSE),VLOOKUP(BX$95,$CH$96:$CM$100,4,FALSE)))</f>
        <v>#NUM!</v>
      </c>
      <c r="CH96" s="77" t="s">
        <v>7</v>
      </c>
      <c r="CI96" s="4"/>
      <c r="CJ96" s="78" t="e">
        <f>LOGEST(CJ85:CJ$92)^4-1</f>
        <v>#NUM!</v>
      </c>
      <c r="CK96" s="78" t="e">
        <f>LOGEST(CK85:CK$92)^4-1</f>
        <v>#NUM!</v>
      </c>
      <c r="CL96" s="78" t="e">
        <f>LOGEST(CL85:CL$92)^4-1</f>
        <v>#NUM!</v>
      </c>
      <c r="CM96" s="211" t="e">
        <f>LOGEST(CM85:CM$92)^4-1</f>
        <v>#NUM!</v>
      </c>
      <c r="CN96" s="17" t="s">
        <v>29</v>
      </c>
      <c r="CP96" s="96"/>
      <c r="CQ96" s="36" t="e">
        <f>IF(CP$95="Alternate","",IF(CP$96="Closed",VLOOKUP(CP$95,$CZ$96:$DE$100,3,FALSE),VLOOKUP(CP$95,$CZ$96:$DE$100,4,FALSE)))</f>
        <v>#NUM!</v>
      </c>
      <c r="CZ96" s="77" t="s">
        <v>7</v>
      </c>
      <c r="DA96" s="4"/>
      <c r="DB96" s="78" t="e">
        <f>LOGEST(DB85:DB$92)^4-1</f>
        <v>#NUM!</v>
      </c>
      <c r="DC96" s="78" t="e">
        <f>LOGEST(DC85:DC$92)^4-1</f>
        <v>#NUM!</v>
      </c>
      <c r="DD96" s="78" t="e">
        <f>LOGEST(DD85:DD$92)^4-1</f>
        <v>#NUM!</v>
      </c>
      <c r="DE96" s="211" t="e">
        <f>LOGEST(DE85:DE$92)^4-1</f>
        <v>#NUM!</v>
      </c>
      <c r="DF96" s="17" t="s">
        <v>29</v>
      </c>
      <c r="DH96" s="96"/>
      <c r="DI96" s="36" t="e">
        <f>IF(DH$95="Alternate","",IF(DH$96="Closed",VLOOKUP(DH$95,$DR$96:$DW$100,3,FALSE),VLOOKUP(DH$95,$DR$96:$DW$100,4,FALSE)))</f>
        <v>#NUM!</v>
      </c>
      <c r="DR96" s="77" t="s">
        <v>7</v>
      </c>
      <c r="DS96" s="4"/>
      <c r="DT96" s="78" t="e">
        <f>LOGEST(DT85:DT$92)^4-1</f>
        <v>#NUM!</v>
      </c>
      <c r="DU96" s="78" t="e">
        <f>LOGEST(DU85:DU$92)^4-1</f>
        <v>#NUM!</v>
      </c>
      <c r="DV96" s="78" t="e">
        <f>LOGEST(DV85:DV$92)^4-1</f>
        <v>#NUM!</v>
      </c>
      <c r="DW96" s="211" t="e">
        <f>LOGEST(DW85:DW$92)^4-1</f>
        <v>#NUM!</v>
      </c>
      <c r="DX96" s="17" t="s">
        <v>29</v>
      </c>
      <c r="DZ96" s="96"/>
      <c r="EA96" s="36" t="e">
        <f>IF(DZ$95="Alternate","",IF(DZ$96="Closed",VLOOKUP(DZ$95,$EJ$96:$EO$100,3,FALSE),VLOOKUP(DZ$95,$EJ$96:$EO$100,4,FALSE)))</f>
        <v>#N/A</v>
      </c>
      <c r="EJ96" s="77" t="s">
        <v>7</v>
      </c>
      <c r="EK96" s="4"/>
      <c r="EL96" s="78" t="e">
        <f>LOGEST(EL85:EL$92)^4-1</f>
        <v>#NUM!</v>
      </c>
      <c r="EM96" s="78" t="e">
        <f>LOGEST(EM85:EM$92)^4-1</f>
        <v>#NUM!</v>
      </c>
      <c r="EN96" s="78" t="e">
        <f>LOGEST(EN85:EN$92)^4-1</f>
        <v>#NUM!</v>
      </c>
      <c r="EO96" s="211"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1"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1" t="e">
        <f>LOGEST(FY85:FY$92)^4-1</f>
        <v>#NUM!</v>
      </c>
    </row>
    <row r="97" spans="2:181" x14ac:dyDescent="0.25">
      <c r="B97" s="17" t="s">
        <v>30</v>
      </c>
      <c r="D97" s="59"/>
      <c r="E97" s="36" t="e">
        <f>IF(D$95="Alternate","",IF(D$97="Paid",VLOOKUP(D$95,$N$96:$S$100,5,FALSE),VLOOKUP(D$95,$N$96:$S$100,6,FALSE)))</f>
        <v>#NUM!</v>
      </c>
      <c r="J97" s="54"/>
      <c r="K97" s="54"/>
      <c r="L97" s="54"/>
      <c r="M97" s="54"/>
      <c r="N97" s="77" t="s">
        <v>8</v>
      </c>
      <c r="O97" s="4"/>
      <c r="P97" s="78" t="e">
        <f>LOGEST(P81:P$92)^4-1</f>
        <v>#NUM!</v>
      </c>
      <c r="Q97" s="78" t="e">
        <f>LOGEST(Q81:Q$92)^4-1</f>
        <v>#NUM!</v>
      </c>
      <c r="R97" s="78" t="e">
        <f>LOGEST(R81:R$92)^4-1</f>
        <v>#NUM!</v>
      </c>
      <c r="S97" s="211" t="e">
        <f>LOGEST(S81:S$92)^4-1</f>
        <v>#NUM!</v>
      </c>
      <c r="T97" s="17" t="s">
        <v>30</v>
      </c>
      <c r="V97" s="59"/>
      <c r="W97" s="36" t="e">
        <f>IF(V$95="Alternate","",IF(V$97="Paid",VLOOKUP(V$95,$AF$96:$AK$100,5,FALSE),VLOOKUP(V$95,$AF$96:$AK$100,6,FALSE)))</f>
        <v>#NUM!</v>
      </c>
      <c r="AF97" s="77" t="s">
        <v>8</v>
      </c>
      <c r="AG97" s="4"/>
      <c r="AH97" s="78" t="e">
        <f>LOGEST(AH81:AH$92)^4-1</f>
        <v>#NUM!</v>
      </c>
      <c r="AI97" s="78" t="e">
        <f>LOGEST(AI81:AI$92)^4-1</f>
        <v>#NUM!</v>
      </c>
      <c r="AJ97" s="78" t="e">
        <f>LOGEST(AJ81:AJ$92)^4-1</f>
        <v>#NUM!</v>
      </c>
      <c r="AK97" s="211" t="e">
        <f>LOGEST(AK81:AK$92)^4-1</f>
        <v>#NUM!</v>
      </c>
      <c r="AL97" s="17" t="s">
        <v>30</v>
      </c>
      <c r="AN97" s="59"/>
      <c r="AO97" s="36" t="e">
        <f>IF(AN$95="Alternate","",IF(AN$97="Paid",VLOOKUP(AN$95,$AX$96:$BC$100,5,FALSE),VLOOKUP(AN$95,$AX$96:$BC$100,6,FALSE)))</f>
        <v>#NUM!</v>
      </c>
      <c r="AX97" s="77" t="s">
        <v>8</v>
      </c>
      <c r="AY97" s="4"/>
      <c r="AZ97" s="78" t="e">
        <f>LOGEST(AZ81:AZ$92)^4-1</f>
        <v>#NUM!</v>
      </c>
      <c r="BA97" s="78" t="e">
        <f>LOGEST(BA81:BA$92)^4-1</f>
        <v>#NUM!</v>
      </c>
      <c r="BB97" s="78" t="e">
        <f>LOGEST(BB81:BB$92)^4-1</f>
        <v>#NUM!</v>
      </c>
      <c r="BC97" s="211" t="e">
        <f>LOGEST(BC81:BC$92)^4-1</f>
        <v>#NUM!</v>
      </c>
      <c r="BD97" s="17" t="s">
        <v>30</v>
      </c>
      <c r="BF97" s="59"/>
      <c r="BG97" s="36" t="e">
        <f>IF(BF$95="Alternate","",IF(BF$97="Paid",VLOOKUP(BF$95,$BP$96:$BU$100,5,FALSE),VLOOKUP(BF$95,$BP$96:$BU$100,6,FALSE)))</f>
        <v>#NUM!</v>
      </c>
      <c r="BP97" s="77" t="s">
        <v>8</v>
      </c>
      <c r="BQ97" s="4"/>
      <c r="BR97" s="78" t="e">
        <f>LOGEST(BR81:BR$92)^4-1</f>
        <v>#NUM!</v>
      </c>
      <c r="BS97" s="78" t="e">
        <f>LOGEST(BS81:BS$92)^4-1</f>
        <v>#NUM!</v>
      </c>
      <c r="BT97" s="78" t="e">
        <f>LOGEST(BT81:BT$92)^4-1</f>
        <v>#NUM!</v>
      </c>
      <c r="BU97" s="211" t="e">
        <f>LOGEST(BU81:BU$92)^4-1</f>
        <v>#NUM!</v>
      </c>
      <c r="BV97" s="17" t="s">
        <v>30</v>
      </c>
      <c r="BX97" s="59"/>
      <c r="BY97" s="36" t="e">
        <f>IF(BX$95="Alternate","",IF(BX$97="Paid",VLOOKUP(BX$95,$CH$96:$CM$100,5,FALSE),VLOOKUP(BX$95,$CH$96:$CM$100,6,FALSE)))</f>
        <v>#NUM!</v>
      </c>
      <c r="CH97" s="77" t="s">
        <v>8</v>
      </c>
      <c r="CI97" s="4"/>
      <c r="CJ97" s="78" t="e">
        <f>LOGEST(CJ81:CJ$92)^4-1</f>
        <v>#NUM!</v>
      </c>
      <c r="CK97" s="78" t="e">
        <f>LOGEST(CK81:CK$92)^4-1</f>
        <v>#NUM!</v>
      </c>
      <c r="CL97" s="78" t="e">
        <f>LOGEST(CL81:CL$92)^4-1</f>
        <v>#NUM!</v>
      </c>
      <c r="CM97" s="211" t="e">
        <f>LOGEST(CM81:CM$92)^4-1</f>
        <v>#NUM!</v>
      </c>
      <c r="CN97" s="17" t="s">
        <v>30</v>
      </c>
      <c r="CP97" s="59"/>
      <c r="CQ97" s="36" t="e">
        <f>IF(CP$95="Alternate","",IF(CP$97="Paid",VLOOKUP(CP$95,$CZ$96:$DE$100,5,FALSE),VLOOKUP(CP$95,$CZ$96:$DE$100,6,FALSE)))</f>
        <v>#NUM!</v>
      </c>
      <c r="CZ97" s="77" t="s">
        <v>8</v>
      </c>
      <c r="DA97" s="4"/>
      <c r="DB97" s="78" t="e">
        <f>LOGEST(DB81:DB$92)^4-1</f>
        <v>#NUM!</v>
      </c>
      <c r="DC97" s="78" t="e">
        <f>LOGEST(DC81:DC$92)^4-1</f>
        <v>#NUM!</v>
      </c>
      <c r="DD97" s="78" t="e">
        <f>LOGEST(DD81:DD$92)^4-1</f>
        <v>#NUM!</v>
      </c>
      <c r="DE97" s="211" t="e">
        <f>LOGEST(DE81:DE$92)^4-1</f>
        <v>#NUM!</v>
      </c>
      <c r="DF97" s="17" t="s">
        <v>30</v>
      </c>
      <c r="DH97" s="59"/>
      <c r="DI97" s="36" t="e">
        <f>IF(DH$95="Alternate","",IF(DH$97="Paid",VLOOKUP(DH$95,$DR$96:$DW$100,5,FALSE),VLOOKUP(DH$95,$DR$96:$DW$100,6,FALSE)))</f>
        <v>#NUM!</v>
      </c>
      <c r="DR97" s="77" t="s">
        <v>8</v>
      </c>
      <c r="DS97" s="4"/>
      <c r="DT97" s="78" t="e">
        <f>LOGEST(DT81:DT$92)^4-1</f>
        <v>#NUM!</v>
      </c>
      <c r="DU97" s="78" t="e">
        <f>LOGEST(DU81:DU$92)^4-1</f>
        <v>#NUM!</v>
      </c>
      <c r="DV97" s="78" t="e">
        <f>LOGEST(DV81:DV$92)^4-1</f>
        <v>#NUM!</v>
      </c>
      <c r="DW97" s="211" t="e">
        <f>LOGEST(DW81:DW$92)^4-1</f>
        <v>#NUM!</v>
      </c>
      <c r="DX97" s="17" t="s">
        <v>30</v>
      </c>
      <c r="DZ97" s="59"/>
      <c r="EA97" s="36" t="e">
        <f>IF(DZ$95="Alternate","",IF(DZ$97="Paid",VLOOKUP(DZ$95,$EJ$96:$EO$100,5,FALSE),VLOOKUP(DZ$95,$EJ$96:$EO$100,6,FALSE)))</f>
        <v>#N/A</v>
      </c>
      <c r="EJ97" s="77" t="s">
        <v>8</v>
      </c>
      <c r="EK97" s="4"/>
      <c r="EL97" s="78" t="e">
        <f>LOGEST(EL81:EL$92)^4-1</f>
        <v>#NUM!</v>
      </c>
      <c r="EM97" s="78" t="e">
        <f>LOGEST(EM81:EM$92)^4-1</f>
        <v>#NUM!</v>
      </c>
      <c r="EN97" s="78" t="e">
        <f>LOGEST(EN81:EN$92)^4-1</f>
        <v>#NUM!</v>
      </c>
      <c r="EO97" s="211"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1"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1" t="e">
        <f>LOGEST(FY81:FY$92)^4-1</f>
        <v>#NUM!</v>
      </c>
    </row>
    <row r="98" spans="2:181" x14ac:dyDescent="0.25">
      <c r="B98" s="17" t="s">
        <v>33</v>
      </c>
      <c r="E98" s="63" t="e">
        <f>IF(D$95="Alternate",E$100,(1+E96)*(1+E97)-1)</f>
        <v>#NUM!</v>
      </c>
      <c r="J98" s="54"/>
      <c r="K98" s="54"/>
      <c r="L98" s="54"/>
      <c r="M98" s="54"/>
      <c r="N98" s="77" t="s">
        <v>9</v>
      </c>
      <c r="O98" s="4"/>
      <c r="P98" s="78" t="e">
        <f>LOGEST(P77:P$92)^4-1</f>
        <v>#NUM!</v>
      </c>
      <c r="Q98" s="78" t="e">
        <f>LOGEST(Q77:Q$92)^4-1</f>
        <v>#NUM!</v>
      </c>
      <c r="R98" s="78" t="e">
        <f>LOGEST(R77:R$92)^4-1</f>
        <v>#NUM!</v>
      </c>
      <c r="S98" s="211" t="e">
        <f>LOGEST(S77:S$92)^4-1</f>
        <v>#NUM!</v>
      </c>
      <c r="T98" s="17" t="s">
        <v>33</v>
      </c>
      <c r="W98" s="63" t="e">
        <f>IF(V$95="Alternate",W$100,(1+W96)*(1+W97)-1)</f>
        <v>#NUM!</v>
      </c>
      <c r="AF98" s="77" t="s">
        <v>9</v>
      </c>
      <c r="AG98" s="4"/>
      <c r="AH98" s="78" t="e">
        <f>LOGEST(AH77:AH$92)^4-1</f>
        <v>#NUM!</v>
      </c>
      <c r="AI98" s="78" t="e">
        <f>LOGEST(AI77:AI$92)^4-1</f>
        <v>#NUM!</v>
      </c>
      <c r="AJ98" s="78" t="e">
        <f>LOGEST(AJ77:AJ$92)^4-1</f>
        <v>#NUM!</v>
      </c>
      <c r="AK98" s="211" t="e">
        <f>LOGEST(AK77:AK$92)^4-1</f>
        <v>#NUM!</v>
      </c>
      <c r="AL98" s="17" t="s">
        <v>33</v>
      </c>
      <c r="AO98" s="63" t="e">
        <f>IF(AN$95="Alternate",AO$100,(1+AO96)*(1+AO97)-1)</f>
        <v>#NUM!</v>
      </c>
      <c r="AX98" s="77" t="s">
        <v>9</v>
      </c>
      <c r="AY98" s="4"/>
      <c r="AZ98" s="78" t="e">
        <f>LOGEST(AZ77:AZ$92)^4-1</f>
        <v>#NUM!</v>
      </c>
      <c r="BA98" s="78" t="e">
        <f>LOGEST(BA77:BA$92)^4-1</f>
        <v>#NUM!</v>
      </c>
      <c r="BB98" s="78" t="e">
        <f>LOGEST(BB77:BB$92)^4-1</f>
        <v>#NUM!</v>
      </c>
      <c r="BC98" s="211" t="e">
        <f>LOGEST(BC77:BC$92)^4-1</f>
        <v>#NUM!</v>
      </c>
      <c r="BD98" s="17" t="s">
        <v>33</v>
      </c>
      <c r="BG98" s="63" t="e">
        <f>IF(BF$95="Alternate",BG$100,(1+BG96)*(1+BG97)-1)</f>
        <v>#NUM!</v>
      </c>
      <c r="BP98" s="77" t="s">
        <v>9</v>
      </c>
      <c r="BQ98" s="4"/>
      <c r="BR98" s="78" t="e">
        <f>LOGEST(BR77:BR$92)^4-1</f>
        <v>#NUM!</v>
      </c>
      <c r="BS98" s="78" t="e">
        <f>LOGEST(BS77:BS$92)^4-1</f>
        <v>#NUM!</v>
      </c>
      <c r="BT98" s="78" t="e">
        <f>LOGEST(BT77:BT$92)^4-1</f>
        <v>#NUM!</v>
      </c>
      <c r="BU98" s="211" t="e">
        <f>LOGEST(BU77:BU$92)^4-1</f>
        <v>#NUM!</v>
      </c>
      <c r="BV98" s="17" t="s">
        <v>33</v>
      </c>
      <c r="BY98" s="63" t="e">
        <f>IF(BX$95="Alternate",BY$100,(1+BY96)*(1+BY97)-1)</f>
        <v>#NUM!</v>
      </c>
      <c r="CH98" s="77" t="s">
        <v>9</v>
      </c>
      <c r="CI98" s="4"/>
      <c r="CJ98" s="78" t="e">
        <f>LOGEST(CJ77:CJ$92)^4-1</f>
        <v>#NUM!</v>
      </c>
      <c r="CK98" s="78" t="e">
        <f>LOGEST(CK77:CK$92)^4-1</f>
        <v>#NUM!</v>
      </c>
      <c r="CL98" s="78" t="e">
        <f>LOGEST(CL77:CL$92)^4-1</f>
        <v>#NUM!</v>
      </c>
      <c r="CM98" s="211" t="e">
        <f>LOGEST(CM77:CM$92)^4-1</f>
        <v>#NUM!</v>
      </c>
      <c r="CN98" s="17" t="s">
        <v>33</v>
      </c>
      <c r="CQ98" s="63" t="e">
        <f>IF(CP$95="Alternate",CQ$100,(1+CQ96)*(1+CQ97)-1)</f>
        <v>#NUM!</v>
      </c>
      <c r="CZ98" s="77" t="s">
        <v>9</v>
      </c>
      <c r="DA98" s="4"/>
      <c r="DB98" s="78" t="e">
        <f>LOGEST(DB77:DB$92)^4-1</f>
        <v>#NUM!</v>
      </c>
      <c r="DC98" s="78" t="e">
        <f>LOGEST(DC77:DC$92)^4-1</f>
        <v>#NUM!</v>
      </c>
      <c r="DD98" s="78" t="e">
        <f>LOGEST(DD77:DD$92)^4-1</f>
        <v>#NUM!</v>
      </c>
      <c r="DE98" s="211" t="e">
        <f>LOGEST(DE77:DE$92)^4-1</f>
        <v>#NUM!</v>
      </c>
      <c r="DF98" s="17" t="s">
        <v>33</v>
      </c>
      <c r="DI98" s="63" t="e">
        <f>IF(DH$95="Alternate",DI$100,(1+DI96)*(1+DI97)-1)</f>
        <v>#NUM!</v>
      </c>
      <c r="DR98" s="77" t="s">
        <v>9</v>
      </c>
      <c r="DS98" s="4"/>
      <c r="DT98" s="78" t="e">
        <f>LOGEST(DT77:DT$92)^4-1</f>
        <v>#NUM!</v>
      </c>
      <c r="DU98" s="78" t="e">
        <f>LOGEST(DU77:DU$92)^4-1</f>
        <v>#NUM!</v>
      </c>
      <c r="DV98" s="78" t="e">
        <f>LOGEST(DV77:DV$92)^4-1</f>
        <v>#NUM!</v>
      </c>
      <c r="DW98" s="211" t="e">
        <f>LOGEST(DW77:DW$92)^4-1</f>
        <v>#NUM!</v>
      </c>
      <c r="DX98" s="17" t="s">
        <v>33</v>
      </c>
      <c r="EA98" s="63" t="e">
        <f>IF(DZ$95="Alternate",EA$100,(1+EA96)*(1+EA97)-1)</f>
        <v>#N/A</v>
      </c>
      <c r="EJ98" s="77" t="s">
        <v>9</v>
      </c>
      <c r="EK98" s="4"/>
      <c r="EL98" s="78" t="e">
        <f>LOGEST(EL77:EL$92)^4-1</f>
        <v>#NUM!</v>
      </c>
      <c r="EM98" s="78" t="e">
        <f>LOGEST(EM77:EM$92)^4-1</f>
        <v>#NUM!</v>
      </c>
      <c r="EN98" s="78" t="e">
        <f>LOGEST(EN77:EN$92)^4-1</f>
        <v>#NUM!</v>
      </c>
      <c r="EO98" s="211" t="e">
        <f>LOGEST(EO77:EO$92)^4-1</f>
        <v>#NUM!</v>
      </c>
      <c r="EP98" s="17" t="s">
        <v>33</v>
      </c>
      <c r="ES98" s="63" t="e">
        <f>IF(ER$95="Alternate",ES$100,(1+ES96)*(1+ES97)-1)</f>
        <v>#N/A</v>
      </c>
      <c r="FB98" s="77" t="s">
        <v>9</v>
      </c>
      <c r="FC98" s="4"/>
      <c r="FD98" s="78" t="e">
        <f>LOGEST(FD77:FD$92)^4-1</f>
        <v>#NUM!</v>
      </c>
      <c r="FE98" s="78" t="e">
        <f>LOGEST(FE77:FE$92)^4-1</f>
        <v>#NUM!</v>
      </c>
      <c r="FF98" s="78" t="e">
        <f>LOGEST(FF77:FF$92)^4-1</f>
        <v>#NUM!</v>
      </c>
      <c r="FG98" s="211" t="e">
        <f>LOGEST(FG77:FG$92)^4-1</f>
        <v>#NUM!</v>
      </c>
      <c r="FH98" s="17" t="s">
        <v>33</v>
      </c>
      <c r="FK98" s="63" t="e">
        <f>IF(FJ$95="Alternate",FK$100,(1+FK96)*(1+FK97)-1)</f>
        <v>#N/A</v>
      </c>
      <c r="FT98" s="77" t="s">
        <v>9</v>
      </c>
      <c r="FU98" s="4"/>
      <c r="FV98" s="78" t="e">
        <f>LOGEST(FV77:FV$92)^4-1</f>
        <v>#NUM!</v>
      </c>
      <c r="FW98" s="78" t="e">
        <f>LOGEST(FW77:FW$92)^4-1</f>
        <v>#NUM!</v>
      </c>
      <c r="FX98" s="78" t="e">
        <f>LOGEST(FX77:FX$92)^4-1</f>
        <v>#NUM!</v>
      </c>
      <c r="FY98" s="211" t="e">
        <f>LOGEST(FY77:FY$92)^4-1</f>
        <v>#NUM!</v>
      </c>
    </row>
    <row r="99" spans="2:181" x14ac:dyDescent="0.25">
      <c r="J99" s="54"/>
      <c r="K99" s="54"/>
      <c r="L99" s="54"/>
      <c r="M99" s="54"/>
      <c r="N99" s="77" t="s">
        <v>10</v>
      </c>
      <c r="O99" s="4"/>
      <c r="P99" s="78" t="e">
        <f>LOGEST(P73:P$92)^4-1</f>
        <v>#NUM!</v>
      </c>
      <c r="Q99" s="78" t="e">
        <f>LOGEST(Q73:Q$92)^4-1</f>
        <v>#NUM!</v>
      </c>
      <c r="R99" s="78" t="e">
        <f>LOGEST(R73:R$92)^4-1</f>
        <v>#NUM!</v>
      </c>
      <c r="S99" s="211" t="e">
        <f>LOGEST(S73:S$92)^4-1</f>
        <v>#NUM!</v>
      </c>
      <c r="AF99" s="77" t="s">
        <v>10</v>
      </c>
      <c r="AG99" s="4"/>
      <c r="AH99" s="78" t="e">
        <f>LOGEST(AH73:AH$92)^4-1</f>
        <v>#NUM!</v>
      </c>
      <c r="AI99" s="78" t="e">
        <f>LOGEST(AI73:AI$92)^4-1</f>
        <v>#NUM!</v>
      </c>
      <c r="AJ99" s="78" t="e">
        <f>LOGEST(AJ73:AJ$92)^4-1</f>
        <v>#NUM!</v>
      </c>
      <c r="AK99" s="211" t="e">
        <f>LOGEST(AK73:AK$92)^4-1</f>
        <v>#NUM!</v>
      </c>
      <c r="AX99" s="77" t="s">
        <v>10</v>
      </c>
      <c r="AY99" s="4"/>
      <c r="AZ99" s="78" t="e">
        <f>LOGEST(AZ73:AZ$92)^4-1</f>
        <v>#NUM!</v>
      </c>
      <c r="BA99" s="78" t="e">
        <f>LOGEST(BA73:BA$92)^4-1</f>
        <v>#NUM!</v>
      </c>
      <c r="BB99" s="78" t="e">
        <f>LOGEST(BB73:BB$92)^4-1</f>
        <v>#NUM!</v>
      </c>
      <c r="BC99" s="211" t="e">
        <f>LOGEST(BC73:BC$92)^4-1</f>
        <v>#NUM!</v>
      </c>
      <c r="BP99" s="77" t="s">
        <v>10</v>
      </c>
      <c r="BQ99" s="4"/>
      <c r="BR99" s="78" t="e">
        <f>LOGEST(BR73:BR$92)^4-1</f>
        <v>#NUM!</v>
      </c>
      <c r="BS99" s="78" t="e">
        <f>LOGEST(BS73:BS$92)^4-1</f>
        <v>#NUM!</v>
      </c>
      <c r="BT99" s="78" t="e">
        <f>LOGEST(BT73:BT$92)^4-1</f>
        <v>#NUM!</v>
      </c>
      <c r="BU99" s="211" t="e">
        <f>LOGEST(BU73:BU$92)^4-1</f>
        <v>#NUM!</v>
      </c>
      <c r="CH99" s="77" t="s">
        <v>10</v>
      </c>
      <c r="CI99" s="4"/>
      <c r="CJ99" s="78" t="e">
        <f>LOGEST(CJ73:CJ$92)^4-1</f>
        <v>#NUM!</v>
      </c>
      <c r="CK99" s="78" t="e">
        <f>LOGEST(CK73:CK$92)^4-1</f>
        <v>#NUM!</v>
      </c>
      <c r="CL99" s="78" t="e">
        <f>LOGEST(CL73:CL$92)^4-1</f>
        <v>#NUM!</v>
      </c>
      <c r="CM99" s="211" t="e">
        <f>LOGEST(CM73:CM$92)^4-1</f>
        <v>#NUM!</v>
      </c>
      <c r="CZ99" s="77" t="s">
        <v>10</v>
      </c>
      <c r="DA99" s="4"/>
      <c r="DB99" s="78" t="e">
        <f>LOGEST(DB73:DB$92)^4-1</f>
        <v>#NUM!</v>
      </c>
      <c r="DC99" s="78" t="e">
        <f>LOGEST(DC73:DC$92)^4-1</f>
        <v>#NUM!</v>
      </c>
      <c r="DD99" s="78" t="e">
        <f>LOGEST(DD73:DD$92)^4-1</f>
        <v>#NUM!</v>
      </c>
      <c r="DE99" s="211" t="e">
        <f>LOGEST(DE73:DE$92)^4-1</f>
        <v>#NUM!</v>
      </c>
      <c r="DR99" s="77" t="s">
        <v>10</v>
      </c>
      <c r="DS99" s="4"/>
      <c r="DT99" s="78" t="e">
        <f>LOGEST(DT73:DT$92)^4-1</f>
        <v>#NUM!</v>
      </c>
      <c r="DU99" s="78" t="e">
        <f>LOGEST(DU73:DU$92)^4-1</f>
        <v>#NUM!</v>
      </c>
      <c r="DV99" s="78" t="e">
        <f>LOGEST(DV73:DV$92)^4-1</f>
        <v>#NUM!</v>
      </c>
      <c r="DW99" s="211" t="e">
        <f>LOGEST(DW73:DW$92)^4-1</f>
        <v>#NUM!</v>
      </c>
      <c r="EJ99" s="77" t="s">
        <v>10</v>
      </c>
      <c r="EK99" s="4"/>
      <c r="EL99" s="78" t="e">
        <f>LOGEST(EL73:EL$92)^4-1</f>
        <v>#NUM!</v>
      </c>
      <c r="EM99" s="78" t="e">
        <f>LOGEST(EM73:EM$92)^4-1</f>
        <v>#NUM!</v>
      </c>
      <c r="EN99" s="78" t="e">
        <f>LOGEST(EN73:EN$92)^4-1</f>
        <v>#NUM!</v>
      </c>
      <c r="EO99" s="211" t="e">
        <f>LOGEST(EO73:EO$92)^4-1</f>
        <v>#NUM!</v>
      </c>
      <c r="FB99" s="77" t="s">
        <v>10</v>
      </c>
      <c r="FC99" s="4"/>
      <c r="FD99" s="78" t="e">
        <f>LOGEST(FD73:FD$92)^4-1</f>
        <v>#NUM!</v>
      </c>
      <c r="FE99" s="78" t="e">
        <f>LOGEST(FE73:FE$92)^4-1</f>
        <v>#NUM!</v>
      </c>
      <c r="FF99" s="78" t="e">
        <f>LOGEST(FF73:FF$92)^4-1</f>
        <v>#NUM!</v>
      </c>
      <c r="FG99" s="211" t="e">
        <f>LOGEST(FG73:FG$92)^4-1</f>
        <v>#NUM!</v>
      </c>
      <c r="FT99" s="77" t="s">
        <v>10</v>
      </c>
      <c r="FU99" s="4"/>
      <c r="FV99" s="78" t="e">
        <f>LOGEST(FV73:FV$92)^4-1</f>
        <v>#NUM!</v>
      </c>
      <c r="FW99" s="78" t="e">
        <f>LOGEST(FW73:FW$92)^4-1</f>
        <v>#NUM!</v>
      </c>
      <c r="FX99" s="78" t="e">
        <f>LOGEST(FX73:FX$92)^4-1</f>
        <v>#NUM!</v>
      </c>
      <c r="FY99" s="211" t="e">
        <f>LOGEST(FY73:FY$92)^4-1</f>
        <v>#NUM!</v>
      </c>
    </row>
    <row r="100" spans="2:181" ht="15" customHeight="1" thickBot="1" x14ac:dyDescent="0.3">
      <c r="B100" s="17" t="s">
        <v>171</v>
      </c>
      <c r="E100" s="223"/>
      <c r="F100" t="s">
        <v>173</v>
      </c>
      <c r="J100" s="54"/>
      <c r="K100" s="54"/>
      <c r="L100" s="54"/>
      <c r="M100" s="54"/>
      <c r="N100" s="80" t="s">
        <v>11</v>
      </c>
      <c r="O100" s="82"/>
      <c r="P100" s="81" t="e">
        <f>LOGEST(P69:P$92)^4-1</f>
        <v>#NUM!</v>
      </c>
      <c r="Q100" s="81" t="e">
        <f>LOGEST(Q69:Q$92)^4-1</f>
        <v>#NUM!</v>
      </c>
      <c r="R100" s="81" t="e">
        <f>LOGEST(R69:R$92)^4-1</f>
        <v>#NUM!</v>
      </c>
      <c r="S100" s="212" t="e">
        <f>LOGEST(S69:S$92)^4-1</f>
        <v>#NUM!</v>
      </c>
      <c r="T100" s="17" t="s">
        <v>171</v>
      </c>
      <c r="W100" s="223"/>
      <c r="X100" t="s">
        <v>173</v>
      </c>
      <c r="AF100" s="80" t="s">
        <v>11</v>
      </c>
      <c r="AG100" s="82"/>
      <c r="AH100" s="81" t="e">
        <f>LOGEST(AH69:AH$92)^4-1</f>
        <v>#NUM!</v>
      </c>
      <c r="AI100" s="81" t="e">
        <f>LOGEST(AI69:AI$92)^4-1</f>
        <v>#NUM!</v>
      </c>
      <c r="AJ100" s="81" t="e">
        <f>LOGEST(AJ69:AJ$92)^4-1</f>
        <v>#NUM!</v>
      </c>
      <c r="AK100" s="212" t="e">
        <f>LOGEST(AK69:AK$92)^4-1</f>
        <v>#NUM!</v>
      </c>
      <c r="AL100" s="17" t="s">
        <v>171</v>
      </c>
      <c r="AO100" s="223"/>
      <c r="AP100" t="s">
        <v>173</v>
      </c>
      <c r="AX100" s="80" t="s">
        <v>11</v>
      </c>
      <c r="AY100" s="82"/>
      <c r="AZ100" s="81" t="e">
        <f>LOGEST(AZ69:AZ$92)^4-1</f>
        <v>#NUM!</v>
      </c>
      <c r="BA100" s="81" t="e">
        <f>LOGEST(BA69:BA$92)^4-1</f>
        <v>#NUM!</v>
      </c>
      <c r="BB100" s="81" t="e">
        <f>LOGEST(BB69:BB$92)^4-1</f>
        <v>#NUM!</v>
      </c>
      <c r="BC100" s="212" t="e">
        <f>LOGEST(BC69:BC$92)^4-1</f>
        <v>#NUM!</v>
      </c>
      <c r="BD100" s="17" t="s">
        <v>171</v>
      </c>
      <c r="BG100" s="223"/>
      <c r="BH100" t="s">
        <v>173</v>
      </c>
      <c r="BP100" s="80" t="s">
        <v>11</v>
      </c>
      <c r="BQ100" s="82"/>
      <c r="BR100" s="81" t="e">
        <f>LOGEST(BR69:BR$92)^4-1</f>
        <v>#NUM!</v>
      </c>
      <c r="BS100" s="81" t="e">
        <f>LOGEST(BS69:BS$92)^4-1</f>
        <v>#NUM!</v>
      </c>
      <c r="BT100" s="81" t="e">
        <f>LOGEST(BT69:BT$92)^4-1</f>
        <v>#NUM!</v>
      </c>
      <c r="BU100" s="212" t="e">
        <f>LOGEST(BU69:BU$92)^4-1</f>
        <v>#NUM!</v>
      </c>
      <c r="BV100" s="17" t="s">
        <v>171</v>
      </c>
      <c r="BY100" s="223"/>
      <c r="BZ100" t="s">
        <v>173</v>
      </c>
      <c r="CH100" s="80" t="s">
        <v>11</v>
      </c>
      <c r="CI100" s="82"/>
      <c r="CJ100" s="81" t="e">
        <f>LOGEST(CJ69:CJ$92)^4-1</f>
        <v>#NUM!</v>
      </c>
      <c r="CK100" s="81" t="e">
        <f>LOGEST(CK69:CK$92)^4-1</f>
        <v>#NUM!</v>
      </c>
      <c r="CL100" s="81" t="e">
        <f>LOGEST(CL69:CL$92)^4-1</f>
        <v>#NUM!</v>
      </c>
      <c r="CM100" s="212" t="e">
        <f>LOGEST(CM69:CM$92)^4-1</f>
        <v>#NUM!</v>
      </c>
      <c r="CN100" s="17" t="s">
        <v>171</v>
      </c>
      <c r="CQ100" s="223"/>
      <c r="CR100" t="s">
        <v>173</v>
      </c>
      <c r="CZ100" s="80" t="s">
        <v>11</v>
      </c>
      <c r="DA100" s="82"/>
      <c r="DB100" s="81" t="e">
        <f>LOGEST(DB69:DB$92)^4-1</f>
        <v>#NUM!</v>
      </c>
      <c r="DC100" s="81" t="e">
        <f>LOGEST(DC69:DC$92)^4-1</f>
        <v>#NUM!</v>
      </c>
      <c r="DD100" s="81" t="e">
        <f>LOGEST(DD69:DD$92)^4-1</f>
        <v>#NUM!</v>
      </c>
      <c r="DE100" s="212" t="e">
        <f>LOGEST(DE69:DE$92)^4-1</f>
        <v>#NUM!</v>
      </c>
      <c r="DF100" s="17" t="s">
        <v>171</v>
      </c>
      <c r="DI100" s="223"/>
      <c r="DJ100" t="s">
        <v>173</v>
      </c>
      <c r="DR100" s="80" t="s">
        <v>11</v>
      </c>
      <c r="DS100" s="82"/>
      <c r="DT100" s="81" t="e">
        <f>LOGEST(DT69:DT$92)^4-1</f>
        <v>#NUM!</v>
      </c>
      <c r="DU100" s="81" t="e">
        <f>LOGEST(DU69:DU$92)^4-1</f>
        <v>#NUM!</v>
      </c>
      <c r="DV100" s="81" t="e">
        <f>LOGEST(DV69:DV$92)^4-1</f>
        <v>#NUM!</v>
      </c>
      <c r="DW100" s="212" t="e">
        <f>LOGEST(DW69:DW$92)^4-1</f>
        <v>#NUM!</v>
      </c>
      <c r="DX100" s="17" t="s">
        <v>171</v>
      </c>
      <c r="EA100" s="223"/>
      <c r="EB100" t="s">
        <v>173</v>
      </c>
      <c r="EJ100" s="80" t="s">
        <v>11</v>
      </c>
      <c r="EK100" s="82"/>
      <c r="EL100" s="81" t="e">
        <f>LOGEST(EL69:EL$92)^4-1</f>
        <v>#NUM!</v>
      </c>
      <c r="EM100" s="81" t="e">
        <f>LOGEST(EM69:EM$92)^4-1</f>
        <v>#NUM!</v>
      </c>
      <c r="EN100" s="81" t="e">
        <f>LOGEST(EN69:EN$92)^4-1</f>
        <v>#NUM!</v>
      </c>
      <c r="EO100" s="212" t="e">
        <f>LOGEST(EO69:EO$92)^4-1</f>
        <v>#NUM!</v>
      </c>
      <c r="EP100" s="17" t="s">
        <v>171</v>
      </c>
      <c r="ES100" s="223"/>
      <c r="ET100" t="s">
        <v>173</v>
      </c>
      <c r="FB100" s="80" t="s">
        <v>11</v>
      </c>
      <c r="FC100" s="82"/>
      <c r="FD100" s="81" t="e">
        <f>LOGEST(FD69:FD$92)^4-1</f>
        <v>#NUM!</v>
      </c>
      <c r="FE100" s="81" t="e">
        <f>LOGEST(FE69:FE$92)^4-1</f>
        <v>#NUM!</v>
      </c>
      <c r="FF100" s="81" t="e">
        <f>LOGEST(FF69:FF$92)^4-1</f>
        <v>#NUM!</v>
      </c>
      <c r="FG100" s="212" t="e">
        <f>LOGEST(FG69:FG$92)^4-1</f>
        <v>#NUM!</v>
      </c>
      <c r="FH100" s="17" t="s">
        <v>171</v>
      </c>
      <c r="FK100" s="223"/>
      <c r="FL100" t="s">
        <v>173</v>
      </c>
      <c r="FT100" s="80" t="s">
        <v>11</v>
      </c>
      <c r="FU100" s="82"/>
      <c r="FV100" s="81" t="e">
        <f>LOGEST(FV69:FV$92)^4-1</f>
        <v>#NUM!</v>
      </c>
      <c r="FW100" s="81" t="e">
        <f>LOGEST(FW69:FW$92)^4-1</f>
        <v>#NUM!</v>
      </c>
      <c r="FX100" s="81" t="e">
        <f>LOGEST(FX69:FX$92)^4-1</f>
        <v>#NUM!</v>
      </c>
      <c r="FY100" s="212" t="e">
        <f>LOGEST(FY69:FY$92)^4-1</f>
        <v>#NUM!</v>
      </c>
    </row>
    <row r="101" spans="2:181" hidden="1" x14ac:dyDescent="0.25">
      <c r="M101" s="4"/>
      <c r="N101" s="218" t="s">
        <v>172</v>
      </c>
      <c r="P101" s="217"/>
      <c r="AF101" s="218" t="s">
        <v>172</v>
      </c>
      <c r="AX101" s="218" t="s">
        <v>172</v>
      </c>
      <c r="BP101" s="218" t="s">
        <v>172</v>
      </c>
      <c r="CH101" s="218" t="s">
        <v>172</v>
      </c>
      <c r="CZ101" s="218" t="s">
        <v>172</v>
      </c>
      <c r="DR101" s="218" t="s">
        <v>172</v>
      </c>
      <c r="EJ101" s="218" t="s">
        <v>172</v>
      </c>
      <c r="FB101" s="218" t="s">
        <v>172</v>
      </c>
      <c r="FT101" s="218" t="s">
        <v>172</v>
      </c>
    </row>
  </sheetData>
  <sheetProtection algorithmName="SHA-512" hashValue="4YNcJj/8Vgrg7cnhEzNpXAJKXqbrENz2WMS/RONGX6577cTR9pvDAABWcUhoaHsTWG0w94JXanGVY5n2DODgqw==" saltValue="u87debyrX0pAZkpRFprcCA=="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3"/>
  <pageSetup scale="54" orientation="landscape" useFirstPageNumber="1" r:id="rId1"/>
  <headerFooter>
    <oddHeader>&amp;R&amp;"-,Bold"Exhibit 8</oddHeader>
    <oddFooter>&amp;CStandard Exhibits Template&amp;RPage 4.&amp;P&amp;L1/3/2023 Edition</oddFooter>
  </headerFooter>
  <rowBreaks count="1" manualBreakCount="1">
    <brk id="55" min="1" max="180"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125</vt:i4>
      </vt:variant>
    </vt:vector>
  </HeadingPairs>
  <TitlesOfParts>
    <vt:vector size="130"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EffDate_Proposed</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PolicyTermAvgAnn</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Zachary Hatzenbeler</cp:lastModifiedBy>
  <cp:lastPrinted>2023-03-29T17:04:22Z</cp:lastPrinted>
  <dcterms:created xsi:type="dcterms:W3CDTF">2014-10-15T15:53:44Z</dcterms:created>
  <dcterms:modified xsi:type="dcterms:W3CDTF">2023-07-06T18:22:56Z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2023-02-21T19:57:50Z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f839f9ba-04d8-44fb-bffa-22dd02e8cc9b</vt:lpwstr>
  </property>
  <property fmtid="{D5CDD505-2E9C-101B-9397-08002B2CF9AE}" pid="8" name="MSIP_Label_261ecbe3-7ba9-4124-b9d7-ffd820687beb_ContentBits">
    <vt:lpwstr>0</vt:lpwstr>
  </property>
</Properties>
</file>