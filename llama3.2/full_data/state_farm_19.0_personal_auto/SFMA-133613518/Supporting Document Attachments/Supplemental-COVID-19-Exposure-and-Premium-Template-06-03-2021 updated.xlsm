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W:\P-C ACTUARIAL\AUTO\STATE FILES\California\REVISIONS\2023\10-2-2023 Rate Filing\Filing\Supplemental COVID Exposure and Premium\"/>
    </mc:Choice>
  </mc:AlternateContent>
  <xr:revisionPtr revIDLastSave="0" documentId="8_{4AD68633-8FD2-4EA0-9B2E-2CD78214999A}" xr6:coauthVersionLast="47" xr6:coauthVersionMax="47" xr10:uidLastSave="{00000000-0000-0000-0000-000000000000}"/>
  <bookViews>
    <workbookView xWindow="855" yWindow="990" windowWidth="23850" windowHeight="14370" firstSheet="2" activeTab="4" xr2:uid="{00000000-000D-0000-FFFF-FFFF00000000}"/>
  </bookViews>
  <sheets>
    <sheet name="Settings" sheetId="8" state="veryHidden" r:id="rId1"/>
    <sheet name="References" sheetId="11" state="veryHidden" r:id="rId2"/>
    <sheet name="Instructions" sheetId="9" r:id="rId3"/>
    <sheet name="1.General" sheetId="10" r:id="rId4"/>
    <sheet name="2.Exp_Prem" sheetId="12" r:id="rId5"/>
  </sheets>
  <definedNames>
    <definedName name="CDI_FileNo">Settings!$B$23</definedName>
    <definedName name="Co_Name">Settings!$B$21</definedName>
    <definedName name="Completed_By">Settings!$B$24</definedName>
    <definedName name="Completed_Date">Settings!$B$25</definedName>
    <definedName name="CompSrc10">'1.General'!$G$30</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_P_Coverage1">'2.Exp_Prem'!$B$1:$J$50</definedName>
    <definedName name="E_P_Coverage10">'2.Exp_Prem'!$CE$1:$CM$50</definedName>
    <definedName name="E_P_Coverage2">'2.Exp_Prem'!$K$1:$S$50</definedName>
    <definedName name="E_P_Coverage3">'2.Exp_Prem'!$T$1:$AB$50</definedName>
    <definedName name="E_P_Coverage4">'2.Exp_Prem'!$AC$1:$AK$50</definedName>
    <definedName name="E_P_Coverage5">'2.Exp_Prem'!$AL$1:$AT$50</definedName>
    <definedName name="E_P_Coverage6">'2.Exp_Prem'!$AU$1:$BC$50</definedName>
    <definedName name="E_P_Coverage7">'2.Exp_Prem'!$BD$1:$BL$50</definedName>
    <definedName name="E_P_Coverage8">'2.Exp_Prem'!$BM$1:$BU$50</definedName>
    <definedName name="E_P_Coverage9">'2.Exp_Prem'!$BV$1:$CD$50</definedName>
    <definedName name="Edition_Date">Settings!$B$20</definedName>
    <definedName name="FYQtr">'1.General'!$C$32</definedName>
    <definedName name="General_Line">Settings!$B$22</definedName>
    <definedName name="List_DetailLine">References!$I$6:$J$39</definedName>
    <definedName name="List_GeneralLine">References!$F$6:$F$26</definedName>
    <definedName name="List_LineType">References!$D$6:$D$8</definedName>
    <definedName name="List_PrintExh">References!$N$6:$N$6</definedName>
    <definedName name="List_YNIndicator">References!$B$6:$B$7</definedName>
    <definedName name="List_YNnaIndicator">References!$B$6:$B$8</definedName>
    <definedName name="NumCovgs">'1.General'!$D$31</definedName>
    <definedName name="_xlnm.Print_Area" localSheetId="3">'1.General'!$A$1:$G$38</definedName>
    <definedName name="_xlnm.Print_Area" localSheetId="4">'2.Exp_Prem'!$B$1:$BL$50</definedName>
    <definedName name="_xlnm.Print_Area" localSheetId="2">Instructions!$A$1:$B$15</definedName>
    <definedName name="_xlnm.Print_Area" localSheetId="0">Settings!$A$1:$B$26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10" l="1"/>
  <c r="D30" i="10" l="1"/>
  <c r="D29" i="10"/>
  <c r="D28" i="10"/>
  <c r="D27" i="10"/>
  <c r="D26" i="10"/>
  <c r="A30" i="10" l="1"/>
  <c r="A29" i="10"/>
  <c r="A28" i="10"/>
  <c r="A27" i="10"/>
  <c r="A26" i="10"/>
  <c r="I32" i="10"/>
  <c r="B48" i="12"/>
  <c r="CE48" i="12" s="1"/>
  <c r="CE47" i="12" s="1"/>
  <c r="CE46" i="12" s="1"/>
  <c r="CE45" i="12" s="1"/>
  <c r="CE44" i="12" s="1"/>
  <c r="CE43" i="12" s="1"/>
  <c r="CE42" i="12" s="1"/>
  <c r="CE41" i="12" s="1"/>
  <c r="CE40" i="12" s="1"/>
  <c r="CE39" i="12" s="1"/>
  <c r="CE38" i="12" s="1"/>
  <c r="CE37" i="12" s="1"/>
  <c r="CE36" i="12" s="1"/>
  <c r="CE35" i="12" s="1"/>
  <c r="CE34" i="12" s="1"/>
  <c r="CE33" i="12" s="1"/>
  <c r="CE32" i="12" s="1"/>
  <c r="CE31" i="12" s="1"/>
  <c r="CE30" i="12" s="1"/>
  <c r="CE29" i="12" s="1"/>
  <c r="CE28" i="12" s="1"/>
  <c r="CE27" i="12" s="1"/>
  <c r="CE26" i="12" s="1"/>
  <c r="CE25" i="12" s="1"/>
  <c r="CE24" i="12" s="1"/>
  <c r="CE23" i="12" s="1"/>
  <c r="CE22" i="12" s="1"/>
  <c r="CE21" i="12" s="1"/>
  <c r="CE20" i="12" s="1"/>
  <c r="CE19" i="12" s="1"/>
  <c r="CE18" i="12" s="1"/>
  <c r="CE17" i="12" s="1"/>
  <c r="CE16" i="12" s="1"/>
  <c r="CE15" i="12" s="1"/>
  <c r="CE14" i="12" s="1"/>
  <c r="CE13" i="12" s="1"/>
  <c r="CE12" i="12" s="1"/>
  <c r="CE11" i="12" s="1"/>
  <c r="CE10" i="12" s="1"/>
  <c r="CE9" i="12" s="1"/>
  <c r="CG5" i="12"/>
  <c r="BX5" i="12"/>
  <c r="BO5" i="12"/>
  <c r="BF5" i="12"/>
  <c r="AW5" i="12"/>
  <c r="AN5" i="12"/>
  <c r="AE5" i="12"/>
  <c r="V5" i="12"/>
  <c r="M5" i="12"/>
  <c r="D5" i="12"/>
  <c r="CE4" i="12"/>
  <c r="BV4" i="12"/>
  <c r="BM4" i="12"/>
  <c r="BD4" i="12"/>
  <c r="AU4" i="12"/>
  <c r="AL4" i="12"/>
  <c r="AC4" i="12"/>
  <c r="T4" i="12"/>
  <c r="K4" i="12"/>
  <c r="B4" i="12"/>
  <c r="I26" i="10" l="1"/>
  <c r="I27" i="10"/>
  <c r="I28" i="10"/>
  <c r="I29" i="10"/>
  <c r="I30" i="10"/>
  <c r="T48" i="12"/>
  <c r="T47" i="12" s="1"/>
  <c r="T46" i="12" s="1"/>
  <c r="T45" i="12" s="1"/>
  <c r="T44" i="12" s="1"/>
  <c r="T43" i="12" s="1"/>
  <c r="T42" i="12" s="1"/>
  <c r="T41" i="12" s="1"/>
  <c r="T40" i="12" s="1"/>
  <c r="T39" i="12" s="1"/>
  <c r="T38" i="12" s="1"/>
  <c r="T37" i="12" s="1"/>
  <c r="T36" i="12" s="1"/>
  <c r="T35" i="12" s="1"/>
  <c r="T34" i="12" s="1"/>
  <c r="T33" i="12" s="1"/>
  <c r="T32" i="12" s="1"/>
  <c r="T31" i="12" s="1"/>
  <c r="T30" i="12" s="1"/>
  <c r="T29" i="12" s="1"/>
  <c r="T28" i="12" s="1"/>
  <c r="T27" i="12" s="1"/>
  <c r="T26" i="12" s="1"/>
  <c r="T25" i="12" s="1"/>
  <c r="T24" i="12" s="1"/>
  <c r="T23" i="12" s="1"/>
  <c r="T22" i="12" s="1"/>
  <c r="T21" i="12" s="1"/>
  <c r="T20" i="12" s="1"/>
  <c r="T19" i="12" s="1"/>
  <c r="T18" i="12" s="1"/>
  <c r="T17" i="12" s="1"/>
  <c r="T16" i="12" s="1"/>
  <c r="T15" i="12" s="1"/>
  <c r="T14" i="12" s="1"/>
  <c r="T13" i="12" s="1"/>
  <c r="T12" i="12" s="1"/>
  <c r="T11" i="12" s="1"/>
  <c r="T10" i="12" s="1"/>
  <c r="T9" i="12" s="1"/>
  <c r="B47" i="12"/>
  <c r="B46" i="12" s="1"/>
  <c r="B45" i="12" s="1"/>
  <c r="B44" i="12" s="1"/>
  <c r="B43" i="12" s="1"/>
  <c r="B42" i="12" s="1"/>
  <c r="B41" i="12" s="1"/>
  <c r="B40" i="12" s="1"/>
  <c r="B39" i="12" s="1"/>
  <c r="B38" i="12" s="1"/>
  <c r="B37" i="12" s="1"/>
  <c r="B36" i="12" s="1"/>
  <c r="B35" i="12" s="1"/>
  <c r="B34" i="12" s="1"/>
  <c r="B33" i="12" s="1"/>
  <c r="B32" i="12" s="1"/>
  <c r="B31" i="12" s="1"/>
  <c r="B30" i="12" s="1"/>
  <c r="B29" i="12" s="1"/>
  <c r="B28" i="12" s="1"/>
  <c r="B27" i="12" s="1"/>
  <c r="B26" i="12" s="1"/>
  <c r="B25" i="12" s="1"/>
  <c r="B24" i="12" s="1"/>
  <c r="B23" i="12" s="1"/>
  <c r="B22" i="12" s="1"/>
  <c r="B21" i="12" s="1"/>
  <c r="B20" i="12" s="1"/>
  <c r="B19" i="12" s="1"/>
  <c r="B18" i="12" s="1"/>
  <c r="B17" i="12" s="1"/>
  <c r="B16" i="12" s="1"/>
  <c r="B15" i="12" s="1"/>
  <c r="B14" i="12" s="1"/>
  <c r="B13" i="12" s="1"/>
  <c r="B12" i="12" s="1"/>
  <c r="B11" i="12" s="1"/>
  <c r="B10" i="12" s="1"/>
  <c r="B9" i="12" s="1"/>
  <c r="BD48" i="12"/>
  <c r="BD47" i="12" s="1"/>
  <c r="BD46" i="12" s="1"/>
  <c r="BD45" i="12" s="1"/>
  <c r="BD44" i="12" s="1"/>
  <c r="BD43" i="12" s="1"/>
  <c r="BD42" i="12" s="1"/>
  <c r="BD41" i="12" s="1"/>
  <c r="BD40" i="12" s="1"/>
  <c r="BD39" i="12" s="1"/>
  <c r="BD38" i="12" s="1"/>
  <c r="BD37" i="12" s="1"/>
  <c r="BD36" i="12" s="1"/>
  <c r="BD35" i="12" s="1"/>
  <c r="BD34" i="12" s="1"/>
  <c r="BD33" i="12" s="1"/>
  <c r="BD32" i="12" s="1"/>
  <c r="BD31" i="12" s="1"/>
  <c r="BD30" i="12" s="1"/>
  <c r="BD29" i="12" s="1"/>
  <c r="BD28" i="12" s="1"/>
  <c r="BD27" i="12" s="1"/>
  <c r="BD26" i="12" s="1"/>
  <c r="BD25" i="12" s="1"/>
  <c r="BD24" i="12" s="1"/>
  <c r="BD23" i="12" s="1"/>
  <c r="BD22" i="12" s="1"/>
  <c r="BD21" i="12" s="1"/>
  <c r="BD20" i="12" s="1"/>
  <c r="BD19" i="12" s="1"/>
  <c r="BD18" i="12" s="1"/>
  <c r="BD17" i="12" s="1"/>
  <c r="BD16" i="12" s="1"/>
  <c r="BD15" i="12" s="1"/>
  <c r="BD14" i="12" s="1"/>
  <c r="BD13" i="12" s="1"/>
  <c r="BD12" i="12" s="1"/>
  <c r="BD11" i="12" s="1"/>
  <c r="BD10" i="12" s="1"/>
  <c r="BD9" i="12" s="1"/>
  <c r="AC48" i="12"/>
  <c r="AC47" i="12" s="1"/>
  <c r="AC46" i="12" s="1"/>
  <c r="AC45" i="12" s="1"/>
  <c r="AC44" i="12" s="1"/>
  <c r="AC43" i="12" s="1"/>
  <c r="AC42" i="12" s="1"/>
  <c r="AC41" i="12" s="1"/>
  <c r="AC40" i="12" s="1"/>
  <c r="AC39" i="12" s="1"/>
  <c r="AC38" i="12" s="1"/>
  <c r="AC37" i="12" s="1"/>
  <c r="AC36" i="12" s="1"/>
  <c r="AC35" i="12" s="1"/>
  <c r="AC34" i="12" s="1"/>
  <c r="AC33" i="12" s="1"/>
  <c r="AC32" i="12" s="1"/>
  <c r="AC31" i="12" s="1"/>
  <c r="AC30" i="12" s="1"/>
  <c r="AC29" i="12" s="1"/>
  <c r="AC28" i="12" s="1"/>
  <c r="AC27" i="12" s="1"/>
  <c r="AC26" i="12" s="1"/>
  <c r="AC25" i="12" s="1"/>
  <c r="AC24" i="12" s="1"/>
  <c r="AC23" i="12" s="1"/>
  <c r="AC22" i="12" s="1"/>
  <c r="AC21" i="12" s="1"/>
  <c r="AC20" i="12" s="1"/>
  <c r="AC19" i="12" s="1"/>
  <c r="AC18" i="12" s="1"/>
  <c r="AC17" i="12" s="1"/>
  <c r="AC16" i="12" s="1"/>
  <c r="AC15" i="12" s="1"/>
  <c r="AC14" i="12" s="1"/>
  <c r="AC13" i="12" s="1"/>
  <c r="AC12" i="12" s="1"/>
  <c r="AC11" i="12" s="1"/>
  <c r="AC10" i="12" s="1"/>
  <c r="AC9" i="12" s="1"/>
  <c r="BM48" i="12"/>
  <c r="BM47" i="12" s="1"/>
  <c r="BM46" i="12" s="1"/>
  <c r="BM45" i="12" s="1"/>
  <c r="BM44" i="12" s="1"/>
  <c r="BM43" i="12" s="1"/>
  <c r="BM42" i="12" s="1"/>
  <c r="BM41" i="12" s="1"/>
  <c r="BM40" i="12" s="1"/>
  <c r="BM39" i="12" s="1"/>
  <c r="BM38" i="12" s="1"/>
  <c r="BM37" i="12" s="1"/>
  <c r="BM36" i="12" s="1"/>
  <c r="BM35" i="12" s="1"/>
  <c r="BM34" i="12" s="1"/>
  <c r="BM33" i="12" s="1"/>
  <c r="BM32" i="12" s="1"/>
  <c r="BM31" i="12" s="1"/>
  <c r="BM30" i="12" s="1"/>
  <c r="BM29" i="12" s="1"/>
  <c r="BM28" i="12" s="1"/>
  <c r="BM27" i="12" s="1"/>
  <c r="BM26" i="12" s="1"/>
  <c r="BM25" i="12" s="1"/>
  <c r="BM24" i="12" s="1"/>
  <c r="BM23" i="12" s="1"/>
  <c r="BM22" i="12" s="1"/>
  <c r="BM21" i="12" s="1"/>
  <c r="BM20" i="12" s="1"/>
  <c r="BM19" i="12" s="1"/>
  <c r="BM18" i="12" s="1"/>
  <c r="BM17" i="12" s="1"/>
  <c r="BM16" i="12" s="1"/>
  <c r="BM15" i="12" s="1"/>
  <c r="BM14" i="12" s="1"/>
  <c r="BM13" i="12" s="1"/>
  <c r="BM12" i="12" s="1"/>
  <c r="BM11" i="12" s="1"/>
  <c r="BM10" i="12" s="1"/>
  <c r="BM9" i="12" s="1"/>
  <c r="AL48" i="12"/>
  <c r="AL47" i="12" s="1"/>
  <c r="AL46" i="12" s="1"/>
  <c r="AL45" i="12" s="1"/>
  <c r="AL44" i="12" s="1"/>
  <c r="AL43" i="12" s="1"/>
  <c r="AL42" i="12" s="1"/>
  <c r="AL41" i="12" s="1"/>
  <c r="AL40" i="12" s="1"/>
  <c r="AL39" i="12" s="1"/>
  <c r="AL38" i="12" s="1"/>
  <c r="AL37" i="12" s="1"/>
  <c r="AL36" i="12" s="1"/>
  <c r="AL35" i="12" s="1"/>
  <c r="AL34" i="12" s="1"/>
  <c r="AL33" i="12" s="1"/>
  <c r="AL32" i="12" s="1"/>
  <c r="AL31" i="12" s="1"/>
  <c r="AL30" i="12" s="1"/>
  <c r="AL29" i="12" s="1"/>
  <c r="AL28" i="12" s="1"/>
  <c r="AL27" i="12" s="1"/>
  <c r="AL26" i="12" s="1"/>
  <c r="AL25" i="12" s="1"/>
  <c r="AL24" i="12" s="1"/>
  <c r="AL23" i="12" s="1"/>
  <c r="AL22" i="12" s="1"/>
  <c r="AL21" i="12" s="1"/>
  <c r="AL20" i="12" s="1"/>
  <c r="AL19" i="12" s="1"/>
  <c r="AL18" i="12" s="1"/>
  <c r="AL17" i="12" s="1"/>
  <c r="AL16" i="12" s="1"/>
  <c r="AL15" i="12" s="1"/>
  <c r="AL14" i="12" s="1"/>
  <c r="AL13" i="12" s="1"/>
  <c r="AL12" i="12" s="1"/>
  <c r="AL11" i="12" s="1"/>
  <c r="AL10" i="12" s="1"/>
  <c r="AL9" i="12" s="1"/>
  <c r="BV48" i="12"/>
  <c r="BV47" i="12" s="1"/>
  <c r="BV46" i="12" s="1"/>
  <c r="BV45" i="12" s="1"/>
  <c r="BV44" i="12" s="1"/>
  <c r="BV43" i="12" s="1"/>
  <c r="BV42" i="12" s="1"/>
  <c r="BV41" i="12" s="1"/>
  <c r="BV40" i="12" s="1"/>
  <c r="BV39" i="12" s="1"/>
  <c r="BV38" i="12" s="1"/>
  <c r="BV37" i="12" s="1"/>
  <c r="BV36" i="12" s="1"/>
  <c r="BV35" i="12" s="1"/>
  <c r="BV34" i="12" s="1"/>
  <c r="BV33" i="12" s="1"/>
  <c r="BV32" i="12" s="1"/>
  <c r="BV31" i="12" s="1"/>
  <c r="BV30" i="12" s="1"/>
  <c r="BV29" i="12" s="1"/>
  <c r="BV28" i="12" s="1"/>
  <c r="BV27" i="12" s="1"/>
  <c r="BV26" i="12" s="1"/>
  <c r="BV25" i="12" s="1"/>
  <c r="BV24" i="12" s="1"/>
  <c r="BV23" i="12" s="1"/>
  <c r="BV22" i="12" s="1"/>
  <c r="BV21" i="12" s="1"/>
  <c r="BV20" i="12" s="1"/>
  <c r="BV19" i="12" s="1"/>
  <c r="BV18" i="12" s="1"/>
  <c r="BV17" i="12" s="1"/>
  <c r="BV16" i="12" s="1"/>
  <c r="BV15" i="12" s="1"/>
  <c r="BV14" i="12" s="1"/>
  <c r="BV13" i="12" s="1"/>
  <c r="BV12" i="12" s="1"/>
  <c r="BV11" i="12" s="1"/>
  <c r="BV10" i="12" s="1"/>
  <c r="BV9" i="12" s="1"/>
  <c r="K48" i="12"/>
  <c r="K47" i="12" s="1"/>
  <c r="K46" i="12" s="1"/>
  <c r="K45" i="12" s="1"/>
  <c r="K44" i="12" s="1"/>
  <c r="K43" i="12" s="1"/>
  <c r="K42" i="12" s="1"/>
  <c r="K41" i="12" s="1"/>
  <c r="K40" i="12" s="1"/>
  <c r="K39" i="12" s="1"/>
  <c r="K38" i="12" s="1"/>
  <c r="K37" i="12" s="1"/>
  <c r="K36" i="12" s="1"/>
  <c r="K35" i="12" s="1"/>
  <c r="K34" i="12" s="1"/>
  <c r="K33" i="12" s="1"/>
  <c r="K32" i="12" s="1"/>
  <c r="K31" i="12" s="1"/>
  <c r="K30" i="12" s="1"/>
  <c r="K29" i="12" s="1"/>
  <c r="K28" i="12" s="1"/>
  <c r="K27" i="12" s="1"/>
  <c r="K26" i="12" s="1"/>
  <c r="K25" i="12" s="1"/>
  <c r="K24" i="12" s="1"/>
  <c r="K23" i="12" s="1"/>
  <c r="K22" i="12" s="1"/>
  <c r="K21" i="12" s="1"/>
  <c r="K20" i="12" s="1"/>
  <c r="K19" i="12" s="1"/>
  <c r="K18" i="12" s="1"/>
  <c r="K17" i="12" s="1"/>
  <c r="K16" i="12" s="1"/>
  <c r="K15" i="12" s="1"/>
  <c r="K14" i="12" s="1"/>
  <c r="K13" i="12" s="1"/>
  <c r="K12" i="12" s="1"/>
  <c r="K11" i="12" s="1"/>
  <c r="K10" i="12" s="1"/>
  <c r="K9" i="12" s="1"/>
  <c r="AU48" i="12"/>
  <c r="AU47" i="12" s="1"/>
  <c r="AU46" i="12" s="1"/>
  <c r="AU45" i="12" s="1"/>
  <c r="AU44" i="12" s="1"/>
  <c r="AU43" i="12" s="1"/>
  <c r="AU42" i="12" s="1"/>
  <c r="AU41" i="12" s="1"/>
  <c r="AU40" i="12" s="1"/>
  <c r="AU39" i="12" s="1"/>
  <c r="AU38" i="12" s="1"/>
  <c r="AU37" i="12" s="1"/>
  <c r="AU36" i="12" s="1"/>
  <c r="AU35" i="12" s="1"/>
  <c r="AU34" i="12" s="1"/>
  <c r="AU33" i="12" s="1"/>
  <c r="AU32" i="12" s="1"/>
  <c r="AU31" i="12" s="1"/>
  <c r="AU30" i="12" s="1"/>
  <c r="AU29" i="12" s="1"/>
  <c r="AU28" i="12" s="1"/>
  <c r="AU27" i="12" s="1"/>
  <c r="AU26" i="12" s="1"/>
  <c r="AU25" i="12" s="1"/>
  <c r="AU24" i="12" s="1"/>
  <c r="AU23" i="12" s="1"/>
  <c r="AU22" i="12" s="1"/>
  <c r="AU21" i="12" s="1"/>
  <c r="AU20" i="12" s="1"/>
  <c r="AU19" i="12" s="1"/>
  <c r="AU18" i="12" s="1"/>
  <c r="AU17" i="12" s="1"/>
  <c r="AU16" i="12" s="1"/>
  <c r="AU15" i="12" s="1"/>
  <c r="AU14" i="12" s="1"/>
  <c r="AU13" i="12" s="1"/>
  <c r="AU12" i="12" s="1"/>
  <c r="AU11" i="12" s="1"/>
  <c r="AU10" i="12" s="1"/>
  <c r="AU9" i="12" s="1"/>
  <c r="I16" i="10" l="1"/>
  <c r="A25" i="10" l="1"/>
  <c r="A24" i="10"/>
  <c r="A23" i="10"/>
  <c r="A22" i="10"/>
  <c r="A21" i="10"/>
  <c r="I25" i="10" l="1"/>
  <c r="I21" i="10"/>
  <c r="I22" i="10"/>
  <c r="I23" i="10"/>
  <c r="I24" i="10"/>
  <c r="B25" i="8" l="1"/>
  <c r="B24" i="8" l="1"/>
  <c r="B23" i="8"/>
  <c r="B22" i="8"/>
  <c r="G2" i="10" s="1"/>
  <c r="B21" i="8"/>
  <c r="B20" i="8"/>
  <c r="B26" i="8" l="1"/>
  <c r="G1" i="10" l="1"/>
  <c r="D24" i="10" l="1"/>
  <c r="D23" i="10"/>
  <c r="D21" i="10"/>
  <c r="D22" i="10"/>
  <c r="D31" i="10" l="1"/>
</calcChain>
</file>

<file path=xl/sharedStrings.xml><?xml version="1.0" encoding="utf-8"?>
<sst xmlns="http://schemas.openxmlformats.org/spreadsheetml/2006/main" count="265" uniqueCount="142">
  <si>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</si>
  <si>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</si>
  <si>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</si>
  <si>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</si>
  <si>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</si>
  <si>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</si>
  <si>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</si>
  <si>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</si>
  <si>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Policy Quarter</t>
  </si>
  <si>
    <t>Accident Quarter</t>
  </si>
  <si>
    <t>Report Quarter</t>
  </si>
  <si>
    <t>AggMethod</t>
  </si>
  <si>
    <t>http://www.insurance.ca.gov/0250-insurers/0800-rate-filings/</t>
  </si>
  <si>
    <t>State of California</t>
  </si>
  <si>
    <t>Department of Insurance (CDI)</t>
  </si>
  <si>
    <t>Select Exhibits to Print</t>
  </si>
  <si>
    <t>Company:</t>
  </si>
  <si>
    <t>Line: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</si>
  <si>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</si>
  <si>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</si>
  <si>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</si>
  <si>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</si>
  <si>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</si>
  <si>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</si>
  <si>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</si>
  <si>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</si>
  <si>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</si>
  <si>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</si>
  <si>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</si>
  <si>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</si>
  <si>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</si>
  <si>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</si>
  <si>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</si>
  <si>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</si>
  <si>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</si>
  <si>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</si>
  <si>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</si>
  <si>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</si>
  <si>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</si>
  <si>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</si>
  <si>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</si>
  <si>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</si>
  <si>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</si>
  <si>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</si>
  <si>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</si>
  <si>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</si>
  <si>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</si>
  <si>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</si>
  <si>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</si>
  <si>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</si>
  <si>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</si>
  <si>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</si>
  <si>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</si>
  <si>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</si>
  <si>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</si>
  <si>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</si>
  <si>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</si>
  <si>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</si>
  <si>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</si>
  <si>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</si>
  <si>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</si>
  <si>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</si>
  <si>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</si>
  <si>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</si>
  <si>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</si>
  <si>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</si>
  <si>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</si>
  <si>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</si>
  <si>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</si>
  <si>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</si>
  <si>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</si>
  <si>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</si>
  <si>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</si>
  <si>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</si>
  <si>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</si>
  <si>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</si>
  <si>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</si>
  <si>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</si>
  <si>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</si>
  <si>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</si>
  <si>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</si>
  <si>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</si>
  <si>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</si>
  <si>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</si>
  <si>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</si>
  <si>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</si>
  <si>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</si>
  <si>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</si>
  <si>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</si>
  <si>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</si>
  <si>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</si>
  <si>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</si>
  <si>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 Used)</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</si>
  <si>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</si>
  <si>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</si>
  <si>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</si>
  <si>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Refer to the complete Prior Approval Rate Filing Instructions for additional information.</t>
  </si>
  <si>
    <t>GENERAL INFORMATION</t>
  </si>
  <si>
    <t>(Enter name of each coverage/form/program included in this application. Otherwise, enter a blank. Do not skip coverages.</t>
  </si>
  <si>
    <t>Line Type:</t>
  </si>
  <si>
    <t>Coverage/Form/Program</t>
  </si>
  <si>
    <t>Detailed Line Description(s)</t>
  </si>
  <si>
    <t>Fire &amp; Allied Lines</t>
  </si>
  <si>
    <t>Detailed Line Description(s) Converter</t>
  </si>
  <si>
    <t>(Index to text)</t>
  </si>
  <si>
    <t>Detailed Line Description for Selected General Line</t>
  </si>
  <si>
    <t>Note:  For information on populating the application in its entirety, including the Prior Approval Rate Application, Prior Approval Rate Template, Standard Exhibits Template, and Supplemental Quarterly Development Template, refer to the complete Prior Approval Rate Filing Instructions posted in PDF format on the CDI website, below:</t>
  </si>
  <si>
    <t>Instructions for Completing the</t>
  </si>
  <si>
    <t>01/04/2021</t>
  </si>
  <si>
    <t>Exposure and Premium</t>
  </si>
  <si>
    <t>California Company-Specific Premium Trend Data</t>
  </si>
  <si>
    <t>Quarterly Data</t>
  </si>
  <si>
    <t>Calendar YYYYQ</t>
  </si>
  <si>
    <t>Written Exposures</t>
  </si>
  <si>
    <t>Written Premium</t>
  </si>
  <si>
    <t>On-Level Written Premium</t>
  </si>
  <si>
    <t>Earned Exposures</t>
  </si>
  <si>
    <r>
      <t>Earned Premium</t>
    </r>
    <r>
      <rPr>
        <b/>
        <vertAlign val="superscript"/>
        <sz val="11"/>
        <color theme="1"/>
        <rFont val="Calibri"/>
        <family val="2"/>
        <scheme val="minor"/>
      </rPr>
      <t>1</t>
    </r>
  </si>
  <si>
    <r>
      <t>On-Level Earned Premium</t>
    </r>
    <r>
      <rPr>
        <b/>
        <vertAlign val="superscript"/>
        <sz val="11"/>
        <color theme="1"/>
        <rFont val="Calibri"/>
        <family val="2"/>
        <scheme val="minor"/>
      </rPr>
      <t>1</t>
    </r>
  </si>
  <si>
    <t>COVID Refund</t>
  </si>
  <si>
    <t>Exposure &amp; Premium</t>
  </si>
  <si>
    <t>Supplemental Exposure and Premium Template</t>
  </si>
  <si>
    <t>http://www.insurance.ca.gov/0250-insurers/0300-insurers/0200-bulletins/bulletin-notices-commiss-opinion/upload/Bulletin_2020-3_re_covid-19_premium_reductions-2.pdf</t>
  </si>
  <si>
    <t>In addition to identifying the coverage, forms or programs included in this template, enter the insurer information common to all coverages in the "1.General" page, including, but not limited to: Company Name; General Line; and Most Recent Fiscal Period.</t>
  </si>
  <si>
    <r>
      <rPr>
        <sz val="11"/>
        <color theme="1"/>
        <rFont val="Calibri"/>
        <family val="2"/>
      </rPr>
      <t>The Supplemental Exposure and Premium Template is</t>
    </r>
    <r>
      <rPr>
        <sz val="11"/>
        <color theme="1"/>
        <rFont val="Calibri"/>
        <family val="2"/>
        <scheme val="minor"/>
      </rPr>
      <t xml:space="preserve"> required to be completed for each coverage (e.g., BI, PD, MP, UM, COLL, COMP,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</si>
  <si>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rPr>
        <b/>
        <i/>
        <vertAlign val="superscript"/>
        <sz val="11"/>
        <color theme="1"/>
        <rFont val="Calibri"/>
        <family val="2"/>
        <scheme val="minor"/>
      </rPr>
      <t>1</t>
    </r>
    <r>
      <rPr>
        <b/>
        <i/>
        <sz val="11"/>
        <color theme="1"/>
        <rFont val="Calibri"/>
        <family val="2"/>
        <scheme val="minor"/>
      </rPr>
      <t xml:space="preserve"> Earned Premiums are net of COVID Refund</t>
    </r>
  </si>
  <si>
    <t>The coverages/forms/programs must be in the same order as in the Prior Approval Rate Template and Standard Exhibits Template.</t>
  </si>
  <si>
    <t xml:space="preserve">All data on "2.Exp_Prem" must be submitted. Written premium should be submitted gross of the COVID refund while earned premium should be submitted net of the COVID refund. The COVID refund is the actual premium refunded or credited, and should exclude any normal dividend.   </t>
  </si>
  <si>
    <t>The Supplemental Exposure and Premium Template is required for the lines of insurance impacted by the COVID-19 pandemic as referenced in the Bulletin 2020-3.</t>
  </si>
  <si>
    <t>Supplemental Exposure and Premium Template for COVID Impacted Lines</t>
  </si>
  <si>
    <t>for COVID Impacted Lines</t>
  </si>
  <si>
    <r>
      <t>Most Recent Fiscal Period</t>
    </r>
    <r>
      <rPr>
        <i/>
        <sz val="9"/>
        <color theme="1"/>
        <rFont val="Calibri"/>
        <family val="2"/>
        <scheme val="minor"/>
      </rPr>
      <t xml:space="preserve"> </t>
    </r>
    <r>
      <rPr>
        <i/>
        <sz val="10"/>
        <color theme="1"/>
        <rFont val="Calibri"/>
        <family val="2"/>
        <scheme val="minor"/>
      </rPr>
      <t>(Enter in YYYYQ format.)</t>
    </r>
  </si>
  <si>
    <t>State Farm Mutual Automobile Insurance Company</t>
  </si>
  <si>
    <t>BIPD</t>
  </si>
  <si>
    <t>MPC</t>
  </si>
  <si>
    <t>UM</t>
  </si>
  <si>
    <t>COMP</t>
  </si>
  <si>
    <t>COLL</t>
  </si>
  <si>
    <t>Misc. Damage</t>
  </si>
  <si>
    <t>Misc. Liability</t>
  </si>
  <si>
    <t>Laura Campbell</t>
  </si>
  <si>
    <t>RcH4pCuD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</si>
</sst>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_);\(0\)"/>
    <numFmt numFmtId="165" formatCode="m/d/yyyy;@"/>
    <numFmt numFmtId="166" formatCode="mm/dd/yy;@"/>
    <numFmt numFmtId="167" formatCode="_(* #,##0_);_(* \(#,##0\);_(* &quot;-&quot;??_);_(@_)"/>
  </numFmts>
  <fonts count="32" x14ac:knownFonts="1">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scheme val="minor"/>
    </font>
    <font>
      <b/>
      <i/>
      <sz val="11"/>
      <name val="Calibri"/>
      <family val="2"/>
      <scheme val="minor"/>
    </font>
    <font>
      <sz val="11"/>
      <color rgb="FF0000FF"/>
      <name val="Calibri"/>
      <family val="2"/>
      <scheme val="minor"/>
    </font>
    <font>
      <b/>
      <sz val="11"/>
      <name val="Calibri"/>
      <family val="2"/>
      <scheme val="minor"/>
    </font>
    <font>
      <sz val="11"/>
      <name val="Calibri"/>
      <family val="2"/>
      <scheme val="minor"/>
    </font>
    <font>
      <b/>
      <i/>
      <sz val="11"/>
      <color theme="1"/>
      <name val="Calibri"/>
      <family val="2"/>
      <scheme val="minor"/>
    </font>
    <font>
      <b/>
      <sz val="16"/>
      <color theme="1"/>
      <name val="Calibri"/>
      <family val="2"/>
      <scheme val="minor"/>
    </font>
    <font>
      <b/>
      <sz val="11"/>
      <color rgb="FFC00000"/>
      <name val="Calibri"/>
      <family val="2"/>
      <scheme val="minor"/>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11"/>
      <color rgb="FFFF0000"/>
      <name val="Calibri"/>
      <family val="2"/>
      <scheme val="minor"/>
    </font>
    <font>
      <sz val="16"/>
      <color theme="1"/>
      <name val="Calibri"/>
      <family val="2"/>
      <scheme val="minor"/>
    </font>
    <font>
      <i/>
      <sz val="11"/>
      <color rgb="FF008000"/>
      <name val="Calibri"/>
      <family val="2"/>
      <scheme val="minor"/>
    </font>
    <font>
      <b/>
      <i/>
      <sz val="11"/>
      <color rgb="FF0000FF"/>
      <name val="Calibri"/>
      <family val="2"/>
      <scheme val="minor"/>
    </font>
    <font>
      <i/>
      <sz val="11"/>
      <color rgb="FF0000FF"/>
      <name val="Calibri"/>
      <family val="2"/>
      <scheme val="minor"/>
    </font>
    <font>
      <b/>
      <vertAlign val="superscript"/>
      <sz val="11"/>
      <color theme="1"/>
      <name val="Calibri"/>
      <family val="2"/>
      <scheme val="minor"/>
    </font>
    <font>
      <sz val="11"/>
      <color rgb="FF000000"/>
      <name val="Calibri"/>
      <family val="2"/>
    </font>
    <font>
      <b/>
      <sz val="12"/>
      <color theme="1"/>
      <name val="Calibri"/>
      <family val="2"/>
      <scheme val="minor"/>
    </font>
    <font>
      <b/>
      <i/>
      <vertAlign val="superscript"/>
      <sz val="11"/>
      <color theme="1"/>
      <name val="Calibri"/>
      <family val="2"/>
      <scheme val="minor"/>
    </font>
    <font>
      <i/>
      <sz val="10"/>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26">
    <border>
      <left/>
      <right/>
      <top/>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4" tint="0.59996337778862885"/>
      </left>
      <right style="thin">
        <color theme="4" tint="0.59996337778862885"/>
      </right>
      <top/>
      <bottom style="thin">
        <color theme="4" tint="0.59996337778862885"/>
      </bottom>
      <diagonal/>
    </border>
  </borders>
  <cellStyleXfs count="6">
    <xf numFmtId="0" fontId="0" fillId="0" borderId="0"/>
    <xf numFmtId="0" fontId="1" fillId="0" borderId="0"/>
    <xf numFmtId="9" fontId="1" fillId="0" borderId="0" applyFont="0" applyFill="0" applyBorder="0" applyAlignment="0" applyProtection="0"/>
    <xf numFmtId="0" fontId="14" fillId="0" borderId="0" applyNumberFormat="0" applyFill="0" applyBorder="0" applyAlignment="0" applyProtection="0"/>
    <xf numFmtId="43" fontId="1" fillId="0" borderId="0" applyFont="0" applyFill="0" applyBorder="0" applyAlignment="0" applyProtection="0"/>
    <xf numFmtId="0" fontId="1" fillId="0" borderId="0"/>
  </cellStyleXfs>
  <cellXfs count="135">
    <xf numFmtId="0" fontId="0" fillId="0" borderId="0" xfId="0"/>
    <xf numFmtId="0" fontId="0" fillId="0" borderId="0" xfId="0" applyAlignment="1">
      <alignment horizontal="centerContinuous"/>
    </xf>
    <xf numFmtId="0" fontId="2" fillId="0" borderId="0" xfId="0" applyFont="1"/>
    <xf numFmtId="0" fontId="2" fillId="0" borderId="0" xfId="0" applyFont="1" applyAlignment="1">
      <alignment horizontal="center" vertical="center"/>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0" fontId="0" fillId="0" borderId="0" xfId="0" applyProtection="1"/>
    <xf numFmtId="0" fontId="0" fillId="0" borderId="0" xfId="0" applyAlignment="1" applyProtection="1">
      <alignment horizontal="centerContinuous"/>
    </xf>
    <xf numFmtId="0" fontId="2" fillId="0" borderId="0" xfId="0" applyFont="1" applyAlignment="1" applyProtection="1">
      <alignment horizontal="center" vertical="center"/>
    </xf>
    <xf numFmtId="0" fontId="0" fillId="0" borderId="0" xfId="0" applyAlignment="1" applyProtection="1">
      <alignment horizontal="left"/>
    </xf>
    <xf numFmtId="0" fontId="2" fillId="0" borderId="0" xfId="0" applyFont="1" applyAlignment="1" applyProtection="1">
      <alignment horizontal="centerContinuous" vertical="center"/>
    </xf>
    <xf numFmtId="0" fontId="0" fillId="0" borderId="0" xfId="0" applyAlignment="1"/>
    <xf numFmtId="0" fontId="2" fillId="0" borderId="0" xfId="0" applyFont="1" applyAlignment="1">
      <alignment vertical="center"/>
    </xf>
    <xf numFmtId="0" fontId="2" fillId="0" borderId="0" xfId="0" applyFont="1" applyAlignment="1" applyProtection="1">
      <alignment vertical="center"/>
    </xf>
    <xf numFmtId="0" fontId="2" fillId="2" borderId="0" xfId="0" applyFont="1" applyFill="1"/>
    <xf numFmtId="0" fontId="6" fillId="2" borderId="0" xfId="0" applyFont="1" applyFill="1"/>
    <xf numFmtId="0" fontId="0" fillId="2" borderId="0" xfId="0" applyFill="1"/>
    <xf numFmtId="0" fontId="10" fillId="2" borderId="0" xfId="0" applyFont="1" applyFill="1"/>
    <xf numFmtId="49" fontId="3" fillId="2" borderId="0" xfId="0" applyNumberFormat="1" applyFont="1" applyFill="1" applyAlignment="1" applyProtection="1">
      <alignment horizontal="left"/>
      <protection locked="0"/>
    </xf>
    <xf numFmtId="49" fontId="5" fillId="2" borderId="0" xfId="0" applyNumberFormat="1" applyFont="1" applyFill="1" applyAlignment="1">
      <alignment horizontal="left"/>
    </xf>
    <xf numFmtId="0" fontId="7" fillId="0" borderId="0" xfId="0" applyFont="1"/>
    <xf numFmtId="0" fontId="11" fillId="0" borderId="0" xfId="0" applyFont="1"/>
    <xf numFmtId="164" fontId="3" fillId="0" borderId="3" xfId="0" applyNumberFormat="1" applyFont="1" applyBorder="1" applyAlignment="1" applyProtection="1">
      <alignment horizontal="left"/>
      <protection locked="0"/>
    </xf>
    <xf numFmtId="49" fontId="3" fillId="0" borderId="3" xfId="0" applyNumberFormat="1" applyFont="1" applyBorder="1" applyProtection="1">
      <protection locked="0"/>
    </xf>
    <xf numFmtId="0" fontId="0" fillId="0" borderId="0" xfId="0" applyAlignment="1">
      <alignment horizontal="left" vertical="center"/>
    </xf>
    <xf numFmtId="0" fontId="12" fillId="0" borderId="0" xfId="0" applyFont="1" applyAlignment="1">
      <alignment horizontal="centerContinuous" vertical="center"/>
    </xf>
    <xf numFmtId="0" fontId="12" fillId="0" borderId="0" xfId="0" applyFont="1" applyBorder="1" applyAlignment="1">
      <alignment horizontal="left" vertical="center"/>
    </xf>
    <xf numFmtId="0" fontId="13" fillId="0" borderId="0" xfId="0" applyFont="1" applyBorder="1" applyAlignment="1">
      <alignment horizontal="left" vertical="center" wrapText="1"/>
    </xf>
    <xf numFmtId="0" fontId="12" fillId="0" borderId="1" xfId="0" applyFont="1" applyBorder="1" applyAlignment="1">
      <alignment horizontal="left" vertical="center"/>
    </xf>
    <xf numFmtId="0" fontId="15" fillId="0" borderId="1" xfId="3" applyFont="1" applyBorder="1" applyAlignment="1">
      <alignment horizontal="left" vertical="center" wrapText="1"/>
    </xf>
    <xf numFmtId="0" fontId="15" fillId="0" borderId="0" xfId="3" applyFont="1" applyBorder="1" applyAlignment="1">
      <alignment horizontal="left" vertical="center" wrapText="1"/>
    </xf>
    <xf numFmtId="0" fontId="8" fillId="0" borderId="0" xfId="0" applyFont="1" applyAlignment="1">
      <alignment horizontal="left" vertical="center" wrapText="1"/>
    </xf>
    <xf numFmtId="0" fontId="2" fillId="0" borderId="0" xfId="0" applyFont="1" applyProtection="1"/>
    <xf numFmtId="0" fontId="16" fillId="0" borderId="0" xfId="0" applyFont="1" applyAlignment="1" applyProtection="1">
      <alignment horizontal="centerContinuous" vertical="center"/>
    </xf>
    <xf numFmtId="0" fontId="0" fillId="0" borderId="0" xfId="0" applyAlignment="1" applyProtection="1">
      <alignment vertical="center"/>
    </xf>
    <xf numFmtId="0" fontId="6" fillId="3" borderId="11" xfId="0" applyFont="1" applyFill="1" applyBorder="1" applyAlignment="1">
      <alignment horizontal="center" vertical="center"/>
    </xf>
    <xf numFmtId="0" fontId="2" fillId="3" borderId="11" xfId="0" applyFont="1" applyFill="1" applyBorder="1" applyAlignment="1">
      <alignment horizontal="center" vertical="center"/>
    </xf>
    <xf numFmtId="0" fontId="6" fillId="3" borderId="13" xfId="0" applyFont="1" applyFill="1" applyBorder="1" applyAlignment="1">
      <alignment horizontal="centerContinuous" vertical="center"/>
    </xf>
    <xf numFmtId="0" fontId="6" fillId="3" borderId="14" xfId="0" applyFont="1" applyFill="1" applyBorder="1" applyAlignment="1">
      <alignment horizontal="center" vertical="center"/>
    </xf>
    <xf numFmtId="0" fontId="2" fillId="3" borderId="14" xfId="0" applyFont="1" applyFill="1" applyBorder="1" applyAlignment="1">
      <alignment horizontal="center" vertical="center"/>
    </xf>
    <xf numFmtId="0" fontId="7" fillId="3" borderId="14" xfId="0" applyFont="1" applyFill="1" applyBorder="1" applyAlignment="1">
      <alignment vertical="center"/>
    </xf>
    <xf numFmtId="0" fontId="7" fillId="3" borderId="9" xfId="0" applyFont="1" applyFill="1" applyBorder="1" applyAlignment="1">
      <alignment vertical="center"/>
    </xf>
    <xf numFmtId="14" fontId="2" fillId="0" borderId="0" xfId="0" applyNumberFormat="1" applyFont="1" applyAlignment="1">
      <alignment horizontal="center" vertical="center"/>
    </xf>
    <xf numFmtId="0" fontId="0" fillId="3" borderId="14" xfId="0" applyFill="1" applyBorder="1" applyAlignment="1">
      <alignment vertical="center"/>
    </xf>
    <xf numFmtId="0" fontId="6" fillId="3" borderId="14" xfId="0" applyFont="1" applyFill="1" applyBorder="1" applyAlignment="1" applyProtection="1">
      <alignment vertical="center"/>
      <protection locked="0"/>
    </xf>
    <xf numFmtId="0" fontId="2" fillId="3" borderId="14" xfId="0" applyFont="1" applyFill="1" applyBorder="1" applyAlignment="1" applyProtection="1">
      <alignment horizontal="left" vertical="center"/>
      <protection locked="0"/>
    </xf>
    <xf numFmtId="0" fontId="2" fillId="0" borderId="0" xfId="0" applyFont="1" applyAlignment="1">
      <alignment horizontal="left" vertical="center"/>
    </xf>
    <xf numFmtId="0" fontId="6" fillId="3" borderId="14" xfId="0" applyFont="1" applyFill="1" applyBorder="1" applyAlignment="1" applyProtection="1">
      <alignment horizontal="left" vertical="center"/>
      <protection locked="0"/>
    </xf>
    <xf numFmtId="0" fontId="6" fillId="3" borderId="9" xfId="0" applyFont="1" applyFill="1" applyBorder="1" applyAlignment="1">
      <alignment vertical="center"/>
    </xf>
    <xf numFmtId="0" fontId="7" fillId="3" borderId="14" xfId="0" applyFont="1" applyFill="1" applyBorder="1" applyAlignment="1">
      <alignment horizontal="center" vertical="center"/>
    </xf>
    <xf numFmtId="0" fontId="0" fillId="0" borderId="0" xfId="0" applyAlignment="1">
      <alignment horizontal="center" vertical="center"/>
    </xf>
    <xf numFmtId="0" fontId="0" fillId="3" borderId="15" xfId="0" applyFill="1" applyBorder="1" applyAlignment="1">
      <alignment vertical="center"/>
    </xf>
    <xf numFmtId="0" fontId="7" fillId="3" borderId="15" xfId="0" applyFont="1" applyFill="1" applyBorder="1" applyAlignment="1">
      <alignment horizontal="center" vertical="center"/>
    </xf>
    <xf numFmtId="0" fontId="7" fillId="3" borderId="15" xfId="0" applyFont="1" applyFill="1" applyBorder="1" applyAlignment="1">
      <alignment vertical="center"/>
    </xf>
    <xf numFmtId="49" fontId="3" fillId="0" borderId="3" xfId="0" applyNumberFormat="1" applyFont="1" applyBorder="1" applyAlignment="1" applyProtection="1">
      <alignment vertical="center"/>
      <protection locked="0"/>
    </xf>
    <xf numFmtId="0" fontId="2" fillId="2" borderId="7" xfId="0" applyFont="1" applyFill="1" applyBorder="1" applyAlignment="1" applyProtection="1">
      <alignment horizontal="center" vertical="center"/>
    </xf>
    <xf numFmtId="0" fontId="2" fillId="2" borderId="11" xfId="0" applyFont="1" applyFill="1" applyBorder="1" applyAlignment="1" applyProtection="1">
      <alignment horizontal="center" vertical="center"/>
    </xf>
    <xf numFmtId="49" fontId="3" fillId="0" borderId="0" xfId="0" applyNumberFormat="1" applyFont="1" applyBorder="1" applyProtection="1">
      <protection locked="0"/>
    </xf>
    <xf numFmtId="49" fontId="7" fillId="2" borderId="0" xfId="0" applyNumberFormat="1" applyFont="1" applyFill="1" applyAlignment="1">
      <alignment horizontal="left"/>
    </xf>
    <xf numFmtId="165" fontId="7"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7" fillId="2" borderId="0" xfId="0" applyNumberFormat="1" applyFont="1" applyFill="1" applyAlignment="1">
      <alignment horizontal="left"/>
    </xf>
    <xf numFmtId="166" fontId="7" fillId="2" borderId="0" xfId="0" applyNumberFormat="1" applyFont="1" applyFill="1" applyAlignment="1">
      <alignment horizontal="left"/>
    </xf>
    <xf numFmtId="0" fontId="18" fillId="0" borderId="0" xfId="0" applyFont="1" applyAlignment="1">
      <alignment vertical="center"/>
    </xf>
    <xf numFmtId="0" fontId="0" fillId="0" borderId="14" xfId="0" applyBorder="1"/>
    <xf numFmtId="0" fontId="10" fillId="2" borderId="14" xfId="0" applyFont="1" applyFill="1" applyBorder="1" applyAlignment="1" applyProtection="1">
      <alignment vertical="center"/>
      <protection locked="0"/>
    </xf>
    <xf numFmtId="0" fontId="10" fillId="0" borderId="14" xfId="0" applyFont="1" applyBorder="1"/>
    <xf numFmtId="0" fontId="0" fillId="0" borderId="15" xfId="0" applyBorder="1"/>
    <xf numFmtId="49" fontId="7" fillId="2" borderId="4" xfId="0"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applyAlignment="1">
      <alignment vertical="center" wrapText="1"/>
    </xf>
    <xf numFmtId="49" fontId="3" fillId="0" borderId="3" xfId="0" applyNumberFormat="1" applyFont="1" applyBorder="1" applyAlignment="1" applyProtection="1">
      <alignment horizontal="left" vertical="center" shrinkToFit="1"/>
      <protection locked="0"/>
    </xf>
    <xf numFmtId="165" fontId="3" fillId="0" borderId="3" xfId="0" applyNumberFormat="1" applyFont="1" applyBorder="1" applyAlignment="1" applyProtection="1">
      <alignment horizontal="center" vertical="center" shrinkToFit="1"/>
      <protection locked="0"/>
    </xf>
    <xf numFmtId="49" fontId="3" fillId="0" borderId="0" xfId="0" applyNumberFormat="1" applyFont="1" applyBorder="1" applyAlignment="1" applyProtection="1">
      <alignment horizontal="left"/>
      <protection locked="0"/>
    </xf>
    <xf numFmtId="0" fontId="7" fillId="3" borderId="0" xfId="0" applyFont="1" applyFill="1" applyBorder="1" applyAlignment="1">
      <alignment vertical="center"/>
    </xf>
    <xf numFmtId="0" fontId="6" fillId="3" borderId="0" xfId="0" applyFont="1" applyFill="1" applyBorder="1" applyAlignment="1" applyProtection="1">
      <alignment horizontal="left" vertical="center"/>
      <protection locked="0"/>
    </xf>
    <xf numFmtId="0" fontId="0" fillId="3" borderId="8" xfId="0" applyFill="1" applyBorder="1"/>
    <xf numFmtId="0" fontId="0" fillId="3" borderId="9" xfId="0" applyFill="1" applyBorder="1"/>
    <xf numFmtId="0" fontId="2" fillId="3" borderId="12" xfId="0" applyFont="1" applyFill="1" applyBorder="1" applyAlignment="1">
      <alignment horizontal="centerContinuous"/>
    </xf>
    <xf numFmtId="0" fontId="0" fillId="3" borderId="13" xfId="0" applyFill="1" applyBorder="1" applyAlignment="1">
      <alignment horizontal="centerContinuous"/>
    </xf>
    <xf numFmtId="0" fontId="0" fillId="3" borderId="8" xfId="0" applyFill="1" applyBorder="1" applyAlignment="1">
      <alignment horizontal="centerContinuous"/>
    </xf>
    <xf numFmtId="0" fontId="0" fillId="3" borderId="9" xfId="0" applyFill="1" applyBorder="1" applyAlignment="1">
      <alignment horizontal="centerContinuous"/>
    </xf>
    <xf numFmtId="0" fontId="0" fillId="3" borderId="8" xfId="0" applyFill="1" applyBorder="1" applyAlignment="1">
      <alignment horizontal="center"/>
    </xf>
    <xf numFmtId="0" fontId="0" fillId="3" borderId="5" xfId="0" applyFill="1" applyBorder="1" applyAlignment="1">
      <alignment horizontal="center"/>
    </xf>
    <xf numFmtId="0" fontId="0" fillId="3" borderId="9" xfId="0" applyFill="1" applyBorder="1" applyAlignment="1" applyProtection="1">
      <alignment horizontal="center"/>
      <protection locked="0"/>
    </xf>
    <xf numFmtId="0" fontId="0" fillId="3" borderId="10" xfId="0" applyFill="1" applyBorder="1" applyAlignment="1" applyProtection="1">
      <alignment horizontal="center"/>
      <protection locked="0"/>
    </xf>
    <xf numFmtId="0" fontId="2" fillId="4" borderId="19" xfId="0" applyFont="1" applyFill="1" applyBorder="1" applyAlignment="1">
      <alignment vertical="center"/>
    </xf>
    <xf numFmtId="0" fontId="0" fillId="4" borderId="20" xfId="0" applyFill="1" applyBorder="1" applyAlignment="1">
      <alignment vertical="center"/>
    </xf>
    <xf numFmtId="0" fontId="0" fillId="4" borderId="21" xfId="0" applyFill="1" applyBorder="1" applyAlignment="1">
      <alignment vertical="center"/>
    </xf>
    <xf numFmtId="0" fontId="0" fillId="4" borderId="22" xfId="0" applyFill="1" applyBorder="1" applyAlignment="1" applyProtection="1">
      <alignment vertical="center"/>
      <protection locked="0"/>
    </xf>
    <xf numFmtId="0" fontId="0" fillId="4" borderId="23" xfId="0" applyFill="1" applyBorder="1" applyAlignment="1">
      <alignment vertical="center"/>
    </xf>
    <xf numFmtId="0" fontId="3" fillId="0" borderId="3" xfId="0" applyNumberFormat="1" applyFont="1" applyBorder="1" applyAlignment="1" applyProtection="1">
      <alignment vertical="center"/>
      <protection locked="0" hidden="1"/>
    </xf>
    <xf numFmtId="0" fontId="6" fillId="3" borderId="12" xfId="0" applyFont="1" applyFill="1" applyBorder="1" applyAlignment="1">
      <alignment horizontal="centerContinuous" vertical="center"/>
    </xf>
    <xf numFmtId="0" fontId="7" fillId="3" borderId="8" xfId="0" applyFont="1" applyFill="1" applyBorder="1" applyAlignment="1">
      <alignment vertical="center"/>
    </xf>
    <xf numFmtId="0" fontId="6" fillId="3" borderId="8" xfId="0" applyFont="1" applyFill="1" applyBorder="1" applyAlignment="1" applyProtection="1">
      <alignment horizontal="left" vertical="center"/>
      <protection locked="0"/>
    </xf>
    <xf numFmtId="0" fontId="6" fillId="3" borderId="0" xfId="0" applyFont="1" applyFill="1" applyBorder="1" applyAlignment="1">
      <alignment horizontal="center" vertical="center"/>
    </xf>
    <xf numFmtId="0" fontId="0" fillId="4" borderId="24" xfId="0" applyFill="1" applyBorder="1" applyAlignment="1" applyProtection="1">
      <alignment vertical="center"/>
      <protection locked="0"/>
    </xf>
    <xf numFmtId="49" fontId="5" fillId="0" borderId="0" xfId="0" applyNumberFormat="1" applyFont="1" applyBorder="1" applyAlignment="1" applyProtection="1">
      <alignment horizontal="center" vertical="center"/>
    </xf>
    <xf numFmtId="49" fontId="3" fillId="0" borderId="0" xfId="0" applyNumberFormat="1" applyFont="1" applyBorder="1" applyAlignment="1" applyProtection="1">
      <alignment horizontal="left"/>
    </xf>
    <xf numFmtId="49" fontId="3" fillId="0" borderId="0" xfId="0" applyNumberFormat="1" applyFont="1" applyBorder="1" applyAlignment="1" applyProtection="1"/>
    <xf numFmtId="49" fontId="3" fillId="0" borderId="18" xfId="0" applyNumberFormat="1" applyFont="1" applyBorder="1" applyAlignment="1" applyProtection="1"/>
    <xf numFmtId="165" fontId="5" fillId="0" borderId="0" xfId="0" applyNumberFormat="1" applyFont="1" applyBorder="1" applyAlignment="1" applyProtection="1">
      <alignment horizontal="center" vertical="center"/>
    </xf>
    <xf numFmtId="49" fontId="3" fillId="0" borderId="0" xfId="0" applyNumberFormat="1" applyFont="1" applyBorder="1" applyAlignment="1" applyProtection="1">
      <alignment vertical="center"/>
      <protection locked="0"/>
    </xf>
    <xf numFmtId="0" fontId="0" fillId="0" borderId="0" xfId="0" applyFill="1" applyBorder="1" applyAlignment="1">
      <alignment vertical="center"/>
    </xf>
    <xf numFmtId="0" fontId="0" fillId="0" borderId="0" xfId="0" applyFill="1" applyBorder="1"/>
    <xf numFmtId="0" fontId="2"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23" fillId="0" borderId="0" xfId="0" applyFont="1" applyAlignment="1" applyProtection="1">
      <alignment horizontal="centerContinuous"/>
    </xf>
    <xf numFmtId="0" fontId="0" fillId="0" borderId="0" xfId="0" applyFont="1" applyProtection="1"/>
    <xf numFmtId="0" fontId="9" fillId="0" borderId="0" xfId="0" applyFont="1" applyAlignment="1" applyProtection="1">
      <alignment horizontal="centerContinuous" vertical="center"/>
    </xf>
    <xf numFmtId="0" fontId="8" fillId="0" borderId="0" xfId="0" applyFont="1" applyAlignment="1" applyProtection="1">
      <alignment horizontal="centerContinuous" vertical="center"/>
    </xf>
    <xf numFmtId="0" fontId="0" fillId="0" borderId="0" xfId="0" applyFont="1" applyAlignment="1" applyProtection="1">
      <alignment horizontal="centerContinuous"/>
    </xf>
    <xf numFmtId="0" fontId="4" fillId="0" borderId="0" xfId="0" applyFont="1" applyAlignment="1" applyProtection="1">
      <alignment horizontal="centerContinuous" vertical="center"/>
      <protection locked="0"/>
    </xf>
    <xf numFmtId="0" fontId="24" fillId="0" borderId="0" xfId="0" applyFont="1" applyAlignment="1" applyProtection="1">
      <alignment vertical="center"/>
    </xf>
    <xf numFmtId="0" fontId="22" fillId="0" borderId="0" xfId="0" applyFont="1" applyAlignment="1" applyProtection="1">
      <alignment horizontal="left"/>
    </xf>
    <xf numFmtId="0" fontId="0" fillId="0" borderId="0" xfId="0" applyBorder="1" applyProtection="1"/>
    <xf numFmtId="0" fontId="25" fillId="0" borderId="1" xfId="0" applyFont="1" applyBorder="1" applyAlignment="1" applyProtection="1">
      <alignment horizontal="center" vertical="center" wrapText="1"/>
    </xf>
    <xf numFmtId="0" fontId="26" fillId="0" borderId="0" xfId="0" applyFont="1" applyAlignment="1" applyProtection="1">
      <alignment horizontal="right" vertical="center"/>
    </xf>
    <xf numFmtId="0" fontId="2" fillId="0" borderId="2" xfId="0" applyFont="1" applyBorder="1" applyAlignment="1" applyProtection="1">
      <alignment horizontal="center" vertical="center" wrapText="1"/>
    </xf>
    <xf numFmtId="37" fontId="5" fillId="0" borderId="0" xfId="0" applyNumberFormat="1" applyFont="1" applyProtection="1"/>
    <xf numFmtId="37" fontId="5" fillId="0" borderId="25" xfId="0" applyNumberFormat="1" applyFont="1" applyBorder="1" applyProtection="1">
      <protection locked="0"/>
    </xf>
    <xf numFmtId="0" fontId="3" fillId="0" borderId="0" xfId="0" applyFont="1" applyBorder="1" applyAlignment="1" applyProtection="1">
      <alignment horizontal="center" vertical="center"/>
    </xf>
    <xf numFmtId="0" fontId="6" fillId="0" borderId="0" xfId="0" applyFont="1" applyBorder="1" applyAlignment="1" applyProtection="1">
      <alignment horizontal="center" vertical="center"/>
    </xf>
    <xf numFmtId="0" fontId="29" fillId="0" borderId="0" xfId="0" applyFont="1" applyAlignment="1">
      <alignment horizontal="left" vertical="center" wrapText="1"/>
    </xf>
    <xf numFmtId="0" fontId="8" fillId="0" borderId="0" xfId="0" applyFont="1"/>
    <xf numFmtId="0" fontId="2" fillId="0" borderId="0" xfId="0" applyFont="1" applyAlignment="1">
      <alignment vertical="top"/>
    </xf>
    <xf numFmtId="0" fontId="0" fillId="0" borderId="0" xfId="0" applyAlignment="1">
      <alignment horizontal="left" vertical="top" wrapText="1"/>
    </xf>
    <xf numFmtId="0" fontId="31" fillId="0" borderId="0" xfId="0" applyFont="1"/>
    <xf numFmtId="167" fontId="5" fillId="0" borderId="25" xfId="0" applyNumberFormat="1" applyFont="1" applyBorder="1" applyProtection="1">
      <protection locked="0"/>
    </xf>
    <xf numFmtId="3" fontId="5" fillId="0" borderId="25" xfId="0" applyNumberFormat="1" applyFont="1" applyBorder="1" applyProtection="1">
      <protection locked="0"/>
    </xf>
    <xf numFmtId="49" fontId="3" fillId="0" borderId="6" xfId="0" applyNumberFormat="1" applyFont="1" applyBorder="1" applyAlignment="1" applyProtection="1">
      <alignment horizontal="left" vertical="center"/>
      <protection locked="0"/>
    </xf>
    <xf numFmtId="49" fontId="3" fillId="0" borderId="16" xfId="0" applyNumberFormat="1" applyFont="1" applyBorder="1" applyAlignment="1" applyProtection="1">
      <alignment horizontal="left" vertical="center"/>
      <protection locked="0"/>
    </xf>
    <xf numFmtId="49" fontId="3" fillId="0" borderId="17" xfId="0" applyNumberFormat="1" applyFont="1" applyBorder="1" applyAlignment="1" applyProtection="1">
      <alignment horizontal="left" vertical="center"/>
      <protection locked="0"/>
    </xf>
    <xf numFmtId="0" fontId="6" fillId="0" borderId="1" xfId="0" applyFont="1" applyBorder="1" applyAlignment="1" applyProtection="1">
      <alignment horizontal="center" vertical="center"/>
    </xf>
  </cellXfs>
  <cellStyles count="6">
    <cellStyle name="Comma 24" xfId="4" xr:uid="{F55EE51C-2E5C-4AF6-86A4-0719C95BD3F6}"/>
    <cellStyle name="Hyperlink" xfId="3" builtinId="8"/>
    <cellStyle name="Normal" xfId="0" builtinId="0"/>
    <cellStyle name="Normal 2" xfId="1" xr:uid="{00000000-0005-0000-0000-000002000000}"/>
    <cellStyle name="Normal 25" xfId="5" xr:uid="{35FC61DE-3340-4127-BF10-44F28303855B}"/>
    <cellStyle name="Percent 3" xfId="2" xr:uid="{00000000-0005-0000-0000-000003000000}"/>
  </cellStyles>
  <dxfs count="0"/>
  <tableStyles count="0" defaultTableStyle="TableStyleMedium2" defaultPivotStyle="PivotStyleLight16"/>
  <colors>
    <mruColors>
      <color rgb="FFD9D9D9"/>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1" dropStyle="combo" dx="16" fmlaLink="References!$N$5" fmlaRange="List_PrintExh" sel="1"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21" dropStyle="combo" dx="16" fmlaLink="References!$F$5" fmlaRange="List_GeneralLine" sel="4" val="0"/>
</file>

<file path=xl/ctrlProps/ctrlProp9.xml><?xml version="1.0" encoding="utf-8"?>
<formControlPr xmlns="http://schemas.microsoft.com/office/spreadsheetml/2009/9/main" objectType="Drop" dropLines="3" dropStyle="combo" dx="16" fmlaLink="References!$D$5" fmlaRange="List_LineType" sel="2" val="0"/>
</file>

<file path=xl/ctrlProps/ctrlProp10.xml><?xml version="1.0" encoding="utf-8"?>
<formControlPr xmlns="http://schemas.microsoft.com/office/spreadsheetml/2009/9/main" objectType="Drop" dropLines="34" dropStyle="combo" dx="16" fmlaLink="References!$Q$6" fmlaRange="List_DetailLine" sel="29" val="0"/>
</file>

<file path=xl/ctrlProps/ctrlProp11.xml><?xml version="1.0" encoding="utf-8"?>
<formControlPr xmlns="http://schemas.microsoft.com/office/spreadsheetml/2009/9/main" objectType="Drop" dropLines="34" dropStyle="combo" dx="16" fmlaLink="References!$Q$7" fmlaRange="List_DetailLine" sel="29" val="0"/>
</file>

<file path=xl/ctrlProps/ctrlProp12.xml><?xml version="1.0" encoding="utf-8"?>
<formControlPr xmlns="http://schemas.microsoft.com/office/spreadsheetml/2009/9/main" objectType="Drop" dropLines="34" dropStyle="combo" dx="16" fmlaLink="References!$Q$8" fmlaRange="List_DetailLine" sel="29" val="0"/>
</file>

<file path=xl/ctrlProps/ctrlProp13.xml><?xml version="1.0" encoding="utf-8"?>
<formControlPr xmlns="http://schemas.microsoft.com/office/spreadsheetml/2009/9/main" objectType="Drop" dropLines="34" dropStyle="combo" dx="16" fmlaLink="References!$Q$9" fmlaRange="List_DetailLine" sel="30" val="0"/>
</file>

<file path=xl/ctrlProps/ctrlProp14.xml><?xml version="1.0" encoding="utf-8"?>
<formControlPr xmlns="http://schemas.microsoft.com/office/spreadsheetml/2009/9/main" objectType="Drop" dropLines="34" dropStyle="combo" dx="16" fmlaLink="References!$Q$10" fmlaRange="List_DetailLine" sel="30" val="0"/>
</file>

<file path=xl/ctrlProps/ctrlProp15.xml><?xml version="1.0" encoding="utf-8"?>
<formControlPr xmlns="http://schemas.microsoft.com/office/spreadsheetml/2009/9/main" objectType="Drop" dropLines="34" dropStyle="combo" dx="16" fmlaLink="References!$Q$11" fmlaRange="List_DetailLine" sel="30" val="0"/>
</file>

<file path=xl/ctrlProps/ctrlProp16.xml><?xml version="1.0" encoding="utf-8"?>
<formControlPr xmlns="http://schemas.microsoft.com/office/spreadsheetml/2009/9/main" objectType="Drop" dropLines="34" dropStyle="combo" dx="16" fmlaLink="References!$Q$12" fmlaRange="List_DetailLine" sel="29" val="0"/>
</file>

<file path=xl/ctrlProps/ctrlProp17.xml><?xml version="1.0" encoding="utf-8"?>
<formControlPr xmlns="http://schemas.microsoft.com/office/spreadsheetml/2009/9/main" objectType="Drop" dropLines="34" dropStyle="combo" dx="16" fmlaLink="References!$Q$13" fmlaRange="List_DetailLine" sel="1" val="0"/>
</file>

<file path=xl/ctrlProps/ctrlProp18.xml><?xml version="1.0" encoding="utf-8"?>
<formControlPr xmlns="http://schemas.microsoft.com/office/spreadsheetml/2009/9/main" objectType="Drop" dropLines="34" dropStyle="combo" dx="16" fmlaLink="References!$Q$14" fmlaRange="List_DetailLine" sel="1" val="0"/>
</file>

<file path=xl/ctrlProps/ctrlProp19.xml><?xml version="1.0" encoding="utf-8"?>
<formControlPr xmlns="http://schemas.microsoft.com/office/spreadsheetml/2009/9/main" objectType="Drop" dropLines="34" dropStyle="combo" dx="16" fmlaLink="References!$Q$15" fmlaRange="List_DetailLine" sel="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33</xdr:row>
          <xdr:rowOff>161925</xdr:rowOff>
        </xdr:from>
        <xdr:to>
          <xdr:col>3</xdr:col>
          <xdr:colOff>9525</xdr:colOff>
          <xdr:row>35</xdr:row>
          <xdr:rowOff>9525</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36</xdr:row>
          <xdr:rowOff>0</xdr:rowOff>
        </xdr:from>
        <xdr:to>
          <xdr:col>3</xdr:col>
          <xdr:colOff>0</xdr:colOff>
          <xdr:row>37</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676275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19050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19050</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1</xdr:col>
          <xdr:colOff>19050</xdr:colOff>
          <xdr:row>27</xdr:row>
          <xdr:rowOff>0</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19050</xdr:rowOff>
        </xdr:from>
        <xdr:to>
          <xdr:col>1</xdr:col>
          <xdr:colOff>19050</xdr:colOff>
          <xdr:row>29</xdr:row>
          <xdr:rowOff>0</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19050</xdr:rowOff>
        </xdr:from>
        <xdr:to>
          <xdr:col>1</xdr:col>
          <xdr:colOff>19050</xdr:colOff>
          <xdr:row>30</xdr:row>
          <xdr:rowOff>0</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insurance.ca.gov/0250-insurers/0300-insurers/0200-bulletins/bulletin-notices-commiss-opinion/upload/Bulletin_2020-3_re_covid-19_premium_reductions-2.pdf" TargetMode="External"/><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2" x14ac:dyDescent="0.25">
      <c r="A1" s="16" t="s">
        <v>0</v>
      </c>
      <c r="B1" s="17"/>
    </row>
    <row r="2" spans="1:2" x14ac:dyDescent="0.25">
      <c r="A2" s="17"/>
      <c r="B2" s="17"/>
    </row>
    <row r="3" spans="1:2" x14ac:dyDescent="0.25">
      <c r="A3" s="17" t="s">
        <v>1</v>
      </c>
      <c r="B3" s="17"/>
    </row>
    <row r="4" spans="1:2" x14ac:dyDescent="0.25">
      <c r="A4" s="18"/>
      <c r="B4" s="17"/>
    </row>
    <row r="5" spans="1:2" x14ac:dyDescent="0.25">
      <c r="A5" s="18" t="s">
        <v>87</v>
      </c>
      <c r="B5" s="17" t="s">
        <v>141</v>
      </c>
    </row>
    <row r="6" spans="1:2" x14ac:dyDescent="0.25">
      <c r="A6" s="18"/>
      <c r="B6" s="17"/>
    </row>
    <row r="7" spans="1:2" x14ac:dyDescent="0.25">
      <c r="A7" s="17" t="s">
        <v>2</v>
      </c>
      <c r="B7" s="17"/>
    </row>
    <row r="8" spans="1:2" x14ac:dyDescent="0.25">
      <c r="A8" s="18"/>
      <c r="B8" s="17"/>
    </row>
    <row r="9" spans="1:2" x14ac:dyDescent="0.25">
      <c r="A9" s="18"/>
      <c r="B9" s="17"/>
    </row>
    <row r="10" spans="1:2" x14ac:dyDescent="0.25">
      <c r="A10" s="17" t="s">
        <v>3</v>
      </c>
      <c r="B10" s="19" t="s">
        <v>108</v>
      </c>
    </row>
    <row r="11" spans="1:2" x14ac:dyDescent="0.25">
      <c r="A11" s="17" t="s">
        <v>4</v>
      </c>
      <c r="B11" s="20"/>
    </row>
    <row r="12" spans="1:2" x14ac:dyDescent="0.25">
      <c r="A12" s="17"/>
      <c r="B12" s="20"/>
    </row>
    <row r="13" spans="1:2" x14ac:dyDescent="0.25">
      <c r="A13" s="17" t="s">
        <v>5</v>
      </c>
      <c r="B13" s="20"/>
    </row>
    <row r="14" spans="1:2" x14ac:dyDescent="0.25">
      <c r="A14" s="17"/>
      <c r="B14" s="20"/>
    </row>
    <row r="15" spans="1:2" x14ac:dyDescent="0.25">
      <c r="A15" s="17" t="s">
        <v>6</v>
      </c>
      <c r="B15" s="20"/>
    </row>
    <row r="16" spans="1:2" x14ac:dyDescent="0.25">
      <c r="A16" s="17" t="s">
        <v>7</v>
      </c>
      <c r="B16" s="20"/>
    </row>
    <row r="17" spans="1:2" x14ac:dyDescent="0.25">
      <c r="A17" s="17"/>
      <c r="B17" s="20"/>
    </row>
    <row r="18" spans="1:2" x14ac:dyDescent="0.25">
      <c r="A18" s="17"/>
      <c r="B18" s="20"/>
    </row>
    <row r="19" spans="1:2" x14ac:dyDescent="0.25">
      <c r="A19" s="15" t="s">
        <v>80</v>
      </c>
      <c r="B19" s="20"/>
    </row>
    <row r="20" spans="1:2" x14ac:dyDescent="0.25">
      <c r="A20" s="17" t="s">
        <v>81</v>
      </c>
      <c r="B20" s="60" t="str">
        <f>B10&amp;" Edition"</f>
        <v>01/04/2021 Edition</v>
      </c>
    </row>
    <row r="21" spans="1:2" x14ac:dyDescent="0.25">
      <c r="A21" s="17" t="s">
        <v>82</v>
      </c>
      <c r="B21" s="61" t="str">
        <f>IF(ISBLANK('1.General'!$C$12),"",'1.General'!$C$12)</f>
        <v>State Farm Mutual Automobile Insurance Company</v>
      </c>
    </row>
    <row r="22" spans="1:2" x14ac:dyDescent="0.25">
      <c r="A22" s="17" t="s">
        <v>83</v>
      </c>
      <c r="B22" s="62" t="str">
        <f>INDEX(List_GeneralLine,References!$F$5,1)</f>
        <v>Auto Liability and Physical Damage</v>
      </c>
    </row>
    <row r="23" spans="1:2" x14ac:dyDescent="0.25">
      <c r="A23" s="17" t="s">
        <v>84</v>
      </c>
      <c r="B23" s="62" t="str">
        <f>IF(ISBLANK('1.General'!$B$10),"",'1.General'!$B$10)</f>
        <v/>
      </c>
    </row>
    <row r="24" spans="1:2" x14ac:dyDescent="0.25">
      <c r="A24" s="17" t="s">
        <v>85</v>
      </c>
      <c r="B24" s="62" t="str">
        <f>IF(ISBLANK('1.General'!$B$8),"",'1.General'!$B$8)</f>
        <v>Laura Campbell</v>
      </c>
    </row>
    <row r="25" spans="1:2" x14ac:dyDescent="0.25">
      <c r="A25" s="17" t="s">
        <v>86</v>
      </c>
      <c r="B25" s="63">
        <f>IF(ISBLANK('1.General'!$F$8),"",'1.General'!$F$8)</f>
        <v>44990</v>
      </c>
    </row>
    <row r="26" spans="1:2" x14ac:dyDescent="0.25">
      <c r="A26" s="17" t="s">
        <v>11</v>
      </c>
      <c r="B26" s="59" t="e">
        <f>INDEX(List_AggMethod,References!$L$5,1)</f>
        <v>#NAME?</v>
      </c>
    </row>
  </sheetData>
  <sheetProtection formatColumns="0" formatRows="0" sort="0"/>
  <pageMargins left="0.7" right="0.7" top="0.75" bottom="0.75" header="0.3" footer="0.3"/>
  <pageSetup scale="83" orientation="portrait" r:id="rId1"/>
  <headerFooter>
    <oddFooter>&amp;L01/04/2021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zoomScale="80" zoomScaleNormal="80" workbookViewId="0">
      <selection activeCell="I42" sqref="I42"/>
    </sheetView>
  </sheetViews>
  <sheetFormatPr defaultRowHeight="15" x14ac:dyDescent="0.25"/>
  <cols>
    <col min="1" max="1" width="29" customWidth="1"/>
    <col min="2" max="2" width="15.85546875" style="4" bestFit="1" customWidth="1"/>
    <col min="3" max="3" width="5.7109375" style="4" customWidth="1"/>
    <col min="4" max="4" width="11.5703125" style="4" bestFit="1" customWidth="1"/>
    <col min="5" max="5" width="5.7109375" style="4" customWidth="1"/>
    <col min="6" max="6" width="32.28515625" style="4" customWidth="1"/>
    <col min="7" max="7" width="32.28515625" style="4" hidden="1" customWidth="1"/>
    <col min="8" max="8" width="5.7109375" style="4" customWidth="1"/>
    <col min="9" max="9" width="54.7109375" style="4" bestFit="1" customWidth="1"/>
    <col min="10" max="10" width="5.7109375" style="4" bestFit="1" customWidth="1"/>
    <col min="11" max="11" width="5.7109375" customWidth="1"/>
    <col min="12" max="12" width="41.42578125" style="4" customWidth="1"/>
    <col min="13" max="13" width="5.7109375" customWidth="1"/>
    <col min="14" max="14" width="41.42578125" style="4" customWidth="1"/>
    <col min="16" max="16" width="18.5703125" customWidth="1"/>
    <col min="17" max="17" width="17.85546875" customWidth="1"/>
  </cols>
  <sheetData>
    <row r="1" spans="1:17" ht="15.75" thickBot="1" x14ac:dyDescent="0.3">
      <c r="A1" s="16" t="s">
        <v>0</v>
      </c>
      <c r="D1" s="64"/>
    </row>
    <row r="2" spans="1:17" x14ac:dyDescent="0.25">
      <c r="A2" s="4"/>
      <c r="B2" s="36" t="s">
        <v>21</v>
      </c>
      <c r="C2" s="3"/>
      <c r="D2" s="37" t="s">
        <v>22</v>
      </c>
      <c r="E2" s="3"/>
      <c r="F2" s="36" t="s">
        <v>23</v>
      </c>
      <c r="G2" s="96"/>
      <c r="H2" s="3"/>
      <c r="I2" s="93" t="s">
        <v>72</v>
      </c>
      <c r="J2" s="38"/>
      <c r="L2" s="37" t="s">
        <v>73</v>
      </c>
      <c r="N2" s="37" t="s">
        <v>79</v>
      </c>
      <c r="P2" s="79" t="s">
        <v>103</v>
      </c>
      <c r="Q2" s="80"/>
    </row>
    <row r="3" spans="1:17" x14ac:dyDescent="0.25">
      <c r="A3" s="4"/>
      <c r="B3" s="39" t="s">
        <v>24</v>
      </c>
      <c r="C3" s="3"/>
      <c r="D3" s="40"/>
      <c r="F3" s="41"/>
      <c r="G3" s="75"/>
      <c r="I3" s="94"/>
      <c r="J3" s="42"/>
      <c r="L3" s="44"/>
      <c r="N3" s="44"/>
      <c r="P3" s="81" t="s">
        <v>104</v>
      </c>
      <c r="Q3" s="82"/>
    </row>
    <row r="4" spans="1:17" x14ac:dyDescent="0.25">
      <c r="A4" s="4"/>
      <c r="B4" s="39" t="s">
        <v>92</v>
      </c>
      <c r="C4" s="43"/>
      <c r="D4" s="44"/>
      <c r="F4" s="41"/>
      <c r="G4" s="75"/>
      <c r="I4" s="94"/>
      <c r="J4" s="42"/>
      <c r="L4" s="44"/>
      <c r="N4" s="44"/>
      <c r="P4" s="77"/>
      <c r="Q4" s="78"/>
    </row>
    <row r="5" spans="1:17" ht="45" x14ac:dyDescent="0.25">
      <c r="A5" s="32" t="s">
        <v>74</v>
      </c>
      <c r="B5" s="45"/>
      <c r="C5" s="13"/>
      <c r="D5" s="46">
        <v>2</v>
      </c>
      <c r="E5" s="47"/>
      <c r="F5" s="48">
        <v>4</v>
      </c>
      <c r="G5" s="76"/>
      <c r="H5" s="47"/>
      <c r="I5" s="95"/>
      <c r="J5" s="49"/>
      <c r="L5" s="48">
        <v>0</v>
      </c>
      <c r="N5" s="48">
        <v>1</v>
      </c>
      <c r="P5" s="77"/>
      <c r="Q5" s="78"/>
    </row>
    <row r="6" spans="1:17" ht="15.75" thickBot="1" x14ac:dyDescent="0.3">
      <c r="B6" s="50" t="s">
        <v>25</v>
      </c>
      <c r="C6" s="51"/>
      <c r="D6" s="44" t="s">
        <v>26</v>
      </c>
      <c r="F6" s="41"/>
      <c r="G6" s="75"/>
      <c r="I6" s="94"/>
      <c r="J6" s="42"/>
      <c r="L6" s="44" t="s">
        <v>9</v>
      </c>
      <c r="N6" s="52" t="s">
        <v>120</v>
      </c>
      <c r="P6" s="83">
        <v>1</v>
      </c>
      <c r="Q6" s="85">
        <v>29</v>
      </c>
    </row>
    <row r="7" spans="1:17" x14ac:dyDescent="0.25">
      <c r="B7" s="50" t="s">
        <v>27</v>
      </c>
      <c r="C7" s="51"/>
      <c r="D7" s="44" t="s">
        <v>28</v>
      </c>
      <c r="F7" s="41" t="s">
        <v>29</v>
      </c>
      <c r="G7" s="75"/>
      <c r="I7" s="94" t="s">
        <v>29</v>
      </c>
      <c r="J7" s="42">
        <v>22</v>
      </c>
      <c r="L7" s="44" t="s">
        <v>10</v>
      </c>
      <c r="N7" s="104"/>
      <c r="P7" s="83">
        <v>2</v>
      </c>
      <c r="Q7" s="85">
        <v>29</v>
      </c>
    </row>
    <row r="8" spans="1:17" ht="15.75" thickBot="1" x14ac:dyDescent="0.3">
      <c r="B8" s="53" t="s">
        <v>30</v>
      </c>
      <c r="C8" s="51"/>
      <c r="D8" s="52"/>
      <c r="F8" s="41" t="s">
        <v>31</v>
      </c>
      <c r="G8" s="75"/>
      <c r="I8" s="94" t="s">
        <v>31</v>
      </c>
      <c r="J8" s="42">
        <v>2.1</v>
      </c>
      <c r="L8" s="52" t="s">
        <v>8</v>
      </c>
      <c r="N8" s="104"/>
      <c r="P8" s="83">
        <v>3</v>
      </c>
      <c r="Q8" s="85">
        <v>29</v>
      </c>
    </row>
    <row r="9" spans="1:17" x14ac:dyDescent="0.25">
      <c r="F9" s="41" t="s">
        <v>32</v>
      </c>
      <c r="G9" s="75"/>
      <c r="I9" s="94" t="s">
        <v>33</v>
      </c>
      <c r="J9" s="42">
        <v>17</v>
      </c>
      <c r="N9" s="104"/>
      <c r="P9" s="83">
        <v>4</v>
      </c>
      <c r="Q9" s="85">
        <v>30</v>
      </c>
    </row>
    <row r="10" spans="1:17" x14ac:dyDescent="0.25">
      <c r="A10" s="105"/>
      <c r="B10" s="106"/>
      <c r="F10" s="41" t="s">
        <v>33</v>
      </c>
      <c r="G10" s="75"/>
      <c r="I10" s="94" t="s">
        <v>34</v>
      </c>
      <c r="J10" s="42">
        <v>27</v>
      </c>
      <c r="P10" s="83">
        <v>5</v>
      </c>
      <c r="Q10" s="85">
        <v>30</v>
      </c>
    </row>
    <row r="11" spans="1:17" x14ac:dyDescent="0.25">
      <c r="A11" s="105"/>
      <c r="B11" s="106"/>
      <c r="F11" s="41" t="s">
        <v>34</v>
      </c>
      <c r="G11" s="75"/>
      <c r="I11" s="94" t="s">
        <v>35</v>
      </c>
      <c r="J11" s="42">
        <v>26</v>
      </c>
      <c r="P11" s="83">
        <v>6</v>
      </c>
      <c r="Q11" s="85">
        <v>30</v>
      </c>
    </row>
    <row r="12" spans="1:17" x14ac:dyDescent="0.25">
      <c r="A12" s="105"/>
      <c r="B12" s="104"/>
      <c r="F12" s="41" t="s">
        <v>35</v>
      </c>
      <c r="G12" s="75"/>
      <c r="I12" s="94" t="s">
        <v>36</v>
      </c>
      <c r="J12" s="42">
        <v>19.399999999999999</v>
      </c>
      <c r="P12" s="83">
        <v>7</v>
      </c>
      <c r="Q12" s="85">
        <v>29</v>
      </c>
    </row>
    <row r="13" spans="1:17" x14ac:dyDescent="0.25">
      <c r="A13" s="105"/>
      <c r="B13" s="107"/>
      <c r="F13" s="41" t="s">
        <v>37</v>
      </c>
      <c r="G13" s="75"/>
      <c r="I13" s="94" t="s">
        <v>38</v>
      </c>
      <c r="J13" s="42">
        <v>21.2</v>
      </c>
      <c r="P13" s="83">
        <v>8</v>
      </c>
      <c r="Q13" s="85">
        <v>1</v>
      </c>
    </row>
    <row r="14" spans="1:17" x14ac:dyDescent="0.25">
      <c r="A14" s="105"/>
      <c r="B14" s="104"/>
      <c r="F14" s="41" t="s">
        <v>39</v>
      </c>
      <c r="G14" s="75"/>
      <c r="I14" s="94" t="s">
        <v>40</v>
      </c>
      <c r="J14" s="42">
        <v>5</v>
      </c>
      <c r="P14" s="83">
        <v>9</v>
      </c>
      <c r="Q14" s="85">
        <v>1</v>
      </c>
    </row>
    <row r="15" spans="1:17" ht="15.75" thickBot="1" x14ac:dyDescent="0.3">
      <c r="A15" s="105"/>
      <c r="B15" s="104"/>
      <c r="F15" s="41" t="s">
        <v>41</v>
      </c>
      <c r="G15" s="75"/>
      <c r="I15" s="94" t="s">
        <v>42</v>
      </c>
      <c r="J15" s="42">
        <v>5.2</v>
      </c>
      <c r="P15" s="84">
        <v>10</v>
      </c>
      <c r="Q15" s="86">
        <v>1</v>
      </c>
    </row>
    <row r="16" spans="1:17" x14ac:dyDescent="0.25">
      <c r="A16" s="105"/>
      <c r="B16" s="104"/>
      <c r="F16" s="41" t="s">
        <v>43</v>
      </c>
      <c r="G16" s="75"/>
      <c r="I16" s="94" t="s">
        <v>44</v>
      </c>
      <c r="J16" s="42">
        <v>5.0999999999999996</v>
      </c>
    </row>
    <row r="17" spans="1:10" x14ac:dyDescent="0.25">
      <c r="A17" s="105"/>
      <c r="B17" s="106"/>
      <c r="F17" s="41" t="s">
        <v>102</v>
      </c>
      <c r="G17" s="75"/>
      <c r="I17" s="94" t="s">
        <v>37</v>
      </c>
      <c r="J17" s="42">
        <v>12</v>
      </c>
    </row>
    <row r="18" spans="1:10" x14ac:dyDescent="0.25">
      <c r="A18" s="105"/>
      <c r="B18" s="106"/>
      <c r="F18" s="41" t="s">
        <v>45</v>
      </c>
      <c r="G18" s="75"/>
      <c r="I18" s="94" t="s">
        <v>47</v>
      </c>
      <c r="J18" s="42" t="s">
        <v>48</v>
      </c>
    </row>
    <row r="19" spans="1:10" x14ac:dyDescent="0.25">
      <c r="A19" s="105"/>
      <c r="B19" s="104"/>
      <c r="F19" s="41" t="s">
        <v>46</v>
      </c>
      <c r="G19" s="75"/>
      <c r="I19" s="94" t="s">
        <v>50</v>
      </c>
      <c r="J19" s="42">
        <v>3</v>
      </c>
    </row>
    <row r="20" spans="1:10" x14ac:dyDescent="0.25">
      <c r="A20" s="105"/>
      <c r="B20" s="107"/>
      <c r="F20" s="41" t="s">
        <v>49</v>
      </c>
      <c r="G20" s="75"/>
      <c r="I20" s="94" t="s">
        <v>41</v>
      </c>
      <c r="J20" s="42">
        <v>23</v>
      </c>
    </row>
    <row r="21" spans="1:10" x14ac:dyDescent="0.25">
      <c r="A21" s="105"/>
      <c r="B21" s="104"/>
      <c r="F21" s="41" t="s">
        <v>51</v>
      </c>
      <c r="G21" s="75"/>
      <c r="I21" s="94" t="s">
        <v>43</v>
      </c>
      <c r="J21" s="42">
        <v>1</v>
      </c>
    </row>
    <row r="22" spans="1:10" x14ac:dyDescent="0.25">
      <c r="A22" s="105"/>
      <c r="B22" s="104"/>
      <c r="F22" s="41" t="s">
        <v>52</v>
      </c>
      <c r="G22" s="75"/>
      <c r="I22" s="94" t="s">
        <v>49</v>
      </c>
      <c r="J22" s="42">
        <v>9</v>
      </c>
    </row>
    <row r="23" spans="1:10" x14ac:dyDescent="0.25">
      <c r="F23" s="41" t="s">
        <v>53</v>
      </c>
      <c r="G23" s="75"/>
      <c r="I23" s="94" t="s">
        <v>55</v>
      </c>
      <c r="J23" s="42">
        <v>4</v>
      </c>
    </row>
    <row r="24" spans="1:10" x14ac:dyDescent="0.25">
      <c r="F24" s="41" t="s">
        <v>54</v>
      </c>
      <c r="G24" s="75"/>
      <c r="I24" s="94" t="s">
        <v>51</v>
      </c>
      <c r="J24" s="42">
        <v>9</v>
      </c>
    </row>
    <row r="25" spans="1:10" x14ac:dyDescent="0.25">
      <c r="F25" s="41" t="s">
        <v>56</v>
      </c>
      <c r="G25" s="75"/>
      <c r="I25" s="94" t="s">
        <v>52</v>
      </c>
      <c r="J25" s="42">
        <v>11</v>
      </c>
    </row>
    <row r="26" spans="1:10" ht="15.75" thickBot="1" x14ac:dyDescent="0.3">
      <c r="F26" s="54" t="s">
        <v>57</v>
      </c>
      <c r="G26" s="75"/>
      <c r="I26" s="94" t="s">
        <v>58</v>
      </c>
      <c r="J26" s="42">
        <v>11.2</v>
      </c>
    </row>
    <row r="27" spans="1:10" x14ac:dyDescent="0.25">
      <c r="I27" s="94" t="s">
        <v>59</v>
      </c>
      <c r="J27" s="42">
        <v>11.1</v>
      </c>
    </row>
    <row r="28" spans="1:10" x14ac:dyDescent="0.25">
      <c r="I28" s="94" t="s">
        <v>60</v>
      </c>
      <c r="J28" s="42" t="s">
        <v>61</v>
      </c>
    </row>
    <row r="29" spans="1:10" x14ac:dyDescent="0.25">
      <c r="I29" s="94" t="s">
        <v>62</v>
      </c>
      <c r="J29" s="42" t="s">
        <v>63</v>
      </c>
    </row>
    <row r="30" spans="1:10" x14ac:dyDescent="0.25">
      <c r="I30" s="94" t="s">
        <v>64</v>
      </c>
      <c r="J30" s="42" t="s">
        <v>65</v>
      </c>
    </row>
    <row r="31" spans="1:10" x14ac:dyDescent="0.25">
      <c r="I31" s="94" t="s">
        <v>54</v>
      </c>
      <c r="J31" s="42">
        <v>17</v>
      </c>
    </row>
    <row r="32" spans="1:10" x14ac:dyDescent="0.25">
      <c r="I32" s="94" t="s">
        <v>66</v>
      </c>
      <c r="J32" s="42">
        <v>17.2</v>
      </c>
    </row>
    <row r="33" spans="9:10" x14ac:dyDescent="0.25">
      <c r="I33" s="94" t="s">
        <v>67</v>
      </c>
      <c r="J33" s="42">
        <v>17.100000000000001</v>
      </c>
    </row>
    <row r="34" spans="9:10" x14ac:dyDescent="0.25">
      <c r="I34" s="94" t="s">
        <v>68</v>
      </c>
      <c r="J34" s="42">
        <v>19.2</v>
      </c>
    </row>
    <row r="35" spans="9:10" x14ac:dyDescent="0.25">
      <c r="I35" s="94" t="s">
        <v>69</v>
      </c>
      <c r="J35" s="42">
        <v>21.1</v>
      </c>
    </row>
    <row r="36" spans="9:10" x14ac:dyDescent="0.25">
      <c r="I36" s="94" t="s">
        <v>56</v>
      </c>
      <c r="J36" s="42">
        <v>18</v>
      </c>
    </row>
    <row r="37" spans="9:10" x14ac:dyDescent="0.25">
      <c r="I37" s="94" t="s">
        <v>70</v>
      </c>
      <c r="J37" s="42">
        <v>18.2</v>
      </c>
    </row>
    <row r="38" spans="9:10" x14ac:dyDescent="0.25">
      <c r="I38" s="94" t="s">
        <v>71</v>
      </c>
      <c r="J38" s="42">
        <v>18.100000000000001</v>
      </c>
    </row>
    <row r="39" spans="9:10" x14ac:dyDescent="0.25">
      <c r="I39" s="94" t="s">
        <v>57</v>
      </c>
      <c r="J39" s="42">
        <v>24</v>
      </c>
    </row>
    <row r="40" spans="9:10" x14ac:dyDescent="0.25">
      <c r="I40" s="87" t="s">
        <v>105</v>
      </c>
      <c r="J40" s="88"/>
    </row>
    <row r="41" spans="9:10" x14ac:dyDescent="0.25">
      <c r="I41" s="89"/>
      <c r="J41" s="90"/>
    </row>
    <row r="42" spans="9:10" x14ac:dyDescent="0.25">
      <c r="I42" s="89"/>
      <c r="J42" s="90"/>
    </row>
    <row r="43" spans="9:10" x14ac:dyDescent="0.25">
      <c r="I43" s="89"/>
      <c r="J43" s="90"/>
    </row>
    <row r="44" spans="9:10" x14ac:dyDescent="0.25">
      <c r="I44" s="89"/>
      <c r="J44" s="90"/>
    </row>
    <row r="45" spans="9:10" x14ac:dyDescent="0.25">
      <c r="I45" s="89"/>
      <c r="J45" s="90"/>
    </row>
    <row r="46" spans="9:10" x14ac:dyDescent="0.25">
      <c r="I46" s="89"/>
      <c r="J46" s="90"/>
    </row>
    <row r="47" spans="9:10" x14ac:dyDescent="0.25">
      <c r="I47" s="89"/>
      <c r="J47" s="90"/>
    </row>
    <row r="48" spans="9:10" x14ac:dyDescent="0.25">
      <c r="I48" s="89"/>
      <c r="J48" s="90"/>
    </row>
    <row r="49" spans="9:10" x14ac:dyDescent="0.25">
      <c r="I49" s="89"/>
      <c r="J49" s="90"/>
    </row>
    <row r="50" spans="9:10" x14ac:dyDescent="0.25">
      <c r="I50" s="91"/>
      <c r="J50" s="97"/>
    </row>
  </sheetData>
  <sheetProtection algorithmName="SHA-512" hashValue="ycmxhJhdSPkikne/eIQ/xdyx6VcO6Y5VV4rRTQo/RanNHfvOsPc/klnMURo41QXdWLYC0O07bX3vNdqr887geA==" saltValue="UrSlpDYhU8vt1Y1QyFTrJQ==" spinCount="100000" sheet="1" objects="1" scenarios="1" formatColumns="0" formatRows="0" sort="0"/>
  <pageMargins left="0.7" right="0.7" top="0.75" bottom="0.75" header="0.3" footer="0.3"/>
  <pageSetup orientation="portrait" r:id="rId1"/>
  <headerFooter>
    <oddFooter>&amp;L01/04/2021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6"/>
  <sheetViews>
    <sheetView showGridLines="0" view="pageBreakPreview" zoomScale="90" zoomScaleNormal="90" zoomScaleSheetLayoutView="90" workbookViewId="0">
      <selection activeCell="B11" sqref="B11"/>
    </sheetView>
  </sheetViews>
  <sheetFormatPr defaultRowHeight="15" x14ac:dyDescent="0.25"/>
  <cols>
    <col min="1" max="1" width="3" customWidth="1"/>
    <col min="2" max="2" width="100.7109375" customWidth="1"/>
  </cols>
  <sheetData>
    <row r="1" spans="1:2" ht="26.25" x14ac:dyDescent="0.25">
      <c r="A1" s="26" t="s">
        <v>107</v>
      </c>
      <c r="B1" s="6"/>
    </row>
    <row r="2" spans="1:2" ht="26.25" x14ac:dyDescent="0.25">
      <c r="A2" s="26" t="s">
        <v>121</v>
      </c>
      <c r="B2" s="5"/>
    </row>
    <row r="3" spans="1:2" ht="26.25" x14ac:dyDescent="0.25">
      <c r="A3" s="26" t="s">
        <v>130</v>
      </c>
      <c r="B3" s="5"/>
    </row>
    <row r="4" spans="1:2" ht="20.100000000000001" customHeight="1" x14ac:dyDescent="0.25">
      <c r="A4" s="26"/>
      <c r="B4" s="5"/>
    </row>
    <row r="5" spans="1:2" ht="31.5" x14ac:dyDescent="0.25">
      <c r="A5" s="26"/>
      <c r="B5" s="124" t="s">
        <v>128</v>
      </c>
    </row>
    <row r="6" spans="1:2" ht="39.75" customHeight="1" x14ac:dyDescent="0.25">
      <c r="A6" s="26"/>
      <c r="B6" s="31" t="s">
        <v>122</v>
      </c>
    </row>
    <row r="7" spans="1:2" ht="63" x14ac:dyDescent="0.25">
      <c r="A7" s="27"/>
      <c r="B7" s="28" t="s">
        <v>106</v>
      </c>
    </row>
    <row r="8" spans="1:2" ht="27" thickBot="1" x14ac:dyDescent="0.3">
      <c r="A8" s="29"/>
      <c r="B8" s="30" t="s">
        <v>12</v>
      </c>
    </row>
    <row r="9" spans="1:2" ht="20.100000000000001" customHeight="1" x14ac:dyDescent="0.25">
      <c r="A9" s="27"/>
      <c r="B9" s="31"/>
    </row>
    <row r="10" spans="1:2" ht="66.95" customHeight="1" x14ac:dyDescent="0.25">
      <c r="A10" s="126" t="s">
        <v>88</v>
      </c>
      <c r="B10" s="127" t="s">
        <v>124</v>
      </c>
    </row>
    <row r="11" spans="1:2" ht="51.95" customHeight="1" x14ac:dyDescent="0.25">
      <c r="A11" s="126" t="s">
        <v>89</v>
      </c>
      <c r="B11" s="127" t="s">
        <v>127</v>
      </c>
    </row>
    <row r="12" spans="1:2" ht="21.95" customHeight="1" x14ac:dyDescent="0.25">
      <c r="A12" s="126" t="s">
        <v>90</v>
      </c>
      <c r="B12" s="127" t="s">
        <v>93</v>
      </c>
    </row>
    <row r="13" spans="1:2" ht="51.95" customHeight="1" x14ac:dyDescent="0.25">
      <c r="A13" s="126" t="s">
        <v>91</v>
      </c>
      <c r="B13" s="127" t="s">
        <v>123</v>
      </c>
    </row>
    <row r="14" spans="1:2" ht="36.950000000000003" customHeight="1" x14ac:dyDescent="0.25">
      <c r="A14" s="126" t="s">
        <v>94</v>
      </c>
      <c r="B14" s="127" t="s">
        <v>126</v>
      </c>
    </row>
    <row r="15" spans="1:2" ht="21.95" customHeight="1" x14ac:dyDescent="0.25">
      <c r="A15" s="126" t="s">
        <v>95</v>
      </c>
      <c r="B15" s="127" t="s">
        <v>96</v>
      </c>
    </row>
    <row r="16" spans="1:2" ht="24.95" customHeight="1" x14ac:dyDescent="0.25">
      <c r="A16" s="13"/>
      <c r="B16" s="71"/>
    </row>
  </sheetData>
  <sheetProtection algorithmName="SHA-512" hashValue="Gv7+tu4vsBhU5qL8SuW9eD12lpdppOhNC1IZ3RiOuCpFCE5TKo7AjMEIGfBhnmjSEAQp/Y1s9aICR9Uw+bBsyg==" saltValue="O1oGd06hmZVDVRLCG9kyOw==" spinCount="100000" sheet="1" objects="1" scenarios="1" formatColumns="0" formatRows="0" sort="0"/>
  <hyperlinks>
    <hyperlink ref="B8" r:id="rId1" xr:uid="{00000000-0004-0000-0200-000000000000}"/>
    <hyperlink ref="B6" r:id="rId2" xr:uid="{00000000-0004-0000-0200-000001000000}"/>
  </hyperlinks>
  <pageMargins left="0.7" right="0.7" top="0.75" bottom="0.75" header="0.3" footer="0.3"/>
  <pageSetup scale="87" orientation="portrait" r:id="rId3"/>
  <headerFooter>
    <oddFooter>&amp;L01/04/2021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38"/>
  <sheetViews>
    <sheetView showGridLines="0" view="pageBreakPreview" zoomScale="85" zoomScaleNormal="85" zoomScaleSheetLayoutView="85" workbookViewId="0">
      <selection activeCell="A14" sqref="A14"/>
    </sheetView>
  </sheetViews>
  <sheetFormatPr defaultRowHeight="15" x14ac:dyDescent="0.25"/>
  <cols>
    <col min="1" max="1" width="61.5703125" customWidth="1"/>
    <col min="2" max="2" width="12.7109375" customWidth="1"/>
    <col min="3" max="3" width="28.140625" customWidth="1"/>
    <col min="4" max="4" width="0.28515625" customWidth="1"/>
    <col min="5" max="5" width="2.85546875" customWidth="1"/>
    <col min="6" max="6" width="10" customWidth="1"/>
    <col min="7" max="7" width="40.85546875" customWidth="1"/>
    <col min="8" max="8" width="1"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33" t="s">
        <v>13</v>
      </c>
      <c r="F1" s="33" t="s">
        <v>16</v>
      </c>
      <c r="G1" s="12" t="str">
        <f>Co_Name</f>
        <v>State Farm Mutual Automobile Insurance Company</v>
      </c>
      <c r="H1" s="12"/>
      <c r="I1" s="56" t="s">
        <v>78</v>
      </c>
    </row>
    <row r="2" spans="1:9" x14ac:dyDescent="0.25">
      <c r="A2" s="33" t="s">
        <v>14</v>
      </c>
      <c r="F2" s="33" t="s">
        <v>17</v>
      </c>
      <c r="G2" s="10" t="str">
        <f>General_Line</f>
        <v>Auto Liability and Physical Damage</v>
      </c>
      <c r="I2" s="57" t="s">
        <v>77</v>
      </c>
    </row>
    <row r="3" spans="1:9" x14ac:dyDescent="0.25">
      <c r="A3" s="33"/>
      <c r="G3" s="7"/>
      <c r="I3" s="65"/>
    </row>
    <row r="4" spans="1:9" ht="18" customHeight="1" x14ac:dyDescent="0.25">
      <c r="A4" s="33"/>
      <c r="G4" s="7"/>
      <c r="I4" s="65"/>
    </row>
    <row r="5" spans="1:9" ht="23.25" customHeight="1" x14ac:dyDescent="0.25">
      <c r="A5" s="34" t="s">
        <v>129</v>
      </c>
      <c r="B5" s="1"/>
      <c r="C5" s="1"/>
      <c r="D5" s="1"/>
      <c r="E5" s="1"/>
      <c r="F5" s="1"/>
      <c r="G5" s="8"/>
      <c r="H5" s="1"/>
      <c r="I5" s="65"/>
    </row>
    <row r="6" spans="1:9" ht="23.25" customHeight="1" x14ac:dyDescent="0.25">
      <c r="A6" s="34" t="s">
        <v>97</v>
      </c>
      <c r="B6" s="1"/>
      <c r="C6" s="1"/>
      <c r="D6" s="1"/>
      <c r="E6" s="1"/>
      <c r="F6" s="1"/>
      <c r="G6" s="8"/>
      <c r="H6" s="1"/>
      <c r="I6" s="65"/>
    </row>
    <row r="7" spans="1:9" ht="18" customHeight="1" x14ac:dyDescent="0.25">
      <c r="G7" s="7"/>
      <c r="I7" s="65"/>
    </row>
    <row r="8" spans="1:9" x14ac:dyDescent="0.25">
      <c r="A8" s="14" t="s">
        <v>18</v>
      </c>
      <c r="B8" s="72" t="s">
        <v>140</v>
      </c>
      <c r="C8" s="70" t="s">
        <v>19</v>
      </c>
      <c r="F8" s="73">
        <v>44990</v>
      </c>
      <c r="G8" s="7"/>
      <c r="I8" s="67"/>
    </row>
    <row r="9" spans="1:9" x14ac:dyDescent="0.25">
      <c r="A9" s="14"/>
      <c r="B9" s="98"/>
      <c r="C9" s="7"/>
      <c r="D9" s="7"/>
      <c r="E9" s="7"/>
      <c r="F9" s="7"/>
      <c r="G9" s="35"/>
      <c r="H9" s="102"/>
      <c r="I9" s="65"/>
    </row>
    <row r="10" spans="1:9" x14ac:dyDescent="0.25">
      <c r="A10" s="14" t="s">
        <v>20</v>
      </c>
      <c r="B10" s="69"/>
      <c r="C10" s="7"/>
      <c r="D10" s="7"/>
      <c r="E10" s="7"/>
      <c r="F10" s="7"/>
      <c r="G10" s="7"/>
      <c r="I10" s="65"/>
    </row>
    <row r="11" spans="1:9" x14ac:dyDescent="0.25">
      <c r="A11" s="14"/>
      <c r="B11" s="98"/>
      <c r="C11" s="7"/>
      <c r="D11" s="7"/>
      <c r="E11" s="7"/>
      <c r="F11" s="7"/>
      <c r="G11" s="7"/>
      <c r="I11" s="65"/>
    </row>
    <row r="12" spans="1:9" x14ac:dyDescent="0.25">
      <c r="A12" s="2" t="s">
        <v>75</v>
      </c>
      <c r="B12" s="2"/>
      <c r="C12" s="131" t="s">
        <v>132</v>
      </c>
      <c r="D12" s="132"/>
      <c r="E12" s="132"/>
      <c r="F12" s="133"/>
      <c r="G12" s="101"/>
      <c r="I12" s="65"/>
    </row>
    <row r="13" spans="1:9" x14ac:dyDescent="0.25">
      <c r="A13" s="33"/>
      <c r="B13" s="33"/>
      <c r="C13" s="99"/>
      <c r="D13" s="99"/>
      <c r="E13" s="99"/>
      <c r="F13" s="99"/>
      <c r="G13" s="100"/>
      <c r="H13" s="7"/>
      <c r="I13" s="65"/>
    </row>
    <row r="14" spans="1:9" x14ac:dyDescent="0.25">
      <c r="A14" s="2" t="s">
        <v>99</v>
      </c>
      <c r="B14" s="2"/>
      <c r="C14" s="74"/>
      <c r="D14" s="74"/>
      <c r="E14" s="99"/>
      <c r="F14" s="99"/>
      <c r="G14" s="100"/>
      <c r="H14" s="7"/>
      <c r="I14" s="65"/>
    </row>
    <row r="15" spans="1:9" x14ac:dyDescent="0.25">
      <c r="A15" s="7"/>
      <c r="B15" s="7"/>
      <c r="C15" s="7"/>
      <c r="D15" s="7"/>
      <c r="E15" s="7"/>
      <c r="F15" s="7"/>
      <c r="G15" s="7"/>
      <c r="H15" s="7"/>
      <c r="I15" s="65"/>
    </row>
    <row r="16" spans="1:9" x14ac:dyDescent="0.25">
      <c r="A16" s="14" t="s">
        <v>76</v>
      </c>
      <c r="B16" s="33"/>
      <c r="C16" s="58"/>
      <c r="G16" s="7"/>
      <c r="I16" s="66" t="str">
        <f>IF(INDEX(List_GeneralLine,References!$F$5,1)="","← ERROR! Select a General Line from the pull-down menu.","")</f>
        <v/>
      </c>
    </row>
    <row r="17" spans="1:9" x14ac:dyDescent="0.25">
      <c r="A17" s="7"/>
      <c r="B17" s="7"/>
      <c r="C17" s="7"/>
      <c r="D17" s="7"/>
      <c r="E17" s="7"/>
      <c r="F17" s="7"/>
      <c r="G17" s="7"/>
      <c r="I17" s="65"/>
    </row>
    <row r="18" spans="1:9" ht="18" customHeight="1" x14ac:dyDescent="0.25">
      <c r="A18" s="2" t="s">
        <v>101</v>
      </c>
      <c r="B18" s="2"/>
      <c r="C18" s="2" t="s">
        <v>100</v>
      </c>
      <c r="G18" s="2"/>
      <c r="I18" s="65"/>
    </row>
    <row r="19" spans="1:9" ht="18" customHeight="1" x14ac:dyDescent="0.25">
      <c r="A19" s="128" t="s">
        <v>98</v>
      </c>
      <c r="B19" s="22"/>
      <c r="G19" s="7"/>
      <c r="I19" s="65"/>
    </row>
    <row r="20" spans="1:9" ht="18" customHeight="1" x14ac:dyDescent="0.25">
      <c r="A20" s="22"/>
      <c r="B20" s="22"/>
      <c r="G20" s="7"/>
      <c r="I20" s="65"/>
    </row>
    <row r="21" spans="1:9" ht="18" customHeight="1" x14ac:dyDescent="0.25">
      <c r="A21" s="92" t="str">
        <f>IF(INDEX(List_DetailLine,References!Q6,1)="","",INDEX(List_DetailLine,References!Q6,1))</f>
        <v>Private Passenger Auto Liability</v>
      </c>
      <c r="B21" s="7"/>
      <c r="C21" s="55" t="s">
        <v>133</v>
      </c>
      <c r="D21" s="25">
        <f>IF(OR(Covg01="NA",Covg01="N/A",Covg01=""),"",1)</f>
        <v>1</v>
      </c>
      <c r="G21" s="103"/>
      <c r="I21" s="67" t="str">
        <f>IF(AND(Covg01&lt;&gt;"",$A21=""),"← ERROR! Select a Detailed Line Description.",IF(AND($A21&lt;&gt;"",Covg01=""),"← ERROR! Select a Coverage/Form/Program.",""))</f>
        <v/>
      </c>
    </row>
    <row r="22" spans="1:9" ht="18" customHeight="1" x14ac:dyDescent="0.25">
      <c r="A22" s="92" t="str">
        <f>IF(INDEX(List_DetailLine,References!Q7,1)="","",INDEX(List_DetailLine,References!Q7,1))</f>
        <v>Private Passenger Auto Liability</v>
      </c>
      <c r="B22" s="7"/>
      <c r="C22" s="55" t="s">
        <v>134</v>
      </c>
      <c r="D22" s="25">
        <f>IF(OR(Covg02="NA",Covg02="N/A",Covg02=""),"",1)</f>
        <v>1</v>
      </c>
      <c r="G22" s="103"/>
      <c r="I22" s="67" t="str">
        <f>IF(AND(Covg02&lt;&gt;"",$A22=""),"← ERROR! Select a Detailed Line Description.",IF(AND($A22&lt;&gt;"",Covg02=""),"← ERROR! Select a Coverage/Form/Program.",""))</f>
        <v/>
      </c>
    </row>
    <row r="23" spans="1:9" ht="18" customHeight="1" x14ac:dyDescent="0.25">
      <c r="A23" s="92" t="str">
        <f>IF(INDEX(List_DetailLine,References!Q8,1)="","",INDEX(List_DetailLine,References!Q8,1))</f>
        <v>Private Passenger Auto Liability</v>
      </c>
      <c r="B23" s="7"/>
      <c r="C23" s="55" t="s">
        <v>135</v>
      </c>
      <c r="D23" s="25">
        <f>IF(OR(Covg03="NA",Covg03="N/A",Covg03=""),"",1)</f>
        <v>1</v>
      </c>
      <c r="G23" s="103"/>
      <c r="I23" s="67" t="str">
        <f>IF(AND(Covg03&lt;&gt;"",$A23=""),"← ERROR! Select a Detailed Line Description.",IF(AND($A23&lt;&gt;"",Covg03=""),"← ERROR! Select a Coverage/Form/Program.",""))</f>
        <v/>
      </c>
    </row>
    <row r="24" spans="1:9" ht="18" customHeight="1" x14ac:dyDescent="0.25">
      <c r="A24" s="92" t="str">
        <f>IF(INDEX(List_DetailLine,References!Q9,1)="","",INDEX(List_DetailLine,References!Q9,1))</f>
        <v>Private Passenger Auto Physical Damage</v>
      </c>
      <c r="B24" s="7"/>
      <c r="C24" s="55" t="s">
        <v>136</v>
      </c>
      <c r="D24" s="25">
        <f>IF(OR(Covg04="NA",Covg04="N/A",Covg04=""),"",1)</f>
        <v>1</v>
      </c>
      <c r="G24" s="103"/>
      <c r="I24" s="67" t="str">
        <f>IF(AND(Covg04&lt;&gt;"",$A24=""),"← ERROR! Select a Detailed Line Description.",IF(AND($A24&lt;&gt;"",Covg04=""),"← ERROR! Select a Coverage/Form/Program.",""))</f>
        <v/>
      </c>
    </row>
    <row r="25" spans="1:9" ht="18" customHeight="1" x14ac:dyDescent="0.25">
      <c r="A25" s="92" t="str">
        <f>IF(INDEX(List_DetailLine,References!Q10,1)="","",INDEX(List_DetailLine,References!Q10,1))</f>
        <v>Private Passenger Auto Physical Damage</v>
      </c>
      <c r="B25" s="7"/>
      <c r="C25" s="55" t="s">
        <v>137</v>
      </c>
      <c r="D25" s="25">
        <f>IF(OR(Covg05="NA",Covg05="N/A",Covg05=""),"",1)</f>
        <v>1</v>
      </c>
      <c r="G25" s="103"/>
      <c r="I25" s="67" t="str">
        <f>IF(AND(Covg05&lt;&gt;"",$A25=""),"← ERROR! Select a Detailed Line Description.",IF(AND($A25&lt;&gt;"",Covg05=""),"← ERROR! Select a Coverage/Form/Program.",""))</f>
        <v/>
      </c>
    </row>
    <row r="26" spans="1:9" ht="18" customHeight="1" x14ac:dyDescent="0.25">
      <c r="A26" s="92" t="str">
        <f>IF(INDEX(List_DetailLine,References!Q11,1)="","",INDEX(List_DetailLine,References!Q11,1))</f>
        <v>Private Passenger Auto Physical Damage</v>
      </c>
      <c r="B26" s="7"/>
      <c r="C26" s="55" t="s">
        <v>138</v>
      </c>
      <c r="D26" s="25">
        <f>IF(OR(Covg06="NA",Covg06="N/A",Covg06=""),"",1)</f>
        <v>1</v>
      </c>
      <c r="G26" s="103"/>
      <c r="I26" s="67" t="str">
        <f>IF(AND(Covg06&lt;&gt;"",$A26=""),"← ERROR! Select a Detailed Line Description.",IF(AND($A26&lt;&gt;"",Covg06=""),"← ERROR! Select a Coverage/Form/Program.",""))</f>
        <v/>
      </c>
    </row>
    <row r="27" spans="1:9" ht="18" customHeight="1" x14ac:dyDescent="0.25">
      <c r="A27" s="92" t="str">
        <f>IF(INDEX(List_DetailLine,References!Q12,1)="","",INDEX(List_DetailLine,References!Q12,1))</f>
        <v>Private Passenger Auto Liability</v>
      </c>
      <c r="B27" s="7"/>
      <c r="C27" s="55" t="s">
        <v>139</v>
      </c>
      <c r="D27" s="25">
        <f>IF(OR(Covg07="NA",Covg07="N/A",Covg07=""),"",1)</f>
        <v>1</v>
      </c>
      <c r="G27" s="103"/>
      <c r="I27" s="67" t="str">
        <f>IF(AND(Covg07&lt;&gt;"",$A27=""),"← ERROR! Select a Detailed Line Description.",IF(AND($A27&lt;&gt;"",Covg07=""),"← ERROR! Select a Coverage/Form/Program.",""))</f>
        <v/>
      </c>
    </row>
    <row r="28" spans="1:9" ht="18" customHeight="1" x14ac:dyDescent="0.25">
      <c r="A28" s="92" t="str">
        <f>IF(INDEX(List_DetailLine,References!Q13,1)="","",INDEX(List_DetailLine,References!Q13,1))</f>
        <v/>
      </c>
      <c r="B28" s="7"/>
      <c r="C28" s="55"/>
      <c r="D28" s="25" t="str">
        <f>IF(OR(Covg08="NA",Covg08="N/A",Covg08=""),"",1)</f>
        <v/>
      </c>
      <c r="G28" s="103"/>
      <c r="I28" s="67" t="str">
        <f>IF(AND(Covg08&lt;&gt;"",$A28=""),"← ERROR! Select a Detailed Line Description.",IF(AND($A28&lt;&gt;"",Covg08=""),"← ERROR! Select a Coverage/Form/Program.",""))</f>
        <v/>
      </c>
    </row>
    <row r="29" spans="1:9" ht="18" customHeight="1" x14ac:dyDescent="0.25">
      <c r="A29" s="92" t="str">
        <f>IF(INDEX(List_DetailLine,References!Q14,1)="","",INDEX(List_DetailLine,References!Q14,1))</f>
        <v/>
      </c>
      <c r="B29" s="7"/>
      <c r="C29" s="55"/>
      <c r="D29" s="25" t="str">
        <f>IF(OR(Covg09="NA",Covg09="N/A",Covg09=""),"",1)</f>
        <v/>
      </c>
      <c r="G29" s="103"/>
      <c r="I29" s="67" t="str">
        <f>IF(AND(Covg09&lt;&gt;"",$A29=""),"← ERROR! Select a Detailed Line Description.",IF(AND($A29&lt;&gt;"",Covg09=""),"← ERROR! Select a Coverage/Form/Program.",""))</f>
        <v/>
      </c>
    </row>
    <row r="30" spans="1:9" ht="18" customHeight="1" x14ac:dyDescent="0.25">
      <c r="A30" s="92" t="str">
        <f>IF(INDEX(List_DetailLine,References!Q15,1)="","",INDEX(List_DetailLine,References!Q15,1))</f>
        <v/>
      </c>
      <c r="B30" s="7"/>
      <c r="C30" s="55"/>
      <c r="D30" s="25" t="str">
        <f>IF(OR(Covg10="NA",Covg10="N/A",Covg10=""),"",1)</f>
        <v/>
      </c>
      <c r="G30" s="103"/>
      <c r="I30" s="67" t="str">
        <f>IF(AND(Covg10&lt;&gt;"",$A30=""),"← ERROR! Select a Detailed Line Description.",IF(AND($A30&lt;&gt;"",Covg10=""),"← ERROR! Select a Coverage/Form/Program.",""))</f>
        <v/>
      </c>
    </row>
    <row r="31" spans="1:9" x14ac:dyDescent="0.25">
      <c r="A31" s="21"/>
      <c r="B31" s="21"/>
      <c r="D31" s="25">
        <f>SUM(D21:D30)</f>
        <v>7</v>
      </c>
      <c r="E31" s="25"/>
      <c r="F31" s="25"/>
      <c r="G31" s="7"/>
      <c r="I31" s="65"/>
    </row>
    <row r="32" spans="1:9" x14ac:dyDescent="0.25">
      <c r="A32" s="2" t="s">
        <v>131</v>
      </c>
      <c r="B32" s="2"/>
      <c r="C32" s="23">
        <v>20224</v>
      </c>
      <c r="G32" s="7"/>
      <c r="I32" s="67" t="str">
        <f>IF(OR(AND(RIGHT(FYQtr,1)&lt;&gt;"1",RIGHT(FYQtr,1)&lt;&gt;"2",RIGHT(FYQtr,1)&lt;&gt;"3",RIGHT(FYQtr,1)&lt;&gt;"4"),LEFT(FYQtr,4)&lt;"2013",LEFT(FYQtr,4)&gt;"2025",LEN(FYQtr)&lt;&gt;5),"← ERROR! Enter the most recent fiscal period in YYYYQ format.","")</f>
        <v/>
      </c>
    </row>
    <row r="33" spans="1:9" x14ac:dyDescent="0.25">
      <c r="I33" s="65"/>
    </row>
    <row r="34" spans="1:9" x14ac:dyDescent="0.25">
      <c r="I34" s="65"/>
    </row>
    <row r="35" spans="1:9" x14ac:dyDescent="0.25">
      <c r="A35" s="2" t="s">
        <v>15</v>
      </c>
      <c r="B35" s="2"/>
      <c r="C35" s="24"/>
      <c r="I35" s="65"/>
    </row>
    <row r="36" spans="1:9" ht="5.0999999999999996" customHeight="1" x14ac:dyDescent="0.25">
      <c r="I36" s="65"/>
    </row>
    <row r="37" spans="1:9" x14ac:dyDescent="0.25">
      <c r="I37" s="65"/>
    </row>
    <row r="38" spans="1:9" ht="15.75" thickBot="1" x14ac:dyDescent="0.3">
      <c r="I38" s="68"/>
    </row>
  </sheetData>
  <sheetProtection algorithmName="SHA-512" hashValue="55UDScdAp3uGOeZ9xk5e83vWFudWZtybfK6dZXqB0Yyn17bes3M8jsKQgCyBbju/GX3BF9vxVKjBYL3PkyGodQ==" saltValue="4T6NC5DG3OsdKd0m0eJ0mg==" spinCount="100000" sheet="1" objects="1" scenarios="1" formatColumns="0" formatRows="0" sort="0"/>
  <mergeCells count="1">
    <mergeCell ref="C12:F12"/>
  </mergeCells>
  <dataValidations count="1">
    <dataValidation allowBlank="1" showInputMessage="1" showErrorMessage="1" error="Enter the most recent fiscal period used in YYYYQ format." sqref="C32" xr:uid="{00000000-0002-0000-0300-000000000000}"/>
  </dataValidations>
  <printOptions horizontalCentered="1"/>
  <pageMargins left="0.5" right="0.5" top="0.5" bottom="0.5" header="0.3" footer="0.3"/>
  <pageSetup scale="82" orientation="landscape" useFirstPageNumber="1" r:id="rId1"/>
  <headerFooter>
    <oddFooter>&amp;L01/04/2021 Edition&amp;CSupplemental Quarterly Development Template&amp;RPage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2</xdr:col>
                    <xdr:colOff>0</xdr:colOff>
                    <xdr:row>33</xdr:row>
                    <xdr:rowOff>161925</xdr:rowOff>
                  </from>
                  <to>
                    <xdr:col>3</xdr:col>
                    <xdr:colOff>9525</xdr:colOff>
                    <xdr:row>35</xdr:row>
                    <xdr:rowOff>9525</xdr:rowOff>
                  </to>
                </anchor>
              </controlPr>
            </control>
          </mc:Choice>
        </mc:AlternateContent>
        <mc:AlternateContent xmlns:mc="http://schemas.openxmlformats.org/markup-compatibility/2006">
          <mc:Choice Requires="x14">
            <control shapeId="11274" r:id="rId5" name="Button 10">
              <controlPr defaultSize="0" print="0" autoFill="0" autoPict="0" macro="[0]!PrintSelection">
                <anchor moveWithCells="1" sizeWithCells="1">
                  <from>
                    <xdr:col>2</xdr:col>
                    <xdr:colOff>0</xdr:colOff>
                    <xdr:row>36</xdr:row>
                    <xdr:rowOff>0</xdr:rowOff>
                  </from>
                  <to>
                    <xdr:col>3</xdr:col>
                    <xdr:colOff>0</xdr:colOff>
                    <xdr:row>37</xdr:row>
                    <xdr:rowOff>57150</xdr:rowOff>
                  </to>
                </anchor>
              </controlPr>
            </control>
          </mc:Choice>
        </mc:AlternateContent>
        <mc:AlternateContent xmlns:mc="http://schemas.openxmlformats.org/markup-compatibility/2006">
          <mc:Choice Requires="x14">
            <control shapeId="11289" r:id="rId6" name="Drop Down 25">
              <controlPr defaultSize="0" autoLine="0" autoPict="0" macro="[0]!LineMapping">
                <anchor moveWithCells="1">
                  <from>
                    <xdr:col>2</xdr:col>
                    <xdr:colOff>0</xdr:colOff>
                    <xdr:row>14</xdr:row>
                    <xdr:rowOff>152400</xdr:rowOff>
                  </from>
                  <to>
                    <xdr:col>6</xdr:col>
                    <xdr:colOff>676275</xdr:colOff>
                    <xdr:row>15</xdr:row>
                    <xdr:rowOff>161925</xdr:rowOff>
                  </to>
                </anchor>
              </controlPr>
            </control>
          </mc:Choice>
        </mc:AlternateContent>
        <mc:AlternateContent xmlns:mc="http://schemas.openxmlformats.org/markup-compatibility/2006">
          <mc:Choice Requires="x14">
            <control shapeId="11292" r:id="rId7" name="Drop Down 28">
              <controlPr defaultSize="0" autoLine="0" autoPict="0">
                <anchor moveWithCells="1">
                  <from>
                    <xdr:col>2</xdr:col>
                    <xdr:colOff>19050</xdr:colOff>
                    <xdr:row>13</xdr:row>
                    <xdr:rowOff>19050</xdr:rowOff>
                  </from>
                  <to>
                    <xdr:col>4</xdr:col>
                    <xdr:colOff>19050</xdr:colOff>
                    <xdr:row>14</xdr:row>
                    <xdr:rowOff>28575</xdr:rowOff>
                  </to>
                </anchor>
              </controlPr>
            </control>
          </mc:Choice>
        </mc:AlternateContent>
        <mc:AlternateContent xmlns:mc="http://schemas.openxmlformats.org/markup-compatibility/2006">
          <mc:Choice Requires="x14">
            <control shapeId="11294" r:id="rId8"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9"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0"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1"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2"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3" name="Drop Down 35">
              <controlPr defaultSize="0" autoLine="0" autoPict="0">
                <anchor moveWithCells="1">
                  <from>
                    <xdr:col>0</xdr:col>
                    <xdr:colOff>0</xdr:colOff>
                    <xdr:row>25</xdr:row>
                    <xdr:rowOff>19050</xdr:rowOff>
                  </from>
                  <to>
                    <xdr:col>1</xdr:col>
                    <xdr:colOff>19050</xdr:colOff>
                    <xdr:row>26</xdr:row>
                    <xdr:rowOff>0</xdr:rowOff>
                  </to>
                </anchor>
              </controlPr>
            </control>
          </mc:Choice>
        </mc:AlternateContent>
        <mc:AlternateContent xmlns:mc="http://schemas.openxmlformats.org/markup-compatibility/2006">
          <mc:Choice Requires="x14">
            <control shapeId="11300" r:id="rId14" name="Drop Down 36">
              <controlPr defaultSize="0" autoLine="0" autoPict="0">
                <anchor moveWithCells="1">
                  <from>
                    <xdr:col>0</xdr:col>
                    <xdr:colOff>0</xdr:colOff>
                    <xdr:row>26</xdr:row>
                    <xdr:rowOff>19050</xdr:rowOff>
                  </from>
                  <to>
                    <xdr:col>1</xdr:col>
                    <xdr:colOff>19050</xdr:colOff>
                    <xdr:row>27</xdr:row>
                    <xdr:rowOff>0</xdr:rowOff>
                  </to>
                </anchor>
              </controlPr>
            </control>
          </mc:Choice>
        </mc:AlternateContent>
        <mc:AlternateContent xmlns:mc="http://schemas.openxmlformats.org/markup-compatibility/2006">
          <mc:Choice Requires="x14">
            <control shapeId="11301" r:id="rId15"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6" name="Drop Down 38">
              <controlPr defaultSize="0" autoLine="0" autoPict="0">
                <anchor moveWithCells="1">
                  <from>
                    <xdr:col>0</xdr:col>
                    <xdr:colOff>0</xdr:colOff>
                    <xdr:row>28</xdr:row>
                    <xdr:rowOff>19050</xdr:rowOff>
                  </from>
                  <to>
                    <xdr:col>1</xdr:col>
                    <xdr:colOff>19050</xdr:colOff>
                    <xdr:row>29</xdr:row>
                    <xdr:rowOff>0</xdr:rowOff>
                  </to>
                </anchor>
              </controlPr>
            </control>
          </mc:Choice>
        </mc:AlternateContent>
        <mc:AlternateContent xmlns:mc="http://schemas.openxmlformats.org/markup-compatibility/2006">
          <mc:Choice Requires="x14">
            <control shapeId="11303" r:id="rId17" name="Drop Down 39">
              <controlPr defaultSize="0" autoLine="0" autoPict="0">
                <anchor moveWithCells="1">
                  <from>
                    <xdr:col>0</xdr:col>
                    <xdr:colOff>0</xdr:colOff>
                    <xdr:row>29</xdr:row>
                    <xdr:rowOff>19050</xdr:rowOff>
                  </from>
                  <to>
                    <xdr:col>1</xdr:col>
                    <xdr:colOff>19050</xdr:colOff>
                    <xdr:row>30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0000FF"/>
  </sheetPr>
  <dimension ref="A1:CM50"/>
  <sheetViews>
    <sheetView showGridLines="0" tabSelected="1" view="pageBreakPreview" topLeftCell="B27" zoomScale="85" zoomScaleNormal="100" zoomScaleSheetLayoutView="85" workbookViewId="0">
      <selection activeCell="BI9" sqref="BI9:BL48"/>
    </sheetView>
  </sheetViews>
  <sheetFormatPr defaultRowHeight="15" x14ac:dyDescent="0.25"/>
  <cols>
    <col min="1" max="1" width="3" style="7" hidden="1" customWidth="1"/>
    <col min="2" max="2" width="12.5703125" style="7" customWidth="1"/>
    <col min="3" max="3" width="2.7109375" style="7" customWidth="1"/>
    <col min="4" max="10" width="14.7109375" style="7" customWidth="1"/>
    <col min="11" max="11" width="12.5703125" style="7" customWidth="1"/>
    <col min="12" max="12" width="2.7109375" style="7" customWidth="1"/>
    <col min="13" max="19" width="14.7109375" style="7" customWidth="1"/>
    <col min="20" max="20" width="12.5703125" style="7" customWidth="1"/>
    <col min="21" max="21" width="2.7109375" style="7" customWidth="1"/>
    <col min="22" max="28" width="14.7109375" style="7" customWidth="1"/>
    <col min="29" max="29" width="12.5703125" style="7" customWidth="1"/>
    <col min="30" max="30" width="2.7109375" style="7" customWidth="1"/>
    <col min="31" max="37" width="14.7109375" style="7" customWidth="1"/>
    <col min="38" max="38" width="12.5703125" style="7" customWidth="1"/>
    <col min="39" max="39" width="2.7109375" style="7" customWidth="1"/>
    <col min="40" max="46" width="14.7109375" style="7" customWidth="1"/>
    <col min="47" max="47" width="12.5703125" style="7" customWidth="1"/>
    <col min="48" max="48" width="2.7109375" style="7" customWidth="1"/>
    <col min="49" max="55" width="14.7109375" style="7" customWidth="1"/>
    <col min="56" max="56" width="12.5703125" style="7" customWidth="1"/>
    <col min="57" max="57" width="2.7109375" style="7" customWidth="1"/>
    <col min="58" max="64" width="14.7109375" style="7" customWidth="1"/>
    <col min="65" max="65" width="12.5703125" style="7" customWidth="1"/>
    <col min="66" max="66" width="2.7109375" style="7" customWidth="1"/>
    <col min="67" max="73" width="14.7109375" style="7" customWidth="1"/>
    <col min="74" max="74" width="12.5703125" style="7" customWidth="1"/>
    <col min="75" max="75" width="2.7109375" style="7" customWidth="1"/>
    <col min="76" max="82" width="14.7109375" style="7" customWidth="1"/>
    <col min="83" max="83" width="12.5703125" style="7" customWidth="1"/>
    <col min="84" max="84" width="2.7109375" style="7" customWidth="1"/>
    <col min="85" max="91" width="14.7109375" style="7" customWidth="1"/>
    <col min="92" max="16384" width="9.140625" style="7"/>
  </cols>
  <sheetData>
    <row r="1" spans="1:91" s="109" customFormat="1" x14ac:dyDescent="0.25">
      <c r="A1" s="7"/>
    </row>
    <row r="2" spans="1:91" ht="21" x14ac:dyDescent="0.35">
      <c r="B2" s="110" t="s">
        <v>109</v>
      </c>
      <c r="C2" s="110"/>
      <c r="D2" s="108"/>
      <c r="E2" s="108"/>
      <c r="F2" s="108"/>
      <c r="G2" s="108"/>
      <c r="H2" s="108"/>
      <c r="I2" s="108"/>
      <c r="J2" s="108"/>
      <c r="K2" s="110" t="s">
        <v>109</v>
      </c>
      <c r="L2" s="110"/>
      <c r="M2" s="108"/>
      <c r="N2" s="108"/>
      <c r="O2" s="108"/>
      <c r="P2" s="108"/>
      <c r="Q2" s="108"/>
      <c r="R2" s="108"/>
      <c r="S2" s="108"/>
      <c r="T2" s="110" t="s">
        <v>109</v>
      </c>
      <c r="U2" s="110"/>
      <c r="V2" s="108"/>
      <c r="W2" s="108"/>
      <c r="X2" s="108"/>
      <c r="Y2" s="108"/>
      <c r="Z2" s="108"/>
      <c r="AA2" s="108"/>
      <c r="AB2" s="108"/>
      <c r="AC2" s="110" t="s">
        <v>109</v>
      </c>
      <c r="AD2" s="110"/>
      <c r="AE2" s="108"/>
      <c r="AF2" s="108"/>
      <c r="AG2" s="108"/>
      <c r="AH2" s="108"/>
      <c r="AI2" s="108"/>
      <c r="AJ2" s="108"/>
      <c r="AK2" s="108"/>
      <c r="AL2" s="110" t="s">
        <v>109</v>
      </c>
      <c r="AM2" s="110"/>
      <c r="AN2" s="108"/>
      <c r="AO2" s="108"/>
      <c r="AP2" s="108"/>
      <c r="AQ2" s="108"/>
      <c r="AR2" s="108"/>
      <c r="AS2" s="108"/>
      <c r="AT2" s="108"/>
      <c r="AU2" s="110" t="s">
        <v>109</v>
      </c>
      <c r="AV2" s="110"/>
      <c r="AW2" s="108"/>
      <c r="AX2" s="108"/>
      <c r="AY2" s="108"/>
      <c r="AZ2" s="108"/>
      <c r="BA2" s="108"/>
      <c r="BB2" s="108"/>
      <c r="BC2" s="108"/>
      <c r="BD2" s="110" t="s">
        <v>109</v>
      </c>
      <c r="BE2" s="110"/>
      <c r="BF2" s="108"/>
      <c r="BG2" s="108"/>
      <c r="BH2" s="108"/>
      <c r="BI2" s="108"/>
      <c r="BJ2" s="108"/>
      <c r="BK2" s="108"/>
      <c r="BL2" s="108"/>
      <c r="BM2" s="110" t="s">
        <v>109</v>
      </c>
      <c r="BN2" s="110"/>
      <c r="BO2" s="108"/>
      <c r="BP2" s="108"/>
      <c r="BQ2" s="108"/>
      <c r="BR2" s="108"/>
      <c r="BS2" s="108"/>
      <c r="BT2" s="108"/>
      <c r="BU2" s="108"/>
      <c r="BV2" s="110" t="s">
        <v>109</v>
      </c>
      <c r="BW2" s="110"/>
      <c r="BX2" s="108"/>
      <c r="BY2" s="108"/>
      <c r="BZ2" s="108"/>
      <c r="CA2" s="108"/>
      <c r="CB2" s="108"/>
      <c r="CC2" s="108"/>
      <c r="CD2" s="108"/>
      <c r="CE2" s="110" t="s">
        <v>109</v>
      </c>
      <c r="CF2" s="110"/>
      <c r="CG2" s="108"/>
      <c r="CH2" s="108"/>
      <c r="CI2" s="108"/>
      <c r="CJ2" s="108"/>
      <c r="CK2" s="108"/>
      <c r="CL2" s="108"/>
      <c r="CM2" s="108"/>
    </row>
    <row r="3" spans="1:91" x14ac:dyDescent="0.25">
      <c r="B3" s="111" t="s">
        <v>110</v>
      </c>
      <c r="C3" s="11"/>
      <c r="D3" s="112"/>
      <c r="E3" s="112"/>
      <c r="F3" s="112"/>
      <c r="G3" s="112"/>
      <c r="H3" s="112"/>
      <c r="I3" s="112"/>
      <c r="J3" s="112"/>
      <c r="K3" s="111" t="s">
        <v>110</v>
      </c>
      <c r="L3" s="11"/>
      <c r="M3" s="112"/>
      <c r="N3" s="112"/>
      <c r="O3" s="112"/>
      <c r="P3" s="112"/>
      <c r="Q3" s="112"/>
      <c r="R3" s="112"/>
      <c r="S3" s="112"/>
      <c r="T3" s="111" t="s">
        <v>110</v>
      </c>
      <c r="U3" s="11"/>
      <c r="V3" s="112"/>
      <c r="W3" s="112"/>
      <c r="X3" s="112"/>
      <c r="Y3" s="112"/>
      <c r="Z3" s="112"/>
      <c r="AA3" s="112"/>
      <c r="AB3" s="112"/>
      <c r="AC3" s="111" t="s">
        <v>110</v>
      </c>
      <c r="AD3" s="11"/>
      <c r="AE3" s="112"/>
      <c r="AF3" s="112"/>
      <c r="AG3" s="112"/>
      <c r="AH3" s="112"/>
      <c r="AI3" s="112"/>
      <c r="AJ3" s="112"/>
      <c r="AK3" s="112"/>
      <c r="AL3" s="111" t="s">
        <v>110</v>
      </c>
      <c r="AM3" s="11"/>
      <c r="AN3" s="112"/>
      <c r="AO3" s="112"/>
      <c r="AP3" s="112"/>
      <c r="AQ3" s="112"/>
      <c r="AR3" s="112"/>
      <c r="AS3" s="112"/>
      <c r="AT3" s="112"/>
      <c r="AU3" s="111" t="s">
        <v>110</v>
      </c>
      <c r="AV3" s="11"/>
      <c r="AW3" s="112"/>
      <c r="AX3" s="112"/>
      <c r="AY3" s="112"/>
      <c r="AZ3" s="112"/>
      <c r="BA3" s="112"/>
      <c r="BB3" s="112"/>
      <c r="BC3" s="112"/>
      <c r="BD3" s="111" t="s">
        <v>110</v>
      </c>
      <c r="BE3" s="11"/>
      <c r="BF3" s="112"/>
      <c r="BG3" s="112"/>
      <c r="BH3" s="112"/>
      <c r="BI3" s="112"/>
      <c r="BJ3" s="112"/>
      <c r="BK3" s="112"/>
      <c r="BL3" s="112"/>
      <c r="BM3" s="111" t="s">
        <v>110</v>
      </c>
      <c r="BN3" s="11"/>
      <c r="BO3" s="112"/>
      <c r="BP3" s="112"/>
      <c r="BQ3" s="112"/>
      <c r="BR3" s="112"/>
      <c r="BS3" s="112"/>
      <c r="BT3" s="112"/>
      <c r="BU3" s="112"/>
      <c r="BV3" s="111" t="s">
        <v>110</v>
      </c>
      <c r="BW3" s="11"/>
      <c r="BX3" s="112"/>
      <c r="BY3" s="112"/>
      <c r="BZ3" s="112"/>
      <c r="CA3" s="112"/>
      <c r="CB3" s="112"/>
      <c r="CC3" s="112"/>
      <c r="CD3" s="112"/>
      <c r="CE3" s="111" t="s">
        <v>110</v>
      </c>
      <c r="CF3" s="11"/>
      <c r="CG3" s="112"/>
      <c r="CH3" s="112"/>
      <c r="CI3" s="112"/>
      <c r="CJ3" s="112"/>
      <c r="CK3" s="112"/>
      <c r="CL3" s="112"/>
      <c r="CM3" s="112"/>
    </row>
    <row r="4" spans="1:91" x14ac:dyDescent="0.25">
      <c r="B4" s="113" t="str">
        <f>Covg01</f>
        <v>BIPD</v>
      </c>
      <c r="C4" s="11"/>
      <c r="D4" s="112"/>
      <c r="E4" s="112"/>
      <c r="F4" s="112"/>
      <c r="G4" s="112"/>
      <c r="H4" s="112"/>
      <c r="I4" s="112"/>
      <c r="J4" s="112"/>
      <c r="K4" s="113" t="str">
        <f>Covg02</f>
        <v>MPC</v>
      </c>
      <c r="L4" s="11"/>
      <c r="M4" s="112"/>
      <c r="N4" s="112"/>
      <c r="O4" s="112"/>
      <c r="P4" s="112"/>
      <c r="Q4" s="112"/>
      <c r="R4" s="112"/>
      <c r="S4" s="112"/>
      <c r="T4" s="113" t="str">
        <f>Covg03</f>
        <v>UM</v>
      </c>
      <c r="U4" s="11"/>
      <c r="V4" s="112"/>
      <c r="W4" s="112"/>
      <c r="X4" s="112"/>
      <c r="Y4" s="112"/>
      <c r="Z4" s="112"/>
      <c r="AA4" s="112"/>
      <c r="AB4" s="112"/>
      <c r="AC4" s="113" t="str">
        <f>Covg04</f>
        <v>COMP</v>
      </c>
      <c r="AD4" s="11"/>
      <c r="AE4" s="112"/>
      <c r="AF4" s="112"/>
      <c r="AG4" s="112"/>
      <c r="AH4" s="112"/>
      <c r="AI4" s="112"/>
      <c r="AJ4" s="112"/>
      <c r="AK4" s="112"/>
      <c r="AL4" s="113" t="str">
        <f>Covg05</f>
        <v>COLL</v>
      </c>
      <c r="AM4" s="11"/>
      <c r="AN4" s="112"/>
      <c r="AO4" s="112"/>
      <c r="AP4" s="112"/>
      <c r="AQ4" s="112"/>
      <c r="AR4" s="112"/>
      <c r="AS4" s="112"/>
      <c r="AT4" s="112"/>
      <c r="AU4" s="113" t="str">
        <f>Covg06</f>
        <v>Misc. Damage</v>
      </c>
      <c r="AV4" s="11"/>
      <c r="AW4" s="112"/>
      <c r="AX4" s="112"/>
      <c r="AY4" s="112"/>
      <c r="AZ4" s="112"/>
      <c r="BA4" s="112"/>
      <c r="BB4" s="112"/>
      <c r="BC4" s="112"/>
      <c r="BD4" s="113" t="str">
        <f>Covg07</f>
        <v>Misc. Liability</v>
      </c>
      <c r="BE4" s="11"/>
      <c r="BF4" s="112"/>
      <c r="BG4" s="112"/>
      <c r="BH4" s="112"/>
      <c r="BI4" s="112"/>
      <c r="BJ4" s="112"/>
      <c r="BK4" s="112"/>
      <c r="BL4" s="112"/>
      <c r="BM4" s="113">
        <f>Covg08</f>
        <v>0</v>
      </c>
      <c r="BN4" s="11"/>
      <c r="BO4" s="112"/>
      <c r="BP4" s="112"/>
      <c r="BQ4" s="112"/>
      <c r="BR4" s="112"/>
      <c r="BS4" s="112"/>
      <c r="BT4" s="112"/>
      <c r="BU4" s="112"/>
      <c r="BV4" s="113">
        <f>Covg09</f>
        <v>0</v>
      </c>
      <c r="BW4" s="11"/>
      <c r="BX4" s="112"/>
      <c r="BY4" s="112"/>
      <c r="BZ4" s="112"/>
      <c r="CA4" s="112"/>
      <c r="CB4" s="112"/>
      <c r="CC4" s="112"/>
      <c r="CD4" s="112"/>
      <c r="CE4" s="113">
        <f>Covg10</f>
        <v>0</v>
      </c>
      <c r="CF4" s="11"/>
      <c r="CG4" s="112"/>
      <c r="CH4" s="112"/>
      <c r="CI4" s="112"/>
      <c r="CJ4" s="112"/>
      <c r="CK4" s="112"/>
      <c r="CL4" s="112"/>
      <c r="CM4" s="112"/>
    </row>
    <row r="5" spans="1:91" x14ac:dyDescent="0.25">
      <c r="B5" s="114"/>
      <c r="D5" s="115" t="str">
        <f>IF(COUNTIF(D9:D48,0)=0,"","For calendar quarters where business was not being written and there are no exposures, enter blank cells rather than cells containing zero.")</f>
        <v/>
      </c>
      <c r="K5" s="114"/>
      <c r="M5" s="115" t="str">
        <f>IF(COUNTIF(M9:M48,0)=0,"","For calendar quarters where business was not being written and there are no exposures, enter blank cells rather than cells containing zero.")</f>
        <v/>
      </c>
      <c r="T5" s="114"/>
      <c r="V5" s="115" t="str">
        <f>IF(COUNTIF(V9:V48,0)=0,"","For calendar quarters where business was not being written and there are no exposures, enter blank cells rather than cells containing zero.")</f>
        <v/>
      </c>
      <c r="AC5" s="114"/>
      <c r="AE5" s="115" t="str">
        <f>IF(COUNTIF(AE9:AE48,0)=0,"","For calendar quarters where business was not being written and there are no exposures, enter blank cells rather than cells containing zero.")</f>
        <v/>
      </c>
      <c r="AL5" s="114"/>
      <c r="AN5" s="115" t="str">
        <f>IF(COUNTIF(AN9:AN48,0)=0,"","For calendar quarters where business was not being written and there are no exposures, enter blank cells rather than cells containing zero.")</f>
        <v/>
      </c>
      <c r="AU5" s="114"/>
      <c r="AW5" s="115" t="str">
        <f>IF(COUNTIF(AW9:AW48,0)=0,"","For calendar quarters where business was not being written and there are no exposures, enter blank cells rather than cells containing zero.")</f>
        <v/>
      </c>
      <c r="BD5" s="114"/>
      <c r="BF5" s="115" t="str">
        <f>IF(COUNTIF(BF9:BF48,0)=0,"","For calendar quarters where business was not being written and there are no exposures, enter blank cells rather than cells containing zero.")</f>
        <v/>
      </c>
      <c r="BM5" s="114"/>
      <c r="BO5" s="115" t="str">
        <f>IF(COUNTIF(BO9:BO48,0)=0,"","For calendar quarters where business was not being written and there are no exposures, enter blank cells rather than cells containing zero.")</f>
        <v/>
      </c>
      <c r="BV5" s="114"/>
      <c r="BX5" s="115" t="str">
        <f>IF(COUNTIF(BX9:BX48,0)=0,"","For calendar quarters where business was not being written and there are no exposures, enter blank cells rather than cells containing zero.")</f>
        <v/>
      </c>
      <c r="CE5" s="114"/>
      <c r="CG5" s="115" t="str">
        <f>IF(COUNTIF(CG9:CG48,0)=0,"","For calendar quarters where business was not being written and there are no exposures, enter blank cells rather than cells containing zero.")</f>
        <v/>
      </c>
    </row>
    <row r="6" spans="1:91" ht="15.75" customHeight="1" x14ac:dyDescent="0.25">
      <c r="B6" s="114"/>
      <c r="H6" s="116"/>
      <c r="I6" s="116"/>
      <c r="K6" s="114"/>
      <c r="Q6" s="116"/>
      <c r="T6" s="114"/>
      <c r="Z6" s="116"/>
      <c r="AC6" s="114"/>
      <c r="AI6" s="116"/>
      <c r="AL6" s="114"/>
      <c r="AR6" s="116"/>
      <c r="AU6" s="114"/>
      <c r="BA6" s="116"/>
      <c r="BD6" s="114"/>
      <c r="BJ6" s="116"/>
      <c r="BM6" s="114"/>
      <c r="BS6" s="116"/>
      <c r="BV6" s="114"/>
      <c r="CB6" s="116"/>
      <c r="CE6" s="114"/>
      <c r="CK6" s="116"/>
    </row>
    <row r="7" spans="1:91" ht="15" customHeight="1" thickBot="1" x14ac:dyDescent="0.3">
      <c r="B7" s="117"/>
      <c r="C7" s="118"/>
      <c r="D7" s="134" t="s">
        <v>111</v>
      </c>
      <c r="E7" s="134"/>
      <c r="F7" s="134"/>
      <c r="G7" s="134"/>
      <c r="H7" s="134"/>
      <c r="I7" s="134"/>
      <c r="J7" s="134"/>
      <c r="K7" s="117"/>
      <c r="L7" s="118"/>
      <c r="M7" s="134" t="s">
        <v>111</v>
      </c>
      <c r="N7" s="134"/>
      <c r="O7" s="134"/>
      <c r="P7" s="134"/>
      <c r="Q7" s="134"/>
      <c r="R7" s="134"/>
      <c r="S7" s="134"/>
      <c r="T7" s="117"/>
      <c r="U7" s="118"/>
      <c r="V7" s="134" t="s">
        <v>111</v>
      </c>
      <c r="W7" s="134"/>
      <c r="X7" s="134"/>
      <c r="Y7" s="134"/>
      <c r="Z7" s="134"/>
      <c r="AA7" s="134"/>
      <c r="AB7" s="134"/>
      <c r="AC7" s="117"/>
      <c r="AD7" s="118"/>
      <c r="AE7" s="134" t="s">
        <v>111</v>
      </c>
      <c r="AF7" s="134"/>
      <c r="AG7" s="134"/>
      <c r="AH7" s="134"/>
      <c r="AI7" s="134"/>
      <c r="AJ7" s="134"/>
      <c r="AK7" s="134"/>
      <c r="AL7" s="117"/>
      <c r="AM7" s="118"/>
      <c r="AN7" s="134" t="s">
        <v>111</v>
      </c>
      <c r="AO7" s="134"/>
      <c r="AP7" s="134"/>
      <c r="AQ7" s="134"/>
      <c r="AR7" s="134"/>
      <c r="AS7" s="134"/>
      <c r="AT7" s="134"/>
      <c r="AU7" s="117"/>
      <c r="AV7" s="118"/>
      <c r="AW7" s="134" t="s">
        <v>111</v>
      </c>
      <c r="AX7" s="134"/>
      <c r="AY7" s="134"/>
      <c r="AZ7" s="134"/>
      <c r="BA7" s="134"/>
      <c r="BB7" s="134"/>
      <c r="BC7" s="134"/>
      <c r="BD7" s="117"/>
      <c r="BE7" s="118"/>
      <c r="BF7" s="134" t="s">
        <v>111</v>
      </c>
      <c r="BG7" s="134"/>
      <c r="BH7" s="134"/>
      <c r="BI7" s="134"/>
      <c r="BJ7" s="134"/>
      <c r="BK7" s="134"/>
      <c r="BL7" s="134"/>
      <c r="BM7" s="117"/>
      <c r="BN7" s="118"/>
      <c r="BO7" s="134" t="s">
        <v>111</v>
      </c>
      <c r="BP7" s="134"/>
      <c r="BQ7" s="134"/>
      <c r="BR7" s="134"/>
      <c r="BS7" s="134"/>
      <c r="BT7" s="134"/>
      <c r="BU7" s="134"/>
      <c r="BV7" s="117"/>
      <c r="BW7" s="118"/>
      <c r="BX7" s="134" t="s">
        <v>111</v>
      </c>
      <c r="BY7" s="134"/>
      <c r="BZ7" s="134"/>
      <c r="CA7" s="134"/>
      <c r="CB7" s="134"/>
      <c r="CC7" s="134"/>
      <c r="CD7" s="134"/>
      <c r="CE7" s="117"/>
      <c r="CF7" s="118"/>
      <c r="CG7" s="134" t="s">
        <v>111</v>
      </c>
      <c r="CH7" s="134"/>
      <c r="CI7" s="134"/>
      <c r="CJ7" s="134"/>
      <c r="CK7" s="134"/>
      <c r="CL7" s="134"/>
      <c r="CM7" s="134"/>
    </row>
    <row r="8" spans="1:91" ht="48" thickBot="1" x14ac:dyDescent="0.3">
      <c r="B8" s="119" t="s">
        <v>112</v>
      </c>
      <c r="D8" s="119" t="s">
        <v>113</v>
      </c>
      <c r="E8" s="119" t="s">
        <v>114</v>
      </c>
      <c r="F8" s="119" t="s">
        <v>115</v>
      </c>
      <c r="G8" s="119" t="s">
        <v>116</v>
      </c>
      <c r="H8" s="119" t="s">
        <v>117</v>
      </c>
      <c r="I8" s="119" t="s">
        <v>118</v>
      </c>
      <c r="J8" s="119" t="s">
        <v>119</v>
      </c>
      <c r="K8" s="119" t="s">
        <v>112</v>
      </c>
      <c r="M8" s="119" t="s">
        <v>113</v>
      </c>
      <c r="N8" s="119" t="s">
        <v>114</v>
      </c>
      <c r="O8" s="119" t="s">
        <v>115</v>
      </c>
      <c r="P8" s="119" t="s">
        <v>116</v>
      </c>
      <c r="Q8" s="119" t="s">
        <v>117</v>
      </c>
      <c r="R8" s="119" t="s">
        <v>118</v>
      </c>
      <c r="S8" s="119" t="s">
        <v>119</v>
      </c>
      <c r="T8" s="119" t="s">
        <v>112</v>
      </c>
      <c r="V8" s="119" t="s">
        <v>113</v>
      </c>
      <c r="W8" s="119" t="s">
        <v>114</v>
      </c>
      <c r="X8" s="119" t="s">
        <v>115</v>
      </c>
      <c r="Y8" s="119" t="s">
        <v>116</v>
      </c>
      <c r="Z8" s="119" t="s">
        <v>117</v>
      </c>
      <c r="AA8" s="119" t="s">
        <v>118</v>
      </c>
      <c r="AB8" s="119" t="s">
        <v>119</v>
      </c>
      <c r="AC8" s="119" t="s">
        <v>112</v>
      </c>
      <c r="AE8" s="119" t="s">
        <v>113</v>
      </c>
      <c r="AF8" s="119" t="s">
        <v>114</v>
      </c>
      <c r="AG8" s="119" t="s">
        <v>115</v>
      </c>
      <c r="AH8" s="119" t="s">
        <v>116</v>
      </c>
      <c r="AI8" s="119" t="s">
        <v>117</v>
      </c>
      <c r="AJ8" s="119" t="s">
        <v>118</v>
      </c>
      <c r="AK8" s="119" t="s">
        <v>119</v>
      </c>
      <c r="AL8" s="119" t="s">
        <v>112</v>
      </c>
      <c r="AN8" s="119" t="s">
        <v>113</v>
      </c>
      <c r="AO8" s="119" t="s">
        <v>114</v>
      </c>
      <c r="AP8" s="119" t="s">
        <v>115</v>
      </c>
      <c r="AQ8" s="119" t="s">
        <v>116</v>
      </c>
      <c r="AR8" s="119" t="s">
        <v>117</v>
      </c>
      <c r="AS8" s="119" t="s">
        <v>118</v>
      </c>
      <c r="AT8" s="119" t="s">
        <v>119</v>
      </c>
      <c r="AU8" s="119" t="s">
        <v>112</v>
      </c>
      <c r="AW8" s="119" t="s">
        <v>113</v>
      </c>
      <c r="AX8" s="119" t="s">
        <v>114</v>
      </c>
      <c r="AY8" s="119" t="s">
        <v>115</v>
      </c>
      <c r="AZ8" s="119" t="s">
        <v>116</v>
      </c>
      <c r="BA8" s="119" t="s">
        <v>117</v>
      </c>
      <c r="BB8" s="119" t="s">
        <v>118</v>
      </c>
      <c r="BC8" s="119" t="s">
        <v>119</v>
      </c>
      <c r="BD8" s="119" t="s">
        <v>112</v>
      </c>
      <c r="BF8" s="119" t="s">
        <v>113</v>
      </c>
      <c r="BG8" s="119" t="s">
        <v>114</v>
      </c>
      <c r="BH8" s="119" t="s">
        <v>115</v>
      </c>
      <c r="BI8" s="119" t="s">
        <v>116</v>
      </c>
      <c r="BJ8" s="119" t="s">
        <v>117</v>
      </c>
      <c r="BK8" s="119" t="s">
        <v>118</v>
      </c>
      <c r="BL8" s="119" t="s">
        <v>119</v>
      </c>
      <c r="BM8" s="119" t="s">
        <v>112</v>
      </c>
      <c r="BO8" s="119" t="s">
        <v>113</v>
      </c>
      <c r="BP8" s="119" t="s">
        <v>114</v>
      </c>
      <c r="BQ8" s="119" t="s">
        <v>115</v>
      </c>
      <c r="BR8" s="119" t="s">
        <v>116</v>
      </c>
      <c r="BS8" s="119" t="s">
        <v>117</v>
      </c>
      <c r="BT8" s="119" t="s">
        <v>118</v>
      </c>
      <c r="BU8" s="119" t="s">
        <v>119</v>
      </c>
      <c r="BV8" s="119" t="s">
        <v>112</v>
      </c>
      <c r="BX8" s="119" t="s">
        <v>113</v>
      </c>
      <c r="BY8" s="119" t="s">
        <v>114</v>
      </c>
      <c r="BZ8" s="119" t="s">
        <v>115</v>
      </c>
      <c r="CA8" s="119" t="s">
        <v>116</v>
      </c>
      <c r="CB8" s="119" t="s">
        <v>117</v>
      </c>
      <c r="CC8" s="119" t="s">
        <v>118</v>
      </c>
      <c r="CD8" s="119" t="s">
        <v>119</v>
      </c>
      <c r="CE8" s="119" t="s">
        <v>112</v>
      </c>
      <c r="CG8" s="119" t="s">
        <v>113</v>
      </c>
      <c r="CH8" s="119" t="s">
        <v>114</v>
      </c>
      <c r="CI8" s="119" t="s">
        <v>115</v>
      </c>
      <c r="CJ8" s="119" t="s">
        <v>116</v>
      </c>
      <c r="CK8" s="119" t="s">
        <v>117</v>
      </c>
      <c r="CL8" s="119" t="s">
        <v>118</v>
      </c>
      <c r="CM8" s="119" t="s">
        <v>119</v>
      </c>
    </row>
    <row r="9" spans="1:91" x14ac:dyDescent="0.25">
      <c r="A9" s="7">
        <v>1</v>
      </c>
      <c r="B9" s="9">
        <f t="shared" ref="B9:B46" si="0">IF(RIGHT(B10,1)="1",B10-7,B10-1)</f>
        <v>20131</v>
      </c>
      <c r="C9" s="120"/>
      <c r="D9" s="129">
        <v>912102.58333333302</v>
      </c>
      <c r="E9" s="129">
        <v>313530108.5</v>
      </c>
      <c r="F9" s="129">
        <v>483207656.62825948</v>
      </c>
      <c r="G9" s="129">
        <v>873304.87916666595</v>
      </c>
      <c r="H9" s="129">
        <v>299892027.13</v>
      </c>
      <c r="I9" s="129">
        <v>462188860.7900179</v>
      </c>
      <c r="J9" s="121">
        <v>0</v>
      </c>
      <c r="K9" s="9">
        <f t="shared" ref="K9:K46" si="1">IF(RIGHT(K10,1)="1",K10-7,K10-1)</f>
        <v>20131</v>
      </c>
      <c r="L9" s="120"/>
      <c r="M9" s="129">
        <v>545470</v>
      </c>
      <c r="N9" s="129">
        <v>21789610.390000001</v>
      </c>
      <c r="O9" s="129">
        <v>22056771.86792662</v>
      </c>
      <c r="P9" s="129">
        <v>525087.64666666603</v>
      </c>
      <c r="Q9" s="129">
        <v>20961930.09</v>
      </c>
      <c r="R9" s="129">
        <v>21218943.415286854</v>
      </c>
      <c r="S9" s="121">
        <v>0</v>
      </c>
      <c r="T9" s="9">
        <f t="shared" ref="T9:T46" si="2">IF(RIGHT(T10,1)="1",T10-7,T10-1)</f>
        <v>20131</v>
      </c>
      <c r="U9" s="120"/>
      <c r="V9" s="129">
        <v>885958.25</v>
      </c>
      <c r="W9" s="129">
        <v>52606663.619999997</v>
      </c>
      <c r="X9" s="129">
        <v>96280021.06139645</v>
      </c>
      <c r="Y9" s="129">
        <v>848299.91833333299</v>
      </c>
      <c r="Z9" s="129">
        <v>50360309.18</v>
      </c>
      <c r="AA9" s="129">
        <v>92168772.829483569</v>
      </c>
      <c r="AB9" s="121">
        <v>0</v>
      </c>
      <c r="AC9" s="9">
        <f t="shared" ref="AC9:AC46" si="3">IF(RIGHT(AC10,1)="1",AC10-7,AC10-1)</f>
        <v>20131</v>
      </c>
      <c r="AD9" s="120"/>
      <c r="AE9" s="129">
        <v>799048.5</v>
      </c>
      <c r="AF9" s="129">
        <v>83721966.969999999</v>
      </c>
      <c r="AG9" s="129">
        <v>91500284.891705334</v>
      </c>
      <c r="AH9" s="129">
        <v>767999.51583333302</v>
      </c>
      <c r="AI9" s="129">
        <v>79797407.599999994</v>
      </c>
      <c r="AJ9" s="129">
        <v>87211108.306089669</v>
      </c>
      <c r="AK9" s="121">
        <v>0</v>
      </c>
      <c r="AL9" s="9">
        <f t="shared" ref="AL9:AL46" si="4">IF(RIGHT(AL10,1)="1",AL10-7,AL10-1)</f>
        <v>20131</v>
      </c>
      <c r="AM9" s="120"/>
      <c r="AN9" s="129">
        <v>770078.75</v>
      </c>
      <c r="AO9" s="129">
        <v>227689168.46000001</v>
      </c>
      <c r="AP9" s="129">
        <v>254620463.24928331</v>
      </c>
      <c r="AQ9" s="129">
        <v>739915.21666666598</v>
      </c>
      <c r="AR9" s="129">
        <v>215377663.47999999</v>
      </c>
      <c r="AS9" s="129">
        <v>240852741.5675461</v>
      </c>
      <c r="AT9" s="121">
        <v>0</v>
      </c>
      <c r="AU9" s="9">
        <f t="shared" ref="AU9:AU46" si="5">IF(RIGHT(AU10,1)="1",AU10-7,AU10-1)</f>
        <v>20131</v>
      </c>
      <c r="AV9" s="120"/>
      <c r="AW9" s="129">
        <v>911751.41666666605</v>
      </c>
      <c r="AX9" s="129">
        <v>16537769.9</v>
      </c>
      <c r="AY9" s="129">
        <v>18075510.296735968</v>
      </c>
      <c r="AZ9" s="129">
        <v>867498.54249999893</v>
      </c>
      <c r="BA9" s="129">
        <v>15732774.52</v>
      </c>
      <c r="BB9" s="129">
        <v>17195283.98167384</v>
      </c>
      <c r="BC9" s="121">
        <v>0</v>
      </c>
      <c r="BD9" s="9">
        <f t="shared" ref="BD9:BD46" si="6">IF(RIGHT(BD10,1)="1",BD10-7,BD10-1)</f>
        <v>20131</v>
      </c>
      <c r="BE9" s="120"/>
      <c r="BF9" s="129">
        <v>61742</v>
      </c>
      <c r="BG9" s="129">
        <v>369185.58999999997</v>
      </c>
      <c r="BH9" s="129">
        <v>150804.13819149998</v>
      </c>
      <c r="BI9" s="129">
        <v>59318.650833333297</v>
      </c>
      <c r="BJ9" s="129">
        <v>354728.24</v>
      </c>
      <c r="BK9" s="129">
        <v>144902.11155775</v>
      </c>
      <c r="BL9" s="121">
        <v>0</v>
      </c>
      <c r="BM9" s="9">
        <f t="shared" ref="BM9:BM46" si="7">IF(RIGHT(BM10,1)="1",BM10-7,BM10-1)</f>
        <v>20131</v>
      </c>
      <c r="BN9" s="120"/>
      <c r="BO9" s="121"/>
      <c r="BP9" s="121"/>
      <c r="BQ9" s="121"/>
      <c r="BR9" s="121"/>
      <c r="BS9" s="121"/>
      <c r="BT9" s="121"/>
      <c r="BU9" s="121"/>
      <c r="BV9" s="9">
        <f t="shared" ref="BV9:BV46" si="8">IF(RIGHT(BV10,1)="1",BV10-7,BV10-1)</f>
        <v>20131</v>
      </c>
      <c r="BW9" s="120"/>
      <c r="BX9" s="121"/>
      <c r="BY9" s="121"/>
      <c r="BZ9" s="121"/>
      <c r="CA9" s="121"/>
      <c r="CB9" s="121"/>
      <c r="CC9" s="121"/>
      <c r="CD9" s="121"/>
      <c r="CE9" s="9">
        <f t="shared" ref="CE9:CE46" si="9">IF(RIGHT(CE10,1)="1",CE10-7,CE10-1)</f>
        <v>20131</v>
      </c>
      <c r="CF9" s="120"/>
      <c r="CG9" s="121"/>
      <c r="CH9" s="121"/>
      <c r="CI9" s="121"/>
      <c r="CJ9" s="121"/>
      <c r="CK9" s="121"/>
      <c r="CL9" s="121"/>
      <c r="CM9" s="121"/>
    </row>
    <row r="10" spans="1:91" x14ac:dyDescent="0.25">
      <c r="A10" s="7">
        <v>2</v>
      </c>
      <c r="B10" s="9">
        <f t="shared" si="0"/>
        <v>20132</v>
      </c>
      <c r="C10" s="9"/>
      <c r="D10" s="129">
        <v>866100.91666666605</v>
      </c>
      <c r="E10" s="129">
        <v>294919755.72000003</v>
      </c>
      <c r="F10" s="129">
        <v>454525674.54088682</v>
      </c>
      <c r="G10" s="129">
        <v>885187.76916666597</v>
      </c>
      <c r="H10" s="129">
        <v>303233316.88999999</v>
      </c>
      <c r="I10" s="129">
        <v>467338403.85230911</v>
      </c>
      <c r="J10" s="121">
        <v>0</v>
      </c>
      <c r="K10" s="9">
        <f t="shared" si="1"/>
        <v>20132</v>
      </c>
      <c r="L10" s="9"/>
      <c r="M10" s="129">
        <v>517499.25</v>
      </c>
      <c r="N10" s="129">
        <v>20573176.579999998</v>
      </c>
      <c r="O10" s="129">
        <v>20825423.415183458</v>
      </c>
      <c r="P10" s="129">
        <v>529804.01166666602</v>
      </c>
      <c r="Q10" s="129">
        <v>21120479.170000002</v>
      </c>
      <c r="R10" s="129">
        <v>21379436.458752863</v>
      </c>
      <c r="S10" s="121">
        <v>0</v>
      </c>
      <c r="T10" s="9">
        <f t="shared" si="2"/>
        <v>20132</v>
      </c>
      <c r="U10" s="9"/>
      <c r="V10" s="129">
        <v>841674.58333333302</v>
      </c>
      <c r="W10" s="129">
        <v>49783873.710000001</v>
      </c>
      <c r="X10" s="129">
        <v>91113788.24439317</v>
      </c>
      <c r="Y10" s="129">
        <v>859937.02333333297</v>
      </c>
      <c r="Z10" s="129">
        <v>50992294.149999999</v>
      </c>
      <c r="AA10" s="129">
        <v>93325423.375916481</v>
      </c>
      <c r="AB10" s="121">
        <v>0</v>
      </c>
      <c r="AC10" s="9">
        <f t="shared" si="3"/>
        <v>20132</v>
      </c>
      <c r="AD10" s="9"/>
      <c r="AE10" s="129">
        <v>763606.33333333302</v>
      </c>
      <c r="AF10" s="129">
        <v>81183955.989999995</v>
      </c>
      <c r="AG10" s="129">
        <v>88726476.103726298</v>
      </c>
      <c r="AH10" s="129">
        <v>777395.01666666602</v>
      </c>
      <c r="AI10" s="129">
        <v>81563932.260000005</v>
      </c>
      <c r="AJ10" s="129">
        <v>89141754.652658939</v>
      </c>
      <c r="AK10" s="121">
        <v>0</v>
      </c>
      <c r="AL10" s="9">
        <f t="shared" si="4"/>
        <v>20132</v>
      </c>
      <c r="AM10" s="9"/>
      <c r="AN10" s="129">
        <v>736558.33333333302</v>
      </c>
      <c r="AO10" s="129">
        <v>218433194.66</v>
      </c>
      <c r="AP10" s="129">
        <v>244269683.92710724</v>
      </c>
      <c r="AQ10" s="129">
        <v>749398.22833333304</v>
      </c>
      <c r="AR10" s="129">
        <v>220718550.05000001</v>
      </c>
      <c r="AS10" s="129">
        <v>246825353.36025062</v>
      </c>
      <c r="AT10" s="121">
        <v>0</v>
      </c>
      <c r="AU10" s="9">
        <f t="shared" si="5"/>
        <v>20132</v>
      </c>
      <c r="AV10" s="9"/>
      <c r="AW10" s="129">
        <v>865293.66666666605</v>
      </c>
      <c r="AX10" s="129">
        <v>15663396.34</v>
      </c>
      <c r="AY10" s="129">
        <v>17121111.181856982</v>
      </c>
      <c r="AZ10" s="129">
        <v>882933.179999999</v>
      </c>
      <c r="BA10" s="129">
        <v>15996015.02</v>
      </c>
      <c r="BB10" s="129">
        <v>17483729.686331362</v>
      </c>
      <c r="BC10" s="121">
        <v>0</v>
      </c>
      <c r="BD10" s="9">
        <f t="shared" si="6"/>
        <v>20132</v>
      </c>
      <c r="BE10" s="9"/>
      <c r="BF10" s="129">
        <v>57764.416666666657</v>
      </c>
      <c r="BG10" s="129">
        <v>346105.81</v>
      </c>
      <c r="BH10" s="129">
        <v>141381.51182575</v>
      </c>
      <c r="BI10" s="129">
        <v>59687.134166666496</v>
      </c>
      <c r="BJ10" s="129">
        <v>356901.07</v>
      </c>
      <c r="BK10" s="129">
        <v>145788.75296050002</v>
      </c>
      <c r="BL10" s="121">
        <v>0</v>
      </c>
      <c r="BM10" s="9">
        <f t="shared" si="7"/>
        <v>20132</v>
      </c>
      <c r="BN10" s="9"/>
      <c r="BO10" s="121"/>
      <c r="BP10" s="121"/>
      <c r="BQ10" s="121"/>
      <c r="BR10" s="121"/>
      <c r="BS10" s="121"/>
      <c r="BT10" s="121"/>
      <c r="BU10" s="121"/>
      <c r="BV10" s="9">
        <f t="shared" si="8"/>
        <v>20132</v>
      </c>
      <c r="BW10" s="9"/>
      <c r="BX10" s="121"/>
      <c r="BY10" s="121"/>
      <c r="BZ10" s="121"/>
      <c r="CA10" s="121"/>
      <c r="CB10" s="121"/>
      <c r="CC10" s="121"/>
      <c r="CD10" s="121"/>
      <c r="CE10" s="9">
        <f t="shared" si="9"/>
        <v>20132</v>
      </c>
      <c r="CF10" s="9"/>
      <c r="CG10" s="121"/>
      <c r="CH10" s="121"/>
      <c r="CI10" s="121"/>
      <c r="CJ10" s="121"/>
      <c r="CK10" s="121"/>
      <c r="CL10" s="121"/>
      <c r="CM10" s="121"/>
    </row>
    <row r="11" spans="1:91" x14ac:dyDescent="0.25">
      <c r="A11" s="7">
        <v>3</v>
      </c>
      <c r="B11" s="9">
        <f t="shared" si="0"/>
        <v>20133</v>
      </c>
      <c r="C11" s="9"/>
      <c r="D11" s="129">
        <v>923138.33333333302</v>
      </c>
      <c r="E11" s="129">
        <v>340353538.63999999</v>
      </c>
      <c r="F11" s="129">
        <v>487402126.39235711</v>
      </c>
      <c r="G11" s="129">
        <v>891826.02</v>
      </c>
      <c r="H11" s="129">
        <v>308581624.89999998</v>
      </c>
      <c r="I11" s="129">
        <v>470698502.47037137</v>
      </c>
      <c r="J11" s="121">
        <v>0</v>
      </c>
      <c r="K11" s="9">
        <f t="shared" si="1"/>
        <v>20133</v>
      </c>
      <c r="L11" s="9"/>
      <c r="M11" s="129">
        <v>550757.91666666605</v>
      </c>
      <c r="N11" s="129">
        <v>22567123.530000001</v>
      </c>
      <c r="O11" s="129">
        <v>22230298.791315712</v>
      </c>
      <c r="P11" s="129">
        <v>532789.76416666596</v>
      </c>
      <c r="Q11" s="129">
        <v>21333572.289999999</v>
      </c>
      <c r="R11" s="129">
        <v>21514325.027257983</v>
      </c>
      <c r="S11" s="121">
        <v>0</v>
      </c>
      <c r="T11" s="9">
        <f t="shared" si="2"/>
        <v>20133</v>
      </c>
      <c r="U11" s="9"/>
      <c r="V11" s="129">
        <v>897666.58333333302</v>
      </c>
      <c r="W11" s="129">
        <v>53371326.409999996</v>
      </c>
      <c r="X11" s="129">
        <v>97679496.801919878</v>
      </c>
      <c r="Y11" s="129">
        <v>866720.16333333298</v>
      </c>
      <c r="Z11" s="129">
        <v>51398529.700000003</v>
      </c>
      <c r="AA11" s="129">
        <v>94068910.314993501</v>
      </c>
      <c r="AB11" s="121">
        <v>0</v>
      </c>
      <c r="AC11" s="9">
        <f t="shared" si="3"/>
        <v>20133</v>
      </c>
      <c r="AD11" s="9"/>
      <c r="AE11" s="129">
        <v>812240.83333333302</v>
      </c>
      <c r="AF11" s="129">
        <v>80192365.060000002</v>
      </c>
      <c r="AG11" s="129">
        <v>95091563.699278787</v>
      </c>
      <c r="AH11" s="129">
        <v>783414.00916666596</v>
      </c>
      <c r="AI11" s="129">
        <v>82090148.390000001</v>
      </c>
      <c r="AJ11" s="129">
        <v>90683728.382207587</v>
      </c>
      <c r="AK11" s="121">
        <v>0</v>
      </c>
      <c r="AL11" s="9">
        <f t="shared" si="4"/>
        <v>20133</v>
      </c>
      <c r="AM11" s="9"/>
      <c r="AN11" s="129">
        <v>783948.75</v>
      </c>
      <c r="AO11" s="129">
        <v>234101973.38</v>
      </c>
      <c r="AP11" s="129">
        <v>264654113.78869617</v>
      </c>
      <c r="AQ11" s="129">
        <v>755624.15249999997</v>
      </c>
      <c r="AR11" s="129">
        <v>224944748.41</v>
      </c>
      <c r="AS11" s="129">
        <v>251922283.4199464</v>
      </c>
      <c r="AT11" s="121">
        <v>0</v>
      </c>
      <c r="AU11" s="9">
        <f t="shared" si="5"/>
        <v>20133</v>
      </c>
      <c r="AV11" s="9"/>
      <c r="AW11" s="129">
        <v>931549.41666666605</v>
      </c>
      <c r="AX11" s="129">
        <v>16892160.129999999</v>
      </c>
      <c r="AY11" s="129">
        <v>18464143.626044691</v>
      </c>
      <c r="AZ11" s="129">
        <v>893054.22999999905</v>
      </c>
      <c r="BA11" s="129">
        <v>16188181.890000001</v>
      </c>
      <c r="BB11" s="129">
        <v>17694242.691256922</v>
      </c>
      <c r="BC11" s="121">
        <v>0</v>
      </c>
      <c r="BD11" s="9">
        <f t="shared" si="6"/>
        <v>20133</v>
      </c>
      <c r="BE11" s="9"/>
      <c r="BF11" s="129">
        <v>61718.916666666599</v>
      </c>
      <c r="BG11" s="129">
        <v>369623.88</v>
      </c>
      <c r="BH11" s="129">
        <v>150982.04229449999</v>
      </c>
      <c r="BI11" s="129">
        <v>59723.983333333199</v>
      </c>
      <c r="BJ11" s="129">
        <v>357651.96</v>
      </c>
      <c r="BK11" s="129">
        <v>146095.09547500001</v>
      </c>
      <c r="BL11" s="121">
        <v>0</v>
      </c>
      <c r="BM11" s="9">
        <f t="shared" si="7"/>
        <v>20133</v>
      </c>
      <c r="BN11" s="9"/>
      <c r="BO11" s="121"/>
      <c r="BP11" s="121"/>
      <c r="BQ11" s="121"/>
      <c r="BR11" s="121"/>
      <c r="BS11" s="121"/>
      <c r="BT11" s="121"/>
      <c r="BU11" s="121"/>
      <c r="BV11" s="9">
        <f t="shared" si="8"/>
        <v>20133</v>
      </c>
      <c r="BW11" s="9"/>
      <c r="BX11" s="121"/>
      <c r="BY11" s="121"/>
      <c r="BZ11" s="121"/>
      <c r="CA11" s="121"/>
      <c r="CB11" s="121"/>
      <c r="CC11" s="121"/>
      <c r="CD11" s="121"/>
      <c r="CE11" s="9">
        <f t="shared" si="9"/>
        <v>20133</v>
      </c>
      <c r="CF11" s="9"/>
      <c r="CG11" s="121"/>
      <c r="CH11" s="121"/>
      <c r="CI11" s="121"/>
      <c r="CJ11" s="121"/>
      <c r="CK11" s="121"/>
      <c r="CL11" s="121"/>
      <c r="CM11" s="121"/>
    </row>
    <row r="12" spans="1:91" x14ac:dyDescent="0.25">
      <c r="A12" s="7">
        <v>4</v>
      </c>
      <c r="B12" s="9">
        <f t="shared" si="0"/>
        <v>20134</v>
      </c>
      <c r="C12" s="9"/>
      <c r="D12" s="129">
        <v>873418.25</v>
      </c>
      <c r="E12" s="129">
        <v>338148744.97000003</v>
      </c>
      <c r="F12" s="129">
        <v>457156998.56720394</v>
      </c>
      <c r="G12" s="129">
        <v>897317.34249999898</v>
      </c>
      <c r="H12" s="129">
        <v>328540276.49000001</v>
      </c>
      <c r="I12" s="129">
        <v>471848803.51211423</v>
      </c>
      <c r="J12" s="121">
        <v>0</v>
      </c>
      <c r="K12" s="9">
        <f t="shared" si="1"/>
        <v>20134</v>
      </c>
      <c r="L12" s="9"/>
      <c r="M12" s="129">
        <v>520176.5</v>
      </c>
      <c r="N12" s="129">
        <v>21579906.440000001</v>
      </c>
      <c r="O12" s="129">
        <v>20790603.931526605</v>
      </c>
      <c r="P12" s="129">
        <v>535277.73250000004</v>
      </c>
      <c r="Q12" s="129">
        <v>21822004.82</v>
      </c>
      <c r="R12" s="129">
        <v>21519891.62473397</v>
      </c>
      <c r="S12" s="121">
        <v>0</v>
      </c>
      <c r="T12" s="9">
        <f t="shared" si="2"/>
        <v>20134</v>
      </c>
      <c r="U12" s="9"/>
      <c r="V12" s="129">
        <v>849434.33333333302</v>
      </c>
      <c r="W12" s="129">
        <v>50418458.770000003</v>
      </c>
      <c r="X12" s="129">
        <v>92275197.441208676</v>
      </c>
      <c r="Y12" s="129">
        <v>872355.313333333</v>
      </c>
      <c r="Z12" s="129">
        <v>51753812.140000001</v>
      </c>
      <c r="AA12" s="129">
        <v>94719143.545008481</v>
      </c>
      <c r="AB12" s="121">
        <v>0</v>
      </c>
      <c r="AC12" s="9">
        <f t="shared" si="3"/>
        <v>20134</v>
      </c>
      <c r="AD12" s="9"/>
      <c r="AE12" s="129">
        <v>766647.83333333302</v>
      </c>
      <c r="AF12" s="129">
        <v>70331819.099999994</v>
      </c>
      <c r="AG12" s="129">
        <v>89783936.341961965</v>
      </c>
      <c r="AH12" s="129">
        <v>788863.79583333305</v>
      </c>
      <c r="AI12" s="129">
        <v>77845944.140000001</v>
      </c>
      <c r="AJ12" s="129">
        <v>91990079.988888532</v>
      </c>
      <c r="AK12" s="121">
        <v>0</v>
      </c>
      <c r="AL12" s="9">
        <f t="shared" si="4"/>
        <v>20134</v>
      </c>
      <c r="AM12" s="9"/>
      <c r="AN12" s="129">
        <v>739833.83333333302</v>
      </c>
      <c r="AO12" s="129">
        <v>220935090.74000001</v>
      </c>
      <c r="AP12" s="129">
        <v>252074968.41218966</v>
      </c>
      <c r="AQ12" s="129">
        <v>761160.46749999898</v>
      </c>
      <c r="AR12" s="129">
        <v>226907730.63999999</v>
      </c>
      <c r="AS12" s="129">
        <v>256406539.40545517</v>
      </c>
      <c r="AT12" s="121">
        <v>0</v>
      </c>
      <c r="AU12" s="9">
        <f t="shared" si="5"/>
        <v>20134</v>
      </c>
      <c r="AV12" s="9"/>
      <c r="AW12" s="129">
        <v>879643.91666666605</v>
      </c>
      <c r="AX12" s="129">
        <v>15974280.18</v>
      </c>
      <c r="AY12" s="129">
        <v>17459914.570064574</v>
      </c>
      <c r="AZ12" s="129">
        <v>902446.47833333293</v>
      </c>
      <c r="BA12" s="129">
        <v>16369244.59</v>
      </c>
      <c r="BB12" s="129">
        <v>17892088.255305622</v>
      </c>
      <c r="BC12" s="121">
        <v>0</v>
      </c>
      <c r="BD12" s="9">
        <f t="shared" si="6"/>
        <v>20134</v>
      </c>
      <c r="BE12" s="9"/>
      <c r="BF12" s="129">
        <v>57682.416666666599</v>
      </c>
      <c r="BG12" s="129">
        <v>345441.64</v>
      </c>
      <c r="BH12" s="129">
        <v>141109.07705349999</v>
      </c>
      <c r="BI12" s="129">
        <v>59721.396666666602</v>
      </c>
      <c r="BJ12" s="129">
        <v>357639.03</v>
      </c>
      <c r="BK12" s="129">
        <v>146089.185665</v>
      </c>
      <c r="BL12" s="121">
        <v>0</v>
      </c>
      <c r="BM12" s="9">
        <f t="shared" si="7"/>
        <v>20134</v>
      </c>
      <c r="BN12" s="9"/>
      <c r="BO12" s="121"/>
      <c r="BP12" s="121"/>
      <c r="BQ12" s="121"/>
      <c r="BR12" s="121"/>
      <c r="BS12" s="121"/>
      <c r="BT12" s="121"/>
      <c r="BU12" s="121"/>
      <c r="BV12" s="9">
        <f t="shared" si="8"/>
        <v>20134</v>
      </c>
      <c r="BW12" s="9"/>
      <c r="BX12" s="121"/>
      <c r="BY12" s="121"/>
      <c r="BZ12" s="121"/>
      <c r="CA12" s="121"/>
      <c r="CB12" s="121"/>
      <c r="CC12" s="121"/>
      <c r="CD12" s="121"/>
      <c r="CE12" s="9">
        <f t="shared" si="9"/>
        <v>20134</v>
      </c>
      <c r="CF12" s="9"/>
      <c r="CG12" s="121"/>
      <c r="CH12" s="121"/>
      <c r="CI12" s="121"/>
      <c r="CJ12" s="121"/>
      <c r="CK12" s="121"/>
      <c r="CL12" s="121"/>
      <c r="CM12" s="121"/>
    </row>
    <row r="13" spans="1:91" x14ac:dyDescent="0.25">
      <c r="A13" s="7">
        <v>5</v>
      </c>
      <c r="B13" s="9">
        <f t="shared" si="0"/>
        <v>20141</v>
      </c>
      <c r="C13" s="9"/>
      <c r="D13" s="129">
        <v>944727.75</v>
      </c>
      <c r="E13" s="129">
        <v>366051304.10000002</v>
      </c>
      <c r="F13" s="129">
        <v>494879599.56442606</v>
      </c>
      <c r="G13" s="129">
        <v>902857.04333333299</v>
      </c>
      <c r="H13" s="129">
        <v>346962122.55000001</v>
      </c>
      <c r="I13" s="129">
        <v>472079655.35795116</v>
      </c>
      <c r="J13" s="121">
        <v>0</v>
      </c>
      <c r="K13" s="9">
        <f t="shared" si="1"/>
        <v>20141</v>
      </c>
      <c r="L13" s="9"/>
      <c r="M13" s="129">
        <v>559030.75</v>
      </c>
      <c r="N13" s="129">
        <v>23194916.120000001</v>
      </c>
      <c r="O13" s="129">
        <v>22346543.328011844</v>
      </c>
      <c r="P13" s="129">
        <v>537367.20666666597</v>
      </c>
      <c r="Q13" s="129">
        <v>22249960.129999999</v>
      </c>
      <c r="R13" s="129">
        <v>21489941.202542059</v>
      </c>
      <c r="S13" s="121">
        <v>0</v>
      </c>
      <c r="T13" s="9">
        <f t="shared" si="2"/>
        <v>20141</v>
      </c>
      <c r="U13" s="9"/>
      <c r="V13" s="129">
        <v>918973.58333333302</v>
      </c>
      <c r="W13" s="129">
        <v>54462929.880000003</v>
      </c>
      <c r="X13" s="129">
        <v>99677335.057572663</v>
      </c>
      <c r="Y13" s="129">
        <v>878071.61333333305</v>
      </c>
      <c r="Z13" s="129">
        <v>52075154.359999999</v>
      </c>
      <c r="AA13" s="129">
        <v>95307259.832576156</v>
      </c>
      <c r="AB13" s="121">
        <v>0</v>
      </c>
      <c r="AC13" s="9">
        <f t="shared" si="3"/>
        <v>20141</v>
      </c>
      <c r="AD13" s="9"/>
      <c r="AE13" s="129">
        <v>828546.08333333302</v>
      </c>
      <c r="AF13" s="129">
        <v>76947345.989999995</v>
      </c>
      <c r="AG13" s="129">
        <v>98229161.458573475</v>
      </c>
      <c r="AH13" s="129">
        <v>794292.28749999998</v>
      </c>
      <c r="AI13" s="129">
        <v>73897699.980000004</v>
      </c>
      <c r="AJ13" s="129">
        <v>93520628.926577523</v>
      </c>
      <c r="AK13" s="121">
        <v>0</v>
      </c>
      <c r="AL13" s="9">
        <f t="shared" si="4"/>
        <v>20141</v>
      </c>
      <c r="AM13" s="9"/>
      <c r="AN13" s="129">
        <v>799718.33333333302</v>
      </c>
      <c r="AO13" s="129">
        <v>242393727.19999999</v>
      </c>
      <c r="AP13" s="129">
        <v>276558109.99782747</v>
      </c>
      <c r="AQ13" s="129">
        <v>766478.47750000004</v>
      </c>
      <c r="AR13" s="129">
        <v>228905938.25</v>
      </c>
      <c r="AS13" s="129">
        <v>260894932.79594016</v>
      </c>
      <c r="AT13" s="121">
        <v>0</v>
      </c>
      <c r="AU13" s="9">
        <f t="shared" si="5"/>
        <v>20141</v>
      </c>
      <c r="AV13" s="9"/>
      <c r="AW13" s="129">
        <v>959369.24999999907</v>
      </c>
      <c r="AX13" s="129">
        <v>17419549.280000001</v>
      </c>
      <c r="AY13" s="129">
        <v>19040285.298578087</v>
      </c>
      <c r="AZ13" s="129">
        <v>911451.51333333296</v>
      </c>
      <c r="BA13" s="129">
        <v>16541020.040000001</v>
      </c>
      <c r="BB13" s="129">
        <v>18079850.844195977</v>
      </c>
      <c r="BC13" s="121">
        <v>0</v>
      </c>
      <c r="BD13" s="9">
        <f t="shared" si="6"/>
        <v>20141</v>
      </c>
      <c r="BE13" s="9"/>
      <c r="BF13" s="129">
        <v>62292.166666666599</v>
      </c>
      <c r="BG13" s="129">
        <v>373031.63</v>
      </c>
      <c r="BH13" s="129">
        <v>152373.75869125</v>
      </c>
      <c r="BI13" s="129">
        <v>59796.804166666603</v>
      </c>
      <c r="BJ13" s="129">
        <v>358067.24</v>
      </c>
      <c r="BK13" s="129">
        <v>146263.97590849997</v>
      </c>
      <c r="BL13" s="121">
        <v>0</v>
      </c>
      <c r="BM13" s="9">
        <f t="shared" si="7"/>
        <v>20141</v>
      </c>
      <c r="BN13" s="9"/>
      <c r="BO13" s="121"/>
      <c r="BP13" s="121"/>
      <c r="BQ13" s="121"/>
      <c r="BR13" s="121"/>
      <c r="BS13" s="121"/>
      <c r="BT13" s="121"/>
      <c r="BU13" s="121"/>
      <c r="BV13" s="9">
        <f t="shared" si="8"/>
        <v>20141</v>
      </c>
      <c r="BW13" s="9"/>
      <c r="BX13" s="121"/>
      <c r="BY13" s="121"/>
      <c r="BZ13" s="121"/>
      <c r="CA13" s="121"/>
      <c r="CB13" s="121"/>
      <c r="CC13" s="121"/>
      <c r="CD13" s="121"/>
      <c r="CE13" s="9">
        <f t="shared" si="9"/>
        <v>20141</v>
      </c>
      <c r="CF13" s="9"/>
      <c r="CG13" s="121"/>
      <c r="CH13" s="121"/>
      <c r="CI13" s="121"/>
      <c r="CJ13" s="121"/>
      <c r="CK13" s="121"/>
      <c r="CL13" s="121"/>
      <c r="CM13" s="121"/>
    </row>
    <row r="14" spans="1:91" x14ac:dyDescent="0.25">
      <c r="A14" s="7">
        <v>6</v>
      </c>
      <c r="B14" s="9">
        <f t="shared" si="0"/>
        <v>20142</v>
      </c>
      <c r="C14" s="9"/>
      <c r="D14" s="129">
        <v>886136.41666666605</v>
      </c>
      <c r="E14" s="129">
        <v>346819135.13999999</v>
      </c>
      <c r="F14" s="129">
        <v>459957390.5944764</v>
      </c>
      <c r="G14" s="129">
        <v>910634.52249999996</v>
      </c>
      <c r="H14" s="129">
        <v>352469415.42000002</v>
      </c>
      <c r="I14" s="129">
        <v>475620792.17199868</v>
      </c>
      <c r="J14" s="121">
        <v>0</v>
      </c>
      <c r="K14" s="9">
        <f t="shared" si="1"/>
        <v>20142</v>
      </c>
      <c r="L14" s="9"/>
      <c r="M14" s="129">
        <v>524691.83333333302</v>
      </c>
      <c r="N14" s="129">
        <v>23278309.960000001</v>
      </c>
      <c r="O14" s="129">
        <v>20836343.340171531</v>
      </c>
      <c r="P14" s="129">
        <v>539861.38583333301</v>
      </c>
      <c r="Q14" s="129">
        <v>22535360.460000001</v>
      </c>
      <c r="R14" s="129">
        <v>21551170.200382546</v>
      </c>
      <c r="S14" s="121">
        <v>0</v>
      </c>
      <c r="T14" s="9">
        <f t="shared" si="2"/>
        <v>20142</v>
      </c>
      <c r="U14" s="9"/>
      <c r="V14" s="129">
        <v>862713.5</v>
      </c>
      <c r="W14" s="129">
        <v>50630937.729999997</v>
      </c>
      <c r="X14" s="129">
        <v>93415240.027094305</v>
      </c>
      <c r="Y14" s="129">
        <v>886017.55166666606</v>
      </c>
      <c r="Z14" s="129">
        <v>52465720.490000002</v>
      </c>
      <c r="AA14" s="129">
        <v>96097195.569017559</v>
      </c>
      <c r="AB14" s="121">
        <v>0</v>
      </c>
      <c r="AC14" s="9">
        <f t="shared" si="3"/>
        <v>20142</v>
      </c>
      <c r="AD14" s="9"/>
      <c r="AE14" s="129">
        <v>783309.91666666605</v>
      </c>
      <c r="AF14" s="129">
        <v>73675747.549999997</v>
      </c>
      <c r="AG14" s="129">
        <v>94052716.290053397</v>
      </c>
      <c r="AH14" s="129">
        <v>801113.07833333302</v>
      </c>
      <c r="AI14" s="129">
        <v>74503071.549999997</v>
      </c>
      <c r="AJ14" s="129">
        <v>95108858.535493746</v>
      </c>
      <c r="AK14" s="121">
        <v>0</v>
      </c>
      <c r="AL14" s="9">
        <f t="shared" si="4"/>
        <v>20142</v>
      </c>
      <c r="AM14" s="9"/>
      <c r="AN14" s="129">
        <v>756204.16666666605</v>
      </c>
      <c r="AO14" s="129">
        <v>234501348.50999999</v>
      </c>
      <c r="AP14" s="129">
        <v>263347739.00341418</v>
      </c>
      <c r="AQ14" s="129">
        <v>773292.25583333301</v>
      </c>
      <c r="AR14" s="129">
        <v>233971676.91</v>
      </c>
      <c r="AS14" s="129">
        <v>266535180.80885834</v>
      </c>
      <c r="AT14" s="121">
        <v>0</v>
      </c>
      <c r="AU14" s="9">
        <f t="shared" si="5"/>
        <v>20142</v>
      </c>
      <c r="AV14" s="9"/>
      <c r="AW14" s="129">
        <v>897987.41666666605</v>
      </c>
      <c r="AX14" s="129">
        <v>16312354.200000001</v>
      </c>
      <c r="AY14" s="129">
        <v>17830758.774650436</v>
      </c>
      <c r="AZ14" s="129">
        <v>922658.29666666593</v>
      </c>
      <c r="BA14" s="129">
        <v>16751517.009999998</v>
      </c>
      <c r="BB14" s="129">
        <v>18310328.755655803</v>
      </c>
      <c r="BC14" s="121">
        <v>0</v>
      </c>
      <c r="BD14" s="9">
        <f t="shared" si="6"/>
        <v>20142</v>
      </c>
      <c r="BE14" s="9"/>
      <c r="BF14" s="129">
        <v>57770.916666666628</v>
      </c>
      <c r="BG14" s="129">
        <v>346669.87</v>
      </c>
      <c r="BH14" s="129">
        <v>141611.83651075</v>
      </c>
      <c r="BI14" s="129">
        <v>59955.882499999898</v>
      </c>
      <c r="BJ14" s="129">
        <v>359322.72000000003</v>
      </c>
      <c r="BK14" s="129">
        <v>146776.842641</v>
      </c>
      <c r="BL14" s="121">
        <v>0</v>
      </c>
      <c r="BM14" s="9">
        <f t="shared" si="7"/>
        <v>20142</v>
      </c>
      <c r="BN14" s="9"/>
      <c r="BO14" s="121"/>
      <c r="BP14" s="121"/>
      <c r="BQ14" s="121"/>
      <c r="BR14" s="121"/>
      <c r="BS14" s="121"/>
      <c r="BT14" s="121"/>
      <c r="BU14" s="121"/>
      <c r="BV14" s="9">
        <f t="shared" si="8"/>
        <v>20142</v>
      </c>
      <c r="BW14" s="9"/>
      <c r="BX14" s="121"/>
      <c r="BY14" s="121"/>
      <c r="BZ14" s="121"/>
      <c r="CA14" s="121"/>
      <c r="CB14" s="121"/>
      <c r="CC14" s="121"/>
      <c r="CD14" s="121"/>
      <c r="CE14" s="9">
        <f t="shared" si="9"/>
        <v>20142</v>
      </c>
      <c r="CF14" s="9"/>
      <c r="CG14" s="121"/>
      <c r="CH14" s="121"/>
      <c r="CI14" s="121"/>
      <c r="CJ14" s="121"/>
      <c r="CK14" s="121"/>
      <c r="CL14" s="121"/>
      <c r="CM14" s="121"/>
    </row>
    <row r="15" spans="1:91" x14ac:dyDescent="0.25">
      <c r="B15" s="9">
        <f t="shared" si="0"/>
        <v>20143</v>
      </c>
      <c r="C15" s="9"/>
      <c r="D15" s="129">
        <v>942398.16666666605</v>
      </c>
      <c r="E15" s="129">
        <v>380188514.73000002</v>
      </c>
      <c r="F15" s="129">
        <v>489574198.7698254</v>
      </c>
      <c r="G15" s="129">
        <v>913180.97583333298</v>
      </c>
      <c r="H15" s="129">
        <v>359218312.12</v>
      </c>
      <c r="I15" s="129">
        <v>475109956.8628059</v>
      </c>
      <c r="J15" s="121">
        <v>0</v>
      </c>
      <c r="K15" s="9">
        <f t="shared" si="1"/>
        <v>20143</v>
      </c>
      <c r="L15" s="9"/>
      <c r="M15" s="129">
        <v>555971</v>
      </c>
      <c r="N15" s="129">
        <v>27425873.289999999</v>
      </c>
      <c r="O15" s="129">
        <v>22087241.479745943</v>
      </c>
      <c r="P15" s="129">
        <v>540060.52583333303</v>
      </c>
      <c r="Q15" s="129">
        <v>24251938.030000001</v>
      </c>
      <c r="R15" s="129">
        <v>21490105.406877801</v>
      </c>
      <c r="S15" s="121">
        <v>0</v>
      </c>
      <c r="T15" s="9">
        <f t="shared" si="2"/>
        <v>20143</v>
      </c>
      <c r="U15" s="9"/>
      <c r="V15" s="129">
        <v>918032.08333333302</v>
      </c>
      <c r="W15" s="129">
        <v>52955585.390000001</v>
      </c>
      <c r="X15" s="129">
        <v>98964936.303098738</v>
      </c>
      <c r="Y15" s="129">
        <v>888997.69749999896</v>
      </c>
      <c r="Z15" s="129">
        <v>52089731.469999999</v>
      </c>
      <c r="AA15" s="129">
        <v>96218173.2022724</v>
      </c>
      <c r="AB15" s="121">
        <v>0</v>
      </c>
      <c r="AC15" s="9">
        <f t="shared" si="3"/>
        <v>20143</v>
      </c>
      <c r="AD15" s="9"/>
      <c r="AE15" s="129">
        <v>831956.91666666605</v>
      </c>
      <c r="AF15" s="129">
        <v>77999842.370000005</v>
      </c>
      <c r="AG15" s="129">
        <v>99572753.437158689</v>
      </c>
      <c r="AH15" s="129">
        <v>804222.81166666595</v>
      </c>
      <c r="AI15" s="129">
        <v>75143235.25</v>
      </c>
      <c r="AJ15" s="129">
        <v>95926076.369821519</v>
      </c>
      <c r="AK15" s="121">
        <v>0</v>
      </c>
      <c r="AL15" s="9">
        <f t="shared" si="4"/>
        <v>20143</v>
      </c>
      <c r="AM15" s="9"/>
      <c r="AN15" s="129">
        <v>803548</v>
      </c>
      <c r="AO15" s="129">
        <v>260244023.40000001</v>
      </c>
      <c r="AP15" s="129">
        <v>285212084.6856088</v>
      </c>
      <c r="AQ15" s="129">
        <v>776447.43083333306</v>
      </c>
      <c r="AR15" s="129">
        <v>242332853.5</v>
      </c>
      <c r="AS15" s="129">
        <v>271532874.70200628</v>
      </c>
      <c r="AT15" s="121">
        <v>0</v>
      </c>
      <c r="AU15" s="9">
        <f t="shared" si="5"/>
        <v>20143</v>
      </c>
      <c r="AV15" s="9"/>
      <c r="AW15" s="129">
        <v>964286</v>
      </c>
      <c r="AX15" s="129">
        <v>17545969.879999999</v>
      </c>
      <c r="AY15" s="129">
        <v>19178371.342813283</v>
      </c>
      <c r="AZ15" s="129">
        <v>927974.70750000002</v>
      </c>
      <c r="BA15" s="129">
        <v>16866747.98</v>
      </c>
      <c r="BB15" s="129">
        <v>18436141.758897539</v>
      </c>
      <c r="BC15" s="121">
        <v>0</v>
      </c>
      <c r="BD15" s="9">
        <f t="shared" si="6"/>
        <v>20143</v>
      </c>
      <c r="BE15" s="9"/>
      <c r="BF15" s="129">
        <v>61372.499999999898</v>
      </c>
      <c r="BG15" s="129">
        <v>367763.58</v>
      </c>
      <c r="BH15" s="129">
        <v>150222.25223150002</v>
      </c>
      <c r="BI15" s="129">
        <v>59707.400833333304</v>
      </c>
      <c r="BJ15" s="129">
        <v>357907.1</v>
      </c>
      <c r="BK15" s="129">
        <v>146198.82827699999</v>
      </c>
      <c r="BL15" s="121">
        <v>0</v>
      </c>
      <c r="BM15" s="9">
        <f t="shared" si="7"/>
        <v>20143</v>
      </c>
      <c r="BN15" s="9"/>
      <c r="BO15" s="121"/>
      <c r="BP15" s="121"/>
      <c r="BQ15" s="121"/>
      <c r="BR15" s="121"/>
      <c r="BS15" s="121"/>
      <c r="BT15" s="121"/>
      <c r="BU15" s="121"/>
      <c r="BV15" s="9">
        <f t="shared" si="8"/>
        <v>20143</v>
      </c>
      <c r="BW15" s="9"/>
      <c r="BX15" s="121"/>
      <c r="BY15" s="121"/>
      <c r="BZ15" s="121"/>
      <c r="CA15" s="121"/>
      <c r="CB15" s="121"/>
      <c r="CC15" s="121"/>
      <c r="CD15" s="121"/>
      <c r="CE15" s="9">
        <f t="shared" si="9"/>
        <v>20143</v>
      </c>
      <c r="CF15" s="9"/>
      <c r="CG15" s="121"/>
      <c r="CH15" s="121"/>
      <c r="CI15" s="121"/>
      <c r="CJ15" s="121"/>
      <c r="CK15" s="121"/>
      <c r="CL15" s="121"/>
      <c r="CM15" s="121"/>
    </row>
    <row r="16" spans="1:91" x14ac:dyDescent="0.25">
      <c r="B16" s="9">
        <f t="shared" si="0"/>
        <v>20144</v>
      </c>
      <c r="C16" s="9"/>
      <c r="D16" s="129">
        <v>890039.66666666605</v>
      </c>
      <c r="E16" s="129">
        <v>356176500.17000002</v>
      </c>
      <c r="F16" s="129">
        <v>458653583.51291806</v>
      </c>
      <c r="G16" s="129">
        <v>915636.76249999995</v>
      </c>
      <c r="H16" s="129">
        <v>366868461.26999998</v>
      </c>
      <c r="I16" s="129">
        <v>474526501.07316768</v>
      </c>
      <c r="J16" s="121">
        <v>0</v>
      </c>
      <c r="K16" s="9">
        <f t="shared" si="1"/>
        <v>20144</v>
      </c>
      <c r="L16" s="9"/>
      <c r="M16" s="129">
        <v>523253.41666666599</v>
      </c>
      <c r="N16" s="129">
        <v>25551248.899999999</v>
      </c>
      <c r="O16" s="129">
        <v>20577525.411712892</v>
      </c>
      <c r="P16" s="129">
        <v>539991.09499999997</v>
      </c>
      <c r="Q16" s="129">
        <v>26131014.030000001</v>
      </c>
      <c r="R16" s="129">
        <v>21371839.567385193</v>
      </c>
      <c r="S16" s="121">
        <v>0</v>
      </c>
      <c r="T16" s="9">
        <f t="shared" si="2"/>
        <v>20144</v>
      </c>
      <c r="U16" s="9"/>
      <c r="V16" s="129">
        <v>867205.58333333302</v>
      </c>
      <c r="W16" s="129">
        <v>50000786.270000003</v>
      </c>
      <c r="X16" s="129">
        <v>93442921.872596905</v>
      </c>
      <c r="Y16" s="129">
        <v>891743.28083333303</v>
      </c>
      <c r="Z16" s="129">
        <v>51626203.960000001</v>
      </c>
      <c r="AA16" s="129">
        <v>96290734.065908387</v>
      </c>
      <c r="AB16" s="121">
        <v>0</v>
      </c>
      <c r="AC16" s="9">
        <f t="shared" si="3"/>
        <v>20144</v>
      </c>
      <c r="AD16" s="9"/>
      <c r="AE16" s="129">
        <v>782864</v>
      </c>
      <c r="AF16" s="129">
        <v>73773396</v>
      </c>
      <c r="AG16" s="129">
        <v>94177371.99114123</v>
      </c>
      <c r="AH16" s="129">
        <v>806689.0675</v>
      </c>
      <c r="AI16" s="129">
        <v>75546516.239999995</v>
      </c>
      <c r="AJ16" s="129">
        <v>96440895.340771258</v>
      </c>
      <c r="AK16" s="121">
        <v>0</v>
      </c>
      <c r="AL16" s="9">
        <f t="shared" si="4"/>
        <v>20144</v>
      </c>
      <c r="AM16" s="9"/>
      <c r="AN16" s="129">
        <v>756111.66666666605</v>
      </c>
      <c r="AO16" s="129">
        <v>248231502.28</v>
      </c>
      <c r="AP16" s="129">
        <v>272047070.76442802</v>
      </c>
      <c r="AQ16" s="129">
        <v>779020.29166666605</v>
      </c>
      <c r="AR16" s="129">
        <v>251153868.13</v>
      </c>
      <c r="AS16" s="129">
        <v>276267240.31741232</v>
      </c>
      <c r="AT16" s="121">
        <v>0</v>
      </c>
      <c r="AU16" s="9">
        <f t="shared" si="5"/>
        <v>20144</v>
      </c>
      <c r="AV16" s="9"/>
      <c r="AW16" s="129">
        <v>909478.83333333302</v>
      </c>
      <c r="AX16" s="129">
        <v>16568819.539999999</v>
      </c>
      <c r="AY16" s="129">
        <v>18109581.708085734</v>
      </c>
      <c r="AZ16" s="129">
        <v>934026.13499999896</v>
      </c>
      <c r="BA16" s="129">
        <v>16994144.579999998</v>
      </c>
      <c r="BB16" s="129">
        <v>18575187.305322029</v>
      </c>
      <c r="BC16" s="121">
        <v>0</v>
      </c>
      <c r="BD16" s="9">
        <f t="shared" si="6"/>
        <v>20144</v>
      </c>
      <c r="BE16" s="9"/>
      <c r="BF16" s="129">
        <v>57375.083333333256</v>
      </c>
      <c r="BG16" s="129">
        <v>344204.92</v>
      </c>
      <c r="BH16" s="129">
        <v>140604.347885</v>
      </c>
      <c r="BI16" s="129">
        <v>59504.835833333294</v>
      </c>
      <c r="BJ16" s="129">
        <v>356861.89</v>
      </c>
      <c r="BK16" s="129">
        <v>145771.81330125002</v>
      </c>
      <c r="BL16" s="121">
        <v>0</v>
      </c>
      <c r="BM16" s="9">
        <f t="shared" si="7"/>
        <v>20144</v>
      </c>
      <c r="BN16" s="9"/>
      <c r="BO16" s="121"/>
      <c r="BP16" s="121"/>
      <c r="BQ16" s="121"/>
      <c r="BR16" s="121"/>
      <c r="BS16" s="121"/>
      <c r="BT16" s="121"/>
      <c r="BU16" s="121"/>
      <c r="BV16" s="9">
        <f t="shared" si="8"/>
        <v>20144</v>
      </c>
      <c r="BW16" s="9"/>
      <c r="BX16" s="121"/>
      <c r="BY16" s="121"/>
      <c r="BZ16" s="121"/>
      <c r="CA16" s="121"/>
      <c r="CB16" s="121"/>
      <c r="CC16" s="121"/>
      <c r="CD16" s="121"/>
      <c r="CE16" s="9">
        <f t="shared" si="9"/>
        <v>20144</v>
      </c>
      <c r="CF16" s="9"/>
      <c r="CG16" s="121"/>
      <c r="CH16" s="121"/>
      <c r="CI16" s="121"/>
      <c r="CJ16" s="121"/>
      <c r="CK16" s="121"/>
      <c r="CL16" s="121"/>
      <c r="CM16" s="121"/>
    </row>
    <row r="17" spans="1:91" x14ac:dyDescent="0.25">
      <c r="B17" s="9">
        <f t="shared" si="0"/>
        <v>20151</v>
      </c>
      <c r="C17" s="9"/>
      <c r="D17" s="129">
        <v>958084.91666666605</v>
      </c>
      <c r="E17" s="129">
        <v>384822241.95999998</v>
      </c>
      <c r="F17" s="129">
        <v>495541115.72826171</v>
      </c>
      <c r="G17" s="129">
        <v>920580.71416666603</v>
      </c>
      <c r="H17" s="129">
        <v>369506159.82999998</v>
      </c>
      <c r="I17" s="129">
        <v>475818377.27990872</v>
      </c>
      <c r="J17" s="121">
        <v>0</v>
      </c>
      <c r="K17" s="9">
        <f t="shared" si="1"/>
        <v>20151</v>
      </c>
      <c r="L17" s="9"/>
      <c r="M17" s="129">
        <v>558223.25</v>
      </c>
      <c r="N17" s="129">
        <v>27271281.66</v>
      </c>
      <c r="O17" s="129">
        <v>21962742.156553835</v>
      </c>
      <c r="P17" s="129">
        <v>540563.04416666599</v>
      </c>
      <c r="Q17" s="129">
        <v>26439849.82</v>
      </c>
      <c r="R17" s="129">
        <v>21293154.150008012</v>
      </c>
      <c r="S17" s="121">
        <v>0</v>
      </c>
      <c r="T17" s="9">
        <f t="shared" si="2"/>
        <v>20151</v>
      </c>
      <c r="U17" s="9"/>
      <c r="V17" s="129">
        <v>933604</v>
      </c>
      <c r="W17" s="129">
        <v>53743699.93</v>
      </c>
      <c r="X17" s="129">
        <v>100437787.64967972</v>
      </c>
      <c r="Y17" s="129">
        <v>896875.42083333305</v>
      </c>
      <c r="Z17" s="129">
        <v>51705254.969999999</v>
      </c>
      <c r="AA17" s="129">
        <v>96628282.492894724</v>
      </c>
      <c r="AB17" s="121">
        <v>0</v>
      </c>
      <c r="AC17" s="9">
        <f t="shared" si="3"/>
        <v>20151</v>
      </c>
      <c r="AD17" s="9"/>
      <c r="AE17" s="129">
        <v>841978.33333333302</v>
      </c>
      <c r="AF17" s="129">
        <v>80181056.799999997</v>
      </c>
      <c r="AG17" s="129">
        <v>102357240.17498697</v>
      </c>
      <c r="AH17" s="129">
        <v>811334.47083333298</v>
      </c>
      <c r="AI17" s="129">
        <v>76584509.620000005</v>
      </c>
      <c r="AJ17" s="129">
        <v>97765973.132670671</v>
      </c>
      <c r="AK17" s="121">
        <v>0</v>
      </c>
      <c r="AL17" s="9">
        <f t="shared" si="4"/>
        <v>20151</v>
      </c>
      <c r="AM17" s="9"/>
      <c r="AN17" s="129">
        <v>813432.33333333302</v>
      </c>
      <c r="AO17" s="129">
        <v>271518644.83999997</v>
      </c>
      <c r="AP17" s="129">
        <v>297568404.12354237</v>
      </c>
      <c r="AQ17" s="129">
        <v>783614.57666666596</v>
      </c>
      <c r="AR17" s="129">
        <v>257025795.80000001</v>
      </c>
      <c r="AS17" s="129">
        <v>281685097.24206638</v>
      </c>
      <c r="AT17" s="121">
        <v>0</v>
      </c>
      <c r="AU17" s="9">
        <f t="shared" si="5"/>
        <v>20151</v>
      </c>
      <c r="AV17" s="9"/>
      <c r="AW17" s="129">
        <v>987587.33333333302</v>
      </c>
      <c r="AX17" s="129">
        <v>18002215.640000001</v>
      </c>
      <c r="AY17" s="129">
        <v>19676527.237832144</v>
      </c>
      <c r="AZ17" s="129">
        <v>943076.72666666587</v>
      </c>
      <c r="BA17" s="129">
        <v>17175321.02</v>
      </c>
      <c r="BB17" s="129">
        <v>18772925.98401456</v>
      </c>
      <c r="BC17" s="121">
        <v>0</v>
      </c>
      <c r="BD17" s="9">
        <f t="shared" si="6"/>
        <v>20151</v>
      </c>
      <c r="BE17" s="9"/>
      <c r="BF17" s="129">
        <v>61665.666666666599</v>
      </c>
      <c r="BG17" s="129">
        <v>370502.85</v>
      </c>
      <c r="BH17" s="129">
        <v>151339.91799049999</v>
      </c>
      <c r="BI17" s="129">
        <v>59518.650833333202</v>
      </c>
      <c r="BJ17" s="129">
        <v>357200.91000000003</v>
      </c>
      <c r="BK17" s="129">
        <v>145910.15980200001</v>
      </c>
      <c r="BL17" s="121">
        <v>0</v>
      </c>
      <c r="BM17" s="9">
        <f t="shared" si="7"/>
        <v>20151</v>
      </c>
      <c r="BN17" s="9"/>
      <c r="BO17" s="121"/>
      <c r="BP17" s="121"/>
      <c r="BQ17" s="121"/>
      <c r="BR17" s="121"/>
      <c r="BS17" s="121"/>
      <c r="BT17" s="121"/>
      <c r="BU17" s="121"/>
      <c r="BV17" s="9">
        <f t="shared" si="8"/>
        <v>20151</v>
      </c>
      <c r="BW17" s="9"/>
      <c r="BX17" s="121"/>
      <c r="BY17" s="121"/>
      <c r="BZ17" s="121"/>
      <c r="CA17" s="121"/>
      <c r="CB17" s="121"/>
      <c r="CC17" s="121"/>
      <c r="CD17" s="121"/>
      <c r="CE17" s="9">
        <f t="shared" si="9"/>
        <v>20151</v>
      </c>
      <c r="CF17" s="9"/>
      <c r="CG17" s="121"/>
      <c r="CH17" s="121"/>
      <c r="CI17" s="121"/>
      <c r="CJ17" s="121"/>
      <c r="CK17" s="121"/>
      <c r="CL17" s="121"/>
      <c r="CM17" s="121"/>
    </row>
    <row r="18" spans="1:91" x14ac:dyDescent="0.25">
      <c r="B18" s="9">
        <f t="shared" si="0"/>
        <v>20152</v>
      </c>
      <c r="C18" s="9"/>
      <c r="D18" s="129">
        <v>904560.41666666605</v>
      </c>
      <c r="E18" s="129">
        <v>362281910.25999999</v>
      </c>
      <c r="F18" s="129">
        <v>463283481.98245054</v>
      </c>
      <c r="G18" s="129">
        <v>927952.57083333295</v>
      </c>
      <c r="H18" s="129">
        <v>371649030.14999998</v>
      </c>
      <c r="I18" s="129">
        <v>478494325.97514141</v>
      </c>
      <c r="J18" s="121">
        <v>0</v>
      </c>
      <c r="K18" s="9">
        <f t="shared" si="1"/>
        <v>20152</v>
      </c>
      <c r="L18" s="9"/>
      <c r="M18" s="129">
        <v>525801.75</v>
      </c>
      <c r="N18" s="129">
        <v>25302080.329999998</v>
      </c>
      <c r="O18" s="129">
        <v>20478678.637382492</v>
      </c>
      <c r="P18" s="129">
        <v>541491.36166666599</v>
      </c>
      <c r="Q18" s="129">
        <v>26363677.98</v>
      </c>
      <c r="R18" s="129">
        <v>21234449.102029685</v>
      </c>
      <c r="S18" s="121">
        <v>0</v>
      </c>
      <c r="T18" s="9">
        <f t="shared" si="2"/>
        <v>20152</v>
      </c>
      <c r="U18" s="9"/>
      <c r="V18" s="129">
        <v>881984</v>
      </c>
      <c r="W18" s="129">
        <v>50882407.479999997</v>
      </c>
      <c r="X18" s="129">
        <v>94614745.298383281</v>
      </c>
      <c r="Y18" s="129">
        <v>904338.8125</v>
      </c>
      <c r="Z18" s="129">
        <v>52049518.82</v>
      </c>
      <c r="AA18" s="129">
        <v>97259425.905509114</v>
      </c>
      <c r="AB18" s="121">
        <v>0</v>
      </c>
      <c r="AC18" s="9">
        <f t="shared" si="3"/>
        <v>20152</v>
      </c>
      <c r="AD18" s="9"/>
      <c r="AE18" s="129">
        <v>800811.58333333302</v>
      </c>
      <c r="AF18" s="129">
        <v>77233137.420000002</v>
      </c>
      <c r="AG18" s="129">
        <v>99013215.618313596</v>
      </c>
      <c r="AH18" s="129">
        <v>817794.65083333303</v>
      </c>
      <c r="AI18" s="129">
        <v>77963916.650000006</v>
      </c>
      <c r="AJ18" s="129">
        <v>99537427.489992931</v>
      </c>
      <c r="AK18" s="121">
        <v>0</v>
      </c>
      <c r="AL18" s="9">
        <f t="shared" si="4"/>
        <v>20152</v>
      </c>
      <c r="AM18" s="9"/>
      <c r="AN18" s="129">
        <v>773882.5</v>
      </c>
      <c r="AO18" s="129">
        <v>260949187.25</v>
      </c>
      <c r="AP18" s="129">
        <v>283603198.71094632</v>
      </c>
      <c r="AQ18" s="129">
        <v>790101.75666666601</v>
      </c>
      <c r="AR18" s="129">
        <v>262655356.22999999</v>
      </c>
      <c r="AS18" s="129">
        <v>287794340.57094377</v>
      </c>
      <c r="AT18" s="121">
        <v>0</v>
      </c>
      <c r="AU18" s="9">
        <f t="shared" si="5"/>
        <v>20152</v>
      </c>
      <c r="AV18" s="9"/>
      <c r="AW18" s="129">
        <v>931306.83333333302</v>
      </c>
      <c r="AX18" s="129">
        <v>16978965.109999999</v>
      </c>
      <c r="AY18" s="129">
        <v>18558564.430270173</v>
      </c>
      <c r="AZ18" s="129">
        <v>954316.75999999908</v>
      </c>
      <c r="BA18" s="129">
        <v>17386337.359999999</v>
      </c>
      <c r="BB18" s="129">
        <v>19003559.400872499</v>
      </c>
      <c r="BC18" s="121">
        <v>0</v>
      </c>
      <c r="BD18" s="9">
        <f t="shared" si="6"/>
        <v>20152</v>
      </c>
      <c r="BE18" s="9"/>
      <c r="BF18" s="129">
        <v>57417.416666666657</v>
      </c>
      <c r="BG18" s="129">
        <v>340625.67</v>
      </c>
      <c r="BH18" s="129">
        <v>141499.60050721868</v>
      </c>
      <c r="BI18" s="129">
        <v>59533.904999999897</v>
      </c>
      <c r="BJ18" s="129">
        <v>357233.63</v>
      </c>
      <c r="BK18" s="129">
        <v>145984.14830919408</v>
      </c>
      <c r="BL18" s="121">
        <v>0</v>
      </c>
      <c r="BM18" s="9">
        <f t="shared" si="7"/>
        <v>20152</v>
      </c>
      <c r="BN18" s="9"/>
      <c r="BO18" s="121"/>
      <c r="BP18" s="121"/>
      <c r="BQ18" s="121"/>
      <c r="BR18" s="121"/>
      <c r="BS18" s="121"/>
      <c r="BT18" s="121"/>
      <c r="BU18" s="121"/>
      <c r="BV18" s="9">
        <f t="shared" si="8"/>
        <v>20152</v>
      </c>
      <c r="BW18" s="9"/>
      <c r="BX18" s="121"/>
      <c r="BY18" s="121"/>
      <c r="BZ18" s="121"/>
      <c r="CA18" s="121"/>
      <c r="CB18" s="121"/>
      <c r="CC18" s="121"/>
      <c r="CD18" s="121"/>
      <c r="CE18" s="9">
        <f t="shared" si="9"/>
        <v>20152</v>
      </c>
      <c r="CF18" s="9"/>
      <c r="CG18" s="121"/>
      <c r="CH18" s="121"/>
      <c r="CI18" s="121"/>
      <c r="CJ18" s="121"/>
      <c r="CK18" s="121"/>
      <c r="CL18" s="121"/>
      <c r="CM18" s="121"/>
    </row>
    <row r="19" spans="1:91" x14ac:dyDescent="0.25">
      <c r="B19" s="9">
        <f t="shared" si="0"/>
        <v>20153</v>
      </c>
      <c r="C19" s="9"/>
      <c r="D19" s="129">
        <v>957681.08333333302</v>
      </c>
      <c r="E19" s="129">
        <v>408474752.35000002</v>
      </c>
      <c r="F19" s="129">
        <v>491695363.97869277</v>
      </c>
      <c r="G19" s="129">
        <v>930170.87333333294</v>
      </c>
      <c r="H19" s="129">
        <v>378925972.93000001</v>
      </c>
      <c r="I19" s="129">
        <v>477945164.42939264</v>
      </c>
      <c r="J19" s="121">
        <v>0</v>
      </c>
      <c r="K19" s="9">
        <f t="shared" si="1"/>
        <v>20153</v>
      </c>
      <c r="L19" s="9"/>
      <c r="M19" s="129">
        <v>555014.5</v>
      </c>
      <c r="N19" s="129">
        <v>25422495.09</v>
      </c>
      <c r="O19" s="129">
        <v>21545048.504724223</v>
      </c>
      <c r="P19" s="129">
        <v>540692.91249999998</v>
      </c>
      <c r="Q19" s="129">
        <v>25796449.579999998</v>
      </c>
      <c r="R19" s="129">
        <v>21089566.416412827</v>
      </c>
      <c r="S19" s="121">
        <v>0</v>
      </c>
      <c r="T19" s="9">
        <f t="shared" si="2"/>
        <v>20153</v>
      </c>
      <c r="U19" s="9"/>
      <c r="V19" s="129">
        <v>934064.25</v>
      </c>
      <c r="W19" s="129">
        <v>56184027.049999997</v>
      </c>
      <c r="X19" s="129">
        <v>99971228.863756433</v>
      </c>
      <c r="Y19" s="129">
        <v>906889.15333333297</v>
      </c>
      <c r="Z19" s="129">
        <v>52857439.229999997</v>
      </c>
      <c r="AA19" s="129">
        <v>97313477.986320183</v>
      </c>
      <c r="AB19" s="121">
        <v>0</v>
      </c>
      <c r="AC19" s="9">
        <f t="shared" si="3"/>
        <v>20153</v>
      </c>
      <c r="AD19" s="9"/>
      <c r="AE19" s="129">
        <v>846749.5</v>
      </c>
      <c r="AF19" s="129">
        <v>78639695.689999998</v>
      </c>
      <c r="AG19" s="129">
        <v>104827966.00004217</v>
      </c>
      <c r="AH19" s="129">
        <v>820468.23916666606</v>
      </c>
      <c r="AI19" s="129">
        <v>77917776.430000007</v>
      </c>
      <c r="AJ19" s="129">
        <v>100747679.78327772</v>
      </c>
      <c r="AK19" s="121">
        <v>0</v>
      </c>
      <c r="AL19" s="9">
        <f t="shared" si="4"/>
        <v>20153</v>
      </c>
      <c r="AM19" s="9"/>
      <c r="AN19" s="129">
        <v>818210.08333333302</v>
      </c>
      <c r="AO19" s="129">
        <v>301580276.74000001</v>
      </c>
      <c r="AP19" s="129">
        <v>304907961.44636929</v>
      </c>
      <c r="AQ19" s="129">
        <v>792751.28583333304</v>
      </c>
      <c r="AR19" s="129">
        <v>273223049.67000002</v>
      </c>
      <c r="AS19" s="129">
        <v>292077712.15188152</v>
      </c>
      <c r="AT19" s="121">
        <v>0</v>
      </c>
      <c r="AU19" s="9">
        <f t="shared" si="5"/>
        <v>20153</v>
      </c>
      <c r="AV19" s="9"/>
      <c r="AW19" s="129">
        <v>993792.91666666605</v>
      </c>
      <c r="AX19" s="129">
        <v>18153713.43</v>
      </c>
      <c r="AY19" s="129">
        <v>19841226.543622226</v>
      </c>
      <c r="AZ19" s="129">
        <v>959427.68333333288</v>
      </c>
      <c r="BA19" s="129">
        <v>17500270.109999999</v>
      </c>
      <c r="BB19" s="129">
        <v>19127611.11562822</v>
      </c>
      <c r="BC19" s="121">
        <v>0</v>
      </c>
      <c r="BD19" s="9">
        <f t="shared" si="6"/>
        <v>20153</v>
      </c>
      <c r="BE19" s="9"/>
      <c r="BF19" s="129">
        <v>60904.999999999898</v>
      </c>
      <c r="BG19" s="129">
        <v>304090.76</v>
      </c>
      <c r="BH19" s="129">
        <v>149037.31828747629</v>
      </c>
      <c r="BI19" s="129">
        <v>59280.937499999898</v>
      </c>
      <c r="BJ19" s="129">
        <v>338476.61</v>
      </c>
      <c r="BK19" s="129">
        <v>145533.56518131739</v>
      </c>
      <c r="BL19" s="121">
        <v>0</v>
      </c>
      <c r="BM19" s="9">
        <f t="shared" si="7"/>
        <v>20153</v>
      </c>
      <c r="BN19" s="9"/>
      <c r="BO19" s="121"/>
      <c r="BP19" s="121"/>
      <c r="BQ19" s="121"/>
      <c r="BR19" s="121"/>
      <c r="BS19" s="121"/>
      <c r="BT19" s="121"/>
      <c r="BU19" s="121"/>
      <c r="BV19" s="9">
        <f t="shared" si="8"/>
        <v>20153</v>
      </c>
      <c r="BW19" s="9"/>
      <c r="BX19" s="121"/>
      <c r="BY19" s="121"/>
      <c r="BZ19" s="121"/>
      <c r="CA19" s="121"/>
      <c r="CB19" s="121"/>
      <c r="CC19" s="121"/>
      <c r="CD19" s="121"/>
      <c r="CE19" s="9">
        <f t="shared" si="9"/>
        <v>20153</v>
      </c>
      <c r="CF19" s="9"/>
      <c r="CG19" s="121"/>
      <c r="CH19" s="121"/>
      <c r="CI19" s="121"/>
      <c r="CJ19" s="121"/>
      <c r="CK19" s="121"/>
      <c r="CL19" s="121"/>
      <c r="CM19" s="121"/>
    </row>
    <row r="20" spans="1:91" x14ac:dyDescent="0.25">
      <c r="B20" s="9">
        <f t="shared" si="0"/>
        <v>20154</v>
      </c>
      <c r="C20" s="9"/>
      <c r="D20" s="129">
        <v>904478.91666666605</v>
      </c>
      <c r="E20" s="129">
        <v>382758975.27999997</v>
      </c>
      <c r="F20" s="129">
        <v>460740382.5662936</v>
      </c>
      <c r="G20" s="129">
        <v>931141.50416666595</v>
      </c>
      <c r="H20" s="129">
        <v>390647492.99000001</v>
      </c>
      <c r="I20" s="129">
        <v>476529206.67690367</v>
      </c>
      <c r="J20" s="121">
        <v>0</v>
      </c>
      <c r="K20" s="9">
        <f t="shared" si="1"/>
        <v>20154</v>
      </c>
      <c r="L20" s="9"/>
      <c r="M20" s="129">
        <v>522527.25</v>
      </c>
      <c r="N20" s="129">
        <v>23790777.629999999</v>
      </c>
      <c r="O20" s="129">
        <v>20162201.081713654</v>
      </c>
      <c r="P20" s="129">
        <v>539589.20750000002</v>
      </c>
      <c r="Q20" s="129">
        <v>24981004.460000001</v>
      </c>
      <c r="R20" s="129">
        <v>20948939.549883902</v>
      </c>
      <c r="S20" s="121">
        <v>0</v>
      </c>
      <c r="T20" s="9">
        <f t="shared" si="2"/>
        <v>20154</v>
      </c>
      <c r="U20" s="9"/>
      <c r="V20" s="129">
        <v>882445.25</v>
      </c>
      <c r="W20" s="129">
        <v>52971746.869999997</v>
      </c>
      <c r="X20" s="129">
        <v>94255447.815105364</v>
      </c>
      <c r="Y20" s="129">
        <v>908015.28083333303</v>
      </c>
      <c r="Z20" s="129">
        <v>54072668.859999999</v>
      </c>
      <c r="AA20" s="129">
        <v>97156336.683978155</v>
      </c>
      <c r="AB20" s="121">
        <v>0</v>
      </c>
      <c r="AC20" s="9">
        <f t="shared" si="3"/>
        <v>20154</v>
      </c>
      <c r="AD20" s="9"/>
      <c r="AE20" s="129">
        <v>796958.16666666605</v>
      </c>
      <c r="AF20" s="129">
        <v>74518854.849999994</v>
      </c>
      <c r="AG20" s="129">
        <v>99334819.572187454</v>
      </c>
      <c r="AH20" s="129">
        <v>821851.98249999899</v>
      </c>
      <c r="AI20" s="129">
        <v>77031246.25</v>
      </c>
      <c r="AJ20" s="129">
        <v>101772720.02005577</v>
      </c>
      <c r="AK20" s="121">
        <v>0</v>
      </c>
      <c r="AL20" s="9">
        <f t="shared" si="4"/>
        <v>20154</v>
      </c>
      <c r="AM20" s="9"/>
      <c r="AN20" s="129">
        <v>770102.33333333302</v>
      </c>
      <c r="AO20" s="129">
        <v>287723439.08999997</v>
      </c>
      <c r="AP20" s="129">
        <v>290898225.24734938</v>
      </c>
      <c r="AQ20" s="129">
        <v>794152.89666666603</v>
      </c>
      <c r="AR20" s="129">
        <v>287965669.50999999</v>
      </c>
      <c r="AS20" s="129">
        <v>295783516.66771567</v>
      </c>
      <c r="AT20" s="121">
        <v>0</v>
      </c>
      <c r="AU20" s="9">
        <f t="shared" si="5"/>
        <v>20154</v>
      </c>
      <c r="AV20" s="9"/>
      <c r="AW20" s="129">
        <v>937501.99999999907</v>
      </c>
      <c r="AX20" s="129">
        <v>17169730.469999999</v>
      </c>
      <c r="AY20" s="129">
        <v>18764235.152809858</v>
      </c>
      <c r="AZ20" s="129">
        <v>963699.36916666594</v>
      </c>
      <c r="BA20" s="129">
        <v>17609856.810000002</v>
      </c>
      <c r="BB20" s="129">
        <v>19246655.733772442</v>
      </c>
      <c r="BC20" s="121">
        <v>0</v>
      </c>
      <c r="BD20" s="9">
        <f t="shared" si="6"/>
        <v>20154</v>
      </c>
      <c r="BE20" s="9"/>
      <c r="BF20" s="129">
        <v>56700.833333333328</v>
      </c>
      <c r="BG20" s="129">
        <v>284648.37</v>
      </c>
      <c r="BH20" s="129">
        <v>139513.41677757539</v>
      </c>
      <c r="BI20" s="129">
        <v>58973.789999999899</v>
      </c>
      <c r="BJ20" s="129">
        <v>307636.57999999996</v>
      </c>
      <c r="BK20" s="129">
        <v>144913.23607400674</v>
      </c>
      <c r="BL20" s="121">
        <v>0</v>
      </c>
      <c r="BM20" s="9">
        <f t="shared" si="7"/>
        <v>20154</v>
      </c>
      <c r="BN20" s="9"/>
      <c r="BO20" s="121"/>
      <c r="BP20" s="121"/>
      <c r="BQ20" s="121"/>
      <c r="BR20" s="121"/>
      <c r="BS20" s="121"/>
      <c r="BT20" s="121"/>
      <c r="BU20" s="121"/>
      <c r="BV20" s="9">
        <f t="shared" si="8"/>
        <v>20154</v>
      </c>
      <c r="BW20" s="9"/>
      <c r="BX20" s="121"/>
      <c r="BY20" s="121"/>
      <c r="BZ20" s="121"/>
      <c r="CA20" s="121"/>
      <c r="CB20" s="121"/>
      <c r="CC20" s="121"/>
      <c r="CD20" s="121"/>
      <c r="CE20" s="9">
        <f t="shared" si="9"/>
        <v>20154</v>
      </c>
      <c r="CF20" s="9"/>
      <c r="CG20" s="121"/>
      <c r="CH20" s="121"/>
      <c r="CI20" s="121"/>
      <c r="CJ20" s="121"/>
      <c r="CK20" s="121"/>
      <c r="CL20" s="121"/>
      <c r="CM20" s="121"/>
    </row>
    <row r="21" spans="1:91" x14ac:dyDescent="0.25">
      <c r="B21" s="9">
        <f t="shared" si="0"/>
        <v>20161</v>
      </c>
      <c r="C21" s="9"/>
      <c r="D21" s="129">
        <v>967469.08333333302</v>
      </c>
      <c r="E21" s="129">
        <v>410688893.00999999</v>
      </c>
      <c r="F21" s="129">
        <v>494360602.62919784</v>
      </c>
      <c r="G21" s="129">
        <v>933240.14416666597</v>
      </c>
      <c r="H21" s="129">
        <v>395904397.5</v>
      </c>
      <c r="I21" s="129">
        <v>476563987.6384089</v>
      </c>
      <c r="J21" s="121">
        <v>0</v>
      </c>
      <c r="K21" s="9">
        <f t="shared" si="1"/>
        <v>20161</v>
      </c>
      <c r="L21" s="9"/>
      <c r="M21" s="129">
        <v>554304.33333333302</v>
      </c>
      <c r="N21" s="129">
        <v>25263411.170000002</v>
      </c>
      <c r="O21" s="129">
        <v>21410228.111974113</v>
      </c>
      <c r="P21" s="129">
        <v>538591.42666666606</v>
      </c>
      <c r="Q21" s="129">
        <v>24578407.550000001</v>
      </c>
      <c r="R21" s="129">
        <v>20829701.449797001</v>
      </c>
      <c r="S21" s="121">
        <v>0</v>
      </c>
      <c r="T21" s="9">
        <f t="shared" si="2"/>
        <v>20161</v>
      </c>
      <c r="U21" s="9"/>
      <c r="V21" s="129">
        <v>943909.5</v>
      </c>
      <c r="W21" s="129">
        <v>56531311.090000004</v>
      </c>
      <c r="X21" s="129">
        <v>100589169.83499855</v>
      </c>
      <c r="Y21" s="129">
        <v>910401.64916666597</v>
      </c>
      <c r="Z21" s="129">
        <v>54638599.719999999</v>
      </c>
      <c r="AA21" s="129">
        <v>97221367.783804998</v>
      </c>
      <c r="AB21" s="121">
        <v>0</v>
      </c>
      <c r="AC21" s="9">
        <f t="shared" si="3"/>
        <v>20161</v>
      </c>
      <c r="AD21" s="9"/>
      <c r="AE21" s="129">
        <v>851917.58333333302</v>
      </c>
      <c r="AF21" s="129">
        <v>80472071.510000005</v>
      </c>
      <c r="AG21" s="129">
        <v>107270552.13256565</v>
      </c>
      <c r="AH21" s="129">
        <v>824163.82416666602</v>
      </c>
      <c r="AI21" s="129">
        <v>77279148.920000002</v>
      </c>
      <c r="AJ21" s="129">
        <v>103014335.50089513</v>
      </c>
      <c r="AK21" s="121">
        <v>0</v>
      </c>
      <c r="AL21" s="9">
        <f t="shared" si="4"/>
        <v>20161</v>
      </c>
      <c r="AM21" s="9"/>
      <c r="AN21" s="129">
        <v>823024.5</v>
      </c>
      <c r="AO21" s="129">
        <v>312412123.31999999</v>
      </c>
      <c r="AP21" s="129">
        <v>315859328.34313416</v>
      </c>
      <c r="AQ21" s="129">
        <v>796298.41333333298</v>
      </c>
      <c r="AR21" s="129">
        <v>297069301.19</v>
      </c>
      <c r="AS21" s="129">
        <v>300347211.07518137</v>
      </c>
      <c r="AT21" s="121">
        <v>0</v>
      </c>
      <c r="AU21" s="9">
        <f t="shared" si="5"/>
        <v>20161</v>
      </c>
      <c r="AV21" s="9"/>
      <c r="AW21" s="129">
        <v>1011780.083333333</v>
      </c>
      <c r="AX21" s="129">
        <v>18562792.93</v>
      </c>
      <c r="AY21" s="129">
        <v>20286480.293277059</v>
      </c>
      <c r="AZ21" s="129">
        <v>969807.99249999993</v>
      </c>
      <c r="BA21" s="129">
        <v>17761123.170000002</v>
      </c>
      <c r="BB21" s="129">
        <v>19411082.579980962</v>
      </c>
      <c r="BC21" s="121">
        <v>0</v>
      </c>
      <c r="BD21" s="9">
        <f t="shared" si="6"/>
        <v>20161</v>
      </c>
      <c r="BE21" s="9"/>
      <c r="BF21" s="129">
        <v>60952.666666666599</v>
      </c>
      <c r="BG21" s="129">
        <v>306891.32</v>
      </c>
      <c r="BH21" s="129">
        <v>150411.67786205764</v>
      </c>
      <c r="BI21" s="129">
        <v>58782.395833333299</v>
      </c>
      <c r="BJ21" s="129">
        <v>295531.53000000003</v>
      </c>
      <c r="BK21" s="129">
        <v>144845.22120696647</v>
      </c>
      <c r="BL21" s="121">
        <v>0</v>
      </c>
      <c r="BM21" s="9">
        <f t="shared" si="7"/>
        <v>20161</v>
      </c>
      <c r="BN21" s="9"/>
      <c r="BO21" s="121"/>
      <c r="BP21" s="121"/>
      <c r="BQ21" s="121"/>
      <c r="BR21" s="121"/>
      <c r="BS21" s="121"/>
      <c r="BT21" s="121"/>
      <c r="BU21" s="121"/>
      <c r="BV21" s="9">
        <f t="shared" si="8"/>
        <v>20161</v>
      </c>
      <c r="BW21" s="9"/>
      <c r="BX21" s="121"/>
      <c r="BY21" s="121"/>
      <c r="BZ21" s="121"/>
      <c r="CA21" s="121"/>
      <c r="CB21" s="121"/>
      <c r="CC21" s="121"/>
      <c r="CD21" s="121"/>
      <c r="CE21" s="9">
        <f t="shared" si="9"/>
        <v>20161</v>
      </c>
      <c r="CF21" s="9"/>
      <c r="CG21" s="121"/>
      <c r="CH21" s="121"/>
      <c r="CI21" s="121"/>
      <c r="CJ21" s="121"/>
      <c r="CK21" s="121"/>
      <c r="CL21" s="121"/>
      <c r="CM21" s="121"/>
    </row>
    <row r="22" spans="1:91" x14ac:dyDescent="0.25">
      <c r="B22" s="9">
        <f t="shared" si="0"/>
        <v>20162</v>
      </c>
      <c r="C22" s="9"/>
      <c r="D22" s="129">
        <v>912568.16666666605</v>
      </c>
      <c r="E22" s="129">
        <v>408210335.43000001</v>
      </c>
      <c r="F22" s="129">
        <v>461757367.93775302</v>
      </c>
      <c r="G22" s="129">
        <v>938758.71333333303</v>
      </c>
      <c r="H22" s="129">
        <v>401070574.92000002</v>
      </c>
      <c r="I22" s="129">
        <v>478350550.27977574</v>
      </c>
      <c r="J22" s="121">
        <v>0</v>
      </c>
      <c r="K22" s="9">
        <f t="shared" si="1"/>
        <v>20162</v>
      </c>
      <c r="L22" s="9"/>
      <c r="M22" s="129">
        <v>521887.66666666599</v>
      </c>
      <c r="N22" s="129">
        <v>22106395.300000001</v>
      </c>
      <c r="O22" s="129">
        <v>19858920.819695368</v>
      </c>
      <c r="P22" s="129">
        <v>538605.68999999994</v>
      </c>
      <c r="Q22" s="129">
        <v>24254189.469999999</v>
      </c>
      <c r="R22" s="129">
        <v>20724394.481325176</v>
      </c>
      <c r="S22" s="121">
        <v>0</v>
      </c>
      <c r="T22" s="9">
        <f t="shared" si="2"/>
        <v>20162</v>
      </c>
      <c r="U22" s="9"/>
      <c r="V22" s="129">
        <v>891098.75</v>
      </c>
      <c r="W22" s="129">
        <v>55766141.5</v>
      </c>
      <c r="X22" s="129">
        <v>94634460.909808472</v>
      </c>
      <c r="Y22" s="129">
        <v>916191.01166666602</v>
      </c>
      <c r="Z22" s="129">
        <v>55247301.159999996</v>
      </c>
      <c r="AA22" s="129">
        <v>97620068.665118456</v>
      </c>
      <c r="AB22" s="121">
        <v>0</v>
      </c>
      <c r="AC22" s="9">
        <f t="shared" si="3"/>
        <v>20162</v>
      </c>
      <c r="AD22" s="9"/>
      <c r="AE22" s="129">
        <v>809045.41666666605</v>
      </c>
      <c r="AF22" s="129">
        <v>76914660.090000004</v>
      </c>
      <c r="AG22" s="129">
        <v>103726925.28124939</v>
      </c>
      <c r="AH22" s="129">
        <v>828695.36416666606</v>
      </c>
      <c r="AI22" s="129">
        <v>78354429.019999996</v>
      </c>
      <c r="AJ22" s="129">
        <v>104622306.06957453</v>
      </c>
      <c r="AK22" s="121">
        <v>0</v>
      </c>
      <c r="AL22" s="9">
        <f t="shared" si="4"/>
        <v>20162</v>
      </c>
      <c r="AM22" s="9"/>
      <c r="AN22" s="129">
        <v>781783.16666666605</v>
      </c>
      <c r="AO22" s="129">
        <v>299616434.81</v>
      </c>
      <c r="AP22" s="129">
        <v>300153882.83995706</v>
      </c>
      <c r="AQ22" s="129">
        <v>800724.34166666598</v>
      </c>
      <c r="AR22" s="129">
        <v>302918865.14999998</v>
      </c>
      <c r="AS22" s="129">
        <v>305853821.68108213</v>
      </c>
      <c r="AT22" s="121">
        <v>0</v>
      </c>
      <c r="AU22" s="9">
        <f t="shared" si="5"/>
        <v>20162</v>
      </c>
      <c r="AV22" s="9"/>
      <c r="AW22" s="129">
        <v>952380.41666666605</v>
      </c>
      <c r="AX22" s="129">
        <v>17752686.370000001</v>
      </c>
      <c r="AY22" s="129">
        <v>19109038.685672939</v>
      </c>
      <c r="AZ22" s="129">
        <v>979220.69666666607</v>
      </c>
      <c r="BA22" s="129">
        <v>17996952.539999999</v>
      </c>
      <c r="BB22" s="129">
        <v>19625048.831888892</v>
      </c>
      <c r="BC22" s="121">
        <v>0</v>
      </c>
      <c r="BD22" s="9">
        <f t="shared" si="6"/>
        <v>20162</v>
      </c>
      <c r="BE22" s="9"/>
      <c r="BF22" s="129">
        <v>56457.083333333299</v>
      </c>
      <c r="BG22" s="129">
        <v>268807.08999999997</v>
      </c>
      <c r="BH22" s="129">
        <v>139831.39335127675</v>
      </c>
      <c r="BI22" s="129">
        <v>58821.664166666604</v>
      </c>
      <c r="BJ22" s="129">
        <v>293602.51</v>
      </c>
      <c r="BK22" s="129">
        <v>145112.03609307951</v>
      </c>
      <c r="BL22" s="121">
        <v>0</v>
      </c>
      <c r="BM22" s="9">
        <f t="shared" si="7"/>
        <v>20162</v>
      </c>
      <c r="BN22" s="9"/>
      <c r="BO22" s="121"/>
      <c r="BP22" s="121"/>
      <c r="BQ22" s="121"/>
      <c r="BR22" s="121"/>
      <c r="BS22" s="121"/>
      <c r="BT22" s="121"/>
      <c r="BU22" s="121"/>
      <c r="BV22" s="9">
        <f t="shared" si="8"/>
        <v>20162</v>
      </c>
      <c r="BW22" s="9"/>
      <c r="BX22" s="121"/>
      <c r="BY22" s="121"/>
      <c r="BZ22" s="121"/>
      <c r="CA22" s="121"/>
      <c r="CB22" s="121"/>
      <c r="CC22" s="121"/>
      <c r="CD22" s="121"/>
      <c r="CE22" s="9">
        <f t="shared" si="9"/>
        <v>20162</v>
      </c>
      <c r="CF22" s="9"/>
      <c r="CG22" s="121"/>
      <c r="CH22" s="121"/>
      <c r="CI22" s="121"/>
      <c r="CJ22" s="121"/>
      <c r="CK22" s="121"/>
      <c r="CL22" s="121"/>
      <c r="CM22" s="121"/>
    </row>
    <row r="23" spans="1:91" x14ac:dyDescent="0.25">
      <c r="B23" s="9">
        <f t="shared" si="0"/>
        <v>20163</v>
      </c>
      <c r="C23" s="9"/>
      <c r="D23" s="129">
        <v>971289.08333333302</v>
      </c>
      <c r="E23" s="129">
        <v>455542607.14999998</v>
      </c>
      <c r="F23" s="129">
        <v>493557247.32048166</v>
      </c>
      <c r="G23" s="129">
        <v>939179.83833333303</v>
      </c>
      <c r="H23" s="129">
        <v>419517903.44</v>
      </c>
      <c r="I23" s="129">
        <v>476481406.24806517</v>
      </c>
      <c r="J23" s="121">
        <v>0</v>
      </c>
      <c r="K23" s="9">
        <f t="shared" si="1"/>
        <v>20163</v>
      </c>
      <c r="L23" s="9"/>
      <c r="M23" s="129">
        <v>552501</v>
      </c>
      <c r="N23" s="129">
        <v>22355887.219999999</v>
      </c>
      <c r="O23" s="129">
        <v>21004091.746484924</v>
      </c>
      <c r="P23" s="129">
        <v>536972.4425</v>
      </c>
      <c r="Q23" s="129">
        <v>22940108.140000001</v>
      </c>
      <c r="R23" s="129">
        <v>20524975.296511367</v>
      </c>
      <c r="S23" s="121">
        <v>0</v>
      </c>
      <c r="T23" s="9">
        <f t="shared" si="2"/>
        <v>20163</v>
      </c>
      <c r="U23" s="9"/>
      <c r="V23" s="129">
        <v>948268.08333333302</v>
      </c>
      <c r="W23" s="129">
        <v>61264495.600000001</v>
      </c>
      <c r="X23" s="129">
        <v>100563347.82146569</v>
      </c>
      <c r="Y23" s="129">
        <v>916769.56666666595</v>
      </c>
      <c r="Z23" s="129">
        <v>57199568.950000003</v>
      </c>
      <c r="AA23" s="129">
        <v>97370340.856958807</v>
      </c>
      <c r="AB23" s="121">
        <v>0</v>
      </c>
      <c r="AC23" s="9">
        <f t="shared" si="3"/>
        <v>20163</v>
      </c>
      <c r="AD23" s="9"/>
      <c r="AE23" s="129">
        <v>858746.75</v>
      </c>
      <c r="AF23" s="129">
        <v>81307865.150000006</v>
      </c>
      <c r="AG23" s="129">
        <v>110596303.52649222</v>
      </c>
      <c r="AH23" s="129">
        <v>829459.121666666</v>
      </c>
      <c r="AI23" s="129">
        <v>78422072.290000007</v>
      </c>
      <c r="AJ23" s="129">
        <v>105676675.32765371</v>
      </c>
      <c r="AK23" s="121">
        <v>0</v>
      </c>
      <c r="AL23" s="9">
        <f t="shared" si="4"/>
        <v>20163</v>
      </c>
      <c r="AM23" s="9"/>
      <c r="AN23" s="129">
        <v>829688.41666666605</v>
      </c>
      <c r="AO23" s="129">
        <v>326140848.97000003</v>
      </c>
      <c r="AP23" s="129">
        <v>324558189.73756325</v>
      </c>
      <c r="AQ23" s="129">
        <v>801404.71833333303</v>
      </c>
      <c r="AR23" s="129">
        <v>308507671.70999998</v>
      </c>
      <c r="AS23" s="129">
        <v>309251307.86446846</v>
      </c>
      <c r="AT23" s="121">
        <v>0</v>
      </c>
      <c r="AU23" s="9">
        <f t="shared" si="5"/>
        <v>20163</v>
      </c>
      <c r="AV23" s="9"/>
      <c r="AW23" s="129">
        <v>1022774.8333333321</v>
      </c>
      <c r="AX23" s="129">
        <v>19326959.600000001</v>
      </c>
      <c r="AY23" s="129">
        <v>20577507.025616359</v>
      </c>
      <c r="AZ23" s="129">
        <v>982614.30249999906</v>
      </c>
      <c r="BA23" s="129">
        <v>18308562.119999997</v>
      </c>
      <c r="BB23" s="129">
        <v>19727263.24452563</v>
      </c>
      <c r="BC23" s="121">
        <v>0</v>
      </c>
      <c r="BD23" s="9">
        <f t="shared" si="6"/>
        <v>20163</v>
      </c>
      <c r="BE23" s="9"/>
      <c r="BF23" s="129">
        <v>60639.999999999898</v>
      </c>
      <c r="BG23" s="129">
        <v>275154.41000000003</v>
      </c>
      <c r="BH23" s="129">
        <v>149846.44973195108</v>
      </c>
      <c r="BI23" s="129">
        <v>58542.907499999899</v>
      </c>
      <c r="BJ23" s="129">
        <v>279613.83</v>
      </c>
      <c r="BK23" s="129">
        <v>144852.94411203053</v>
      </c>
      <c r="BL23" s="121">
        <v>0</v>
      </c>
      <c r="BM23" s="9">
        <f t="shared" si="7"/>
        <v>20163</v>
      </c>
      <c r="BN23" s="9"/>
      <c r="BO23" s="121"/>
      <c r="BP23" s="121"/>
      <c r="BQ23" s="121"/>
      <c r="BR23" s="121"/>
      <c r="BS23" s="121"/>
      <c r="BT23" s="121"/>
      <c r="BU23" s="121"/>
      <c r="BV23" s="9">
        <f t="shared" si="8"/>
        <v>20163</v>
      </c>
      <c r="BW23" s="9"/>
      <c r="BX23" s="121"/>
      <c r="BY23" s="121"/>
      <c r="BZ23" s="121"/>
      <c r="CA23" s="121"/>
      <c r="CB23" s="121"/>
      <c r="CC23" s="121"/>
      <c r="CD23" s="121"/>
      <c r="CE23" s="9">
        <f t="shared" si="9"/>
        <v>20163</v>
      </c>
      <c r="CF23" s="9"/>
      <c r="CG23" s="121"/>
      <c r="CH23" s="121"/>
      <c r="CI23" s="121"/>
      <c r="CJ23" s="121"/>
      <c r="CK23" s="121"/>
      <c r="CL23" s="121"/>
      <c r="CM23" s="121"/>
    </row>
    <row r="24" spans="1:91" x14ac:dyDescent="0.25">
      <c r="B24" s="9">
        <f t="shared" si="0"/>
        <v>20164</v>
      </c>
      <c r="C24" s="9"/>
      <c r="D24" s="129">
        <v>910335</v>
      </c>
      <c r="E24" s="129">
        <v>422767546.95999998</v>
      </c>
      <c r="F24" s="129">
        <v>458047136.44557732</v>
      </c>
      <c r="G24" s="129">
        <v>939808.34916666604</v>
      </c>
      <c r="H24" s="129">
        <v>436539062.05000001</v>
      </c>
      <c r="I24" s="129">
        <v>475083679.60252321</v>
      </c>
      <c r="J24" s="121">
        <v>0</v>
      </c>
      <c r="K24" s="9">
        <f t="shared" si="1"/>
        <v>20164</v>
      </c>
      <c r="L24" s="9"/>
      <c r="M24" s="129">
        <v>518445.33333333302</v>
      </c>
      <c r="N24" s="129">
        <v>20855314.120000001</v>
      </c>
      <c r="O24" s="129">
        <v>19594253.937117625</v>
      </c>
      <c r="P24" s="129">
        <v>535822.39583333302</v>
      </c>
      <c r="Q24" s="129">
        <v>21792391.300000001</v>
      </c>
      <c r="R24" s="129">
        <v>20376029.171422929</v>
      </c>
      <c r="S24" s="121">
        <v>0</v>
      </c>
      <c r="T24" s="9">
        <f t="shared" si="2"/>
        <v>20164</v>
      </c>
      <c r="U24" s="9"/>
      <c r="V24" s="129">
        <v>889312</v>
      </c>
      <c r="W24" s="129">
        <v>57280017.969999999</v>
      </c>
      <c r="X24" s="129">
        <v>94022978.789315522</v>
      </c>
      <c r="Y24" s="129">
        <v>917628.07</v>
      </c>
      <c r="Z24" s="129">
        <v>58983189</v>
      </c>
      <c r="AA24" s="129">
        <v>97154220.030789137</v>
      </c>
      <c r="AB24" s="121">
        <v>0</v>
      </c>
      <c r="AC24" s="9">
        <f t="shared" si="3"/>
        <v>20164</v>
      </c>
      <c r="AD24" s="9"/>
      <c r="AE24" s="129">
        <v>803074.08333333302</v>
      </c>
      <c r="AF24" s="129">
        <v>76394482.719999999</v>
      </c>
      <c r="AG24" s="129">
        <v>103913039.44659632</v>
      </c>
      <c r="AH24" s="129">
        <v>830340.77</v>
      </c>
      <c r="AI24" s="129">
        <v>78565873.390000001</v>
      </c>
      <c r="AJ24" s="129">
        <v>106769502.35024644</v>
      </c>
      <c r="AK24" s="121">
        <v>0</v>
      </c>
      <c r="AL24" s="9">
        <f t="shared" si="4"/>
        <v>20164</v>
      </c>
      <c r="AM24" s="9"/>
      <c r="AN24" s="129">
        <v>775673.33333333302</v>
      </c>
      <c r="AO24" s="129">
        <v>308363540.72000003</v>
      </c>
      <c r="AP24" s="129">
        <v>306867149.18790984</v>
      </c>
      <c r="AQ24" s="129">
        <v>802177.55500000005</v>
      </c>
      <c r="AR24" s="129">
        <v>314425214.82999998</v>
      </c>
      <c r="AS24" s="129">
        <v>313118689.90848279</v>
      </c>
      <c r="AT24" s="121">
        <v>0</v>
      </c>
      <c r="AU24" s="9">
        <f t="shared" si="5"/>
        <v>20164</v>
      </c>
      <c r="AV24" s="9"/>
      <c r="AW24" s="129">
        <v>956588.41666666605</v>
      </c>
      <c r="AX24" s="129">
        <v>18114092</v>
      </c>
      <c r="AY24" s="129">
        <v>19286496.001231235</v>
      </c>
      <c r="AZ24" s="129">
        <v>986464.52499999898</v>
      </c>
      <c r="BA24" s="129">
        <v>18615218.579999998</v>
      </c>
      <c r="BB24" s="129">
        <v>19842547.502666704</v>
      </c>
      <c r="BC24" s="121">
        <v>0</v>
      </c>
      <c r="BD24" s="9">
        <f t="shared" si="6"/>
        <v>20164</v>
      </c>
      <c r="BE24" s="9"/>
      <c r="BF24" s="129">
        <v>56015.749999999927</v>
      </c>
      <c r="BG24" s="129">
        <v>255130.09999999998</v>
      </c>
      <c r="BH24" s="129">
        <v>138945.15400480272</v>
      </c>
      <c r="BI24" s="129">
        <v>58341.829166666605</v>
      </c>
      <c r="BJ24" s="129">
        <v>266705.17000000004</v>
      </c>
      <c r="BK24" s="129">
        <v>144530.33042113885</v>
      </c>
      <c r="BL24" s="121">
        <v>0</v>
      </c>
      <c r="BM24" s="9">
        <f t="shared" si="7"/>
        <v>20164</v>
      </c>
      <c r="BN24" s="9"/>
      <c r="BO24" s="121"/>
      <c r="BP24" s="121"/>
      <c r="BQ24" s="121"/>
      <c r="BR24" s="121"/>
      <c r="BS24" s="121"/>
      <c r="BT24" s="121"/>
      <c r="BU24" s="121"/>
      <c r="BV24" s="9">
        <f t="shared" si="8"/>
        <v>20164</v>
      </c>
      <c r="BW24" s="9"/>
      <c r="BX24" s="121"/>
      <c r="BY24" s="121"/>
      <c r="BZ24" s="121"/>
      <c r="CA24" s="121"/>
      <c r="CB24" s="121"/>
      <c r="CC24" s="121"/>
      <c r="CD24" s="121"/>
      <c r="CE24" s="9">
        <f t="shared" si="9"/>
        <v>20164</v>
      </c>
      <c r="CF24" s="9"/>
      <c r="CG24" s="121"/>
      <c r="CH24" s="121"/>
      <c r="CI24" s="121"/>
      <c r="CJ24" s="121"/>
      <c r="CK24" s="121"/>
      <c r="CL24" s="121"/>
      <c r="CM24" s="121"/>
    </row>
    <row r="25" spans="1:91" x14ac:dyDescent="0.25">
      <c r="B25" s="9">
        <f t="shared" si="0"/>
        <v>20171</v>
      </c>
      <c r="C25" s="9"/>
      <c r="D25" s="129">
        <v>979659.75</v>
      </c>
      <c r="E25" s="129">
        <v>455785882.70999998</v>
      </c>
      <c r="F25" s="129">
        <v>493820824.01747859</v>
      </c>
      <c r="G25" s="129">
        <v>942161.95250000001</v>
      </c>
      <c r="H25" s="129">
        <v>438255759.98000002</v>
      </c>
      <c r="I25" s="129">
        <v>474827827.56882799</v>
      </c>
      <c r="J25" s="121">
        <v>0</v>
      </c>
      <c r="K25" s="9">
        <f t="shared" si="1"/>
        <v>20171</v>
      </c>
      <c r="L25" s="9"/>
      <c r="M25" s="129">
        <v>552925.25</v>
      </c>
      <c r="N25" s="129">
        <v>22276644.149999999</v>
      </c>
      <c r="O25" s="129">
        <v>20929640.274433121</v>
      </c>
      <c r="P25" s="129">
        <v>535367.89666666603</v>
      </c>
      <c r="Q25" s="129">
        <v>21553255.120000001</v>
      </c>
      <c r="R25" s="129">
        <v>20249992.47495202</v>
      </c>
      <c r="S25" s="121">
        <v>0</v>
      </c>
      <c r="T25" s="9">
        <f t="shared" si="2"/>
        <v>20171</v>
      </c>
      <c r="U25" s="9"/>
      <c r="V25" s="129">
        <v>956710.5</v>
      </c>
      <c r="W25" s="129">
        <v>61382369.090000004</v>
      </c>
      <c r="X25" s="129">
        <v>100756832.68831572</v>
      </c>
      <c r="Y25" s="129">
        <v>920103.56833333301</v>
      </c>
      <c r="Z25" s="129">
        <v>59177619.560000002</v>
      </c>
      <c r="AA25" s="129">
        <v>97137819.886966497</v>
      </c>
      <c r="AB25" s="121">
        <v>0</v>
      </c>
      <c r="AC25" s="9">
        <f t="shared" si="3"/>
        <v>20171</v>
      </c>
      <c r="AD25" s="9"/>
      <c r="AE25" s="129">
        <v>862751</v>
      </c>
      <c r="AF25" s="129">
        <v>83062553.819999993</v>
      </c>
      <c r="AG25" s="129">
        <v>112983060.08914213</v>
      </c>
      <c r="AH25" s="129">
        <v>832546.15249999997</v>
      </c>
      <c r="AI25" s="129">
        <v>79370059.430000007</v>
      </c>
      <c r="AJ25" s="129">
        <v>107960468.1225111</v>
      </c>
      <c r="AK25" s="121">
        <v>0</v>
      </c>
      <c r="AL25" s="9">
        <f t="shared" si="4"/>
        <v>20171</v>
      </c>
      <c r="AM25" s="9"/>
      <c r="AN25" s="129">
        <v>833173.58333333302</v>
      </c>
      <c r="AO25" s="129">
        <v>336446680.99000001</v>
      </c>
      <c r="AP25" s="129">
        <v>334814010.78762215</v>
      </c>
      <c r="AQ25" s="129">
        <v>804145.75416666595</v>
      </c>
      <c r="AR25" s="129">
        <v>319272420.12</v>
      </c>
      <c r="AS25" s="129">
        <v>317723091.21820444</v>
      </c>
      <c r="AT25" s="121">
        <v>0</v>
      </c>
      <c r="AU25" s="9">
        <f t="shared" si="5"/>
        <v>20171</v>
      </c>
      <c r="AV25" s="9"/>
      <c r="AW25" s="129">
        <v>1039447.9999999991</v>
      </c>
      <c r="AX25" s="129">
        <v>19697990.630000003</v>
      </c>
      <c r="AY25" s="129">
        <v>20973047.932901658</v>
      </c>
      <c r="AZ25" s="129">
        <v>992874.1949999989</v>
      </c>
      <c r="BA25" s="129">
        <v>18783098.77</v>
      </c>
      <c r="BB25" s="129">
        <v>19998756.425648063</v>
      </c>
      <c r="BC25" s="121">
        <v>0</v>
      </c>
      <c r="BD25" s="9">
        <f t="shared" si="6"/>
        <v>20171</v>
      </c>
      <c r="BE25" s="9"/>
      <c r="BF25" s="129">
        <v>60842.416666666599</v>
      </c>
      <c r="BG25" s="129">
        <v>277315.99</v>
      </c>
      <c r="BH25" s="129">
        <v>151024.79740159737</v>
      </c>
      <c r="BI25" s="129">
        <v>58334.932500000003</v>
      </c>
      <c r="BJ25" s="129">
        <v>265390.02</v>
      </c>
      <c r="BK25" s="129">
        <v>144530.61471004918</v>
      </c>
      <c r="BL25" s="121">
        <v>0</v>
      </c>
      <c r="BM25" s="9">
        <f t="shared" si="7"/>
        <v>20171</v>
      </c>
      <c r="BN25" s="9"/>
      <c r="BO25" s="121"/>
      <c r="BP25" s="121"/>
      <c r="BQ25" s="121"/>
      <c r="BR25" s="121"/>
      <c r="BS25" s="121"/>
      <c r="BT25" s="121"/>
      <c r="BU25" s="121"/>
      <c r="BV25" s="9">
        <f t="shared" si="8"/>
        <v>20171</v>
      </c>
      <c r="BW25" s="9"/>
      <c r="BX25" s="121"/>
      <c r="BY25" s="121"/>
      <c r="BZ25" s="121"/>
      <c r="CA25" s="121"/>
      <c r="CB25" s="121"/>
      <c r="CC25" s="121"/>
      <c r="CD25" s="121"/>
      <c r="CE25" s="9">
        <f t="shared" si="9"/>
        <v>20171</v>
      </c>
      <c r="CF25" s="9"/>
      <c r="CG25" s="121"/>
      <c r="CH25" s="121"/>
      <c r="CI25" s="121"/>
      <c r="CJ25" s="121"/>
      <c r="CK25" s="121"/>
      <c r="CL25" s="121"/>
      <c r="CM25" s="121"/>
    </row>
    <row r="26" spans="1:91" x14ac:dyDescent="0.25">
      <c r="B26" s="9">
        <f t="shared" si="0"/>
        <v>20172</v>
      </c>
      <c r="C26" s="9"/>
      <c r="D26" s="129">
        <v>918607.91666666605</v>
      </c>
      <c r="E26" s="129">
        <v>441388534.47000003</v>
      </c>
      <c r="F26" s="129">
        <v>457561624.38026196</v>
      </c>
      <c r="G26" s="129">
        <v>947555.89583333302</v>
      </c>
      <c r="H26" s="129">
        <v>441869191.57999998</v>
      </c>
      <c r="I26" s="129">
        <v>476828984.54785961</v>
      </c>
      <c r="J26" s="121">
        <v>0</v>
      </c>
      <c r="K26" s="9">
        <f t="shared" si="1"/>
        <v>20172</v>
      </c>
      <c r="L26" s="9"/>
      <c r="M26" s="129">
        <v>518575.41666666599</v>
      </c>
      <c r="N26" s="129">
        <v>20211376.379999999</v>
      </c>
      <c r="O26" s="129">
        <v>19417266.782074898</v>
      </c>
      <c r="P26" s="129">
        <v>535809.57583333296</v>
      </c>
      <c r="Q26" s="129">
        <v>21507930.239999998</v>
      </c>
      <c r="R26" s="129">
        <v>20247079.819266561</v>
      </c>
      <c r="S26" s="121">
        <v>0</v>
      </c>
      <c r="T26" s="9">
        <f t="shared" si="2"/>
        <v>20172</v>
      </c>
      <c r="U26" s="9"/>
      <c r="V26" s="129">
        <v>897780.58333333302</v>
      </c>
      <c r="W26" s="129">
        <v>59452630.100000001</v>
      </c>
      <c r="X26" s="129">
        <v>94140657.571969897</v>
      </c>
      <c r="Y26" s="129">
        <v>925659.47499999998</v>
      </c>
      <c r="Z26" s="129">
        <v>59667973.07</v>
      </c>
      <c r="AA26" s="129">
        <v>97624830.838849351</v>
      </c>
      <c r="AB26" s="121">
        <v>0</v>
      </c>
      <c r="AC26" s="9">
        <f t="shared" si="3"/>
        <v>20172</v>
      </c>
      <c r="AD26" s="9"/>
      <c r="AE26" s="129">
        <v>814200.08333333302</v>
      </c>
      <c r="AF26" s="129">
        <v>79767887.25</v>
      </c>
      <c r="AG26" s="129">
        <v>108346523.33732873</v>
      </c>
      <c r="AH26" s="129">
        <v>836706.61833333306</v>
      </c>
      <c r="AI26" s="129">
        <v>80777254.409999996</v>
      </c>
      <c r="AJ26" s="129">
        <v>109860580.78765073</v>
      </c>
      <c r="AK26" s="121">
        <v>0</v>
      </c>
      <c r="AL26" s="9">
        <f t="shared" si="4"/>
        <v>20172</v>
      </c>
      <c r="AM26" s="9"/>
      <c r="AN26" s="129">
        <v>786113.83333333302</v>
      </c>
      <c r="AO26" s="129">
        <v>318318869.36000001</v>
      </c>
      <c r="AP26" s="129">
        <v>315207336.99588311</v>
      </c>
      <c r="AQ26" s="129">
        <v>808064.371666666</v>
      </c>
      <c r="AR26" s="129">
        <v>325224217.52999997</v>
      </c>
      <c r="AS26" s="129">
        <v>323503067.12367052</v>
      </c>
      <c r="AT26" s="121">
        <v>0</v>
      </c>
      <c r="AU26" s="9">
        <f t="shared" si="5"/>
        <v>20172</v>
      </c>
      <c r="AV26" s="9"/>
      <c r="AW26" s="129">
        <v>972135.74999999907</v>
      </c>
      <c r="AX26" s="129">
        <v>18409073.439999998</v>
      </c>
      <c r="AY26" s="129">
        <v>19666501.098997876</v>
      </c>
      <c r="AZ26" s="129">
        <v>1002642.268333333</v>
      </c>
      <c r="BA26" s="129">
        <v>19006596.350000001</v>
      </c>
      <c r="BB26" s="129">
        <v>20242874.700310066</v>
      </c>
      <c r="BC26" s="121">
        <v>0</v>
      </c>
      <c r="BD26" s="9">
        <f t="shared" si="6"/>
        <v>20172</v>
      </c>
      <c r="BE26" s="9"/>
      <c r="BF26" s="129">
        <v>56174.666666666657</v>
      </c>
      <c r="BG26" s="129">
        <v>247536.14</v>
      </c>
      <c r="BH26" s="129">
        <v>139943.4131330763</v>
      </c>
      <c r="BI26" s="129">
        <v>58547.376666666605</v>
      </c>
      <c r="BJ26" s="129">
        <v>266295.89</v>
      </c>
      <c r="BK26" s="129">
        <v>145500.00628334878</v>
      </c>
      <c r="BL26" s="121">
        <v>0</v>
      </c>
      <c r="BM26" s="9">
        <f t="shared" si="7"/>
        <v>20172</v>
      </c>
      <c r="BN26" s="9"/>
      <c r="BO26" s="121"/>
      <c r="BP26" s="121"/>
      <c r="BQ26" s="121"/>
      <c r="BR26" s="121"/>
      <c r="BS26" s="121"/>
      <c r="BT26" s="121"/>
      <c r="BU26" s="121"/>
      <c r="BV26" s="9">
        <f t="shared" si="8"/>
        <v>20172</v>
      </c>
      <c r="BW26" s="9"/>
      <c r="BX26" s="121"/>
      <c r="BY26" s="121"/>
      <c r="BZ26" s="121"/>
      <c r="CA26" s="121"/>
      <c r="CB26" s="121"/>
      <c r="CC26" s="121"/>
      <c r="CD26" s="121"/>
      <c r="CE26" s="9">
        <f t="shared" si="9"/>
        <v>20172</v>
      </c>
      <c r="CF26" s="9"/>
      <c r="CG26" s="121"/>
      <c r="CH26" s="121"/>
      <c r="CI26" s="121"/>
      <c r="CJ26" s="121"/>
      <c r="CK26" s="121"/>
      <c r="CL26" s="121"/>
      <c r="CM26" s="121"/>
    </row>
    <row r="27" spans="1:91" x14ac:dyDescent="0.25">
      <c r="B27" s="9">
        <f t="shared" si="0"/>
        <v>20173</v>
      </c>
      <c r="C27" s="9"/>
      <c r="D27" s="129">
        <v>967804.58333333302</v>
      </c>
      <c r="E27" s="129">
        <v>498438730.79000002</v>
      </c>
      <c r="F27" s="129">
        <v>479180205.54867172</v>
      </c>
      <c r="G27" s="129">
        <v>944678.24</v>
      </c>
      <c r="H27" s="129">
        <v>458431756.08999997</v>
      </c>
      <c r="I27" s="129">
        <v>471095229.91669279</v>
      </c>
      <c r="J27" s="121">
        <v>0</v>
      </c>
      <c r="K27" s="9">
        <f t="shared" si="1"/>
        <v>20173</v>
      </c>
      <c r="L27" s="9"/>
      <c r="M27" s="129">
        <v>546314.83333333302</v>
      </c>
      <c r="N27" s="129">
        <v>20308882.739999998</v>
      </c>
      <c r="O27" s="129">
        <v>20341980.05908737</v>
      </c>
      <c r="P27" s="129">
        <v>533487.71250000002</v>
      </c>
      <c r="Q27" s="129">
        <v>20744888.91</v>
      </c>
      <c r="R27" s="129">
        <v>20021483.6896604</v>
      </c>
      <c r="S27" s="121">
        <v>0</v>
      </c>
      <c r="T27" s="9">
        <f t="shared" si="2"/>
        <v>20173</v>
      </c>
      <c r="U27" s="9"/>
      <c r="V27" s="129">
        <v>945937.5</v>
      </c>
      <c r="W27" s="129">
        <v>65917193.469999999</v>
      </c>
      <c r="X27" s="129">
        <v>98094121.081655294</v>
      </c>
      <c r="Y27" s="129">
        <v>923094.36416666606</v>
      </c>
      <c r="Z27" s="129">
        <v>61460320.740000002</v>
      </c>
      <c r="AA27" s="129">
        <v>96626168.244271338</v>
      </c>
      <c r="AB27" s="121">
        <v>0</v>
      </c>
      <c r="AC27" s="9">
        <f t="shared" si="3"/>
        <v>20173</v>
      </c>
      <c r="AD27" s="9"/>
      <c r="AE27" s="129">
        <v>857491.25</v>
      </c>
      <c r="AF27" s="129">
        <v>84219903.450000003</v>
      </c>
      <c r="AG27" s="129">
        <v>114097999.98708004</v>
      </c>
      <c r="AH27" s="129">
        <v>834800.66333333298</v>
      </c>
      <c r="AI27" s="129">
        <v>81337359.329999998</v>
      </c>
      <c r="AJ27" s="129">
        <v>110446229.48901199</v>
      </c>
      <c r="AK27" s="121">
        <v>0</v>
      </c>
      <c r="AL27" s="9">
        <f t="shared" si="4"/>
        <v>20173</v>
      </c>
      <c r="AM27" s="9"/>
      <c r="AN27" s="129">
        <v>827614.66666666605</v>
      </c>
      <c r="AO27" s="129">
        <v>340005976.67000002</v>
      </c>
      <c r="AP27" s="129">
        <v>333690915.79976183</v>
      </c>
      <c r="AQ27" s="129">
        <v>805932.27416666597</v>
      </c>
      <c r="AR27" s="129">
        <v>327575361.38999999</v>
      </c>
      <c r="AS27" s="129">
        <v>324047777.54284984</v>
      </c>
      <c r="AT27" s="121">
        <v>0</v>
      </c>
      <c r="AU27" s="9">
        <f t="shared" si="5"/>
        <v>20173</v>
      </c>
      <c r="AV27" s="9"/>
      <c r="AW27" s="129">
        <v>1031892.7499999991</v>
      </c>
      <c r="AX27" s="129">
        <v>19511694.59</v>
      </c>
      <c r="AY27" s="129">
        <v>20972570.656876888</v>
      </c>
      <c r="AZ27" s="129">
        <v>1001792.3699999989</v>
      </c>
      <c r="BA27" s="129">
        <v>18976732.280000001</v>
      </c>
      <c r="BB27" s="129">
        <v>20286855.212809272</v>
      </c>
      <c r="BC27" s="121">
        <v>0</v>
      </c>
      <c r="BD27" s="9">
        <f t="shared" si="6"/>
        <v>20173</v>
      </c>
      <c r="BE27" s="9"/>
      <c r="BF27" s="129">
        <v>59874.333333333198</v>
      </c>
      <c r="BG27" s="129">
        <v>245164.63</v>
      </c>
      <c r="BH27" s="129">
        <v>148880.42188853357</v>
      </c>
      <c r="BI27" s="129">
        <v>58177.192499999997</v>
      </c>
      <c r="BJ27" s="129">
        <v>254258.91</v>
      </c>
      <c r="BK27" s="129">
        <v>144865.14669939768</v>
      </c>
      <c r="BL27" s="121">
        <v>0</v>
      </c>
      <c r="BM27" s="9">
        <f t="shared" si="7"/>
        <v>20173</v>
      </c>
      <c r="BN27" s="9"/>
      <c r="BO27" s="121"/>
      <c r="BP27" s="121"/>
      <c r="BQ27" s="121"/>
      <c r="BR27" s="121"/>
      <c r="BS27" s="121"/>
      <c r="BT27" s="121"/>
      <c r="BU27" s="121"/>
      <c r="BV27" s="9">
        <f t="shared" si="8"/>
        <v>20173</v>
      </c>
      <c r="BW27" s="9"/>
      <c r="BX27" s="121"/>
      <c r="BY27" s="121"/>
      <c r="BZ27" s="121"/>
      <c r="CA27" s="121"/>
      <c r="CB27" s="121"/>
      <c r="CC27" s="121"/>
      <c r="CD27" s="121"/>
      <c r="CE27" s="9">
        <f t="shared" si="9"/>
        <v>20173</v>
      </c>
      <c r="CF27" s="9"/>
      <c r="CG27" s="121"/>
      <c r="CH27" s="121"/>
      <c r="CI27" s="121"/>
      <c r="CJ27" s="121"/>
      <c r="CK27" s="121"/>
      <c r="CL27" s="121"/>
      <c r="CM27" s="121"/>
    </row>
    <row r="28" spans="1:91" x14ac:dyDescent="0.25">
      <c r="A28" s="7">
        <v>7</v>
      </c>
      <c r="B28" s="9">
        <f t="shared" si="0"/>
        <v>20174</v>
      </c>
      <c r="C28" s="9"/>
      <c r="D28" s="129">
        <v>897924.25</v>
      </c>
      <c r="E28" s="129">
        <v>468658316.41000003</v>
      </c>
      <c r="F28" s="129">
        <v>435780473.68488574</v>
      </c>
      <c r="G28" s="129">
        <v>936693.85499999998</v>
      </c>
      <c r="H28" s="129">
        <v>475345883.04000002</v>
      </c>
      <c r="I28" s="129">
        <v>461203136.76822937</v>
      </c>
      <c r="J28" s="121">
        <v>0</v>
      </c>
      <c r="K28" s="9">
        <f t="shared" si="1"/>
        <v>20174</v>
      </c>
      <c r="L28" s="9"/>
      <c r="M28" s="129">
        <v>509065.08333333302</v>
      </c>
      <c r="N28" s="129">
        <v>18819043.690000001</v>
      </c>
      <c r="O28" s="129">
        <v>18715005.64901524</v>
      </c>
      <c r="P28" s="129">
        <v>529591.61416666606</v>
      </c>
      <c r="Q28" s="129">
        <v>19796016.879999999</v>
      </c>
      <c r="R28" s="129">
        <v>19682585.679426745</v>
      </c>
      <c r="S28" s="121">
        <v>0</v>
      </c>
      <c r="T28" s="9">
        <f t="shared" si="2"/>
        <v>20174</v>
      </c>
      <c r="U28" s="9"/>
      <c r="V28" s="129">
        <v>878265.41666666605</v>
      </c>
      <c r="W28" s="129">
        <v>62359009.450000003</v>
      </c>
      <c r="X28" s="129">
        <v>90333789.622303918</v>
      </c>
      <c r="Y28" s="129">
        <v>915678.77333333297</v>
      </c>
      <c r="Z28" s="129">
        <v>63240288.130000003</v>
      </c>
      <c r="AA28" s="129">
        <v>94836114.210371956</v>
      </c>
      <c r="AB28" s="121">
        <v>0</v>
      </c>
      <c r="AC28" s="9">
        <f t="shared" si="3"/>
        <v>20174</v>
      </c>
      <c r="AD28" s="9"/>
      <c r="AE28" s="129">
        <v>793750.08333333302</v>
      </c>
      <c r="AF28" s="129">
        <v>78262977.930000007</v>
      </c>
      <c r="AG28" s="129">
        <v>105585466.76250052</v>
      </c>
      <c r="AH28" s="129">
        <v>828690.57916666602</v>
      </c>
      <c r="AI28" s="129">
        <v>81180934.730000004</v>
      </c>
      <c r="AJ28" s="129">
        <v>109992148.10766207</v>
      </c>
      <c r="AK28" s="121">
        <v>0</v>
      </c>
      <c r="AL28" s="9">
        <f t="shared" si="4"/>
        <v>20174</v>
      </c>
      <c r="AM28" s="9"/>
      <c r="AN28" s="129">
        <v>765499.08333333302</v>
      </c>
      <c r="AO28" s="129">
        <v>317585810.87</v>
      </c>
      <c r="AP28" s="129">
        <v>309738947.03135586</v>
      </c>
      <c r="AQ28" s="129">
        <v>799701.06916666601</v>
      </c>
      <c r="AR28" s="129">
        <v>327752067.31999999</v>
      </c>
      <c r="AS28" s="129">
        <v>321973628.93442982</v>
      </c>
      <c r="AT28" s="121">
        <v>0</v>
      </c>
      <c r="AU28" s="9">
        <f t="shared" si="5"/>
        <v>20174</v>
      </c>
      <c r="AV28" s="9"/>
      <c r="AW28" s="129">
        <v>952832.16666666605</v>
      </c>
      <c r="AX28" s="129">
        <v>18200717.259999998</v>
      </c>
      <c r="AY28" s="129">
        <v>19429503.506801222</v>
      </c>
      <c r="AZ28" s="129">
        <v>995306.2799999991</v>
      </c>
      <c r="BA28" s="129">
        <v>18843758.32</v>
      </c>
      <c r="BB28" s="129">
        <v>20224279.841140229</v>
      </c>
      <c r="BC28" s="121">
        <v>0</v>
      </c>
      <c r="BD28" s="9">
        <f t="shared" si="6"/>
        <v>20174</v>
      </c>
      <c r="BE28" s="9"/>
      <c r="BF28" s="129">
        <v>54908.666666666628</v>
      </c>
      <c r="BG28" s="129">
        <v>218762.11000000002</v>
      </c>
      <c r="BH28" s="129">
        <v>137593.04597121858</v>
      </c>
      <c r="BI28" s="129">
        <v>57618.041666666599</v>
      </c>
      <c r="BJ28" s="129">
        <v>238475.76</v>
      </c>
      <c r="BK28" s="129">
        <v>143473.78622917042</v>
      </c>
      <c r="BL28" s="121">
        <v>0</v>
      </c>
      <c r="BM28" s="9">
        <f t="shared" si="7"/>
        <v>20174</v>
      </c>
      <c r="BN28" s="9"/>
      <c r="BO28" s="121"/>
      <c r="BP28" s="121"/>
      <c r="BQ28" s="121"/>
      <c r="BR28" s="121"/>
      <c r="BS28" s="121"/>
      <c r="BT28" s="121"/>
      <c r="BU28" s="121"/>
      <c r="BV28" s="9">
        <f t="shared" si="8"/>
        <v>20174</v>
      </c>
      <c r="BW28" s="9"/>
      <c r="BX28" s="121"/>
      <c r="BY28" s="121"/>
      <c r="BZ28" s="121"/>
      <c r="CA28" s="121"/>
      <c r="CB28" s="121"/>
      <c r="CC28" s="121"/>
      <c r="CD28" s="121"/>
      <c r="CE28" s="9">
        <f t="shared" si="9"/>
        <v>20174</v>
      </c>
      <c r="CF28" s="9"/>
      <c r="CG28" s="121"/>
      <c r="CH28" s="121"/>
      <c r="CI28" s="121"/>
      <c r="CJ28" s="121"/>
      <c r="CK28" s="121"/>
      <c r="CL28" s="121"/>
      <c r="CM28" s="121"/>
    </row>
    <row r="29" spans="1:91" x14ac:dyDescent="0.25">
      <c r="A29" s="7">
        <v>8</v>
      </c>
      <c r="B29" s="9">
        <f t="shared" si="0"/>
        <v>20181</v>
      </c>
      <c r="C29" s="9"/>
      <c r="D29" s="129">
        <v>949870.66666666605</v>
      </c>
      <c r="E29" s="129">
        <v>533489683.44999999</v>
      </c>
      <c r="F29" s="129">
        <v>460815294.78966981</v>
      </c>
      <c r="G29" s="129">
        <v>928525.995833333</v>
      </c>
      <c r="H29" s="129">
        <v>491748108.38</v>
      </c>
      <c r="I29" s="129">
        <v>452307918.73959863</v>
      </c>
      <c r="J29" s="121">
        <v>0</v>
      </c>
      <c r="K29" s="9">
        <f t="shared" si="1"/>
        <v>20181</v>
      </c>
      <c r="L29" s="9"/>
      <c r="M29" s="129">
        <v>536599.83333333302</v>
      </c>
      <c r="N29" s="129">
        <v>20074039.579999998</v>
      </c>
      <c r="O29" s="129">
        <v>19635641.01445977</v>
      </c>
      <c r="P29" s="129">
        <v>525329.87916666595</v>
      </c>
      <c r="Q29" s="129">
        <v>19506487.41</v>
      </c>
      <c r="R29" s="129">
        <v>19352548.669790152</v>
      </c>
      <c r="S29" s="121">
        <v>0</v>
      </c>
      <c r="T29" s="9">
        <f t="shared" si="2"/>
        <v>20181</v>
      </c>
      <c r="U29" s="9"/>
      <c r="V29" s="129">
        <v>928848.66666666605</v>
      </c>
      <c r="W29" s="129">
        <v>69854326.510000005</v>
      </c>
      <c r="X29" s="129">
        <v>95285212.203411266</v>
      </c>
      <c r="Y29" s="129">
        <v>907905.16500000004</v>
      </c>
      <c r="Z29" s="129">
        <v>65051198.810000002</v>
      </c>
      <c r="AA29" s="129">
        <v>93406588.13454701</v>
      </c>
      <c r="AB29" s="121">
        <v>0</v>
      </c>
      <c r="AC29" s="9">
        <f t="shared" si="3"/>
        <v>20181</v>
      </c>
      <c r="AD29" s="9"/>
      <c r="AE29" s="129">
        <v>840305.08333333302</v>
      </c>
      <c r="AF29" s="129">
        <v>84459968.049999997</v>
      </c>
      <c r="AG29" s="129">
        <v>112847453.90263839</v>
      </c>
      <c r="AH29" s="129">
        <v>822576.97333333304</v>
      </c>
      <c r="AI29" s="129">
        <v>81519014.510000005</v>
      </c>
      <c r="AJ29" s="129">
        <v>109825504.32857947</v>
      </c>
      <c r="AK29" s="121">
        <v>0</v>
      </c>
      <c r="AL29" s="9">
        <f t="shared" si="4"/>
        <v>20181</v>
      </c>
      <c r="AM29" s="9"/>
      <c r="AN29" s="129">
        <v>809969.25</v>
      </c>
      <c r="AO29" s="129">
        <v>344818859.55000001</v>
      </c>
      <c r="AP29" s="129">
        <v>331464825.59198099</v>
      </c>
      <c r="AQ29" s="129">
        <v>793342.45416666602</v>
      </c>
      <c r="AR29" s="129">
        <v>329919353.17000002</v>
      </c>
      <c r="AS29" s="129">
        <v>321098737.6664719</v>
      </c>
      <c r="AT29" s="121">
        <v>0</v>
      </c>
      <c r="AU29" s="9">
        <f t="shared" si="5"/>
        <v>20181</v>
      </c>
      <c r="AV29" s="9"/>
      <c r="AW29" s="129">
        <v>1014413.4999999991</v>
      </c>
      <c r="AX29" s="129">
        <v>19745766.350000001</v>
      </c>
      <c r="AY29" s="129">
        <v>20745083.520973295</v>
      </c>
      <c r="AZ29" s="129">
        <v>988064.39333333203</v>
      </c>
      <c r="BA29" s="129">
        <v>18911528.48</v>
      </c>
      <c r="BB29" s="129">
        <v>20141914.356385507</v>
      </c>
      <c r="BC29" s="121">
        <v>0</v>
      </c>
      <c r="BD29" s="9">
        <f t="shared" si="6"/>
        <v>20181</v>
      </c>
      <c r="BE29" s="9"/>
      <c r="BF29" s="129">
        <v>58801.333333333299</v>
      </c>
      <c r="BG29" s="129">
        <v>213474.48</v>
      </c>
      <c r="BH29" s="129">
        <v>146517.40046220229</v>
      </c>
      <c r="BI29" s="129">
        <v>57078.122500000005</v>
      </c>
      <c r="BJ29" s="129">
        <v>224036.48000000001</v>
      </c>
      <c r="BK29" s="129">
        <v>142620.88992419673</v>
      </c>
      <c r="BL29" s="121">
        <v>0</v>
      </c>
      <c r="BM29" s="9">
        <f t="shared" si="7"/>
        <v>20181</v>
      </c>
      <c r="BN29" s="9"/>
      <c r="BO29" s="121"/>
      <c r="BP29" s="121"/>
      <c r="BQ29" s="121"/>
      <c r="BR29" s="121"/>
      <c r="BS29" s="121"/>
      <c r="BT29" s="121"/>
      <c r="BU29" s="121"/>
      <c r="BV29" s="9">
        <f t="shared" si="8"/>
        <v>20181</v>
      </c>
      <c r="BW29" s="9"/>
      <c r="BX29" s="121"/>
      <c r="BY29" s="121"/>
      <c r="BZ29" s="121"/>
      <c r="CA29" s="121"/>
      <c r="CB29" s="121"/>
      <c r="CC29" s="121"/>
      <c r="CD29" s="121"/>
      <c r="CE29" s="9">
        <f t="shared" si="9"/>
        <v>20181</v>
      </c>
      <c r="CF29" s="9"/>
      <c r="CG29" s="121"/>
      <c r="CH29" s="121"/>
      <c r="CI29" s="121"/>
      <c r="CJ29" s="121"/>
      <c r="CK29" s="121"/>
      <c r="CL29" s="121"/>
      <c r="CM29" s="121"/>
    </row>
    <row r="30" spans="1:91" x14ac:dyDescent="0.25">
      <c r="A30" s="7">
        <v>9</v>
      </c>
      <c r="B30" s="9">
        <f t="shared" si="0"/>
        <v>20182</v>
      </c>
      <c r="C30" s="9"/>
      <c r="D30" s="129">
        <v>887257.08333333302</v>
      </c>
      <c r="E30" s="129">
        <v>491004017.88</v>
      </c>
      <c r="F30" s="129">
        <v>424117219.62284273</v>
      </c>
      <c r="G30" s="129">
        <v>921894.52249999996</v>
      </c>
      <c r="H30" s="129">
        <v>509034114.57999998</v>
      </c>
      <c r="I30" s="129">
        <v>445227508.46116763</v>
      </c>
      <c r="J30" s="121">
        <v>0</v>
      </c>
      <c r="K30" s="9">
        <f t="shared" si="1"/>
        <v>20182</v>
      </c>
      <c r="L30" s="9"/>
      <c r="M30" s="129">
        <v>501933.08333333302</v>
      </c>
      <c r="N30" s="129">
        <v>18531961.199999999</v>
      </c>
      <c r="O30" s="129">
        <v>18127240.208275862</v>
      </c>
      <c r="P30" s="129">
        <v>521081.13750000001</v>
      </c>
      <c r="Q30" s="129">
        <v>19398772.359999999</v>
      </c>
      <c r="R30" s="129">
        <v>19029741.077666998</v>
      </c>
      <c r="S30" s="121">
        <v>0</v>
      </c>
      <c r="T30" s="9">
        <f t="shared" si="2"/>
        <v>20182</v>
      </c>
      <c r="U30" s="9"/>
      <c r="V30" s="129">
        <v>868258.66666666605</v>
      </c>
      <c r="W30" s="129">
        <v>65007055.850000001</v>
      </c>
      <c r="X30" s="129">
        <v>88673263.645302266</v>
      </c>
      <c r="Y30" s="129">
        <v>901707.44749999896</v>
      </c>
      <c r="Z30" s="129">
        <v>67021948.939999998</v>
      </c>
      <c r="AA30" s="129">
        <v>92365146.409023076</v>
      </c>
      <c r="AB30" s="121">
        <v>0</v>
      </c>
      <c r="AC30" s="9">
        <f t="shared" si="3"/>
        <v>20182</v>
      </c>
      <c r="AD30" s="9"/>
      <c r="AE30" s="129">
        <v>790409.41666666605</v>
      </c>
      <c r="AF30" s="129">
        <v>80583631.659999996</v>
      </c>
      <c r="AG30" s="129">
        <v>107668258.33601581</v>
      </c>
      <c r="AH30" s="129">
        <v>817127.69333333301</v>
      </c>
      <c r="AI30" s="129">
        <v>82126123.269999996</v>
      </c>
      <c r="AJ30" s="129">
        <v>109914616.92400083</v>
      </c>
      <c r="AK30" s="121">
        <v>0</v>
      </c>
      <c r="AL30" s="9">
        <f t="shared" si="4"/>
        <v>20182</v>
      </c>
      <c r="AM30" s="9"/>
      <c r="AN30" s="129">
        <v>761518.5</v>
      </c>
      <c r="AO30" s="129">
        <v>323316671.69</v>
      </c>
      <c r="AP30" s="129">
        <v>310795367.55200553</v>
      </c>
      <c r="AQ30" s="129">
        <v>787669.39083333302</v>
      </c>
      <c r="AR30" s="129">
        <v>333124590.39999998</v>
      </c>
      <c r="AS30" s="129">
        <v>321031042.05391687</v>
      </c>
      <c r="AT30" s="121">
        <v>0</v>
      </c>
      <c r="AU30" s="9">
        <f t="shared" si="5"/>
        <v>20182</v>
      </c>
      <c r="AV30" s="9"/>
      <c r="AW30" s="129">
        <v>944122.75</v>
      </c>
      <c r="AX30" s="129">
        <v>18389386.449999999</v>
      </c>
      <c r="AY30" s="129">
        <v>19320029.11052325</v>
      </c>
      <c r="AZ30" s="129">
        <v>982394.44916666602</v>
      </c>
      <c r="BA30" s="129">
        <v>19044693.379999999</v>
      </c>
      <c r="BB30" s="129">
        <v>20064189.831920363</v>
      </c>
      <c r="BC30" s="121">
        <v>0</v>
      </c>
      <c r="BD30" s="9">
        <f t="shared" si="6"/>
        <v>20182</v>
      </c>
      <c r="BE30" s="9"/>
      <c r="BF30" s="129">
        <v>54133.333333333256</v>
      </c>
      <c r="BG30" s="129">
        <v>197843.94999999998</v>
      </c>
      <c r="BH30" s="129">
        <v>135747.4804744781</v>
      </c>
      <c r="BI30" s="129">
        <v>56728.009166666598</v>
      </c>
      <c r="BJ30" s="129">
        <v>210086.7</v>
      </c>
      <c r="BK30" s="129">
        <v>141915.17099324602</v>
      </c>
      <c r="BL30" s="121">
        <v>0</v>
      </c>
      <c r="BM30" s="9">
        <f t="shared" si="7"/>
        <v>20182</v>
      </c>
      <c r="BN30" s="9"/>
      <c r="BO30" s="121"/>
      <c r="BP30" s="121"/>
      <c r="BQ30" s="121"/>
      <c r="BR30" s="121"/>
      <c r="BS30" s="121"/>
      <c r="BT30" s="121"/>
      <c r="BU30" s="121"/>
      <c r="BV30" s="9">
        <f t="shared" si="8"/>
        <v>20182</v>
      </c>
      <c r="BW30" s="9"/>
      <c r="BX30" s="121"/>
      <c r="BY30" s="121"/>
      <c r="BZ30" s="121"/>
      <c r="CA30" s="121"/>
      <c r="CB30" s="121"/>
      <c r="CC30" s="121"/>
      <c r="CD30" s="121"/>
      <c r="CE30" s="9">
        <f t="shared" si="9"/>
        <v>20182</v>
      </c>
      <c r="CF30" s="9"/>
      <c r="CG30" s="121"/>
      <c r="CH30" s="121"/>
      <c r="CI30" s="121"/>
      <c r="CJ30" s="121"/>
      <c r="CK30" s="121"/>
      <c r="CL30" s="121"/>
      <c r="CM30" s="121"/>
    </row>
    <row r="31" spans="1:91" x14ac:dyDescent="0.25">
      <c r="A31" s="7">
        <v>10</v>
      </c>
      <c r="B31" s="9">
        <f t="shared" si="0"/>
        <v>20183</v>
      </c>
      <c r="C31" s="9"/>
      <c r="D31" s="129">
        <v>933542.41666666605</v>
      </c>
      <c r="E31" s="129">
        <v>515684509.22000003</v>
      </c>
      <c r="F31" s="129">
        <v>445435622.29343897</v>
      </c>
      <c r="G31" s="129">
        <v>914679.809166666</v>
      </c>
      <c r="H31" s="129">
        <v>507768359.19</v>
      </c>
      <c r="I31" s="129">
        <v>438597846.18859774</v>
      </c>
      <c r="J31" s="121">
        <v>0</v>
      </c>
      <c r="K31" s="9">
        <f t="shared" si="1"/>
        <v>20183</v>
      </c>
      <c r="L31" s="9"/>
      <c r="M31" s="129">
        <v>528544.08333333302</v>
      </c>
      <c r="N31" s="129">
        <v>19510611.710000001</v>
      </c>
      <c r="O31" s="129">
        <v>19084517.89104598</v>
      </c>
      <c r="P31" s="129">
        <v>517263.433333333</v>
      </c>
      <c r="Q31" s="129">
        <v>19173541.920000002</v>
      </c>
      <c r="R31" s="129">
        <v>18754809.39531035</v>
      </c>
      <c r="S31" s="121">
        <v>0</v>
      </c>
      <c r="T31" s="9">
        <f t="shared" si="2"/>
        <v>20183</v>
      </c>
      <c r="U31" s="9"/>
      <c r="V31" s="129">
        <v>913878.25</v>
      </c>
      <c r="W31" s="129">
        <v>68186559.5</v>
      </c>
      <c r="X31" s="129">
        <v>93010284.630658135</v>
      </c>
      <c r="Y31" s="129">
        <v>895007.99416666594</v>
      </c>
      <c r="Z31" s="129">
        <v>67007807.909999996</v>
      </c>
      <c r="AA31" s="129">
        <v>91402401.468658417</v>
      </c>
      <c r="AB31" s="121">
        <v>0</v>
      </c>
      <c r="AC31" s="9">
        <f t="shared" si="3"/>
        <v>20183</v>
      </c>
      <c r="AD31" s="9"/>
      <c r="AE31" s="129">
        <v>831036.75</v>
      </c>
      <c r="AF31" s="129">
        <v>84786179.200000003</v>
      </c>
      <c r="AG31" s="129">
        <v>113283306.51497136</v>
      </c>
      <c r="AH31" s="129">
        <v>811842.02583333303</v>
      </c>
      <c r="AI31" s="129">
        <v>82309076.599999994</v>
      </c>
      <c r="AJ31" s="129">
        <v>109973635.34270519</v>
      </c>
      <c r="AK31" s="121">
        <v>0</v>
      </c>
      <c r="AL31" s="9">
        <f t="shared" si="4"/>
        <v>20183</v>
      </c>
      <c r="AM31" s="9"/>
      <c r="AN31" s="129">
        <v>800679</v>
      </c>
      <c r="AO31" s="129">
        <v>343996646.25</v>
      </c>
      <c r="AP31" s="129">
        <v>330674454.70438057</v>
      </c>
      <c r="AQ31" s="129">
        <v>782246.28249999997</v>
      </c>
      <c r="AR31" s="129">
        <v>333822513.31999999</v>
      </c>
      <c r="AS31" s="129">
        <v>320894342.32423657</v>
      </c>
      <c r="AT31" s="121">
        <v>0</v>
      </c>
      <c r="AU31" s="9">
        <f t="shared" si="5"/>
        <v>20183</v>
      </c>
      <c r="AV31" s="9"/>
      <c r="AW31" s="129">
        <v>1001649.833333333</v>
      </c>
      <c r="AX31" s="129">
        <v>19577115.960000001</v>
      </c>
      <c r="AY31" s="129">
        <v>20567696.385569356</v>
      </c>
      <c r="AZ31" s="129">
        <v>976110.77333333204</v>
      </c>
      <c r="BA31" s="129">
        <v>19022340.32</v>
      </c>
      <c r="BB31" s="129">
        <v>19984981.669682637</v>
      </c>
      <c r="BC31" s="121">
        <v>0</v>
      </c>
      <c r="BD31" s="9">
        <f t="shared" si="6"/>
        <v>20183</v>
      </c>
      <c r="BE31" s="9"/>
      <c r="BF31" s="129">
        <v>57995.666666666599</v>
      </c>
      <c r="BG31" s="129">
        <v>211813.63</v>
      </c>
      <c r="BH31" s="129">
        <v>145348.93008762336</v>
      </c>
      <c r="BI31" s="129">
        <v>56270.314166666598</v>
      </c>
      <c r="BJ31" s="129">
        <v>205413.62</v>
      </c>
      <c r="BK31" s="129">
        <v>140958.84720492229</v>
      </c>
      <c r="BL31" s="121">
        <v>0</v>
      </c>
      <c r="BM31" s="9">
        <f t="shared" si="7"/>
        <v>20183</v>
      </c>
      <c r="BN31" s="9"/>
      <c r="BO31" s="121"/>
      <c r="BP31" s="121"/>
      <c r="BQ31" s="121"/>
      <c r="BR31" s="121"/>
      <c r="BS31" s="121"/>
      <c r="BT31" s="121"/>
      <c r="BU31" s="121"/>
      <c r="BV31" s="9">
        <f t="shared" si="8"/>
        <v>20183</v>
      </c>
      <c r="BW31" s="9"/>
      <c r="BX31" s="121"/>
      <c r="BY31" s="121"/>
      <c r="BZ31" s="121"/>
      <c r="CA31" s="121"/>
      <c r="CB31" s="121"/>
      <c r="CC31" s="121"/>
      <c r="CD31" s="121"/>
      <c r="CE31" s="9">
        <f t="shared" si="9"/>
        <v>20183</v>
      </c>
      <c r="CF31" s="9"/>
      <c r="CG31" s="121"/>
      <c r="CH31" s="121"/>
      <c r="CI31" s="121"/>
      <c r="CJ31" s="121"/>
      <c r="CK31" s="121"/>
      <c r="CL31" s="121"/>
      <c r="CM31" s="121"/>
    </row>
    <row r="32" spans="1:91" x14ac:dyDescent="0.25">
      <c r="A32" s="7">
        <v>11</v>
      </c>
      <c r="B32" s="9">
        <f t="shared" si="0"/>
        <v>20184</v>
      </c>
      <c r="C32" s="9"/>
      <c r="D32" s="129">
        <v>875698.33333333302</v>
      </c>
      <c r="E32" s="129">
        <v>478527678.76999998</v>
      </c>
      <c r="F32" s="129">
        <v>414790648.43615115</v>
      </c>
      <c r="G32" s="129">
        <v>908598.48333333305</v>
      </c>
      <c r="H32" s="129">
        <v>501117306.79000002</v>
      </c>
      <c r="I32" s="129">
        <v>432941126.13386285</v>
      </c>
      <c r="J32" s="121">
        <v>0</v>
      </c>
      <c r="K32" s="9">
        <f t="shared" si="1"/>
        <v>20184</v>
      </c>
      <c r="L32" s="9"/>
      <c r="M32" s="129">
        <v>495982.16666666599</v>
      </c>
      <c r="N32" s="129">
        <v>18114830.370000001</v>
      </c>
      <c r="O32" s="129">
        <v>17777166.512413882</v>
      </c>
      <c r="P32" s="129">
        <v>514169.994166666</v>
      </c>
      <c r="Q32" s="130">
        <v>18942012.52</v>
      </c>
      <c r="R32" s="130">
        <v>18531860.15062438</v>
      </c>
      <c r="S32" s="121">
        <v>0</v>
      </c>
      <c r="T32" s="9">
        <f t="shared" si="2"/>
        <v>20184</v>
      </c>
      <c r="U32" s="9"/>
      <c r="V32" s="129">
        <v>857770.91666666605</v>
      </c>
      <c r="W32" s="129">
        <v>67640312.810000002</v>
      </c>
      <c r="X32" s="129">
        <v>86929989.967393756</v>
      </c>
      <c r="Y32" s="130">
        <v>889487.80249999999</v>
      </c>
      <c r="Z32" s="130">
        <v>66704779.189999998</v>
      </c>
      <c r="AA32" s="130">
        <v>90664464.451735437</v>
      </c>
      <c r="AB32" s="121">
        <v>0</v>
      </c>
      <c r="AC32" s="9">
        <f t="shared" si="3"/>
        <v>20184</v>
      </c>
      <c r="AD32" s="9"/>
      <c r="AE32" s="129">
        <v>777484.08333333302</v>
      </c>
      <c r="AF32" s="129">
        <v>79747158.700000003</v>
      </c>
      <c r="AG32" s="129">
        <v>106751024.52580747</v>
      </c>
      <c r="AH32" s="130">
        <v>807497.0575</v>
      </c>
      <c r="AI32" s="130">
        <v>82379670.959999993</v>
      </c>
      <c r="AJ32" s="130">
        <v>110080010.37645599</v>
      </c>
      <c r="AK32" s="121">
        <v>0</v>
      </c>
      <c r="AL32" s="9">
        <f t="shared" si="4"/>
        <v>20184</v>
      </c>
      <c r="AM32" s="9"/>
      <c r="AN32" s="129">
        <v>748699.08333333302</v>
      </c>
      <c r="AO32" s="129">
        <v>320194875.52999997</v>
      </c>
      <c r="AP32" s="129">
        <v>312903600.41071171</v>
      </c>
      <c r="AQ32" s="130">
        <v>777914.65</v>
      </c>
      <c r="AR32" s="130">
        <v>333947567.42000002</v>
      </c>
      <c r="AS32" s="130">
        <v>321320602.87576288</v>
      </c>
      <c r="AT32" s="121">
        <v>0</v>
      </c>
      <c r="AU32" s="9">
        <f t="shared" si="5"/>
        <v>20184</v>
      </c>
      <c r="AV32" s="9"/>
      <c r="AW32" s="129">
        <v>935678.49999999907</v>
      </c>
      <c r="AX32" s="129">
        <v>18351480.469999999</v>
      </c>
      <c r="AY32" s="129">
        <v>19279884.424343154</v>
      </c>
      <c r="AZ32" s="129">
        <v>971731.11166666495</v>
      </c>
      <c r="BA32" s="129">
        <v>18991252.560000002</v>
      </c>
      <c r="BB32" s="129">
        <v>19952194.534330301</v>
      </c>
      <c r="BC32" s="121">
        <v>0</v>
      </c>
      <c r="BD32" s="9">
        <f t="shared" si="6"/>
        <v>20184</v>
      </c>
      <c r="BE32" s="9"/>
      <c r="BF32" s="129">
        <v>53477.25</v>
      </c>
      <c r="BG32" s="129">
        <v>195404.71</v>
      </c>
      <c r="BH32" s="129">
        <v>134684.52436900404</v>
      </c>
      <c r="BI32" s="129">
        <v>55934.734999999899</v>
      </c>
      <c r="BJ32" s="129">
        <v>204419.25999999998</v>
      </c>
      <c r="BK32" s="129">
        <v>140301.87760925034</v>
      </c>
      <c r="BL32" s="121">
        <v>0</v>
      </c>
      <c r="BM32" s="9">
        <f t="shared" si="7"/>
        <v>20184</v>
      </c>
      <c r="BN32" s="9"/>
      <c r="BO32" s="121"/>
      <c r="BP32" s="121"/>
      <c r="BQ32" s="121"/>
      <c r="BR32" s="121"/>
      <c r="BS32" s="121"/>
      <c r="BT32" s="121"/>
      <c r="BU32" s="121"/>
      <c r="BV32" s="9">
        <f t="shared" si="8"/>
        <v>20184</v>
      </c>
      <c r="BW32" s="9"/>
      <c r="BX32" s="121"/>
      <c r="BY32" s="121"/>
      <c r="BZ32" s="121"/>
      <c r="CA32" s="121"/>
      <c r="CB32" s="121"/>
      <c r="CC32" s="121"/>
      <c r="CD32" s="121"/>
      <c r="CE32" s="9">
        <f t="shared" si="9"/>
        <v>20184</v>
      </c>
      <c r="CF32" s="9"/>
      <c r="CG32" s="121"/>
      <c r="CH32" s="121"/>
      <c r="CI32" s="121"/>
      <c r="CJ32" s="121"/>
      <c r="CK32" s="121"/>
      <c r="CL32" s="121"/>
      <c r="CM32" s="121"/>
    </row>
    <row r="33" spans="1:91" x14ac:dyDescent="0.25">
      <c r="A33" s="7">
        <v>12</v>
      </c>
      <c r="B33" s="9">
        <f t="shared" si="0"/>
        <v>20191</v>
      </c>
      <c r="C33" s="9"/>
      <c r="D33" s="129">
        <v>929763</v>
      </c>
      <c r="E33" s="129">
        <v>502539150.72000003</v>
      </c>
      <c r="F33" s="129">
        <v>440684037.25698131</v>
      </c>
      <c r="G33" s="129">
        <v>905023.94166666595</v>
      </c>
      <c r="H33" s="129">
        <v>494855143.12</v>
      </c>
      <c r="I33" s="129">
        <v>429805077.4803344</v>
      </c>
      <c r="J33" s="121">
        <v>0</v>
      </c>
      <c r="K33" s="9">
        <f t="shared" si="1"/>
        <v>20191</v>
      </c>
      <c r="L33" s="9"/>
      <c r="M33" s="129">
        <v>525213</v>
      </c>
      <c r="N33" s="129">
        <v>18977781.010000002</v>
      </c>
      <c r="O33" s="129">
        <v>18826326.337305419</v>
      </c>
      <c r="P33" s="129">
        <v>512022.13916666602</v>
      </c>
      <c r="Q33" s="130">
        <v>18701399.34</v>
      </c>
      <c r="R33" s="130">
        <v>18387162.734409086</v>
      </c>
      <c r="S33" s="121">
        <v>0</v>
      </c>
      <c r="T33" s="9">
        <f t="shared" si="2"/>
        <v>20191</v>
      </c>
      <c r="U33" s="9"/>
      <c r="V33" s="129">
        <v>910259.08333333302</v>
      </c>
      <c r="W33" s="129">
        <v>85863850.519999996</v>
      </c>
      <c r="X33" s="129">
        <v>92731946.314614803</v>
      </c>
      <c r="Y33" s="130">
        <v>886106.86750000005</v>
      </c>
      <c r="Z33" s="130">
        <v>72415598.439999998</v>
      </c>
      <c r="AA33" s="130">
        <v>90090280.131478891</v>
      </c>
      <c r="AB33" s="121">
        <v>0</v>
      </c>
      <c r="AC33" s="9">
        <f t="shared" si="3"/>
        <v>20191</v>
      </c>
      <c r="AD33" s="9"/>
      <c r="AE33" s="129">
        <v>826724.25</v>
      </c>
      <c r="AF33" s="129">
        <v>84713412.340000004</v>
      </c>
      <c r="AG33" s="129">
        <v>114104017.5284756</v>
      </c>
      <c r="AH33" s="130">
        <v>805446.58083333296</v>
      </c>
      <c r="AI33" s="130">
        <v>82612098.739999995</v>
      </c>
      <c r="AJ33" s="130">
        <v>110705055.21056929</v>
      </c>
      <c r="AK33" s="121">
        <v>0</v>
      </c>
      <c r="AL33" s="9">
        <f t="shared" si="4"/>
        <v>20191</v>
      </c>
      <c r="AM33" s="9"/>
      <c r="AN33" s="129">
        <v>796188.33333333302</v>
      </c>
      <c r="AO33" s="129">
        <v>325432838.81</v>
      </c>
      <c r="AP33" s="129">
        <v>336367819.59324735</v>
      </c>
      <c r="AQ33" s="130">
        <v>775744.8075</v>
      </c>
      <c r="AR33" s="130">
        <v>328210185.10000002</v>
      </c>
      <c r="AS33" s="130">
        <v>323807782.75922376</v>
      </c>
      <c r="AT33" s="121">
        <v>0</v>
      </c>
      <c r="AU33" s="9">
        <f t="shared" si="5"/>
        <v>20191</v>
      </c>
      <c r="AV33" s="9"/>
      <c r="AW33" s="129">
        <v>1002732.9999999991</v>
      </c>
      <c r="AX33" s="129">
        <v>19747886.59</v>
      </c>
      <c r="AY33" s="129">
        <v>20746751.609057784</v>
      </c>
      <c r="AZ33" s="129">
        <v>970690.03749999893</v>
      </c>
      <c r="BA33" s="129">
        <v>19042028.439999998</v>
      </c>
      <c r="BB33" s="129">
        <v>20005377.182491187</v>
      </c>
      <c r="BC33" s="121">
        <v>0</v>
      </c>
      <c r="BD33" s="9">
        <f t="shared" si="6"/>
        <v>20191</v>
      </c>
      <c r="BE33" s="9"/>
      <c r="BF33" s="129">
        <v>57838.499999999898</v>
      </c>
      <c r="BG33" s="129">
        <v>207686.35</v>
      </c>
      <c r="BH33" s="129">
        <v>145410.97763773755</v>
      </c>
      <c r="BI33" s="129">
        <v>55781.805833333303</v>
      </c>
      <c r="BJ33" s="129">
        <v>203048.75</v>
      </c>
      <c r="BK33" s="129">
        <v>140341.24204011686</v>
      </c>
      <c r="BL33" s="121">
        <v>0</v>
      </c>
      <c r="BM33" s="9">
        <f t="shared" si="7"/>
        <v>20191</v>
      </c>
      <c r="BN33" s="9"/>
      <c r="BO33" s="121"/>
      <c r="BP33" s="121"/>
      <c r="BQ33" s="121"/>
      <c r="BR33" s="121"/>
      <c r="BS33" s="121"/>
      <c r="BT33" s="121"/>
      <c r="BU33" s="121"/>
      <c r="BV33" s="9">
        <f t="shared" si="8"/>
        <v>20191</v>
      </c>
      <c r="BW33" s="9"/>
      <c r="BX33" s="121"/>
      <c r="BY33" s="121"/>
      <c r="BZ33" s="121"/>
      <c r="CA33" s="121"/>
      <c r="CB33" s="121"/>
      <c r="CC33" s="121"/>
      <c r="CD33" s="121"/>
      <c r="CE33" s="9">
        <f t="shared" si="9"/>
        <v>20191</v>
      </c>
      <c r="CF33" s="9"/>
      <c r="CG33" s="121"/>
      <c r="CH33" s="121"/>
      <c r="CI33" s="121"/>
      <c r="CJ33" s="121"/>
      <c r="CK33" s="121"/>
      <c r="CL33" s="121"/>
      <c r="CM33" s="121"/>
    </row>
    <row r="34" spans="1:91" x14ac:dyDescent="0.25">
      <c r="A34" s="7">
        <v>13</v>
      </c>
      <c r="B34" s="9">
        <f t="shared" si="0"/>
        <v>20192</v>
      </c>
      <c r="C34" s="9"/>
      <c r="D34" s="129">
        <v>871262.75</v>
      </c>
      <c r="E34" s="129">
        <v>462215331.88999999</v>
      </c>
      <c r="F34" s="129">
        <v>405323482.25511944</v>
      </c>
      <c r="G34" s="129">
        <v>901738.12666666601</v>
      </c>
      <c r="H34" s="129">
        <v>486560206.30000001</v>
      </c>
      <c r="I34" s="129">
        <v>425720270.19941795</v>
      </c>
      <c r="J34" s="121">
        <v>0</v>
      </c>
      <c r="K34" s="9">
        <f t="shared" si="1"/>
        <v>20192</v>
      </c>
      <c r="L34" s="9"/>
      <c r="M34" s="129">
        <v>492862</v>
      </c>
      <c r="N34" s="129">
        <v>17370550.489999998</v>
      </c>
      <c r="O34" s="129">
        <v>17248936.367549587</v>
      </c>
      <c r="P34" s="129">
        <v>509755.935833333</v>
      </c>
      <c r="Q34" s="130">
        <v>18354857.699999999</v>
      </c>
      <c r="R34" s="130">
        <v>18175017.809066445</v>
      </c>
      <c r="S34" s="121">
        <v>0</v>
      </c>
      <c r="T34" s="9">
        <f t="shared" si="2"/>
        <v>20192</v>
      </c>
      <c r="U34" s="9"/>
      <c r="V34" s="129">
        <v>853483.91666666605</v>
      </c>
      <c r="W34" s="129">
        <v>78825131.329999998</v>
      </c>
      <c r="X34" s="129">
        <v>85130212.568715602</v>
      </c>
      <c r="Y34" s="130">
        <v>883063.755</v>
      </c>
      <c r="Z34" s="130">
        <v>80028783.230000004</v>
      </c>
      <c r="AA34" s="130">
        <v>89158528.587239027</v>
      </c>
      <c r="AB34" s="121">
        <v>0</v>
      </c>
      <c r="AC34" s="9">
        <f t="shared" si="3"/>
        <v>20192</v>
      </c>
      <c r="AD34" s="9"/>
      <c r="AE34" s="129">
        <v>780398.25</v>
      </c>
      <c r="AF34" s="129">
        <v>80671403.629999995</v>
      </c>
      <c r="AG34" s="129">
        <v>108659667.92719862</v>
      </c>
      <c r="AH34" s="130">
        <v>803494.13416666596</v>
      </c>
      <c r="AI34" s="130">
        <v>82595242.810000002</v>
      </c>
      <c r="AJ34" s="130">
        <v>111118545.34341238</v>
      </c>
      <c r="AK34" s="121">
        <v>0</v>
      </c>
      <c r="AL34" s="9">
        <f t="shared" si="4"/>
        <v>20192</v>
      </c>
      <c r="AM34" s="9"/>
      <c r="AN34" s="129">
        <v>751174.08333333302</v>
      </c>
      <c r="AO34" s="129">
        <v>304438112.32999998</v>
      </c>
      <c r="AP34" s="129">
        <v>314667642.08547819</v>
      </c>
      <c r="AQ34" s="130">
        <v>773710.94499999995</v>
      </c>
      <c r="AR34" s="130">
        <v>318403728.72000003</v>
      </c>
      <c r="AS34" s="130">
        <v>325503577.89143336</v>
      </c>
      <c r="AT34" s="121">
        <v>0</v>
      </c>
      <c r="AU34" s="9">
        <f t="shared" si="5"/>
        <v>20192</v>
      </c>
      <c r="AV34" s="9"/>
      <c r="AW34" s="129">
        <v>935424.66666666605</v>
      </c>
      <c r="AX34" s="129">
        <v>18492853.940000001</v>
      </c>
      <c r="AY34" s="129">
        <v>19428224.101802375</v>
      </c>
      <c r="AZ34" s="129">
        <v>969346.00250000006</v>
      </c>
      <c r="BA34" s="129">
        <v>19087862.75</v>
      </c>
      <c r="BB34" s="129">
        <v>20053397.005524084</v>
      </c>
      <c r="BC34" s="121">
        <v>0</v>
      </c>
      <c r="BD34" s="9">
        <f t="shared" si="6"/>
        <v>20192</v>
      </c>
      <c r="BE34" s="9"/>
      <c r="BF34" s="129">
        <v>53390.166666666599</v>
      </c>
      <c r="BG34" s="129">
        <v>193461.4</v>
      </c>
      <c r="BH34" s="129">
        <v>135458.33382900583</v>
      </c>
      <c r="BI34" s="129">
        <v>55667.427500000005</v>
      </c>
      <c r="BJ34" s="129">
        <v>201097.56999999998</v>
      </c>
      <c r="BK34" s="129">
        <v>140374.35629435175</v>
      </c>
      <c r="BL34" s="121">
        <v>0</v>
      </c>
      <c r="BM34" s="9">
        <f t="shared" si="7"/>
        <v>20192</v>
      </c>
      <c r="BN34" s="9"/>
      <c r="BO34" s="121"/>
      <c r="BP34" s="121"/>
      <c r="BQ34" s="121"/>
      <c r="BR34" s="121"/>
      <c r="BS34" s="121"/>
      <c r="BT34" s="121"/>
      <c r="BU34" s="121"/>
      <c r="BV34" s="9">
        <f t="shared" si="8"/>
        <v>20192</v>
      </c>
      <c r="BW34" s="9"/>
      <c r="BX34" s="121"/>
      <c r="BY34" s="121"/>
      <c r="BZ34" s="121"/>
      <c r="CA34" s="121"/>
      <c r="CB34" s="121"/>
      <c r="CC34" s="121"/>
      <c r="CD34" s="121"/>
      <c r="CE34" s="9">
        <f t="shared" si="9"/>
        <v>20192</v>
      </c>
      <c r="CF34" s="9"/>
      <c r="CG34" s="121"/>
      <c r="CH34" s="121"/>
      <c r="CI34" s="121"/>
      <c r="CJ34" s="121"/>
      <c r="CK34" s="121"/>
      <c r="CL34" s="121"/>
      <c r="CM34" s="121"/>
    </row>
    <row r="35" spans="1:91" x14ac:dyDescent="0.25">
      <c r="A35" s="7">
        <v>14</v>
      </c>
      <c r="B35" s="9">
        <f t="shared" si="0"/>
        <v>20193</v>
      </c>
      <c r="C35" s="9"/>
      <c r="D35" s="129">
        <v>915200.91666666605</v>
      </c>
      <c r="E35" s="129">
        <v>486007570.11000001</v>
      </c>
      <c r="F35" s="129">
        <v>426187248.94702303</v>
      </c>
      <c r="G35" s="129">
        <v>895378.79499999899</v>
      </c>
      <c r="H35" s="129">
        <v>476802209.72000003</v>
      </c>
      <c r="I35" s="129">
        <v>418114931.84444779</v>
      </c>
      <c r="J35" s="121">
        <v>0</v>
      </c>
      <c r="K35" s="9">
        <f t="shared" si="1"/>
        <v>20193</v>
      </c>
      <c r="L35" s="9"/>
      <c r="M35" s="130">
        <v>518747.16666666599</v>
      </c>
      <c r="N35" s="130">
        <v>18333278.260000002</v>
      </c>
      <c r="O35" s="130">
        <v>18204923.919789966</v>
      </c>
      <c r="P35" s="129">
        <v>506955.48</v>
      </c>
      <c r="Q35" s="130">
        <v>17991170.800000001</v>
      </c>
      <c r="R35" s="130">
        <v>17860802.921853058</v>
      </c>
      <c r="S35" s="121">
        <v>0</v>
      </c>
      <c r="T35" s="9">
        <f t="shared" si="2"/>
        <v>20193</v>
      </c>
      <c r="U35" s="9"/>
      <c r="V35" s="130">
        <v>896575.25</v>
      </c>
      <c r="W35" s="130">
        <v>82673393.790000007</v>
      </c>
      <c r="X35" s="130">
        <v>89286290.658436805</v>
      </c>
      <c r="Y35" s="130">
        <v>877055.80666666594</v>
      </c>
      <c r="Z35" s="130">
        <v>81242473.280000001</v>
      </c>
      <c r="AA35" s="130">
        <v>87740913.37672621</v>
      </c>
      <c r="AB35" s="121">
        <v>0</v>
      </c>
      <c r="AC35" s="9">
        <f t="shared" si="3"/>
        <v>20193</v>
      </c>
      <c r="AD35" s="9"/>
      <c r="AE35" s="130">
        <v>819028.5</v>
      </c>
      <c r="AF35" s="130">
        <v>84567090.379999995</v>
      </c>
      <c r="AG35" s="130">
        <v>113906930.39637387</v>
      </c>
      <c r="AH35" s="130">
        <v>799203.491666666</v>
      </c>
      <c r="AI35" s="130">
        <v>82153978.609999999</v>
      </c>
      <c r="AJ35" s="130">
        <v>110656609.81434913</v>
      </c>
      <c r="AK35" s="121">
        <v>0</v>
      </c>
      <c r="AL35" s="9">
        <f t="shared" si="4"/>
        <v>20193</v>
      </c>
      <c r="AM35" s="9"/>
      <c r="AN35" s="130">
        <v>788832.66666666605</v>
      </c>
      <c r="AO35" s="130">
        <v>323255771.30000001</v>
      </c>
      <c r="AP35" s="130">
        <v>334117599.68881553</v>
      </c>
      <c r="AQ35" s="130">
        <v>769492.42166666605</v>
      </c>
      <c r="AR35" s="130">
        <v>313477781.88999999</v>
      </c>
      <c r="AS35" s="130">
        <v>324011056.69249606</v>
      </c>
      <c r="AT35" s="121">
        <v>0</v>
      </c>
      <c r="AU35" s="9">
        <f t="shared" si="5"/>
        <v>20193</v>
      </c>
      <c r="AV35" s="9"/>
      <c r="AW35" s="129">
        <v>990327.83333333302</v>
      </c>
      <c r="AX35" s="129">
        <v>19687575.259999998</v>
      </c>
      <c r="AY35" s="129">
        <v>20683127.742298283</v>
      </c>
      <c r="AZ35" s="129">
        <v>963749.54916666611</v>
      </c>
      <c r="BA35" s="129">
        <v>19062475.57</v>
      </c>
      <c r="BB35" s="129">
        <v>20026594.655134417</v>
      </c>
      <c r="BC35" s="121">
        <v>0</v>
      </c>
      <c r="BD35" s="9">
        <f t="shared" si="6"/>
        <v>20193</v>
      </c>
      <c r="BE35" s="9"/>
      <c r="BF35" s="129">
        <v>56845.999999999898</v>
      </c>
      <c r="BG35" s="129">
        <v>205596.9</v>
      </c>
      <c r="BH35" s="129">
        <v>143951.45151127974</v>
      </c>
      <c r="BI35" s="129">
        <v>55269.025833333304</v>
      </c>
      <c r="BJ35" s="129">
        <v>199751.94</v>
      </c>
      <c r="BK35" s="129">
        <v>139860.1378678786</v>
      </c>
      <c r="BL35" s="121">
        <v>0</v>
      </c>
      <c r="BM35" s="9">
        <f t="shared" si="7"/>
        <v>20193</v>
      </c>
      <c r="BN35" s="9"/>
      <c r="BO35" s="121"/>
      <c r="BP35" s="121"/>
      <c r="BQ35" s="121"/>
      <c r="BR35" s="121"/>
      <c r="BS35" s="121"/>
      <c r="BT35" s="121"/>
      <c r="BU35" s="121"/>
      <c r="BV35" s="9">
        <f t="shared" si="8"/>
        <v>20193</v>
      </c>
      <c r="BW35" s="9"/>
      <c r="BX35" s="121"/>
      <c r="BY35" s="121"/>
      <c r="BZ35" s="121"/>
      <c r="CA35" s="121"/>
      <c r="CB35" s="121"/>
      <c r="CC35" s="121"/>
      <c r="CD35" s="121"/>
      <c r="CE35" s="9">
        <f t="shared" si="9"/>
        <v>20193</v>
      </c>
      <c r="CF35" s="9"/>
      <c r="CG35" s="121"/>
      <c r="CH35" s="121"/>
      <c r="CI35" s="121"/>
      <c r="CJ35" s="121"/>
      <c r="CK35" s="121"/>
      <c r="CL35" s="121"/>
      <c r="CM35" s="121"/>
    </row>
    <row r="36" spans="1:91" x14ac:dyDescent="0.25">
      <c r="A36" s="7">
        <v>15</v>
      </c>
      <c r="B36" s="9">
        <f t="shared" si="0"/>
        <v>20194</v>
      </c>
      <c r="C36" s="9"/>
      <c r="D36" s="129">
        <v>860733.33333333302</v>
      </c>
      <c r="E36" s="129">
        <v>452314089.74000001</v>
      </c>
      <c r="F36" s="129">
        <v>396640936.11265564</v>
      </c>
      <c r="G36" s="129">
        <v>890456.56499999994</v>
      </c>
      <c r="H36" s="129">
        <v>471136723.49000001</v>
      </c>
      <c r="I36" s="129">
        <v>413146782.91260207</v>
      </c>
      <c r="J36" s="121">
        <v>0</v>
      </c>
      <c r="K36" s="9">
        <f t="shared" si="1"/>
        <v>20194</v>
      </c>
      <c r="L36" s="9"/>
      <c r="M36" s="130">
        <v>489372.91666666599</v>
      </c>
      <c r="N36" s="130">
        <v>17135634.399999999</v>
      </c>
      <c r="O36" s="130">
        <v>17015664.964294046</v>
      </c>
      <c r="P36" s="129">
        <v>504923.33333333302</v>
      </c>
      <c r="Q36" s="130">
        <v>17786179.530000001</v>
      </c>
      <c r="R36" s="130">
        <v>17661655.519288216</v>
      </c>
      <c r="S36" s="121">
        <v>0</v>
      </c>
      <c r="T36" s="9">
        <f t="shared" si="2"/>
        <v>20194</v>
      </c>
      <c r="U36" s="9"/>
      <c r="V36" s="130">
        <v>843869.58333333302</v>
      </c>
      <c r="W36" s="130">
        <v>77746815.859999999</v>
      </c>
      <c r="X36" s="130">
        <v>83965644.573352203</v>
      </c>
      <c r="Y36" s="130">
        <v>872484.91333333298</v>
      </c>
      <c r="Z36" s="130">
        <v>80438153.549999997</v>
      </c>
      <c r="AA36" s="130">
        <v>86872257.550433248</v>
      </c>
      <c r="AB36" s="121">
        <v>0</v>
      </c>
      <c r="AC36" s="9">
        <f t="shared" si="3"/>
        <v>20194</v>
      </c>
      <c r="AD36" s="9"/>
      <c r="AE36" s="130">
        <v>769331.16666666605</v>
      </c>
      <c r="AF36" s="130">
        <v>80100306.819999993</v>
      </c>
      <c r="AG36" s="130">
        <v>107890433.88717249</v>
      </c>
      <c r="AH36" s="130">
        <v>796014.77166666603</v>
      </c>
      <c r="AI36" s="130">
        <v>82190086.010000005</v>
      </c>
      <c r="AJ36" s="130">
        <v>110705244.37278213</v>
      </c>
      <c r="AK36" s="121">
        <v>0</v>
      </c>
      <c r="AL36" s="9">
        <f t="shared" si="4"/>
        <v>20194</v>
      </c>
      <c r="AM36" s="9"/>
      <c r="AN36" s="130">
        <v>740789.58333333302</v>
      </c>
      <c r="AO36" s="130">
        <v>306484999.10000002</v>
      </c>
      <c r="AP36" s="130">
        <v>316783307.00207609</v>
      </c>
      <c r="AQ36" s="130">
        <v>766541.34583333298</v>
      </c>
      <c r="AR36" s="130">
        <v>313780049.02999997</v>
      </c>
      <c r="AS36" s="130">
        <v>324323480.41466337</v>
      </c>
      <c r="AT36" s="121">
        <v>0</v>
      </c>
      <c r="AU36" s="9">
        <f t="shared" si="5"/>
        <v>20194</v>
      </c>
      <c r="AV36" s="9"/>
      <c r="AW36" s="129">
        <v>928046.16666666605</v>
      </c>
      <c r="AX36" s="129">
        <v>18551996.850000001</v>
      </c>
      <c r="AY36" s="129">
        <v>19489974.821238555</v>
      </c>
      <c r="AZ36" s="129">
        <v>960506.84833333304</v>
      </c>
      <c r="BA36" s="129">
        <v>19091796.170000002</v>
      </c>
      <c r="BB36" s="129">
        <v>20057245.538823176</v>
      </c>
      <c r="BC36" s="121">
        <v>0</v>
      </c>
      <c r="BD36" s="9">
        <f t="shared" si="6"/>
        <v>20194</v>
      </c>
      <c r="BE36" s="9"/>
      <c r="BF36" s="129">
        <v>52931.416666666628</v>
      </c>
      <c r="BG36" s="129">
        <v>192553.32</v>
      </c>
      <c r="BH36" s="129">
        <v>134824.81347750209</v>
      </c>
      <c r="BI36" s="129">
        <v>54993.393333333297</v>
      </c>
      <c r="BJ36" s="129">
        <v>199202.02</v>
      </c>
      <c r="BK36" s="129">
        <v>139476.18809563859</v>
      </c>
      <c r="BL36" s="121">
        <v>0</v>
      </c>
      <c r="BM36" s="9">
        <f t="shared" si="7"/>
        <v>20194</v>
      </c>
      <c r="BN36" s="9"/>
      <c r="BO36" s="121"/>
      <c r="BP36" s="121"/>
      <c r="BQ36" s="121"/>
      <c r="BR36" s="121"/>
      <c r="BS36" s="121"/>
      <c r="BT36" s="121"/>
      <c r="BU36" s="121"/>
      <c r="BV36" s="9">
        <f t="shared" si="8"/>
        <v>20194</v>
      </c>
      <c r="BW36" s="9"/>
      <c r="BX36" s="121"/>
      <c r="BY36" s="121"/>
      <c r="BZ36" s="121"/>
      <c r="CA36" s="121"/>
      <c r="CB36" s="121"/>
      <c r="CC36" s="121"/>
      <c r="CD36" s="121"/>
      <c r="CE36" s="9">
        <f t="shared" si="9"/>
        <v>20194</v>
      </c>
      <c r="CF36" s="9"/>
      <c r="CG36" s="121"/>
      <c r="CH36" s="121"/>
      <c r="CI36" s="121"/>
      <c r="CJ36" s="121"/>
      <c r="CK36" s="121"/>
      <c r="CL36" s="121"/>
      <c r="CM36" s="121"/>
    </row>
    <row r="37" spans="1:91" x14ac:dyDescent="0.25">
      <c r="A37" s="7">
        <v>16</v>
      </c>
      <c r="B37" s="9">
        <f t="shared" si="0"/>
        <v>20201</v>
      </c>
      <c r="C37" s="9"/>
      <c r="D37" s="129">
        <v>915084.08333333302</v>
      </c>
      <c r="E37" s="129">
        <v>483569886.66000003</v>
      </c>
      <c r="F37" s="129">
        <v>424049608.16269529</v>
      </c>
      <c r="G37" s="129">
        <v>890313.22</v>
      </c>
      <c r="H37" s="129">
        <v>453544924.63614255</v>
      </c>
      <c r="I37" s="129">
        <v>397720273.4945327</v>
      </c>
      <c r="J37" s="121">
        <v>16814820.913857449</v>
      </c>
      <c r="K37" s="9">
        <f t="shared" si="1"/>
        <v>20201</v>
      </c>
      <c r="L37" s="9"/>
      <c r="M37" s="130">
        <v>518428.25</v>
      </c>
      <c r="N37" s="130">
        <v>18230652.210000001</v>
      </c>
      <c r="O37" s="130">
        <v>18103016.371890314</v>
      </c>
      <c r="P37" s="129">
        <v>504985.368333333</v>
      </c>
      <c r="Q37" s="130">
        <v>17119318.025676083</v>
      </c>
      <c r="R37" s="130">
        <v>16999462.823629342</v>
      </c>
      <c r="S37" s="121">
        <v>634685.23432392045</v>
      </c>
      <c r="T37" s="9">
        <f t="shared" si="2"/>
        <v>20201</v>
      </c>
      <c r="U37" s="9"/>
      <c r="V37" s="130">
        <v>896906.33333333302</v>
      </c>
      <c r="W37" s="130">
        <v>82611060.420000002</v>
      </c>
      <c r="X37" s="130">
        <v>89218971.353683487</v>
      </c>
      <c r="Y37" s="130">
        <v>872615.96749999898</v>
      </c>
      <c r="Z37" s="130">
        <v>77573462.130674973</v>
      </c>
      <c r="AA37" s="130">
        <v>83778424.589344352</v>
      </c>
      <c r="AB37" s="121">
        <v>2875975.0193250366</v>
      </c>
      <c r="AC37" s="9">
        <f t="shared" si="3"/>
        <v>20201</v>
      </c>
      <c r="AD37" s="9"/>
      <c r="AE37" s="130">
        <v>818654.41666666605</v>
      </c>
      <c r="AF37" s="130">
        <v>85637237.829999998</v>
      </c>
      <c r="AG37" s="130">
        <v>115348356.49431889</v>
      </c>
      <c r="AH37" s="130">
        <v>797155.75</v>
      </c>
      <c r="AI37" s="130">
        <v>80100782.064398825</v>
      </c>
      <c r="AJ37" s="130">
        <v>107891074.0136143</v>
      </c>
      <c r="AK37" s="121">
        <v>2969673.4156011753</v>
      </c>
      <c r="AL37" s="9">
        <f t="shared" si="4"/>
        <v>20201</v>
      </c>
      <c r="AM37" s="9"/>
      <c r="AN37" s="130">
        <v>788003.5</v>
      </c>
      <c r="AO37" s="130">
        <v>330158277.02999997</v>
      </c>
      <c r="AP37" s="130">
        <v>341252038.88868231</v>
      </c>
      <c r="AQ37" s="130">
        <v>767610.5</v>
      </c>
      <c r="AR37" s="130">
        <v>306359867.8385514</v>
      </c>
      <c r="AS37" s="130">
        <v>316653971.16205966</v>
      </c>
      <c r="AT37" s="121">
        <v>11358050.841448594</v>
      </c>
      <c r="AU37" s="9">
        <f t="shared" si="5"/>
        <v>20201</v>
      </c>
      <c r="AV37" s="9"/>
      <c r="AW37" s="129">
        <v>994957.58333333302</v>
      </c>
      <c r="AX37" s="129">
        <v>19992304.57</v>
      </c>
      <c r="AY37" s="129">
        <v>21002892.984794583</v>
      </c>
      <c r="AZ37" s="130">
        <v>963301.95749999909</v>
      </c>
      <c r="BA37" s="130">
        <v>18561675.093253121</v>
      </c>
      <c r="BB37" s="130">
        <v>19534937.113050103</v>
      </c>
      <c r="BC37" s="121">
        <v>688159.48674687836</v>
      </c>
      <c r="BD37" s="9">
        <f t="shared" si="6"/>
        <v>20201</v>
      </c>
      <c r="BE37" s="9"/>
      <c r="BF37" s="129">
        <v>56887.249999999898</v>
      </c>
      <c r="BG37" s="129">
        <v>206899.42</v>
      </c>
      <c r="BH37" s="129">
        <v>144867.30742103129</v>
      </c>
      <c r="BI37" s="130">
        <v>54966.056666666598</v>
      </c>
      <c r="BJ37" s="130">
        <v>192454.22130305789</v>
      </c>
      <c r="BK37" s="130">
        <v>132613.70196619874</v>
      </c>
      <c r="BL37" s="121">
        <v>7135.0886969421226</v>
      </c>
      <c r="BM37" s="9">
        <f t="shared" si="7"/>
        <v>20201</v>
      </c>
      <c r="BN37" s="9"/>
      <c r="BO37" s="121"/>
      <c r="BP37" s="121"/>
      <c r="BQ37" s="121"/>
      <c r="BR37" s="121"/>
      <c r="BS37" s="121"/>
      <c r="BT37" s="121"/>
      <c r="BU37" s="121"/>
      <c r="BV37" s="9">
        <f t="shared" si="8"/>
        <v>20201</v>
      </c>
      <c r="BW37" s="9"/>
      <c r="BX37" s="121"/>
      <c r="BY37" s="121"/>
      <c r="BZ37" s="121"/>
      <c r="CA37" s="121"/>
      <c r="CB37" s="121"/>
      <c r="CC37" s="121"/>
      <c r="CD37" s="121"/>
      <c r="CE37" s="9">
        <f t="shared" si="9"/>
        <v>20201</v>
      </c>
      <c r="CF37" s="9"/>
      <c r="CG37" s="121"/>
      <c r="CH37" s="121"/>
      <c r="CI37" s="121"/>
      <c r="CJ37" s="121"/>
      <c r="CK37" s="121"/>
      <c r="CL37" s="121"/>
      <c r="CM37" s="121"/>
    </row>
    <row r="38" spans="1:91" x14ac:dyDescent="0.25">
      <c r="A38" s="7">
        <v>17</v>
      </c>
      <c r="B38" s="9">
        <f t="shared" si="0"/>
        <v>20202</v>
      </c>
      <c r="C38" s="9"/>
      <c r="D38" s="129">
        <v>872256.16666666605</v>
      </c>
      <c r="E38" s="129">
        <v>454183408.24000001</v>
      </c>
      <c r="F38" s="129">
        <v>398280169.23970437</v>
      </c>
      <c r="G38" s="129">
        <v>894988.84666666598</v>
      </c>
      <c r="H38" s="129">
        <v>356954789.93022305</v>
      </c>
      <c r="I38" s="129">
        <v>313018951.29821169</v>
      </c>
      <c r="J38" s="121">
        <v>114156272.289777</v>
      </c>
      <c r="K38" s="9">
        <f t="shared" si="1"/>
        <v>20202</v>
      </c>
      <c r="L38" s="9"/>
      <c r="M38" s="130">
        <v>491194</v>
      </c>
      <c r="N38" s="130">
        <v>17029517.629999999</v>
      </c>
      <c r="O38" s="130">
        <v>16910291.135507584</v>
      </c>
      <c r="P38" s="129">
        <v>505638.63416666602</v>
      </c>
      <c r="Q38" s="130">
        <v>13425276.861481372</v>
      </c>
      <c r="R38" s="130">
        <v>13331284.258017091</v>
      </c>
      <c r="S38" s="121">
        <v>4293483.6685186289</v>
      </c>
      <c r="T38" s="9">
        <f t="shared" si="2"/>
        <v>20202</v>
      </c>
      <c r="U38" s="9"/>
      <c r="V38" s="130">
        <v>854907.16666666605</v>
      </c>
      <c r="W38" s="130">
        <v>78158683.599999994</v>
      </c>
      <c r="X38" s="130">
        <v>84410456.877052754</v>
      </c>
      <c r="Y38" s="130">
        <v>877115.44499999995</v>
      </c>
      <c r="Z38" s="130">
        <v>61093458.255939104</v>
      </c>
      <c r="AA38" s="130">
        <v>65980214.6870213</v>
      </c>
      <c r="AB38" s="121">
        <v>19538052.5840609</v>
      </c>
      <c r="AC38" s="9">
        <f t="shared" si="3"/>
        <v>20202</v>
      </c>
      <c r="AD38" s="9"/>
      <c r="AE38" s="130">
        <v>785780.41666666605</v>
      </c>
      <c r="AF38" s="130">
        <v>83265649.829999998</v>
      </c>
      <c r="AG38" s="130">
        <v>112153966.00469691</v>
      </c>
      <c r="AH38" s="130">
        <v>802220.96833333303</v>
      </c>
      <c r="AI38" s="130">
        <v>63720808.558081076</v>
      </c>
      <c r="AJ38" s="130">
        <v>85828206.606273055</v>
      </c>
      <c r="AK38" s="121">
        <v>20378294.891918924</v>
      </c>
      <c r="AL38" s="9">
        <f t="shared" si="4"/>
        <v>20202</v>
      </c>
      <c r="AM38" s="9"/>
      <c r="AN38" s="130">
        <v>753470.25</v>
      </c>
      <c r="AO38" s="130">
        <v>313530878.82999998</v>
      </c>
      <c r="AP38" s="130">
        <v>324065937.76104522</v>
      </c>
      <c r="AQ38" s="130">
        <v>770694.78500000003</v>
      </c>
      <c r="AR38" s="130">
        <v>243297822.04643226</v>
      </c>
      <c r="AS38" s="130">
        <v>251472955.87254542</v>
      </c>
      <c r="AT38" s="121">
        <v>77808095.603567734</v>
      </c>
      <c r="AU38" s="9">
        <f t="shared" si="5"/>
        <v>20202</v>
      </c>
      <c r="AV38" s="9"/>
      <c r="AW38" s="129">
        <v>945538.83333333302</v>
      </c>
      <c r="AX38" s="129">
        <v>18934426.059999999</v>
      </c>
      <c r="AY38" s="129">
        <v>19891729.543432359</v>
      </c>
      <c r="AZ38" s="130">
        <v>970942.57083333202</v>
      </c>
      <c r="BA38" s="130">
        <v>14724507.529457428</v>
      </c>
      <c r="BB38" s="130">
        <v>15707000.177569926</v>
      </c>
      <c r="BC38" s="121">
        <v>4708985.3905425742</v>
      </c>
      <c r="BD38" s="9">
        <f t="shared" si="6"/>
        <v>20202</v>
      </c>
      <c r="BE38" s="9"/>
      <c r="BF38" s="129">
        <v>53863.25</v>
      </c>
      <c r="BG38" s="129">
        <v>195882.21000000002</v>
      </c>
      <c r="BH38" s="129">
        <v>137157.22673999891</v>
      </c>
      <c r="BI38" s="130">
        <v>55489.664166666604</v>
      </c>
      <c r="BJ38" s="130">
        <v>152706.8181357705</v>
      </c>
      <c r="BK38" s="130">
        <v>92282.00864221809</v>
      </c>
      <c r="BL38" s="121">
        <v>48836.551864229477</v>
      </c>
      <c r="BM38" s="9">
        <f t="shared" si="7"/>
        <v>20202</v>
      </c>
      <c r="BN38" s="9"/>
      <c r="BO38" s="121"/>
      <c r="BP38" s="121"/>
      <c r="BQ38" s="121"/>
      <c r="BR38" s="121"/>
      <c r="BS38" s="121"/>
      <c r="BT38" s="121"/>
      <c r="BU38" s="121"/>
      <c r="BV38" s="9">
        <f t="shared" si="8"/>
        <v>20202</v>
      </c>
      <c r="BW38" s="9"/>
      <c r="BX38" s="121"/>
      <c r="BY38" s="121"/>
      <c r="BZ38" s="121"/>
      <c r="CA38" s="121"/>
      <c r="CB38" s="121"/>
      <c r="CC38" s="121"/>
      <c r="CD38" s="121"/>
      <c r="CE38" s="9">
        <f t="shared" si="9"/>
        <v>20202</v>
      </c>
      <c r="CF38" s="9"/>
      <c r="CG38" s="121"/>
      <c r="CH38" s="121"/>
      <c r="CI38" s="121"/>
      <c r="CJ38" s="121"/>
      <c r="CK38" s="121"/>
      <c r="CL38" s="121"/>
      <c r="CM38" s="121"/>
    </row>
    <row r="39" spans="1:91" x14ac:dyDescent="0.25">
      <c r="A39" s="7">
        <v>18</v>
      </c>
      <c r="B39" s="9">
        <f t="shared" si="0"/>
        <v>20203</v>
      </c>
      <c r="C39" s="9"/>
      <c r="D39" s="129">
        <v>907758</v>
      </c>
      <c r="E39" s="129">
        <v>460681240.47000003</v>
      </c>
      <c r="F39" s="129">
        <v>409706745.51379925</v>
      </c>
      <c r="G39" s="129">
        <v>885217.78916666599</v>
      </c>
      <c r="H39" s="129">
        <v>378866084.90633667</v>
      </c>
      <c r="I39" s="129">
        <v>332452797.03001481</v>
      </c>
      <c r="J39" s="121">
        <v>80025787.993663326</v>
      </c>
      <c r="K39" s="9">
        <f t="shared" si="1"/>
        <v>20203</v>
      </c>
      <c r="L39" s="9"/>
      <c r="M39" s="130">
        <v>515096.41666666599</v>
      </c>
      <c r="N39" s="130">
        <v>17678727.960000001</v>
      </c>
      <c r="O39" s="130">
        <v>17554956.235659275</v>
      </c>
      <c r="P39" s="129">
        <v>501548.47833333298</v>
      </c>
      <c r="Q39" s="130">
        <v>14324898.331755456</v>
      </c>
      <c r="R39" s="130">
        <v>14224607.32826592</v>
      </c>
      <c r="S39" s="121">
        <v>3025769.0582445441</v>
      </c>
      <c r="T39" s="9">
        <f t="shared" si="2"/>
        <v>20203</v>
      </c>
      <c r="U39" s="9"/>
      <c r="V39" s="130">
        <v>890522.75</v>
      </c>
      <c r="W39" s="130">
        <v>80524152.810000002</v>
      </c>
      <c r="X39" s="130">
        <v>86965135.737389937</v>
      </c>
      <c r="Y39" s="130">
        <v>867966.32333333301</v>
      </c>
      <c r="Z39" s="130">
        <v>65286006.134405121</v>
      </c>
      <c r="AA39" s="130">
        <v>70508116.969912812</v>
      </c>
      <c r="AB39" s="121">
        <v>13790002.045594886</v>
      </c>
      <c r="AC39" s="9">
        <f t="shared" si="3"/>
        <v>20203</v>
      </c>
      <c r="AD39" s="9"/>
      <c r="AE39" s="130">
        <v>819929.91666666605</v>
      </c>
      <c r="AF39" s="130">
        <v>85496030.290000007</v>
      </c>
      <c r="AG39" s="130">
        <v>116725009.82730213</v>
      </c>
      <c r="AH39" s="130">
        <v>795964.72916666605</v>
      </c>
      <c r="AI39" s="130">
        <v>68903170.308705777</v>
      </c>
      <c r="AJ39" s="130">
        <v>92867412.381266728</v>
      </c>
      <c r="AK39" s="121">
        <v>14554035.631294224</v>
      </c>
      <c r="AL39" s="9">
        <f t="shared" si="4"/>
        <v>20203</v>
      </c>
      <c r="AM39" s="9"/>
      <c r="AN39" s="130">
        <v>788834.5</v>
      </c>
      <c r="AO39" s="130">
        <v>323600096.61000001</v>
      </c>
      <c r="AP39" s="130">
        <v>339147587.71118379</v>
      </c>
      <c r="AQ39" s="130">
        <v>765108.95</v>
      </c>
      <c r="AR39" s="130">
        <v>262200176.39193094</v>
      </c>
      <c r="AS39" s="130">
        <v>271186946.23651993</v>
      </c>
      <c r="AT39" s="121">
        <v>55383093.298069052</v>
      </c>
      <c r="AU39" s="9">
        <f t="shared" si="5"/>
        <v>20203</v>
      </c>
      <c r="AV39" s="9"/>
      <c r="AW39" s="129">
        <v>992618.16666666605</v>
      </c>
      <c r="AX39" s="129">
        <v>20055565.98</v>
      </c>
      <c r="AY39" s="129">
        <v>21069127.756865282</v>
      </c>
      <c r="AZ39" s="130">
        <v>961928.54249999998</v>
      </c>
      <c r="BA39" s="130">
        <v>15953589.271234343</v>
      </c>
      <c r="BB39" s="130">
        <v>16930359.31055221</v>
      </c>
      <c r="BC39" s="121">
        <v>3369788.4387656581</v>
      </c>
      <c r="BD39" s="9">
        <f t="shared" si="6"/>
        <v>20203</v>
      </c>
      <c r="BE39" s="9"/>
      <c r="BF39" s="129">
        <v>56630.666666666599</v>
      </c>
      <c r="BG39" s="129">
        <v>200774.03</v>
      </c>
      <c r="BH39" s="129">
        <v>144482.97988384729</v>
      </c>
      <c r="BI39" s="130">
        <v>54919.927499999998</v>
      </c>
      <c r="BJ39" s="130">
        <v>164571.32838174421</v>
      </c>
      <c r="BK39" s="130">
        <v>104988.07069258625</v>
      </c>
      <c r="BL39" s="121">
        <v>34761.491618255801</v>
      </c>
      <c r="BM39" s="9">
        <f t="shared" si="7"/>
        <v>20203</v>
      </c>
      <c r="BN39" s="9"/>
      <c r="BO39" s="121"/>
      <c r="BP39" s="121"/>
      <c r="BQ39" s="121"/>
      <c r="BR39" s="121"/>
      <c r="BS39" s="121"/>
      <c r="BT39" s="121"/>
      <c r="BU39" s="121"/>
      <c r="BV39" s="9">
        <f t="shared" si="8"/>
        <v>20203</v>
      </c>
      <c r="BW39" s="9"/>
      <c r="BX39" s="121"/>
      <c r="BY39" s="121"/>
      <c r="BZ39" s="121"/>
      <c r="CA39" s="121"/>
      <c r="CB39" s="121"/>
      <c r="CC39" s="121"/>
      <c r="CD39" s="121"/>
      <c r="CE39" s="9">
        <f t="shared" si="9"/>
        <v>20203</v>
      </c>
      <c r="CF39" s="9"/>
      <c r="CG39" s="121"/>
      <c r="CH39" s="121"/>
      <c r="CI39" s="121"/>
      <c r="CJ39" s="121"/>
      <c r="CK39" s="121"/>
      <c r="CL39" s="121"/>
      <c r="CM39" s="121"/>
    </row>
    <row r="40" spans="1:91" x14ac:dyDescent="0.25">
      <c r="A40" s="7">
        <v>19</v>
      </c>
      <c r="B40" s="9">
        <f t="shared" si="0"/>
        <v>20204</v>
      </c>
      <c r="C40" s="9"/>
      <c r="D40" s="129">
        <v>867409.75</v>
      </c>
      <c r="E40" s="129">
        <v>410911584.56999999</v>
      </c>
      <c r="F40" s="129">
        <v>389139545.49861407</v>
      </c>
      <c r="G40" s="129">
        <v>889956.245833333</v>
      </c>
      <c r="H40" s="129">
        <v>370468145.46873313</v>
      </c>
      <c r="I40" s="129">
        <v>333368796.62578762</v>
      </c>
      <c r="J40" s="121">
        <v>78186754.391266882</v>
      </c>
      <c r="K40" s="9">
        <f t="shared" si="1"/>
        <v>20204</v>
      </c>
      <c r="L40" s="9"/>
      <c r="M40" s="130">
        <v>490510.83333333302</v>
      </c>
      <c r="N40" s="130">
        <v>16845078.460000001</v>
      </c>
      <c r="O40" s="130">
        <v>16727143.254912484</v>
      </c>
      <c r="P40" s="129">
        <v>503351.26499999902</v>
      </c>
      <c r="Q40" s="130">
        <v>14340814.616935549</v>
      </c>
      <c r="R40" s="130">
        <v>14240412.180877656</v>
      </c>
      <c r="S40" s="121">
        <v>3026607.7230644501</v>
      </c>
      <c r="T40" s="9">
        <f t="shared" si="2"/>
        <v>20204</v>
      </c>
      <c r="U40" s="9"/>
      <c r="V40" s="130">
        <v>851044.91666666605</v>
      </c>
      <c r="W40" s="130">
        <v>77052985.069999993</v>
      </c>
      <c r="X40" s="130">
        <v>83216315.499707639</v>
      </c>
      <c r="Y40" s="130">
        <v>872807.54666666605</v>
      </c>
      <c r="Z40" s="130">
        <v>65533607.00765343</v>
      </c>
      <c r="AA40" s="130">
        <v>70775522.994059905</v>
      </c>
      <c r="AB40" s="121">
        <v>13830770.872346567</v>
      </c>
      <c r="AC40" s="9">
        <f t="shared" si="3"/>
        <v>20204</v>
      </c>
      <c r="AD40" s="9"/>
      <c r="AE40" s="130">
        <v>781663.83333333302</v>
      </c>
      <c r="AF40" s="130">
        <v>78623146.599999994</v>
      </c>
      <c r="AG40" s="130">
        <v>114002399.16149749</v>
      </c>
      <c r="AH40" s="130">
        <v>801471.40666666604</v>
      </c>
      <c r="AI40" s="130">
        <v>68662665.003675178</v>
      </c>
      <c r="AJ40" s="130">
        <v>94805245.612560004</v>
      </c>
      <c r="AK40" s="121">
        <v>14491153.93632482</v>
      </c>
      <c r="AL40" s="9">
        <f t="shared" si="4"/>
        <v>20204</v>
      </c>
      <c r="AM40" s="9"/>
      <c r="AN40" s="130">
        <v>751932.5</v>
      </c>
      <c r="AO40" s="130">
        <v>295671230.16000003</v>
      </c>
      <c r="AP40" s="130">
        <v>329659068.65606219</v>
      </c>
      <c r="AQ40" s="130">
        <v>770767.56</v>
      </c>
      <c r="AR40" s="130">
        <v>260402504.53404337</v>
      </c>
      <c r="AS40" s="130">
        <v>276091007.30063432</v>
      </c>
      <c r="AT40" s="121">
        <v>54957563.595956631</v>
      </c>
      <c r="AU40" s="9">
        <f t="shared" si="5"/>
        <v>20204</v>
      </c>
      <c r="AV40" s="9"/>
      <c r="AW40" s="129">
        <v>947047.41666666605</v>
      </c>
      <c r="AX40" s="129">
        <v>19228819.700000003</v>
      </c>
      <c r="AY40" s="129">
        <v>20200537.945185751</v>
      </c>
      <c r="AZ40" s="130">
        <v>970799.78749999893</v>
      </c>
      <c r="BA40" s="130">
        <v>16205332.305348326</v>
      </c>
      <c r="BB40" s="130">
        <v>17197221.865057196</v>
      </c>
      <c r="BC40" s="121">
        <v>3420111.424651674</v>
      </c>
      <c r="BD40" s="9">
        <f t="shared" si="6"/>
        <v>20204</v>
      </c>
      <c r="BE40" s="9"/>
      <c r="BF40" s="129">
        <v>53383.999999999898</v>
      </c>
      <c r="BG40" s="129">
        <v>166904.26</v>
      </c>
      <c r="BH40" s="129">
        <v>136368.69625137688</v>
      </c>
      <c r="BI40" s="130">
        <v>55185.064999999995</v>
      </c>
      <c r="BJ40" s="130">
        <v>158030.95961120707</v>
      </c>
      <c r="BK40" s="130">
        <v>107596.67837570899</v>
      </c>
      <c r="BL40" s="121">
        <v>33352.200388792902</v>
      </c>
      <c r="BM40" s="9">
        <f t="shared" si="7"/>
        <v>20204</v>
      </c>
      <c r="BN40" s="9"/>
      <c r="BO40" s="121"/>
      <c r="BP40" s="121"/>
      <c r="BQ40" s="121"/>
      <c r="BR40" s="121"/>
      <c r="BS40" s="121"/>
      <c r="BT40" s="121"/>
      <c r="BU40" s="121"/>
      <c r="BV40" s="9">
        <f t="shared" si="8"/>
        <v>20204</v>
      </c>
      <c r="BW40" s="9"/>
      <c r="BX40" s="121"/>
      <c r="BY40" s="121"/>
      <c r="BZ40" s="121"/>
      <c r="CA40" s="121"/>
      <c r="CB40" s="121"/>
      <c r="CC40" s="121"/>
      <c r="CD40" s="121"/>
      <c r="CE40" s="9">
        <f t="shared" si="9"/>
        <v>20204</v>
      </c>
      <c r="CF40" s="9"/>
      <c r="CG40" s="121"/>
      <c r="CH40" s="121"/>
      <c r="CI40" s="121"/>
      <c r="CJ40" s="121"/>
      <c r="CK40" s="121"/>
      <c r="CL40" s="121"/>
      <c r="CM40" s="121"/>
    </row>
    <row r="41" spans="1:91" x14ac:dyDescent="0.25">
      <c r="A41" s="7">
        <v>20</v>
      </c>
      <c r="B41" s="9">
        <f t="shared" si="0"/>
        <v>20211</v>
      </c>
      <c r="C41" s="9"/>
      <c r="D41" s="129">
        <v>931252.91666666605</v>
      </c>
      <c r="E41" s="129">
        <v>439498659.16000003</v>
      </c>
      <c r="F41" s="129">
        <v>416211941.68021291</v>
      </c>
      <c r="G41" s="129">
        <v>897125.22166666598</v>
      </c>
      <c r="H41" s="129">
        <v>433201449.81999999</v>
      </c>
      <c r="I41" s="129">
        <v>404924389.63773143</v>
      </c>
      <c r="J41" s="121">
        <v>0</v>
      </c>
      <c r="K41" s="9">
        <f t="shared" si="1"/>
        <v>20211</v>
      </c>
      <c r="L41" s="9"/>
      <c r="M41" s="130">
        <v>524710.66666666605</v>
      </c>
      <c r="N41" s="130">
        <v>17890692.280000001</v>
      </c>
      <c r="O41" s="130">
        <v>17765436.558086347</v>
      </c>
      <c r="P41" s="129">
        <v>506507.33666666597</v>
      </c>
      <c r="Q41" s="130">
        <v>17407524.399999999</v>
      </c>
      <c r="R41" s="130">
        <v>17285651.417036168</v>
      </c>
      <c r="S41" s="121">
        <v>0</v>
      </c>
      <c r="T41" s="9">
        <f t="shared" si="2"/>
        <v>20211</v>
      </c>
      <c r="U41" s="9"/>
      <c r="V41" s="130">
        <v>913890.91666666605</v>
      </c>
      <c r="W41" s="130">
        <v>81968667.400000006</v>
      </c>
      <c r="X41" s="130">
        <v>88525194.465240225</v>
      </c>
      <c r="Y41" s="130">
        <v>880162.80583333306</v>
      </c>
      <c r="Z41" s="130">
        <v>79644579.719999999</v>
      </c>
      <c r="AA41" s="130">
        <v>86015207.169457123</v>
      </c>
      <c r="AB41" s="121">
        <v>0</v>
      </c>
      <c r="AC41" s="9">
        <f t="shared" si="3"/>
        <v>20211</v>
      </c>
      <c r="AD41" s="9"/>
      <c r="AE41" s="130">
        <v>839561.25</v>
      </c>
      <c r="AF41" s="130">
        <v>84474679.609999999</v>
      </c>
      <c r="AG41" s="130">
        <v>122487035.4392409</v>
      </c>
      <c r="AH41" s="130">
        <v>809232.35583333299</v>
      </c>
      <c r="AI41" s="130">
        <v>82212824.780000001</v>
      </c>
      <c r="AJ41" s="130">
        <v>117726070.22959375</v>
      </c>
      <c r="AK41" s="121">
        <v>0</v>
      </c>
      <c r="AL41" s="9">
        <f t="shared" si="4"/>
        <v>20211</v>
      </c>
      <c r="AM41" s="9"/>
      <c r="AN41" s="130">
        <v>808157.33333333302</v>
      </c>
      <c r="AO41" s="130">
        <v>320368273.97000003</v>
      </c>
      <c r="AP41" s="130">
        <v>357195073.61859035</v>
      </c>
      <c r="AQ41" s="130">
        <v>778514.83583333297</v>
      </c>
      <c r="AR41" s="130">
        <v>310328368.74000001</v>
      </c>
      <c r="AS41" s="130">
        <v>341579284.67672384</v>
      </c>
      <c r="AT41" s="121">
        <v>0</v>
      </c>
      <c r="AU41" s="9">
        <f t="shared" si="5"/>
        <v>20211</v>
      </c>
      <c r="AV41" s="9"/>
      <c r="AW41" s="129">
        <v>1025770.583333333</v>
      </c>
      <c r="AX41" s="129">
        <v>20954532.52</v>
      </c>
      <c r="AY41" s="129">
        <v>22013194.471605558</v>
      </c>
      <c r="AZ41" s="129">
        <v>982827.30666666606</v>
      </c>
      <c r="BA41" s="129">
        <v>19958951.219999999</v>
      </c>
      <c r="BB41" s="129">
        <v>20967540.699164692</v>
      </c>
      <c r="BC41" s="121">
        <v>0</v>
      </c>
      <c r="BD41" s="9">
        <f t="shared" si="6"/>
        <v>20211</v>
      </c>
      <c r="BE41" s="9"/>
      <c r="BF41" s="129">
        <v>57983.583333333299</v>
      </c>
      <c r="BG41" s="129">
        <v>181627.25</v>
      </c>
      <c r="BH41" s="129">
        <v>148399.71360511615</v>
      </c>
      <c r="BI41" s="129">
        <v>55555.379999999903</v>
      </c>
      <c r="BJ41" s="129">
        <v>179135.52000000002</v>
      </c>
      <c r="BK41" s="129">
        <v>142452.57820942136</v>
      </c>
      <c r="BL41" s="121">
        <v>0</v>
      </c>
      <c r="BM41" s="9">
        <f t="shared" si="7"/>
        <v>20211</v>
      </c>
      <c r="BN41" s="9"/>
      <c r="BO41" s="121"/>
      <c r="BP41" s="121"/>
      <c r="BQ41" s="121"/>
      <c r="BR41" s="121"/>
      <c r="BS41" s="121"/>
      <c r="BT41" s="121"/>
      <c r="BU41" s="121"/>
      <c r="BV41" s="9">
        <f t="shared" si="8"/>
        <v>20211</v>
      </c>
      <c r="BW41" s="9"/>
      <c r="BX41" s="121"/>
      <c r="BY41" s="121"/>
      <c r="BZ41" s="121"/>
      <c r="CA41" s="121"/>
      <c r="CB41" s="121"/>
      <c r="CC41" s="121"/>
      <c r="CD41" s="121"/>
      <c r="CE41" s="9">
        <f t="shared" si="9"/>
        <v>20211</v>
      </c>
      <c r="CF41" s="9"/>
      <c r="CG41" s="121"/>
      <c r="CH41" s="121"/>
      <c r="CI41" s="121"/>
      <c r="CJ41" s="121"/>
      <c r="CK41" s="121"/>
      <c r="CL41" s="121"/>
      <c r="CM41" s="121"/>
    </row>
    <row r="42" spans="1:91" x14ac:dyDescent="0.25">
      <c r="A42" s="7">
        <v>21</v>
      </c>
      <c r="B42" s="9">
        <f t="shared" si="0"/>
        <v>20212</v>
      </c>
      <c r="C42" s="9"/>
      <c r="D42" s="129">
        <v>889001.83333333302</v>
      </c>
      <c r="E42" s="129">
        <v>418727760.13</v>
      </c>
      <c r="F42" s="129">
        <v>396541583.11246878</v>
      </c>
      <c r="G42" s="129">
        <v>905797.84249999898</v>
      </c>
      <c r="H42" s="129">
        <v>428463668.11000001</v>
      </c>
      <c r="I42" s="129">
        <v>405761636.64373672</v>
      </c>
      <c r="J42" s="121">
        <v>0</v>
      </c>
      <c r="K42" s="9">
        <f t="shared" si="1"/>
        <v>20212</v>
      </c>
      <c r="L42" s="9"/>
      <c r="M42" s="130">
        <v>500862.33333333302</v>
      </c>
      <c r="N42" s="130">
        <v>16993285.440000001</v>
      </c>
      <c r="O42" s="130">
        <v>16874312.613115519</v>
      </c>
      <c r="P42" s="129">
        <v>510414.60666666599</v>
      </c>
      <c r="Q42" s="130">
        <v>17424175.420000002</v>
      </c>
      <c r="R42" s="130">
        <v>17302185.860466745</v>
      </c>
      <c r="S42" s="121">
        <v>0</v>
      </c>
      <c r="T42" s="9">
        <f t="shared" si="2"/>
        <v>20212</v>
      </c>
      <c r="U42" s="9"/>
      <c r="V42" s="130">
        <v>873155.25</v>
      </c>
      <c r="W42" s="130">
        <v>78645482.079999998</v>
      </c>
      <c r="X42" s="130">
        <v>84936193.49659653</v>
      </c>
      <c r="Y42" s="130">
        <v>889046.32416666602</v>
      </c>
      <c r="Z42" s="130">
        <v>80042728.819999993</v>
      </c>
      <c r="AA42" s="130">
        <v>86445203.503686413</v>
      </c>
      <c r="AB42" s="121">
        <v>0</v>
      </c>
      <c r="AC42" s="9">
        <f t="shared" si="3"/>
        <v>20212</v>
      </c>
      <c r="AD42" s="9"/>
      <c r="AE42" s="130">
        <v>808400.41666666605</v>
      </c>
      <c r="AF42" s="130">
        <v>83885466.290000007</v>
      </c>
      <c r="AG42" s="130">
        <v>121632684.84399381</v>
      </c>
      <c r="AH42" s="130">
        <v>818526.61750000005</v>
      </c>
      <c r="AI42" s="130">
        <v>83072752.859999999</v>
      </c>
      <c r="AJ42" s="130">
        <v>120454262.39643979</v>
      </c>
      <c r="AK42" s="121">
        <v>0</v>
      </c>
      <c r="AL42" s="9">
        <f t="shared" si="4"/>
        <v>20212</v>
      </c>
      <c r="AM42" s="9"/>
      <c r="AN42" s="130">
        <v>779116.5</v>
      </c>
      <c r="AO42" s="130">
        <v>313418487.99000001</v>
      </c>
      <c r="AP42" s="130">
        <v>349446399.61914182</v>
      </c>
      <c r="AQ42" s="130">
        <v>788098.29249999998</v>
      </c>
      <c r="AR42" s="130">
        <v>313207254.33999997</v>
      </c>
      <c r="AS42" s="130">
        <v>349210884.35345244</v>
      </c>
      <c r="AT42" s="121">
        <v>0</v>
      </c>
      <c r="AU42" s="9">
        <f t="shared" si="5"/>
        <v>20212</v>
      </c>
      <c r="AV42" s="9"/>
      <c r="AW42" s="129">
        <v>982036.24999999907</v>
      </c>
      <c r="AX42" s="129">
        <v>20204043.18</v>
      </c>
      <c r="AY42" s="129">
        <v>21224560.249719363</v>
      </c>
      <c r="AZ42" s="129">
        <v>996989.983333332</v>
      </c>
      <c r="BA42" s="129">
        <v>20365395.84</v>
      </c>
      <c r="BB42" s="129">
        <v>21394308.549324829</v>
      </c>
      <c r="BC42" s="121">
        <v>0</v>
      </c>
      <c r="BD42" s="9">
        <f t="shared" si="6"/>
        <v>20212</v>
      </c>
      <c r="BE42" s="9"/>
      <c r="BF42" s="129">
        <v>54381.666666666599</v>
      </c>
      <c r="BG42" s="129">
        <v>170733.18</v>
      </c>
      <c r="BH42" s="129">
        <v>139498.78000384395</v>
      </c>
      <c r="BI42" s="129">
        <v>56014.7658333332</v>
      </c>
      <c r="BJ42" s="129">
        <v>175563.84</v>
      </c>
      <c r="BK42" s="129">
        <v>143444.89187007496</v>
      </c>
      <c r="BL42" s="121">
        <v>0</v>
      </c>
      <c r="BM42" s="9">
        <f t="shared" si="7"/>
        <v>20212</v>
      </c>
      <c r="BN42" s="9"/>
      <c r="BO42" s="121"/>
      <c r="BP42" s="121"/>
      <c r="BQ42" s="121"/>
      <c r="BR42" s="121"/>
      <c r="BS42" s="121"/>
      <c r="BT42" s="121"/>
      <c r="BU42" s="121"/>
      <c r="BV42" s="9">
        <f t="shared" si="8"/>
        <v>20212</v>
      </c>
      <c r="BW42" s="9"/>
      <c r="BX42" s="121"/>
      <c r="BY42" s="121"/>
      <c r="BZ42" s="121"/>
      <c r="CA42" s="121"/>
      <c r="CB42" s="121"/>
      <c r="CC42" s="121"/>
      <c r="CD42" s="121"/>
      <c r="CE42" s="9">
        <f t="shared" si="9"/>
        <v>20212</v>
      </c>
      <c r="CF42" s="9"/>
      <c r="CG42" s="121"/>
      <c r="CH42" s="121"/>
      <c r="CI42" s="121"/>
      <c r="CJ42" s="121"/>
      <c r="CK42" s="121"/>
      <c r="CL42" s="121"/>
      <c r="CM42" s="121"/>
    </row>
    <row r="43" spans="1:91" x14ac:dyDescent="0.25">
      <c r="A43" s="7">
        <v>22</v>
      </c>
      <c r="B43" s="9">
        <f t="shared" si="0"/>
        <v>20213</v>
      </c>
      <c r="C43" s="9"/>
      <c r="D43" s="129">
        <v>939738.41666666605</v>
      </c>
      <c r="E43" s="129">
        <v>441241566.12</v>
      </c>
      <c r="F43" s="129">
        <v>417862501.18675619</v>
      </c>
      <c r="G43" s="129">
        <v>910156.11166666599</v>
      </c>
      <c r="H43" s="129">
        <v>428735615.73000002</v>
      </c>
      <c r="I43" s="129">
        <v>406019175.19270945</v>
      </c>
      <c r="J43" s="121">
        <v>0</v>
      </c>
      <c r="K43" s="9">
        <f t="shared" si="1"/>
        <v>20213</v>
      </c>
      <c r="L43" s="9"/>
      <c r="M43" s="130">
        <v>530122.83333333302</v>
      </c>
      <c r="N43" s="130">
        <v>17931600.25</v>
      </c>
      <c r="O43" s="130">
        <v>17806058.124562427</v>
      </c>
      <c r="P43" s="129">
        <v>513008.44583333301</v>
      </c>
      <c r="Q43" s="130">
        <v>17422483.890000001</v>
      </c>
      <c r="R43" s="130">
        <v>17300506.173150524</v>
      </c>
      <c r="S43" s="121">
        <v>0</v>
      </c>
      <c r="T43" s="9">
        <f t="shared" si="2"/>
        <v>20213</v>
      </c>
      <c r="U43" s="9"/>
      <c r="V43" s="130">
        <v>923197.58333333302</v>
      </c>
      <c r="W43" s="130">
        <v>82826506.890000001</v>
      </c>
      <c r="X43" s="130">
        <v>89451651.001389936</v>
      </c>
      <c r="Y43" s="130">
        <v>893791.43583333294</v>
      </c>
      <c r="Z43" s="130">
        <v>80363148.459999993</v>
      </c>
      <c r="AA43" s="130">
        <v>86791252.937466547</v>
      </c>
      <c r="AB43" s="121">
        <v>0</v>
      </c>
      <c r="AC43" s="9">
        <f t="shared" si="3"/>
        <v>20213</v>
      </c>
      <c r="AD43" s="9"/>
      <c r="AE43" s="130">
        <v>854678.5</v>
      </c>
      <c r="AF43" s="130">
        <v>88563029.629999995</v>
      </c>
      <c r="AG43" s="130">
        <v>128415082.47179195</v>
      </c>
      <c r="AH43" s="130">
        <v>824551.16333333298</v>
      </c>
      <c r="AI43" s="130">
        <v>84634935.909999996</v>
      </c>
      <c r="AJ43" s="130">
        <v>122719404.70288399</v>
      </c>
      <c r="AK43" s="121">
        <v>0</v>
      </c>
      <c r="AL43" s="9">
        <f t="shared" si="4"/>
        <v>20213</v>
      </c>
      <c r="AM43" s="9"/>
      <c r="AN43" s="130">
        <v>824373.25</v>
      </c>
      <c r="AO43" s="130">
        <v>333426736.25</v>
      </c>
      <c r="AP43" s="130">
        <v>371754625.15485442</v>
      </c>
      <c r="AQ43" s="130">
        <v>794559.4</v>
      </c>
      <c r="AR43" s="130">
        <v>319199655.77999997</v>
      </c>
      <c r="AS43" s="130">
        <v>355892121.06577861</v>
      </c>
      <c r="AT43" s="121">
        <v>0</v>
      </c>
      <c r="AU43" s="9">
        <f t="shared" si="5"/>
        <v>20213</v>
      </c>
      <c r="AV43" s="9"/>
      <c r="AW43" s="129">
        <v>1046401.4999999991</v>
      </c>
      <c r="AX43" s="129">
        <v>21744237.600000001</v>
      </c>
      <c r="AY43" s="129">
        <v>22842128.909231622</v>
      </c>
      <c r="AZ43" s="129">
        <v>1006582.3299999989</v>
      </c>
      <c r="BA43" s="129">
        <v>20729977.559999999</v>
      </c>
      <c r="BB43" s="129">
        <v>21776996.920015879</v>
      </c>
      <c r="BC43" s="121">
        <v>0</v>
      </c>
      <c r="BD43" s="9">
        <f t="shared" si="6"/>
        <v>20213</v>
      </c>
      <c r="BE43" s="9"/>
      <c r="BF43" s="129">
        <v>57894.833333333198</v>
      </c>
      <c r="BG43" s="129">
        <v>180784.83000000002</v>
      </c>
      <c r="BH43" s="129">
        <v>147713.37519828306</v>
      </c>
      <c r="BI43" s="129">
        <v>56074.738333333298</v>
      </c>
      <c r="BJ43" s="129">
        <v>175392.32</v>
      </c>
      <c r="BK43" s="129">
        <v>143305.67321127804</v>
      </c>
      <c r="BL43" s="121">
        <v>0</v>
      </c>
      <c r="BM43" s="9">
        <f t="shared" si="7"/>
        <v>20213</v>
      </c>
      <c r="BN43" s="9"/>
      <c r="BO43" s="121"/>
      <c r="BP43" s="121"/>
      <c r="BQ43" s="121"/>
      <c r="BR43" s="121"/>
      <c r="BS43" s="121"/>
      <c r="BT43" s="121"/>
      <c r="BU43" s="121"/>
      <c r="BV43" s="9">
        <f t="shared" si="8"/>
        <v>20213</v>
      </c>
      <c r="BW43" s="9"/>
      <c r="BX43" s="121"/>
      <c r="BY43" s="121"/>
      <c r="BZ43" s="121"/>
      <c r="CA43" s="121"/>
      <c r="CB43" s="121"/>
      <c r="CC43" s="121"/>
      <c r="CD43" s="121"/>
      <c r="CE43" s="9">
        <f t="shared" si="9"/>
        <v>20213</v>
      </c>
      <c r="CF43" s="9"/>
      <c r="CG43" s="121"/>
      <c r="CH43" s="121"/>
      <c r="CI43" s="121"/>
      <c r="CJ43" s="121"/>
      <c r="CK43" s="121"/>
      <c r="CL43" s="121"/>
      <c r="CM43" s="121"/>
    </row>
    <row r="44" spans="1:91" x14ac:dyDescent="0.25">
      <c r="A44" s="7">
        <v>23</v>
      </c>
      <c r="B44" s="9">
        <f t="shared" si="0"/>
        <v>20214</v>
      </c>
      <c r="C44" s="9"/>
      <c r="D44" s="129">
        <v>888344.75</v>
      </c>
      <c r="E44" s="129">
        <v>416438786.87</v>
      </c>
      <c r="F44" s="129">
        <v>394373890.4810065</v>
      </c>
      <c r="G44" s="129">
        <v>912864.33250000002</v>
      </c>
      <c r="H44" s="129">
        <v>428702854.29000002</v>
      </c>
      <c r="I44" s="129">
        <v>405988149.60873908</v>
      </c>
      <c r="J44" s="121">
        <v>0</v>
      </c>
      <c r="K44" s="9">
        <f t="shared" si="1"/>
        <v>20214</v>
      </c>
      <c r="L44" s="9"/>
      <c r="M44" s="130">
        <v>502255.83333333302</v>
      </c>
      <c r="N44" s="130">
        <v>16965318.539999999</v>
      </c>
      <c r="O44" s="130">
        <v>16846541.514049005</v>
      </c>
      <c r="P44" s="129">
        <v>515146.48583333299</v>
      </c>
      <c r="Q44" s="130">
        <v>17432433.460000001</v>
      </c>
      <c r="R44" s="130">
        <v>17310386.084550757</v>
      </c>
      <c r="S44" s="121">
        <v>0</v>
      </c>
      <c r="T44" s="9">
        <f t="shared" si="2"/>
        <v>20214</v>
      </c>
      <c r="U44" s="9"/>
      <c r="V44" s="130">
        <v>873355.41666666605</v>
      </c>
      <c r="W44" s="130">
        <v>78817177.030000001</v>
      </c>
      <c r="X44" s="130">
        <v>85121622.01848866</v>
      </c>
      <c r="Y44" s="130">
        <v>896873.66666666605</v>
      </c>
      <c r="Z44" s="130">
        <v>80667269.349999994</v>
      </c>
      <c r="AA44" s="130">
        <v>87119699.91339229</v>
      </c>
      <c r="AB44" s="121">
        <v>0</v>
      </c>
      <c r="AC44" s="9">
        <f t="shared" si="3"/>
        <v>20214</v>
      </c>
      <c r="AD44" s="9"/>
      <c r="AE44" s="130">
        <v>806868.91666666605</v>
      </c>
      <c r="AF44" s="130">
        <v>84967691.599999994</v>
      </c>
      <c r="AG44" s="130">
        <v>123201895.52950577</v>
      </c>
      <c r="AH44" s="130">
        <v>828931.53833333298</v>
      </c>
      <c r="AI44" s="130">
        <v>85990862.069999993</v>
      </c>
      <c r="AJ44" s="130">
        <v>124685477.5708686</v>
      </c>
      <c r="AK44" s="121">
        <v>0</v>
      </c>
      <c r="AL44" s="9">
        <f t="shared" si="4"/>
        <v>20214</v>
      </c>
      <c r="AM44" s="9"/>
      <c r="AN44" s="130">
        <v>778481</v>
      </c>
      <c r="AO44" s="130">
        <v>321008285.13999999</v>
      </c>
      <c r="AP44" s="130">
        <v>357908655.00463688</v>
      </c>
      <c r="AQ44" s="130">
        <v>799383.92666666606</v>
      </c>
      <c r="AR44" s="130">
        <v>324343587.83999997</v>
      </c>
      <c r="AS44" s="130">
        <v>361627355.60723883</v>
      </c>
      <c r="AT44" s="121">
        <v>0</v>
      </c>
      <c r="AU44" s="9">
        <f t="shared" si="5"/>
        <v>20214</v>
      </c>
      <c r="AV44" s="9"/>
      <c r="AW44" s="129">
        <v>989408.33333333302</v>
      </c>
      <c r="AX44" s="129">
        <v>20757657.57</v>
      </c>
      <c r="AY44" s="129">
        <v>21805351.867213827</v>
      </c>
      <c r="AZ44" s="129">
        <v>1014312.719999999</v>
      </c>
      <c r="BA44" s="129">
        <v>21078966.490000002</v>
      </c>
      <c r="BB44" s="129">
        <v>22143258.118644178</v>
      </c>
      <c r="BC44" s="121">
        <v>0</v>
      </c>
      <c r="BD44" s="9">
        <f t="shared" si="6"/>
        <v>20214</v>
      </c>
      <c r="BE44" s="9"/>
      <c r="BF44" s="129">
        <v>53682.249999999898</v>
      </c>
      <c r="BG44" s="129">
        <v>167105.92000000001</v>
      </c>
      <c r="BH44" s="129">
        <v>136535.4320339589</v>
      </c>
      <c r="BI44" s="129">
        <v>55760.519166666607</v>
      </c>
      <c r="BJ44" s="129">
        <v>173922.61</v>
      </c>
      <c r="BK44" s="129">
        <v>142105.09576296969</v>
      </c>
      <c r="BL44" s="121">
        <v>0</v>
      </c>
      <c r="BM44" s="9">
        <f t="shared" si="7"/>
        <v>20214</v>
      </c>
      <c r="BN44" s="9"/>
      <c r="BO44" s="121"/>
      <c r="BP44" s="121"/>
      <c r="BQ44" s="121"/>
      <c r="BR44" s="121"/>
      <c r="BS44" s="121"/>
      <c r="BT44" s="121"/>
      <c r="BU44" s="121"/>
      <c r="BV44" s="9">
        <f t="shared" si="8"/>
        <v>20214</v>
      </c>
      <c r="BW44" s="9"/>
      <c r="BX44" s="121"/>
      <c r="BY44" s="121"/>
      <c r="BZ44" s="121"/>
      <c r="CA44" s="121"/>
      <c r="CB44" s="121"/>
      <c r="CC44" s="121"/>
      <c r="CD44" s="121"/>
      <c r="CE44" s="9">
        <f t="shared" si="9"/>
        <v>20214</v>
      </c>
      <c r="CF44" s="9"/>
      <c r="CG44" s="121"/>
      <c r="CH44" s="121"/>
      <c r="CI44" s="121"/>
      <c r="CJ44" s="121"/>
      <c r="CK44" s="121"/>
      <c r="CL44" s="121"/>
      <c r="CM44" s="121"/>
    </row>
    <row r="45" spans="1:91" x14ac:dyDescent="0.25">
      <c r="A45" s="7">
        <v>24</v>
      </c>
      <c r="B45" s="9">
        <f t="shared" si="0"/>
        <v>20221</v>
      </c>
      <c r="C45" s="9"/>
      <c r="D45" s="129">
        <v>948749.5</v>
      </c>
      <c r="E45" s="129">
        <v>446963585.86000001</v>
      </c>
      <c r="F45" s="129">
        <v>423281341.25982881</v>
      </c>
      <c r="G45" s="129">
        <v>914860.22916666605</v>
      </c>
      <c r="H45" s="129">
        <v>429442466.80000001</v>
      </c>
      <c r="I45" s="129">
        <v>406688573.95011574</v>
      </c>
      <c r="J45" s="121">
        <v>0</v>
      </c>
      <c r="K45" s="9">
        <f t="shared" si="1"/>
        <v>20221</v>
      </c>
      <c r="L45" s="9"/>
      <c r="M45" s="130">
        <v>535387.08333333302</v>
      </c>
      <c r="N45" s="130">
        <v>18181954.530000001</v>
      </c>
      <c r="O45" s="130">
        <v>18054659.632473744</v>
      </c>
      <c r="P45" s="129">
        <v>516858.05499999999</v>
      </c>
      <c r="Q45" s="130">
        <v>17472090.010000002</v>
      </c>
      <c r="R45" s="130">
        <v>17349764.99242707</v>
      </c>
      <c r="S45" s="121">
        <v>0</v>
      </c>
      <c r="T45" s="9">
        <f t="shared" si="2"/>
        <v>20221</v>
      </c>
      <c r="U45" s="9"/>
      <c r="V45" s="130">
        <v>932565.75</v>
      </c>
      <c r="W45" s="130">
        <v>84403830.640000001</v>
      </c>
      <c r="X45" s="130">
        <v>91155142.056356043</v>
      </c>
      <c r="Y45" s="130">
        <v>899106.245833333</v>
      </c>
      <c r="Z45" s="130">
        <v>81047478.299999997</v>
      </c>
      <c r="AA45" s="130">
        <v>87530321.097117603</v>
      </c>
      <c r="AB45" s="121">
        <v>0</v>
      </c>
      <c r="AC45" s="9">
        <f t="shared" si="3"/>
        <v>20221</v>
      </c>
      <c r="AD45" s="9"/>
      <c r="AE45" s="130">
        <v>863615.25</v>
      </c>
      <c r="AF45" s="130">
        <v>91485643.640000001</v>
      </c>
      <c r="AG45" s="130">
        <v>132652829.53956202</v>
      </c>
      <c r="AH45" s="130">
        <v>832830.63166666601</v>
      </c>
      <c r="AI45" s="130">
        <v>87428901.049999997</v>
      </c>
      <c r="AJ45" s="130">
        <v>126770612.81280705</v>
      </c>
      <c r="AK45" s="121">
        <v>0</v>
      </c>
      <c r="AL45" s="9">
        <f t="shared" si="4"/>
        <v>20221</v>
      </c>
      <c r="AM45" s="9"/>
      <c r="AN45" s="130">
        <v>833511.83333333302</v>
      </c>
      <c r="AO45" s="130">
        <v>347966917.13999999</v>
      </c>
      <c r="AP45" s="130">
        <v>387966221.01318061</v>
      </c>
      <c r="AQ45" s="130">
        <v>803454.73249999899</v>
      </c>
      <c r="AR45" s="130">
        <v>329941610.68000001</v>
      </c>
      <c r="AS45" s="130">
        <v>367868879.32515734</v>
      </c>
      <c r="AT45" s="121">
        <v>0</v>
      </c>
      <c r="AU45" s="9">
        <f t="shared" si="5"/>
        <v>20221</v>
      </c>
      <c r="AV45" s="9"/>
      <c r="AW45" s="129">
        <v>1064826.9999999991</v>
      </c>
      <c r="AX45" s="129">
        <v>22633341.300000001</v>
      </c>
      <c r="AY45" s="129">
        <v>23775173.8516616</v>
      </c>
      <c r="AZ45" s="129">
        <v>1020885.6641666661</v>
      </c>
      <c r="BA45" s="129">
        <v>21433379.789999999</v>
      </c>
      <c r="BB45" s="129">
        <v>22515157.293729715</v>
      </c>
      <c r="BC45" s="121">
        <v>0</v>
      </c>
      <c r="BD45" s="9">
        <f t="shared" si="6"/>
        <v>20221</v>
      </c>
      <c r="BE45" s="9"/>
      <c r="BF45" s="129">
        <v>58444.083333333299</v>
      </c>
      <c r="BG45" s="129">
        <v>183247.95</v>
      </c>
      <c r="BH45" s="129">
        <v>149729.27092680195</v>
      </c>
      <c r="BI45" s="129">
        <v>55901.5608333333</v>
      </c>
      <c r="BJ45" s="129">
        <v>174964.05</v>
      </c>
      <c r="BK45" s="129">
        <v>142957.79130673164</v>
      </c>
      <c r="BL45" s="121">
        <v>0</v>
      </c>
      <c r="BM45" s="9">
        <f t="shared" si="7"/>
        <v>20221</v>
      </c>
      <c r="BN45" s="9"/>
      <c r="BO45" s="121"/>
      <c r="BP45" s="121"/>
      <c r="BQ45" s="121"/>
      <c r="BR45" s="121"/>
      <c r="BS45" s="121"/>
      <c r="BT45" s="121"/>
      <c r="BU45" s="121"/>
      <c r="BV45" s="9">
        <f t="shared" si="8"/>
        <v>20221</v>
      </c>
      <c r="BW45" s="9"/>
      <c r="BX45" s="121"/>
      <c r="BY45" s="121"/>
      <c r="BZ45" s="121"/>
      <c r="CA45" s="121"/>
      <c r="CB45" s="121"/>
      <c r="CC45" s="121"/>
      <c r="CD45" s="121"/>
      <c r="CE45" s="9">
        <f t="shared" si="9"/>
        <v>20221</v>
      </c>
      <c r="CF45" s="9"/>
      <c r="CG45" s="121"/>
      <c r="CH45" s="121"/>
      <c r="CI45" s="121"/>
      <c r="CJ45" s="121"/>
      <c r="CK45" s="121"/>
      <c r="CL45" s="121"/>
      <c r="CM45" s="121"/>
    </row>
    <row r="46" spans="1:91" x14ac:dyDescent="0.25">
      <c r="A46" s="7">
        <v>25</v>
      </c>
      <c r="B46" s="9">
        <f t="shared" si="0"/>
        <v>20222</v>
      </c>
      <c r="C46" s="9"/>
      <c r="D46" s="129">
        <v>900492</v>
      </c>
      <c r="E46" s="129">
        <v>424766966.83999997</v>
      </c>
      <c r="F46" s="129">
        <v>402260804.08980101</v>
      </c>
      <c r="G46" s="129">
        <v>920684.72583333298</v>
      </c>
      <c r="H46" s="129">
        <v>433058496.5</v>
      </c>
      <c r="I46" s="129">
        <v>410113009.29534942</v>
      </c>
      <c r="J46" s="121">
        <v>0</v>
      </c>
      <c r="K46" s="9">
        <f t="shared" si="1"/>
        <v>20222</v>
      </c>
      <c r="L46" s="9"/>
      <c r="M46" s="130">
        <v>508921.91666666599</v>
      </c>
      <c r="N46" s="130">
        <v>17299059.059999999</v>
      </c>
      <c r="O46" s="130">
        <v>17177945.460980162</v>
      </c>
      <c r="P46" s="129">
        <v>519969.83083333302</v>
      </c>
      <c r="Q46" s="130">
        <v>17625169.940000001</v>
      </c>
      <c r="R46" s="130">
        <v>17501773.184294049</v>
      </c>
      <c r="S46" s="121">
        <v>0</v>
      </c>
      <c r="T46" s="9">
        <f t="shared" si="2"/>
        <v>20222</v>
      </c>
      <c r="U46" s="9"/>
      <c r="V46" s="130">
        <v>885665.41666666605</v>
      </c>
      <c r="W46" s="130">
        <v>80857073.189999998</v>
      </c>
      <c r="X46" s="130">
        <v>87324685.82299912</v>
      </c>
      <c r="Y46" s="130">
        <v>905146.97499999998</v>
      </c>
      <c r="Z46" s="130">
        <v>81970874.129999995</v>
      </c>
      <c r="AA46" s="130">
        <v>88527577.707625121</v>
      </c>
      <c r="AB46" s="121">
        <v>0</v>
      </c>
      <c r="AC46" s="9">
        <f t="shared" si="3"/>
        <v>20222</v>
      </c>
      <c r="AD46" s="9"/>
      <c r="AE46" s="130">
        <v>826557.41666666605</v>
      </c>
      <c r="AF46" s="130">
        <v>90157299.25</v>
      </c>
      <c r="AG46" s="130">
        <v>130726749.8299423</v>
      </c>
      <c r="AH46" s="130">
        <v>839956.255</v>
      </c>
      <c r="AI46" s="130">
        <v>89435811.400000006</v>
      </c>
      <c r="AJ46" s="130">
        <v>129680603.1234981</v>
      </c>
      <c r="AK46" s="121">
        <v>0</v>
      </c>
      <c r="AL46" s="9">
        <f t="shared" si="4"/>
        <v>20222</v>
      </c>
      <c r="AM46" s="9"/>
      <c r="AN46" s="130">
        <v>797969.91666666605</v>
      </c>
      <c r="AO46" s="130">
        <v>337684518.81</v>
      </c>
      <c r="AP46" s="130">
        <v>376501846.02078062</v>
      </c>
      <c r="AQ46" s="130">
        <v>810637.33666666597</v>
      </c>
      <c r="AR46" s="130">
        <v>337823756.04000002</v>
      </c>
      <c r="AS46" s="130">
        <v>376657088.7731418</v>
      </c>
      <c r="AT46" s="121">
        <v>0</v>
      </c>
      <c r="AU46" s="9">
        <f t="shared" si="5"/>
        <v>20222</v>
      </c>
      <c r="AV46" s="9"/>
      <c r="AW46" s="129">
        <v>1012546.666666666</v>
      </c>
      <c r="AX46" s="129">
        <v>21760965.030000001</v>
      </c>
      <c r="AY46" s="129">
        <v>22858411.261580124</v>
      </c>
      <c r="AZ46" s="129">
        <v>1032011.041666666</v>
      </c>
      <c r="BA46" s="129">
        <v>21914326.129999999</v>
      </c>
      <c r="BB46" s="129">
        <v>23019936.756430712</v>
      </c>
      <c r="BC46" s="121">
        <v>0</v>
      </c>
      <c r="BD46" s="9">
        <f t="shared" si="6"/>
        <v>20222</v>
      </c>
      <c r="BE46" s="9"/>
      <c r="BF46" s="129">
        <v>54811.249999999898</v>
      </c>
      <c r="BG46" s="129">
        <v>171943.94</v>
      </c>
      <c r="BH46" s="129">
        <v>140493.45121718445</v>
      </c>
      <c r="BI46" s="129">
        <v>56359.809999999903</v>
      </c>
      <c r="BJ46" s="129">
        <v>176604.71</v>
      </c>
      <c r="BK46" s="129">
        <v>144300.32646502534</v>
      </c>
      <c r="BL46" s="121">
        <v>0</v>
      </c>
      <c r="BM46" s="9">
        <f t="shared" si="7"/>
        <v>20222</v>
      </c>
      <c r="BN46" s="9"/>
      <c r="BO46" s="121"/>
      <c r="BP46" s="121"/>
      <c r="BQ46" s="121"/>
      <c r="BR46" s="121"/>
      <c r="BS46" s="121"/>
      <c r="BT46" s="121"/>
      <c r="BU46" s="121"/>
      <c r="BV46" s="9">
        <f t="shared" si="8"/>
        <v>20222</v>
      </c>
      <c r="BW46" s="9"/>
      <c r="BX46" s="121"/>
      <c r="BY46" s="121"/>
      <c r="BZ46" s="121"/>
      <c r="CA46" s="121"/>
      <c r="CB46" s="121"/>
      <c r="CC46" s="121"/>
      <c r="CD46" s="121"/>
      <c r="CE46" s="9">
        <f t="shared" si="9"/>
        <v>20222</v>
      </c>
      <c r="CF46" s="9"/>
      <c r="CG46" s="121"/>
      <c r="CH46" s="121"/>
      <c r="CI46" s="121"/>
      <c r="CJ46" s="121"/>
      <c r="CK46" s="121"/>
      <c r="CL46" s="121"/>
      <c r="CM46" s="121"/>
    </row>
    <row r="47" spans="1:91" x14ac:dyDescent="0.25">
      <c r="A47" s="7">
        <v>26</v>
      </c>
      <c r="B47" s="9">
        <f>IF(RIGHT(B48,1)="1",B48-7,B48-1)</f>
        <v>20223</v>
      </c>
      <c r="C47" s="9"/>
      <c r="D47" s="129">
        <v>961708.25</v>
      </c>
      <c r="E47" s="129">
        <v>456755375.39999998</v>
      </c>
      <c r="F47" s="129">
        <v>432554315.48176771</v>
      </c>
      <c r="G47" s="129">
        <v>927188.625833333</v>
      </c>
      <c r="H47" s="129">
        <v>437653750.61000001</v>
      </c>
      <c r="I47" s="129">
        <v>414464785.11030316</v>
      </c>
      <c r="J47" s="121">
        <v>0</v>
      </c>
      <c r="K47" s="9">
        <f>IF(RIGHT(K48,1)="1",K48-7,K48-1)</f>
        <v>20223</v>
      </c>
      <c r="L47" s="9"/>
      <c r="M47" s="130">
        <v>541747.41666666605</v>
      </c>
      <c r="N47" s="130">
        <v>18559773.77</v>
      </c>
      <c r="O47" s="130">
        <v>18429833.696931154</v>
      </c>
      <c r="P47" s="129">
        <v>523240.04916666599</v>
      </c>
      <c r="Q47" s="129">
        <v>17805215.91</v>
      </c>
      <c r="R47" s="129">
        <v>17680558.622415401</v>
      </c>
      <c r="S47" s="121">
        <v>0</v>
      </c>
      <c r="T47" s="9">
        <f>IF(RIGHT(T48,1)="1",T48-7,T48-1)</f>
        <v>20223</v>
      </c>
      <c r="U47" s="9"/>
      <c r="V47" s="130">
        <v>945914.08333333302</v>
      </c>
      <c r="W47" s="130">
        <v>86701631.540000007</v>
      </c>
      <c r="X47" s="130">
        <v>93636739.939633384</v>
      </c>
      <c r="Y47" s="129">
        <v>911794.99416666594</v>
      </c>
      <c r="Z47" s="129">
        <v>83089446.370000005</v>
      </c>
      <c r="AA47" s="129">
        <v>89735622.540002376</v>
      </c>
      <c r="AB47" s="121">
        <v>0</v>
      </c>
      <c r="AC47" s="9">
        <f>IF(RIGHT(AC48,1)="1",AC48-7,AC48-1)</f>
        <v>20223</v>
      </c>
      <c r="AD47" s="9"/>
      <c r="AE47" s="130">
        <v>881510.83333333302</v>
      </c>
      <c r="AF47" s="130">
        <v>96834475.980000004</v>
      </c>
      <c r="AG47" s="130">
        <v>140408557.28440666</v>
      </c>
      <c r="AH47" s="129">
        <v>847517.01749999996</v>
      </c>
      <c r="AI47" s="129">
        <v>91722528.200000003</v>
      </c>
      <c r="AJ47" s="129">
        <v>132996308.6463155</v>
      </c>
      <c r="AK47" s="121">
        <v>0</v>
      </c>
      <c r="AL47" s="9">
        <f>IF(RIGHT(AL48,1)="1",AL48-7,AL48-1)</f>
        <v>20223</v>
      </c>
      <c r="AM47" s="9"/>
      <c r="AN47" s="130">
        <v>851472</v>
      </c>
      <c r="AO47" s="130">
        <v>366613255.79000002</v>
      </c>
      <c r="AP47" s="130">
        <v>408755983.44586027</v>
      </c>
      <c r="AQ47" s="129">
        <v>818206.96583333297</v>
      </c>
      <c r="AR47" s="129">
        <v>346715969.55000001</v>
      </c>
      <c r="AS47" s="129">
        <v>386571475.17594182</v>
      </c>
      <c r="AT47" s="121">
        <v>0</v>
      </c>
      <c r="AU47" s="9">
        <f>IF(RIGHT(AU48,1)="1",AU48-7,AU48-1)</f>
        <v>20223</v>
      </c>
      <c r="AV47" s="9"/>
      <c r="AW47" s="129">
        <v>1090163.5</v>
      </c>
      <c r="AX47" s="129">
        <v>23708975.909999996</v>
      </c>
      <c r="AY47" s="129">
        <v>24904158.770067681</v>
      </c>
      <c r="AZ47" s="129">
        <v>1043890.012499999</v>
      </c>
      <c r="BA47" s="129">
        <v>22430641.010000002</v>
      </c>
      <c r="BB47" s="129">
        <v>23561844.335099287</v>
      </c>
      <c r="BC47" s="121">
        <v>0</v>
      </c>
      <c r="BD47" s="9">
        <f>IF(RIGHT(BD48,1)="1",BD48-7,BD48-1)</f>
        <v>20223</v>
      </c>
      <c r="BE47" s="9"/>
      <c r="BF47" s="129">
        <v>59025.083333333299</v>
      </c>
      <c r="BG47" s="129">
        <v>185256.27</v>
      </c>
      <c r="BH47" s="129">
        <v>151372.3322060887</v>
      </c>
      <c r="BI47" s="129">
        <v>56692.342499999999</v>
      </c>
      <c r="BJ47" s="129">
        <v>177800.84</v>
      </c>
      <c r="BK47" s="129">
        <v>145279.49519516242</v>
      </c>
      <c r="BL47" s="121">
        <v>0</v>
      </c>
      <c r="BM47" s="9">
        <f>IF(RIGHT(BM48,1)="1",BM48-7,BM48-1)</f>
        <v>20223</v>
      </c>
      <c r="BN47" s="9"/>
      <c r="BO47" s="121"/>
      <c r="BP47" s="121"/>
      <c r="BQ47" s="121"/>
      <c r="BR47" s="121"/>
      <c r="BS47" s="121"/>
      <c r="BT47" s="121"/>
      <c r="BU47" s="121"/>
      <c r="BV47" s="9">
        <f>IF(RIGHT(BV48,1)="1",BV48-7,BV48-1)</f>
        <v>20223</v>
      </c>
      <c r="BW47" s="9"/>
      <c r="BX47" s="121"/>
      <c r="BY47" s="121"/>
      <c r="BZ47" s="121"/>
      <c r="CA47" s="121"/>
      <c r="CB47" s="121"/>
      <c r="CC47" s="121"/>
      <c r="CD47" s="121"/>
      <c r="CE47" s="9">
        <f>IF(RIGHT(CE48,1)="1",CE48-7,CE48-1)</f>
        <v>20223</v>
      </c>
      <c r="CF47" s="9"/>
      <c r="CG47" s="121"/>
      <c r="CH47" s="121"/>
      <c r="CI47" s="121"/>
      <c r="CJ47" s="121"/>
      <c r="CK47" s="121"/>
      <c r="CL47" s="121"/>
      <c r="CM47" s="121"/>
    </row>
    <row r="48" spans="1:91" x14ac:dyDescent="0.25">
      <c r="A48" s="7">
        <v>27</v>
      </c>
      <c r="B48" s="9">
        <f>FYQtr</f>
        <v>20224</v>
      </c>
      <c r="C48" s="122"/>
      <c r="D48" s="129">
        <v>920481.66666666605</v>
      </c>
      <c r="E48" s="129">
        <v>438178082.85000002</v>
      </c>
      <c r="F48" s="129">
        <v>414961335.74850768</v>
      </c>
      <c r="G48" s="129">
        <v>939206.83583333297</v>
      </c>
      <c r="H48" s="129">
        <v>446192336.54000002</v>
      </c>
      <c r="I48" s="129">
        <v>422550956.37626565</v>
      </c>
      <c r="J48" s="121">
        <v>0</v>
      </c>
      <c r="K48" s="123">
        <f>$B$48</f>
        <v>20224</v>
      </c>
      <c r="L48" s="122"/>
      <c r="M48" s="130">
        <v>518455.91666666599</v>
      </c>
      <c r="N48" s="130">
        <v>17822815.030000001</v>
      </c>
      <c r="O48" s="130">
        <v>17698034.528039671</v>
      </c>
      <c r="P48" s="129">
        <v>529018.371666666</v>
      </c>
      <c r="Q48" s="129">
        <v>18133446.719999999</v>
      </c>
      <c r="R48" s="129">
        <v>18006491.433745623</v>
      </c>
      <c r="S48" s="121">
        <v>0</v>
      </c>
      <c r="T48" s="123">
        <f>$B$48</f>
        <v>20224</v>
      </c>
      <c r="U48" s="122"/>
      <c r="V48" s="130">
        <v>905806.25</v>
      </c>
      <c r="W48" s="130">
        <v>83702778.680000007</v>
      </c>
      <c r="X48" s="130">
        <v>90398014.204241693</v>
      </c>
      <c r="Y48" s="129">
        <v>923832.40499999898</v>
      </c>
      <c r="Z48" s="129">
        <v>84869678.079999998</v>
      </c>
      <c r="AA48" s="129">
        <v>91658251.799691141</v>
      </c>
      <c r="AB48" s="121">
        <v>0</v>
      </c>
      <c r="AC48" s="123">
        <f>$B$48</f>
        <v>20224</v>
      </c>
      <c r="AD48" s="122"/>
      <c r="AE48" s="130">
        <v>842514.91666666605</v>
      </c>
      <c r="AF48" s="130">
        <v>94507708.700000003</v>
      </c>
      <c r="AG48" s="130">
        <v>137034779.15822729</v>
      </c>
      <c r="AH48" s="129">
        <v>859821.48166666599</v>
      </c>
      <c r="AI48" s="129">
        <v>94759605.239999995</v>
      </c>
      <c r="AJ48" s="129">
        <v>137400025.41384435</v>
      </c>
      <c r="AK48" s="121">
        <v>0</v>
      </c>
      <c r="AL48" s="123">
        <f>$B$48</f>
        <v>20224</v>
      </c>
      <c r="AM48" s="122"/>
      <c r="AN48" s="130">
        <v>813891.91666666605</v>
      </c>
      <c r="AO48" s="130">
        <v>360000680.04000002</v>
      </c>
      <c r="AP48" s="130">
        <v>401383282.48343307</v>
      </c>
      <c r="AQ48" s="129">
        <v>830433.61833333306</v>
      </c>
      <c r="AR48" s="129">
        <v>359368405.56999999</v>
      </c>
      <c r="AS48" s="129">
        <v>400678327.14231849</v>
      </c>
      <c r="AT48" s="121">
        <v>0</v>
      </c>
      <c r="AU48" s="123">
        <f>$B$48</f>
        <v>20224</v>
      </c>
      <c r="AV48" s="122"/>
      <c r="AW48" s="129">
        <v>1046378.8333333321</v>
      </c>
      <c r="AX48" s="129">
        <v>23057675.100000001</v>
      </c>
      <c r="AY48" s="129">
        <v>24219546.040560864</v>
      </c>
      <c r="AZ48" s="129">
        <v>1063292.1741666661</v>
      </c>
      <c r="BA48" s="129">
        <v>23144310</v>
      </c>
      <c r="BB48" s="129">
        <v>24311011.0674766</v>
      </c>
      <c r="BC48" s="121">
        <v>0</v>
      </c>
      <c r="BD48" s="123">
        <f>$B$48</f>
        <v>20224</v>
      </c>
      <c r="BE48" s="122"/>
      <c r="BF48" s="129">
        <v>56159.749999999898</v>
      </c>
      <c r="BG48" s="129">
        <v>176173.14</v>
      </c>
      <c r="BH48" s="129">
        <v>143949.45500759489</v>
      </c>
      <c r="BI48" s="129">
        <v>57470.159999999902</v>
      </c>
      <c r="BJ48" s="129">
        <v>180340.66</v>
      </c>
      <c r="BK48" s="129">
        <v>147355.3060669713</v>
      </c>
      <c r="BL48" s="121">
        <v>0</v>
      </c>
      <c r="BM48" s="123">
        <f>$B$48</f>
        <v>20224</v>
      </c>
      <c r="BN48" s="122"/>
      <c r="BO48" s="121"/>
      <c r="BP48" s="121"/>
      <c r="BQ48" s="121"/>
      <c r="BR48" s="121"/>
      <c r="BS48" s="121"/>
      <c r="BT48" s="121"/>
      <c r="BU48" s="121"/>
      <c r="BV48" s="123">
        <f>$B$48</f>
        <v>20224</v>
      </c>
      <c r="BW48" s="122"/>
      <c r="BX48" s="121"/>
      <c r="BY48" s="121"/>
      <c r="BZ48" s="121"/>
      <c r="CA48" s="121"/>
      <c r="CB48" s="121"/>
      <c r="CC48" s="121"/>
      <c r="CD48" s="121"/>
      <c r="CE48" s="123">
        <f>$B$48</f>
        <v>20224</v>
      </c>
      <c r="CF48" s="122"/>
      <c r="CG48" s="121"/>
      <c r="CH48" s="121"/>
      <c r="CI48" s="121"/>
      <c r="CJ48" s="121"/>
      <c r="CK48" s="121"/>
      <c r="CL48" s="121"/>
      <c r="CM48" s="121"/>
    </row>
    <row r="50" spans="4:85" ht="17.25" x14ac:dyDescent="0.25">
      <c r="D50" s="125" t="s">
        <v>125</v>
      </c>
      <c r="M50" s="125" t="s">
        <v>125</v>
      </c>
      <c r="V50" s="125" t="s">
        <v>125</v>
      </c>
      <c r="AE50" s="125" t="s">
        <v>125</v>
      </c>
      <c r="AN50" s="125" t="s">
        <v>125</v>
      </c>
      <c r="AW50" s="125" t="s">
        <v>125</v>
      </c>
      <c r="BF50" s="125" t="s">
        <v>125</v>
      </c>
      <c r="BO50" s="125" t="s">
        <v>125</v>
      </c>
      <c r="BX50" s="125" t="s">
        <v>125</v>
      </c>
      <c r="CG50" s="125" t="s">
        <v>125</v>
      </c>
    </row>
  </sheetData>
  <sheetProtection algorithmName="SHA-512" hashValue="kODOu3BH3k/n5CvUfzaMosGg6plMzvn+p0upC5Flt9oWDCbQa8vnW+aQNff0pcHpvnAHkUpHw3WFpkHrQJWtRw==" saltValue="BtY0+nIGbP7+NMC5mvsWuA==" spinCount="100000" sheet="1" objects="1" scenarios="1" formatColumns="0" formatRows="0" sort="0"/>
  <mergeCells count="10">
    <mergeCell ref="BF7:BL7"/>
    <mergeCell ref="BO7:BU7"/>
    <mergeCell ref="BX7:CD7"/>
    <mergeCell ref="CG7:CM7"/>
    <mergeCell ref="D7:J7"/>
    <mergeCell ref="M7:S7"/>
    <mergeCell ref="V7:AB7"/>
    <mergeCell ref="AE7:AK7"/>
    <mergeCell ref="AN7:AT7"/>
    <mergeCell ref="AW7:BC7"/>
  </mergeCells>
  <printOptions horizontalCentered="1"/>
  <pageMargins left="0.45" right="0.45" top="0.5" bottom="0.75" header="0.3" footer="0.3"/>
  <pageSetup scale="65" orientation="portrait" useFirstPageNumber="1" r:id="rId1"/>
  <headerFooter>
    <oddHeader>&amp;R&amp;"-,Bold"&amp;12Exhibit 5S</oddHeader>
    <oddFooter>&amp;CStandard Exhibits Template&amp;RPage 2.&amp;P&amp;L01/04/2021 Edition</oddFooter>
  </headerFooter>
  <colBreaks count="9" manualBreakCount="9">
    <brk id="10" max="1048575" man="1"/>
    <brk id="19" max="1048575" man="1"/>
    <brk id="28" max="1048575" man="1"/>
    <brk id="37" max="1048575" man="1"/>
    <brk id="46" max="1048575" man="1"/>
    <brk id="55" max="1048575" man="1"/>
    <brk id="64" max="1048575" man="1"/>
    <brk id="73" max="1048575" man="1"/>
    <brk id="82"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53</vt:i4>
      </vt:variant>
    </vt:vector>
  </HeadingPairs>
  <TitlesOfParts>
    <vt:vector size="56" baseType="lpstr">
      <vt:lpstr>Instructions</vt:lpstr>
      <vt:lpstr>1.General</vt:lpstr>
      <vt:lpstr>2.Exp_Prem</vt:lpstr>
      <vt:lpstr>CDI_FileNo</vt:lpstr>
      <vt:lpstr>Co_Name</vt:lpstr>
      <vt:lpstr>Completed_By</vt:lpstr>
      <vt:lpstr>Completed_Date</vt:lpstr>
      <vt:lpstr>CompSrc10</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E_P_Coverage1</vt:lpstr>
      <vt:lpstr>E_P_Coverage10</vt:lpstr>
      <vt:lpstr>E_P_Coverage2</vt:lpstr>
      <vt:lpstr>E_P_Coverage3</vt:lpstr>
      <vt:lpstr>E_P_Coverage4</vt:lpstr>
      <vt:lpstr>E_P_Coverage5</vt:lpstr>
      <vt:lpstr>E_P_Coverage6</vt:lpstr>
      <vt:lpstr>E_P_Coverage7</vt:lpstr>
      <vt:lpstr>E_P_Coverage8</vt:lpstr>
      <vt:lpstr>E_P_Coverage9</vt:lpstr>
      <vt:lpstr>Edition_Date</vt:lpstr>
      <vt:lpstr>FYQtr</vt:lpstr>
      <vt:lpstr>General_Line</vt:lpstr>
      <vt:lpstr>List_DetailLine</vt:lpstr>
      <vt:lpstr>List_GeneralLine</vt:lpstr>
      <vt:lpstr>List_LineType</vt:lpstr>
      <vt:lpstr>List_PrintExh</vt:lpstr>
      <vt:lpstr>List_YNIndicator</vt:lpstr>
      <vt:lpstr>List_YNnaIndicator</vt:lpstr>
      <vt:lpstr>NumCovgs</vt:lpstr>
      <vt:lpstr>'1.General'!Print_Area</vt:lpstr>
      <vt:lpstr>'2.Exp_Prem'!Print_Area</vt:lpstr>
      <vt:lpstr>Instructions!Print_Area</vt:lpstr>
      <vt:lpstr>Settings!Print_Area</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Maria Bunner</cp:lastModifiedBy>
  <cp:lastPrinted>2022-09-13T19:40:47Z</cp:lastPrinted>
  <dcterms:created xsi:type="dcterms:W3CDTF">2014-10-15T15:53:44Z</dcterms:created>
  <dcterms:modified xsi:type="dcterms:W3CDTF">2023-06-08T19:43:07Z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2022-08-31T21:19:07Z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50231eb2-982a-45eb-839a-fe7e710c8b6a</vt:lpwstr>
  </property>
  <property fmtid="{D5CDD505-2E9C-101B-9397-08002B2CF9AE}" pid="8" name="MSIP_Label_261ecbe3-7ba9-4124-b9d7-ffd820687beb_ContentBits">
    <vt:lpwstr>0</vt:lpwstr>
  </property>
</Properties>
</file>