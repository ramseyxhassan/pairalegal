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drawings/drawing3.xml" ContentType="application/vnd.openxmlformats-officedocument.drawing+xml"/>
  <Override PartName="/xl/ctrlProps/ctrlProp24.xml" ContentType="application/vnd.ms-excel.controlproperties+xml"/>
  <Override PartName="/xl/drawings/drawing4.xml" ContentType="application/vnd.openxmlformats-officedocument.drawing+xml"/>
  <Override PartName="/xl/ctrlProps/ctrlProp25.xml" ContentType="application/vnd.ms-excel.controlproperties+xml"/>
  <Override PartName="/xl/drawings/drawing5.xml" ContentType="application/vnd.openxmlformats-officedocument.drawing+xml"/>
  <Override PartName="/xl/ctrlProps/ctrlProp26.xml" ContentType="application/vnd.ms-excel.controlproperties+xml"/>
  <Override PartName="/xl/drawings/drawing6.xml" ContentType="application/vnd.openxmlformats-officedocument.drawing+xml"/>
  <Override PartName="/xl/ctrlProps/ctrlProp27.xml" ContentType="application/vnd.ms-excel.controlproperties+xml"/>
  <Override PartName="/xl/drawings/drawing7.xml" ContentType="application/vnd.openxmlformats-officedocument.drawing+xml"/>
  <Override PartName="/xl/ctrlProps/ctrlProp28.xml" ContentType="application/vnd.ms-excel.controlproperties+xml"/>
  <Override PartName="/xl/drawings/drawing8.xml" ContentType="application/vnd.openxmlformats-officedocument.drawing+xml"/>
  <Override PartName="/xl/ctrlProps/ctrlProp29.xml" ContentType="application/vnd.ms-excel.controlproperties+xml"/>
  <Override PartName="/xl/drawings/drawing9.xml" ContentType="application/vnd.openxmlformats-officedocument.drawing+xml"/>
  <Override PartName="/xl/ctrlProps/ctrlProp30.xml" ContentType="application/vnd.ms-excel.controlproperties+xml"/>
  <Override PartName="/xl/drawings/drawing10.xml" ContentType="application/vnd.openxmlformats-officedocument.drawing+xml"/>
  <Override PartName="/xl/ctrlProps/ctrlProp31.xml" ContentType="application/vnd.ms-excel.controlproperties+xml"/>
  <Override PartName="/xl/drawings/drawing11.xml" ContentType="application/vnd.openxmlformats-officedocument.drawing+xml"/>
  <Override PartName="/xl/ctrlProps/ctrlProp32.xml" ContentType="application/vnd.ms-excel.controlproperties+xml"/>
  <Override PartName="/xl/drawings/drawing12.xml" ContentType="application/vnd.openxmlformats-officedocument.drawing+xml"/>
  <Override PartName="/xl/ctrlProps/ctrlProp33.xml" ContentType="application/vnd.ms-excel.controlproperties+xml"/>
  <Override PartName="/xl/drawings/drawing13.xml" ContentType="application/vnd.openxmlformats-officedocument.drawing+xml"/>
  <Override PartName="/xl/ctrlProps/ctrlProp34.xml" ContentType="application/vnd.ms-excel.controlproperties+xml"/>
  <Override PartName="/xl/drawings/drawing14.xml" ContentType="application/vnd.openxmlformats-officedocument.drawing+xml"/>
  <Override PartName="/xl/ctrlProps/ctrlProp35.xml" ContentType="application/vnd.ms-excel.controlproperties+xml"/>
  <Override PartName="/xl/drawings/drawing15.xml" ContentType="application/vnd.openxmlformats-officedocument.drawing+xml"/>
  <Override PartName="/xl/ctrlProps/ctrlProp36.xml" ContentType="application/vnd.ms-excel.controlproperties+xml"/>
  <Override PartName="/xl/drawings/drawing16.xml" ContentType="application/vnd.openxmlformats-officedocument.drawing+xml"/>
  <Override PartName="/xl/ctrlProps/ctrlProp37.xml" ContentType="application/vnd.ms-excel.controlproperties+xml"/>
  <Override PartName="/xl/drawings/drawing17.xml" ContentType="application/vnd.openxmlformats-officedocument.drawing+xml"/>
  <Override PartName="/xl/ctrlProps/ctrlProp38.xml" ContentType="application/vnd.ms-excel.controlproperties+xml"/>
  <Override PartName="/xl/drawings/drawing18.xml" ContentType="application/vnd.openxmlformats-officedocument.drawing+xml"/>
  <Override PartName="/xl/ctrlProps/ctrlProp39.xml" ContentType="application/vnd.ms-excel.controlproperties+xml"/>
  <Override PartName="/xl/drawings/drawing19.xml" ContentType="application/vnd.openxmlformats-officedocument.drawing+xml"/>
  <Override PartName="/xl/ctrlProps/ctrlProp40.xml" ContentType="application/vnd.ms-excel.controlproperties+xml"/>
  <Override PartName="/xl/drawings/drawing20.xml" ContentType="application/vnd.openxmlformats-officedocument.drawing+xml"/>
  <Override PartName="/xl/ctrlProps/ctrlProp41.xml" ContentType="application/vnd.ms-excel.controlproperties+xml"/>
  <Override PartName="/xl/drawings/drawing21.xml" ContentType="application/vnd.openxmlformats-officedocument.drawing+xml"/>
  <Override PartName="/xl/ctrlProps/ctrlProp42.xml" ContentType="application/vnd.ms-excel.controlproperties+xml"/>
  <Override PartName="/xl/drawings/drawing22.xml" ContentType="application/vnd.openxmlformats-officedocument.drawing+xml"/>
  <Override PartName="/xl/ctrlProps/ctrlProp43.xml" ContentType="application/vnd.ms-excel.controlproperties+xml"/>
  <Override PartName="/xl/drawings/drawing23.xml" ContentType="application/vnd.openxmlformats-officedocument.drawing+xml"/>
  <Override PartName="/xl/ctrlProps/ctrlProp44.xml" ContentType="application/vnd.ms-excel.controlproperties+xml"/>
  <Override PartName="/xl/drawings/drawing24.xml" ContentType="application/vnd.openxmlformats-officedocument.drawing+xml"/>
  <Override PartName="/xl/ctrlProps/ctrlProp45.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24226"/>
  <mc:AlternateContent xmlns:mc="http://schemas.openxmlformats.org/markup-compatibility/2006">
    <mc:Choice Requires="x15">
      <x15ac:absPath xmlns:x15ac="http://schemas.microsoft.com/office/spreadsheetml/2010/11/ac" url="W:\P-C ACTUARIAL\AUTO\STATE FILES\California\REVISIONS\2023\4-1-2023 Rate Filing\Filing\3-8 Objection\"/>
    </mc:Choice>
  </mc:AlternateContent>
  <xr:revisionPtr revIDLastSave="0" documentId="8_{EBB65AAC-5D62-48FF-BFFF-3E7888EB7CD1}" xr6:coauthVersionLast="47" xr6:coauthVersionMax="47" xr10:uidLastSave="{00000000-0000-0000-0000-000000000000}"/>
  <bookViews>
    <workbookView xWindow="4560" yWindow="1620" windowWidth="21600" windowHeight="11385" tabRatio="866" firstSheet="2" activeTab="4" xr2:uid="{00000000-000D-0000-FFFF-FFFF00000000}"/>
  </bookViews>
  <sheets>
    <sheet name="Settings" sheetId="1" state="veryHidden" r:id="rId1"/>
    <sheet name="References" sheetId="3" state="veryHidden" r:id="rId2"/>
    <sheet name="Instructions" sheetId="30" r:id="rId3"/>
    <sheet name="1.General" sheetId="2" r:id="rId4"/>
    <sheet name="2.Summary" sheetId="34" r:id="rId5"/>
    <sheet name="3.1YieldFIT" sheetId="37" r:id="rId6"/>
    <sheet name="3.2YieldFIT" sheetId="38" r:id="rId7"/>
    <sheet name="4.1Excluded Exp" sheetId="35" r:id="rId8"/>
    <sheet name="4.2Excluded Exp" sheetId="36" r:id="rId9"/>
    <sheet name="5.CDI Parameters" sheetId="32" r:id="rId10"/>
    <sheet name="6.1Ratemaking Data" sheetId="9" r:id="rId11"/>
    <sheet name="6.2Ratemaking Data" sheetId="39" r:id="rId12"/>
    <sheet name="6.3Ratemaking Data" sheetId="41" r:id="rId13"/>
    <sheet name="6.4Ratemaking Data" sheetId="42" r:id="rId14"/>
    <sheet name="6.5Ratemaking Data" sheetId="43" r:id="rId15"/>
    <sheet name="6.6Ratemaking Data" sheetId="44" r:id="rId16"/>
    <sheet name="6.7Ratemaking Data" sheetId="45" r:id="rId17"/>
    <sheet name="6.8Ratemaking Data" sheetId="46" state="hidden" r:id="rId18"/>
    <sheet name="6.9Ratemaking Data" sheetId="47" state="hidden" r:id="rId19"/>
    <sheet name="6.10Ratemaking Data" sheetId="48" state="hidden" r:id="rId20"/>
    <sheet name="7.1Rate Change Calculation" sheetId="28" r:id="rId21"/>
    <sheet name="7.2Rate Change Calculation" sheetId="49" r:id="rId22"/>
    <sheet name="7.3Rate Change Calculation" sheetId="50" r:id="rId23"/>
    <sheet name="7.4Rate Change Calculation" sheetId="51" r:id="rId24"/>
    <sheet name="7.5Rate Change Calculation" sheetId="52" r:id="rId25"/>
    <sheet name="7.6Rate Change Calculation" sheetId="53" r:id="rId26"/>
    <sheet name="7.7Rate Change Calculation" sheetId="54" r:id="rId27"/>
    <sheet name="7.8Rate Change Calculation" sheetId="55" state="hidden" r:id="rId28"/>
    <sheet name="7.9Rate Change Calculation" sheetId="56" state="hidden" r:id="rId29"/>
    <sheet name="7.10Rate Change Calculation" sheetId="57" state="hidden" r:id="rId30"/>
    <sheet name="8.1LCM Calculation" sheetId="29" state="hidden" r:id="rId31"/>
    <sheet name="8.2LCM Calculation" sheetId="59" state="hidden" r:id="rId32"/>
    <sheet name="8.3LCM Calculation" sheetId="60" state="hidden" r:id="rId33"/>
    <sheet name="8.4LCM Calculation" sheetId="61" state="hidden" r:id="rId34"/>
    <sheet name="8.5LCM Calculation" sheetId="62" state="hidden" r:id="rId35"/>
    <sheet name="8.6LCM Calculation" sheetId="63" state="hidden" r:id="rId36"/>
    <sheet name="8.7LCM Calculation" sheetId="64" state="hidden" r:id="rId37"/>
    <sheet name="8.8LCM Calculation" sheetId="65" state="hidden" r:id="rId38"/>
    <sheet name="8.9LCM Calculation" sheetId="66" state="hidden" r:id="rId39"/>
    <sheet name="8.10LCM Calculation" sheetId="67" state="hidden" r:id="rId40"/>
    <sheet name="Efficiency Standard" sheetId="11" state="veryHidden" r:id="rId41"/>
    <sheet name="Leverage Factor" sheetId="12" state="veryHidden" r:id="rId42"/>
    <sheet name="Reserves Ratio" sheetId="13" state="veryHidden" r:id="rId43"/>
    <sheet name="Incurred Loss &amp; DCCE" sheetId="14" state="veryHidden" r:id="rId44"/>
    <sheet name="Federal Income Tax Rate" sheetId="68" state="veryHidden" r:id="rId45"/>
  </sheets>
  <functionGroups builtInGroupCount="19"/>
  <externalReferences>
    <externalReference r:id="rId46"/>
    <externalReference r:id="rId47"/>
  </externalReferences>
  <definedNames>
    <definedName name="Anc_Inc_perExp" localSheetId="29">'7.10Rate Change Calculation'!$H$56</definedName>
    <definedName name="Anc_Inc_perExp" localSheetId="20">'7.1Rate Change Calculation'!$H$56</definedName>
    <definedName name="Anc_Inc_perExp" localSheetId="21">'7.2Rate Change Calculation'!$H$56</definedName>
    <definedName name="Anc_Inc_perExp" localSheetId="22">'7.3Rate Change Calculation'!$H$56</definedName>
    <definedName name="Anc_Inc_perExp" localSheetId="23">'7.4Rate Change Calculation'!$H$56</definedName>
    <definedName name="Anc_Inc_perExp" localSheetId="24">'7.5Rate Change Calculation'!$H$56</definedName>
    <definedName name="Anc_Inc_perExp" localSheetId="25">'7.6Rate Change Calculation'!$H$56</definedName>
    <definedName name="Anc_Inc_perExp" localSheetId="26">'7.7Rate Change Calculation'!$H$56</definedName>
    <definedName name="Anc_Inc_perExp" localSheetId="27">'7.8Rate Change Calculation'!$H$56</definedName>
    <definedName name="Anc_Inc_perExp" localSheetId="28">'7.9Rate Change Calculation'!$H$56</definedName>
    <definedName name="Anc_Income" localSheetId="29">'7.10Rate Change Calculation'!$29:$29</definedName>
    <definedName name="Anc_Income" localSheetId="20">'7.1Rate Change Calculation'!$29:$29</definedName>
    <definedName name="Anc_Income" localSheetId="21">'7.2Rate Change Calculation'!$29:$29</definedName>
    <definedName name="Anc_Income" localSheetId="22">'7.3Rate Change Calculation'!$29:$29</definedName>
    <definedName name="Anc_Income" localSheetId="23">'7.4Rate Change Calculation'!$29:$29</definedName>
    <definedName name="Anc_Income" localSheetId="24">'7.5Rate Change Calculation'!$29:$29</definedName>
    <definedName name="Anc_Income" localSheetId="25">'7.6Rate Change Calculation'!$29:$29</definedName>
    <definedName name="Anc_Income" localSheetId="26">'7.7Rate Change Calculation'!$29:$29</definedName>
    <definedName name="Anc_Income" localSheetId="27">'7.8Rate Change Calculation'!$29:$29</definedName>
    <definedName name="Anc_Income" localSheetId="28">'7.9Rate Change Calculation'!$29:$29</definedName>
    <definedName name="AOE_Load" localSheetId="39">'8.10LCM Calculation'!$G$19</definedName>
    <definedName name="AOE_Load" localSheetId="30">'8.1LCM Calculation'!$G$19</definedName>
    <definedName name="AOE_Load" localSheetId="31">'8.2LCM Calculation'!$G$19</definedName>
    <definedName name="AOE_Load" localSheetId="32">'8.3LCM Calculation'!$G$19</definedName>
    <definedName name="AOE_Load" localSheetId="33">'8.4LCM Calculation'!$G$19</definedName>
    <definedName name="AOE_Load" localSheetId="34">'8.5LCM Calculation'!$G$19</definedName>
    <definedName name="AOE_Load" localSheetId="35">'8.6LCM Calculation'!$G$19</definedName>
    <definedName name="AOE_Load" localSheetId="36">'8.7LCM Calculation'!$G$19</definedName>
    <definedName name="AOE_Load" localSheetId="37">'8.8LCM Calculation'!$G$19</definedName>
    <definedName name="AOE_Load" localSheetId="38">'8.9LCM Calculation'!$G$19</definedName>
    <definedName name="CAT_Adj" localSheetId="29">'7.10Rate Change Calculation'!$28:$28</definedName>
    <definedName name="CAT_Adj" localSheetId="20">'7.1Rate Change Calculation'!$28:$28</definedName>
    <definedName name="CAT_Adj" localSheetId="21">'7.2Rate Change Calculation'!$28:$28</definedName>
    <definedName name="CAT_Adj" localSheetId="22">'7.3Rate Change Calculation'!$28:$28</definedName>
    <definedName name="CAT_Adj" localSheetId="23">'7.4Rate Change Calculation'!$28:$28</definedName>
    <definedName name="CAT_Adj" localSheetId="24">'7.5Rate Change Calculation'!$28:$28</definedName>
    <definedName name="CAT_Adj" localSheetId="25">'7.6Rate Change Calculation'!$28:$28</definedName>
    <definedName name="CAT_Adj" localSheetId="26">'7.7Rate Change Calculation'!$28:$28</definedName>
    <definedName name="CAT_Adj" localSheetId="27">'7.8Rate Change Calculation'!$28:$28</definedName>
    <definedName name="CAT_Adj" localSheetId="28">'7.9Rate Change Calculation'!$28:$28</definedName>
    <definedName name="CDI_FileNo">Settings!$E$20</definedName>
    <definedName name="CHANGE_AT_MAX" localSheetId="29">'7.10Rate Change Calculation'!$H$69</definedName>
    <definedName name="CHANGE_AT_MAX" localSheetId="20">'7.1Rate Change Calculation'!$H$69</definedName>
    <definedName name="CHANGE_AT_MAX" localSheetId="21">'7.2Rate Change Calculation'!$H$69</definedName>
    <definedName name="CHANGE_AT_MAX" localSheetId="22">'7.3Rate Change Calculation'!$H$69</definedName>
    <definedName name="CHANGE_AT_MAX" localSheetId="23">'7.4Rate Change Calculation'!$H$69</definedName>
    <definedName name="CHANGE_AT_MAX" localSheetId="24">'7.5Rate Change Calculation'!$H$69</definedName>
    <definedName name="CHANGE_AT_MAX" localSheetId="25">'7.6Rate Change Calculation'!$H$69</definedName>
    <definedName name="CHANGE_AT_MAX" localSheetId="26">'7.7Rate Change Calculation'!$H$69</definedName>
    <definedName name="CHANGE_AT_MAX" localSheetId="27">'7.8Rate Change Calculation'!$H$69</definedName>
    <definedName name="CHANGE_AT_MAX" localSheetId="28">'7.9Rate Change Calculation'!$H$69</definedName>
    <definedName name="CHANGE_AT_MIN" localSheetId="29">'7.10Rate Change Calculation'!$H$68</definedName>
    <definedName name="CHANGE_AT_MIN" localSheetId="20">'7.1Rate Change Calculation'!$H$68</definedName>
    <definedName name="CHANGE_AT_MIN" localSheetId="21">'7.2Rate Change Calculation'!$H$68</definedName>
    <definedName name="CHANGE_AT_MIN" localSheetId="22">'7.3Rate Change Calculation'!$H$68</definedName>
    <definedName name="CHANGE_AT_MIN" localSheetId="23">'7.4Rate Change Calculation'!$H$68</definedName>
    <definedName name="CHANGE_AT_MIN" localSheetId="24">'7.5Rate Change Calculation'!$H$68</definedName>
    <definedName name="CHANGE_AT_MIN" localSheetId="25">'7.6Rate Change Calculation'!$H$68</definedName>
    <definedName name="CHANGE_AT_MIN" localSheetId="26">'7.7Rate Change Calculation'!$H$68</definedName>
    <definedName name="CHANGE_AT_MIN" localSheetId="27">'7.8Rate Change Calculation'!$H$68</definedName>
    <definedName name="CHANGE_AT_MIN" localSheetId="28">'7.9Rate Change Calculation'!$H$68</definedName>
    <definedName name="Co_Name">Settings!$B$21</definedName>
    <definedName name="Comm_Rate" localSheetId="29">'7.10Rate Change Calculation'!$H$72</definedName>
    <definedName name="Comm_Rate" localSheetId="20">'7.1Rate Change Calculation'!$H$72</definedName>
    <definedName name="Comm_Rate" localSheetId="21">'7.2Rate Change Calculation'!$H$72</definedName>
    <definedName name="Comm_Rate" localSheetId="22">'7.3Rate Change Calculation'!$H$72</definedName>
    <definedName name="Comm_Rate" localSheetId="23">'7.4Rate Change Calculation'!$H$72</definedName>
    <definedName name="Comm_Rate" localSheetId="24">'7.5Rate Change Calculation'!$H$72</definedName>
    <definedName name="Comm_Rate" localSheetId="25">'7.6Rate Change Calculation'!$H$72</definedName>
    <definedName name="Comm_Rate" localSheetId="26">'7.7Rate Change Calculation'!$H$72</definedName>
    <definedName name="Comm_Rate" localSheetId="27">'7.8Rate Change Calculation'!$H$72</definedName>
    <definedName name="Comm_Rate" localSheetId="28">'7.9Rate Change Calculation'!$H$72</definedName>
    <definedName name="Comp_Trend" localSheetId="29">'7.10Rate Change Calculation'!$H$60</definedName>
    <definedName name="Comp_Trend" localSheetId="20">'7.1Rate Change Calculation'!$H$60</definedName>
    <definedName name="Comp_Trend" localSheetId="21">'7.2Rate Change Calculation'!$H$60</definedName>
    <definedName name="Comp_Trend" localSheetId="22">'7.3Rate Change Calculation'!$H$60</definedName>
    <definedName name="Comp_Trend" localSheetId="23">'7.4Rate Change Calculation'!$H$60</definedName>
    <definedName name="Comp_Trend" localSheetId="24">'7.5Rate Change Calculation'!$H$60</definedName>
    <definedName name="Comp_Trend" localSheetId="25">'7.6Rate Change Calculation'!$H$60</definedName>
    <definedName name="Comp_Trend" localSheetId="26">'7.7Rate Change Calculation'!$H$60</definedName>
    <definedName name="Comp_Trend" localSheetId="27">'7.8Rate Change Calculation'!$H$60</definedName>
    <definedName name="Comp_Trend" localSheetId="28">'7.9Rate Change Calculation'!$H$60</definedName>
    <definedName name="Completed_By">Settings!$E$21</definedName>
    <definedName name="Completed_Date">Settings!$E$22</definedName>
    <definedName name="CompLoss_Rein" localSheetId="29">'7.10Rate Change Calculation'!$77:$77</definedName>
    <definedName name="CompLoss_Rein" localSheetId="20">'7.1Rate Change Calculation'!$77:$77</definedName>
    <definedName name="CompLoss_Rein" localSheetId="21">'7.2Rate Change Calculation'!$77:$77</definedName>
    <definedName name="CompLoss_Rein" localSheetId="22">'7.3Rate Change Calculation'!$77:$77</definedName>
    <definedName name="CompLoss_Rein" localSheetId="23">'7.4Rate Change Calculation'!$77:$77</definedName>
    <definedName name="CompLoss_Rein" localSheetId="24">'7.5Rate Change Calculation'!$77:$77</definedName>
    <definedName name="CompLoss_Rein" localSheetId="25">'7.6Rate Change Calculation'!$77:$77</definedName>
    <definedName name="CompLoss_Rein" localSheetId="26">'7.7Rate Change Calculation'!$77:$77</definedName>
    <definedName name="CompLoss_Rein" localSheetId="27">'7.8Rate Change Calculation'!$77:$77</definedName>
    <definedName name="CompLoss_Rein" localSheetId="28">'7.9Rate Change Calculation'!$77:$77</definedName>
    <definedName name="CompLossDCCE_perExp" localSheetId="29">'7.10Rate Change Calculation'!$54:$54</definedName>
    <definedName name="CompLossDCCE_perExp" localSheetId="20">'7.1Rate Change Calculation'!$54:$54</definedName>
    <definedName name="CompLossDCCE_perExp" localSheetId="21">'7.2Rate Change Calculation'!$54:$54</definedName>
    <definedName name="CompLossDCCE_perExp" localSheetId="22">'7.3Rate Change Calculation'!$54:$54</definedName>
    <definedName name="CompLossDCCE_perExp" localSheetId="23">'7.4Rate Change Calculation'!$54:$54</definedName>
    <definedName name="CompLossDCCE_perExp" localSheetId="24">'7.5Rate Change Calculation'!$54:$54</definedName>
    <definedName name="CompLossDCCE_perExp" localSheetId="25">'7.6Rate Change Calculation'!$54:$54</definedName>
    <definedName name="CompLossDCCE_perExp" localSheetId="26">'7.7Rate Change Calculation'!$54:$54</definedName>
    <definedName name="CompLossDCCE_perExp" localSheetId="27">'7.8Rate Change Calculation'!$54:$54</definedName>
    <definedName name="CompLossDCCE_perExp" localSheetId="28">'7.9Rate Change Calculation'!$54:$54</definedName>
    <definedName name="Covg01">Settings!$B$42</definedName>
    <definedName name="Covg02">Settings!$B$43</definedName>
    <definedName name="Covg03">Settings!$B$44</definedName>
    <definedName name="Covg04">Settings!$B$45</definedName>
    <definedName name="Covg05">Settings!$B$46</definedName>
    <definedName name="Covg06">Settings!$B$47</definedName>
    <definedName name="Covg07">Settings!$B$48</definedName>
    <definedName name="Covg08">Settings!$B$49</definedName>
    <definedName name="Covg09">Settings!$B$50</definedName>
    <definedName name="Covg10">Settings!$B$51</definedName>
    <definedName name="CovgEntry_Indicator">Settings!$B$27</definedName>
    <definedName name="Credibility" localSheetId="29">'7.10Rate Change Calculation'!$H$30</definedName>
    <definedName name="Credibility" localSheetId="20">'7.1Rate Change Calculation'!$H$30</definedName>
    <definedName name="Credibility" localSheetId="21">'7.2Rate Change Calculation'!$H$30</definedName>
    <definedName name="Credibility" localSheetId="22">'7.3Rate Change Calculation'!$H$30</definedName>
    <definedName name="Credibility" localSheetId="23">'7.4Rate Change Calculation'!$H$30</definedName>
    <definedName name="Credibility" localSheetId="24">'7.5Rate Change Calculation'!$H$30</definedName>
    <definedName name="Credibility" localSheetId="25">'7.6Rate Change Calculation'!$H$30</definedName>
    <definedName name="Credibility" localSheetId="26">'7.7Rate Change Calculation'!$H$30</definedName>
    <definedName name="Credibility" localSheetId="27">'7.8Rate Change Calculation'!$H$30</definedName>
    <definedName name="Credibility" localSheetId="28">'7.9Rate Change Calculation'!$H$30</definedName>
    <definedName name="CredLossDCCE_perExp" localSheetId="29">'7.10Rate Change Calculation'!$H$55</definedName>
    <definedName name="CredLossDCCE_perExp" localSheetId="20">'7.1Rate Change Calculation'!$H$55</definedName>
    <definedName name="CredLossDCCE_perExp" localSheetId="21">'7.2Rate Change Calculation'!$H$55</definedName>
    <definedName name="CredLossDCCE_perExp" localSheetId="22">'7.3Rate Change Calculation'!$H$55</definedName>
    <definedName name="CredLossDCCE_perExp" localSheetId="23">'7.4Rate Change Calculation'!$H$55</definedName>
    <definedName name="CredLossDCCE_perExp" localSheetId="24">'7.5Rate Change Calculation'!$H$55</definedName>
    <definedName name="CredLossDCCE_perExp" localSheetId="25">'7.6Rate Change Calculation'!$H$55</definedName>
    <definedName name="CredLossDCCE_perExp" localSheetId="26">'7.7Rate Change Calculation'!$H$55</definedName>
    <definedName name="CredLossDCCE_perExp" localSheetId="27">'7.8Rate Change Calculation'!$H$55</definedName>
    <definedName name="CredLossDCCE_perExp" localSheetId="28">'7.9Rate Change Calculation'!$H$55</definedName>
    <definedName name="Curr_LCM" localSheetId="39">'8.10LCM Calculation'!$G$28</definedName>
    <definedName name="Curr_LCM" localSheetId="30">'8.1LCM Calculation'!$G$28</definedName>
    <definedName name="Curr_LCM" localSheetId="31">'8.2LCM Calculation'!$G$28</definedName>
    <definedName name="Curr_LCM" localSheetId="32">'8.3LCM Calculation'!$G$28</definedName>
    <definedName name="Curr_LCM" localSheetId="33">'8.4LCM Calculation'!$G$28</definedName>
    <definedName name="Curr_LCM" localSheetId="34">'8.5LCM Calculation'!$G$28</definedName>
    <definedName name="Curr_LCM" localSheetId="35">'8.6LCM Calculation'!$G$28</definedName>
    <definedName name="Curr_LCM" localSheetId="36">'8.7LCM Calculation'!$G$28</definedName>
    <definedName name="Curr_LCM" localSheetId="37">'8.8LCM Calculation'!$G$28</definedName>
    <definedName name="Curr_LCM" localSheetId="38">'8.9LCM Calculation'!$G$28</definedName>
    <definedName name="CURR_LOSS_COST_MUL_WITH_MOD" localSheetId="39">'8.10LCM Calculation'!$G$47</definedName>
    <definedName name="CURR_LOSS_COST_MUL_WITH_MOD" localSheetId="31">'8.2LCM Calculation'!$G$47</definedName>
    <definedName name="CURR_LOSS_COST_MUL_WITH_MOD" localSheetId="32">'8.3LCM Calculation'!$G$47</definedName>
    <definedName name="CURR_LOSS_COST_MUL_WITH_MOD" localSheetId="33">'8.4LCM Calculation'!$G$47</definedName>
    <definedName name="CURR_LOSS_COST_MUL_WITH_MOD" localSheetId="34">'8.5LCM Calculation'!$G$47</definedName>
    <definedName name="CURR_LOSS_COST_MUL_WITH_MOD" localSheetId="35">'8.6LCM Calculation'!$G$47</definedName>
    <definedName name="CURR_LOSS_COST_MUL_WITH_MOD" localSheetId="36">'8.7LCM Calculation'!$G$47</definedName>
    <definedName name="CURR_LOSS_COST_MUL_WITH_MOD" localSheetId="37">'8.8LCM Calculation'!$G$47</definedName>
    <definedName name="CURR_LOSS_COST_MUL_WITH_MOD" localSheetId="38">'8.9LCM Calculation'!$G$47</definedName>
    <definedName name="CURR_LOSS_COST_MUL_WITH_MOD">'8.1LCM Calculation'!$G$47</definedName>
    <definedName name="DCCE" localSheetId="29">'7.10Rate Change Calculation'!$23:$23</definedName>
    <definedName name="DCCE" localSheetId="20">'7.1Rate Change Calculation'!$23:$23</definedName>
    <definedName name="DCCE" localSheetId="21">'7.2Rate Change Calculation'!$23:$23</definedName>
    <definedName name="DCCE" localSheetId="22">'7.3Rate Change Calculation'!$23:$23</definedName>
    <definedName name="DCCE" localSheetId="23">'7.4Rate Change Calculation'!$23:$23</definedName>
    <definedName name="DCCE" localSheetId="24">'7.5Rate Change Calculation'!$23:$23</definedName>
    <definedName name="DCCE" localSheetId="25">'7.6Rate Change Calculation'!$23:$23</definedName>
    <definedName name="DCCE" localSheetId="26">'7.7Rate Change Calculation'!$23:$23</definedName>
    <definedName name="DCCE" localSheetId="27">'7.8Rate Change Calculation'!$23:$23</definedName>
    <definedName name="DCCE" localSheetId="28">'7.9Rate Change Calculation'!$23:$23</definedName>
    <definedName name="DCCE_Adjusted" localSheetId="29">'7.10Rate Change Calculation'!$50:$50</definedName>
    <definedName name="DCCE_Adjusted" localSheetId="20">'7.1Rate Change Calculation'!$50:$50</definedName>
    <definedName name="DCCE_Adjusted" localSheetId="21">'7.2Rate Change Calculation'!$50:$50</definedName>
    <definedName name="DCCE_Adjusted" localSheetId="22">'7.3Rate Change Calculation'!$50:$50</definedName>
    <definedName name="DCCE_Adjusted" localSheetId="23">'7.4Rate Change Calculation'!$50:$50</definedName>
    <definedName name="DCCE_Adjusted" localSheetId="24">'7.5Rate Change Calculation'!$50:$50</definedName>
    <definedName name="DCCE_Adjusted" localSheetId="25">'7.6Rate Change Calculation'!$50:$50</definedName>
    <definedName name="DCCE_Adjusted" localSheetId="26">'7.7Rate Change Calculation'!$50:$50</definedName>
    <definedName name="DCCE_Adjusted" localSheetId="27">'7.8Rate Change Calculation'!$50:$50</definedName>
    <definedName name="DCCE_Adjusted" localSheetId="28">'7.9Rate Change Calculation'!$50:$50</definedName>
    <definedName name="DCCE_AnnualTrend" localSheetId="29">'7.10Rate Change Calculation'!$H$27</definedName>
    <definedName name="DCCE_AnnualTrend" localSheetId="20">'7.1Rate Change Calculation'!$H$27</definedName>
    <definedName name="DCCE_AnnualTrend" localSheetId="21">'7.2Rate Change Calculation'!$H$27</definedName>
    <definedName name="DCCE_AnnualTrend" localSheetId="22">'7.3Rate Change Calculation'!$H$27</definedName>
    <definedName name="DCCE_AnnualTrend" localSheetId="23">'7.4Rate Change Calculation'!$H$27</definedName>
    <definedName name="DCCE_AnnualTrend" localSheetId="24">'7.5Rate Change Calculation'!$H$27</definedName>
    <definedName name="DCCE_AnnualTrend" localSheetId="25">'7.6Rate Change Calculation'!$H$27</definedName>
    <definedName name="DCCE_AnnualTrend" localSheetId="26">'7.7Rate Change Calculation'!$H$27</definedName>
    <definedName name="DCCE_AnnualTrend" localSheetId="27">'7.8Rate Change Calculation'!$H$27</definedName>
    <definedName name="DCCE_AnnualTrend" localSheetId="28">'7.9Rate Change Calculation'!$H$27</definedName>
    <definedName name="DCCE_Devt" localSheetId="29">'7.10Rate Change Calculation'!$25:$25</definedName>
    <definedName name="DCCE_Devt" localSheetId="20">'7.1Rate Change Calculation'!$25:$25</definedName>
    <definedName name="DCCE_Devt" localSheetId="21">'7.2Rate Change Calculation'!$25:$25</definedName>
    <definedName name="DCCE_Devt" localSheetId="22">'7.3Rate Change Calculation'!$25:$25</definedName>
    <definedName name="DCCE_Devt" localSheetId="23">'7.4Rate Change Calculation'!$25:$25</definedName>
    <definedName name="DCCE_Devt" localSheetId="24">'7.5Rate Change Calculation'!$25:$25</definedName>
    <definedName name="DCCE_Devt" localSheetId="25">'7.6Rate Change Calculation'!$25:$25</definedName>
    <definedName name="DCCE_Devt" localSheetId="26">'7.7Rate Change Calculation'!$25:$25</definedName>
    <definedName name="DCCE_Devt" localSheetId="27">'7.8Rate Change Calculation'!$25:$25</definedName>
    <definedName name="DCCE_Devt" localSheetId="28">'7.9Rate Change Calculation'!$25:$25</definedName>
    <definedName name="DCCE_Trend" localSheetId="29">'7.10Rate Change Calculation'!$27:$27</definedName>
    <definedName name="DCCE_Trend" localSheetId="20">'7.1Rate Change Calculation'!$27:$27</definedName>
    <definedName name="DCCE_Trend" localSheetId="21">'7.2Rate Change Calculation'!$27:$27</definedName>
    <definedName name="DCCE_Trend" localSheetId="22">'7.3Rate Change Calculation'!$27:$27</definedName>
    <definedName name="DCCE_Trend" localSheetId="23">'7.4Rate Change Calculation'!$27:$27</definedName>
    <definedName name="DCCE_Trend" localSheetId="24">'7.5Rate Change Calculation'!$27:$27</definedName>
    <definedName name="DCCE_Trend" localSheetId="25">'7.6Rate Change Calculation'!$27:$27</definedName>
    <definedName name="DCCE_Trend" localSheetId="26">'7.7Rate Change Calculation'!$27:$27</definedName>
    <definedName name="DCCE_Trend" localSheetId="27">'7.8Rate Change Calculation'!$27:$27</definedName>
    <definedName name="DCCE_Trend" localSheetId="28">'7.9Rate Change Calculation'!$27:$27</definedName>
    <definedName name="Detailed_LineCode01">Settings!$E$30</definedName>
    <definedName name="Detailed_LineCode02">Settings!$E$31</definedName>
    <definedName name="Detailed_LineCode03">Settings!$E$32</definedName>
    <definedName name="Detailed_LineCode04">Settings!$E$33</definedName>
    <definedName name="Detailed_LineCode05">Settings!$E$34</definedName>
    <definedName name="Detailed_LineCode06">Settings!$E$35</definedName>
    <definedName name="Detailed_LineCode07">Settings!$E$36</definedName>
    <definedName name="Detailed_LineCode08">Settings!$E$37</definedName>
    <definedName name="Detailed_LineCode09">Settings!$E$38</definedName>
    <definedName name="Detailed_LineCode10">Settings!$E$39</definedName>
    <definedName name="Detailed_LineDesc01">Settings!$B$30</definedName>
    <definedName name="Detailed_LineDesc02">Settings!$B$31</definedName>
    <definedName name="Detailed_LineDesc03">Settings!$B$32</definedName>
    <definedName name="Detailed_LineDesc04">Settings!$B$33</definedName>
    <definedName name="Detailed_LineDesc05">Settings!$B$34</definedName>
    <definedName name="Detailed_LineDesc06">Settings!$B$35</definedName>
    <definedName name="Detailed_LineDesc07">Settings!$B$36</definedName>
    <definedName name="Detailed_LineDesc08">Settings!$B$37</definedName>
    <definedName name="Detailed_LineDesc09">Settings!$B$38</definedName>
    <definedName name="Detailed_LineDesc10">Settings!$B$39</definedName>
    <definedName name="Edition_Date">Settings!$B$20</definedName>
    <definedName name="EffDate_Prior01">Settings!$E$91</definedName>
    <definedName name="EffDate_Prior02">Settings!$E$92</definedName>
    <definedName name="EffDate_Prior03">Settings!$E$93</definedName>
    <definedName name="EffDate_Prior04">Settings!$E$94</definedName>
    <definedName name="EffDate_Prior05">Settings!$E$95</definedName>
    <definedName name="EffDate_Prior06">Settings!$E$96</definedName>
    <definedName name="EffDate_Prior07">Settings!$E$97</definedName>
    <definedName name="EffDate_Prior08">Settings!$E$98</definedName>
    <definedName name="EffDate_Prior09">Settings!$E$99</definedName>
    <definedName name="EffDate_Prior10">Settings!$E$100</definedName>
    <definedName name="EffDate_Proposed">Settings!$E$23</definedName>
    <definedName name="EffStd_Final01">Settings!$E$42</definedName>
    <definedName name="EffStd_Final02">Settings!$E$43</definedName>
    <definedName name="EffStd_Final03">Settings!$E$44</definedName>
    <definedName name="EffStd_Final04">Settings!$E$45</definedName>
    <definedName name="EffStd_Final05">Settings!$E$46</definedName>
    <definedName name="EffStd_Final06">Settings!$E$47</definedName>
    <definedName name="EffStd_Final07">Settings!$E$48</definedName>
    <definedName name="EffStd_Final08">Settings!$E$49</definedName>
    <definedName name="EffStd_Final09">Settings!$E$50</definedName>
    <definedName name="EffStd_Final10">Settings!$E$51</definedName>
    <definedName name="EffStd_Var01">Settings!$B$67</definedName>
    <definedName name="EffStd_Var02">Settings!$B$68</definedName>
    <definedName name="EffStd_Var03">Settings!$B$69</definedName>
    <definedName name="EffStd_Var04">Settings!$B$70</definedName>
    <definedName name="EffStd_Var05">Settings!$B$71</definedName>
    <definedName name="EffStd_Var06">Settings!$B$72</definedName>
    <definedName name="EffStd_Var07">Settings!$B$73</definedName>
    <definedName name="EffStd_Var08">Settings!$B$74</definedName>
    <definedName name="EffStd_Var09">Settings!$B$75</definedName>
    <definedName name="EffStd_Var10">Settings!$B$76</definedName>
    <definedName name="EffStd_VarReq01">Settings!$E$54</definedName>
    <definedName name="EffStd_VarReq02">Settings!$E$55</definedName>
    <definedName name="EffStd_VarReq03">Settings!$E$56</definedName>
    <definedName name="EffStd_VarReq04">Settings!$E$57</definedName>
    <definedName name="EffStd_VarReq05">Settings!$E$58</definedName>
    <definedName name="EffStd_VarReq06">Settings!$E$59</definedName>
    <definedName name="EffStd_VarReq07">Settings!$E$60</definedName>
    <definedName name="EffStd_VarReq08">Settings!$E$61</definedName>
    <definedName name="EffStd_VarReq09">Settings!$E$62</definedName>
    <definedName name="EffStd_VarReq10">Settings!$E$63</definedName>
    <definedName name="EffStd_Wtd01">Settings!$B$54</definedName>
    <definedName name="EffStd_Wtd02">Settings!$B$55</definedName>
    <definedName name="EffStd_Wtd03">Settings!$B$56</definedName>
    <definedName name="EffStd_Wtd04">Settings!$B$57</definedName>
    <definedName name="EffStd_Wtd05">Settings!$B$58</definedName>
    <definedName name="EffStd_Wtd06">Settings!$B$59</definedName>
    <definedName name="EffStd_Wtd07">Settings!$B$60</definedName>
    <definedName name="EffStd_Wtd08">Settings!$B$61</definedName>
    <definedName name="EffStd_Wtd09">Settings!$B$62</definedName>
    <definedName name="EffStd_Wtd10">Settings!$B$63</definedName>
    <definedName name="Error00">'1.General'!$J$10</definedName>
    <definedName name="Error01">'1.General'!$J$16</definedName>
    <definedName name="Error02">'1.General'!$J$20</definedName>
    <definedName name="Error03">'1.General'!$J$18</definedName>
    <definedName name="Error04">'1.General'!$J$23</definedName>
    <definedName name="Error05">'1.General'!$J$34</definedName>
    <definedName name="Error06">'1.General'!$J$35</definedName>
    <definedName name="Error07">'1.General'!$J$36</definedName>
    <definedName name="Error08">'1.General'!$J$37</definedName>
    <definedName name="Error09">'1.General'!$J$38</definedName>
    <definedName name="Error10">'1.General'!$J$39</definedName>
    <definedName name="Error11">'1.General'!$J$40</definedName>
    <definedName name="Error12">'1.General'!$J$41</definedName>
    <definedName name="Error13">'1.General'!$J$42</definedName>
    <definedName name="Error14">'1.General'!$J$43</definedName>
    <definedName name="Error15">'1.General'!$J$47</definedName>
    <definedName name="Error16">'1.General'!$J$48</definedName>
    <definedName name="Error17" localSheetId="19">'6.10Ratemaking Data'!$M$15</definedName>
    <definedName name="Error17" localSheetId="10">'6.1Ratemaking Data'!$M$15</definedName>
    <definedName name="Error17" localSheetId="11">'6.2Ratemaking Data'!$M$15</definedName>
    <definedName name="Error17" localSheetId="12">'6.3Ratemaking Data'!$M$15</definedName>
    <definedName name="Error17" localSheetId="13">'6.4Ratemaking Data'!$M$15</definedName>
    <definedName name="Error17" localSheetId="14">'6.5Ratemaking Data'!$M$15</definedName>
    <definedName name="Error17" localSheetId="15">'6.6Ratemaking Data'!$M$15</definedName>
    <definedName name="Error17" localSheetId="16">'6.7Ratemaking Data'!$M$15</definedName>
    <definedName name="Error17" localSheetId="17">'6.8Ratemaking Data'!$M$15</definedName>
    <definedName name="Error17" localSheetId="18">'6.9Ratemaking Data'!$M$15</definedName>
    <definedName name="Error18" localSheetId="19">'6.10Ratemaking Data'!$M$16</definedName>
    <definedName name="Error18" localSheetId="10">'6.1Ratemaking Data'!$M$16</definedName>
    <definedName name="Error18" localSheetId="11">'6.2Ratemaking Data'!$M$16</definedName>
    <definedName name="Error18" localSheetId="12">'6.3Ratemaking Data'!$M$16</definedName>
    <definedName name="Error18" localSheetId="13">'6.4Ratemaking Data'!$M$16</definedName>
    <definedName name="Error18" localSheetId="14">'6.5Ratemaking Data'!$M$16</definedName>
    <definedName name="Error18" localSheetId="15">'6.6Ratemaking Data'!$M$16</definedName>
    <definedName name="Error18" localSheetId="16">'6.7Ratemaking Data'!$M$16</definedName>
    <definedName name="Error18" localSheetId="17">'6.8Ratemaking Data'!$M$16</definedName>
    <definedName name="Error18" localSheetId="18">'6.9Ratemaking Data'!$M$16</definedName>
    <definedName name="Error19" localSheetId="19">'6.10Ratemaking Data'!$M$18</definedName>
    <definedName name="Error19" localSheetId="10">'6.1Ratemaking Data'!$M$18</definedName>
    <definedName name="Error19" localSheetId="11">'6.2Ratemaking Data'!$M$18</definedName>
    <definedName name="Error19" localSheetId="12">'6.3Ratemaking Data'!$M$18</definedName>
    <definedName name="Error19" localSheetId="13">'6.4Ratemaking Data'!$M$18</definedName>
    <definedName name="Error19" localSheetId="14">'6.5Ratemaking Data'!$M$18</definedName>
    <definedName name="Error19" localSheetId="15">'6.6Ratemaking Data'!$M$18</definedName>
    <definedName name="Error19" localSheetId="16">'6.7Ratemaking Data'!$M$18</definedName>
    <definedName name="Error19" localSheetId="17">'6.8Ratemaking Data'!$M$18</definedName>
    <definedName name="Error19" localSheetId="18">'6.9Ratemaking Data'!$M$18</definedName>
    <definedName name="Error20" localSheetId="19">'6.10Ratemaking Data'!$M$19</definedName>
    <definedName name="Error20" localSheetId="10">'6.1Ratemaking Data'!$M$19</definedName>
    <definedName name="Error20" localSheetId="11">'6.2Ratemaking Data'!$M$19</definedName>
    <definedName name="Error20" localSheetId="12">'6.3Ratemaking Data'!$M$19</definedName>
    <definedName name="Error20" localSheetId="13">'6.4Ratemaking Data'!$M$19</definedName>
    <definedName name="Error20" localSheetId="14">'6.5Ratemaking Data'!$M$19</definedName>
    <definedName name="Error20" localSheetId="15">'6.6Ratemaking Data'!$M$19</definedName>
    <definedName name="Error20" localSheetId="16">'6.7Ratemaking Data'!$M$19</definedName>
    <definedName name="Error20" localSheetId="17">'6.8Ratemaking Data'!$M$19</definedName>
    <definedName name="Error20" localSheetId="18">'6.9Ratemaking Data'!$M$19</definedName>
    <definedName name="Error21" localSheetId="19">'6.10Ratemaking Data'!$M$20</definedName>
    <definedName name="Error21" localSheetId="10">'6.1Ratemaking Data'!$M$20</definedName>
    <definedName name="Error21" localSheetId="11">'6.2Ratemaking Data'!$M$20</definedName>
    <definedName name="Error21" localSheetId="12">'6.3Ratemaking Data'!$M$20</definedName>
    <definedName name="Error21" localSheetId="13">'6.4Ratemaking Data'!$M$20</definedName>
    <definedName name="Error21" localSheetId="14">'6.5Ratemaking Data'!$M$20</definedName>
    <definedName name="Error21" localSheetId="15">'6.6Ratemaking Data'!$M$20</definedName>
    <definedName name="Error21" localSheetId="16">'6.7Ratemaking Data'!$M$20</definedName>
    <definedName name="Error21" localSheetId="17">'6.8Ratemaking Data'!$M$20</definedName>
    <definedName name="Error21" localSheetId="18">'6.9Ratemaking Data'!$M$20</definedName>
    <definedName name="Error22" localSheetId="19">'6.10Ratemaking Data'!$M$21</definedName>
    <definedName name="Error22" localSheetId="10">'6.1Ratemaking Data'!$M$21</definedName>
    <definedName name="Error22" localSheetId="11">'6.2Ratemaking Data'!$M$21</definedName>
    <definedName name="Error22" localSheetId="12">'6.3Ratemaking Data'!$M$21</definedName>
    <definedName name="Error22" localSheetId="13">'6.4Ratemaking Data'!$M$21</definedName>
    <definedName name="Error22" localSheetId="14">'6.5Ratemaking Data'!$M$21</definedName>
    <definedName name="Error22" localSheetId="15">'6.6Ratemaking Data'!$M$21</definedName>
    <definedName name="Error22" localSheetId="16">'6.7Ratemaking Data'!$M$21</definedName>
    <definedName name="Error22" localSheetId="17">'6.8Ratemaking Data'!$M$21</definedName>
    <definedName name="Error22" localSheetId="18">'6.9Ratemaking Data'!$M$21</definedName>
    <definedName name="Error23" localSheetId="19">'6.10Ratemaking Data'!$M$22</definedName>
    <definedName name="Error23" localSheetId="10">'6.1Ratemaking Data'!$M$22</definedName>
    <definedName name="Error23" localSheetId="11">'6.2Ratemaking Data'!$M$22</definedName>
    <definedName name="Error23" localSheetId="12">'6.3Ratemaking Data'!$M$22</definedName>
    <definedName name="Error23" localSheetId="13">'6.4Ratemaking Data'!$M$22</definedName>
    <definedName name="Error23" localSheetId="14">'6.5Ratemaking Data'!$M$22</definedName>
    <definedName name="Error23" localSheetId="15">'6.6Ratemaking Data'!$M$22</definedName>
    <definedName name="Error23" localSheetId="16">'6.7Ratemaking Data'!$M$22</definedName>
    <definedName name="Error23" localSheetId="17">'6.8Ratemaking Data'!$M$22</definedName>
    <definedName name="Error23" localSheetId="18">'6.9Ratemaking Data'!$M$22</definedName>
    <definedName name="Error24" localSheetId="19">'6.10Ratemaking Data'!$M$25</definedName>
    <definedName name="Error24" localSheetId="10">'6.1Ratemaking Data'!$M$25</definedName>
    <definedName name="Error24" localSheetId="11">'6.2Ratemaking Data'!$M$25</definedName>
    <definedName name="Error24" localSheetId="12">'6.3Ratemaking Data'!$M$25</definedName>
    <definedName name="Error24" localSheetId="13">'6.4Ratemaking Data'!$M$25</definedName>
    <definedName name="Error24" localSheetId="14">'6.5Ratemaking Data'!$M$25</definedName>
    <definedName name="Error24" localSheetId="15">'6.6Ratemaking Data'!$M$25</definedName>
    <definedName name="Error24" localSheetId="16">'6.7Ratemaking Data'!$M$25</definedName>
    <definedName name="Error24" localSheetId="17">'6.8Ratemaking Data'!$M$25</definedName>
    <definedName name="Error24" localSheetId="18">'6.9Ratemaking Data'!$M$25</definedName>
    <definedName name="Error25" localSheetId="19">'6.10Ratemaking Data'!$M$26</definedName>
    <definedName name="Error25" localSheetId="10">'6.1Ratemaking Data'!$M$26</definedName>
    <definedName name="Error25" localSheetId="11">'6.2Ratemaking Data'!$M$26</definedName>
    <definedName name="Error25" localSheetId="12">'6.3Ratemaking Data'!$M$26</definedName>
    <definedName name="Error25" localSheetId="13">'6.4Ratemaking Data'!$M$26</definedName>
    <definedName name="Error25" localSheetId="14">'6.5Ratemaking Data'!$M$26</definedName>
    <definedName name="Error25" localSheetId="15">'6.6Ratemaking Data'!$M$26</definedName>
    <definedName name="Error25" localSheetId="16">'6.7Ratemaking Data'!$M$26</definedName>
    <definedName name="Error25" localSheetId="17">'6.8Ratemaking Data'!$M$26</definedName>
    <definedName name="Error25" localSheetId="18">'6.9Ratemaking Data'!$M$26</definedName>
    <definedName name="Error26" localSheetId="19">'6.10Ratemaking Data'!$M$28</definedName>
    <definedName name="Error26" localSheetId="10">'6.1Ratemaking Data'!$M$28</definedName>
    <definedName name="Error26" localSheetId="11">'6.2Ratemaking Data'!$M$28</definedName>
    <definedName name="Error26" localSheetId="12">'6.3Ratemaking Data'!$M$28</definedName>
    <definedName name="Error26" localSheetId="13">'6.4Ratemaking Data'!$M$28</definedName>
    <definedName name="Error26" localSheetId="14">'6.5Ratemaking Data'!$M$28</definedName>
    <definedName name="Error26" localSheetId="15">'6.6Ratemaking Data'!$M$28</definedName>
    <definedName name="Error26" localSheetId="16">'6.7Ratemaking Data'!$M$28</definedName>
    <definedName name="Error26" localSheetId="17">'6.8Ratemaking Data'!$M$28</definedName>
    <definedName name="Error26" localSheetId="18">'6.9Ratemaking Data'!$M$28</definedName>
    <definedName name="Error27" localSheetId="19">'6.10Ratemaking Data'!$M$29</definedName>
    <definedName name="Error27" localSheetId="10">'6.1Ratemaking Data'!$M$29</definedName>
    <definedName name="Error27" localSheetId="11">'6.2Ratemaking Data'!$M$29</definedName>
    <definedName name="Error27" localSheetId="12">'6.3Ratemaking Data'!$M$29</definedName>
    <definedName name="Error27" localSheetId="13">'6.4Ratemaking Data'!$M$29</definedName>
    <definedName name="Error27" localSheetId="14">'6.5Ratemaking Data'!$M$29</definedName>
    <definedName name="Error27" localSheetId="15">'6.6Ratemaking Data'!$M$29</definedName>
    <definedName name="Error27" localSheetId="16">'6.7Ratemaking Data'!$M$29</definedName>
    <definedName name="Error27" localSheetId="17">'6.8Ratemaking Data'!$M$29</definedName>
    <definedName name="Error27" localSheetId="18">'6.9Ratemaking Data'!$M$29</definedName>
    <definedName name="Error28" localSheetId="19">'6.10Ratemaking Data'!$M$39</definedName>
    <definedName name="Error28" localSheetId="10">'6.1Ratemaking Data'!$M$39</definedName>
    <definedName name="Error28" localSheetId="11">'6.2Ratemaking Data'!$M$39</definedName>
    <definedName name="Error28" localSheetId="12">'6.3Ratemaking Data'!$M$39</definedName>
    <definedName name="Error28" localSheetId="13">'6.4Ratemaking Data'!$M$39</definedName>
    <definedName name="Error28" localSheetId="14">'6.5Ratemaking Data'!$M$39</definedName>
    <definedName name="Error28" localSheetId="15">'6.6Ratemaking Data'!$M$39</definedName>
    <definedName name="Error28" localSheetId="16">'6.7Ratemaking Data'!$M$39</definedName>
    <definedName name="Error28" localSheetId="17">'6.8Ratemaking Data'!$M$39</definedName>
    <definedName name="Error28" localSheetId="18">'6.9Ratemaking Data'!$M$39</definedName>
    <definedName name="Error29" localSheetId="19">'6.10Ratemaking Data'!$M$40</definedName>
    <definedName name="Error29" localSheetId="10">'6.1Ratemaking Data'!$M$40</definedName>
    <definedName name="Error29" localSheetId="11">'6.2Ratemaking Data'!$M$40</definedName>
    <definedName name="Error29" localSheetId="12">'6.3Ratemaking Data'!$M$40</definedName>
    <definedName name="Error29" localSheetId="13">'6.4Ratemaking Data'!$M$40</definedName>
    <definedName name="Error29" localSheetId="14">'6.5Ratemaking Data'!$M$40</definedName>
    <definedName name="Error29" localSheetId="15">'6.6Ratemaking Data'!$M$40</definedName>
    <definedName name="Error29" localSheetId="16">'6.7Ratemaking Data'!$M$40</definedName>
    <definedName name="Error29" localSheetId="17">'6.8Ratemaking Data'!$M$40</definedName>
    <definedName name="Error29" localSheetId="18">'6.9Ratemaking Data'!$M$40</definedName>
    <definedName name="Error30" localSheetId="19">'6.10Ratemaking Data'!$M$44</definedName>
    <definedName name="Error30" localSheetId="10">'6.1Ratemaking Data'!$M$44</definedName>
    <definedName name="Error30" localSheetId="11">'6.2Ratemaking Data'!$M$44</definedName>
    <definedName name="Error30" localSheetId="12">'6.3Ratemaking Data'!$M$44</definedName>
    <definedName name="Error30" localSheetId="13">'6.4Ratemaking Data'!$M$44</definedName>
    <definedName name="Error30" localSheetId="14">'6.5Ratemaking Data'!$M$44</definedName>
    <definedName name="Error30" localSheetId="15">'6.6Ratemaking Data'!$M$44</definedName>
    <definedName name="Error30" localSheetId="16">'6.7Ratemaking Data'!$M$44</definedName>
    <definedName name="Error30" localSheetId="17">'6.8Ratemaking Data'!$M$44</definedName>
    <definedName name="Error30" localSheetId="18">'6.9Ratemaking Data'!$M$44</definedName>
    <definedName name="Error31" localSheetId="19">'6.10Ratemaking Data'!$M$45</definedName>
    <definedName name="Error31" localSheetId="10">'6.1Ratemaking Data'!$M$45</definedName>
    <definedName name="Error31" localSheetId="11">'6.2Ratemaking Data'!$M$45</definedName>
    <definedName name="Error31" localSheetId="12">'6.3Ratemaking Data'!$M$45</definedName>
    <definedName name="Error31" localSheetId="13">'6.4Ratemaking Data'!$M$45</definedName>
    <definedName name="Error31" localSheetId="14">'6.5Ratemaking Data'!$M$45</definedName>
    <definedName name="Error31" localSheetId="15">'6.6Ratemaking Data'!$M$45</definedName>
    <definedName name="Error31" localSheetId="16">'6.7Ratemaking Data'!$M$45</definedName>
    <definedName name="Error31" localSheetId="17">'6.8Ratemaking Data'!$M$45</definedName>
    <definedName name="Error31" localSheetId="18">'6.9Ratemaking Data'!$M$45</definedName>
    <definedName name="Error32" localSheetId="19">'6.10Ratemaking Data'!$M$46</definedName>
    <definedName name="Error32" localSheetId="10">'6.1Ratemaking Data'!$M$46</definedName>
    <definedName name="Error32" localSheetId="11">'6.2Ratemaking Data'!$M$46</definedName>
    <definedName name="Error32" localSheetId="12">'6.3Ratemaking Data'!$M$46</definedName>
    <definedName name="Error32" localSheetId="13">'6.4Ratemaking Data'!$M$46</definedName>
    <definedName name="Error32" localSheetId="14">'6.5Ratemaking Data'!$M$46</definedName>
    <definedName name="Error32" localSheetId="15">'6.6Ratemaking Data'!$M$46</definedName>
    <definedName name="Error32" localSheetId="16">'6.7Ratemaking Data'!$M$46</definedName>
    <definedName name="Error32" localSheetId="17">'6.8Ratemaking Data'!$M$46</definedName>
    <definedName name="Error32" localSheetId="18">'6.9Ratemaking Data'!$M$46</definedName>
    <definedName name="Error34">'2.Summary'!$I$21</definedName>
    <definedName name="Error35">'3.2YieldFIT'!$H$34</definedName>
    <definedName name="Error36">'3.2YieldFIT'!$H$42</definedName>
    <definedName name="Error37">'1.General'!$J$29</definedName>
    <definedName name="Error38">'4.2Excluded Exp'!$F$20</definedName>
    <definedName name="Exposures_Earned" localSheetId="29">'7.10Rate Change Calculation'!$21:$21</definedName>
    <definedName name="Exposures_Earned" localSheetId="20">'7.1Rate Change Calculation'!$21:$21</definedName>
    <definedName name="Exposures_Earned" localSheetId="21">'7.2Rate Change Calculation'!$21:$21</definedName>
    <definedName name="Exposures_Earned" localSheetId="22">'7.3Rate Change Calculation'!$21:$21</definedName>
    <definedName name="Exposures_Earned" localSheetId="23">'7.4Rate Change Calculation'!$21:$21</definedName>
    <definedName name="Exposures_Earned" localSheetId="24">'7.5Rate Change Calculation'!$21:$21</definedName>
    <definedName name="Exposures_Earned" localSheetId="25">'7.6Rate Change Calculation'!$21:$21</definedName>
    <definedName name="Exposures_Earned" localSheetId="26">'7.7Rate Change Calculation'!$21:$21</definedName>
    <definedName name="Exposures_Earned" localSheetId="27">'7.8Rate Change Calculation'!$21:$21</definedName>
    <definedName name="Exposures_Earned" localSheetId="28">'7.9Rate Change Calculation'!$21:$21</definedName>
    <definedName name="ExpRatio_Actual01">Settings!$E$67</definedName>
    <definedName name="ExpRatio_Actual02">Settings!$E$68</definedName>
    <definedName name="ExpRatio_Actual03">Settings!$E$69</definedName>
    <definedName name="ExpRatio_Actual04">Settings!$E$70</definedName>
    <definedName name="ExpRatio_Actual05">Settings!$E$71</definedName>
    <definedName name="ExpRatio_Actual06">Settings!$E$72</definedName>
    <definedName name="ExpRatio_Actual07">Settings!$E$73</definedName>
    <definedName name="ExpRatio_Actual08">Settings!$E$74</definedName>
    <definedName name="ExpRatio_Actual09">Settings!$E$75</definedName>
    <definedName name="ExpRatio_Actual10">Settings!$E$76</definedName>
    <definedName name="ExpRatio_Excluded">Settings!$B$26</definedName>
    <definedName name="FIT_Inv">Settings!$B$24</definedName>
    <definedName name="FIT_UW">Settings!$B$102</definedName>
    <definedName name="General_Line">Settings!$B$22</definedName>
    <definedName name="INV_TAX_RATE">'Federal Income Tax Rate'!$B$9:$B$33</definedName>
    <definedName name="InvInc_Fixed" localSheetId="29">'7.10Rate Change Calculation'!$H$57</definedName>
    <definedName name="InvInc_Fixed" localSheetId="20">'7.1Rate Change Calculation'!$H$57</definedName>
    <definedName name="InvInc_Fixed" localSheetId="21">'7.2Rate Change Calculation'!$H$57</definedName>
    <definedName name="InvInc_Fixed" localSheetId="22">'7.3Rate Change Calculation'!$H$57</definedName>
    <definedName name="InvInc_Fixed" localSheetId="23">'7.4Rate Change Calculation'!$H$57</definedName>
    <definedName name="InvInc_Fixed" localSheetId="24">'7.5Rate Change Calculation'!$H$57</definedName>
    <definedName name="InvInc_Fixed" localSheetId="25">'7.6Rate Change Calculation'!$H$57</definedName>
    <definedName name="InvInc_Fixed" localSheetId="26">'7.7Rate Change Calculation'!$H$57</definedName>
    <definedName name="InvInc_Fixed" localSheetId="27">'7.8Rate Change Calculation'!$H$57</definedName>
    <definedName name="InvInc_Fixed" localSheetId="28">'7.9Rate Change Calculation'!$H$57</definedName>
    <definedName name="InvInc_Variable" localSheetId="29">'7.10Rate Change Calculation'!$H$58</definedName>
    <definedName name="InvInc_Variable" localSheetId="20">'7.1Rate Change Calculation'!$H$58</definedName>
    <definedName name="InvInc_Variable" localSheetId="21">'7.2Rate Change Calculation'!$H$58</definedName>
    <definedName name="InvInc_Variable" localSheetId="22">'7.3Rate Change Calculation'!$H$58</definedName>
    <definedName name="InvInc_Variable" localSheetId="23">'7.4Rate Change Calculation'!$H$58</definedName>
    <definedName name="InvInc_Variable" localSheetId="24">'7.5Rate Change Calculation'!$H$58</definedName>
    <definedName name="InvInc_Variable" localSheetId="25">'7.6Rate Change Calculation'!$H$58</definedName>
    <definedName name="InvInc_Variable" localSheetId="26">'7.7Rate Change Calculation'!$H$58</definedName>
    <definedName name="InvInc_Variable" localSheetId="27">'7.8Rate Change Calculation'!$H$58</definedName>
    <definedName name="InvInc_Variable" localSheetId="28">'7.9Rate Change Calculation'!$H$58</definedName>
    <definedName name="LCM_Indicator">Settings!$E$24</definedName>
    <definedName name="LevFact_Final01">Settings!$B$91</definedName>
    <definedName name="LevFact_Final02">Settings!$B$92</definedName>
    <definedName name="LevFact_Final03">Settings!$B$93</definedName>
    <definedName name="LevFact_Final04">Settings!$B$94</definedName>
    <definedName name="LevFact_Final05">Settings!$B$95</definedName>
    <definedName name="LevFact_Final06">Settings!$B$96</definedName>
    <definedName name="LevFact_Final07">Settings!$B$97</definedName>
    <definedName name="LevFact_Final08">Settings!$B$98</definedName>
    <definedName name="LevFact_Final09">Settings!$B$99</definedName>
    <definedName name="LevFact_Final10">Settings!$B$100</definedName>
    <definedName name="List_AggMeth">References!$K$6:$K$8</definedName>
    <definedName name="List_AOELoad">References!$P$6:$P$9</definedName>
    <definedName name="List_DetailLine">References!$H$41:$I$43</definedName>
    <definedName name="List_GeneralLine">References!$F$6:$F$27</definedName>
    <definedName name="List_LineType">References!$D$6:$D$8</definedName>
    <definedName name="List_Variances">References!$M$6:$N$28</definedName>
    <definedName name="List_YNIndicator">References!$B$6:$B$7</definedName>
    <definedName name="List_YNnaIndicator">References!$B$6:$B$8</definedName>
    <definedName name="Loss_AnnualTrend" localSheetId="29">'7.10Rate Change Calculation'!$H$26</definedName>
    <definedName name="Loss_AnnualTrend" localSheetId="20">'7.1Rate Change Calculation'!$H$26</definedName>
    <definedName name="Loss_AnnualTrend" localSheetId="21">'7.2Rate Change Calculation'!$H$26</definedName>
    <definedName name="Loss_AnnualTrend" localSheetId="22">'7.3Rate Change Calculation'!$H$26</definedName>
    <definedName name="Loss_AnnualTrend" localSheetId="23">'7.4Rate Change Calculation'!$H$26</definedName>
    <definedName name="Loss_AnnualTrend" localSheetId="24">'7.5Rate Change Calculation'!$H$26</definedName>
    <definedName name="Loss_AnnualTrend" localSheetId="25">'7.6Rate Change Calculation'!$H$26</definedName>
    <definedName name="Loss_AnnualTrend" localSheetId="26">'7.7Rate Change Calculation'!$H$26</definedName>
    <definedName name="Loss_AnnualTrend" localSheetId="27">'7.8Rate Change Calculation'!$H$26</definedName>
    <definedName name="Loss_AnnualTrend" localSheetId="28">'7.9Rate Change Calculation'!$H$26</definedName>
    <definedName name="Loss_Devt" localSheetId="29">'7.10Rate Change Calculation'!$24:$24</definedName>
    <definedName name="Loss_Devt" localSheetId="20">'7.1Rate Change Calculation'!$24:$24</definedName>
    <definedName name="Loss_Devt" localSheetId="21">'7.2Rate Change Calculation'!$24:$24</definedName>
    <definedName name="Loss_Devt" localSheetId="22">'7.3Rate Change Calculation'!$24:$24</definedName>
    <definedName name="Loss_Devt" localSheetId="23">'7.4Rate Change Calculation'!$24:$24</definedName>
    <definedName name="Loss_Devt" localSheetId="24">'7.5Rate Change Calculation'!$24:$24</definedName>
    <definedName name="Loss_Devt" localSheetId="25">'7.6Rate Change Calculation'!$24:$24</definedName>
    <definedName name="Loss_Devt" localSheetId="26">'7.7Rate Change Calculation'!$24:$24</definedName>
    <definedName name="Loss_Devt" localSheetId="27">'7.8Rate Change Calculation'!$24:$24</definedName>
    <definedName name="Loss_Devt" localSheetId="28">'7.9Rate Change Calculation'!$24:$24</definedName>
    <definedName name="Loss_Trend" localSheetId="29">'7.10Rate Change Calculation'!$26:$26</definedName>
    <definedName name="Loss_Trend" localSheetId="20">'7.1Rate Change Calculation'!$26:$26</definedName>
    <definedName name="Loss_Trend" localSheetId="21">'7.2Rate Change Calculation'!$26:$26</definedName>
    <definedName name="Loss_Trend" localSheetId="22">'7.3Rate Change Calculation'!$26:$26</definedName>
    <definedName name="Loss_Trend" localSheetId="23">'7.4Rate Change Calculation'!$26:$26</definedName>
    <definedName name="Loss_Trend" localSheetId="24">'7.5Rate Change Calculation'!$26:$26</definedName>
    <definedName name="Loss_Trend" localSheetId="25">'7.6Rate Change Calculation'!$26:$26</definedName>
    <definedName name="Loss_Trend" localSheetId="26">'7.7Rate Change Calculation'!$26:$26</definedName>
    <definedName name="Loss_Trend" localSheetId="27">'7.8Rate Change Calculation'!$26:$26</definedName>
    <definedName name="Loss_Trend" localSheetId="28">'7.9Rate Change Calculation'!$26:$26</definedName>
    <definedName name="LossCost_PctChg_AO" localSheetId="39">'8.10LCM Calculation'!$G$32</definedName>
    <definedName name="LossCost_PctChg_AO" localSheetId="30">'8.1LCM Calculation'!$G$32</definedName>
    <definedName name="LossCost_PctChg_AO" localSheetId="31">'8.2LCM Calculation'!$G$32</definedName>
    <definedName name="LossCost_PctChg_AO" localSheetId="32">'8.3LCM Calculation'!$G$32</definedName>
    <definedName name="LossCost_PctChg_AO" localSheetId="33">'8.4LCM Calculation'!$G$32</definedName>
    <definedName name="LossCost_PctChg_AO" localSheetId="34">'8.5LCM Calculation'!$G$32</definedName>
    <definedName name="LossCost_PctChg_AO" localSheetId="35">'8.6LCM Calculation'!$G$32</definedName>
    <definedName name="LossCost_PctChg_AO" localSheetId="36">'8.7LCM Calculation'!$G$32</definedName>
    <definedName name="LossCost_PctChg_AO" localSheetId="37">'8.8LCM Calculation'!$G$32</definedName>
    <definedName name="LossCost_PctChg_AO" localSheetId="38">'8.9LCM Calculation'!$G$32</definedName>
    <definedName name="LossCost_PctChg_Co" localSheetId="39">'8.10LCM Calculation'!$G$34</definedName>
    <definedName name="LossCost_PctChg_Co" localSheetId="30">'8.1LCM Calculation'!$G$34</definedName>
    <definedName name="LossCost_PctChg_Co" localSheetId="31">'8.2LCM Calculation'!$G$34</definedName>
    <definedName name="LossCost_PctChg_Co" localSheetId="32">'8.3LCM Calculation'!$G$34</definedName>
    <definedName name="LossCost_PctChg_Co" localSheetId="33">'8.4LCM Calculation'!$G$34</definedName>
    <definedName name="LossCost_PctChg_Co" localSheetId="34">'8.5LCM Calculation'!$G$34</definedName>
    <definedName name="LossCost_PctChg_Co" localSheetId="35">'8.6LCM Calculation'!$G$34</definedName>
    <definedName name="LossCost_PctChg_Co" localSheetId="36">'8.7LCM Calculation'!$G$34</definedName>
    <definedName name="LossCost_PctChg_Co" localSheetId="37">'8.8LCM Calculation'!$G$34</definedName>
    <definedName name="LossCost_PctChg_Co" localSheetId="38">'8.9LCM Calculation'!$G$34</definedName>
    <definedName name="LossDCCE_perExp" localSheetId="29">'7.10Rate Change Calculation'!$53:$53</definedName>
    <definedName name="LossDCCE_perExp" localSheetId="20">'7.1Rate Change Calculation'!$53:$53</definedName>
    <definedName name="LossDCCE_perExp" localSheetId="21">'7.2Rate Change Calculation'!$53:$53</definedName>
    <definedName name="LossDCCE_perExp" localSheetId="22">'7.3Rate Change Calculation'!$53:$53</definedName>
    <definedName name="LossDCCE_perExp" localSheetId="23">'7.4Rate Change Calculation'!$53:$53</definedName>
    <definedName name="LossDCCE_perExp" localSheetId="24">'7.5Rate Change Calculation'!$53:$53</definedName>
    <definedName name="LossDCCE_perExp" localSheetId="25">'7.6Rate Change Calculation'!$53:$53</definedName>
    <definedName name="LossDCCE_perExp" localSheetId="26">'7.7Rate Change Calculation'!$53:$53</definedName>
    <definedName name="LossDCCE_perExp" localSheetId="27">'7.8Rate Change Calculation'!$53:$53</definedName>
    <definedName name="LossDCCE_perExp" localSheetId="28">'7.9Rate Change Calculation'!$53:$53</definedName>
    <definedName name="Losses" localSheetId="29">'7.10Rate Change Calculation'!$22:$22</definedName>
    <definedName name="Losses" localSheetId="20">'7.1Rate Change Calculation'!$22:$22</definedName>
    <definedName name="Losses" localSheetId="21">'7.2Rate Change Calculation'!$22:$22</definedName>
    <definedName name="Losses" localSheetId="22">'7.3Rate Change Calculation'!$22:$22</definedName>
    <definedName name="Losses" localSheetId="23">'7.4Rate Change Calculation'!$22:$22</definedName>
    <definedName name="Losses" localSheetId="24">'7.5Rate Change Calculation'!$22:$22</definedName>
    <definedName name="Losses" localSheetId="25">'7.6Rate Change Calculation'!$22:$22</definedName>
    <definedName name="Losses" localSheetId="26">'7.7Rate Change Calculation'!$22:$22</definedName>
    <definedName name="Losses" localSheetId="27">'7.8Rate Change Calculation'!$22:$22</definedName>
    <definedName name="Losses" localSheetId="28">'7.9Rate Change Calculation'!$22:$22</definedName>
    <definedName name="Losses_Adjusted" localSheetId="29">'7.10Rate Change Calculation'!$49:$49</definedName>
    <definedName name="Losses_Adjusted" localSheetId="20">'7.1Rate Change Calculation'!$49:$49</definedName>
    <definedName name="Losses_Adjusted" localSheetId="21">'7.2Rate Change Calculation'!$49:$49</definedName>
    <definedName name="Losses_Adjusted" localSheetId="22">'7.3Rate Change Calculation'!$49:$49</definedName>
    <definedName name="Losses_Adjusted" localSheetId="23">'7.4Rate Change Calculation'!$49:$49</definedName>
    <definedName name="Losses_Adjusted" localSheetId="24">'7.5Rate Change Calculation'!$49:$49</definedName>
    <definedName name="Losses_Adjusted" localSheetId="25">'7.6Rate Change Calculation'!$49:$49</definedName>
    <definedName name="Losses_Adjusted" localSheetId="26">'7.7Rate Change Calculation'!$49:$49</definedName>
    <definedName name="Losses_Adjusted" localSheetId="27">'7.8Rate Change Calculation'!$49:$49</definedName>
    <definedName name="Losses_Adjusted" localSheetId="28">'7.9Rate Change Calculation'!$49:$49</definedName>
    <definedName name="Max_Denom" localSheetId="29">'7.10Rate Change Calculation'!$H$65</definedName>
    <definedName name="Max_Denom" localSheetId="20">'7.1Rate Change Calculation'!$H$65</definedName>
    <definedName name="Max_Denom" localSheetId="21">'7.2Rate Change Calculation'!$H$65</definedName>
    <definedName name="Max_Denom" localSheetId="22">'7.3Rate Change Calculation'!$H$65</definedName>
    <definedName name="Max_Denom" localSheetId="23">'7.4Rate Change Calculation'!$H$65</definedName>
    <definedName name="Max_Denom" localSheetId="24">'7.5Rate Change Calculation'!$H$65</definedName>
    <definedName name="Max_Denom" localSheetId="25">'7.6Rate Change Calculation'!$H$65</definedName>
    <definedName name="Max_Denom" localSheetId="26">'7.7Rate Change Calculation'!$H$65</definedName>
    <definedName name="Max_Denom" localSheetId="27">'7.8Rate Change Calculation'!$H$65</definedName>
    <definedName name="Max_Denom" localSheetId="28">'7.9Rate Change Calculation'!$H$65</definedName>
    <definedName name="Max_EffStdBasedLCM" localSheetId="39">'8.10LCM Calculation'!$G$22</definedName>
    <definedName name="Max_EffStdBasedLCM" localSheetId="30">'8.1LCM Calculation'!$G$22</definedName>
    <definedName name="Max_EffStdBasedLCM" localSheetId="31">'8.2LCM Calculation'!$G$22</definedName>
    <definedName name="Max_EffStdBasedLCM" localSheetId="32">'8.3LCM Calculation'!$G$22</definedName>
    <definedName name="Max_EffStdBasedLCM" localSheetId="33">'8.4LCM Calculation'!$G$22</definedName>
    <definedName name="Max_EffStdBasedLCM" localSheetId="34">'8.5LCM Calculation'!$G$22</definedName>
    <definedName name="Max_EffStdBasedLCM" localSheetId="35">'8.6LCM Calculation'!$G$22</definedName>
    <definedName name="Max_EffStdBasedLCM" localSheetId="36">'8.7LCM Calculation'!$G$22</definedName>
    <definedName name="Max_EffStdBasedLCM" localSheetId="37">'8.8LCM Calculation'!$G$22</definedName>
    <definedName name="Max_EffStdBasedLCM" localSheetId="38">'8.9LCM Calculation'!$G$22</definedName>
    <definedName name="MAX_LCM" localSheetId="39">'8.10LCM Calculation'!$G$40</definedName>
    <definedName name="MAX_LCM" localSheetId="30">'8.1LCM Calculation'!$G$40</definedName>
    <definedName name="MAX_LCM" localSheetId="31">'8.2LCM Calculation'!$G$40</definedName>
    <definedName name="MAX_LCM" localSheetId="32">'8.3LCM Calculation'!$G$40</definedName>
    <definedName name="MAX_LCM" localSheetId="33">'8.4LCM Calculation'!$G$40</definedName>
    <definedName name="MAX_LCM" localSheetId="34">'8.5LCM Calculation'!$G$40</definedName>
    <definedName name="MAX_LCM" localSheetId="35">'8.6LCM Calculation'!$G$40</definedName>
    <definedName name="MAX_LCM" localSheetId="36">'8.7LCM Calculation'!$G$40</definedName>
    <definedName name="MAX_LCM" localSheetId="37">'8.8LCM Calculation'!$G$40</definedName>
    <definedName name="MAX_LCM" localSheetId="38">'8.9LCM Calculation'!$G$40</definedName>
    <definedName name="Max_Premium" localSheetId="29">'7.10Rate Change Calculation'!$H$67</definedName>
    <definedName name="Max_Premium" localSheetId="20">'7.1Rate Change Calculation'!$H$67</definedName>
    <definedName name="Max_Premium" localSheetId="21">'7.2Rate Change Calculation'!$H$67</definedName>
    <definedName name="Max_Premium" localSheetId="22">'7.3Rate Change Calculation'!$H$67</definedName>
    <definedName name="Max_Premium" localSheetId="23">'7.4Rate Change Calculation'!$H$67</definedName>
    <definedName name="Max_Premium" localSheetId="24">'7.5Rate Change Calculation'!$H$67</definedName>
    <definedName name="Max_Premium" localSheetId="25">'7.6Rate Change Calculation'!$H$67</definedName>
    <definedName name="Max_Premium" localSheetId="26">'7.7Rate Change Calculation'!$H$67</definedName>
    <definedName name="Max_Premium" localSheetId="27">'7.8Rate Change Calculation'!$H$67</definedName>
    <definedName name="Max_Premium" localSheetId="28">'7.9Rate Change Calculation'!$H$67</definedName>
    <definedName name="Max_Profit" localSheetId="29">'7.10Rate Change Calculation'!$H$61</definedName>
    <definedName name="Max_Profit" localSheetId="20">'7.1Rate Change Calculation'!$H$61</definedName>
    <definedName name="Max_Profit" localSheetId="21">'7.2Rate Change Calculation'!$H$61</definedName>
    <definedName name="Max_Profit" localSheetId="22">'7.3Rate Change Calculation'!$H$61</definedName>
    <definedName name="Max_Profit" localSheetId="23">'7.4Rate Change Calculation'!$H$61</definedName>
    <definedName name="Max_Profit" localSheetId="24">'7.5Rate Change Calculation'!$H$61</definedName>
    <definedName name="Max_Profit" localSheetId="25">'7.6Rate Change Calculation'!$H$61</definedName>
    <definedName name="Max_Profit" localSheetId="26">'7.7Rate Change Calculation'!$H$61</definedName>
    <definedName name="Max_Profit" localSheetId="27">'7.8Rate Change Calculation'!$H$61</definedName>
    <definedName name="Max_Profit" localSheetId="28">'7.9Rate Change Calculation'!$H$61</definedName>
    <definedName name="Min_Denom" localSheetId="29">'7.10Rate Change Calculation'!$H$64</definedName>
    <definedName name="Min_Denom" localSheetId="20">'7.1Rate Change Calculation'!$H$64</definedName>
    <definedName name="Min_Denom" localSheetId="21">'7.2Rate Change Calculation'!$H$64</definedName>
    <definedName name="Min_Denom" localSheetId="22">'7.3Rate Change Calculation'!$H$64</definedName>
    <definedName name="Min_Denom" localSheetId="23">'7.4Rate Change Calculation'!$H$64</definedName>
    <definedName name="Min_Denom" localSheetId="24">'7.5Rate Change Calculation'!$H$64</definedName>
    <definedName name="Min_Denom" localSheetId="25">'7.6Rate Change Calculation'!$H$64</definedName>
    <definedName name="Min_Denom" localSheetId="26">'7.7Rate Change Calculation'!$H$64</definedName>
    <definedName name="Min_Denom" localSheetId="27">'7.8Rate Change Calculation'!$H$64</definedName>
    <definedName name="Min_Denom" localSheetId="28">'7.9Rate Change Calculation'!$H$64</definedName>
    <definedName name="Min_Premium" localSheetId="29">'7.10Rate Change Calculation'!$H$66</definedName>
    <definedName name="Min_Premium" localSheetId="20">'7.1Rate Change Calculation'!$H$66</definedName>
    <definedName name="Min_Premium" localSheetId="21">'7.2Rate Change Calculation'!$H$66</definedName>
    <definedName name="Min_Premium" localSheetId="22">'7.3Rate Change Calculation'!$H$66</definedName>
    <definedName name="Min_Premium" localSheetId="23">'7.4Rate Change Calculation'!$H$66</definedName>
    <definedName name="Min_Premium" localSheetId="24">'7.5Rate Change Calculation'!$H$66</definedName>
    <definedName name="Min_Premium" localSheetId="25">'7.6Rate Change Calculation'!$H$66</definedName>
    <definedName name="Min_Premium" localSheetId="26">'7.7Rate Change Calculation'!$H$66</definedName>
    <definedName name="Min_Premium" localSheetId="27">'7.8Rate Change Calculation'!$H$66</definedName>
    <definedName name="Min_Premium" localSheetId="28">'7.9Rate Change Calculation'!$H$66</definedName>
    <definedName name="Min_Profit" localSheetId="29">'7.10Rate Change Calculation'!$H$62</definedName>
    <definedName name="Min_Profit" localSheetId="20">'7.1Rate Change Calculation'!$H$62</definedName>
    <definedName name="Min_Profit" localSheetId="21">'7.2Rate Change Calculation'!$H$62</definedName>
    <definedName name="Min_Profit" localSheetId="22">'7.3Rate Change Calculation'!$H$62</definedName>
    <definedName name="Min_Profit" localSheetId="23">'7.4Rate Change Calculation'!$H$62</definedName>
    <definedName name="Min_Profit" localSheetId="24">'7.5Rate Change Calculation'!$H$62</definedName>
    <definedName name="Min_Profit" localSheetId="25">'7.6Rate Change Calculation'!$H$62</definedName>
    <definedName name="Min_Profit" localSheetId="26">'7.7Rate Change Calculation'!$H$62</definedName>
    <definedName name="Min_Profit" localSheetId="27">'7.8Rate Change Calculation'!$H$62</definedName>
    <definedName name="Min_Profit" localSheetId="28">'7.9Rate Change Calculation'!$H$62</definedName>
    <definedName name="Misc_Fees" localSheetId="29">'7.10Rate Change Calculation'!$20:$20</definedName>
    <definedName name="Misc_Fees" localSheetId="20">'7.1Rate Change Calculation'!$20:$20</definedName>
    <definedName name="Misc_Fees" localSheetId="21">'7.2Rate Change Calculation'!$20:$20</definedName>
    <definedName name="Misc_Fees" localSheetId="22">'7.3Rate Change Calculation'!$20:$20</definedName>
    <definedName name="Misc_Fees" localSheetId="23">'7.4Rate Change Calculation'!$20:$20</definedName>
    <definedName name="Misc_Fees" localSheetId="24">'7.5Rate Change Calculation'!$20:$20</definedName>
    <definedName name="Misc_Fees" localSheetId="25">'7.6Rate Change Calculation'!$20:$20</definedName>
    <definedName name="Misc_Fees" localSheetId="26">'7.7Rate Change Calculation'!$20:$20</definedName>
    <definedName name="Misc_Fees" localSheetId="27">'7.8Rate Change Calculation'!$20:$20</definedName>
    <definedName name="Misc_Fees" localSheetId="28">'7.9Rate Change Calculation'!$20:$20</definedName>
    <definedName name="MstRcntDataYr">'1.General'!$C$29</definedName>
    <definedName name="Net_AnnualTrend" localSheetId="29">'7.10Rate Change Calculation'!$H$59</definedName>
    <definedName name="Net_AnnualTrend" localSheetId="20">'7.1Rate Change Calculation'!$H$59</definedName>
    <definedName name="Net_AnnualTrend" localSheetId="21">'7.2Rate Change Calculation'!$H$59</definedName>
    <definedName name="Net_AnnualTrend" localSheetId="22">'7.3Rate Change Calculation'!$H$59</definedName>
    <definedName name="Net_AnnualTrend" localSheetId="23">'7.4Rate Change Calculation'!$H$59</definedName>
    <definedName name="Net_AnnualTrend" localSheetId="24">'7.5Rate Change Calculation'!$H$59</definedName>
    <definedName name="Net_AnnualTrend" localSheetId="25">'7.6Rate Change Calculation'!$H$59</definedName>
    <definedName name="Net_AnnualTrend" localSheetId="26">'7.7Rate Change Calculation'!$H$59</definedName>
    <definedName name="Net_AnnualTrend" localSheetId="27">'7.8Rate Change Calculation'!$H$59</definedName>
    <definedName name="Net_AnnualTrend" localSheetId="28">'7.9Rate Change Calculation'!$H$59</definedName>
    <definedName name="New_Program">Settings!$B$25</definedName>
    <definedName name="Other_RateImpact" localSheetId="39">'8.10LCM Calculation'!$G$37</definedName>
    <definedName name="Other_RateImpact" localSheetId="30">'8.1LCM Calculation'!$G$37</definedName>
    <definedName name="Other_RateImpact" localSheetId="31">'8.2LCM Calculation'!$G$37</definedName>
    <definedName name="Other_RateImpact" localSheetId="32">'8.3LCM Calculation'!$G$37</definedName>
    <definedName name="Other_RateImpact" localSheetId="33">'8.4LCM Calculation'!$G$37</definedName>
    <definedName name="Other_RateImpact" localSheetId="34">'8.5LCM Calculation'!$G$37</definedName>
    <definedName name="Other_RateImpact" localSheetId="35">'8.6LCM Calculation'!$G$37</definedName>
    <definedName name="Other_RateImpact" localSheetId="36">'8.7LCM Calculation'!$G$37</definedName>
    <definedName name="Other_RateImpact" localSheetId="37">'8.8LCM Calculation'!$G$37</definedName>
    <definedName name="Other_RateImpact" localSheetId="38">'8.9LCM Calculation'!$G$37</definedName>
    <definedName name="Pct_Cap">'1.General'!$D$16</definedName>
    <definedName name="Pct_Dir">'1.General'!$E$16</definedName>
    <definedName name="Pct_Ind">'1.General'!$F$16</definedName>
    <definedName name="Prem_Adj" localSheetId="29">'7.10Rate Change Calculation'!$18:$18</definedName>
    <definedName name="Prem_Adj" localSheetId="20">'7.1Rate Change Calculation'!$18:$18</definedName>
    <definedName name="Prem_Adj" localSheetId="21">'7.2Rate Change Calculation'!$18:$18</definedName>
    <definedName name="Prem_Adj" localSheetId="22">'7.3Rate Change Calculation'!$18:$18</definedName>
    <definedName name="Prem_Adj" localSheetId="23">'7.4Rate Change Calculation'!$18:$18</definedName>
    <definedName name="Prem_Adj" localSheetId="24">'7.5Rate Change Calculation'!$18:$18</definedName>
    <definedName name="Prem_Adj" localSheetId="25">'7.6Rate Change Calculation'!$18:$18</definedName>
    <definedName name="Prem_Adj" localSheetId="26">'7.7Rate Change Calculation'!$18:$18</definedName>
    <definedName name="Prem_Adj" localSheetId="27">'7.8Rate Change Calculation'!$18:$18</definedName>
    <definedName name="Prem_Adj" localSheetId="28">'7.9Rate Change Calculation'!$18:$18</definedName>
    <definedName name="Prem_Adjusted" localSheetId="29">'7.10Rate Change Calculation'!$48:$48</definedName>
    <definedName name="Prem_Adjusted" localSheetId="20">'7.1Rate Change Calculation'!$48:$48</definedName>
    <definedName name="Prem_Adjusted" localSheetId="21">'7.2Rate Change Calculation'!$48:$48</definedName>
    <definedName name="Prem_Adjusted" localSheetId="22">'7.3Rate Change Calculation'!$48:$48</definedName>
    <definedName name="Prem_Adjusted" localSheetId="23">'7.4Rate Change Calculation'!$48:$48</definedName>
    <definedName name="Prem_Adjusted" localSheetId="24">'7.5Rate Change Calculation'!$48:$48</definedName>
    <definedName name="Prem_Adjusted" localSheetId="25">'7.6Rate Change Calculation'!$48:$48</definedName>
    <definedName name="Prem_Adjusted" localSheetId="26">'7.7Rate Change Calculation'!$48:$48</definedName>
    <definedName name="Prem_Adjusted" localSheetId="27">'7.8Rate Change Calculation'!$48:$48</definedName>
    <definedName name="Prem_Adjusted" localSheetId="28">'7.9Rate Change Calculation'!$48:$48</definedName>
    <definedName name="Prem_AnnualTrend" localSheetId="29">'7.10Rate Change Calculation'!$H$19</definedName>
    <definedName name="Prem_AnnualTrend" localSheetId="20">'7.1Rate Change Calculation'!$H$19</definedName>
    <definedName name="Prem_AnnualTrend" localSheetId="21">'7.2Rate Change Calculation'!$H$19</definedName>
    <definedName name="Prem_AnnualTrend" localSheetId="22">'7.3Rate Change Calculation'!$H$19</definedName>
    <definedName name="Prem_AnnualTrend" localSheetId="23">'7.4Rate Change Calculation'!$H$19</definedName>
    <definedName name="Prem_AnnualTrend" localSheetId="24">'7.5Rate Change Calculation'!$H$19</definedName>
    <definedName name="Prem_AnnualTrend" localSheetId="25">'7.6Rate Change Calculation'!$H$19</definedName>
    <definedName name="Prem_AnnualTrend" localSheetId="26">'7.7Rate Change Calculation'!$H$19</definedName>
    <definedName name="Prem_AnnualTrend" localSheetId="27">'7.8Rate Change Calculation'!$H$19</definedName>
    <definedName name="Prem_AnnualTrend" localSheetId="28">'7.9Rate Change Calculation'!$H$19</definedName>
    <definedName name="Prem_Current" localSheetId="29">'7.10Rate Change Calculation'!$H$52</definedName>
    <definedName name="Prem_Current" localSheetId="20">'7.1Rate Change Calculation'!$H$52</definedName>
    <definedName name="Prem_Current" localSheetId="21">'7.2Rate Change Calculation'!$H$52</definedName>
    <definedName name="Prem_Current" localSheetId="22">'7.3Rate Change Calculation'!$H$52</definedName>
    <definedName name="Prem_Current" localSheetId="23">'7.4Rate Change Calculation'!$H$52</definedName>
    <definedName name="Prem_Current" localSheetId="24">'7.5Rate Change Calculation'!$H$52</definedName>
    <definedName name="Prem_Current" localSheetId="25">'7.6Rate Change Calculation'!$H$52</definedName>
    <definedName name="Prem_Current" localSheetId="26">'7.7Rate Change Calculation'!$H$52</definedName>
    <definedName name="Prem_Current" localSheetId="27">'7.8Rate Change Calculation'!$H$52</definedName>
    <definedName name="Prem_Current" localSheetId="28">'7.9Rate Change Calculation'!$H$52</definedName>
    <definedName name="Prem_Earned" localSheetId="29">'7.10Rate Change Calculation'!$17:$17</definedName>
    <definedName name="Prem_Earned" localSheetId="20">'7.1Rate Change Calculation'!$17:$17</definedName>
    <definedName name="Prem_Earned" localSheetId="21">'7.2Rate Change Calculation'!$17:$17</definedName>
    <definedName name="Prem_Earned" localSheetId="22">'7.3Rate Change Calculation'!$17:$17</definedName>
    <definedName name="Prem_Earned" localSheetId="23">'7.4Rate Change Calculation'!$17:$17</definedName>
    <definedName name="Prem_Earned" localSheetId="24">'7.5Rate Change Calculation'!$17:$17</definedName>
    <definedName name="Prem_Earned" localSheetId="25">'7.6Rate Change Calculation'!$17:$17</definedName>
    <definedName name="Prem_Earned" localSheetId="26">'7.7Rate Change Calculation'!$17:$17</definedName>
    <definedName name="Prem_Earned" localSheetId="27">'7.8Rate Change Calculation'!$17:$17</definedName>
    <definedName name="Prem_Earned" localSheetId="28">'7.9Rate Change Calculation'!$17:$17</definedName>
    <definedName name="Prem_Trend" localSheetId="29">'7.10Rate Change Calculation'!$19:$19</definedName>
    <definedName name="Prem_Trend" localSheetId="20">'7.1Rate Change Calculation'!$19:$19</definedName>
    <definedName name="Prem_Trend" localSheetId="21">'7.2Rate Change Calculation'!$19:$19</definedName>
    <definedName name="Prem_Trend" localSheetId="22">'7.3Rate Change Calculation'!$19:$19</definedName>
    <definedName name="Prem_Trend" localSheetId="23">'7.4Rate Change Calculation'!$19:$19</definedName>
    <definedName name="Prem_Trend" localSheetId="24">'7.5Rate Change Calculation'!$19:$19</definedName>
    <definedName name="Prem_Trend" localSheetId="25">'7.6Rate Change Calculation'!$19:$19</definedName>
    <definedName name="Prem_Trend" localSheetId="26">'7.7Rate Change Calculation'!$19:$19</definedName>
    <definedName name="Prem_Trend" localSheetId="27">'7.8Rate Change Calculation'!$19:$19</definedName>
    <definedName name="Prem_Trend" localSheetId="28">'7.9Rate Change Calculation'!$19:$19</definedName>
    <definedName name="Prem_Written" localSheetId="29">'7.10Rate Change Calculation'!$16:$16</definedName>
    <definedName name="Prem_Written" localSheetId="20">'7.1Rate Change Calculation'!$16:$16</definedName>
    <definedName name="Prem_Written" localSheetId="21">'7.2Rate Change Calculation'!$16:$16</definedName>
    <definedName name="Prem_Written" localSheetId="22">'7.3Rate Change Calculation'!$16:$16</definedName>
    <definedName name="Prem_Written" localSheetId="23">'7.4Rate Change Calculation'!$16:$16</definedName>
    <definedName name="Prem_Written" localSheetId="24">'7.5Rate Change Calculation'!$16:$16</definedName>
    <definedName name="Prem_Written" localSheetId="25">'7.6Rate Change Calculation'!$16:$16</definedName>
    <definedName name="Prem_Written" localSheetId="26">'7.7Rate Change Calculation'!$16:$16</definedName>
    <definedName name="Prem_Written" localSheetId="27">'7.8Rate Change Calculation'!$16:$16</definedName>
    <definedName name="Prem_Written" localSheetId="28">'7.9Rate Change Calculation'!$16:$16</definedName>
    <definedName name="PremTaxRate">Settings!$B$103</definedName>
    <definedName name="_xlnm.Print_Area" localSheetId="3">'1.General'!$A$1:$I$49</definedName>
    <definedName name="_xlnm.Print_Area" localSheetId="4">'2.Summary'!$A$1:$G$48</definedName>
    <definedName name="_xlnm.Print_Area" localSheetId="5">'3.1YieldFIT'!$A$1:$H$30</definedName>
    <definedName name="_xlnm.Print_Area" localSheetId="6">'3.2YieldFIT'!$A$1:$G$51</definedName>
    <definedName name="_xlnm.Print_Area" localSheetId="7">'4.1Excluded Exp'!$A$1:$G$43</definedName>
    <definedName name="_xlnm.Print_Area" localSheetId="8">'4.2Excluded Exp'!$A$1:$E$21</definedName>
    <definedName name="_xlnm.Print_Area" localSheetId="9">'5.CDI Parameters'!$A$1:$J$35</definedName>
    <definedName name="_xlnm.Print_Area" localSheetId="19">'6.10Ratemaking Data'!$A$1:$L$50</definedName>
    <definedName name="_xlnm.Print_Area" localSheetId="10">'6.1Ratemaking Data'!$A$1:$L$50</definedName>
    <definedName name="_xlnm.Print_Area" localSheetId="11">'6.2Ratemaking Data'!$A$1:$L$50</definedName>
    <definedName name="_xlnm.Print_Area" localSheetId="12">'6.3Ratemaking Data'!$A$1:$L$50</definedName>
    <definedName name="_xlnm.Print_Area" localSheetId="13">'6.4Ratemaking Data'!$A$1:$L$50</definedName>
    <definedName name="_xlnm.Print_Area" localSheetId="14">'6.5Ratemaking Data'!$A$1:$L$50</definedName>
    <definedName name="_xlnm.Print_Area" localSheetId="15">'6.6Ratemaking Data'!$A$1:$L$50</definedName>
    <definedName name="_xlnm.Print_Area" localSheetId="16">'6.7Ratemaking Data'!$A$1:$L$50</definedName>
    <definedName name="_xlnm.Print_Area" localSheetId="17">'6.8Ratemaking Data'!$A$1:$L$50</definedName>
    <definedName name="_xlnm.Print_Area" localSheetId="18">'6.9Ratemaking Data'!$A$1:$L$50</definedName>
    <definedName name="_xlnm.Print_Area" localSheetId="29">'7.10Rate Change Calculation'!$A$1:$H$79</definedName>
    <definedName name="_xlnm.Print_Area" localSheetId="20">'7.1Rate Change Calculation'!$A$1:$H$79</definedName>
    <definedName name="_xlnm.Print_Area" localSheetId="21">'7.2Rate Change Calculation'!$A$1:$H$79</definedName>
    <definedName name="_xlnm.Print_Area" localSheetId="22">'7.3Rate Change Calculation'!$A$1:$H$79</definedName>
    <definedName name="_xlnm.Print_Area" localSheetId="23">'7.4Rate Change Calculation'!$A$1:$H$79</definedName>
    <definedName name="_xlnm.Print_Area" localSheetId="24">'7.5Rate Change Calculation'!$A$1:$H$79</definedName>
    <definedName name="_xlnm.Print_Area" localSheetId="25">'7.6Rate Change Calculation'!$A$1:$H$79</definedName>
    <definedName name="_xlnm.Print_Area" localSheetId="26">'7.7Rate Change Calculation'!$A$1:$H$79</definedName>
    <definedName name="_xlnm.Print_Area" localSheetId="27">'7.8Rate Change Calculation'!$A$1:$H$79</definedName>
    <definedName name="_xlnm.Print_Area" localSheetId="28">'7.9Rate Change Calculation'!$A$1:$H$79</definedName>
    <definedName name="_xlnm.Print_Area" localSheetId="39">'8.10LCM Calculation'!$A$1:$H$43</definedName>
    <definedName name="_xlnm.Print_Area" localSheetId="30">'8.1LCM Calculation'!$A$1:$H$43</definedName>
    <definedName name="_xlnm.Print_Area" localSheetId="31">'8.2LCM Calculation'!$A$1:$H$43</definedName>
    <definedName name="_xlnm.Print_Area" localSheetId="32">'8.3LCM Calculation'!$A$1:$H$43</definedName>
    <definedName name="_xlnm.Print_Area" localSheetId="33">'8.4LCM Calculation'!$A$1:$H$43</definedName>
    <definedName name="_xlnm.Print_Area" localSheetId="34">'8.5LCM Calculation'!$A$1:$H$43</definedName>
    <definedName name="_xlnm.Print_Area" localSheetId="35">'8.6LCM Calculation'!$A$1:$H$43</definedName>
    <definedName name="_xlnm.Print_Area" localSheetId="36">'8.7LCM Calculation'!$A$1:$H$43</definedName>
    <definedName name="_xlnm.Print_Area" localSheetId="37">'8.8LCM Calculation'!$A$1:$H$43</definedName>
    <definedName name="_xlnm.Print_Area" localSheetId="38">'8.9LCM Calculation'!$A$1:$H$43</definedName>
    <definedName name="_xlnm.Print_Area" localSheetId="40">'Efficiency Standard'!$A$1:$E$40</definedName>
    <definedName name="_xlnm.Print_Area" localSheetId="44">'Federal Income Tax Rate'!$A$1:$C$33</definedName>
    <definedName name="_xlnm.Print_Area" localSheetId="43">'Incurred Loss &amp; DCCE'!$A$1:$D$44</definedName>
    <definedName name="_xlnm.Print_Area" localSheetId="2">Instructions!$A$1:$D$16</definedName>
    <definedName name="_xlnm.Print_Area" localSheetId="41">'Leverage Factor'!$A$1:$C$41</definedName>
    <definedName name="_xlnm.Print_Area" localSheetId="42">'Reserves Ratio'!$A$1:$D$41</definedName>
    <definedName name="_xlnm.Print_Area" localSheetId="0">Settings!$A$1:$E$106</definedName>
    <definedName name="Projected" localSheetId="29">'7.10Rate Change Calculation'!$H:$H</definedName>
    <definedName name="Projected" localSheetId="20">'7.1Rate Change Calculation'!$H:$H</definedName>
    <definedName name="Projected" localSheetId="21">'7.2Rate Change Calculation'!$H:$H</definedName>
    <definedName name="Projected" localSheetId="22">'7.3Rate Change Calculation'!$H:$H</definedName>
    <definedName name="Projected" localSheetId="23">'7.4Rate Change Calculation'!$H:$H</definedName>
    <definedName name="Projected" localSheetId="24">'7.5Rate Change Calculation'!$H:$H</definedName>
    <definedName name="Projected" localSheetId="25">'7.6Rate Change Calculation'!$H:$H</definedName>
    <definedName name="Projected" localSheetId="26">'7.7Rate Change Calculation'!$H:$H</definedName>
    <definedName name="Projected" localSheetId="27">'7.8Rate Change Calculation'!$H:$H</definedName>
    <definedName name="Projected" localSheetId="28">'7.9Rate Change Calculation'!$H:$H</definedName>
    <definedName name="Rein_CHANGE_AT_MAX" localSheetId="29">'7.10Rate Change Calculation'!$H$79</definedName>
    <definedName name="Rein_CHANGE_AT_MAX" localSheetId="20">'7.1Rate Change Calculation'!$H$79</definedName>
    <definedName name="Rein_CHANGE_AT_MAX" localSheetId="21">'7.2Rate Change Calculation'!$H$79</definedName>
    <definedName name="Rein_CHANGE_AT_MAX" localSheetId="22">'7.3Rate Change Calculation'!$H$79</definedName>
    <definedName name="Rein_CHANGE_AT_MAX" localSheetId="23">'7.4Rate Change Calculation'!$H$79</definedName>
    <definedName name="Rein_CHANGE_AT_MAX" localSheetId="24">'7.5Rate Change Calculation'!$H$79</definedName>
    <definedName name="Rein_CHANGE_AT_MAX" localSheetId="25">'7.6Rate Change Calculation'!$H$79</definedName>
    <definedName name="Rein_CHANGE_AT_MAX" localSheetId="26">'7.7Rate Change Calculation'!$H$79</definedName>
    <definedName name="Rein_CHANGE_AT_MAX" localSheetId="27">'7.8Rate Change Calculation'!$H$79</definedName>
    <definedName name="Rein_CHANGE_AT_MAX" localSheetId="28">'7.9Rate Change Calculation'!$H$79</definedName>
    <definedName name="Rein_Indicator">Settings!$E$25</definedName>
    <definedName name="Rein_Prem" localSheetId="29">'7.10Rate Change Calculation'!$73:$73</definedName>
    <definedName name="Rein_Prem" localSheetId="20">'7.1Rate Change Calculation'!$73:$73</definedName>
    <definedName name="Rein_Prem" localSheetId="21">'7.2Rate Change Calculation'!$73:$73</definedName>
    <definedName name="Rein_Prem" localSheetId="22">'7.3Rate Change Calculation'!$73:$73</definedName>
    <definedName name="Rein_Prem" localSheetId="23">'7.4Rate Change Calculation'!$73:$73</definedName>
    <definedName name="Rein_Prem" localSheetId="24">'7.5Rate Change Calculation'!$73:$73</definedName>
    <definedName name="Rein_Prem" localSheetId="25">'7.6Rate Change Calculation'!$73:$73</definedName>
    <definedName name="Rein_Prem" localSheetId="26">'7.7Rate Change Calculation'!$73:$73</definedName>
    <definedName name="Rein_Prem" localSheetId="27">'7.8Rate Change Calculation'!$73:$73</definedName>
    <definedName name="Rein_Prem" localSheetId="28">'7.9Rate Change Calculation'!$73:$73</definedName>
    <definedName name="Rein_Recov" localSheetId="29">'7.10Rate Change Calculation'!$74:$74</definedName>
    <definedName name="Rein_Recov" localSheetId="20">'7.1Rate Change Calculation'!$74:$74</definedName>
    <definedName name="Rein_Recov" localSheetId="21">'7.2Rate Change Calculation'!$74:$74</definedName>
    <definedName name="Rein_Recov" localSheetId="22">'7.3Rate Change Calculation'!$74:$74</definedName>
    <definedName name="Rein_Recov" localSheetId="23">'7.4Rate Change Calculation'!$74:$74</definedName>
    <definedName name="Rein_Recov" localSheetId="24">'7.5Rate Change Calculation'!$74:$74</definedName>
    <definedName name="Rein_Recov" localSheetId="25">'7.6Rate Change Calculation'!$74:$74</definedName>
    <definedName name="Rein_Recov" localSheetId="26">'7.7Rate Change Calculation'!$74:$74</definedName>
    <definedName name="Rein_Recov" localSheetId="27">'7.8Rate Change Calculation'!$74:$74</definedName>
    <definedName name="Rein_Recov" localSheetId="28">'7.9Rate Change Calculation'!$74:$74</definedName>
    <definedName name="ReinMax_Premium" localSheetId="29">'7.10Rate Change Calculation'!$H$78</definedName>
    <definedName name="ReinMax_Premium" localSheetId="20">'7.1Rate Change Calculation'!$H$78</definedName>
    <definedName name="ReinMax_Premium" localSheetId="21">'7.2Rate Change Calculation'!$H$78</definedName>
    <definedName name="ReinMax_Premium" localSheetId="22">'7.3Rate Change Calculation'!$H$78</definedName>
    <definedName name="ReinMax_Premium" localSheetId="23">'7.4Rate Change Calculation'!$H$78</definedName>
    <definedName name="ReinMax_Premium" localSheetId="24">'7.5Rate Change Calculation'!$H$78</definedName>
    <definedName name="ReinMax_Premium" localSheetId="25">'7.6Rate Change Calculation'!$H$78</definedName>
    <definedName name="ReinMax_Premium" localSheetId="26">'7.7Rate Change Calculation'!$H$78</definedName>
    <definedName name="ReinMax_Premium" localSheetId="27">'7.8Rate Change Calculation'!$H$78</definedName>
    <definedName name="ReinMax_Premium" localSheetId="28">'7.9Rate Change Calculation'!$H$78</definedName>
    <definedName name="ReinPrem_perExp" localSheetId="29">'7.10Rate Change Calculation'!$75:$75</definedName>
    <definedName name="ReinPrem_perExp" localSheetId="20">'7.1Rate Change Calculation'!$75:$75</definedName>
    <definedName name="ReinPrem_perExp" localSheetId="21">'7.2Rate Change Calculation'!$75:$75</definedName>
    <definedName name="ReinPrem_perExp" localSheetId="22">'7.3Rate Change Calculation'!$75:$75</definedName>
    <definedName name="ReinPrem_perExp" localSheetId="23">'7.4Rate Change Calculation'!$75:$75</definedName>
    <definedName name="ReinPrem_perExp" localSheetId="24">'7.5Rate Change Calculation'!$75:$75</definedName>
    <definedName name="ReinPrem_perExp" localSheetId="25">'7.6Rate Change Calculation'!$75:$75</definedName>
    <definedName name="ReinPrem_perExp" localSheetId="26">'7.7Rate Change Calculation'!$75:$75</definedName>
    <definedName name="ReinPrem_perExp" localSheetId="27">'7.8Rate Change Calculation'!$75:$75</definedName>
    <definedName name="ReinPrem_perExp" localSheetId="28">'7.9Rate Change Calculation'!$75:$75</definedName>
    <definedName name="ReinRec_perExp" localSheetId="29">'7.10Rate Change Calculation'!$76:$76</definedName>
    <definedName name="ReinRec_perExp" localSheetId="20">'7.1Rate Change Calculation'!$76:$76</definedName>
    <definedName name="ReinRec_perExp" localSheetId="21">'7.2Rate Change Calculation'!$76:$76</definedName>
    <definedName name="ReinRec_perExp" localSheetId="22">'7.3Rate Change Calculation'!$76:$76</definedName>
    <definedName name="ReinRec_perExp" localSheetId="23">'7.4Rate Change Calculation'!$76:$76</definedName>
    <definedName name="ReinRec_perExp" localSheetId="24">'7.5Rate Change Calculation'!$76:$76</definedName>
    <definedName name="ReinRec_perExp" localSheetId="25">'7.6Rate Change Calculation'!$76:$76</definedName>
    <definedName name="ReinRec_perExp" localSheetId="26">'7.7Rate Change Calculation'!$76:$76</definedName>
    <definedName name="ReinRec_perExp" localSheetId="27">'7.8Rate Change Calculation'!$76:$76</definedName>
    <definedName name="ReinRec_perExp" localSheetId="28">'7.9Rate Change Calculation'!$76:$76</definedName>
    <definedName name="ResRatio_Loss01">Settings!$E$79</definedName>
    <definedName name="ResRatio_Loss02">Settings!$E$80</definedName>
    <definedName name="ResRatio_Loss03">Settings!$E$81</definedName>
    <definedName name="ResRatio_Loss04">Settings!$E$82</definedName>
    <definedName name="ResRatio_Loss05">Settings!$E$83</definedName>
    <definedName name="ResRatio_Loss06">Settings!$E$84</definedName>
    <definedName name="ResRatio_Loss07">Settings!$E$85</definedName>
    <definedName name="ResRatio_Loss08">Settings!$E$86</definedName>
    <definedName name="ResRatio_Loss09">Settings!$E$87</definedName>
    <definedName name="ResRatio_Loss10">Settings!$E$88</definedName>
    <definedName name="ResRatio_UPR01">Settings!$B$79</definedName>
    <definedName name="ResRatio_UPR02">Settings!$B$80</definedName>
    <definedName name="ResRatio_UPR03">Settings!$B$81</definedName>
    <definedName name="ResRatio_UPR04">Settings!$B$82</definedName>
    <definedName name="ResRatio_UPR05">Settings!$B$83</definedName>
    <definedName name="ResRatio_UPR06">Settings!$B$84</definedName>
    <definedName name="ResRatio_UPR07">Settings!$B$85</definedName>
    <definedName name="ResRatio_UPR08">Settings!$B$86</definedName>
    <definedName name="ResRatio_UPR09">Settings!$B$87</definedName>
    <definedName name="ResRatio_UPR10">Settings!$B$88</definedName>
    <definedName name="ROR_Max">Settings!$B$106</definedName>
    <definedName name="ROR_Min">Settings!$B$105</definedName>
    <definedName name="ROR_RiskFree">Settings!$B$104</definedName>
    <definedName name="ROR_RiskFree_Date">Settings!$E$104</definedName>
    <definedName name="SERFF_Filing_Date">Settings!$E$26</definedName>
    <definedName name="SurplusRatio" localSheetId="29">'7.10Rate Change Calculation'!$H$40</definedName>
    <definedName name="SurplusRatio" localSheetId="20">'7.1Rate Change Calculation'!$H$40</definedName>
    <definedName name="SurplusRatio" localSheetId="21">'7.2Rate Change Calculation'!$H$40</definedName>
    <definedName name="SurplusRatio" localSheetId="22">'7.3Rate Change Calculation'!$H$40</definedName>
    <definedName name="SurplusRatio" localSheetId="23">'7.4Rate Change Calculation'!$H$40</definedName>
    <definedName name="SurplusRatio" localSheetId="24">'7.5Rate Change Calculation'!$H$40</definedName>
    <definedName name="SurplusRatio" localSheetId="25">'7.6Rate Change Calculation'!$H$40</definedName>
    <definedName name="SurplusRatio" localSheetId="26">'7.7Rate Change Calculation'!$H$40</definedName>
    <definedName name="SurplusRatio" localSheetId="27">'7.8Rate Change Calculation'!$H$40</definedName>
    <definedName name="SurplusRatio" localSheetId="28">'7.9Rate Change Calculation'!$H$40</definedName>
    <definedName name="Table_EffStd">'Efficiency Standard'!$A$10:$E$40</definedName>
    <definedName name="Table_IncdLossDCCE">'Incurred Loss &amp; DCCE'!$A$11:$D$41</definedName>
    <definedName name="Table_LevFact">'Leverage Factor'!$A$11:$C$41</definedName>
    <definedName name="Table_ResRatio">'Reserves Ratio'!$A$11:$D$41</definedName>
    <definedName name="TCRLP_perExp" localSheetId="29">'7.10Rate Change Calculation'!$52:$52</definedName>
    <definedName name="TCRLP_perExp" localSheetId="20">'7.1Rate Change Calculation'!$52:$52</definedName>
    <definedName name="TCRLP_perExp" localSheetId="21">'7.2Rate Change Calculation'!$52:$52</definedName>
    <definedName name="TCRLP_perExp" localSheetId="22">'7.3Rate Change Calculation'!$52:$52</definedName>
    <definedName name="TCRLP_perExp" localSheetId="23">'7.4Rate Change Calculation'!$52:$52</definedName>
    <definedName name="TCRLP_perExp" localSheetId="24">'7.5Rate Change Calculation'!$52:$52</definedName>
    <definedName name="TCRLP_perExp" localSheetId="25">'7.6Rate Change Calculation'!$52:$52</definedName>
    <definedName name="TCRLP_perExp" localSheetId="26">'7.7Rate Change Calculation'!$52:$52</definedName>
    <definedName name="TCRLP_perExp" localSheetId="27">'7.8Rate Change Calculation'!$52:$52</definedName>
    <definedName name="TCRLP_perExp" localSheetId="28">'7.9Rate Change Calculation'!$52:$52</definedName>
    <definedName name="update_effstd">'Efficiency Standard'!$B$4</definedName>
    <definedName name="update_LCMdata">'Incurred Loss &amp; DCCE'!$B$7</definedName>
    <definedName name="update_leverage">'Leverage Factor'!$B$4</definedName>
    <definedName name="update_reserveratios">'Reserves Ratio'!$B$4</definedName>
    <definedName name="UW_Profit" localSheetId="29">'7.10Rate Change Calculation'!$H$63</definedName>
    <definedName name="UW_Profit" localSheetId="20">'7.1Rate Change Calculation'!$H$63</definedName>
    <definedName name="UW_Profit" localSheetId="21">'7.2Rate Change Calculation'!$H$63</definedName>
    <definedName name="UW_Profit" localSheetId="22">'7.3Rate Change Calculation'!$H$63</definedName>
    <definedName name="UW_Profit" localSheetId="23">'7.4Rate Change Calculation'!$H$63</definedName>
    <definedName name="UW_Profit" localSheetId="24">'7.5Rate Change Calculation'!$H$63</definedName>
    <definedName name="UW_Profit" localSheetId="25">'7.6Rate Change Calculation'!$H$63</definedName>
    <definedName name="UW_Profit" localSheetId="26">'7.7Rate Change Calculation'!$H$63</definedName>
    <definedName name="UW_Profit" localSheetId="27">'7.8Rate Change Calculation'!$H$63</definedName>
    <definedName name="UW_Profit" localSheetId="28">'7.9Rate Change Calculation'!$H$63</definedName>
    <definedName name="Yield">Settings!$B$23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31" i="32" l="1"/>
  <c r="D30" i="38"/>
  <c r="D29" i="38"/>
  <c r="D27" i="38"/>
  <c r="D26" i="38"/>
  <c r="D25" i="38"/>
  <c r="D24" i="38"/>
  <c r="D23" i="38"/>
  <c r="D22" i="38"/>
  <c r="D20" i="38"/>
  <c r="D19" i="38"/>
  <c r="D16" i="38"/>
  <c r="D15" i="38"/>
  <c r="D14" i="38"/>
  <c r="D12" i="38"/>
  <c r="D11" i="38"/>
  <c r="D10" i="38"/>
  <c r="C28" i="38"/>
  <c r="C26" i="38"/>
  <c r="B26" i="13" l="1"/>
  <c r="B24" i="13"/>
  <c r="B23" i="13"/>
  <c r="B22" i="13"/>
  <c r="B22" i="12"/>
  <c r="B23" i="12"/>
  <c r="B24" i="12"/>
  <c r="C22" i="13"/>
  <c r="C23" i="13"/>
  <c r="C24" i="13"/>
  <c r="C26" i="13"/>
  <c r="I44" i="3" l="1"/>
  <c r="I43" i="3"/>
  <c r="I42" i="3"/>
  <c r="I50" i="3" l="1"/>
  <c r="I49" i="3"/>
  <c r="I48" i="3"/>
  <c r="I47" i="3"/>
  <c r="I46" i="3"/>
  <c r="I45" i="3"/>
  <c r="C21" i="14" l="1"/>
  <c r="C15" i="14"/>
  <c r="C20" i="14"/>
  <c r="C22" i="14"/>
  <c r="C23" i="14"/>
  <c r="C24" i="14"/>
  <c r="C26" i="14"/>
  <c r="C31" i="14"/>
  <c r="C32" i="14"/>
  <c r="C27" i="14"/>
  <c r="J8" i="2" l="1"/>
  <c r="J18" i="2" l="1"/>
  <c r="E26" i="1" l="1"/>
  <c r="J10" i="2"/>
  <c r="J29" i="2" l="1"/>
  <c r="B20" i="14" l="1"/>
  <c r="B21" i="14"/>
  <c r="B22" i="14"/>
  <c r="B23" i="14"/>
  <c r="B24" i="14"/>
  <c r="B15" i="14"/>
  <c r="V7" i="3" l="1"/>
  <c r="V6" i="3" l="1"/>
  <c r="U6" i="3" s="1"/>
  <c r="B26" i="12" l="1"/>
  <c r="G40" i="67" l="1"/>
  <c r="I22" i="67" s="1"/>
  <c r="G40" i="66"/>
  <c r="I22" i="66" s="1"/>
  <c r="G40" i="65"/>
  <c r="I22" i="65" s="1"/>
  <c r="G40" i="64"/>
  <c r="I22" i="64" s="1"/>
  <c r="G40" i="63"/>
  <c r="I22" i="63" s="1"/>
  <c r="G40" i="62"/>
  <c r="I22" i="62" s="1"/>
  <c r="G40" i="61"/>
  <c r="I22" i="61" s="1"/>
  <c r="G40" i="60"/>
  <c r="I22" i="60" s="1"/>
  <c r="U7" i="3" l="1"/>
  <c r="U8" i="3" l="1"/>
  <c r="U9" i="3" l="1"/>
  <c r="U10" i="3" s="1"/>
  <c r="V8" i="3"/>
  <c r="V9" i="3" l="1"/>
  <c r="V10" i="3"/>
  <c r="U11" i="3"/>
  <c r="V11" i="3" l="1"/>
  <c r="U12" i="3"/>
  <c r="U13" i="3" l="1"/>
  <c r="V12" i="3"/>
  <c r="V13" i="3" l="1"/>
  <c r="U14" i="3"/>
  <c r="V14" i="3" l="1"/>
  <c r="U15" i="3"/>
  <c r="V15" i="3" l="1"/>
  <c r="U16" i="3"/>
  <c r="B32" i="14"/>
  <c r="B31" i="14"/>
  <c r="B27" i="14"/>
  <c r="B26" i="14"/>
  <c r="U17" i="3" l="1"/>
  <c r="V16" i="3"/>
  <c r="E104" i="1"/>
  <c r="I23" i="32"/>
  <c r="H27" i="57"/>
  <c r="H26" i="57"/>
  <c r="H19" i="57"/>
  <c r="H27" i="56"/>
  <c r="H26" i="56"/>
  <c r="H19" i="56"/>
  <c r="H27" i="55"/>
  <c r="H26" i="55"/>
  <c r="H19" i="55"/>
  <c r="H27" i="54"/>
  <c r="H26" i="54"/>
  <c r="H19" i="54"/>
  <c r="H27" i="53"/>
  <c r="H26" i="53"/>
  <c r="H19" i="53"/>
  <c r="H27" i="52"/>
  <c r="H26" i="52"/>
  <c r="H19" i="52"/>
  <c r="H27" i="51"/>
  <c r="H26" i="51"/>
  <c r="H19" i="51"/>
  <c r="H27" i="50"/>
  <c r="H26" i="50"/>
  <c r="H19" i="50"/>
  <c r="H27" i="49"/>
  <c r="H26" i="49"/>
  <c r="H19" i="49"/>
  <c r="U18" i="3" l="1"/>
  <c r="V17" i="3"/>
  <c r="H27" i="28"/>
  <c r="H26" i="28"/>
  <c r="H19" i="28"/>
  <c r="B21" i="68"/>
  <c r="B20" i="68"/>
  <c r="B19" i="68"/>
  <c r="V18" i="3" l="1"/>
  <c r="U19" i="3"/>
  <c r="B103" i="1"/>
  <c r="G43" i="28"/>
  <c r="V19" i="3" l="1"/>
  <c r="U20" i="3"/>
  <c r="G43" i="51"/>
  <c r="G43" i="53"/>
  <c r="G43" i="57"/>
  <c r="G43" i="52"/>
  <c r="G43" i="55"/>
  <c r="G43" i="49"/>
  <c r="G43" i="54"/>
  <c r="G43" i="50"/>
  <c r="G43" i="56"/>
  <c r="F32" i="38"/>
  <c r="F30" i="38"/>
  <c r="F29" i="38"/>
  <c r="F27" i="38"/>
  <c r="F26" i="38"/>
  <c r="F25" i="38"/>
  <c r="F24" i="38"/>
  <c r="F23" i="38"/>
  <c r="F22" i="38"/>
  <c r="F20" i="38"/>
  <c r="F19" i="38"/>
  <c r="F18" i="38"/>
  <c r="F16" i="38"/>
  <c r="F15" i="38"/>
  <c r="F14" i="38"/>
  <c r="F11" i="38"/>
  <c r="F12" i="38"/>
  <c r="F10" i="38"/>
  <c r="U21" i="3" l="1"/>
  <c r="V20" i="3"/>
  <c r="H44" i="49"/>
  <c r="H44" i="50"/>
  <c r="H44" i="51"/>
  <c r="H44" i="52"/>
  <c r="H44" i="53"/>
  <c r="H44" i="54"/>
  <c r="H44" i="55"/>
  <c r="H44" i="56"/>
  <c r="H44" i="57"/>
  <c r="H44" i="28"/>
  <c r="H39" i="49"/>
  <c r="H39" i="50"/>
  <c r="H39" i="51"/>
  <c r="H39" i="52"/>
  <c r="H39" i="53"/>
  <c r="H39" i="54"/>
  <c r="H39" i="55"/>
  <c r="H39" i="56"/>
  <c r="H39" i="57"/>
  <c r="H39" i="28"/>
  <c r="B102" i="1"/>
  <c r="H36" i="49" s="1"/>
  <c r="V21" i="3" l="1"/>
  <c r="U22" i="3"/>
  <c r="H36" i="56"/>
  <c r="H36" i="51"/>
  <c r="H36" i="28"/>
  <c r="H36" i="54"/>
  <c r="H36" i="50"/>
  <c r="H36" i="52"/>
  <c r="H36" i="55"/>
  <c r="H36" i="57"/>
  <c r="H36" i="53"/>
  <c r="V22" i="3" l="1"/>
  <c r="U23" i="3"/>
  <c r="F24" i="37"/>
  <c r="D24" i="37"/>
  <c r="C24" i="37"/>
  <c r="V23" i="3" l="1"/>
  <c r="U24" i="3"/>
  <c r="K30" i="48"/>
  <c r="J30" i="48"/>
  <c r="I30" i="48"/>
  <c r="H30" i="48"/>
  <c r="G30" i="48"/>
  <c r="F30" i="48"/>
  <c r="E30" i="48"/>
  <c r="D30" i="48"/>
  <c r="K30" i="47"/>
  <c r="J30" i="47"/>
  <c r="I30" i="47"/>
  <c r="H30" i="47"/>
  <c r="G30" i="47"/>
  <c r="F30" i="47"/>
  <c r="E30" i="47"/>
  <c r="D30" i="47"/>
  <c r="K30" i="46"/>
  <c r="J30" i="46"/>
  <c r="I30" i="46"/>
  <c r="H30" i="46"/>
  <c r="G30" i="46"/>
  <c r="F30" i="46"/>
  <c r="E30" i="46"/>
  <c r="D30" i="46"/>
  <c r="K30" i="45"/>
  <c r="J30" i="45"/>
  <c r="I30" i="45"/>
  <c r="H30" i="45"/>
  <c r="G30" i="45"/>
  <c r="F30" i="45"/>
  <c r="E30" i="45"/>
  <c r="D30" i="45"/>
  <c r="K30" i="44"/>
  <c r="J30" i="44"/>
  <c r="I30" i="44"/>
  <c r="H30" i="44"/>
  <c r="G30" i="44"/>
  <c r="F30" i="44"/>
  <c r="E30" i="44"/>
  <c r="D30" i="44"/>
  <c r="K30" i="43"/>
  <c r="J30" i="43"/>
  <c r="I30" i="43"/>
  <c r="H30" i="43"/>
  <c r="G30" i="43"/>
  <c r="F30" i="43"/>
  <c r="E30" i="43"/>
  <c r="D30" i="43"/>
  <c r="K30" i="42"/>
  <c r="J30" i="42"/>
  <c r="I30" i="42"/>
  <c r="H30" i="42"/>
  <c r="G30" i="42"/>
  <c r="F30" i="42"/>
  <c r="E30" i="42"/>
  <c r="D30" i="42"/>
  <c r="K30" i="41"/>
  <c r="J30" i="41"/>
  <c r="I30" i="41"/>
  <c r="H30" i="41"/>
  <c r="G30" i="41"/>
  <c r="F30" i="41"/>
  <c r="E30" i="41"/>
  <c r="D30" i="41"/>
  <c r="K30" i="39"/>
  <c r="J30" i="39"/>
  <c r="I30" i="39"/>
  <c r="H30" i="39"/>
  <c r="G30" i="39"/>
  <c r="F30" i="39"/>
  <c r="E30" i="39"/>
  <c r="D30" i="39"/>
  <c r="K30" i="9"/>
  <c r="J30" i="9"/>
  <c r="I30" i="9"/>
  <c r="H30" i="9"/>
  <c r="G30" i="9"/>
  <c r="F30" i="9"/>
  <c r="E30" i="9"/>
  <c r="D30" i="9"/>
  <c r="M31" i="9" l="1"/>
  <c r="M31" i="39"/>
  <c r="M31" i="41"/>
  <c r="M31" i="42"/>
  <c r="M31" i="43"/>
  <c r="M31" i="44"/>
  <c r="M31" i="45"/>
  <c r="M31" i="46"/>
  <c r="M31" i="47"/>
  <c r="M31" i="48"/>
  <c r="U25" i="3"/>
  <c r="V24" i="3"/>
  <c r="I40" i="67"/>
  <c r="I40" i="66"/>
  <c r="I40" i="65"/>
  <c r="I40" i="64"/>
  <c r="I40" i="63"/>
  <c r="I40" i="62"/>
  <c r="I40" i="61"/>
  <c r="I40" i="60"/>
  <c r="I21" i="34"/>
  <c r="U26" i="3" l="1"/>
  <c r="V25" i="3"/>
  <c r="B104" i="1"/>
  <c r="H43" i="57" s="1"/>
  <c r="V26" i="3" l="1"/>
  <c r="U27" i="3"/>
  <c r="H43" i="28"/>
  <c r="H43" i="50"/>
  <c r="H43" i="52"/>
  <c r="H43" i="55"/>
  <c r="H43" i="51"/>
  <c r="H43" i="53"/>
  <c r="H43" i="49"/>
  <c r="H43" i="54"/>
  <c r="H43" i="56"/>
  <c r="B106" i="1"/>
  <c r="V27" i="3" l="1"/>
  <c r="U28" i="3"/>
  <c r="H45" i="51"/>
  <c r="H45" i="52"/>
  <c r="H45" i="50"/>
  <c r="H45" i="55"/>
  <c r="H45" i="56"/>
  <c r="H45" i="54"/>
  <c r="H45" i="49"/>
  <c r="H45" i="53"/>
  <c r="H45" i="28"/>
  <c r="H45" i="57"/>
  <c r="G22" i="66"/>
  <c r="U29" i="3" l="1"/>
  <c r="V28" i="3"/>
  <c r="D37" i="34"/>
  <c r="C37" i="34"/>
  <c r="B24" i="34"/>
  <c r="V29" i="3" l="1"/>
  <c r="U30" i="3"/>
  <c r="V30" i="3" s="1"/>
  <c r="B37" i="34"/>
  <c r="B8" i="34"/>
  <c r="F23" i="34"/>
  <c r="F35" i="34" l="1"/>
  <c r="J43" i="2"/>
  <c r="J42" i="2"/>
  <c r="J41" i="2"/>
  <c r="J40" i="2"/>
  <c r="J39" i="2"/>
  <c r="J38" i="2"/>
  <c r="J37" i="2"/>
  <c r="J36" i="2"/>
  <c r="J35" i="2"/>
  <c r="J34" i="2"/>
  <c r="A4" i="57" l="1"/>
  <c r="A4" i="56"/>
  <c r="A4" i="55"/>
  <c r="A4" i="54"/>
  <c r="A4" i="53"/>
  <c r="A4" i="52"/>
  <c r="A4" i="51"/>
  <c r="A4" i="50"/>
  <c r="A4" i="49"/>
  <c r="A4" i="28"/>
  <c r="E25" i="2" l="1"/>
  <c r="N21" i="61"/>
  <c r="N18" i="67"/>
  <c r="N17" i="67"/>
  <c r="N16" i="67"/>
  <c r="N21" i="67" s="1"/>
  <c r="N18" i="66"/>
  <c r="N17" i="66"/>
  <c r="N16" i="66"/>
  <c r="N21" i="66" s="1"/>
  <c r="N18" i="65"/>
  <c r="N17" i="65"/>
  <c r="N16" i="65"/>
  <c r="N21" i="65" s="1"/>
  <c r="N18" i="64"/>
  <c r="N17" i="64"/>
  <c r="N16" i="64"/>
  <c r="N21" i="64" s="1"/>
  <c r="N18" i="63"/>
  <c r="N17" i="63"/>
  <c r="N16" i="63"/>
  <c r="N21" i="63" s="1"/>
  <c r="N18" i="62"/>
  <c r="N17" i="62"/>
  <c r="N16" i="62"/>
  <c r="N21" i="62" s="1"/>
  <c r="N18" i="61"/>
  <c r="N17" i="61"/>
  <c r="N16" i="61"/>
  <c r="N18" i="60"/>
  <c r="N17" i="60"/>
  <c r="N16" i="60"/>
  <c r="N21" i="60" s="1"/>
  <c r="N18" i="59"/>
  <c r="N17" i="59"/>
  <c r="N16" i="59"/>
  <c r="N21" i="59" s="1"/>
  <c r="I17" i="67"/>
  <c r="I15" i="67"/>
  <c r="I17" i="66"/>
  <c r="I15" i="66"/>
  <c r="I17" i="65"/>
  <c r="I15" i="65"/>
  <c r="I17" i="64"/>
  <c r="I15" i="64"/>
  <c r="I17" i="63"/>
  <c r="I15" i="63"/>
  <c r="I17" i="62"/>
  <c r="I15" i="62"/>
  <c r="I17" i="61"/>
  <c r="I15" i="61"/>
  <c r="I17" i="60"/>
  <c r="I15" i="60"/>
  <c r="I17" i="59"/>
  <c r="I15" i="59"/>
  <c r="N16" i="29"/>
  <c r="I15" i="29"/>
  <c r="I17" i="29"/>
  <c r="E100" i="1" l="1"/>
  <c r="H9" i="57" s="1"/>
  <c r="E99" i="1"/>
  <c r="D9" i="66" s="1"/>
  <c r="E98" i="1"/>
  <c r="H9" i="55" s="1"/>
  <c r="E97" i="1"/>
  <c r="D9" i="64" s="1"/>
  <c r="E96" i="1"/>
  <c r="H9" i="53" s="1"/>
  <c r="E95" i="1"/>
  <c r="D9" i="62" s="1"/>
  <c r="E94" i="1"/>
  <c r="D9" i="61" s="1"/>
  <c r="E93" i="1"/>
  <c r="H9" i="50" s="1"/>
  <c r="E92" i="1"/>
  <c r="D9" i="59" s="1"/>
  <c r="E91" i="1"/>
  <c r="D9" i="29" s="1"/>
  <c r="D9" i="63" l="1"/>
  <c r="D9" i="65"/>
  <c r="D9" i="67"/>
  <c r="H9" i="52"/>
  <c r="H9" i="54"/>
  <c r="H9" i="56"/>
  <c r="D9" i="60"/>
  <c r="H9" i="49"/>
  <c r="H9" i="51"/>
  <c r="H9" i="28"/>
  <c r="N29" i="3" l="1"/>
  <c r="G9" i="34" l="1" a="1"/>
  <c r="G12" i="34" s="1"/>
  <c r="G15" i="34" l="1"/>
  <c r="G11" i="34"/>
  <c r="G18" i="34"/>
  <c r="G14" i="34"/>
  <c r="G10" i="34"/>
  <c r="G17" i="34"/>
  <c r="G13" i="34"/>
  <c r="G9" i="34"/>
  <c r="G16" i="34"/>
  <c r="F24" i="32"/>
  <c r="I67" i="57" l="1"/>
  <c r="I67" i="55"/>
  <c r="I67" i="53"/>
  <c r="I67" i="51"/>
  <c r="I67" i="54"/>
  <c r="I67" i="52"/>
  <c r="I67" i="50"/>
  <c r="I67" i="49"/>
  <c r="I67" i="56"/>
  <c r="I67" i="28"/>
  <c r="L24" i="67"/>
  <c r="L23" i="67"/>
  <c r="L24" i="66"/>
  <c r="L23" i="66"/>
  <c r="L24" i="65"/>
  <c r="L23" i="65"/>
  <c r="L24" i="64"/>
  <c r="L23" i="64"/>
  <c r="L24" i="63"/>
  <c r="L23" i="63"/>
  <c r="L24" i="62"/>
  <c r="L23" i="62"/>
  <c r="L24" i="61"/>
  <c r="L23" i="61"/>
  <c r="L24" i="60"/>
  <c r="L23" i="60"/>
  <c r="L24" i="59"/>
  <c r="L23" i="59"/>
  <c r="G74" i="57"/>
  <c r="F74" i="57"/>
  <c r="E74" i="57"/>
  <c r="D74" i="57"/>
  <c r="C74" i="57"/>
  <c r="B74" i="57"/>
  <c r="G73" i="57"/>
  <c r="F73" i="57"/>
  <c r="E73" i="57"/>
  <c r="D73" i="57"/>
  <c r="C73" i="57"/>
  <c r="B73" i="57"/>
  <c r="H72" i="57"/>
  <c r="H30" i="57"/>
  <c r="G29" i="57"/>
  <c r="F29" i="57"/>
  <c r="E29" i="57"/>
  <c r="D29" i="57"/>
  <c r="C29" i="57"/>
  <c r="B29" i="57"/>
  <c r="G28" i="57"/>
  <c r="F28" i="57"/>
  <c r="E28" i="57"/>
  <c r="D28" i="57"/>
  <c r="C28" i="57"/>
  <c r="B28" i="57"/>
  <c r="G27" i="57"/>
  <c r="F27" i="57"/>
  <c r="E27" i="57"/>
  <c r="D27" i="57"/>
  <c r="C27" i="57"/>
  <c r="B27" i="57"/>
  <c r="G26" i="57"/>
  <c r="F26" i="57"/>
  <c r="E26" i="57"/>
  <c r="D26" i="57"/>
  <c r="C26" i="57"/>
  <c r="B26" i="57"/>
  <c r="G25" i="57"/>
  <c r="F25" i="57"/>
  <c r="E25" i="57"/>
  <c r="D25" i="57"/>
  <c r="C25" i="57"/>
  <c r="B25" i="57"/>
  <c r="G24" i="57"/>
  <c r="F24" i="57"/>
  <c r="E24" i="57"/>
  <c r="D24" i="57"/>
  <c r="C24" i="57"/>
  <c r="B24" i="57"/>
  <c r="G23" i="57"/>
  <c r="F23" i="57"/>
  <c r="E23" i="57"/>
  <c r="D23" i="57"/>
  <c r="C23" i="57"/>
  <c r="B23" i="57"/>
  <c r="G22" i="57"/>
  <c r="F22" i="57"/>
  <c r="E22" i="57"/>
  <c r="D22" i="57"/>
  <c r="C22" i="57"/>
  <c r="B22" i="57"/>
  <c r="G21" i="57"/>
  <c r="F21" i="57"/>
  <c r="E21" i="57"/>
  <c r="D21" i="57"/>
  <c r="C21" i="57"/>
  <c r="B21" i="57"/>
  <c r="G20" i="57"/>
  <c r="F20" i="57"/>
  <c r="E20" i="57"/>
  <c r="D20" i="57"/>
  <c r="C20" i="57"/>
  <c r="B20" i="57"/>
  <c r="G19" i="57"/>
  <c r="F19" i="57"/>
  <c r="E19" i="57"/>
  <c r="D19" i="57"/>
  <c r="C19" i="57"/>
  <c r="B19" i="57"/>
  <c r="G18" i="57"/>
  <c r="F18" i="57"/>
  <c r="E18" i="57"/>
  <c r="D18" i="57"/>
  <c r="C18" i="57"/>
  <c r="B18" i="57"/>
  <c r="G17" i="57"/>
  <c r="F17" i="57"/>
  <c r="E17" i="57"/>
  <c r="D17" i="57"/>
  <c r="C17" i="57"/>
  <c r="B17" i="57"/>
  <c r="G16" i="57"/>
  <c r="F16" i="57"/>
  <c r="E16" i="57"/>
  <c r="D16" i="57"/>
  <c r="C16" i="57"/>
  <c r="B16" i="57"/>
  <c r="G74" i="56"/>
  <c r="F74" i="56"/>
  <c r="E74" i="56"/>
  <c r="D74" i="56"/>
  <c r="C74" i="56"/>
  <c r="B74" i="56"/>
  <c r="G73" i="56"/>
  <c r="F73" i="56"/>
  <c r="E73" i="56"/>
  <c r="D73" i="56"/>
  <c r="C73" i="56"/>
  <c r="B73" i="56"/>
  <c r="H72" i="56"/>
  <c r="H30" i="56"/>
  <c r="G29" i="56"/>
  <c r="F29" i="56"/>
  <c r="E29" i="56"/>
  <c r="D29" i="56"/>
  <c r="C29" i="56"/>
  <c r="B29" i="56"/>
  <c r="G28" i="56"/>
  <c r="F28" i="56"/>
  <c r="E28" i="56"/>
  <c r="D28" i="56"/>
  <c r="C28" i="56"/>
  <c r="B28" i="56"/>
  <c r="G27" i="56"/>
  <c r="F27" i="56"/>
  <c r="E27" i="56"/>
  <c r="D27" i="56"/>
  <c r="C27" i="56"/>
  <c r="B27" i="56"/>
  <c r="G26" i="56"/>
  <c r="F26" i="56"/>
  <c r="E26" i="56"/>
  <c r="D26" i="56"/>
  <c r="C26" i="56"/>
  <c r="B26" i="56"/>
  <c r="G25" i="56"/>
  <c r="F25" i="56"/>
  <c r="E25" i="56"/>
  <c r="D25" i="56"/>
  <c r="C25" i="56"/>
  <c r="B25" i="56"/>
  <c r="G24" i="56"/>
  <c r="F24" i="56"/>
  <c r="E24" i="56"/>
  <c r="D24" i="56"/>
  <c r="C24" i="56"/>
  <c r="B24" i="56"/>
  <c r="G23" i="56"/>
  <c r="F23" i="56"/>
  <c r="E23" i="56"/>
  <c r="D23" i="56"/>
  <c r="C23" i="56"/>
  <c r="B23" i="56"/>
  <c r="G22" i="56"/>
  <c r="F22" i="56"/>
  <c r="E22" i="56"/>
  <c r="D22" i="56"/>
  <c r="C22" i="56"/>
  <c r="B22" i="56"/>
  <c r="G21" i="56"/>
  <c r="F21" i="56"/>
  <c r="E21" i="56"/>
  <c r="D21" i="56"/>
  <c r="C21" i="56"/>
  <c r="B21" i="56"/>
  <c r="G20" i="56"/>
  <c r="F20" i="56"/>
  <c r="E20" i="56"/>
  <c r="D20" i="56"/>
  <c r="C20" i="56"/>
  <c r="B20" i="56"/>
  <c r="G19" i="56"/>
  <c r="F19" i="56"/>
  <c r="E19" i="56"/>
  <c r="D19" i="56"/>
  <c r="C19" i="56"/>
  <c r="B19" i="56"/>
  <c r="G18" i="56"/>
  <c r="F18" i="56"/>
  <c r="E18" i="56"/>
  <c r="D18" i="56"/>
  <c r="C18" i="56"/>
  <c r="B18" i="56"/>
  <c r="G17" i="56"/>
  <c r="F17" i="56"/>
  <c r="E17" i="56"/>
  <c r="D17" i="56"/>
  <c r="C17" i="56"/>
  <c r="B17" i="56"/>
  <c r="G16" i="56"/>
  <c r="F16" i="56"/>
  <c r="E16" i="56"/>
  <c r="D16" i="56"/>
  <c r="C16" i="56"/>
  <c r="B16" i="56"/>
  <c r="G74" i="55"/>
  <c r="F74" i="55"/>
  <c r="E74" i="55"/>
  <c r="D74" i="55"/>
  <c r="C74" i="55"/>
  <c r="B74" i="55"/>
  <c r="G73" i="55"/>
  <c r="F73" i="55"/>
  <c r="E73" i="55"/>
  <c r="D73" i="55"/>
  <c r="C73" i="55"/>
  <c r="B73" i="55"/>
  <c r="H72" i="55"/>
  <c r="H30" i="55"/>
  <c r="G29" i="55"/>
  <c r="F29" i="55"/>
  <c r="E29" i="55"/>
  <c r="D29" i="55"/>
  <c r="C29" i="55"/>
  <c r="B29" i="55"/>
  <c r="G28" i="55"/>
  <c r="F28" i="55"/>
  <c r="E28" i="55"/>
  <c r="D28" i="55"/>
  <c r="C28" i="55"/>
  <c r="B28" i="55"/>
  <c r="G27" i="55"/>
  <c r="F27" i="55"/>
  <c r="E27" i="55"/>
  <c r="D27" i="55"/>
  <c r="C27" i="55"/>
  <c r="B27" i="55"/>
  <c r="G26" i="55"/>
  <c r="F26" i="55"/>
  <c r="E26" i="55"/>
  <c r="D26" i="55"/>
  <c r="C26" i="55"/>
  <c r="B26" i="55"/>
  <c r="G25" i="55"/>
  <c r="F25" i="55"/>
  <c r="E25" i="55"/>
  <c r="D25" i="55"/>
  <c r="C25" i="55"/>
  <c r="B25" i="55"/>
  <c r="G24" i="55"/>
  <c r="F24" i="55"/>
  <c r="E24" i="55"/>
  <c r="D24" i="55"/>
  <c r="C24" i="55"/>
  <c r="B24" i="55"/>
  <c r="G23" i="55"/>
  <c r="F23" i="55"/>
  <c r="E23" i="55"/>
  <c r="D23" i="55"/>
  <c r="C23" i="55"/>
  <c r="B23" i="55"/>
  <c r="G22" i="55"/>
  <c r="F22" i="55"/>
  <c r="E22" i="55"/>
  <c r="D22" i="55"/>
  <c r="C22" i="55"/>
  <c r="B22" i="55"/>
  <c r="G21" i="55"/>
  <c r="F21" i="55"/>
  <c r="E21" i="55"/>
  <c r="D21" i="55"/>
  <c r="C21" i="55"/>
  <c r="B21" i="55"/>
  <c r="G20" i="55"/>
  <c r="F20" i="55"/>
  <c r="E20" i="55"/>
  <c r="D20" i="55"/>
  <c r="C20" i="55"/>
  <c r="B20" i="55"/>
  <c r="G19" i="55"/>
  <c r="F19" i="55"/>
  <c r="E19" i="55"/>
  <c r="D19" i="55"/>
  <c r="C19" i="55"/>
  <c r="B19" i="55"/>
  <c r="G18" i="55"/>
  <c r="F18" i="55"/>
  <c r="E18" i="55"/>
  <c r="D18" i="55"/>
  <c r="C18" i="55"/>
  <c r="B18" i="55"/>
  <c r="G17" i="55"/>
  <c r="F17" i="55"/>
  <c r="E17" i="55"/>
  <c r="D17" i="55"/>
  <c r="C17" i="55"/>
  <c r="B17" i="55"/>
  <c r="G16" i="55"/>
  <c r="F16" i="55"/>
  <c r="E16" i="55"/>
  <c r="D16" i="55"/>
  <c r="C16" i="55"/>
  <c r="B16" i="55"/>
  <c r="G74" i="54"/>
  <c r="F74" i="54"/>
  <c r="E74" i="54"/>
  <c r="D74" i="54"/>
  <c r="C74" i="54"/>
  <c r="B74" i="54"/>
  <c r="G73" i="54"/>
  <c r="F73" i="54"/>
  <c r="E73" i="54"/>
  <c r="D73" i="54"/>
  <c r="C73" i="54"/>
  <c r="B73" i="54"/>
  <c r="H72" i="54"/>
  <c r="H30" i="54"/>
  <c r="G29" i="54"/>
  <c r="F29" i="54"/>
  <c r="E29" i="54"/>
  <c r="D29" i="54"/>
  <c r="C29" i="54"/>
  <c r="B29" i="54"/>
  <c r="G28" i="54"/>
  <c r="F28" i="54"/>
  <c r="E28" i="54"/>
  <c r="D28" i="54"/>
  <c r="C28" i="54"/>
  <c r="B28" i="54"/>
  <c r="G27" i="54"/>
  <c r="F27" i="54"/>
  <c r="E27" i="54"/>
  <c r="D27" i="54"/>
  <c r="C27" i="54"/>
  <c r="B27" i="54"/>
  <c r="G26" i="54"/>
  <c r="F26" i="54"/>
  <c r="E26" i="54"/>
  <c r="D26" i="54"/>
  <c r="C26" i="54"/>
  <c r="B26" i="54"/>
  <c r="G25" i="54"/>
  <c r="F25" i="54"/>
  <c r="E25" i="54"/>
  <c r="D25" i="54"/>
  <c r="C25" i="54"/>
  <c r="B25" i="54"/>
  <c r="G24" i="54"/>
  <c r="F24" i="54"/>
  <c r="E24" i="54"/>
  <c r="D24" i="54"/>
  <c r="C24" i="54"/>
  <c r="B24" i="54"/>
  <c r="G23" i="54"/>
  <c r="F23" i="54"/>
  <c r="E23" i="54"/>
  <c r="D23" i="54"/>
  <c r="C23" i="54"/>
  <c r="B23" i="54"/>
  <c r="G22" i="54"/>
  <c r="F22" i="54"/>
  <c r="E22" i="54"/>
  <c r="D22" i="54"/>
  <c r="C22" i="54"/>
  <c r="B22" i="54"/>
  <c r="G21" i="54"/>
  <c r="F21" i="54"/>
  <c r="E21" i="54"/>
  <c r="D21" i="54"/>
  <c r="C21" i="54"/>
  <c r="B21" i="54"/>
  <c r="G20" i="54"/>
  <c r="F20" i="54"/>
  <c r="E20" i="54"/>
  <c r="D20" i="54"/>
  <c r="C20" i="54"/>
  <c r="B20" i="54"/>
  <c r="G19" i="54"/>
  <c r="F19" i="54"/>
  <c r="E19" i="54"/>
  <c r="D19" i="54"/>
  <c r="C19" i="54"/>
  <c r="B19" i="54"/>
  <c r="G18" i="54"/>
  <c r="F18" i="54"/>
  <c r="E18" i="54"/>
  <c r="D18" i="54"/>
  <c r="C18" i="54"/>
  <c r="B18" i="54"/>
  <c r="G17" i="54"/>
  <c r="F17" i="54"/>
  <c r="E17" i="54"/>
  <c r="D17" i="54"/>
  <c r="C17" i="54"/>
  <c r="B17" i="54"/>
  <c r="G16" i="54"/>
  <c r="F16" i="54"/>
  <c r="E16" i="54"/>
  <c r="D16" i="54"/>
  <c r="C16" i="54"/>
  <c r="B16" i="54"/>
  <c r="H30" i="53"/>
  <c r="G74" i="53"/>
  <c r="F74" i="53"/>
  <c r="E74" i="53"/>
  <c r="D74" i="53"/>
  <c r="C74" i="53"/>
  <c r="B74" i="53"/>
  <c r="G73" i="53"/>
  <c r="F73" i="53"/>
  <c r="E73" i="53"/>
  <c r="D73" i="53"/>
  <c r="C73" i="53"/>
  <c r="B73" i="53"/>
  <c r="H72" i="53"/>
  <c r="G29" i="53"/>
  <c r="F29" i="53"/>
  <c r="E29" i="53"/>
  <c r="D29" i="53"/>
  <c r="C29" i="53"/>
  <c r="B29" i="53"/>
  <c r="G28" i="53"/>
  <c r="F28" i="53"/>
  <c r="E28" i="53"/>
  <c r="D28" i="53"/>
  <c r="C28" i="53"/>
  <c r="B28" i="53"/>
  <c r="G27" i="53"/>
  <c r="F27" i="53"/>
  <c r="E27" i="53"/>
  <c r="D27" i="53"/>
  <c r="C27" i="53"/>
  <c r="B27" i="53"/>
  <c r="G26" i="53"/>
  <c r="F26" i="53"/>
  <c r="E26" i="53"/>
  <c r="D26" i="53"/>
  <c r="C26" i="53"/>
  <c r="B26" i="53"/>
  <c r="G25" i="53"/>
  <c r="F25" i="53"/>
  <c r="E25" i="53"/>
  <c r="D25" i="53"/>
  <c r="C25" i="53"/>
  <c r="B25" i="53"/>
  <c r="G24" i="53"/>
  <c r="F24" i="53"/>
  <c r="E24" i="53"/>
  <c r="D24" i="53"/>
  <c r="C24" i="53"/>
  <c r="B24" i="53"/>
  <c r="G23" i="53"/>
  <c r="F23" i="53"/>
  <c r="E23" i="53"/>
  <c r="D23" i="53"/>
  <c r="C23" i="53"/>
  <c r="B23" i="53"/>
  <c r="G22" i="53"/>
  <c r="F22" i="53"/>
  <c r="E22" i="53"/>
  <c r="D22" i="53"/>
  <c r="C22" i="53"/>
  <c r="B22" i="53"/>
  <c r="G21" i="53"/>
  <c r="F21" i="53"/>
  <c r="E21" i="53"/>
  <c r="D21" i="53"/>
  <c r="C21" i="53"/>
  <c r="B21" i="53"/>
  <c r="G20" i="53"/>
  <c r="F20" i="53"/>
  <c r="E20" i="53"/>
  <c r="D20" i="53"/>
  <c r="C20" i="53"/>
  <c r="B20" i="53"/>
  <c r="G19" i="53"/>
  <c r="F19" i="53"/>
  <c r="E19" i="53"/>
  <c r="D19" i="53"/>
  <c r="C19" i="53"/>
  <c r="B19" i="53"/>
  <c r="G18" i="53"/>
  <c r="F18" i="53"/>
  <c r="E18" i="53"/>
  <c r="D18" i="53"/>
  <c r="C18" i="53"/>
  <c r="B18" i="53"/>
  <c r="G17" i="53"/>
  <c r="F17" i="53"/>
  <c r="E17" i="53"/>
  <c r="D17" i="53"/>
  <c r="C17" i="53"/>
  <c r="B17" i="53"/>
  <c r="G16" i="53"/>
  <c r="F16" i="53"/>
  <c r="E16" i="53"/>
  <c r="D16" i="53"/>
  <c r="C16" i="53"/>
  <c r="B16" i="53"/>
  <c r="G74" i="52"/>
  <c r="F74" i="52"/>
  <c r="E74" i="52"/>
  <c r="D74" i="52"/>
  <c r="C74" i="52"/>
  <c r="B74" i="52"/>
  <c r="G73" i="52"/>
  <c r="F73" i="52"/>
  <c r="E73" i="52"/>
  <c r="D73" i="52"/>
  <c r="C73" i="52"/>
  <c r="B73" i="52"/>
  <c r="H72" i="52"/>
  <c r="H30" i="52"/>
  <c r="G29" i="52"/>
  <c r="F29" i="52"/>
  <c r="E29" i="52"/>
  <c r="D29" i="52"/>
  <c r="C29" i="52"/>
  <c r="B29" i="52"/>
  <c r="G28" i="52"/>
  <c r="F28" i="52"/>
  <c r="E28" i="52"/>
  <c r="D28" i="52"/>
  <c r="C28" i="52"/>
  <c r="B28" i="52"/>
  <c r="G27" i="52"/>
  <c r="F27" i="52"/>
  <c r="E27" i="52"/>
  <c r="D27" i="52"/>
  <c r="C27" i="52"/>
  <c r="B27" i="52"/>
  <c r="G26" i="52"/>
  <c r="F26" i="52"/>
  <c r="E26" i="52"/>
  <c r="D26" i="52"/>
  <c r="C26" i="52"/>
  <c r="B26" i="52"/>
  <c r="G25" i="52"/>
  <c r="F25" i="52"/>
  <c r="E25" i="52"/>
  <c r="D25" i="52"/>
  <c r="C25" i="52"/>
  <c r="B25" i="52"/>
  <c r="G24" i="52"/>
  <c r="F24" i="52"/>
  <c r="E24" i="52"/>
  <c r="D24" i="52"/>
  <c r="C24" i="52"/>
  <c r="B24" i="52"/>
  <c r="G23" i="52"/>
  <c r="F23" i="52"/>
  <c r="E23" i="52"/>
  <c r="D23" i="52"/>
  <c r="C23" i="52"/>
  <c r="B23" i="52"/>
  <c r="G22" i="52"/>
  <c r="F22" i="52"/>
  <c r="E22" i="52"/>
  <c r="D22" i="52"/>
  <c r="C22" i="52"/>
  <c r="B22" i="52"/>
  <c r="G21" i="52"/>
  <c r="F21" i="52"/>
  <c r="E21" i="52"/>
  <c r="D21" i="52"/>
  <c r="C21" i="52"/>
  <c r="B21" i="52"/>
  <c r="G20" i="52"/>
  <c r="F20" i="52"/>
  <c r="E20" i="52"/>
  <c r="D20" i="52"/>
  <c r="C20" i="52"/>
  <c r="B20" i="52"/>
  <c r="G19" i="52"/>
  <c r="F19" i="52"/>
  <c r="E19" i="52"/>
  <c r="D19" i="52"/>
  <c r="C19" i="52"/>
  <c r="B19" i="52"/>
  <c r="G18" i="52"/>
  <c r="F18" i="52"/>
  <c r="E18" i="52"/>
  <c r="D18" i="52"/>
  <c r="C18" i="52"/>
  <c r="B18" i="52"/>
  <c r="G17" i="52"/>
  <c r="F17" i="52"/>
  <c r="E17" i="52"/>
  <c r="D17" i="52"/>
  <c r="C17" i="52"/>
  <c r="B17" i="52"/>
  <c r="G16" i="52"/>
  <c r="F16" i="52"/>
  <c r="E16" i="52"/>
  <c r="D16" i="52"/>
  <c r="C16" i="52"/>
  <c r="B16" i="52"/>
  <c r="G74" i="51"/>
  <c r="F74" i="51"/>
  <c r="E74" i="51"/>
  <c r="D74" i="51"/>
  <c r="C74" i="51"/>
  <c r="B74" i="51"/>
  <c r="G73" i="51"/>
  <c r="F73" i="51"/>
  <c r="E73" i="51"/>
  <c r="D73" i="51"/>
  <c r="C73" i="51"/>
  <c r="B73" i="51"/>
  <c r="H72" i="51"/>
  <c r="H30" i="51"/>
  <c r="G29" i="51"/>
  <c r="F29" i="51"/>
  <c r="E29" i="51"/>
  <c r="D29" i="51"/>
  <c r="C29" i="51"/>
  <c r="B29" i="51"/>
  <c r="G28" i="51"/>
  <c r="F28" i="51"/>
  <c r="E28" i="51"/>
  <c r="D28" i="51"/>
  <c r="C28" i="51"/>
  <c r="B28" i="51"/>
  <c r="G27" i="51"/>
  <c r="F27" i="51"/>
  <c r="E27" i="51"/>
  <c r="D27" i="51"/>
  <c r="C27" i="51"/>
  <c r="B27" i="51"/>
  <c r="G26" i="51"/>
  <c r="F26" i="51"/>
  <c r="E26" i="51"/>
  <c r="D26" i="51"/>
  <c r="C26" i="51"/>
  <c r="B26" i="51"/>
  <c r="G25" i="51"/>
  <c r="F25" i="51"/>
  <c r="E25" i="51"/>
  <c r="D25" i="51"/>
  <c r="C25" i="51"/>
  <c r="B25" i="51"/>
  <c r="G24" i="51"/>
  <c r="F24" i="51"/>
  <c r="E24" i="51"/>
  <c r="D24" i="51"/>
  <c r="C24" i="51"/>
  <c r="B24" i="51"/>
  <c r="G23" i="51"/>
  <c r="F23" i="51"/>
  <c r="E23" i="51"/>
  <c r="D23" i="51"/>
  <c r="C23" i="51"/>
  <c r="B23" i="51"/>
  <c r="G22" i="51"/>
  <c r="F22" i="51"/>
  <c r="E22" i="51"/>
  <c r="D22" i="51"/>
  <c r="C22" i="51"/>
  <c r="B22" i="51"/>
  <c r="G21" i="51"/>
  <c r="F21" i="51"/>
  <c r="E21" i="51"/>
  <c r="D21" i="51"/>
  <c r="C21" i="51"/>
  <c r="B21" i="51"/>
  <c r="G20" i="51"/>
  <c r="F20" i="51"/>
  <c r="E20" i="51"/>
  <c r="D20" i="51"/>
  <c r="C20" i="51"/>
  <c r="B20" i="51"/>
  <c r="G19" i="51"/>
  <c r="F19" i="51"/>
  <c r="E19" i="51"/>
  <c r="D19" i="51"/>
  <c r="C19" i="51"/>
  <c r="B19" i="51"/>
  <c r="G18" i="51"/>
  <c r="F18" i="51"/>
  <c r="E18" i="51"/>
  <c r="D18" i="51"/>
  <c r="C18" i="51"/>
  <c r="B18" i="51"/>
  <c r="G17" i="51"/>
  <c r="F17" i="51"/>
  <c r="E17" i="51"/>
  <c r="D17" i="51"/>
  <c r="C17" i="51"/>
  <c r="B17" i="51"/>
  <c r="G16" i="51"/>
  <c r="F16" i="51"/>
  <c r="E16" i="51"/>
  <c r="D16" i="51"/>
  <c r="C16" i="51"/>
  <c r="B16" i="51"/>
  <c r="G74" i="50"/>
  <c r="F74" i="50"/>
  <c r="E74" i="50"/>
  <c r="D74" i="50"/>
  <c r="C74" i="50"/>
  <c r="B74" i="50"/>
  <c r="G73" i="50"/>
  <c r="F73" i="50"/>
  <c r="E73" i="50"/>
  <c r="D73" i="50"/>
  <c r="C73" i="50"/>
  <c r="B73" i="50"/>
  <c r="H72" i="50"/>
  <c r="H30" i="50"/>
  <c r="G29" i="50"/>
  <c r="F29" i="50"/>
  <c r="E29" i="50"/>
  <c r="D29" i="50"/>
  <c r="C29" i="50"/>
  <c r="B29" i="50"/>
  <c r="G28" i="50"/>
  <c r="F28" i="50"/>
  <c r="E28" i="50"/>
  <c r="D28" i="50"/>
  <c r="C28" i="50"/>
  <c r="B28" i="50"/>
  <c r="G27" i="50"/>
  <c r="F27" i="50"/>
  <c r="E27" i="50"/>
  <c r="D27" i="50"/>
  <c r="C27" i="50"/>
  <c r="B27" i="50"/>
  <c r="G26" i="50"/>
  <c r="F26" i="50"/>
  <c r="E26" i="50"/>
  <c r="D26" i="50"/>
  <c r="C26" i="50"/>
  <c r="B26" i="50"/>
  <c r="G25" i="50"/>
  <c r="F25" i="50"/>
  <c r="E25" i="50"/>
  <c r="D25" i="50"/>
  <c r="C25" i="50"/>
  <c r="B25" i="50"/>
  <c r="G24" i="50"/>
  <c r="F24" i="50"/>
  <c r="E24" i="50"/>
  <c r="D24" i="50"/>
  <c r="C24" i="50"/>
  <c r="B24" i="50"/>
  <c r="G23" i="50"/>
  <c r="F23" i="50"/>
  <c r="E23" i="50"/>
  <c r="D23" i="50"/>
  <c r="C23" i="50"/>
  <c r="B23" i="50"/>
  <c r="G22" i="50"/>
  <c r="F22" i="50"/>
  <c r="E22" i="50"/>
  <c r="D22" i="50"/>
  <c r="C22" i="50"/>
  <c r="B22" i="50"/>
  <c r="G21" i="50"/>
  <c r="F21" i="50"/>
  <c r="E21" i="50"/>
  <c r="D21" i="50"/>
  <c r="C21" i="50"/>
  <c r="B21" i="50"/>
  <c r="G20" i="50"/>
  <c r="F20" i="50"/>
  <c r="E20" i="50"/>
  <c r="D20" i="50"/>
  <c r="C20" i="50"/>
  <c r="B20" i="50"/>
  <c r="G19" i="50"/>
  <c r="F19" i="50"/>
  <c r="E19" i="50"/>
  <c r="D19" i="50"/>
  <c r="C19" i="50"/>
  <c r="B19" i="50"/>
  <c r="G18" i="50"/>
  <c r="F18" i="50"/>
  <c r="E18" i="50"/>
  <c r="D18" i="50"/>
  <c r="C18" i="50"/>
  <c r="B18" i="50"/>
  <c r="G17" i="50"/>
  <c r="F17" i="50"/>
  <c r="E17" i="50"/>
  <c r="D17" i="50"/>
  <c r="C17" i="50"/>
  <c r="B17" i="50"/>
  <c r="G16" i="50"/>
  <c r="F16" i="50"/>
  <c r="E16" i="50"/>
  <c r="D16" i="50"/>
  <c r="C16" i="50"/>
  <c r="B16" i="50"/>
  <c r="H20" i="53" l="1"/>
  <c r="H22" i="53"/>
  <c r="H17" i="53"/>
  <c r="H17" i="57"/>
  <c r="H23" i="52"/>
  <c r="H23" i="56"/>
  <c r="H22" i="50"/>
  <c r="H16" i="54"/>
  <c r="H21" i="55"/>
  <c r="H29" i="53"/>
  <c r="H74" i="56"/>
  <c r="H74" i="53"/>
  <c r="H74" i="51"/>
  <c r="H23" i="57"/>
  <c r="H16" i="57"/>
  <c r="H21" i="57"/>
  <c r="H74" i="57"/>
  <c r="H20" i="57"/>
  <c r="H22" i="57"/>
  <c r="H29" i="57"/>
  <c r="H16" i="56"/>
  <c r="H21" i="56"/>
  <c r="H20" i="56"/>
  <c r="H22" i="56"/>
  <c r="H17" i="56"/>
  <c r="H74" i="55"/>
  <c r="H16" i="55"/>
  <c r="H20" i="55"/>
  <c r="H22" i="55"/>
  <c r="H23" i="55"/>
  <c r="H29" i="55"/>
  <c r="H17" i="55"/>
  <c r="H22" i="54"/>
  <c r="H17" i="54"/>
  <c r="H20" i="54"/>
  <c r="H23" i="54"/>
  <c r="H29" i="54"/>
  <c r="H21" i="54"/>
  <c r="H74" i="54"/>
  <c r="H21" i="53"/>
  <c r="H23" i="53"/>
  <c r="H16" i="53"/>
  <c r="H16" i="52"/>
  <c r="H21" i="52"/>
  <c r="H74" i="52"/>
  <c r="H20" i="52"/>
  <c r="H22" i="52"/>
  <c r="H29" i="52"/>
  <c r="H17" i="52"/>
  <c r="H16" i="51"/>
  <c r="H20" i="51"/>
  <c r="H22" i="51"/>
  <c r="H23" i="51"/>
  <c r="H29" i="51"/>
  <c r="H17" i="51"/>
  <c r="H21" i="51"/>
  <c r="H17" i="50"/>
  <c r="H23" i="50"/>
  <c r="H29" i="50"/>
  <c r="H21" i="50"/>
  <c r="H74" i="50"/>
  <c r="H20" i="50"/>
  <c r="H16" i="50"/>
  <c r="H29" i="56"/>
  <c r="E76" i="1"/>
  <c r="E75" i="1"/>
  <c r="E74" i="1"/>
  <c r="E73" i="1"/>
  <c r="E72" i="1"/>
  <c r="E71" i="1"/>
  <c r="E70" i="1"/>
  <c r="E69" i="1"/>
  <c r="E68" i="1"/>
  <c r="E63" i="1"/>
  <c r="E62" i="1"/>
  <c r="E61" i="1"/>
  <c r="E60" i="1"/>
  <c r="E59" i="1"/>
  <c r="E58" i="1"/>
  <c r="E57" i="1"/>
  <c r="E56" i="1"/>
  <c r="E55" i="1"/>
  <c r="G76" i="57" l="1"/>
  <c r="F76" i="57"/>
  <c r="C76" i="57"/>
  <c r="B76" i="57"/>
  <c r="G75" i="57"/>
  <c r="F75" i="57"/>
  <c r="E75" i="57"/>
  <c r="C75" i="57"/>
  <c r="B75" i="57"/>
  <c r="F56" i="57"/>
  <c r="B56" i="57"/>
  <c r="G42" i="57"/>
  <c r="G41" i="57"/>
  <c r="G38" i="57"/>
  <c r="G37" i="57"/>
  <c r="G56" i="57"/>
  <c r="D56" i="57"/>
  <c r="C56" i="57"/>
  <c r="D50" i="57"/>
  <c r="H59" i="57"/>
  <c r="E50" i="57"/>
  <c r="G49" i="57"/>
  <c r="D49" i="57"/>
  <c r="C49" i="57"/>
  <c r="G50" i="57"/>
  <c r="F50" i="57"/>
  <c r="C50" i="57"/>
  <c r="B50" i="57"/>
  <c r="F49" i="57"/>
  <c r="E49" i="57"/>
  <c r="B49" i="57"/>
  <c r="E56" i="57"/>
  <c r="F48" i="57"/>
  <c r="F52" i="57" s="1"/>
  <c r="B48" i="57"/>
  <c r="G48" i="57"/>
  <c r="G52" i="57" s="1"/>
  <c r="E48" i="57"/>
  <c r="E52" i="57" s="1"/>
  <c r="D48" i="57"/>
  <c r="D52" i="57" s="1"/>
  <c r="G76" i="56"/>
  <c r="F76" i="56"/>
  <c r="C76" i="56"/>
  <c r="B76" i="56"/>
  <c r="G75" i="56"/>
  <c r="F75" i="56"/>
  <c r="E75" i="56"/>
  <c r="C75" i="56"/>
  <c r="B75" i="56"/>
  <c r="F56" i="56"/>
  <c r="B56" i="56"/>
  <c r="G42" i="56"/>
  <c r="G41" i="56"/>
  <c r="G38" i="56"/>
  <c r="G37" i="56"/>
  <c r="G56" i="56"/>
  <c r="E56" i="56"/>
  <c r="D56" i="56"/>
  <c r="C56" i="56"/>
  <c r="D50" i="56"/>
  <c r="E50" i="56"/>
  <c r="G49" i="56"/>
  <c r="D49" i="56"/>
  <c r="C49" i="56"/>
  <c r="G50" i="56"/>
  <c r="F50" i="56"/>
  <c r="C50" i="56"/>
  <c r="B50" i="56"/>
  <c r="F49" i="56"/>
  <c r="E49" i="56"/>
  <c r="B49" i="56"/>
  <c r="D75" i="56"/>
  <c r="F48" i="56"/>
  <c r="F52" i="56" s="1"/>
  <c r="B48" i="56"/>
  <c r="G48" i="56"/>
  <c r="G52" i="56" s="1"/>
  <c r="E48" i="56"/>
  <c r="E52" i="56" s="1"/>
  <c r="D48" i="56"/>
  <c r="D52" i="56" s="1"/>
  <c r="C48" i="56"/>
  <c r="C52" i="56" s="1"/>
  <c r="G76" i="55"/>
  <c r="F76" i="55"/>
  <c r="C76" i="55"/>
  <c r="B76" i="55"/>
  <c r="G75" i="55"/>
  <c r="F75" i="55"/>
  <c r="E75" i="55"/>
  <c r="C75" i="55"/>
  <c r="B75" i="55"/>
  <c r="F56" i="55"/>
  <c r="B56" i="55"/>
  <c r="G42" i="55"/>
  <c r="G41" i="55"/>
  <c r="G38" i="55"/>
  <c r="G37" i="55"/>
  <c r="G56" i="55"/>
  <c r="E56" i="55"/>
  <c r="D56" i="55"/>
  <c r="C56" i="55"/>
  <c r="D50" i="55"/>
  <c r="E50" i="55"/>
  <c r="G49" i="55"/>
  <c r="D49" i="55"/>
  <c r="C49" i="55"/>
  <c r="G50" i="55"/>
  <c r="F50" i="55"/>
  <c r="C50" i="55"/>
  <c r="B50" i="55"/>
  <c r="F49" i="55"/>
  <c r="E49" i="55"/>
  <c r="B49" i="55"/>
  <c r="F48" i="55"/>
  <c r="F52" i="55" s="1"/>
  <c r="B48" i="55"/>
  <c r="G48" i="55"/>
  <c r="E48" i="55"/>
  <c r="E52" i="55" s="1"/>
  <c r="D48" i="55"/>
  <c r="D52" i="55" s="1"/>
  <c r="C48" i="55"/>
  <c r="C52" i="55" s="1"/>
  <c r="E76" i="54"/>
  <c r="D76" i="54"/>
  <c r="G75" i="54"/>
  <c r="E75" i="54"/>
  <c r="D75" i="54"/>
  <c r="C75" i="54"/>
  <c r="D56" i="54"/>
  <c r="G42" i="54"/>
  <c r="G41" i="54"/>
  <c r="G38" i="54"/>
  <c r="G37" i="54"/>
  <c r="G56" i="54"/>
  <c r="F56" i="54"/>
  <c r="E56" i="54"/>
  <c r="C56" i="54"/>
  <c r="F50" i="54"/>
  <c r="B50" i="54"/>
  <c r="G50" i="54"/>
  <c r="C50" i="54"/>
  <c r="F49" i="54"/>
  <c r="E49" i="54"/>
  <c r="B49" i="54"/>
  <c r="E50" i="54"/>
  <c r="D50" i="54"/>
  <c r="G49" i="54"/>
  <c r="D49" i="54"/>
  <c r="G76" i="54"/>
  <c r="F76" i="54"/>
  <c r="C76" i="54"/>
  <c r="D48" i="54"/>
  <c r="D52" i="54" s="1"/>
  <c r="G48" i="54"/>
  <c r="F48" i="54"/>
  <c r="F52" i="54" s="1"/>
  <c r="E48" i="54"/>
  <c r="E52" i="54" s="1"/>
  <c r="C48" i="54"/>
  <c r="C52" i="54" s="1"/>
  <c r="H50" i="55" l="1"/>
  <c r="H49" i="56"/>
  <c r="H50" i="54"/>
  <c r="H49" i="55"/>
  <c r="H48" i="56"/>
  <c r="H52" i="56" s="1"/>
  <c r="H50" i="57"/>
  <c r="H49" i="57"/>
  <c r="H48" i="55"/>
  <c r="H50" i="56"/>
  <c r="G52" i="55"/>
  <c r="G52" i="54"/>
  <c r="E76" i="55"/>
  <c r="E76" i="56"/>
  <c r="D75" i="57"/>
  <c r="D75" i="55"/>
  <c r="B75" i="54"/>
  <c r="B52" i="57"/>
  <c r="D51" i="57"/>
  <c r="D53" i="57"/>
  <c r="C53" i="57"/>
  <c r="G51" i="57"/>
  <c r="G53" i="57"/>
  <c r="E53" i="57"/>
  <c r="E51" i="57"/>
  <c r="B53" i="57"/>
  <c r="B51" i="57"/>
  <c r="F53" i="57"/>
  <c r="F51" i="57"/>
  <c r="D76" i="57"/>
  <c r="H56" i="57"/>
  <c r="C48" i="57"/>
  <c r="C52" i="57" s="1"/>
  <c r="E76" i="57"/>
  <c r="H59" i="56"/>
  <c r="H76" i="57"/>
  <c r="B52" i="56"/>
  <c r="C53" i="56"/>
  <c r="C51" i="56"/>
  <c r="G51" i="56"/>
  <c r="G53" i="56"/>
  <c r="D51" i="56"/>
  <c r="D53" i="56"/>
  <c r="E53" i="56"/>
  <c r="E51" i="56"/>
  <c r="B53" i="56"/>
  <c r="B51" i="56"/>
  <c r="F53" i="56"/>
  <c r="F51" i="56"/>
  <c r="D76" i="56"/>
  <c r="H56" i="56"/>
  <c r="H59" i="55"/>
  <c r="H76" i="56"/>
  <c r="H59" i="54"/>
  <c r="G51" i="55"/>
  <c r="G53" i="55"/>
  <c r="D51" i="55"/>
  <c r="D53" i="55"/>
  <c r="B52" i="55"/>
  <c r="C53" i="55"/>
  <c r="C51" i="55"/>
  <c r="E53" i="55"/>
  <c r="E51" i="55"/>
  <c r="B53" i="55"/>
  <c r="B51" i="55"/>
  <c r="F53" i="55"/>
  <c r="F51" i="55"/>
  <c r="D76" i="55"/>
  <c r="E51" i="54"/>
  <c r="E53" i="54"/>
  <c r="B53" i="54"/>
  <c r="F51" i="54"/>
  <c r="F53" i="54"/>
  <c r="G51" i="54"/>
  <c r="G53" i="54"/>
  <c r="D53" i="54"/>
  <c r="D51" i="54"/>
  <c r="B76" i="54"/>
  <c r="F75" i="54"/>
  <c r="H56" i="54"/>
  <c r="B48" i="54"/>
  <c r="C49" i="54"/>
  <c r="H49" i="54" s="1"/>
  <c r="B56" i="54"/>
  <c r="E76" i="53"/>
  <c r="G75" i="53"/>
  <c r="E75" i="53"/>
  <c r="D75" i="53"/>
  <c r="C75" i="53"/>
  <c r="G42" i="53"/>
  <c r="G41" i="53"/>
  <c r="G38" i="53"/>
  <c r="G37" i="53"/>
  <c r="G56" i="53"/>
  <c r="E56" i="53"/>
  <c r="C56" i="53"/>
  <c r="F50" i="53"/>
  <c r="B50" i="53"/>
  <c r="E49" i="53"/>
  <c r="G50" i="53"/>
  <c r="E50" i="53"/>
  <c r="C50" i="53"/>
  <c r="G49" i="53"/>
  <c r="F49" i="53"/>
  <c r="D49" i="53"/>
  <c r="B49" i="53"/>
  <c r="D56" i="53"/>
  <c r="F48" i="53"/>
  <c r="F52" i="53" s="1"/>
  <c r="D48" i="53"/>
  <c r="D52" i="53" s="1"/>
  <c r="B48" i="53"/>
  <c r="G48" i="53"/>
  <c r="E48" i="53"/>
  <c r="E52" i="53" s="1"/>
  <c r="C48" i="53"/>
  <c r="C52" i="53" s="1"/>
  <c r="E76" i="52"/>
  <c r="G75" i="52"/>
  <c r="E75" i="52"/>
  <c r="D75" i="52"/>
  <c r="C75" i="52"/>
  <c r="G42" i="52"/>
  <c r="G41" i="52"/>
  <c r="G38" i="52"/>
  <c r="G37" i="52"/>
  <c r="G56" i="52"/>
  <c r="F56" i="52"/>
  <c r="E56" i="52"/>
  <c r="C56" i="52"/>
  <c r="F50" i="52"/>
  <c r="B50" i="52"/>
  <c r="G50" i="52"/>
  <c r="C50" i="52"/>
  <c r="F49" i="52"/>
  <c r="B49" i="52"/>
  <c r="E50" i="52"/>
  <c r="G49" i="52"/>
  <c r="E49" i="52"/>
  <c r="D49" i="52"/>
  <c r="D56" i="52"/>
  <c r="D48" i="52"/>
  <c r="D52" i="52" s="1"/>
  <c r="G48" i="52"/>
  <c r="F48" i="52"/>
  <c r="F52" i="52" s="1"/>
  <c r="E48" i="52"/>
  <c r="E52" i="52" s="1"/>
  <c r="C48" i="52"/>
  <c r="C52" i="52" s="1"/>
  <c r="E76" i="51"/>
  <c r="G75" i="51"/>
  <c r="E75" i="51"/>
  <c r="D75" i="51"/>
  <c r="C75" i="51"/>
  <c r="G42" i="51"/>
  <c r="G41" i="51"/>
  <c r="G38" i="51"/>
  <c r="G37" i="51"/>
  <c r="G56" i="51"/>
  <c r="E56" i="51"/>
  <c r="C56" i="51"/>
  <c r="G50" i="51"/>
  <c r="F50" i="51"/>
  <c r="E50" i="51"/>
  <c r="C50" i="51"/>
  <c r="B50" i="51"/>
  <c r="G49" i="51"/>
  <c r="F49" i="51"/>
  <c r="E49" i="51"/>
  <c r="D49" i="51"/>
  <c r="B49" i="51"/>
  <c r="D56" i="51"/>
  <c r="F48" i="51"/>
  <c r="F52" i="51" s="1"/>
  <c r="D48" i="51"/>
  <c r="D52" i="51" s="1"/>
  <c r="B48" i="51"/>
  <c r="G48" i="51"/>
  <c r="E48" i="51"/>
  <c r="E52" i="51" s="1"/>
  <c r="C48" i="51"/>
  <c r="C52" i="51" s="1"/>
  <c r="F76" i="50"/>
  <c r="E76" i="50"/>
  <c r="B76" i="50"/>
  <c r="F75" i="50"/>
  <c r="E75" i="50"/>
  <c r="B75" i="50"/>
  <c r="E56" i="50"/>
  <c r="G50" i="50"/>
  <c r="F49" i="50"/>
  <c r="B48" i="50"/>
  <c r="G42" i="50"/>
  <c r="G41" i="50"/>
  <c r="G38" i="50"/>
  <c r="G37" i="50"/>
  <c r="F56" i="50"/>
  <c r="D50" i="50"/>
  <c r="C50" i="50"/>
  <c r="G49" i="50"/>
  <c r="C49" i="50"/>
  <c r="B49" i="50"/>
  <c r="F50" i="50"/>
  <c r="E50" i="50"/>
  <c r="D49" i="50"/>
  <c r="E48" i="50"/>
  <c r="E52" i="50" s="1"/>
  <c r="F48" i="50"/>
  <c r="F52" i="50" s="1"/>
  <c r="D48" i="50"/>
  <c r="D52" i="50" s="1"/>
  <c r="G19" i="67" l="1"/>
  <c r="G22" i="67" s="1"/>
  <c r="G19" i="66"/>
  <c r="G19" i="65"/>
  <c r="G22" i="65" s="1"/>
  <c r="G19" i="64"/>
  <c r="G22" i="64" s="1"/>
  <c r="G19" i="63"/>
  <c r="G22" i="63" s="1"/>
  <c r="G19" i="62"/>
  <c r="G22" i="62" s="1"/>
  <c r="G19" i="61"/>
  <c r="G22" i="61" s="1"/>
  <c r="G19" i="60"/>
  <c r="G22" i="60" s="1"/>
  <c r="H48" i="51"/>
  <c r="H48" i="53"/>
  <c r="G19" i="59"/>
  <c r="G22" i="59" s="1"/>
  <c r="B52" i="50"/>
  <c r="B51" i="54"/>
  <c r="H48" i="54"/>
  <c r="H52" i="54" s="1"/>
  <c r="H48" i="57"/>
  <c r="H52" i="57" s="1"/>
  <c r="G52" i="53"/>
  <c r="G52" i="52"/>
  <c r="G52" i="51"/>
  <c r="B75" i="52"/>
  <c r="F75" i="52"/>
  <c r="C76" i="51"/>
  <c r="G76" i="51"/>
  <c r="C76" i="53"/>
  <c r="G76" i="53"/>
  <c r="D76" i="50"/>
  <c r="B75" i="51"/>
  <c r="F75" i="51"/>
  <c r="C76" i="52"/>
  <c r="G76" i="52"/>
  <c r="B75" i="53"/>
  <c r="F75" i="53"/>
  <c r="H53" i="57"/>
  <c r="C51" i="57"/>
  <c r="H56" i="55"/>
  <c r="H51" i="56"/>
  <c r="H53" i="56"/>
  <c r="H76" i="55"/>
  <c r="H51" i="55"/>
  <c r="H53" i="55"/>
  <c r="H52" i="55"/>
  <c r="H59" i="53"/>
  <c r="H76" i="54"/>
  <c r="C53" i="54"/>
  <c r="C51" i="54"/>
  <c r="H53" i="54"/>
  <c r="H59" i="50"/>
  <c r="B52" i="54"/>
  <c r="F53" i="53"/>
  <c r="F51" i="53"/>
  <c r="B52" i="53"/>
  <c r="E53" i="53"/>
  <c r="E51" i="53"/>
  <c r="B53" i="53"/>
  <c r="B51" i="53"/>
  <c r="G51" i="53"/>
  <c r="G53" i="53"/>
  <c r="H56" i="53"/>
  <c r="C49" i="53"/>
  <c r="H49" i="53" s="1"/>
  <c r="D50" i="53"/>
  <c r="D53" i="53" s="1"/>
  <c r="B56" i="53"/>
  <c r="F56" i="53"/>
  <c r="D76" i="53"/>
  <c r="H59" i="52"/>
  <c r="B76" i="53"/>
  <c r="F76" i="53"/>
  <c r="B53" i="52"/>
  <c r="F53" i="52"/>
  <c r="F51" i="52"/>
  <c r="G51" i="52"/>
  <c r="G53" i="52"/>
  <c r="E53" i="52"/>
  <c r="E51" i="52"/>
  <c r="B48" i="52"/>
  <c r="C49" i="52"/>
  <c r="H49" i="52" s="1"/>
  <c r="D50" i="52"/>
  <c r="D51" i="52" s="1"/>
  <c r="B56" i="52"/>
  <c r="D76" i="52"/>
  <c r="H59" i="51"/>
  <c r="B76" i="52"/>
  <c r="F76" i="52"/>
  <c r="E53" i="51"/>
  <c r="E51" i="51"/>
  <c r="B53" i="51"/>
  <c r="B51" i="51"/>
  <c r="F53" i="51"/>
  <c r="F51" i="51"/>
  <c r="B52" i="51"/>
  <c r="G51" i="51"/>
  <c r="G53" i="51"/>
  <c r="H56" i="51"/>
  <c r="C49" i="51"/>
  <c r="H49" i="51" s="1"/>
  <c r="D50" i="51"/>
  <c r="D53" i="51" s="1"/>
  <c r="B56" i="51"/>
  <c r="F56" i="51"/>
  <c r="D76" i="51"/>
  <c r="B76" i="51"/>
  <c r="F76" i="51"/>
  <c r="F53" i="50"/>
  <c r="G53" i="50"/>
  <c r="C53" i="50"/>
  <c r="C76" i="50"/>
  <c r="C75" i="50"/>
  <c r="D53" i="50"/>
  <c r="C56" i="50"/>
  <c r="G56" i="50"/>
  <c r="C48" i="50"/>
  <c r="C52" i="50" s="1"/>
  <c r="G48" i="50"/>
  <c r="B56" i="50"/>
  <c r="D51" i="50"/>
  <c r="G76" i="50"/>
  <c r="G75" i="50"/>
  <c r="E49" i="50"/>
  <c r="H49" i="50" s="1"/>
  <c r="B50" i="50"/>
  <c r="H50" i="50" s="1"/>
  <c r="D56" i="50"/>
  <c r="F51" i="50"/>
  <c r="D75" i="50"/>
  <c r="G74" i="49"/>
  <c r="F74" i="49"/>
  <c r="E74" i="49"/>
  <c r="D74" i="49"/>
  <c r="C74" i="49"/>
  <c r="B74" i="49"/>
  <c r="G73" i="49"/>
  <c r="F73" i="49"/>
  <c r="E73" i="49"/>
  <c r="D73" i="49"/>
  <c r="C73" i="49"/>
  <c r="B73" i="49"/>
  <c r="H72" i="49"/>
  <c r="H30" i="49"/>
  <c r="G29" i="49"/>
  <c r="F29" i="49"/>
  <c r="E29" i="49"/>
  <c r="D29" i="49"/>
  <c r="C29" i="49"/>
  <c r="B29" i="49"/>
  <c r="G28" i="49"/>
  <c r="F28" i="49"/>
  <c r="E28" i="49"/>
  <c r="D28" i="49"/>
  <c r="C28" i="49"/>
  <c r="B28" i="49"/>
  <c r="G27" i="49"/>
  <c r="F27" i="49"/>
  <c r="E27" i="49"/>
  <c r="D27" i="49"/>
  <c r="C27" i="49"/>
  <c r="B27" i="49"/>
  <c r="G26" i="49"/>
  <c r="F26" i="49"/>
  <c r="E26" i="49"/>
  <c r="D26" i="49"/>
  <c r="C26" i="49"/>
  <c r="B26" i="49"/>
  <c r="G25" i="49"/>
  <c r="F25" i="49"/>
  <c r="E25" i="49"/>
  <c r="D25" i="49"/>
  <c r="C25" i="49"/>
  <c r="B25" i="49"/>
  <c r="G24" i="49"/>
  <c r="F24" i="49"/>
  <c r="E24" i="49"/>
  <c r="D24" i="49"/>
  <c r="C24" i="49"/>
  <c r="B24" i="49"/>
  <c r="G23" i="49"/>
  <c r="F23" i="49"/>
  <c r="E23" i="49"/>
  <c r="D23" i="49"/>
  <c r="C23" i="49"/>
  <c r="B23" i="49"/>
  <c r="G22" i="49"/>
  <c r="F22" i="49"/>
  <c r="E22" i="49"/>
  <c r="D22" i="49"/>
  <c r="C22" i="49"/>
  <c r="B22" i="49"/>
  <c r="G21" i="49"/>
  <c r="F21" i="49"/>
  <c r="E21" i="49"/>
  <c r="D21" i="49"/>
  <c r="C21" i="49"/>
  <c r="B21" i="49"/>
  <c r="G20" i="49"/>
  <c r="F20" i="49"/>
  <c r="E20" i="49"/>
  <c r="D20" i="49"/>
  <c r="C20" i="49"/>
  <c r="B20" i="49"/>
  <c r="G19" i="49"/>
  <c r="F19" i="49"/>
  <c r="E19" i="49"/>
  <c r="D19" i="49"/>
  <c r="C19" i="49"/>
  <c r="B19" i="49"/>
  <c r="G18" i="49"/>
  <c r="F18" i="49"/>
  <c r="E18" i="49"/>
  <c r="D18" i="49"/>
  <c r="C18" i="49"/>
  <c r="B18" i="49"/>
  <c r="G17" i="49"/>
  <c r="F17" i="49"/>
  <c r="E17" i="49"/>
  <c r="D17" i="49"/>
  <c r="C17" i="49"/>
  <c r="B17" i="49"/>
  <c r="G16" i="49"/>
  <c r="F16" i="49"/>
  <c r="E16" i="49"/>
  <c r="D16" i="49"/>
  <c r="C16" i="49"/>
  <c r="B16" i="49"/>
  <c r="G42" i="49"/>
  <c r="G41" i="49"/>
  <c r="G38" i="49"/>
  <c r="G37" i="49"/>
  <c r="G49" i="49" l="1"/>
  <c r="F49" i="49"/>
  <c r="C49" i="49"/>
  <c r="C51" i="49" s="1"/>
  <c r="D50" i="49"/>
  <c r="H20" i="49"/>
  <c r="F50" i="49"/>
  <c r="F53" i="49" s="1"/>
  <c r="F56" i="49"/>
  <c r="B75" i="49"/>
  <c r="C56" i="49"/>
  <c r="C75" i="49"/>
  <c r="E48" i="49"/>
  <c r="E52" i="49" s="1"/>
  <c r="E76" i="49"/>
  <c r="E50" i="49"/>
  <c r="C76" i="49"/>
  <c r="H74" i="49"/>
  <c r="G56" i="49"/>
  <c r="G75" i="49"/>
  <c r="D75" i="49"/>
  <c r="B49" i="49"/>
  <c r="H22" i="49"/>
  <c r="B56" i="49"/>
  <c r="H29" i="49"/>
  <c r="H17" i="49"/>
  <c r="B48" i="49"/>
  <c r="H16" i="49"/>
  <c r="D48" i="49"/>
  <c r="D52" i="49" s="1"/>
  <c r="E49" i="49"/>
  <c r="C50" i="49"/>
  <c r="G50" i="49"/>
  <c r="G53" i="49" s="1"/>
  <c r="E56" i="49"/>
  <c r="E75" i="49"/>
  <c r="F48" i="49"/>
  <c r="F52" i="49" s="1"/>
  <c r="C48" i="49"/>
  <c r="C52" i="49" s="1"/>
  <c r="G48" i="49"/>
  <c r="H21" i="49"/>
  <c r="D49" i="49"/>
  <c r="D53" i="49" s="1"/>
  <c r="H23" i="49"/>
  <c r="B50" i="49"/>
  <c r="D56" i="49"/>
  <c r="F76" i="49"/>
  <c r="H50" i="52"/>
  <c r="H53" i="52" s="1"/>
  <c r="H59" i="49"/>
  <c r="H50" i="53"/>
  <c r="H51" i="53" s="1"/>
  <c r="H50" i="51"/>
  <c r="B51" i="52"/>
  <c r="H48" i="52"/>
  <c r="H52" i="52" s="1"/>
  <c r="H48" i="50"/>
  <c r="H52" i="50" s="1"/>
  <c r="H51" i="57"/>
  <c r="G52" i="50"/>
  <c r="H76" i="52"/>
  <c r="G76" i="49"/>
  <c r="H51" i="54"/>
  <c r="H76" i="53"/>
  <c r="D51" i="53"/>
  <c r="C51" i="53"/>
  <c r="C53" i="53"/>
  <c r="H52" i="53"/>
  <c r="B53" i="50"/>
  <c r="H76" i="51"/>
  <c r="D53" i="52"/>
  <c r="D51" i="51"/>
  <c r="C51" i="52"/>
  <c r="C53" i="52"/>
  <c r="H56" i="52"/>
  <c r="G51" i="50"/>
  <c r="B52" i="52"/>
  <c r="B51" i="50"/>
  <c r="C51" i="51"/>
  <c r="C53" i="51"/>
  <c r="H52" i="51"/>
  <c r="H53" i="50"/>
  <c r="H56" i="50"/>
  <c r="C51" i="50"/>
  <c r="H76" i="50"/>
  <c r="E53" i="50"/>
  <c r="E51" i="50"/>
  <c r="F75" i="49"/>
  <c r="D76" i="49"/>
  <c r="B76" i="49"/>
  <c r="M39" i="48"/>
  <c r="M29" i="48"/>
  <c r="M26" i="48"/>
  <c r="M25" i="48"/>
  <c r="M22" i="48"/>
  <c r="M21" i="48"/>
  <c r="M20" i="48"/>
  <c r="M19" i="48"/>
  <c r="M18" i="48"/>
  <c r="K16" i="48"/>
  <c r="M16" i="48" s="1"/>
  <c r="M15" i="48"/>
  <c r="I14" i="48"/>
  <c r="H14" i="48"/>
  <c r="G14" i="48"/>
  <c r="F14" i="48"/>
  <c r="E14" i="48"/>
  <c r="D14" i="48"/>
  <c r="M39" i="47"/>
  <c r="M29" i="47"/>
  <c r="M26" i="47"/>
  <c r="M25" i="47"/>
  <c r="M22" i="47"/>
  <c r="M21" i="47"/>
  <c r="M20" i="47"/>
  <c r="M19" i="47"/>
  <c r="M18" i="47"/>
  <c r="K16" i="47"/>
  <c r="M16" i="47" s="1"/>
  <c r="M15" i="47"/>
  <c r="I14" i="47"/>
  <c r="H14" i="47"/>
  <c r="G14" i="47"/>
  <c r="F14" i="47"/>
  <c r="E14" i="47"/>
  <c r="D14" i="47"/>
  <c r="M39" i="46"/>
  <c r="M29" i="46"/>
  <c r="M26" i="46"/>
  <c r="M25" i="46"/>
  <c r="M22" i="46"/>
  <c r="M21" i="46"/>
  <c r="M20" i="46"/>
  <c r="M19" i="46"/>
  <c r="M18" i="46"/>
  <c r="K16" i="46"/>
  <c r="M16" i="46" s="1"/>
  <c r="M15" i="46"/>
  <c r="I14" i="46"/>
  <c r="H14" i="46"/>
  <c r="G14" i="46"/>
  <c r="F14" i="46"/>
  <c r="E14" i="46"/>
  <c r="D14" i="46"/>
  <c r="M39" i="45"/>
  <c r="M29" i="45"/>
  <c r="M26" i="45"/>
  <c r="M25" i="45"/>
  <c r="M22" i="45"/>
  <c r="M21" i="45"/>
  <c r="M20" i="45"/>
  <c r="M19" i="45"/>
  <c r="M18" i="45"/>
  <c r="K16" i="45"/>
  <c r="M16" i="45" s="1"/>
  <c r="M15" i="45"/>
  <c r="I14" i="45"/>
  <c r="H14" i="45"/>
  <c r="G14" i="45"/>
  <c r="F14" i="45"/>
  <c r="E14" i="45"/>
  <c r="D14" i="45"/>
  <c r="M39" i="44"/>
  <c r="M29" i="44"/>
  <c r="M26" i="44"/>
  <c r="M25" i="44"/>
  <c r="M22" i="44"/>
  <c r="M21" i="44"/>
  <c r="M20" i="44"/>
  <c r="M19" i="44"/>
  <c r="M18" i="44"/>
  <c r="K16" i="44"/>
  <c r="M16" i="44" s="1"/>
  <c r="M15" i="44"/>
  <c r="I14" i="44"/>
  <c r="H14" i="44"/>
  <c r="G14" i="44"/>
  <c r="F14" i="44"/>
  <c r="E14" i="44"/>
  <c r="D14" i="44"/>
  <c r="M39" i="43"/>
  <c r="M29" i="43"/>
  <c r="M26" i="43"/>
  <c r="M25" i="43"/>
  <c r="M22" i="43"/>
  <c r="M21" i="43"/>
  <c r="M20" i="43"/>
  <c r="M19" i="43"/>
  <c r="M18" i="43"/>
  <c r="K16" i="43"/>
  <c r="M16" i="43" s="1"/>
  <c r="M15" i="43"/>
  <c r="I14" i="43"/>
  <c r="H14" i="43"/>
  <c r="G14" i="43"/>
  <c r="F14" i="43"/>
  <c r="E14" i="43"/>
  <c r="D14" i="43"/>
  <c r="C53" i="49" l="1"/>
  <c r="E51" i="49"/>
  <c r="F51" i="49"/>
  <c r="E53" i="49"/>
  <c r="G51" i="49"/>
  <c r="B51" i="49"/>
  <c r="H56" i="49"/>
  <c r="H50" i="49"/>
  <c r="G52" i="49"/>
  <c r="H48" i="49"/>
  <c r="H52" i="49" s="1"/>
  <c r="B52" i="49"/>
  <c r="D51" i="49"/>
  <c r="H49" i="49"/>
  <c r="B53" i="49"/>
  <c r="E71" i="52"/>
  <c r="E15" i="52"/>
  <c r="E47" i="52"/>
  <c r="D47" i="53"/>
  <c r="D71" i="53"/>
  <c r="D15" i="53"/>
  <c r="B71" i="54"/>
  <c r="B15" i="54"/>
  <c r="B47" i="54"/>
  <c r="C47" i="52"/>
  <c r="C71" i="52"/>
  <c r="C15" i="52"/>
  <c r="G47" i="52"/>
  <c r="G15" i="52"/>
  <c r="G71" i="52"/>
  <c r="B15" i="53"/>
  <c r="B71" i="53"/>
  <c r="B47" i="53"/>
  <c r="F15" i="53"/>
  <c r="F71" i="53"/>
  <c r="F47" i="53"/>
  <c r="D47" i="54"/>
  <c r="D71" i="54"/>
  <c r="D15" i="54"/>
  <c r="C47" i="55"/>
  <c r="C71" i="55"/>
  <c r="C15" i="55"/>
  <c r="G47" i="55"/>
  <c r="G15" i="55"/>
  <c r="G71" i="55"/>
  <c r="B71" i="56"/>
  <c r="B15" i="56"/>
  <c r="B47" i="56"/>
  <c r="F71" i="56"/>
  <c r="F15" i="56"/>
  <c r="F47" i="56"/>
  <c r="D47" i="57"/>
  <c r="D15" i="57"/>
  <c r="D71" i="57"/>
  <c r="D47" i="52"/>
  <c r="D15" i="52"/>
  <c r="D71" i="52"/>
  <c r="C71" i="53"/>
  <c r="C15" i="53"/>
  <c r="C47" i="53"/>
  <c r="G71" i="53"/>
  <c r="G15" i="53"/>
  <c r="G47" i="53"/>
  <c r="E47" i="54"/>
  <c r="E71" i="54"/>
  <c r="E15" i="54"/>
  <c r="D71" i="55"/>
  <c r="D15" i="55"/>
  <c r="D47" i="55"/>
  <c r="C71" i="56"/>
  <c r="C15" i="56"/>
  <c r="C47" i="56"/>
  <c r="G71" i="56"/>
  <c r="G15" i="56"/>
  <c r="G47" i="56"/>
  <c r="E71" i="57"/>
  <c r="E15" i="57"/>
  <c r="E47" i="57"/>
  <c r="F71" i="54"/>
  <c r="F15" i="54"/>
  <c r="F47" i="54"/>
  <c r="E71" i="55"/>
  <c r="E15" i="55"/>
  <c r="E47" i="55"/>
  <c r="D47" i="56"/>
  <c r="D71" i="56"/>
  <c r="D15" i="56"/>
  <c r="B71" i="57"/>
  <c r="B15" i="57"/>
  <c r="B47" i="57"/>
  <c r="F71" i="57"/>
  <c r="F15" i="57"/>
  <c r="F47" i="57"/>
  <c r="B71" i="52"/>
  <c r="B15" i="52"/>
  <c r="B47" i="52"/>
  <c r="F71" i="52"/>
  <c r="F15" i="52"/>
  <c r="F47" i="52"/>
  <c r="E47" i="53"/>
  <c r="E15" i="53"/>
  <c r="E71" i="53"/>
  <c r="C71" i="54"/>
  <c r="C15" i="54"/>
  <c r="C47" i="54"/>
  <c r="G71" i="54"/>
  <c r="G15" i="54"/>
  <c r="G47" i="54"/>
  <c r="B47" i="55"/>
  <c r="B15" i="55"/>
  <c r="B71" i="55"/>
  <c r="F47" i="55"/>
  <c r="F71" i="55"/>
  <c r="F15" i="55"/>
  <c r="E47" i="56"/>
  <c r="E71" i="56"/>
  <c r="E15" i="56"/>
  <c r="C47" i="57"/>
  <c r="C15" i="57"/>
  <c r="C71" i="57"/>
  <c r="G47" i="57"/>
  <c r="G71" i="57"/>
  <c r="G15" i="57"/>
  <c r="H53" i="53"/>
  <c r="H51" i="52"/>
  <c r="H51" i="50"/>
  <c r="H51" i="51"/>
  <c r="H53" i="51"/>
  <c r="H76" i="49"/>
  <c r="M39" i="42"/>
  <c r="M29" i="42"/>
  <c r="M26" i="42"/>
  <c r="M25" i="42"/>
  <c r="M22" i="42"/>
  <c r="M21" i="42"/>
  <c r="M20" i="42"/>
  <c r="M19" i="42"/>
  <c r="M18" i="42"/>
  <c r="K16" i="42"/>
  <c r="M16" i="42" s="1"/>
  <c r="M15" i="42"/>
  <c r="I14" i="42"/>
  <c r="H14" i="42"/>
  <c r="G14" i="42"/>
  <c r="F14" i="42"/>
  <c r="E14" i="42"/>
  <c r="D14" i="42"/>
  <c r="M39" i="41"/>
  <c r="M29" i="41"/>
  <c r="M26" i="41"/>
  <c r="M25" i="41"/>
  <c r="M22" i="41"/>
  <c r="M21" i="41"/>
  <c r="M20" i="41"/>
  <c r="M19" i="41"/>
  <c r="M18" i="41"/>
  <c r="K16" i="41"/>
  <c r="M16" i="41" s="1"/>
  <c r="M15" i="41"/>
  <c r="I14" i="41"/>
  <c r="H14" i="41"/>
  <c r="G14" i="41"/>
  <c r="F14" i="41"/>
  <c r="E14" i="41"/>
  <c r="D14" i="41"/>
  <c r="M26" i="39"/>
  <c r="M26" i="9"/>
  <c r="M25" i="9"/>
  <c r="M25" i="39"/>
  <c r="M18" i="39"/>
  <c r="M18" i="9"/>
  <c r="M39" i="39"/>
  <c r="M29" i="39"/>
  <c r="M22" i="39"/>
  <c r="M21" i="39"/>
  <c r="M20" i="39"/>
  <c r="M19" i="39"/>
  <c r="K16" i="39"/>
  <c r="M16" i="39" s="1"/>
  <c r="M15" i="39"/>
  <c r="I14" i="39"/>
  <c r="H14" i="39"/>
  <c r="G14" i="39"/>
  <c r="F14" i="39"/>
  <c r="E14" i="39"/>
  <c r="D14" i="39"/>
  <c r="D18" i="38"/>
  <c r="H53" i="49" l="1"/>
  <c r="B71" i="50"/>
  <c r="B15" i="50"/>
  <c r="B47" i="50"/>
  <c r="C47" i="50"/>
  <c r="C71" i="50"/>
  <c r="C15" i="50"/>
  <c r="G47" i="50"/>
  <c r="G15" i="50"/>
  <c r="G71" i="50"/>
  <c r="B47" i="51"/>
  <c r="B71" i="51"/>
  <c r="B15" i="51"/>
  <c r="D47" i="50"/>
  <c r="D71" i="50"/>
  <c r="D15" i="50"/>
  <c r="C47" i="51"/>
  <c r="C71" i="51"/>
  <c r="C15" i="51"/>
  <c r="G47" i="51"/>
  <c r="G15" i="51"/>
  <c r="G71" i="51"/>
  <c r="F71" i="50"/>
  <c r="F15" i="50"/>
  <c r="F47" i="50"/>
  <c r="E71" i="51"/>
  <c r="E15" i="51"/>
  <c r="E47" i="51"/>
  <c r="F47" i="51"/>
  <c r="F15" i="51"/>
  <c r="F71" i="51"/>
  <c r="E71" i="50"/>
  <c r="E15" i="50"/>
  <c r="E47" i="50"/>
  <c r="D71" i="51"/>
  <c r="D15" i="51"/>
  <c r="D47" i="51"/>
  <c r="D71" i="49"/>
  <c r="D15" i="49"/>
  <c r="D47" i="49"/>
  <c r="B47" i="49"/>
  <c r="B15" i="49"/>
  <c r="B71" i="49"/>
  <c r="F47" i="49"/>
  <c r="F15" i="49"/>
  <c r="F71" i="49"/>
  <c r="E15" i="49"/>
  <c r="E47" i="49"/>
  <c r="E71" i="49"/>
  <c r="C71" i="49"/>
  <c r="C15" i="49"/>
  <c r="C47" i="49"/>
  <c r="G71" i="49"/>
  <c r="G15" i="49"/>
  <c r="G47" i="49"/>
  <c r="H51" i="49"/>
  <c r="M39" i="9" l="1"/>
  <c r="M29" i="9"/>
  <c r="M22" i="9"/>
  <c r="M21" i="9"/>
  <c r="M20" i="9"/>
  <c r="M19" i="9"/>
  <c r="M15" i="9"/>
  <c r="J48" i="2" l="1"/>
  <c r="J47" i="2" l="1"/>
  <c r="J23" i="2"/>
  <c r="D14" i="9" l="1"/>
  <c r="E14" i="9"/>
  <c r="F14" i="9"/>
  <c r="G14" i="9"/>
  <c r="H14" i="9"/>
  <c r="I14" i="9"/>
  <c r="E67" i="1" l="1"/>
  <c r="E54" i="1"/>
  <c r="C41" i="38" l="1"/>
  <c r="G32" i="38"/>
  <c r="E30" i="38"/>
  <c r="G30" i="38" s="1"/>
  <c r="E29" i="38"/>
  <c r="G29" i="38" s="1"/>
  <c r="E27" i="38"/>
  <c r="G27" i="38" s="1"/>
  <c r="E26" i="38"/>
  <c r="G26" i="38" s="1"/>
  <c r="E25" i="38"/>
  <c r="G25" i="38" s="1"/>
  <c r="E24" i="38"/>
  <c r="G24" i="38" s="1"/>
  <c r="E23" i="38"/>
  <c r="G23" i="38" s="1"/>
  <c r="E22" i="38"/>
  <c r="G22" i="38" s="1"/>
  <c r="F25" i="37"/>
  <c r="C20" i="38" s="1"/>
  <c r="D25" i="37"/>
  <c r="C19" i="38" s="1"/>
  <c r="E19" i="38" s="1"/>
  <c r="G19" i="38" s="1"/>
  <c r="C25" i="37"/>
  <c r="C18" i="38" s="1"/>
  <c r="C16" i="38"/>
  <c r="C15" i="38"/>
  <c r="E15" i="38" s="1"/>
  <c r="G15" i="38" s="1"/>
  <c r="C14" i="38"/>
  <c r="F23" i="37"/>
  <c r="C12" i="38" s="1"/>
  <c r="D23" i="37"/>
  <c r="C11" i="38" s="1"/>
  <c r="E11" i="38" s="1"/>
  <c r="G11" i="38" s="1"/>
  <c r="C23" i="37"/>
  <c r="C10" i="38" s="1"/>
  <c r="E10" i="36"/>
  <c r="E16" i="36"/>
  <c r="D16" i="36"/>
  <c r="C16" i="36"/>
  <c r="F39" i="35"/>
  <c r="F33" i="35"/>
  <c r="G33" i="35" s="1"/>
  <c r="D33" i="35"/>
  <c r="E33" i="35" s="1"/>
  <c r="B33" i="35"/>
  <c r="C33" i="35" s="1"/>
  <c r="F32" i="35"/>
  <c r="G32" i="35" s="1"/>
  <c r="D32" i="35"/>
  <c r="E32" i="35" s="1"/>
  <c r="B32" i="35"/>
  <c r="C32" i="35" s="1"/>
  <c r="F31" i="35"/>
  <c r="G31" i="35" s="1"/>
  <c r="D31" i="35"/>
  <c r="E31" i="35" s="1"/>
  <c r="B31" i="35"/>
  <c r="C31" i="35" s="1"/>
  <c r="F30" i="35"/>
  <c r="G30" i="35" s="1"/>
  <c r="D30" i="35"/>
  <c r="E30" i="35" s="1"/>
  <c r="B30" i="35"/>
  <c r="C30" i="35" s="1"/>
  <c r="F29" i="35"/>
  <c r="G29" i="35" s="1"/>
  <c r="D29" i="35"/>
  <c r="E29" i="35" s="1"/>
  <c r="B29" i="35"/>
  <c r="C29" i="35" s="1"/>
  <c r="F27" i="35"/>
  <c r="F18" i="35"/>
  <c r="G12" i="35"/>
  <c r="F12" i="35"/>
  <c r="E12" i="35"/>
  <c r="F9" i="35"/>
  <c r="D18" i="35" s="1"/>
  <c r="G34" i="35" l="1"/>
  <c r="E12" i="36" s="1"/>
  <c r="E18" i="36" s="1"/>
  <c r="E19" i="36" s="1"/>
  <c r="E9" i="35"/>
  <c r="B18" i="35" s="1"/>
  <c r="E12" i="38"/>
  <c r="G12" i="38" s="1"/>
  <c r="E14" i="38"/>
  <c r="G14" i="38" s="1"/>
  <c r="E10" i="38"/>
  <c r="G10" i="38" s="1"/>
  <c r="E16" i="38"/>
  <c r="G16" i="38" s="1"/>
  <c r="E20" i="38"/>
  <c r="G20" i="38" s="1"/>
  <c r="E18" i="38"/>
  <c r="G18" i="38" s="1"/>
  <c r="E34" i="35"/>
  <c r="D12" i="36" s="1"/>
  <c r="D18" i="36" s="1"/>
  <c r="D19" i="36" s="1"/>
  <c r="C34" i="35"/>
  <c r="C12" i="36" s="1"/>
  <c r="C18" i="36" s="1"/>
  <c r="C19" i="36" s="1"/>
  <c r="D27" i="35"/>
  <c r="D39" i="35"/>
  <c r="D10" i="36"/>
  <c r="C31" i="38"/>
  <c r="C33" i="38" s="1"/>
  <c r="B27" i="35" l="1"/>
  <c r="E20" i="36"/>
  <c r="B39" i="35"/>
  <c r="C10" i="36"/>
  <c r="G31" i="38"/>
  <c r="G33" i="38" s="1"/>
  <c r="E31" i="38"/>
  <c r="E33" i="38" s="1"/>
  <c r="D35" i="38" s="1"/>
  <c r="B26" i="1" l="1"/>
  <c r="J33" i="48" s="1"/>
  <c r="F20" i="36"/>
  <c r="D42" i="38"/>
  <c r="K33" i="48"/>
  <c r="K33" i="47"/>
  <c r="K33" i="46"/>
  <c r="K33" i="45"/>
  <c r="K33" i="44"/>
  <c r="K33" i="43"/>
  <c r="K33" i="39"/>
  <c r="K33" i="42"/>
  <c r="K33" i="41"/>
  <c r="F34" i="38"/>
  <c r="J26" i="32" s="1"/>
  <c r="H31" i="56" l="1"/>
  <c r="H31" i="57"/>
  <c r="H31" i="49"/>
  <c r="H31" i="51"/>
  <c r="J33" i="45"/>
  <c r="H31" i="52"/>
  <c r="H31" i="53"/>
  <c r="J33" i="41"/>
  <c r="H31" i="50"/>
  <c r="H31" i="54"/>
  <c r="J33" i="44"/>
  <c r="J33" i="46"/>
  <c r="H31" i="55"/>
  <c r="J33" i="39"/>
  <c r="J33" i="43"/>
  <c r="J33" i="47"/>
  <c r="J33" i="42"/>
  <c r="H42" i="38"/>
  <c r="J25" i="32"/>
  <c r="I66" i="57"/>
  <c r="I66" i="50"/>
  <c r="I66" i="28"/>
  <c r="I66" i="55"/>
  <c r="I66" i="52"/>
  <c r="I66" i="49"/>
  <c r="I66" i="54"/>
  <c r="I66" i="51"/>
  <c r="I66" i="56"/>
  <c r="I66" i="53"/>
  <c r="B24" i="1"/>
  <c r="H32" i="55" s="1"/>
  <c r="H34" i="38"/>
  <c r="B23" i="1"/>
  <c r="F9" i="32"/>
  <c r="E9" i="32"/>
  <c r="D9" i="32"/>
  <c r="B51" i="1"/>
  <c r="B50" i="1"/>
  <c r="B49" i="1"/>
  <c r="B48" i="1"/>
  <c r="B47" i="1"/>
  <c r="B46" i="1"/>
  <c r="B45" i="1"/>
  <c r="B44" i="1"/>
  <c r="B43" i="1"/>
  <c r="B42" i="1"/>
  <c r="D34" i="34" l="1"/>
  <c r="C34" i="34"/>
  <c r="C32" i="34"/>
  <c r="D32" i="34"/>
  <c r="D33" i="34"/>
  <c r="C33" i="34"/>
  <c r="B33" i="1"/>
  <c r="B12" i="34"/>
  <c r="H12" i="34" s="1"/>
  <c r="C41" i="34"/>
  <c r="F28" i="34"/>
  <c r="B16" i="34"/>
  <c r="B45" i="34" s="1"/>
  <c r="C45" i="34"/>
  <c r="F32" i="34"/>
  <c r="H16" i="34"/>
  <c r="B34" i="1"/>
  <c r="E34" i="1" s="1"/>
  <c r="F29" i="34"/>
  <c r="B13" i="34"/>
  <c r="H13" i="34" s="1"/>
  <c r="C42" i="34"/>
  <c r="C46" i="34"/>
  <c r="B17" i="34"/>
  <c r="H17" i="34" s="1"/>
  <c r="E33" i="34" s="1"/>
  <c r="F33" i="34"/>
  <c r="B31" i="1"/>
  <c r="E31" i="1" s="1"/>
  <c r="C39" i="34"/>
  <c r="F26" i="34"/>
  <c r="B10" i="34"/>
  <c r="H10" i="34" s="1"/>
  <c r="B35" i="1"/>
  <c r="E35" i="1" s="1"/>
  <c r="C43" i="34"/>
  <c r="F30" i="34"/>
  <c r="B14" i="34"/>
  <c r="H14" i="34" s="1"/>
  <c r="C47" i="34"/>
  <c r="F34" i="34"/>
  <c r="B18" i="34"/>
  <c r="H18" i="34"/>
  <c r="B32" i="1"/>
  <c r="C40" i="34"/>
  <c r="F27" i="34"/>
  <c r="B11" i="34"/>
  <c r="H11" i="34" s="1"/>
  <c r="B15" i="34"/>
  <c r="B44" i="34" s="1"/>
  <c r="C44" i="34"/>
  <c r="F31" i="34"/>
  <c r="I65" i="54"/>
  <c r="I65" i="50"/>
  <c r="I65" i="53"/>
  <c r="I65" i="56"/>
  <c r="I65" i="28"/>
  <c r="I65" i="55"/>
  <c r="I65" i="51"/>
  <c r="I65" i="57"/>
  <c r="I65" i="49"/>
  <c r="I65" i="52"/>
  <c r="J34" i="41"/>
  <c r="J34" i="44"/>
  <c r="J34" i="48"/>
  <c r="J34" i="42"/>
  <c r="J34" i="47"/>
  <c r="J34" i="43"/>
  <c r="K34" i="48"/>
  <c r="H32" i="56"/>
  <c r="K34" i="46"/>
  <c r="B30" i="1"/>
  <c r="E30" i="1" s="1"/>
  <c r="G26" i="32"/>
  <c r="H32" i="57"/>
  <c r="K34" i="42"/>
  <c r="K34" i="44"/>
  <c r="K34" i="45"/>
  <c r="K34" i="41"/>
  <c r="K34" i="47"/>
  <c r="H32" i="50"/>
  <c r="B39" i="1"/>
  <c r="E39" i="1" s="1"/>
  <c r="A18" i="34"/>
  <c r="A34" i="34"/>
  <c r="E34" i="34"/>
  <c r="A47" i="34"/>
  <c r="B38" i="1"/>
  <c r="E38" i="1" s="1"/>
  <c r="A33" i="34"/>
  <c r="A46" i="34"/>
  <c r="A17" i="34"/>
  <c r="B37" i="1"/>
  <c r="E37" i="1" s="1"/>
  <c r="A16" i="34"/>
  <c r="A32" i="34"/>
  <c r="A45" i="34"/>
  <c r="B36" i="1"/>
  <c r="E36" i="1" s="1"/>
  <c r="A44" i="34"/>
  <c r="A31" i="34"/>
  <c r="A15" i="34"/>
  <c r="H32" i="53"/>
  <c r="K34" i="39"/>
  <c r="K34" i="43"/>
  <c r="H32" i="52"/>
  <c r="A30" i="34"/>
  <c r="A43" i="34"/>
  <c r="A14" i="34"/>
  <c r="A42" i="34"/>
  <c r="A29" i="34"/>
  <c r="A13" i="34"/>
  <c r="A28" i="34"/>
  <c r="A41" i="34"/>
  <c r="A12" i="34"/>
  <c r="A40" i="34"/>
  <c r="A27" i="34"/>
  <c r="A11" i="34"/>
  <c r="A26" i="34"/>
  <c r="A39" i="34"/>
  <c r="A10" i="34"/>
  <c r="A38" i="34"/>
  <c r="A25" i="34"/>
  <c r="A9" i="34"/>
  <c r="K35" i="48"/>
  <c r="K35" i="44"/>
  <c r="K35" i="45"/>
  <c r="K35" i="43"/>
  <c r="K35" i="47"/>
  <c r="K35" i="42"/>
  <c r="K35" i="39"/>
  <c r="K35" i="46"/>
  <c r="K35" i="41"/>
  <c r="G35" i="32"/>
  <c r="H20" i="32"/>
  <c r="C20" i="32"/>
  <c r="I20" i="32"/>
  <c r="C35" i="32"/>
  <c r="H19" i="32"/>
  <c r="C19" i="32"/>
  <c r="G34" i="32"/>
  <c r="I19" i="32"/>
  <c r="C34" i="32"/>
  <c r="H18" i="32"/>
  <c r="I18" i="32"/>
  <c r="C18" i="32"/>
  <c r="C33" i="32"/>
  <c r="G33" i="32"/>
  <c r="H17" i="32"/>
  <c r="C32" i="32"/>
  <c r="C17" i="32"/>
  <c r="G32" i="32"/>
  <c r="I17" i="32"/>
  <c r="I16" i="32"/>
  <c r="C31" i="32"/>
  <c r="G31" i="32"/>
  <c r="H16" i="32"/>
  <c r="C16" i="32"/>
  <c r="G30" i="32"/>
  <c r="I15" i="32"/>
  <c r="C30" i="32"/>
  <c r="H15" i="32"/>
  <c r="C15" i="32"/>
  <c r="C29" i="32"/>
  <c r="G29" i="32"/>
  <c r="H14" i="32"/>
  <c r="I14" i="32"/>
  <c r="C14" i="32"/>
  <c r="G28" i="32"/>
  <c r="I13" i="32"/>
  <c r="H13" i="32"/>
  <c r="C28" i="32"/>
  <c r="C13" i="32"/>
  <c r="I12" i="32"/>
  <c r="C27" i="32"/>
  <c r="G27" i="32"/>
  <c r="H12" i="32"/>
  <c r="C12" i="32"/>
  <c r="C26" i="32"/>
  <c r="C11" i="32"/>
  <c r="I11" i="32"/>
  <c r="J34" i="39"/>
  <c r="J34" i="45"/>
  <c r="H32" i="49"/>
  <c r="H32" i="54"/>
  <c r="H33" i="55"/>
  <c r="H33" i="53"/>
  <c r="H33" i="49"/>
  <c r="J35" i="44"/>
  <c r="J35" i="39"/>
  <c r="H33" i="54"/>
  <c r="H33" i="51"/>
  <c r="J35" i="48"/>
  <c r="J35" i="41"/>
  <c r="H33" i="57"/>
  <c r="H33" i="50"/>
  <c r="J35" i="43"/>
  <c r="J35" i="46"/>
  <c r="H33" i="56"/>
  <c r="H33" i="52"/>
  <c r="J35" i="45"/>
  <c r="J35" i="42"/>
  <c r="J35" i="47"/>
  <c r="J34" i="46"/>
  <c r="H32" i="51"/>
  <c r="D8" i="66"/>
  <c r="H12" i="56"/>
  <c r="D8" i="59"/>
  <c r="D8" i="63"/>
  <c r="H12" i="53"/>
  <c r="D8" i="67"/>
  <c r="H12" i="57"/>
  <c r="D8" i="62"/>
  <c r="H12" i="52"/>
  <c r="D8" i="60"/>
  <c r="H12" i="50"/>
  <c r="D8" i="64"/>
  <c r="H12" i="54"/>
  <c r="D8" i="61"/>
  <c r="H12" i="51"/>
  <c r="D8" i="65"/>
  <c r="H12" i="55"/>
  <c r="G11" i="43"/>
  <c r="G11" i="47"/>
  <c r="H12" i="49"/>
  <c r="G11" i="39"/>
  <c r="G11" i="44"/>
  <c r="G11" i="48"/>
  <c r="G11" i="41"/>
  <c r="G11" i="45"/>
  <c r="G11" i="42"/>
  <c r="G11" i="46"/>
  <c r="G11" i="9"/>
  <c r="D8" i="29"/>
  <c r="H12" i="28"/>
  <c r="H15" i="34" l="1"/>
  <c r="E31" i="34" s="1"/>
  <c r="B26" i="34"/>
  <c r="F31" i="32"/>
  <c r="H31" i="32" s="1"/>
  <c r="M22" i="63"/>
  <c r="M20" i="63"/>
  <c r="F34" i="32"/>
  <c r="M20" i="66"/>
  <c r="M20" i="64"/>
  <c r="M20" i="62"/>
  <c r="E35" i="32"/>
  <c r="M20" i="67"/>
  <c r="B12" i="32"/>
  <c r="M20" i="59"/>
  <c r="M20" i="65"/>
  <c r="M20" i="29"/>
  <c r="B11" i="32"/>
  <c r="B46" i="34"/>
  <c r="D46" i="34" s="1"/>
  <c r="B34" i="34"/>
  <c r="D45" i="34"/>
  <c r="B47" i="34"/>
  <c r="B43" i="34"/>
  <c r="D43" i="34" s="1"/>
  <c r="D47" i="34"/>
  <c r="B31" i="34"/>
  <c r="B33" i="34"/>
  <c r="E28" i="34"/>
  <c r="E30" i="34"/>
  <c r="D44" i="34"/>
  <c r="B32" i="34"/>
  <c r="E32" i="34"/>
  <c r="B41" i="34"/>
  <c r="D41" i="34" s="1"/>
  <c r="B28" i="34"/>
  <c r="B27" i="34"/>
  <c r="B42" i="34"/>
  <c r="D42" i="34" s="1"/>
  <c r="E27" i="34"/>
  <c r="B30" i="34"/>
  <c r="E29" i="34"/>
  <c r="B29" i="34"/>
  <c r="B40" i="34"/>
  <c r="D40" i="34" s="1"/>
  <c r="B39" i="34"/>
  <c r="D39" i="34" s="1"/>
  <c r="E26" i="34"/>
  <c r="D20" i="32"/>
  <c r="F35" i="32"/>
  <c r="H35" i="32" s="1"/>
  <c r="H73" i="57"/>
  <c r="E20" i="32"/>
  <c r="F20" i="32"/>
  <c r="D35" i="32"/>
  <c r="H34" i="32"/>
  <c r="E34" i="32"/>
  <c r="D19" i="32"/>
  <c r="D34" i="32"/>
  <c r="H73" i="56"/>
  <c r="E19" i="32"/>
  <c r="F19" i="32"/>
  <c r="H73" i="55"/>
  <c r="F33" i="32"/>
  <c r="H33" i="32" s="1"/>
  <c r="D33" i="32"/>
  <c r="D18" i="32"/>
  <c r="E18" i="32"/>
  <c r="E33" i="32"/>
  <c r="F18" i="32"/>
  <c r="H73" i="54"/>
  <c r="F17" i="32"/>
  <c r="F32" i="32"/>
  <c r="H32" i="32" s="1"/>
  <c r="D32" i="32"/>
  <c r="E32" i="32"/>
  <c r="E17" i="32"/>
  <c r="D17" i="32"/>
  <c r="E16" i="32"/>
  <c r="D31" i="32"/>
  <c r="E31" i="32"/>
  <c r="F16" i="32"/>
  <c r="D16" i="32"/>
  <c r="H73" i="53"/>
  <c r="H73" i="52"/>
  <c r="D15" i="32"/>
  <c r="E15" i="32"/>
  <c r="F15" i="32"/>
  <c r="E30" i="32"/>
  <c r="D30" i="32"/>
  <c r="F30" i="32"/>
  <c r="H30" i="32" s="1"/>
  <c r="E32" i="1"/>
  <c r="M20" i="60" s="1"/>
  <c r="E33" i="1"/>
  <c r="M20" i="61" s="1"/>
  <c r="H73" i="49"/>
  <c r="F27" i="32"/>
  <c r="H27" i="32" s="1"/>
  <c r="D27" i="32"/>
  <c r="E27" i="32"/>
  <c r="E12" i="32"/>
  <c r="F12" i="32"/>
  <c r="D12" i="32"/>
  <c r="D26" i="32"/>
  <c r="F26" i="32"/>
  <c r="H26" i="32" s="1"/>
  <c r="D11" i="32"/>
  <c r="E11" i="32"/>
  <c r="F11" i="32"/>
  <c r="E26" i="32"/>
  <c r="H73" i="28"/>
  <c r="D7" i="67"/>
  <c r="D7" i="66"/>
  <c r="M22" i="66"/>
  <c r="D7" i="65"/>
  <c r="D7" i="61"/>
  <c r="D7" i="64"/>
  <c r="D7" i="62"/>
  <c r="D7" i="63"/>
  <c r="D7" i="60"/>
  <c r="D7" i="59"/>
  <c r="H11" i="49"/>
  <c r="H11" i="56"/>
  <c r="H11" i="55"/>
  <c r="H11" i="54"/>
  <c r="H11" i="53"/>
  <c r="H11" i="52"/>
  <c r="H11" i="51"/>
  <c r="H11" i="50"/>
  <c r="G16" i="32" l="1"/>
  <c r="J16" i="32" s="1"/>
  <c r="G20" i="32"/>
  <c r="J20" i="32" s="1"/>
  <c r="G19" i="32"/>
  <c r="J19" i="32" s="1"/>
  <c r="G18" i="32"/>
  <c r="J18" i="32" s="1"/>
  <c r="G17" i="32"/>
  <c r="J17" i="32" s="1"/>
  <c r="G15" i="32"/>
  <c r="J15" i="32" s="1"/>
  <c r="B14" i="32"/>
  <c r="F29" i="32"/>
  <c r="H29" i="32" s="1"/>
  <c r="E29" i="32"/>
  <c r="D29" i="32"/>
  <c r="E14" i="32"/>
  <c r="D14" i="32"/>
  <c r="F14" i="32"/>
  <c r="H73" i="51"/>
  <c r="B13" i="32"/>
  <c r="D13" i="32"/>
  <c r="E28" i="32"/>
  <c r="H73" i="50"/>
  <c r="D28" i="32"/>
  <c r="F28" i="32"/>
  <c r="H28" i="32" s="1"/>
  <c r="E13" i="32"/>
  <c r="F13" i="32"/>
  <c r="G12" i="32"/>
  <c r="J12" i="32" s="1"/>
  <c r="G11" i="32"/>
  <c r="M22" i="67"/>
  <c r="M21" i="67"/>
  <c r="E25" i="1"/>
  <c r="M21" i="66"/>
  <c r="M22" i="60"/>
  <c r="M21" i="60"/>
  <c r="M22" i="61"/>
  <c r="M21" i="61"/>
  <c r="M22" i="64"/>
  <c r="M21" i="64"/>
  <c r="M22" i="59"/>
  <c r="M21" i="59"/>
  <c r="M21" i="62"/>
  <c r="M22" i="62"/>
  <c r="M21" i="63"/>
  <c r="M22" i="65"/>
  <c r="M21" i="65"/>
  <c r="G10" i="48"/>
  <c r="H11" i="57"/>
  <c r="A34" i="32"/>
  <c r="G10" i="47"/>
  <c r="A33" i="32"/>
  <c r="G10" i="46"/>
  <c r="G10" i="45"/>
  <c r="G10" i="44"/>
  <c r="A30" i="32"/>
  <c r="G10" i="43"/>
  <c r="A29" i="32"/>
  <c r="G10" i="42"/>
  <c r="G10" i="41"/>
  <c r="G10" i="39"/>
  <c r="A26" i="32"/>
  <c r="A13" i="32"/>
  <c r="A28" i="32"/>
  <c r="A17" i="32"/>
  <c r="A32" i="32"/>
  <c r="A12" i="32"/>
  <c r="A27" i="32"/>
  <c r="A16" i="32"/>
  <c r="A31" i="32"/>
  <c r="A20" i="32"/>
  <c r="A35" i="32"/>
  <c r="G10" i="9"/>
  <c r="A11" i="32"/>
  <c r="A15" i="32"/>
  <c r="A14" i="32"/>
  <c r="A19" i="32"/>
  <c r="A18" i="32"/>
  <c r="J16" i="2"/>
  <c r="G14" i="32" l="1"/>
  <c r="J14" i="32" s="1"/>
  <c r="G13" i="32"/>
  <c r="J13" i="32" s="1"/>
  <c r="H75" i="57"/>
  <c r="H75" i="55"/>
  <c r="H75" i="56"/>
  <c r="H75" i="53"/>
  <c r="H75" i="54"/>
  <c r="H75" i="51"/>
  <c r="H75" i="52"/>
  <c r="H75" i="50"/>
  <c r="H75" i="49"/>
  <c r="B94" i="1"/>
  <c r="B29" i="32"/>
  <c r="B82" i="1"/>
  <c r="E82" i="1"/>
  <c r="E85" i="1"/>
  <c r="B97" i="1"/>
  <c r="B85" i="1"/>
  <c r="B32" i="32"/>
  <c r="E80" i="1"/>
  <c r="B92" i="1"/>
  <c r="B27" i="32"/>
  <c r="B80" i="1"/>
  <c r="E81" i="1"/>
  <c r="B93" i="1"/>
  <c r="B81" i="1"/>
  <c r="H41" i="50" s="1"/>
  <c r="B28" i="32"/>
  <c r="B83" i="1"/>
  <c r="B30" i="32"/>
  <c r="E83" i="1"/>
  <c r="B95" i="1"/>
  <c r="B87" i="1"/>
  <c r="B34" i="32"/>
  <c r="E87" i="1"/>
  <c r="B99" i="1"/>
  <c r="E84" i="1"/>
  <c r="B96" i="1"/>
  <c r="B31" i="32"/>
  <c r="B84" i="1"/>
  <c r="B91" i="1"/>
  <c r="B79" i="1"/>
  <c r="E79" i="1"/>
  <c r="H57" i="28" s="1"/>
  <c r="B26" i="32"/>
  <c r="E88" i="1"/>
  <c r="B100" i="1"/>
  <c r="B35" i="32"/>
  <c r="B88" i="1"/>
  <c r="B98" i="1"/>
  <c r="B33" i="32"/>
  <c r="B86" i="1"/>
  <c r="E86" i="1"/>
  <c r="B20" i="32"/>
  <c r="B19" i="32"/>
  <c r="B18" i="32"/>
  <c r="B17" i="32"/>
  <c r="B16" i="32"/>
  <c r="B15" i="32"/>
  <c r="E23" i="1"/>
  <c r="J35" i="9"/>
  <c r="J34" i="9"/>
  <c r="H60" i="57" l="1"/>
  <c r="H60" i="56"/>
  <c r="H60" i="55"/>
  <c r="H60" i="54"/>
  <c r="H60" i="52"/>
  <c r="H60" i="51"/>
  <c r="H60" i="53"/>
  <c r="H60" i="50"/>
  <c r="H60" i="49"/>
  <c r="H9" i="67"/>
  <c r="H9" i="66"/>
  <c r="H9" i="65"/>
  <c r="H9" i="64"/>
  <c r="H9" i="63"/>
  <c r="H9" i="62"/>
  <c r="H9" i="61"/>
  <c r="H9" i="60"/>
  <c r="H9" i="59"/>
  <c r="H10" i="57"/>
  <c r="H10" i="54"/>
  <c r="H10" i="55"/>
  <c r="H10" i="56"/>
  <c r="H41" i="53"/>
  <c r="H40" i="52"/>
  <c r="H38" i="52"/>
  <c r="H42" i="51"/>
  <c r="H40" i="57"/>
  <c r="H38" i="57"/>
  <c r="H40" i="53"/>
  <c r="H38" i="53"/>
  <c r="H40" i="50"/>
  <c r="H38" i="50"/>
  <c r="H40" i="54"/>
  <c r="H38" i="54"/>
  <c r="H38" i="55"/>
  <c r="H40" i="55"/>
  <c r="H42" i="57"/>
  <c r="H42" i="53"/>
  <c r="H41" i="56"/>
  <c r="H41" i="52"/>
  <c r="H42" i="50"/>
  <c r="H42" i="49"/>
  <c r="H42" i="54"/>
  <c r="H38" i="51"/>
  <c r="H40" i="51"/>
  <c r="H42" i="55"/>
  <c r="H41" i="57"/>
  <c r="H40" i="56"/>
  <c r="H38" i="56"/>
  <c r="H41" i="55"/>
  <c r="H42" i="56"/>
  <c r="H42" i="52"/>
  <c r="H41" i="54"/>
  <c r="H41" i="51"/>
  <c r="H10" i="53"/>
  <c r="H10" i="51"/>
  <c r="H10" i="52"/>
  <c r="H10" i="50"/>
  <c r="H10" i="49"/>
  <c r="H41" i="49"/>
  <c r="H40" i="49"/>
  <c r="H38" i="49"/>
  <c r="H40" i="28"/>
  <c r="H38" i="28"/>
  <c r="E20" i="1"/>
  <c r="H3" i="67" l="1"/>
  <c r="H3" i="66"/>
  <c r="H3" i="65"/>
  <c r="H3" i="64"/>
  <c r="H3" i="63"/>
  <c r="H3" i="62"/>
  <c r="H3" i="61"/>
  <c r="H3" i="60"/>
  <c r="H3" i="59"/>
  <c r="H3" i="57"/>
  <c r="H3" i="54"/>
  <c r="H3" i="55"/>
  <c r="H3" i="56"/>
  <c r="H3" i="53"/>
  <c r="H3" i="51"/>
  <c r="H3" i="52"/>
  <c r="H3" i="50"/>
  <c r="H3" i="49"/>
  <c r="K3" i="47"/>
  <c r="K3" i="46"/>
  <c r="K3" i="45"/>
  <c r="K3" i="44"/>
  <c r="K3" i="43"/>
  <c r="K3" i="48"/>
  <c r="K3" i="42"/>
  <c r="K3" i="41"/>
  <c r="K3" i="39"/>
  <c r="E3" i="36"/>
  <c r="G3" i="38"/>
  <c r="G3" i="37"/>
  <c r="G3" i="35"/>
  <c r="G3" i="34"/>
  <c r="J3" i="32"/>
  <c r="B58" i="1"/>
  <c r="M40" i="43" s="1"/>
  <c r="I69" i="52" s="1"/>
  <c r="B55" i="1"/>
  <c r="M40" i="39" s="1"/>
  <c r="I69" i="49" s="1"/>
  <c r="B63" i="1"/>
  <c r="M40" i="48" s="1"/>
  <c r="I69" i="57" s="1"/>
  <c r="B57" i="1"/>
  <c r="M40" i="42" s="1"/>
  <c r="I69" i="51" s="1"/>
  <c r="B61" i="1"/>
  <c r="M40" i="46" s="1"/>
  <c r="I69" i="55" s="1"/>
  <c r="B54" i="1"/>
  <c r="M40" i="9" s="1"/>
  <c r="B59" i="1"/>
  <c r="M40" i="44" s="1"/>
  <c r="I69" i="53" s="1"/>
  <c r="B56" i="1"/>
  <c r="M40" i="41" s="1"/>
  <c r="I69" i="50" s="1"/>
  <c r="B60" i="1"/>
  <c r="M40" i="45" s="1"/>
  <c r="I69" i="54" s="1"/>
  <c r="B62" i="1"/>
  <c r="M40" i="47" s="1"/>
  <c r="I69" i="56" s="1"/>
  <c r="B67" i="1" l="1"/>
  <c r="H11" i="32" s="1"/>
  <c r="J11" i="32" s="1"/>
  <c r="E42" i="1" s="1"/>
  <c r="B72" i="1"/>
  <c r="B76" i="1"/>
  <c r="B75" i="1"/>
  <c r="B68" i="1"/>
  <c r="B73" i="1"/>
  <c r="B74" i="1"/>
  <c r="B71" i="1"/>
  <c r="B69" i="1"/>
  <c r="B70" i="1"/>
  <c r="E22" i="1" l="1"/>
  <c r="H8" i="66" l="1"/>
  <c r="H8" i="64"/>
  <c r="H8" i="62"/>
  <c r="H8" i="60"/>
  <c r="H8" i="67"/>
  <c r="H8" i="65"/>
  <c r="H8" i="63"/>
  <c r="H8" i="61"/>
  <c r="H8" i="59"/>
  <c r="H8" i="56"/>
  <c r="H8" i="57"/>
  <c r="H8" i="54"/>
  <c r="H8" i="55"/>
  <c r="H8" i="29"/>
  <c r="H8" i="52"/>
  <c r="H8" i="53"/>
  <c r="H8" i="51"/>
  <c r="H8" i="50"/>
  <c r="H8" i="49"/>
  <c r="G8" i="48"/>
  <c r="G8" i="47"/>
  <c r="G8" i="46"/>
  <c r="G8" i="45"/>
  <c r="G8" i="44"/>
  <c r="G8" i="43"/>
  <c r="G8" i="42"/>
  <c r="G8" i="41"/>
  <c r="G8" i="39"/>
  <c r="J20" i="2"/>
  <c r="I68" i="55" l="1"/>
  <c r="I68" i="53"/>
  <c r="I68" i="50"/>
  <c r="I68" i="51"/>
  <c r="I68" i="49"/>
  <c r="I68" i="28"/>
  <c r="I68" i="54"/>
  <c r="I68" i="57"/>
  <c r="I68" i="56"/>
  <c r="I68" i="52"/>
  <c r="D71" i="28"/>
  <c r="C71" i="28"/>
  <c r="B71" i="28"/>
  <c r="H72" i="28"/>
  <c r="G74" i="28"/>
  <c r="F74" i="28"/>
  <c r="E74" i="28"/>
  <c r="D74" i="28"/>
  <c r="C74" i="28"/>
  <c r="B74" i="28"/>
  <c r="G73" i="28"/>
  <c r="F73" i="28"/>
  <c r="E73" i="28"/>
  <c r="D73" i="28"/>
  <c r="C73" i="28"/>
  <c r="B73" i="28"/>
  <c r="H68" i="57" l="1"/>
  <c r="E18" i="34" s="1"/>
  <c r="H69" i="57"/>
  <c r="H68" i="56"/>
  <c r="E17" i="34" s="1"/>
  <c r="H69" i="56"/>
  <c r="H68" i="55"/>
  <c r="E16" i="34" s="1"/>
  <c r="H69" i="55"/>
  <c r="H74" i="28"/>
  <c r="G29" i="28"/>
  <c r="F29" i="28"/>
  <c r="E29" i="28"/>
  <c r="D29" i="28"/>
  <c r="C29" i="28"/>
  <c r="B29" i="28"/>
  <c r="G28" i="28"/>
  <c r="F28" i="28"/>
  <c r="E28" i="28"/>
  <c r="D28" i="28"/>
  <c r="C28" i="28"/>
  <c r="B28" i="28"/>
  <c r="G27" i="28"/>
  <c r="F27" i="28"/>
  <c r="E27" i="28"/>
  <c r="D27" i="28"/>
  <c r="C27" i="28"/>
  <c r="B27" i="28"/>
  <c r="G26" i="28"/>
  <c r="F26" i="28"/>
  <c r="E26" i="28"/>
  <c r="D26" i="28"/>
  <c r="C26" i="28"/>
  <c r="B26" i="28"/>
  <c r="G25" i="28"/>
  <c r="F25" i="28"/>
  <c r="E25" i="28"/>
  <c r="D25" i="28"/>
  <c r="C25" i="28"/>
  <c r="B25" i="28"/>
  <c r="G24" i="28"/>
  <c r="F24" i="28"/>
  <c r="E24" i="28"/>
  <c r="D24" i="28"/>
  <c r="C24" i="28"/>
  <c r="B24" i="28"/>
  <c r="G23" i="28"/>
  <c r="F23" i="28"/>
  <c r="E23" i="28"/>
  <c r="D23" i="28"/>
  <c r="C23" i="28"/>
  <c r="C50" i="28" s="1"/>
  <c r="B23" i="28"/>
  <c r="G22" i="28"/>
  <c r="F22" i="28"/>
  <c r="E22" i="28"/>
  <c r="D22" i="28"/>
  <c r="D49" i="28" s="1"/>
  <c r="C22" i="28"/>
  <c r="C49" i="28" s="1"/>
  <c r="B22" i="28"/>
  <c r="G21" i="28"/>
  <c r="F21" i="28"/>
  <c r="F75" i="28" s="1"/>
  <c r="E21" i="28"/>
  <c r="E75" i="28" s="1"/>
  <c r="D21" i="28"/>
  <c r="D75" i="28" s="1"/>
  <c r="C21" i="28"/>
  <c r="C75" i="28" s="1"/>
  <c r="B21" i="28"/>
  <c r="B75" i="28" s="1"/>
  <c r="G20" i="28"/>
  <c r="F20" i="28"/>
  <c r="E20" i="28"/>
  <c r="D20" i="28"/>
  <c r="C20" i="28"/>
  <c r="B20" i="28"/>
  <c r="G19" i="28"/>
  <c r="F19" i="28"/>
  <c r="E19" i="28"/>
  <c r="D19" i="28"/>
  <c r="C19" i="28"/>
  <c r="B19" i="28"/>
  <c r="G18" i="28"/>
  <c r="F18" i="28"/>
  <c r="E18" i="28"/>
  <c r="D18" i="28"/>
  <c r="C18" i="28"/>
  <c r="B18" i="28"/>
  <c r="G17" i="28"/>
  <c r="F17" i="28"/>
  <c r="E17" i="28"/>
  <c r="D17" i="28"/>
  <c r="C17" i="28"/>
  <c r="B17" i="28"/>
  <c r="G16" i="28"/>
  <c r="F16" i="28"/>
  <c r="E16" i="28"/>
  <c r="D16" i="28"/>
  <c r="C16" i="28"/>
  <c r="B16" i="28"/>
  <c r="G42" i="28"/>
  <c r="G41" i="28"/>
  <c r="G38" i="28"/>
  <c r="G37" i="28"/>
  <c r="G75" i="28" l="1"/>
  <c r="F25" i="34"/>
  <c r="F49" i="28"/>
  <c r="G49" i="28"/>
  <c r="D48" i="28"/>
  <c r="D52" i="28" s="1"/>
  <c r="D50" i="28"/>
  <c r="D53" i="28" s="1"/>
  <c r="E49" i="28"/>
  <c r="G50" i="28"/>
  <c r="G53" i="28" s="1"/>
  <c r="C16" i="34"/>
  <c r="C18" i="34"/>
  <c r="C17" i="34"/>
  <c r="H16" i="28"/>
  <c r="H20" i="28"/>
  <c r="C53" i="28"/>
  <c r="E50" i="28"/>
  <c r="C76" i="28"/>
  <c r="E48" i="28"/>
  <c r="E52" i="28" s="1"/>
  <c r="H17" i="28"/>
  <c r="B48" i="28"/>
  <c r="H21" i="28"/>
  <c r="H75" i="28" s="1"/>
  <c r="B50" i="28"/>
  <c r="H23" i="28"/>
  <c r="F50" i="28"/>
  <c r="F53" i="28" s="1"/>
  <c r="H29" i="28"/>
  <c r="B56" i="28"/>
  <c r="F56" i="28"/>
  <c r="B76" i="28"/>
  <c r="F76" i="28"/>
  <c r="D76" i="28"/>
  <c r="F48" i="28"/>
  <c r="F52" i="28" s="1"/>
  <c r="C48" i="28"/>
  <c r="C52" i="28" s="1"/>
  <c r="G48" i="28"/>
  <c r="C56" i="28"/>
  <c r="G56" i="28"/>
  <c r="G76" i="28"/>
  <c r="E76" i="28"/>
  <c r="H22" i="28"/>
  <c r="B49" i="28"/>
  <c r="D56" i="28"/>
  <c r="E56" i="28"/>
  <c r="L23" i="29"/>
  <c r="E53" i="28" l="1"/>
  <c r="C38" i="34"/>
  <c r="C48" i="34" s="1"/>
  <c r="G52" i="28"/>
  <c r="B9" i="34"/>
  <c r="H76" i="28"/>
  <c r="H50" i="28"/>
  <c r="H56" i="28"/>
  <c r="B53" i="28"/>
  <c r="H49" i="28"/>
  <c r="H48" i="28"/>
  <c r="H52" i="28" s="1"/>
  <c r="B52" i="28"/>
  <c r="K33" i="9"/>
  <c r="H9" i="34" l="1"/>
  <c r="B25" i="34"/>
  <c r="B19" i="34"/>
  <c r="B35" i="34" s="1"/>
  <c r="B38" i="34"/>
  <c r="H53" i="28"/>
  <c r="B48" i="34"/>
  <c r="D48" i="34" s="1"/>
  <c r="D38" i="34"/>
  <c r="H30" i="28"/>
  <c r="G19" i="34" l="1"/>
  <c r="E25" i="34"/>
  <c r="H19" i="34"/>
  <c r="E35" i="34" s="1"/>
  <c r="H59" i="28"/>
  <c r="H60" i="28" s="1"/>
  <c r="B21" i="1"/>
  <c r="E21" i="1"/>
  <c r="H7" i="67" l="1"/>
  <c r="H7" i="66"/>
  <c r="H7" i="65"/>
  <c r="H7" i="64"/>
  <c r="H7" i="63"/>
  <c r="H7" i="62"/>
  <c r="H7" i="61"/>
  <c r="H7" i="60"/>
  <c r="H7" i="59"/>
  <c r="H7" i="55"/>
  <c r="H7" i="54"/>
  <c r="H7" i="56"/>
  <c r="H7" i="57"/>
  <c r="H1" i="61"/>
  <c r="H1" i="67"/>
  <c r="H1" i="66"/>
  <c r="H1" i="65"/>
  <c r="H1" i="64"/>
  <c r="H1" i="63"/>
  <c r="H1" i="62"/>
  <c r="H1" i="60"/>
  <c r="H1" i="59"/>
  <c r="H1" i="56"/>
  <c r="H1" i="57"/>
  <c r="H1" i="54"/>
  <c r="H1" i="55"/>
  <c r="J1" i="32"/>
  <c r="H1" i="50"/>
  <c r="H1" i="53"/>
  <c r="H1" i="51"/>
  <c r="H1" i="52"/>
  <c r="H1" i="49"/>
  <c r="K1" i="48"/>
  <c r="K1" i="47"/>
  <c r="K1" i="45"/>
  <c r="K1" i="44"/>
  <c r="K1" i="43"/>
  <c r="K1" i="46"/>
  <c r="K1" i="39"/>
  <c r="K1" i="42"/>
  <c r="K1" i="41"/>
  <c r="H7" i="52"/>
  <c r="H7" i="50"/>
  <c r="H7" i="53"/>
  <c r="H7" i="51"/>
  <c r="H7" i="49"/>
  <c r="G7" i="44"/>
  <c r="G7" i="43"/>
  <c r="G7" i="48"/>
  <c r="G7" i="47"/>
  <c r="G7" i="46"/>
  <c r="G7" i="45"/>
  <c r="G7" i="39"/>
  <c r="G7" i="42"/>
  <c r="G7" i="41"/>
  <c r="G1" i="34"/>
  <c r="G1" i="38"/>
  <c r="G1" i="35"/>
  <c r="G1" i="37"/>
  <c r="E1" i="36"/>
  <c r="K16" i="9" l="1"/>
  <c r="M16" i="9" s="1"/>
  <c r="I69" i="28" s="1"/>
  <c r="L24" i="29" l="1"/>
  <c r="G71" i="28"/>
  <c r="F71" i="28"/>
  <c r="E71" i="28"/>
  <c r="G47" i="28"/>
  <c r="F47" i="28"/>
  <c r="E47" i="28"/>
  <c r="D47" i="28"/>
  <c r="C47" i="28"/>
  <c r="B47" i="28"/>
  <c r="G15" i="28"/>
  <c r="F15" i="28"/>
  <c r="E15" i="28"/>
  <c r="D15" i="28"/>
  <c r="C15" i="28"/>
  <c r="B15" i="28"/>
  <c r="H9" i="29"/>
  <c r="N28" i="3"/>
  <c r="H7" i="29"/>
  <c r="B22" i="1"/>
  <c r="G1" i="2"/>
  <c r="B20" i="1"/>
  <c r="H2" i="66" l="1"/>
  <c r="H2" i="67"/>
  <c r="H2" i="64"/>
  <c r="H2" i="65"/>
  <c r="H2" i="62"/>
  <c r="H2" i="63"/>
  <c r="H2" i="60"/>
  <c r="H2" i="61"/>
  <c r="H2" i="57"/>
  <c r="H2" i="59"/>
  <c r="H2" i="55"/>
  <c r="H2" i="56"/>
  <c r="H2" i="53"/>
  <c r="H2" i="54"/>
  <c r="H2" i="51"/>
  <c r="H2" i="52"/>
  <c r="H2" i="49"/>
  <c r="H2" i="50"/>
  <c r="M46" i="48"/>
  <c r="M45" i="48"/>
  <c r="M44" i="48"/>
  <c r="K2" i="48"/>
  <c r="M46" i="47"/>
  <c r="M45" i="47"/>
  <c r="M44" i="47"/>
  <c r="K2" i="47"/>
  <c r="M44" i="46"/>
  <c r="K2" i="46"/>
  <c r="M46" i="46"/>
  <c r="M45" i="46"/>
  <c r="M44" i="45"/>
  <c r="K2" i="45"/>
  <c r="M46" i="45"/>
  <c r="M45" i="45"/>
  <c r="M46" i="44"/>
  <c r="M44" i="44"/>
  <c r="K2" i="44"/>
  <c r="M45" i="44"/>
  <c r="M46" i="43"/>
  <c r="K2" i="43"/>
  <c r="M45" i="43"/>
  <c r="M44" i="43"/>
  <c r="M46" i="42"/>
  <c r="M45" i="42"/>
  <c r="M44" i="42"/>
  <c r="K2" i="42"/>
  <c r="M44" i="41"/>
  <c r="K2" i="41"/>
  <c r="M46" i="41"/>
  <c r="M45" i="41"/>
  <c r="M46" i="39"/>
  <c r="M45" i="39"/>
  <c r="M46" i="9"/>
  <c r="M45" i="9"/>
  <c r="J2" i="32"/>
  <c r="K2" i="39"/>
  <c r="M44" i="39"/>
  <c r="G2" i="34"/>
  <c r="E2" i="36"/>
  <c r="G2" i="37"/>
  <c r="G2" i="38"/>
  <c r="G2" i="35"/>
  <c r="H41" i="28"/>
  <c r="K3" i="9"/>
  <c r="M44" i="9"/>
  <c r="D51" i="28"/>
  <c r="C51" i="28"/>
  <c r="B51" i="28"/>
  <c r="H3" i="29"/>
  <c r="H3" i="28"/>
  <c r="H2" i="28"/>
  <c r="G2" i="2"/>
  <c r="K2" i="9"/>
  <c r="H2" i="29"/>
  <c r="G7" i="9"/>
  <c r="H8" i="28"/>
  <c r="H11" i="28"/>
  <c r="H10" i="28"/>
  <c r="H7" i="28"/>
  <c r="H1" i="28"/>
  <c r="H1" i="29"/>
  <c r="K1" i="9"/>
  <c r="D7" i="29"/>
  <c r="G8" i="9"/>
  <c r="I79" i="28" l="1"/>
  <c r="I79" i="52"/>
  <c r="I79" i="53"/>
  <c r="I79" i="50"/>
  <c r="I79" i="54"/>
  <c r="I79" i="55"/>
  <c r="I79" i="51"/>
  <c r="I79" i="56"/>
  <c r="I79" i="57"/>
  <c r="I79" i="49"/>
  <c r="M21" i="29"/>
  <c r="N18" i="29" s="1"/>
  <c r="M22" i="29"/>
  <c r="H42" i="28"/>
  <c r="G51" i="28"/>
  <c r="E51" i="28"/>
  <c r="F51" i="28"/>
  <c r="K35" i="9"/>
  <c r="H51" i="28"/>
  <c r="N17" i="29" l="1"/>
  <c r="N21" i="29" s="1"/>
  <c r="G19" i="29" s="1"/>
  <c r="G22" i="29" s="1"/>
  <c r="K34" i="9"/>
  <c r="H33" i="28"/>
  <c r="H32" i="28" l="1"/>
  <c r="J33" i="9" l="1"/>
  <c r="H31" i="28"/>
  <c r="E48" i="1"/>
  <c r="E49" i="1"/>
  <c r="E50" i="1"/>
  <c r="E47" i="1"/>
  <c r="E45" i="1"/>
  <c r="E44" i="1"/>
  <c r="E43" i="1"/>
  <c r="E46" i="1"/>
  <c r="E51" i="1"/>
  <c r="H37" i="57" l="1"/>
  <c r="H37" i="50"/>
  <c r="H37" i="55"/>
  <c r="H37" i="51"/>
  <c r="H37" i="54"/>
  <c r="H37" i="52"/>
  <c r="H37" i="53"/>
  <c r="H37" i="56"/>
  <c r="H37" i="49"/>
  <c r="H37" i="28"/>
  <c r="D17" i="34" l="1"/>
  <c r="I17" i="34"/>
  <c r="D16" i="34"/>
  <c r="I16" i="34"/>
  <c r="D18" i="34"/>
  <c r="I18" i="34"/>
  <c r="F16" i="34" l="1"/>
  <c r="F17" i="34"/>
  <c r="F18" i="34"/>
  <c r="H58" i="51"/>
  <c r="H58" i="28"/>
  <c r="H62" i="28"/>
  <c r="H57" i="54"/>
  <c r="H57" i="51"/>
  <c r="H62" i="52"/>
  <c r="H58" i="53"/>
  <c r="H61" i="57"/>
  <c r="H61" i="28"/>
  <c r="H65" i="28" l="1"/>
  <c r="B54" i="28" s="1"/>
  <c r="B55" i="28" s="1"/>
  <c r="H64" i="28"/>
  <c r="H57" i="52"/>
  <c r="H61" i="53"/>
  <c r="H65" i="53" s="1"/>
  <c r="H62" i="53"/>
  <c r="H64" i="53" s="1"/>
  <c r="H58" i="52"/>
  <c r="H64" i="52" s="1"/>
  <c r="H57" i="56"/>
  <c r="H58" i="56"/>
  <c r="H61" i="56"/>
  <c r="H62" i="56"/>
  <c r="H57" i="50"/>
  <c r="H58" i="50"/>
  <c r="H61" i="50"/>
  <c r="H62" i="50"/>
  <c r="H58" i="49"/>
  <c r="H57" i="49"/>
  <c r="H62" i="49"/>
  <c r="H61" i="49"/>
  <c r="H58" i="55"/>
  <c r="H62" i="55"/>
  <c r="H57" i="55"/>
  <c r="H61" i="55"/>
  <c r="H57" i="57"/>
  <c r="H62" i="57"/>
  <c r="H58" i="57"/>
  <c r="H65" i="57" s="1"/>
  <c r="H62" i="51"/>
  <c r="H64" i="51" s="1"/>
  <c r="H61" i="51"/>
  <c r="H65" i="51" s="1"/>
  <c r="H58" i="54"/>
  <c r="H61" i="54"/>
  <c r="H62" i="54"/>
  <c r="H61" i="52"/>
  <c r="H57" i="53"/>
  <c r="D54" i="28" l="1"/>
  <c r="D55" i="28" s="1"/>
  <c r="F54" i="28"/>
  <c r="F55" i="28" s="1"/>
  <c r="F77" i="28"/>
  <c r="H54" i="28"/>
  <c r="H55" i="28" s="1"/>
  <c r="H66" i="28" s="1"/>
  <c r="G54" i="28"/>
  <c r="G55" i="28" s="1"/>
  <c r="G77" i="28"/>
  <c r="B77" i="28"/>
  <c r="D77" i="28"/>
  <c r="E54" i="28"/>
  <c r="E55" i="28" s="1"/>
  <c r="C54" i="28"/>
  <c r="C55" i="28" s="1"/>
  <c r="C77" i="28"/>
  <c r="E77" i="28"/>
  <c r="H64" i="50"/>
  <c r="H64" i="56"/>
  <c r="H65" i="55"/>
  <c r="G77" i="55" s="1"/>
  <c r="H65" i="49"/>
  <c r="C54" i="49" s="1"/>
  <c r="C55" i="49" s="1"/>
  <c r="H64" i="49"/>
  <c r="H77" i="28"/>
  <c r="H78" i="28" s="1"/>
  <c r="H79" i="28" s="1"/>
  <c r="H54" i="53"/>
  <c r="H55" i="53" s="1"/>
  <c r="H66" i="53" s="1"/>
  <c r="H64" i="55"/>
  <c r="H65" i="52"/>
  <c r="D77" i="52" s="1"/>
  <c r="H64" i="57"/>
  <c r="G77" i="53"/>
  <c r="F54" i="53"/>
  <c r="F55" i="53" s="1"/>
  <c r="C77" i="53"/>
  <c r="H65" i="50"/>
  <c r="G54" i="50" s="1"/>
  <c r="G55" i="50" s="1"/>
  <c r="H65" i="56"/>
  <c r="E77" i="56" s="1"/>
  <c r="B77" i="57"/>
  <c r="E54" i="57"/>
  <c r="E55" i="57" s="1"/>
  <c r="D54" i="57"/>
  <c r="D55" i="57" s="1"/>
  <c r="E77" i="57"/>
  <c r="F54" i="57"/>
  <c r="F55" i="57" s="1"/>
  <c r="C54" i="57"/>
  <c r="C55" i="57" s="1"/>
  <c r="G77" i="57"/>
  <c r="C77" i="57"/>
  <c r="G54" i="57"/>
  <c r="G55" i="57" s="1"/>
  <c r="D77" i="57"/>
  <c r="B54" i="57"/>
  <c r="B55" i="57" s="1"/>
  <c r="F77" i="57"/>
  <c r="H54" i="57"/>
  <c r="H55" i="57" s="1"/>
  <c r="H77" i="57"/>
  <c r="H78" i="57" s="1"/>
  <c r="H79" i="57" s="1"/>
  <c r="C54" i="53"/>
  <c r="C55" i="53" s="1"/>
  <c r="E77" i="53"/>
  <c r="B54" i="53"/>
  <c r="B55" i="53" s="1"/>
  <c r="B77" i="53"/>
  <c r="H64" i="54"/>
  <c r="D77" i="53"/>
  <c r="H77" i="53"/>
  <c r="H78" i="53" s="1"/>
  <c r="H79" i="53" s="1"/>
  <c r="G54" i="53"/>
  <c r="G55" i="53" s="1"/>
  <c r="F77" i="53"/>
  <c r="E77" i="51"/>
  <c r="C54" i="51"/>
  <c r="C55" i="51" s="1"/>
  <c r="D77" i="51"/>
  <c r="G54" i="51"/>
  <c r="G55" i="51" s="1"/>
  <c r="H77" i="51"/>
  <c r="H78" i="51" s="1"/>
  <c r="H79" i="51" s="1"/>
  <c r="B77" i="51"/>
  <c r="F54" i="51"/>
  <c r="F55" i="51" s="1"/>
  <c r="F77" i="51"/>
  <c r="G77" i="51"/>
  <c r="H54" i="51"/>
  <c r="H55" i="51" s="1"/>
  <c r="E54" i="51"/>
  <c r="E55" i="51" s="1"/>
  <c r="B54" i="51"/>
  <c r="B55" i="51" s="1"/>
  <c r="C77" i="51"/>
  <c r="D54" i="51"/>
  <c r="D55" i="51" s="1"/>
  <c r="H65" i="54"/>
  <c r="D54" i="53"/>
  <c r="D55" i="53" s="1"/>
  <c r="E54" i="53"/>
  <c r="E55" i="53" s="1"/>
  <c r="C30" i="34" l="1"/>
  <c r="H68" i="53"/>
  <c r="E14" i="34" s="1"/>
  <c r="C25" i="34"/>
  <c r="H68" i="28"/>
  <c r="E9" i="34" s="1"/>
  <c r="H77" i="50"/>
  <c r="H78" i="50" s="1"/>
  <c r="H79" i="50" s="1"/>
  <c r="H67" i="28"/>
  <c r="H69" i="28" s="1"/>
  <c r="E77" i="50"/>
  <c r="D54" i="50"/>
  <c r="D55" i="50" s="1"/>
  <c r="H67" i="53"/>
  <c r="H69" i="53" s="1"/>
  <c r="F14" i="34" s="1"/>
  <c r="D14" i="34" s="1"/>
  <c r="F77" i="52"/>
  <c r="E54" i="52"/>
  <c r="E55" i="52" s="1"/>
  <c r="H54" i="52"/>
  <c r="H55" i="52" s="1"/>
  <c r="H66" i="52" s="1"/>
  <c r="C77" i="55"/>
  <c r="C54" i="55"/>
  <c r="C55" i="55" s="1"/>
  <c r="B54" i="55"/>
  <c r="B55" i="55" s="1"/>
  <c r="F77" i="55"/>
  <c r="F54" i="55"/>
  <c r="F55" i="55" s="1"/>
  <c r="F77" i="49"/>
  <c r="E54" i="56"/>
  <c r="E55" i="56" s="1"/>
  <c r="D54" i="49"/>
  <c r="D55" i="49" s="1"/>
  <c r="D54" i="55"/>
  <c r="D55" i="55" s="1"/>
  <c r="H54" i="55"/>
  <c r="H55" i="55" s="1"/>
  <c r="H66" i="55" s="1"/>
  <c r="E54" i="55"/>
  <c r="E55" i="55" s="1"/>
  <c r="H77" i="55"/>
  <c r="H78" i="55" s="1"/>
  <c r="H79" i="55" s="1"/>
  <c r="B77" i="55"/>
  <c r="C77" i="56"/>
  <c r="F54" i="49"/>
  <c r="F55" i="49" s="1"/>
  <c r="B77" i="49"/>
  <c r="E77" i="55"/>
  <c r="D77" i="55"/>
  <c r="G54" i="55"/>
  <c r="G55" i="55" s="1"/>
  <c r="H54" i="49"/>
  <c r="H55" i="49" s="1"/>
  <c r="H67" i="49" s="1"/>
  <c r="H69" i="49" s="1"/>
  <c r="H77" i="49"/>
  <c r="H78" i="49" s="1"/>
  <c r="H79" i="49" s="1"/>
  <c r="D77" i="56"/>
  <c r="B54" i="49"/>
  <c r="B55" i="49" s="1"/>
  <c r="G54" i="49"/>
  <c r="G55" i="49" s="1"/>
  <c r="G77" i="49"/>
  <c r="D77" i="49"/>
  <c r="E54" i="49"/>
  <c r="E55" i="49" s="1"/>
  <c r="D54" i="52"/>
  <c r="D55" i="52" s="1"/>
  <c r="B54" i="52"/>
  <c r="B55" i="52" s="1"/>
  <c r="G54" i="52"/>
  <c r="G55" i="52" s="1"/>
  <c r="F54" i="52"/>
  <c r="F55" i="52" s="1"/>
  <c r="C54" i="52"/>
  <c r="C55" i="52" s="1"/>
  <c r="E77" i="52"/>
  <c r="E77" i="49"/>
  <c r="C77" i="49"/>
  <c r="C77" i="52"/>
  <c r="H77" i="52"/>
  <c r="H78" i="52" s="1"/>
  <c r="H79" i="52" s="1"/>
  <c r="C77" i="50"/>
  <c r="F77" i="50"/>
  <c r="H54" i="50"/>
  <c r="H55" i="50" s="1"/>
  <c r="H67" i="50" s="1"/>
  <c r="H69" i="50" s="1"/>
  <c r="F11" i="34" s="1"/>
  <c r="D11" i="34" s="1"/>
  <c r="D77" i="50"/>
  <c r="F54" i="50"/>
  <c r="F55" i="50" s="1"/>
  <c r="B54" i="50"/>
  <c r="B55" i="50" s="1"/>
  <c r="G77" i="50"/>
  <c r="B77" i="50"/>
  <c r="C54" i="50"/>
  <c r="C55" i="50" s="1"/>
  <c r="E54" i="50"/>
  <c r="E55" i="50" s="1"/>
  <c r="D54" i="56"/>
  <c r="D55" i="56" s="1"/>
  <c r="H77" i="56"/>
  <c r="H78" i="56" s="1"/>
  <c r="H79" i="56" s="1"/>
  <c r="G77" i="52"/>
  <c r="B77" i="52"/>
  <c r="B77" i="56"/>
  <c r="F77" i="56"/>
  <c r="B54" i="56"/>
  <c r="B55" i="56" s="1"/>
  <c r="H54" i="56"/>
  <c r="H55" i="56" s="1"/>
  <c r="H66" i="56" s="1"/>
  <c r="F54" i="56"/>
  <c r="F55" i="56" s="1"/>
  <c r="G54" i="56"/>
  <c r="G55" i="56" s="1"/>
  <c r="G77" i="56"/>
  <c r="C54" i="56"/>
  <c r="C55" i="56" s="1"/>
  <c r="B77" i="54"/>
  <c r="C77" i="54"/>
  <c r="E54" i="54"/>
  <c r="E55" i="54" s="1"/>
  <c r="D77" i="54"/>
  <c r="G54" i="54"/>
  <c r="G55" i="54" s="1"/>
  <c r="D54" i="54"/>
  <c r="D55" i="54" s="1"/>
  <c r="E77" i="54"/>
  <c r="F54" i="54"/>
  <c r="F55" i="54" s="1"/>
  <c r="B54" i="54"/>
  <c r="B55" i="54" s="1"/>
  <c r="F77" i="54"/>
  <c r="H77" i="54"/>
  <c r="H78" i="54" s="1"/>
  <c r="H79" i="54" s="1"/>
  <c r="G77" i="54"/>
  <c r="H54" i="54"/>
  <c r="H55" i="54" s="1"/>
  <c r="C54" i="54"/>
  <c r="C55" i="54" s="1"/>
  <c r="H67" i="57"/>
  <c r="H63" i="57" s="1"/>
  <c r="H66" i="57"/>
  <c r="H66" i="51"/>
  <c r="H67" i="51"/>
  <c r="H69" i="51" s="1"/>
  <c r="F12" i="34" s="1"/>
  <c r="D12" i="34" s="1"/>
  <c r="C14" i="34" l="1"/>
  <c r="I14" i="34"/>
  <c r="C29" i="34"/>
  <c r="H68" i="52"/>
  <c r="E13" i="34" s="1"/>
  <c r="C28" i="34"/>
  <c r="H68" i="51"/>
  <c r="E12" i="34" s="1"/>
  <c r="H63" i="53"/>
  <c r="D30" i="34"/>
  <c r="H63" i="51"/>
  <c r="D28" i="34"/>
  <c r="H63" i="50"/>
  <c r="D27" i="34"/>
  <c r="F10" i="34"/>
  <c r="D10" i="34" s="1"/>
  <c r="G40" i="59"/>
  <c r="F9" i="34"/>
  <c r="D9" i="34" s="1"/>
  <c r="G40" i="29"/>
  <c r="C9" i="34"/>
  <c r="H63" i="49"/>
  <c r="D26" i="34"/>
  <c r="H63" i="28"/>
  <c r="D25" i="34"/>
  <c r="H67" i="55"/>
  <c r="H63" i="55" s="1"/>
  <c r="H67" i="52"/>
  <c r="H69" i="52" s="1"/>
  <c r="F13" i="34" s="1"/>
  <c r="D13" i="34" s="1"/>
  <c r="H66" i="49"/>
  <c r="H66" i="50"/>
  <c r="H67" i="56"/>
  <c r="H63" i="56" s="1"/>
  <c r="H67" i="54"/>
  <c r="H69" i="54" s="1"/>
  <c r="F15" i="34" s="1"/>
  <c r="D15" i="34" s="1"/>
  <c r="H66" i="54"/>
  <c r="C31" i="34" l="1"/>
  <c r="H68" i="54"/>
  <c r="E15" i="34" s="1"/>
  <c r="C13" i="34"/>
  <c r="I13" i="34"/>
  <c r="C12" i="34"/>
  <c r="I12" i="34"/>
  <c r="C27" i="34"/>
  <c r="H68" i="50"/>
  <c r="E11" i="34" s="1"/>
  <c r="H63" i="54"/>
  <c r="D31" i="34"/>
  <c r="H63" i="52"/>
  <c r="D29" i="34"/>
  <c r="D19" i="34"/>
  <c r="D35" i="34" s="1"/>
  <c r="I22" i="59"/>
  <c r="I40" i="59"/>
  <c r="F19" i="34"/>
  <c r="I9" i="34"/>
  <c r="I22" i="29"/>
  <c r="I40" i="29"/>
  <c r="C26" i="34"/>
  <c r="H68" i="49"/>
  <c r="E10" i="34" s="1"/>
  <c r="C15" i="34" l="1"/>
  <c r="I15" i="34"/>
  <c r="C11" i="34"/>
  <c r="I11" i="34"/>
  <c r="C10" i="34"/>
  <c r="I10" i="34"/>
  <c r="E19" i="34"/>
  <c r="I19" i="34" s="1"/>
  <c r="C19" i="34" l="1"/>
  <c r="C35" i="3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Choi, Won</author>
  </authors>
  <commentList>
    <comment ref="U5" authorId="0" shapeId="0" xr:uid="{00000000-0006-0000-0100-000001000000}">
      <text>
        <r>
          <rPr>
            <b/>
            <sz val="9"/>
            <color indexed="81"/>
            <rFont val="Tahoma"/>
            <family val="2"/>
          </rPr>
          <t>=IFERROR(TEXT('3.2YieldFIT'!G48,"mmm")&amp;YEAR('3.2YieldFIT'!G48),"Latest")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Choi, Won</author>
  </authors>
  <commentList>
    <comment ref="B9" authorId="0" shapeId="0" xr:uid="{00000000-0006-0000-2900-000001000000}">
      <text>
        <r>
          <rPr>
            <b/>
            <sz val="9"/>
            <color indexed="81"/>
            <rFont val="Tahoma"/>
            <family val="2"/>
          </rPr>
          <t>See column "U" aka "[16]" in sheet "Leverage Factors".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Choi, Won</author>
  </authors>
  <commentList>
    <comment ref="B9" authorId="0" shapeId="0" xr:uid="{00000000-0006-0000-2A00-000001000000}">
      <text>
        <r>
          <rPr>
            <b/>
            <sz val="9"/>
            <color indexed="81"/>
            <rFont val="Tahoma"/>
            <family val="2"/>
          </rPr>
          <t>See column "C" in sheet "uep_ls_res".</t>
        </r>
      </text>
    </comment>
    <comment ref="C9" authorId="0" shapeId="0" xr:uid="{00000000-0006-0000-2A00-000002000000}">
      <text>
        <r>
          <rPr>
            <b/>
            <sz val="9"/>
            <color indexed="81"/>
            <rFont val="Tahoma"/>
            <family val="2"/>
          </rPr>
          <t>See column "D" in sheet "uep_ls_res".</t>
        </r>
      </text>
    </comment>
  </commentList>
</comments>
</file>

<file path=xl/sharedStrings.xml><?xml version="1.0" encoding="utf-8"?>
<sst xmlns="http://schemas.openxmlformats.org/spreadsheetml/2006/main" count="3088" uniqueCount="758">
  <si>
    <t>Company Name:</t>
  </si>
  <si>
    <t>Completed by:</t>
  </si>
  <si>
    <t>Y</t>
  </si>
  <si>
    <t>N</t>
  </si>
  <si>
    <t>Line Type:</t>
  </si>
  <si>
    <t>Commercial</t>
  </si>
  <si>
    <t>Personal</t>
  </si>
  <si>
    <t>General Line :</t>
  </si>
  <si>
    <t>Aircraft</t>
  </si>
  <si>
    <t>Allied Lines</t>
  </si>
  <si>
    <t>Auto Liability and Physical Damage</t>
  </si>
  <si>
    <t>Auto Warranty</t>
  </si>
  <si>
    <t>Boiler &amp; Machinery</t>
  </si>
  <si>
    <t>Burglary &amp; Theft</t>
  </si>
  <si>
    <t>Earthquake</t>
  </si>
  <si>
    <t>Farmowners</t>
  </si>
  <si>
    <t>Fidelity</t>
  </si>
  <si>
    <t>Fire</t>
  </si>
  <si>
    <t>Flood</t>
  </si>
  <si>
    <t>Home Warranty</t>
  </si>
  <si>
    <t>Inland Marine</t>
  </si>
  <si>
    <t>Medical Malpractice</t>
  </si>
  <si>
    <t>Multiple Peril</t>
  </si>
  <si>
    <t>Other Liability</t>
  </si>
  <si>
    <t>Products Liability</t>
  </si>
  <si>
    <t>Surety</t>
  </si>
  <si>
    <t>n/a</t>
  </si>
  <si>
    <t>http://www.insurance.ca.gov/0250-insurers/0800-rate-filings/</t>
  </si>
  <si>
    <t>Co_Name</t>
  </si>
  <si>
    <t>General_Line</t>
  </si>
  <si>
    <t>Edition_Date</t>
  </si>
  <si>
    <t>State of California</t>
  </si>
  <si>
    <t>Department of Insurance (CDI)</t>
  </si>
  <si>
    <t>Company:</t>
  </si>
  <si>
    <t>Line:</t>
  </si>
  <si>
    <t>Enter Edition Date here=&gt;</t>
  </si>
  <si>
    <t>Premium Adjustment Factor</t>
  </si>
  <si>
    <t>Ancillary Income</t>
  </si>
  <si>
    <t>Accident Year Data</t>
  </si>
  <si>
    <t>Commercial Auto Liability</t>
  </si>
  <si>
    <t>Commercial Auto Physical Damage</t>
  </si>
  <si>
    <t>Commercial Multiple Peril (Combined)</t>
  </si>
  <si>
    <t>Commercial Multiple Peril (Liability)</t>
  </si>
  <si>
    <t>Commercial Multiple Peril (Non-Liability)</t>
  </si>
  <si>
    <t>Farmowners Multiple Peril</t>
  </si>
  <si>
    <t>Homeowners Multiple Peril</t>
  </si>
  <si>
    <t>Medical Malpractice (Claims-Made)</t>
  </si>
  <si>
    <t>Medical Malpractice (Occurrence)</t>
  </si>
  <si>
    <t>Other Liability (Claims-Made)</t>
  </si>
  <si>
    <t>Other Liability (Occurrence)</t>
  </si>
  <si>
    <t>Private Passenger Auto Liability</t>
  </si>
  <si>
    <t>Private Passenger Auto Physical Damage</t>
  </si>
  <si>
    <t>Products Liability (Claims-Made)</t>
  </si>
  <si>
    <t>Products Liability (Occurrence)</t>
  </si>
  <si>
    <t>California Direct Written Premium</t>
  </si>
  <si>
    <t>California Direct Earned Premium</t>
  </si>
  <si>
    <t>Earned Exposure Units</t>
  </si>
  <si>
    <t>Historic Defense and Cost Containment Expense (DCCE)</t>
  </si>
  <si>
    <t>Source</t>
  </si>
  <si>
    <t>Line</t>
  </si>
  <si>
    <t>Loss Development Factor</t>
  </si>
  <si>
    <t>DCCE Development Factor</t>
  </si>
  <si>
    <t>Catastrophe Adjustment Factor</t>
  </si>
  <si>
    <t>Reinsurance Premium</t>
  </si>
  <si>
    <t>Description</t>
  </si>
  <si>
    <t>Exh 4</t>
  </si>
  <si>
    <t>Exh 5</t>
  </si>
  <si>
    <t>Exh 6</t>
  </si>
  <si>
    <t>Exh 7</t>
  </si>
  <si>
    <t>Exh 8</t>
  </si>
  <si>
    <t>Exh 9</t>
  </si>
  <si>
    <t>Exh 10</t>
  </si>
  <si>
    <t>Exh 11</t>
  </si>
  <si>
    <t>Exh 12</t>
  </si>
  <si>
    <t>Report Year Data (Claims-Made policies only)</t>
  </si>
  <si>
    <t>Policy Year Data (Multi-Year policies only)</t>
  </si>
  <si>
    <t>Date Completed:</t>
  </si>
  <si>
    <t>Detailed Line Description:</t>
  </si>
  <si>
    <t>Coverage:</t>
  </si>
  <si>
    <t>%Captive</t>
  </si>
  <si>
    <t>%Direct</t>
  </si>
  <si>
    <t>%Independent</t>
  </si>
  <si>
    <t>Proposed Effective Date (new rates):</t>
  </si>
  <si>
    <t>Variance #:</t>
  </si>
  <si>
    <t>1A</t>
  </si>
  <si>
    <t>1B</t>
  </si>
  <si>
    <t>2A</t>
  </si>
  <si>
    <t>2B</t>
  </si>
  <si>
    <t>2C</t>
  </si>
  <si>
    <t>4</t>
  </si>
  <si>
    <t>5</t>
  </si>
  <si>
    <t>3</t>
  </si>
  <si>
    <t>7A</t>
  </si>
  <si>
    <t>7B</t>
  </si>
  <si>
    <t>7C</t>
  </si>
  <si>
    <t>7D</t>
  </si>
  <si>
    <t>7E</t>
  </si>
  <si>
    <t>7F</t>
  </si>
  <si>
    <t>8A</t>
  </si>
  <si>
    <t>8B</t>
  </si>
  <si>
    <t>8C</t>
  </si>
  <si>
    <t>8D</t>
  </si>
  <si>
    <t>8E</t>
  </si>
  <si>
    <t>8F</t>
  </si>
  <si>
    <t>9</t>
  </si>
  <si>
    <t>Y/N Indicator</t>
  </si>
  <si>
    <t>Line Type</t>
  </si>
  <si>
    <t>Variance #</t>
  </si>
  <si>
    <t>Y/N/na Indicator</t>
  </si>
  <si>
    <r>
      <t>Projected</t>
    </r>
    <r>
      <rPr>
        <b/>
        <vertAlign val="superscript"/>
        <sz val="11"/>
        <color indexed="8"/>
        <rFont val="Calibri"/>
        <family val="2"/>
      </rPr>
      <t>1</t>
    </r>
  </si>
  <si>
    <r>
      <t>New Program</t>
    </r>
    <r>
      <rPr>
        <b/>
        <vertAlign val="superscript"/>
        <sz val="11"/>
        <color indexed="8"/>
        <rFont val="Calibri"/>
        <family val="2"/>
      </rPr>
      <t>2</t>
    </r>
  </si>
  <si>
    <t>Exh 13</t>
  </si>
  <si>
    <r>
      <t>Change to Efficiency Standard</t>
    </r>
    <r>
      <rPr>
        <vertAlign val="superscript"/>
        <sz val="11"/>
        <color indexed="8"/>
        <rFont val="Calibri"/>
        <family val="2"/>
      </rPr>
      <t>3</t>
    </r>
  </si>
  <si>
    <t>(DEPARTMENT USE ONLY)</t>
  </si>
  <si>
    <t>Year</t>
  </si>
  <si>
    <t>(0)</t>
  </si>
  <si>
    <t>6</t>
  </si>
  <si>
    <t>Captive</t>
  </si>
  <si>
    <t>Direct</t>
  </si>
  <si>
    <t>Line Description</t>
  </si>
  <si>
    <t>Source:</t>
  </si>
  <si>
    <t>California Marketing System Survey</t>
  </si>
  <si>
    <t>Prepared by:</t>
  </si>
  <si>
    <t>Sources:</t>
  </si>
  <si>
    <t>Commercial Multiple Peril (Lines 5.1 &amp; 5.2 combined)</t>
  </si>
  <si>
    <t>Independent</t>
  </si>
  <si>
    <t>Efficiency Standards: 3-Year Industry Average</t>
  </si>
  <si>
    <t>Last year of data:</t>
  </si>
  <si>
    <t>Last revised:</t>
  </si>
  <si>
    <t>For Department Use Only</t>
  </si>
  <si>
    <r>
      <t>Premium Trend Factor</t>
    </r>
    <r>
      <rPr>
        <vertAlign val="superscript"/>
        <sz val="11"/>
        <color indexed="8"/>
        <rFont val="Calibri"/>
        <family val="2"/>
      </rPr>
      <t>1</t>
    </r>
  </si>
  <si>
    <r>
      <t>DCCE Trend Factor</t>
    </r>
    <r>
      <rPr>
        <vertAlign val="superscript"/>
        <sz val="11"/>
        <color indexed="8"/>
        <rFont val="Calibri"/>
        <family val="2"/>
      </rPr>
      <t>1</t>
    </r>
  </si>
  <si>
    <r>
      <t>Loss Trend Factor</t>
    </r>
    <r>
      <rPr>
        <vertAlign val="superscript"/>
        <sz val="11"/>
        <color indexed="8"/>
        <rFont val="Calibri"/>
        <family val="2"/>
      </rPr>
      <t>1</t>
    </r>
  </si>
  <si>
    <t>Historic Losses</t>
  </si>
  <si>
    <t>Leverage Factor</t>
  </si>
  <si>
    <t>Edition:</t>
  </si>
  <si>
    <t>Reserves Ratio</t>
  </si>
  <si>
    <t>Editions:</t>
  </si>
  <si>
    <t>Unearned Premium Reserves</t>
  </si>
  <si>
    <t>Loss Reserves</t>
  </si>
  <si>
    <t>CDI File #:</t>
  </si>
  <si>
    <t>CDI_FileNo</t>
  </si>
  <si>
    <t>CDI File # (Department Use Only):</t>
  </si>
  <si>
    <t>Incurred Loss and DCCE</t>
  </si>
  <si>
    <t>DCCE</t>
  </si>
  <si>
    <r>
      <t>Medical Malpractice (Occurrence)</t>
    </r>
    <r>
      <rPr>
        <vertAlign val="superscript"/>
        <sz val="11"/>
        <color indexed="8"/>
        <rFont val="Calibri"/>
        <family val="2"/>
      </rPr>
      <t>1</t>
    </r>
  </si>
  <si>
    <r>
      <t>Medical Malpractice (Claims-Made)</t>
    </r>
    <r>
      <rPr>
        <vertAlign val="superscript"/>
        <sz val="11"/>
        <color indexed="8"/>
        <rFont val="Calibri"/>
        <family val="2"/>
      </rPr>
      <t>1</t>
    </r>
  </si>
  <si>
    <r>
      <t>Other Liability (Occurrence)</t>
    </r>
    <r>
      <rPr>
        <vertAlign val="superscript"/>
        <sz val="11"/>
        <color indexed="8"/>
        <rFont val="Calibri"/>
        <family val="2"/>
      </rPr>
      <t>1</t>
    </r>
  </si>
  <si>
    <r>
      <t>Other Liability (Claims-Made)</t>
    </r>
    <r>
      <rPr>
        <vertAlign val="superscript"/>
        <sz val="11"/>
        <color indexed="8"/>
        <rFont val="Calibri"/>
        <family val="2"/>
      </rPr>
      <t>1</t>
    </r>
  </si>
  <si>
    <r>
      <t>Products Liability (Occurrence)</t>
    </r>
    <r>
      <rPr>
        <vertAlign val="superscript"/>
        <sz val="11"/>
        <color indexed="8"/>
        <rFont val="Calibri"/>
        <family val="2"/>
      </rPr>
      <t>1</t>
    </r>
  </si>
  <si>
    <r>
      <t>Products Liability (Claims-Made)</t>
    </r>
    <r>
      <rPr>
        <vertAlign val="superscript"/>
        <sz val="11"/>
        <color indexed="8"/>
        <rFont val="Calibri"/>
        <family val="2"/>
      </rPr>
      <t>1</t>
    </r>
  </si>
  <si>
    <r>
      <rPr>
        <vertAlign val="superscript"/>
        <sz val="11"/>
        <color indexed="8"/>
        <rFont val="Calibri"/>
        <family val="2"/>
      </rPr>
      <t>1</t>
    </r>
    <r>
      <rPr>
        <sz val="11"/>
        <color theme="1"/>
        <rFont val="Calibri"/>
        <family val="2"/>
        <scheme val="minor"/>
      </rPr>
      <t xml:space="preserve">  Claims-Made and Occurrence policies use figures based on line totals </t>
    </r>
  </si>
  <si>
    <t>(i.e., 11.0 for Medical Malpractice, 17.0 for Other Liability and 18.0 for Products Liability)</t>
  </si>
  <si>
    <t>Incurred Loss (000s)</t>
  </si>
  <si>
    <t>DCCE (000s)</t>
  </si>
  <si>
    <t>Marketing System Distribution:</t>
  </si>
  <si>
    <r>
      <t>Most Recent Year Total Expense Ratio (excluding DCCE)</t>
    </r>
    <r>
      <rPr>
        <vertAlign val="superscript"/>
        <sz val="11"/>
        <color indexed="8"/>
        <rFont val="Calibri"/>
        <family val="2"/>
      </rPr>
      <t>4</t>
    </r>
  </si>
  <si>
    <r>
      <rPr>
        <vertAlign val="superscript"/>
        <sz val="11"/>
        <color indexed="8"/>
        <rFont val="Calibri"/>
        <family val="2"/>
      </rPr>
      <t>4</t>
    </r>
    <r>
      <rPr>
        <sz val="11"/>
        <color theme="1"/>
        <rFont val="Calibri"/>
        <family val="2"/>
        <scheme val="minor"/>
      </rPr>
      <t xml:space="preserve">  Refer to CCR </t>
    </r>
    <r>
      <rPr>
        <sz val="11"/>
        <color indexed="8"/>
        <rFont val="Calibri"/>
        <family val="2"/>
      </rPr>
      <t>§2644.27 (h).</t>
    </r>
  </si>
  <si>
    <t>General Line (Page 1)</t>
  </si>
  <si>
    <t>(Multiple Pages)</t>
  </si>
  <si>
    <t>(Page 1)</t>
  </si>
  <si>
    <t>Check to ensure that each sheet's print preview shows the correct edition date.</t>
  </si>
  <si>
    <t>Excluded Expense Ratio</t>
  </si>
  <si>
    <t>(1)</t>
  </si>
  <si>
    <t>(2)</t>
  </si>
  <si>
    <t>Yield</t>
  </si>
  <si>
    <t>FIT_Inv</t>
  </si>
  <si>
    <t>FIT_UW</t>
  </si>
  <si>
    <t>EffDate_Proposed</t>
  </si>
  <si>
    <t>Prior Effective Date:</t>
  </si>
  <si>
    <t>Proposed Effective Date:</t>
  </si>
  <si>
    <t>Data Provided by Filer</t>
  </si>
  <si>
    <t>Prem_Earned</t>
  </si>
  <si>
    <t>Prem_Written</t>
  </si>
  <si>
    <t>Prem_Adj</t>
  </si>
  <si>
    <t>Prem_Trend</t>
  </si>
  <si>
    <t>Misc_Fees</t>
  </si>
  <si>
    <t>Exposures_Earned</t>
  </si>
  <si>
    <t>Losses</t>
  </si>
  <si>
    <t>Loss_Trend</t>
  </si>
  <si>
    <t>DCCE_Trend</t>
  </si>
  <si>
    <t>Loss_Devt</t>
  </si>
  <si>
    <t>DCCE_Devt</t>
  </si>
  <si>
    <t>CAT_Adj</t>
  </si>
  <si>
    <t>Credibility</t>
  </si>
  <si>
    <t>ExpRatio_Excluded</t>
  </si>
  <si>
    <t>Completed_By</t>
  </si>
  <si>
    <t>Completed_Date</t>
  </si>
  <si>
    <t>Anc_Income</t>
  </si>
  <si>
    <t>CDI Parameters</t>
  </si>
  <si>
    <t>EffStd_Final</t>
  </si>
  <si>
    <t>LevFact_Final</t>
  </si>
  <si>
    <t>PremTaxRate</t>
  </si>
  <si>
    <t>SurplusRatio</t>
  </si>
  <si>
    <t>ResRatio_Loss</t>
  </si>
  <si>
    <t>ROR_RiskFree</t>
  </si>
  <si>
    <t>ROR_Max</t>
  </si>
  <si>
    <t>ROR_Min</t>
  </si>
  <si>
    <t>ResRatio_UPR</t>
  </si>
  <si>
    <t>Prem_Adjusted</t>
  </si>
  <si>
    <t>Losses_Adjusted</t>
  </si>
  <si>
    <t>DCCE_Adjusted</t>
  </si>
  <si>
    <t>LossDCCERatio_Adjusted</t>
  </si>
  <si>
    <t>LossDCCE_perExp</t>
  </si>
  <si>
    <t>CompLossDCCE_perExp</t>
  </si>
  <si>
    <t>Comp_Trend</t>
  </si>
  <si>
    <t>Net_AnnualTrend</t>
  </si>
  <si>
    <t>Max_Profit</t>
  </si>
  <si>
    <t>Min_Profit</t>
  </si>
  <si>
    <t>UW_Profit</t>
  </si>
  <si>
    <t>Max_Denom</t>
  </si>
  <si>
    <t>Min_Denom</t>
  </si>
  <si>
    <t>Max_Premium</t>
  </si>
  <si>
    <t>Min_Premium</t>
  </si>
  <si>
    <t>CredLoss_perExp</t>
  </si>
  <si>
    <t>TCRLP_perExp</t>
  </si>
  <si>
    <t>Anc_Inc_perExp</t>
  </si>
  <si>
    <t>InvInc_Fixed</t>
  </si>
  <si>
    <t>InvInc_Variable</t>
  </si>
  <si>
    <t>Rein_Prem</t>
  </si>
  <si>
    <t>Rein_Recov</t>
  </si>
  <si>
    <t>ReinPrem_perExp</t>
  </si>
  <si>
    <t>ReinRec_perExp</t>
  </si>
  <si>
    <t>CompLoss_Rein</t>
  </si>
  <si>
    <t>ReinMax_Premium</t>
  </si>
  <si>
    <t>Rein_CHANGE_AT_MAX</t>
  </si>
  <si>
    <t>5th Prior Year Ending</t>
  </si>
  <si>
    <t>4th Prior Year Ending</t>
  </si>
  <si>
    <t>3rd Prior Year Ending</t>
  </si>
  <si>
    <t>2nd Prior Year Ending</t>
  </si>
  <si>
    <t>1st Prior Year Ending</t>
  </si>
  <si>
    <t>Most Recent Year Ending</t>
  </si>
  <si>
    <t>Comm_Rate</t>
  </si>
  <si>
    <t>Reinsurance Calculations</t>
  </si>
  <si>
    <t>Calculations</t>
  </si>
  <si>
    <t>CHANGE_AT_MIN</t>
  </si>
  <si>
    <t>CHANGE_AT_MAX</t>
  </si>
  <si>
    <t>1.1</t>
  </si>
  <si>
    <t>1.3</t>
  </si>
  <si>
    <t>1.2</t>
  </si>
  <si>
    <t>AOE/(Loss+DCCE)</t>
  </si>
  <si>
    <t>(DCCE+AOE)/Loss</t>
  </si>
  <si>
    <t>(Loss+DCCE+AOE)/Loss</t>
  </si>
  <si>
    <t>1.4</t>
  </si>
  <si>
    <t>2.1</t>
  </si>
  <si>
    <t>2.2</t>
  </si>
  <si>
    <t>U.S. P&amp;C industry loss and DCCE experience by line)</t>
  </si>
  <si>
    <t>[A]</t>
  </si>
  <si>
    <t>[B]</t>
  </si>
  <si>
    <t>(([A] - 1) x Loss - DCCE)/(Loss + DCCE)</t>
  </si>
  <si>
    <t>([A] x Loss - DCCE)/(Loss + DCCE)</t>
  </si>
  <si>
    <t>[C]</t>
  </si>
  <si>
    <t>If Formula for Load is:</t>
  </si>
  <si>
    <t>Conversion to AOE/(Loss + DCCE) is:</t>
  </si>
  <si>
    <t>1.5</t>
  </si>
  <si>
    <t xml:space="preserve">Calculated </t>
  </si>
  <si>
    <t>AOE Load</t>
  </si>
  <si>
    <t>CCR §2644.27(f)(1)(A): Relief from the efficiency standard for bona fide loss-prevention and loss reduction activities (Allocated cost for SIU.)</t>
  </si>
  <si>
    <t>CCR §2644.27(f)(1)(B): Relief from the efficiency standard for bona fide loss-prevention and loss reduction activities (Expense for loss prevention programs.)</t>
  </si>
  <si>
    <t>CCR §2644.27(f)(2)(A): Relief from the efficiency standard due to higher quality of service, as demonstrated by objective measures of consumer satisfaction.</t>
  </si>
  <si>
    <t>CCR §2644.27(f)(2)(B): Relief from the efficiency standard due to demonstrated superior service to underserved communities (refer to CCR §2646.6).</t>
  </si>
  <si>
    <t>CCR §2644.27(f)(2)(C): Relief from the efficiency standard due to significantly smaller or larger than average California policy premium, including any applicable fees.</t>
  </si>
  <si>
    <t>CCR §2644.27(f)(3): Adjustment to leverage factor determined pursuant to CCR §2644.17 on the basis that the insurer either writes at least 90% of its direct earned premium in one line or writes at least 90% of its direct earned premium in California, and its mix of business presents investment risks different from the risks that are typical of the line as a whole.</t>
  </si>
  <si>
    <t>CCR §2644.27(f)(4): Relief from operation of the efficiency standard for a line of insurance in which the insurer has never written over $1 million in earned premium annually and the insurer is making a substantial investment in order to enter the market.</t>
  </si>
  <si>
    <t>CCR §2644.27(f)(5): The minimum permitted earned premium should be lower on the basis of the insurer's certification that the rate will not cause the insurer's financial condition to present an undue risk to its solvency.</t>
  </si>
  <si>
    <t>CCR §2644.27(f)(6): The insurer's financial condition is such that its maximum permitted earned premium should be increased in order to protect solvency.</t>
  </si>
  <si>
    <t>CCR §2644.27(f)(7)(A): The loss development formula in CCR §2644.6 does not produce an actuarially sound result because there is not enough data to be credible.</t>
  </si>
  <si>
    <t>CCR §2644.27(f)(7)(B): The loss development formula in CCR §2644.6 does not produce an actuarially sound result because there are not enough years of data to fully calculate the development to ultimate.</t>
  </si>
  <si>
    <t>CCR §2644.27(f)(7)(C): The loss development formula in CCR §2644.6 does not produce an actuarially sound result because there are changes in the insurer's reserving or claims closing practices that significantly affect the data.</t>
  </si>
  <si>
    <t>CCR §2644.27(f)(7)(D): The loss development formula in CCR §2644.6 does not produce an actuarially sound result because there are changes in coverage or other policy terms that significantly affect the data.</t>
  </si>
  <si>
    <r>
      <t xml:space="preserve">CCR §2644.27(f)(7)(E): The loss development formula in CCR </t>
    </r>
    <r>
      <rPr>
        <sz val="11"/>
        <color indexed="8"/>
        <rFont val="Calibri"/>
        <family val="2"/>
      </rPr>
      <t>§</t>
    </r>
    <r>
      <rPr>
        <sz val="11"/>
        <color theme="1"/>
        <rFont val="Calibri"/>
        <family val="2"/>
        <scheme val="minor"/>
      </rPr>
      <t>2644.6 does not produce an actuarially sound result because t</t>
    </r>
    <r>
      <rPr>
        <sz val="11"/>
        <color indexed="8"/>
        <rFont val="Calibri"/>
        <family val="2"/>
      </rPr>
      <t>here are changes in the law that significantly affect the data.</t>
    </r>
  </si>
  <si>
    <t>CCR §2644.27(f)(7)(F): The loss development formula in CCR §2644.6 does not produce an actuarially sound result because there is a significant increase or decrease in the amount of business written or significant changes in the mix of business.</t>
  </si>
  <si>
    <t>CCR §2644.27(f)(8)(A): The trend formula in CCR §2644.7 does not produce the most an actuarially sound result because there is a significant increase/decrease in the amount of business written or changes in the mix of business.</t>
  </si>
  <si>
    <t>CCR §2644.27(f)(8)(B): The trend formula in CCR §2644.7 does not produce the most an actuarially sound result because there are not enough years of data to calculate the trend factor.</t>
  </si>
  <si>
    <t>CCR §2644.27(f)(8)(C): The trend formula in CCR §2644.7 does not produce the most an actuarially sound result because there is a significant change in the law affecting frequency or severity of claims.</t>
  </si>
  <si>
    <t>CCR §2644.27(f)(8)(D): The trend formula in CCR §2644.7 does not produce the most an actuarially sound result because it can be shown that a trend calculated over a period of at least 4 quarters other than a period permitted pursuant to CCR §2644.7(b) is more reliable prospectively.</t>
  </si>
  <si>
    <t>CCR §2644.27(f)(8)(E): The trend formula in CCR §2644.7 does not produce the most an actuarially sound result because there are changes in the insurer's claims closing practices that significantly affect the data.</t>
  </si>
  <si>
    <t>CCR §2644.27(f)(8)(F): The trend formula in CCR §2644.7 does not produce the most an actuarially sound result because there are changes in coverage or other policy terms that significantly affect the data.</t>
  </si>
  <si>
    <t>CCR §2644.27(f)(9): The maximum permitted earned premium would be confiscatory if applied.</t>
  </si>
  <si>
    <t>Click button below to update footers for each sheet of the application with new edition date.</t>
  </si>
  <si>
    <t>Statement File Supplement - Exhibit of Premiums and Losses -Total US PC Industry</t>
  </si>
  <si>
    <t>New_Program</t>
  </si>
  <si>
    <t>2.3</t>
  </si>
  <si>
    <t>Click button below to unprotect all sheets of this file.</t>
  </si>
  <si>
    <t>Click button below to reprotect all sheets of this file.</t>
  </si>
  <si>
    <t>Instructions for Completing the Prior Approval Rate Template</t>
  </si>
  <si>
    <t>Click button below to hide all reference sheets that are for Department use only, including this Input sheet.</t>
  </si>
  <si>
    <t>(Note: Run macro explicitly from Developer menu to unhide sheets.)</t>
  </si>
  <si>
    <t>RangeNames</t>
  </si>
  <si>
    <r>
      <t>Incurred Losses</t>
    </r>
    <r>
      <rPr>
        <vertAlign val="superscript"/>
        <sz val="11"/>
        <color theme="1"/>
        <rFont val="Calibri"/>
        <family val="2"/>
      </rPr>
      <t>1</t>
    </r>
  </si>
  <si>
    <r>
      <t>DCCE</t>
    </r>
    <r>
      <rPr>
        <vertAlign val="superscript"/>
        <sz val="11"/>
        <color theme="1"/>
        <rFont val="Calibri"/>
        <family val="2"/>
      </rPr>
      <t>1</t>
    </r>
  </si>
  <si>
    <r>
      <rPr>
        <vertAlign val="superscript"/>
        <sz val="11"/>
        <color theme="1"/>
        <rFont val="Calibri"/>
        <family val="2"/>
      </rPr>
      <t>1</t>
    </r>
    <r>
      <rPr>
        <sz val="11"/>
        <color theme="1"/>
        <rFont val="Calibri"/>
        <family val="2"/>
        <scheme val="minor"/>
      </rPr>
      <t xml:space="preserve"> Source: </t>
    </r>
  </si>
  <si>
    <t>Variance Adjustment</t>
  </si>
  <si>
    <t>Rate Regulation Branch</t>
  </si>
  <si>
    <t>Rate Regulation Branch - Rate Services Bureau</t>
  </si>
  <si>
    <t>Maximum Permitted LCM</t>
  </si>
  <si>
    <t>New Program Filings</t>
  </si>
  <si>
    <t>Basis of load listed in line 1.2.</t>
  </si>
  <si>
    <t>AO's AOE as a percent of loss and DCCE (derived from 1.3 and</t>
  </si>
  <si>
    <t>Maximum Permitted LCM, based on efficiency standard</t>
  </si>
  <si>
    <t>Existing Program Filings</t>
  </si>
  <si>
    <t>2.3.i</t>
  </si>
  <si>
    <t>2.3.ii</t>
  </si>
  <si>
    <t>AOE or LAE load approved for line or coverage</t>
  </si>
  <si>
    <t xml:space="preserve">Cumulative AO loss cost percent change approved for line or coverage </t>
  </si>
  <si>
    <t>Cumulative AO loss cost percent change approved for line or coverage,</t>
  </si>
  <si>
    <t>Projected</t>
  </si>
  <si>
    <t xml:space="preserve">For new program filings, enter the following data: the CDI file number associated with the approved advisory organization filing supporting the loss costs to be adopted; the AOE or LAE load as filed by the advisory organization; and the basis of that AOE or LAE load. 
</t>
  </si>
  <si>
    <r>
      <t xml:space="preserve">For existing program filings, enter the following data: the CDI file number associated with the advisory organization filing supporting the company’s currently used loss costs; the current company LCM; the CDI file number(s) associated with all changes to advisory organization loss costs since the filing underlying the company’s currently used loss costs, separated by commas; and the </t>
    </r>
    <r>
      <rPr>
        <i/>
        <sz val="11"/>
        <color theme="1"/>
        <rFont val="Calibri"/>
        <family val="2"/>
      </rPr>
      <t>cumulative</t>
    </r>
    <r>
      <rPr>
        <sz val="11"/>
        <color theme="1"/>
        <rFont val="Calibri"/>
        <family val="2"/>
        <scheme val="minor"/>
      </rPr>
      <t xml:space="preserve"> percent change in loss costs identified by those CDI file number(s), both as originally filed and as adjusted for the company's distribution.</t>
    </r>
  </si>
  <si>
    <t>Refer to the complete Prior Approval Rate Filing Instructions for additional information.</t>
  </si>
  <si>
    <t>Error Messages, if Any, Associated with Ratemaking Data Input Page to the Left</t>
  </si>
  <si>
    <t>Projected Federal Income Tax Rate on Investment Income</t>
  </si>
  <si>
    <t>Projected Yield</t>
  </si>
  <si>
    <t>Annual Statement - Statutory Page 14 for California</t>
  </si>
  <si>
    <t>Efficiency Standard</t>
  </si>
  <si>
    <t>Final Adjusted Efficiency Standard</t>
  </si>
  <si>
    <t>Final Adjusted Leverage Factor</t>
  </si>
  <si>
    <t>Data as of:</t>
  </si>
  <si>
    <t>Conversion of Advisory Organization's AOE Load into a Ratio to Loss and DCCE</t>
  </si>
  <si>
    <t>Best's Aggregates and Averages</t>
  </si>
  <si>
    <t>Best's Aggregates and Averages, Property &amp; Casualty</t>
  </si>
  <si>
    <t>Direct Commission Rate</t>
  </si>
  <si>
    <t>Reinsurance Recoverable</t>
  </si>
  <si>
    <r>
      <rPr>
        <vertAlign val="superscript"/>
        <sz val="11"/>
        <color indexed="8"/>
        <rFont val="Calibri"/>
        <family val="2"/>
      </rPr>
      <t>2</t>
    </r>
    <r>
      <rPr>
        <sz val="11"/>
        <color theme="1"/>
        <rFont val="Calibri"/>
        <family val="2"/>
        <scheme val="minor"/>
      </rPr>
      <t xml:space="preserve">  Refer to Section III.C. of the Prior Approval Rate Filing Instructions for New Program requirements</t>
    </r>
    <r>
      <rPr>
        <sz val="11"/>
        <rFont val="Calibri"/>
        <family val="2"/>
        <scheme val="minor"/>
      </rPr>
      <t>.</t>
    </r>
  </si>
  <si>
    <t>Medical Malpractice (Claims-Made) - incl. reinsurance costs</t>
  </si>
  <si>
    <t>Earthquake w/consideration for the cost of reinsurance</t>
  </si>
  <si>
    <t>Medical Malpractice - incl. reinsurance costs</t>
  </si>
  <si>
    <t>Medical Malpractice (Occurrence) - incl. reinsurance costs</t>
  </si>
  <si>
    <t>11.0R</t>
  </si>
  <si>
    <t>11.1R</t>
  </si>
  <si>
    <t>11.2R</t>
  </si>
  <si>
    <t>12.0R</t>
  </si>
  <si>
    <r>
      <t>Medical Malpractice (Claims-Made) - incl. reinsurance costs</t>
    </r>
    <r>
      <rPr>
        <vertAlign val="superscript"/>
        <sz val="11"/>
        <color theme="1"/>
        <rFont val="Calibri"/>
        <family val="2"/>
      </rPr>
      <t>1</t>
    </r>
  </si>
  <si>
    <r>
      <t>Medical Malpractice (Occurrence) - incl. reinsurance costs</t>
    </r>
    <r>
      <rPr>
        <vertAlign val="superscript"/>
        <sz val="11"/>
        <color theme="1"/>
        <rFont val="Calibri"/>
        <family val="2"/>
      </rPr>
      <t>1</t>
    </r>
  </si>
  <si>
    <t>CDI AO File # underlying current loss costs</t>
  </si>
  <si>
    <t>CDI Advisory Organization (AO) File # underlying proposed loss costs</t>
  </si>
  <si>
    <t>CDI AO File #(s) underlying proposed loss costs (enter all applicable file numbers, separated by commas)</t>
  </si>
  <si>
    <t>Complete Lines 19 and 20 if a Request for Variance (1A, 1B, 2A, 2B, 2C or 4) accompanies this filing (see instructions).</t>
  </si>
  <si>
    <r>
      <rPr>
        <vertAlign val="superscript"/>
        <sz val="11"/>
        <color indexed="8"/>
        <rFont val="Calibri"/>
        <family val="2"/>
      </rPr>
      <t>3</t>
    </r>
    <r>
      <rPr>
        <sz val="11"/>
        <color theme="1"/>
        <rFont val="Calibri"/>
        <family val="2"/>
        <scheme val="minor"/>
      </rPr>
      <t xml:space="preserve">  Applicable if any of Variance 1A, 1B, 2A, 2B, 2C or 4 (or any combination thereof) is being requested.  Subject to CDI approval.</t>
    </r>
  </si>
  <si>
    <t>within Excel ribbon, click "Edit Links" and then click "Open Source".</t>
  </si>
  <si>
    <t>Password:</t>
  </si>
  <si>
    <t>Proposed Company LCM</t>
  </si>
  <si>
    <t>Current Company LCM</t>
  </si>
  <si>
    <t>adjusted for Company's distribution</t>
  </si>
  <si>
    <t>Detailed_LineDesc10</t>
  </si>
  <si>
    <t>Detailed_LineCode10</t>
  </si>
  <si>
    <t>Detailed_LineDesc01</t>
  </si>
  <si>
    <t>Detailed_LineCode01</t>
  </si>
  <si>
    <t>Detailed_LineDesc02</t>
  </si>
  <si>
    <t>Detailed_LineCode02</t>
  </si>
  <si>
    <t>Detailed_LineCode03</t>
  </si>
  <si>
    <t>Detailed_LineCode04</t>
  </si>
  <si>
    <t>Detailed_LineCode05</t>
  </si>
  <si>
    <t>Detailed_LineCode06</t>
  </si>
  <si>
    <t>Detailed_LineCode07</t>
  </si>
  <si>
    <t>Detailed_LineCode08</t>
  </si>
  <si>
    <t>Detailed_LineCode09</t>
  </si>
  <si>
    <t>Detailed_LineDesc03</t>
  </si>
  <si>
    <t>Detailed_LineDesc04</t>
  </si>
  <si>
    <t>Detailed_LineDesc05</t>
  </si>
  <si>
    <t>Detailed_LineDesc06</t>
  </si>
  <si>
    <t>Detailed_LineDesc07</t>
  </si>
  <si>
    <t>Detailed_LineDesc08</t>
  </si>
  <si>
    <t>Detailed_LineDesc09</t>
  </si>
  <si>
    <t>New Program:</t>
  </si>
  <si>
    <t>Data Aggregation:</t>
  </si>
  <si>
    <r>
      <t xml:space="preserve">CDI File # </t>
    </r>
    <r>
      <rPr>
        <b/>
        <i/>
        <sz val="11"/>
        <color theme="1"/>
        <rFont val="Calibri"/>
        <family val="2"/>
      </rPr>
      <t>(Department Use Only)</t>
    </r>
    <r>
      <rPr>
        <b/>
        <sz val="11"/>
        <color theme="1"/>
        <rFont val="Calibri"/>
        <family val="2"/>
        <scheme val="minor"/>
      </rPr>
      <t>:</t>
    </r>
  </si>
  <si>
    <t>Coverage/Form</t>
  </si>
  <si>
    <t>Proposed %</t>
  </si>
  <si>
    <t>Covg01</t>
  </si>
  <si>
    <t>Covg02</t>
  </si>
  <si>
    <t>Covg03</t>
  </si>
  <si>
    <t>Covg04</t>
  </si>
  <si>
    <t>Covg05</t>
  </si>
  <si>
    <t>Covg06</t>
  </si>
  <si>
    <t>Covg07</t>
  </si>
  <si>
    <t>Covg08</t>
  </si>
  <si>
    <t>Covg09</t>
  </si>
  <si>
    <t>Covg10</t>
  </si>
  <si>
    <t>Combined</t>
  </si>
  <si>
    <t>LCM_Indicator</t>
  </si>
  <si>
    <t>For Property &amp; Liability Lines</t>
  </si>
  <si>
    <t>SUMMARY</t>
  </si>
  <si>
    <t>Detailed Line Description(s)</t>
  </si>
  <si>
    <t>Minimum Permitted Earned Premium ($)</t>
  </si>
  <si>
    <t>Maximum Permitted Earned Premium ($)</t>
  </si>
  <si>
    <t>Average Earned Premium $ per Exposure</t>
  </si>
  <si>
    <t>Most Recent Year of Experience Data Ending:</t>
  </si>
  <si>
    <t>Line Code</t>
  </si>
  <si>
    <t>Detailed Line Description</t>
  </si>
  <si>
    <t>Marketing System Distribution</t>
  </si>
  <si>
    <t>EXCLUDED EXPENSE RATIO</t>
  </si>
  <si>
    <t>Countrywide Insurer Group Data</t>
  </si>
  <si>
    <t>2nd Prior Calendar Year</t>
  </si>
  <si>
    <t>1st Prior Calendar Year</t>
  </si>
  <si>
    <t>Most Recent Calendar Year</t>
  </si>
  <si>
    <t>CCR §2644.10 (b): Executive Compensation</t>
  </si>
  <si>
    <t>Cash &amp; Salary</t>
  </si>
  <si>
    <t>Bonus</t>
  </si>
  <si>
    <t>1st Highest Paid</t>
  </si>
  <si>
    <t>2nd Highest Paid</t>
  </si>
  <si>
    <t>3rd Highest Paid</t>
  </si>
  <si>
    <t>4th Highest Paid</t>
  </si>
  <si>
    <t>5th Highest Paid</t>
  </si>
  <si>
    <t>Maximum Permissible</t>
  </si>
  <si>
    <t>Excessive Amount</t>
  </si>
  <si>
    <t>Total  Excessive</t>
  </si>
  <si>
    <t>CCR §2644.10 (f): Institutional Advertising</t>
  </si>
  <si>
    <t>Institutional</t>
  </si>
  <si>
    <r>
      <t>Total Advertising</t>
    </r>
    <r>
      <rPr>
        <vertAlign val="superscript"/>
        <sz val="11"/>
        <color indexed="8"/>
        <rFont val="Calibri"/>
        <family val="2"/>
      </rPr>
      <t>1</t>
    </r>
  </si>
  <si>
    <t>EXCLUDED EXPENSE RATIO (continued)</t>
  </si>
  <si>
    <t xml:space="preserve">CCR §2644.10 (a): Political contribution and lobbying </t>
  </si>
  <si>
    <t>CCR §2644.10 (c): Bad faith judgments and associated DCCE</t>
  </si>
  <si>
    <t>CCR §2644.10 (d): All costs for unsuccessful defense of discrimination claims</t>
  </si>
  <si>
    <t>CCR §2644.10 (e): Fines and penalties</t>
  </si>
  <si>
    <t xml:space="preserve">CCR §2644.10 (g): Excessive payments to affiliates  </t>
  </si>
  <si>
    <t>Total Excluded Expenses</t>
  </si>
  <si>
    <t>Three-Year Average Excluded Expense Ratio</t>
  </si>
  <si>
    <t>PROJECTED YIELD AND FEDERAL INCOME TAX RATE ON INVESTMENT INCOME</t>
  </si>
  <si>
    <t>Short-Term Assets</t>
  </si>
  <si>
    <t>Intermediate-Term Assets</t>
  </si>
  <si>
    <t>Long-Term Assets</t>
  </si>
  <si>
    <t>1 Year or Less</t>
  </si>
  <si>
    <t>Over 1 Year thru 5 Years</t>
  </si>
  <si>
    <t>Over 5 Years thru 10 Years</t>
  </si>
  <si>
    <t>Over 10 Years thru 20 Years</t>
  </si>
  <si>
    <t>Over 20 Years</t>
  </si>
  <si>
    <t>U.S. Governments</t>
  </si>
  <si>
    <t>All Other Governments</t>
  </si>
  <si>
    <t>States, Territories and Possessions</t>
  </si>
  <si>
    <t xml:space="preserve">Political Subdivisions </t>
  </si>
  <si>
    <t>Special Revenue and Assessment Obligations</t>
  </si>
  <si>
    <t>Industrial and Miscellaneous</t>
  </si>
  <si>
    <t>Parent, Subsidiaries and Affiliates</t>
  </si>
  <si>
    <t>Over 1 Year thru 10 Years</t>
  </si>
  <si>
    <t>Over 10 Years</t>
  </si>
  <si>
    <t>Government Bonds (Sum of Lines 1.7 &amp; 2.7)</t>
  </si>
  <si>
    <t>(3)</t>
  </si>
  <si>
    <t>Tax-Exempt Bonds (Sum of Lines 3.7, 4.7 and one-half of Line 5.7)</t>
  </si>
  <si>
    <r>
      <t>Invested Assets</t>
    </r>
    <r>
      <rPr>
        <vertAlign val="superscript"/>
        <sz val="11"/>
        <color indexed="8"/>
        <rFont val="Calibri"/>
        <family val="2"/>
      </rPr>
      <t>1</t>
    </r>
  </si>
  <si>
    <r>
      <t>Currently Available Yield</t>
    </r>
    <r>
      <rPr>
        <vertAlign val="superscript"/>
        <sz val="11"/>
        <color indexed="8"/>
        <rFont val="Calibri"/>
        <family val="2"/>
      </rPr>
      <t>2</t>
    </r>
  </si>
  <si>
    <t>Return on Invested Assets</t>
  </si>
  <si>
    <t>Federal Income Tax Rate</t>
  </si>
  <si>
    <t>Federal Income Taxes</t>
  </si>
  <si>
    <t>[1]</t>
  </si>
  <si>
    <t>[2]</t>
  </si>
  <si>
    <t>[3] = [1] * [2]</t>
  </si>
  <si>
    <t>[4]</t>
  </si>
  <si>
    <t>[5) = [3] * [4]</t>
  </si>
  <si>
    <t>U.S. Government Bonds</t>
  </si>
  <si>
    <t>(i) Short-Term</t>
  </si>
  <si>
    <t>(ii) Intermediate-Term</t>
  </si>
  <si>
    <t>(iii) Long-Term</t>
  </si>
  <si>
    <t>Other Taxable Bonds</t>
  </si>
  <si>
    <t>Tax-Exempt Bonds</t>
  </si>
  <si>
    <t>(4)</t>
  </si>
  <si>
    <t>Common Stock</t>
  </si>
  <si>
    <t>(i) Dividends</t>
  </si>
  <si>
    <t>(ii) Capital Gains</t>
  </si>
  <si>
    <t>(5)</t>
  </si>
  <si>
    <t>Preferred Stock Dividends</t>
  </si>
  <si>
    <t>(6)</t>
  </si>
  <si>
    <t>Mortgage Loans</t>
  </si>
  <si>
    <t>(7)</t>
  </si>
  <si>
    <t>Real Estate</t>
  </si>
  <si>
    <t>(8)</t>
  </si>
  <si>
    <t>Cash</t>
  </si>
  <si>
    <t>(9)</t>
  </si>
  <si>
    <t>Other</t>
  </si>
  <si>
    <t>(10)</t>
  </si>
  <si>
    <t>Total Gross Invested Assets</t>
  </si>
  <si>
    <t>(11)</t>
  </si>
  <si>
    <r>
      <t>Investment Expense</t>
    </r>
    <r>
      <rPr>
        <vertAlign val="superscript"/>
        <sz val="11"/>
        <rFont val="Calibri"/>
        <family val="2"/>
      </rPr>
      <t>3</t>
    </r>
  </si>
  <si>
    <t>(12)</t>
  </si>
  <si>
    <t>Total Net Invested Assets</t>
  </si>
  <si>
    <t>(13)</t>
  </si>
  <si>
    <t>Federal Income Tax: Line (12); column [5]/column [3]</t>
  </si>
  <si>
    <t>(14)</t>
  </si>
  <si>
    <t>Projected Yield on Invested Assets: Line (12), column [3]/column [1]</t>
  </si>
  <si>
    <t>(15)</t>
  </si>
  <si>
    <r>
      <t>Loss Reserves</t>
    </r>
    <r>
      <rPr>
        <vertAlign val="superscript"/>
        <sz val="11"/>
        <rFont val="Calibri"/>
        <family val="2"/>
      </rPr>
      <t>4</t>
    </r>
  </si>
  <si>
    <t>(16)</t>
  </si>
  <si>
    <r>
      <t>Loss Adjustment Expense Reserves</t>
    </r>
    <r>
      <rPr>
        <vertAlign val="superscript"/>
        <sz val="11"/>
        <rFont val="Calibri"/>
        <family val="2"/>
      </rPr>
      <t>4</t>
    </r>
  </si>
  <si>
    <t>(17)</t>
  </si>
  <si>
    <r>
      <t>Unearned Premium Reserves</t>
    </r>
    <r>
      <rPr>
        <vertAlign val="superscript"/>
        <sz val="11"/>
        <rFont val="Calibri"/>
        <family val="2"/>
      </rPr>
      <t>4</t>
    </r>
  </si>
  <si>
    <t>(18)</t>
  </si>
  <si>
    <r>
      <t>Surplus as Regards to Policyholders</t>
    </r>
    <r>
      <rPr>
        <vertAlign val="superscript"/>
        <sz val="11"/>
        <rFont val="Calibri"/>
        <family val="2"/>
      </rPr>
      <t>4</t>
    </r>
  </si>
  <si>
    <t>(19)</t>
  </si>
  <si>
    <t>Total Reserves and Surplus</t>
  </si>
  <si>
    <t>(20)</t>
  </si>
  <si>
    <t xml:space="preserve"> - Line (8) Cash: Page 2 (Assets) Line 5, cash only; cash equivalents and short-term investments are included in Schedule D.</t>
  </si>
  <si>
    <t xml:space="preserve"> - Line (9) Other: Page 2 (Assets) Sum of Lines 6, 8, 9 and 11.</t>
  </si>
  <si>
    <r>
      <rPr>
        <vertAlign val="superscript"/>
        <sz val="11"/>
        <color indexed="8"/>
        <rFont val="Calibri"/>
        <family val="2"/>
      </rPr>
      <t xml:space="preserve">2 </t>
    </r>
    <r>
      <rPr>
        <sz val="11"/>
        <color theme="1"/>
        <rFont val="Calibri"/>
        <family val="2"/>
        <scheme val="minor"/>
      </rPr>
      <t xml:space="preserve"> Currently available yields are defined in CCR §2644.20.  Latest values are posted at:</t>
    </r>
  </si>
  <si>
    <t>http://www.insurance.ca.gov/0250-insurers/0800-rate-filings/0200-prior-approval-factors/</t>
  </si>
  <si>
    <t>Month/Year (Yield):</t>
  </si>
  <si>
    <r>
      <rPr>
        <vertAlign val="superscript"/>
        <sz val="11"/>
        <color indexed="8"/>
        <rFont val="Calibri"/>
        <family val="2"/>
      </rPr>
      <t xml:space="preserve">3 </t>
    </r>
    <r>
      <rPr>
        <sz val="11"/>
        <color theme="1"/>
        <rFont val="Calibri"/>
        <family val="2"/>
        <scheme val="minor"/>
      </rPr>
      <t xml:space="preserve"> Source: Page 11, Line 25 of the insurer group's most recent consolidated statutory Annual Statement.  Entered as a positive expense.</t>
    </r>
  </si>
  <si>
    <r>
      <rPr>
        <vertAlign val="superscript"/>
        <sz val="11"/>
        <color indexed="8"/>
        <rFont val="Calibri"/>
        <family val="2"/>
      </rPr>
      <t>4</t>
    </r>
    <r>
      <rPr>
        <sz val="11"/>
        <color theme="1"/>
        <rFont val="Calibri"/>
        <family val="2"/>
        <scheme val="minor"/>
      </rPr>
      <t xml:space="preserve">  Source for Column [1], Lines (15) through (18):</t>
    </r>
  </si>
  <si>
    <t>Page 3 (Liabilities, Surplus and Other Funds) of the insurer group's most recent consolidated statutory Annual Statement, Lines 1, 3, 9 and 37, respectively.</t>
  </si>
  <si>
    <t>Countrywide direct earned premium for lines of business subject to Proposition 103 ($):</t>
  </si>
  <si>
    <r>
      <t xml:space="preserve">Countrywide direct earned premium for lines of business </t>
    </r>
    <r>
      <rPr>
        <b/>
        <i/>
        <u/>
        <sz val="11"/>
        <color indexed="8"/>
        <rFont val="Calibri"/>
        <family val="2"/>
      </rPr>
      <t>not</t>
    </r>
    <r>
      <rPr>
        <sz val="11"/>
        <color theme="1"/>
        <rFont val="Calibri"/>
        <family val="2"/>
        <scheme val="minor"/>
      </rPr>
      <t xml:space="preserve"> subject to Proposition 103 ($):</t>
    </r>
  </si>
  <si>
    <t>Total countrywide direct earned premium ($):</t>
  </si>
  <si>
    <t>Within the Prior Approval Rate Template</t>
  </si>
  <si>
    <t>Weighted Average</t>
  </si>
  <si>
    <t>Combo Box controls listed to the right on this row, if applicable, with the exception of those for Detailed Line Description, which are below the corresponding list. =&gt;</t>
  </si>
  <si>
    <t>Detailed Line Description/AS Line Number (Page 1)</t>
  </si>
  <si>
    <t>Data Aggregation Method (Page 1)</t>
  </si>
  <si>
    <t>LCM Approved Load (LCM Templates)</t>
  </si>
  <si>
    <t>Variance Request (Page 1)</t>
  </si>
  <si>
    <t>EffStd_Wtd01</t>
  </si>
  <si>
    <t>EffStd_Wtd02</t>
  </si>
  <si>
    <t>EffStd_Wtd03</t>
  </si>
  <si>
    <t>EffStd_Wtd04</t>
  </si>
  <si>
    <t>EffStd_Wtd05</t>
  </si>
  <si>
    <t>EffStd_Wtd06</t>
  </si>
  <si>
    <t>EffStd_Wtd07</t>
  </si>
  <si>
    <t>EffStd_Wtd08</t>
  </si>
  <si>
    <t>EffStd_Wtd09</t>
  </si>
  <si>
    <t>EffStd_Wtd10</t>
  </si>
  <si>
    <t>EffStd_VarReq01</t>
  </si>
  <si>
    <t>EffStd_VarReq02</t>
  </si>
  <si>
    <t>EffStd_VarReq03</t>
  </si>
  <si>
    <t>EffStd_VarReq04</t>
  </si>
  <si>
    <t>EffStd_VarReq05</t>
  </si>
  <si>
    <t>EffStd_VarReq06</t>
  </si>
  <si>
    <t>EffStd_VarReq07</t>
  </si>
  <si>
    <t>EffStd_VarReq08</t>
  </si>
  <si>
    <t>EffStd_VarReq09</t>
  </si>
  <si>
    <t>EffStd_VarReq10</t>
  </si>
  <si>
    <t>EffStd_Var01</t>
  </si>
  <si>
    <t>EffStd_Var02</t>
  </si>
  <si>
    <t>EffStd_Var03</t>
  </si>
  <si>
    <t>EffStd_Var04</t>
  </si>
  <si>
    <t>EffStd_Var05</t>
  </si>
  <si>
    <t>EffStd_Var06</t>
  </si>
  <si>
    <t>EffStd_Var07</t>
  </si>
  <si>
    <t>EffStd_Var08</t>
  </si>
  <si>
    <t>EffStd_Var09</t>
  </si>
  <si>
    <t>EffStd_Var10</t>
  </si>
  <si>
    <t>EffStd_Final01</t>
  </si>
  <si>
    <t>EffStd_Final02</t>
  </si>
  <si>
    <t>EffStd_Final03</t>
  </si>
  <si>
    <t>EffStd_Final04</t>
  </si>
  <si>
    <t>EffStd_Final05</t>
  </si>
  <si>
    <t>EffStd_Final06</t>
  </si>
  <si>
    <t>EffStd_Final07</t>
  </si>
  <si>
    <t>EffStd_Final08</t>
  </si>
  <si>
    <t>EffStd_Final09</t>
  </si>
  <si>
    <t>EffStd_Final10</t>
  </si>
  <si>
    <t>ExpRatio_Actual01</t>
  </si>
  <si>
    <t>ExpRatio_Actual02</t>
  </si>
  <si>
    <t>ExpRatio_Actual03</t>
  </si>
  <si>
    <t>ExpRatio_Actual04</t>
  </si>
  <si>
    <t>ExpRatio_Actual05</t>
  </si>
  <si>
    <t>ExpRatio_Actual06</t>
  </si>
  <si>
    <t>ExpRatio_Actual07</t>
  </si>
  <si>
    <t>ExpRatio_Actual08</t>
  </si>
  <si>
    <t>ExpRatio_Actual09</t>
  </si>
  <si>
    <t>ExpRatio_Actual10</t>
  </si>
  <si>
    <t>Final Efficiency Standard, adjusted for Variance and Excluded Expense Ratio:</t>
  </si>
  <si>
    <t>Company's Actual Expense Ratio for the Line:</t>
  </si>
  <si>
    <t>Coverages, as entered by Company:</t>
  </si>
  <si>
    <t>(Restricted to Difference between Company's Actual Expense Ratio and Efficiency Standard):</t>
  </si>
  <si>
    <t>Proposed % Impact</t>
  </si>
  <si>
    <t>Raw Factor</t>
  </si>
  <si>
    <t>ResRatio_UPR01</t>
  </si>
  <si>
    <t>ResRatio_UPR02</t>
  </si>
  <si>
    <t>ResRatio_UPR03</t>
  </si>
  <si>
    <t>ResRatio_UPR04</t>
  </si>
  <si>
    <t>ResRatio_UPR05</t>
  </si>
  <si>
    <t>ResRatio_UPR06</t>
  </si>
  <si>
    <t>ResRatio_UPR07</t>
  </si>
  <si>
    <t>ResRatio_UPR08</t>
  </si>
  <si>
    <t>ResRatio_UPR09</t>
  </si>
  <si>
    <t>ResRatio_UPR10</t>
  </si>
  <si>
    <t>ResRatio_Loss01</t>
  </si>
  <si>
    <t>ResRatio_Loss02</t>
  </si>
  <si>
    <t>ResRatio_Loss03</t>
  </si>
  <si>
    <t>ResRatio_Loss04</t>
  </si>
  <si>
    <t>ResRatio_Loss05</t>
  </si>
  <si>
    <t>ResRatio_Loss06</t>
  </si>
  <si>
    <t>ResRatio_Loss07</t>
  </si>
  <si>
    <t>ResRatio_Loss08</t>
  </si>
  <si>
    <t>ResRatio_Loss09</t>
  </si>
  <si>
    <t>ResRatio_Loss10</t>
  </si>
  <si>
    <t>Loss Reserves Ratio for the Line:</t>
  </si>
  <si>
    <t>Company's Allowable Efficiency Standard Variance by Line:</t>
  </si>
  <si>
    <t>Unearned Premium Reserves Ratio for the Line:</t>
  </si>
  <si>
    <t>Company's Requested Efficiency Standard Variance for the Line:</t>
  </si>
  <si>
    <t>Efficiency Standard by Line weighted by Marketing System Distribution:</t>
  </si>
  <si>
    <t>Codes Corresponding to Lines of Business</t>
  </si>
  <si>
    <t>Lines of Business Associated with Coverages, as defined below:</t>
  </si>
  <si>
    <t>LevFact_Final01</t>
  </si>
  <si>
    <t>LevFact_Final02</t>
  </si>
  <si>
    <t>LevFact_Final03</t>
  </si>
  <si>
    <t>LevFact_Final04</t>
  </si>
  <si>
    <t>LevFact_Final05</t>
  </si>
  <si>
    <t>LevFact_Final06</t>
  </si>
  <si>
    <t>LevFact_Final07</t>
  </si>
  <si>
    <t>LevFact_Final08</t>
  </si>
  <si>
    <t>LevFact_Final09</t>
  </si>
  <si>
    <t>LevFact_Final10</t>
  </si>
  <si>
    <t>Go to 6.1Ratemaking Data</t>
  </si>
  <si>
    <t>(Enter in YYYYQ format.)</t>
  </si>
  <si>
    <t>Variance Request:</t>
  </si>
  <si>
    <t>Final Leverage Factor, adjusted for Variance 3, if applicable:</t>
  </si>
  <si>
    <t>Does the Ratemaking Data include a Request(s) for Variance?</t>
  </si>
  <si>
    <t>RATEMAKING DATA</t>
  </si>
  <si>
    <t>FINAL ADJUSTED CDI PARAMETERS</t>
  </si>
  <si>
    <t>Pg 4.2</t>
  </si>
  <si>
    <t>Pg 3.2</t>
  </si>
  <si>
    <t>Proposed</t>
  </si>
  <si>
    <t>If yes, is Variance #3 requested for any coverage?</t>
  </si>
  <si>
    <t>Go to 6.2Ratemaking Data</t>
  </si>
  <si>
    <t>Proposed Earned Premium ($)</t>
  </si>
  <si>
    <t>Rein_Indicator</t>
  </si>
  <si>
    <t>Go to 6.10Ratemaking Data</t>
  </si>
  <si>
    <t>Go to 6.9Ratemaking Data</t>
  </si>
  <si>
    <t>Go to 6.8Ratemaking Data</t>
  </si>
  <si>
    <t>Go to 6.7Ratemaking Data</t>
  </si>
  <si>
    <t>Go to 6.6Ratemaking Data</t>
  </si>
  <si>
    <t>Go to 6.5Ratemaking Data</t>
  </si>
  <si>
    <t>Go to 6.4Ratemaking Data</t>
  </si>
  <si>
    <t>Go to 6.3Ratemaking Data</t>
  </si>
  <si>
    <t xml:space="preserve">Note: To ensure latest yield/ROR information is used, go to Data menu </t>
  </si>
  <si>
    <t>Combo Box Controls for LCM Approved Load</t>
  </si>
  <si>
    <t>Select Sheets to Print</t>
  </si>
  <si>
    <t>Sheets to Print (Page 1)</t>
  </si>
  <si>
    <t>1. General</t>
  </si>
  <si>
    <t>2. Summary</t>
  </si>
  <si>
    <t>3. Yield/FIT</t>
  </si>
  <si>
    <t>4. Excluded Expense</t>
  </si>
  <si>
    <t>5. CDI Parameters</t>
  </si>
  <si>
    <t>6. Ratemaking Data</t>
  </si>
  <si>
    <t>All Sheets</t>
  </si>
  <si>
    <t>(continued)</t>
  </si>
  <si>
    <t>Coverage/Form/Program</t>
  </si>
  <si>
    <r>
      <t xml:space="preserve">Areas of insurer input are generally identified with </t>
    </r>
    <r>
      <rPr>
        <b/>
        <sz val="11"/>
        <color rgb="FF0000FF"/>
        <rFont val="Calibri"/>
        <family val="2"/>
      </rPr>
      <t>blue font text</t>
    </r>
    <r>
      <rPr>
        <sz val="11"/>
        <color theme="1"/>
        <rFont val="Calibri"/>
        <family val="2"/>
        <scheme val="minor"/>
      </rPr>
      <t xml:space="preserve"> and/or light blue outlined boxes. </t>
    </r>
  </si>
  <si>
    <r>
      <t xml:space="preserve">Enter data from the insurer's Combined Annual Statement  into unshaded boxes in pages 3 and 4 to generate Yield, Federal Income Tax on Investment Income and Excluded Expense Ratio for the insurer group.  </t>
    </r>
    <r>
      <rPr>
        <sz val="11"/>
        <color theme="1"/>
        <rFont val="Calibri"/>
        <family val="2"/>
        <scheme val="minor"/>
      </rPr>
      <t>Asset yield percentages are linked to an internal California Department of Insurance file.  To ensure the latest yield/ROR information is used, go to Data menu in the Excel ribbon, click "Edit Links" and then click "Open Source."</t>
    </r>
  </si>
  <si>
    <r>
      <t>For the i</t>
    </r>
    <r>
      <rPr>
        <vertAlign val="superscript"/>
        <sz val="11"/>
        <color theme="1"/>
        <rFont val="Calibri"/>
        <family val="2"/>
        <scheme val="minor"/>
      </rPr>
      <t>th</t>
    </r>
    <r>
      <rPr>
        <sz val="11"/>
        <color theme="1"/>
        <rFont val="Calibri"/>
        <family val="2"/>
        <scheme val="minor"/>
      </rPr>
      <t xml:space="preserve"> coverage, form or program, enter data into unshaded boxes of the '6.iRatemaking Data' page only.  Enter numerical data only.  For inapplicable fields, enter 0 for dollar ($) or percentage (%) fields and 1.00 for factors.  For coverages, forms or programs requiring more than three years of data, click the "Expand to show six years" button.</t>
    </r>
  </si>
  <si>
    <t>On each '6.iRatemaking Data' page, rows for data associated with variance requests  related to the efficiency standard are hidden unless that request is indicated on the '1.General' page.  Enter variance data, if supported by a Variance Request.  Final decisions regarding variances will be made by the CDI and/or administrative hearing.</t>
  </si>
  <si>
    <t>On each '6.iRatemaking Data' page, rows for reinsurance data associated with lines of business for which recognition of reinsurance is allowable (Earthquake and certain Medical Malpractice) are hidden unless those lines are selected on the '1.General' page. If applicable, enter all requested reinsurance information.</t>
  </si>
  <si>
    <r>
      <t xml:space="preserve">If filing Advisory Organization Loss Costs with a Loss Cost Multiplier, refer to specific Instructions for Completing the </t>
    </r>
    <r>
      <rPr>
        <i/>
        <sz val="11"/>
        <color theme="1"/>
        <rFont val="Calibri"/>
        <family val="2"/>
      </rPr>
      <t>LCM Template</t>
    </r>
    <r>
      <rPr>
        <sz val="11"/>
        <color theme="1"/>
        <rFont val="Calibri"/>
        <family val="2"/>
        <scheme val="minor"/>
      </rPr>
      <t>, to the right.</t>
    </r>
  </si>
  <si>
    <t>1)</t>
  </si>
  <si>
    <t>2)</t>
  </si>
  <si>
    <t>3)</t>
  </si>
  <si>
    <t>4)</t>
  </si>
  <si>
    <t>5)</t>
  </si>
  <si>
    <t>6)</t>
  </si>
  <si>
    <t>7)</t>
  </si>
  <si>
    <t>8)</t>
  </si>
  <si>
    <t>9)</t>
  </si>
  <si>
    <t>10)</t>
  </si>
  <si>
    <t>Note:  For information on populating the application in its entirety, including the Prior Approval Rate Application, Prior Approval Rate Template and Standard Exhibits Template, refer to the complete Prior Approval Rate Filing Instructions posted in PDF format on the CDI website, below:</t>
  </si>
  <si>
    <t>Combined Total Earned Exposures for Latest Year:</t>
  </si>
  <si>
    <r>
      <t xml:space="preserve">In addition to identifying the coverage, forms or programs included in this </t>
    </r>
    <r>
      <rPr>
        <i/>
        <sz val="11"/>
        <color theme="1"/>
        <rFont val="Calibri"/>
        <family val="2"/>
      </rPr>
      <t>Prior Approval Rate Template</t>
    </r>
    <r>
      <rPr>
        <sz val="11"/>
        <color theme="1"/>
        <rFont val="Calibri"/>
        <family val="2"/>
        <scheme val="minor"/>
      </rPr>
      <t>, enter the insurer information common to all coverages in the "1.General" page, including Company Name; Line Type (Personal or Commercial); General Line; Marketing System Distribution (percentage of each system used, totaling 100%); Prior Effective Date (of current rates); Proposed Effective Date (of proposed new rates); Data Aggregation Method used (accident year, report year, policy year); Most Recent Year of Experience Data; and Request for Variance, if applicable.  Also indicate if this application reflects a new program.</t>
    </r>
  </si>
  <si>
    <t/>
  </si>
  <si>
    <t>PRIOR APPROVAL RATE TEMPLATE FOR PROPERTY &amp; LIABILITY LINES</t>
  </si>
  <si>
    <t>GENERAL INFORMATION</t>
  </si>
  <si>
    <r>
      <t xml:space="preserve">A </t>
    </r>
    <r>
      <rPr>
        <sz val="11"/>
        <color theme="1"/>
        <rFont val="Calibri"/>
        <family val="2"/>
      </rPr>
      <t>rate change calculation page</t>
    </r>
    <r>
      <rPr>
        <sz val="11"/>
        <color theme="1"/>
        <rFont val="Calibri"/>
        <family val="2"/>
        <scheme val="minor"/>
      </rPr>
      <t xml:space="preserve"> (i.e., '7.iRate Change Calculation) is required for each coverage (e.g., BI, PD, MP, UM, COLL, COMP, etc.), form (e.g., HO-3, HO-4, HO-6, etc.) or program (e.g., Auto Dealers, Garagekeepers, Truckers/Motor Carriers, etc.) for which a rate change is being requested.  For each filing submitted, download a new Application and Rate Template - do not "recycle" a template from a previously approved filing.</t>
    </r>
  </si>
  <si>
    <t>For results regarding the ith coverage, form or program, refer to the '7.iRate Change Calculation' page.  Hyperlinks are available at the bottom of the '6.iRatemaking Data' page and the corresponding '7.iRate Change Calculation' page for each coverage, form or program for convenient navigation between those pages.</t>
  </si>
  <si>
    <r>
      <t>For the i</t>
    </r>
    <r>
      <rPr>
        <vertAlign val="superscript"/>
        <sz val="11"/>
        <color theme="1"/>
        <rFont val="Calibri"/>
        <family val="2"/>
        <scheme val="minor"/>
      </rPr>
      <t>th</t>
    </r>
    <r>
      <rPr>
        <sz val="11"/>
        <color theme="1"/>
        <rFont val="Calibri"/>
        <family val="2"/>
        <scheme val="minor"/>
      </rPr>
      <t xml:space="preserve"> coverage, form or program, enter data into unshaded boxes of the '8.iLCM Calculation</t>
    </r>
    <r>
      <rPr>
        <i/>
        <sz val="11"/>
        <color theme="1"/>
        <rFont val="Calibri"/>
        <family val="2"/>
        <scheme val="minor"/>
      </rPr>
      <t>'</t>
    </r>
    <r>
      <rPr>
        <sz val="11"/>
        <color theme="1"/>
        <rFont val="Calibri"/>
        <family val="2"/>
        <scheme val="minor"/>
      </rPr>
      <t xml:space="preserve"> page only. Areas of insurer input are generally identified with </t>
    </r>
    <r>
      <rPr>
        <b/>
        <sz val="11"/>
        <color rgb="FF0000FF"/>
        <rFont val="Calibri"/>
        <family val="2"/>
      </rPr>
      <t>blue font text</t>
    </r>
    <r>
      <rPr>
        <sz val="11"/>
        <color theme="1"/>
        <rFont val="Calibri"/>
        <family val="2"/>
        <scheme val="minor"/>
      </rPr>
      <t xml:space="preserve"> and/or light blue outlined boxes. </t>
    </r>
  </si>
  <si>
    <t>Enter name of each coverage/form/program for which a rate change is being requested in the cells below.  Otherwise, leave blank.</t>
  </si>
  <si>
    <t>Error Messages, if Any, Associated with General Information Page to the Left</t>
  </si>
  <si>
    <t>Error Messages, if Any, Associated with Summary Page to the Left</t>
  </si>
  <si>
    <t>Error Messages, if Any, Associated with YieldFIT Page to the Left</t>
  </si>
  <si>
    <t>RATE CHANGE CALCULATION</t>
  </si>
  <si>
    <t>Go to 7.1Rate Change Calculation</t>
  </si>
  <si>
    <t>Go to 7.2Rate Change Calculation</t>
  </si>
  <si>
    <t>Go to 7.3Rate Change Calculation</t>
  </si>
  <si>
    <t>Go to 7.4Rate Change Calculation</t>
  </si>
  <si>
    <t>Go to 7.5Rate Change Calculation</t>
  </si>
  <si>
    <t>Go to 7.6Rate Change Calculation</t>
  </si>
  <si>
    <t>Go to 7.7Rate Change Calculation</t>
  </si>
  <si>
    <t>Go to 7.8Rate Change Calculation</t>
  </si>
  <si>
    <t>Go to 7.9Rate Change Calculation</t>
  </si>
  <si>
    <t>Go to 7.10Rate Change Calculation</t>
  </si>
  <si>
    <r>
      <t xml:space="preserve">(Note: Total must reconcile to the countrywide direct earned premium in the Insurance Expense Exhibit, Part 3 for the </t>
    </r>
    <r>
      <rPr>
        <b/>
        <i/>
        <sz val="10"/>
        <color theme="1"/>
        <rFont val="Calibri"/>
        <family val="2"/>
      </rPr>
      <t>insurer group</t>
    </r>
    <r>
      <rPr>
        <i/>
        <sz val="10"/>
        <color theme="1"/>
        <rFont val="Calibri"/>
        <family val="2"/>
        <scheme val="minor"/>
      </rPr>
      <t>.)</t>
    </r>
  </si>
  <si>
    <t>LOSS COST MULTIPLIER (LCM) CALCULATION</t>
  </si>
  <si>
    <t>CCR §2644.10 (b): Excessive Executive Compensation (Page 4.1)</t>
  </si>
  <si>
    <t>CCR §2644.10 (f):  Institutional advertising expenses (Page 4.1)</t>
  </si>
  <si>
    <t>Detailed Line Description for Selected General Line</t>
  </si>
  <si>
    <t>Prior Effective Date (current rates)</t>
  </si>
  <si>
    <t>EffDate_Prior01</t>
  </si>
  <si>
    <t>EffDate_Prior02</t>
  </si>
  <si>
    <t>EffDate_Prior03</t>
  </si>
  <si>
    <t>EffDate_Prior04</t>
  </si>
  <si>
    <t>EffDate_Prior05</t>
  </si>
  <si>
    <t>EffDate_Prior06</t>
  </si>
  <si>
    <t>EffDate_Prior07</t>
  </si>
  <si>
    <t>EffDate_Prior08</t>
  </si>
  <si>
    <t>EffDate_Prior09</t>
  </si>
  <si>
    <t>EffDate_Prior10</t>
  </si>
  <si>
    <t>Prior Effective Dates, by coverage (usually for HO forms, which can be filed separately):</t>
  </si>
  <si>
    <r>
      <rPr>
        <vertAlign val="superscript"/>
        <sz val="11"/>
        <color indexed="8"/>
        <rFont val="Calibri"/>
        <family val="2"/>
      </rPr>
      <t>1</t>
    </r>
    <r>
      <rPr>
        <sz val="11"/>
        <color theme="1"/>
        <rFont val="Calibri"/>
        <family val="2"/>
        <scheme val="minor"/>
      </rPr>
      <t xml:space="preserve">  Source for Column [1], Lines (4) through (9): Page 2 (Assets) of the insurer </t>
    </r>
    <r>
      <rPr>
        <b/>
        <sz val="11"/>
        <color theme="1"/>
        <rFont val="Calibri"/>
        <family val="2"/>
        <scheme val="minor"/>
      </rPr>
      <t>group's</t>
    </r>
    <r>
      <rPr>
        <sz val="11"/>
        <color theme="1"/>
        <rFont val="Calibri"/>
        <family val="2"/>
        <scheme val="minor"/>
      </rPr>
      <t xml:space="preserve"> most recent consolidated (combined) statutory Annual Statement.</t>
    </r>
  </si>
  <si>
    <r>
      <t xml:space="preserve">A separate </t>
    </r>
    <r>
      <rPr>
        <i/>
        <sz val="11"/>
        <color theme="1"/>
        <rFont val="Calibri"/>
        <family val="2"/>
      </rPr>
      <t xml:space="preserve">LCM Calculation </t>
    </r>
    <r>
      <rPr>
        <sz val="11"/>
        <color theme="1"/>
        <rFont val="Calibri"/>
        <family val="2"/>
      </rPr>
      <t xml:space="preserve">page is available for every coverage, form or program for which a </t>
    </r>
    <r>
      <rPr>
        <i/>
        <sz val="11"/>
        <color theme="1"/>
        <rFont val="Calibri"/>
        <family val="2"/>
      </rPr>
      <t>Prior Approval Rate Template</t>
    </r>
    <r>
      <rPr>
        <sz val="11"/>
        <color theme="1"/>
        <rFont val="Calibri"/>
        <family val="2"/>
      </rPr>
      <t xml:space="preserve"> is submitted.  The </t>
    </r>
    <r>
      <rPr>
        <i/>
        <sz val="11"/>
        <color theme="1"/>
        <rFont val="Calibri"/>
        <family val="2"/>
      </rPr>
      <t>LCM Calculation</t>
    </r>
    <r>
      <rPr>
        <sz val="11"/>
        <color theme="1"/>
        <rFont val="Calibri"/>
        <family val="2"/>
      </rPr>
      <t xml:space="preserve"> pages are hidden unless the appropriate box on the "1.General" page is selected.</t>
    </r>
  </si>
  <si>
    <t>8. LCM Calculation</t>
  </si>
  <si>
    <t>7. Rate Change Calculation</t>
  </si>
  <si>
    <t>Change at Minimum %</t>
  </si>
  <si>
    <t>Change at Maximum %</t>
  </si>
  <si>
    <t>Hybrid Securities</t>
  </si>
  <si>
    <t>Statement Blank.)</t>
  </si>
  <si>
    <t>NAIC Annual Statement Schedule D, Part 1A, Section 1.  Assets included in "Other Taxable Bonds" conform to the current NAIC Annual</t>
  </si>
  <si>
    <t>(Note:  CCR §2644.20 refers to bond asset classes of "Credit Tenant Loans" and "Public Utilities" that are no longer recorded in the</t>
  </si>
  <si>
    <t>LCM Calculation(s) Included:</t>
  </si>
  <si>
    <r>
      <t xml:space="preserve">Schedule D, Part 1A, Section 1 of the insurer </t>
    </r>
    <r>
      <rPr>
        <b/>
        <sz val="11"/>
        <color indexed="8"/>
        <rFont val="Calibri"/>
        <family val="2"/>
      </rPr>
      <t>group's</t>
    </r>
    <r>
      <rPr>
        <sz val="11"/>
        <color theme="1"/>
        <rFont val="Calibri"/>
        <family val="2"/>
        <scheme val="minor"/>
      </rPr>
      <t xml:space="preserve"> most recent consolidated (combined) statutory Annual Statement.</t>
    </r>
  </si>
  <si>
    <t>Instructions for Completing the Loss Cost Multiplier Calculation</t>
  </si>
  <si>
    <t>Variance #(s):</t>
  </si>
  <si>
    <r>
      <rPr>
        <vertAlign val="superscript"/>
        <sz val="11"/>
        <color indexed="8"/>
        <rFont val="Calibri"/>
        <family val="2"/>
      </rPr>
      <t>1</t>
    </r>
    <r>
      <rPr>
        <sz val="11"/>
        <color theme="1"/>
        <rFont val="Calibri"/>
        <family val="2"/>
        <scheme val="minor"/>
      </rPr>
      <t xml:space="preserve">  The Projected column should reflect the annual trend expressed as a percentage for premium, loss and DCCE trends, and credibility.</t>
    </r>
  </si>
  <si>
    <t>Minimum Permitted</t>
  </si>
  <si>
    <t>Maximum Permitted</t>
  </si>
  <si>
    <t>Error Messages, if Any, Associated with Excluded Exp Page to the Left</t>
  </si>
  <si>
    <t>Complete Lines 19, 20 &amp; 21 for Earthquake and certain Medical Malpractice with Reinsurance Only (see instructions).</t>
  </si>
  <si>
    <t>Error Messages, if Any, Associated with LCM Calculation Page to the Left</t>
  </si>
  <si>
    <t>Fire &amp; Allied Lines</t>
  </si>
  <si>
    <t>Projected Yield adjusted to Reserve and Surplus Base: Line (14), column [2]*Line (12), column [1]/Line (19), column [1]</t>
  </si>
  <si>
    <t>FIT</t>
  </si>
  <si>
    <t>Lines 16-18 link directly to pages 3 and 4 of the rate template.</t>
  </si>
  <si>
    <t>Risk Free Rate of Return</t>
  </si>
  <si>
    <t>Check box if the excluded expenses entered in this page are derived on a countrywide, group basis</t>
  </si>
  <si>
    <r>
      <t xml:space="preserve">reported in the Insurance Expense Exhibit, Part 1, Line 4 for the </t>
    </r>
    <r>
      <rPr>
        <b/>
        <i/>
        <sz val="10"/>
        <color theme="1"/>
        <rFont val="Calibri"/>
        <family val="2"/>
      </rPr>
      <t>insurer group</t>
    </r>
    <r>
      <rPr>
        <i/>
        <sz val="10"/>
        <color theme="1"/>
        <rFont val="Calibri"/>
        <family val="2"/>
        <scheme val="minor"/>
      </rPr>
      <t>.</t>
    </r>
  </si>
  <si>
    <t>Non-Institutional</t>
  </si>
  <si>
    <r>
      <rPr>
        <i/>
        <vertAlign val="superscript"/>
        <sz val="10"/>
        <color theme="1"/>
        <rFont val="Calibri"/>
        <family val="2"/>
        <scheme val="minor"/>
      </rPr>
      <t>1</t>
    </r>
    <r>
      <rPr>
        <i/>
        <sz val="10"/>
        <color theme="1"/>
        <rFont val="Calibri"/>
        <family val="2"/>
        <scheme val="minor"/>
      </rPr>
      <t>Note: For each calendar year, the sum of Institutional and Non-Institutional advertising expenses must reconcile to the total advertising expenses</t>
    </r>
  </si>
  <si>
    <t>2018 Federal Tax Bill</t>
  </si>
  <si>
    <t>No Maturity</t>
  </si>
  <si>
    <t>Date</t>
  </si>
  <si>
    <r>
      <rPr>
        <vertAlign val="superscript"/>
        <sz val="11"/>
        <color indexed="8"/>
        <rFont val="Calibri"/>
        <family val="2"/>
      </rPr>
      <t>1</t>
    </r>
    <r>
      <rPr>
        <sz val="11"/>
        <color theme="1"/>
        <rFont val="Calibri"/>
        <family val="2"/>
        <scheme val="minor"/>
      </rPr>
      <t xml:space="preserve">  SVO Identified Funds are treated as Other Taxable Long-Term Bonds.</t>
    </r>
  </si>
  <si>
    <r>
      <t>Other Taxable Bonds (Sum of Lines 6.7, 7.7, 8.7 and one-half of Line 5.7)</t>
    </r>
    <r>
      <rPr>
        <vertAlign val="superscript"/>
        <sz val="11"/>
        <color theme="1"/>
        <rFont val="Calibri"/>
        <family val="2"/>
        <scheme val="minor"/>
      </rPr>
      <t>1</t>
    </r>
  </si>
  <si>
    <t>SVO Identified Funds</t>
  </si>
  <si>
    <t>Experience Credibility</t>
  </si>
  <si>
    <t>Investment Expense</t>
  </si>
  <si>
    <t xml:space="preserve">Data as of: </t>
  </si>
  <si>
    <t>Premium Tax Rate</t>
  </si>
  <si>
    <t xml:space="preserve">Note: The latest ROR information can be found in the CDI Parameters tab. </t>
  </si>
  <si>
    <t>2.5</t>
  </si>
  <si>
    <t>Rate impact to the insurer's book from changes other than updating the loss cost or</t>
  </si>
  <si>
    <t>LCM (rule changes, updating rating factors, etc.)</t>
  </si>
  <si>
    <t>RSB Worksheet</t>
  </si>
  <si>
    <t>Month/Year Yield Selection</t>
  </si>
  <si>
    <t>Dropbox (Page 3.2)</t>
  </si>
  <si>
    <t>User Selection List</t>
  </si>
  <si>
    <t>Initial SERFF Filing Date:</t>
  </si>
  <si>
    <t>Completed Date:</t>
  </si>
  <si>
    <t>SERFF_Filing_Date</t>
  </si>
  <si>
    <t>Miscellaneous Fees and Flat Charges</t>
  </si>
  <si>
    <t>Other Liability and Product Liability</t>
  </si>
  <si>
    <t>2021</t>
  </si>
  <si>
    <t>01/11/2022</t>
  </si>
  <si>
    <t>BIPD</t>
  </si>
  <si>
    <t>MPC</t>
  </si>
  <si>
    <t>UM</t>
  </si>
  <si>
    <t>COMP</t>
  </si>
  <si>
    <t>COLL</t>
  </si>
  <si>
    <t>Misc. Damage</t>
  </si>
  <si>
    <t>Misc. Liability</t>
  </si>
  <si>
    <t>June 2022</t>
  </si>
  <si>
    <t>Laura Campbell</t>
  </si>
  <si>
    <t>State Farm Mutual Automobile Insurance Company</t>
  </si>
  <si>
    <t>LZfh4rlW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</si>
</sst>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7" formatCode="&quot;$&quot;#,##0.00_);\(&quot;$&quot;#,##0.00\)"/>
    <numFmt numFmtId="44" formatCode="_(&quot;$&quot;* #,##0.00_);_(&quot;$&quot;* \(#,##0.00\);_(&quot;$&quot;* &quot;-&quot;??_);_(@_)"/>
    <numFmt numFmtId="43" formatCode="_(* #,##0.00_);_(* \(#,##0.00\);_(* &quot;-&quot;??_);_(@_)"/>
    <numFmt numFmtId="164" formatCode="m/d/yyyy;@"/>
    <numFmt numFmtId="165" formatCode="0.0%"/>
    <numFmt numFmtId="166" formatCode="0_);\(0\)"/>
    <numFmt numFmtId="167" formatCode="0.000_);\(0.000\)"/>
    <numFmt numFmtId="168" formatCode="0.0"/>
    <numFmt numFmtId="169" formatCode="0.0000_);\(0.0000\)"/>
    <numFmt numFmtId="170" formatCode="0.00_);\(0.00\)"/>
    <numFmt numFmtId="171" formatCode="0.0000000000000000%"/>
    <numFmt numFmtId="172" formatCode="_(* #,##0_);_(* \(#,##0\);_(* &quot;-&quot;??_);_(@_)"/>
    <numFmt numFmtId="173" formatCode="0.000"/>
    <numFmt numFmtId="174" formatCode="0.000%"/>
    <numFmt numFmtId="175" formatCode="0.0000_);[Red]\(0.0000\)"/>
    <numFmt numFmtId="176" formatCode="#,##0.00%_);[Red]\(#,##0.00%\)"/>
    <numFmt numFmtId="177" formatCode=";;;"/>
    <numFmt numFmtId="178" formatCode="mmmm\ yyyy"/>
    <numFmt numFmtId="179" formatCode="#,###;\-#,###;0"/>
    <numFmt numFmtId="180" formatCode="#,##0.000_);\(#,##0.000\)"/>
  </numFmts>
  <fonts count="87" x14ac:knownFonts="1">
    <font>
      <sz val="11"/>
      <color theme="1"/>
      <name val="Calibri"/>
      <family val="2"/>
      <scheme val="minor"/>
    </font>
    <font>
      <vertAlign val="superscript"/>
      <sz val="11"/>
      <color indexed="8"/>
      <name val="Calibri"/>
      <family val="2"/>
    </font>
    <font>
      <b/>
      <vertAlign val="superscript"/>
      <sz val="11"/>
      <color indexed="8"/>
      <name val="Calibri"/>
      <family val="2"/>
    </font>
    <font>
      <sz val="11"/>
      <color indexed="8"/>
      <name val="Calibri"/>
      <family val="2"/>
    </font>
    <font>
      <b/>
      <sz val="10"/>
      <name val="Arial"/>
      <family val="2"/>
    </font>
    <font>
      <sz val="10"/>
      <name val="Arial"/>
      <family val="2"/>
    </font>
    <font>
      <sz val="11"/>
      <color theme="1"/>
      <name val="Calibri"/>
      <family val="2"/>
      <scheme val="minor"/>
    </font>
    <font>
      <u/>
      <sz val="11"/>
      <color theme="10"/>
      <name val="Calibri"/>
      <family val="2"/>
      <scheme val="minor"/>
    </font>
    <font>
      <b/>
      <sz val="11"/>
      <color theme="1"/>
      <name val="Calibri"/>
      <family val="2"/>
      <scheme val="minor"/>
    </font>
    <font>
      <b/>
      <sz val="18"/>
      <color theme="1"/>
      <name val="Calibri"/>
      <family val="2"/>
      <scheme val="minor"/>
    </font>
    <font>
      <sz val="11"/>
      <color rgb="FF0000FF"/>
      <name val="Calibri"/>
      <family val="2"/>
      <scheme val="minor"/>
    </font>
    <font>
      <b/>
      <i/>
      <sz val="11"/>
      <color theme="1"/>
      <name val="Calibri"/>
      <family val="2"/>
      <scheme val="minor"/>
    </font>
    <font>
      <sz val="11"/>
      <name val="Calibri"/>
      <family val="2"/>
      <scheme val="minor"/>
    </font>
    <font>
      <b/>
      <i/>
      <sz val="12"/>
      <color theme="1"/>
      <name val="Calibri"/>
      <family val="2"/>
      <scheme val="minor"/>
    </font>
    <font>
      <b/>
      <i/>
      <u/>
      <sz val="12"/>
      <color theme="10"/>
      <name val="Calibri"/>
      <family val="2"/>
      <scheme val="minor"/>
    </font>
    <font>
      <i/>
      <sz val="11"/>
      <color theme="1"/>
      <name val="Calibri"/>
      <family val="2"/>
      <scheme val="minor"/>
    </font>
    <font>
      <b/>
      <sz val="11"/>
      <color rgb="FF0000FF"/>
      <name val="Calibri"/>
      <family val="2"/>
      <scheme val="minor"/>
    </font>
    <font>
      <b/>
      <sz val="11"/>
      <color rgb="FFC00000"/>
      <name val="Calibri"/>
      <family val="2"/>
      <scheme val="minor"/>
    </font>
    <font>
      <b/>
      <sz val="11"/>
      <name val="Calibri"/>
      <family val="2"/>
      <scheme val="minor"/>
    </font>
    <font>
      <sz val="11"/>
      <color indexed="8"/>
      <name val="Calibri"/>
      <family val="2"/>
      <scheme val="minor"/>
    </font>
    <font>
      <b/>
      <sz val="14"/>
      <name val="Calibri"/>
      <family val="2"/>
      <scheme val="minor"/>
    </font>
    <font>
      <b/>
      <sz val="11"/>
      <color rgb="FFFFFF00"/>
      <name val="Calibri"/>
      <family val="2"/>
      <scheme val="minor"/>
    </font>
    <font>
      <b/>
      <i/>
      <sz val="11"/>
      <color theme="9" tint="-0.499984740745262"/>
      <name val="Calibri"/>
      <family val="2"/>
      <scheme val="minor"/>
    </font>
    <font>
      <sz val="11"/>
      <color rgb="FF000000"/>
      <name val="Calibri"/>
      <family val="2"/>
    </font>
    <font>
      <b/>
      <sz val="11"/>
      <color rgb="FF000000"/>
      <name val="Calibri"/>
      <family val="2"/>
    </font>
    <font>
      <b/>
      <sz val="20"/>
      <color theme="1"/>
      <name val="Calibri"/>
      <family val="2"/>
      <scheme val="minor"/>
    </font>
    <font>
      <vertAlign val="superscript"/>
      <sz val="11"/>
      <color theme="1"/>
      <name val="Calibri"/>
      <family val="2"/>
    </font>
    <font>
      <b/>
      <sz val="11"/>
      <color rgb="FF0000FF"/>
      <name val="Calibri"/>
      <family val="2"/>
    </font>
    <font>
      <i/>
      <sz val="11"/>
      <color theme="1"/>
      <name val="Calibri"/>
      <family val="2"/>
    </font>
    <font>
      <sz val="11"/>
      <color theme="0"/>
      <name val="Calibri"/>
      <family val="2"/>
      <scheme val="minor"/>
    </font>
    <font>
      <i/>
      <sz val="10"/>
      <color theme="1"/>
      <name val="Calibri"/>
      <family val="2"/>
      <scheme val="minor"/>
    </font>
    <font>
      <b/>
      <i/>
      <sz val="11"/>
      <color theme="1"/>
      <name val="Calibri"/>
      <family val="2"/>
    </font>
    <font>
      <b/>
      <sz val="16"/>
      <color theme="1"/>
      <name val="Calibri"/>
      <family val="2"/>
      <scheme val="minor"/>
    </font>
    <font>
      <b/>
      <i/>
      <u/>
      <sz val="11"/>
      <color indexed="8"/>
      <name val="Calibri"/>
      <family val="2"/>
    </font>
    <font>
      <b/>
      <sz val="11"/>
      <color indexed="8"/>
      <name val="Calibri"/>
      <family val="2"/>
    </font>
    <font>
      <vertAlign val="superscript"/>
      <sz val="11"/>
      <name val="Calibri"/>
      <family val="2"/>
    </font>
    <font>
      <sz val="11"/>
      <color rgb="FFC00000"/>
      <name val="Calibri"/>
      <family val="2"/>
      <scheme val="minor"/>
    </font>
    <font>
      <i/>
      <sz val="11"/>
      <name val="Calibri"/>
      <family val="2"/>
      <scheme val="minor"/>
    </font>
    <font>
      <b/>
      <sz val="14"/>
      <color theme="1"/>
      <name val="Calibri"/>
      <family val="2"/>
      <scheme val="minor"/>
    </font>
    <font>
      <sz val="14"/>
      <color theme="1"/>
      <name val="Calibri"/>
      <family val="2"/>
      <scheme val="minor"/>
    </font>
    <font>
      <b/>
      <u/>
      <sz val="20"/>
      <color theme="10"/>
      <name val="Calibri"/>
      <family val="2"/>
      <scheme val="minor"/>
    </font>
    <font>
      <b/>
      <u/>
      <sz val="20"/>
      <color indexed="12"/>
      <name val="Calibri"/>
      <family val="2"/>
      <scheme val="minor"/>
    </font>
    <font>
      <i/>
      <sz val="9"/>
      <color theme="1"/>
      <name val="Calibri"/>
      <family val="2"/>
      <scheme val="minor"/>
    </font>
    <font>
      <vertAlign val="superscript"/>
      <sz val="11"/>
      <color theme="1"/>
      <name val="Calibri"/>
      <family val="2"/>
      <scheme val="minor"/>
    </font>
    <font>
      <sz val="11"/>
      <color theme="1"/>
      <name val="Calibri"/>
      <family val="2"/>
    </font>
    <font>
      <b/>
      <sz val="16"/>
      <name val="Calibri"/>
      <family val="2"/>
      <scheme val="minor"/>
    </font>
    <font>
      <b/>
      <u/>
      <sz val="18"/>
      <color theme="10"/>
      <name val="Calibri"/>
      <family val="2"/>
      <scheme val="minor"/>
    </font>
    <font>
      <b/>
      <i/>
      <sz val="10"/>
      <color theme="1"/>
      <name val="Calibri"/>
      <family val="2"/>
    </font>
    <font>
      <sz val="11"/>
      <color rgb="FFFF0000"/>
      <name val="Calibri"/>
      <family val="2"/>
      <scheme val="minor"/>
    </font>
    <font>
      <b/>
      <sz val="16"/>
      <color rgb="FF008000"/>
      <name val="Calibri"/>
      <family val="2"/>
      <scheme val="minor"/>
    </font>
    <font>
      <b/>
      <sz val="11"/>
      <color theme="9" tint="-0.499984740745262"/>
      <name val="Calibri"/>
      <family val="2"/>
      <scheme val="minor"/>
    </font>
    <font>
      <sz val="11"/>
      <color theme="9" tint="-0.499984740745262"/>
      <name val="Calibri"/>
      <family val="2"/>
      <scheme val="minor"/>
    </font>
    <font>
      <sz val="10"/>
      <name val="Verdana"/>
      <family val="2"/>
    </font>
    <font>
      <sz val="12"/>
      <color theme="1"/>
      <name val="Calibri"/>
      <family val="2"/>
      <scheme val="minor"/>
    </font>
    <font>
      <sz val="10"/>
      <color indexed="8"/>
      <name val="Arial"/>
      <family val="2"/>
    </font>
    <font>
      <sz val="10"/>
      <color indexed="9"/>
      <name val="Arial"/>
      <family val="2"/>
    </font>
    <font>
      <sz val="10"/>
      <color indexed="20"/>
      <name val="Arial"/>
      <family val="2"/>
    </font>
    <font>
      <b/>
      <sz val="10"/>
      <color indexed="52"/>
      <name val="Arial"/>
      <family val="2"/>
    </font>
    <font>
      <b/>
      <sz val="10"/>
      <color indexed="9"/>
      <name val="Arial"/>
      <family val="2"/>
    </font>
    <font>
      <i/>
      <sz val="10"/>
      <color indexed="23"/>
      <name val="Arial"/>
      <family val="2"/>
    </font>
    <font>
      <sz val="10"/>
      <color indexed="17"/>
      <name val="Arial"/>
      <family val="2"/>
    </font>
    <font>
      <b/>
      <sz val="15"/>
      <color indexed="56"/>
      <name val="Arial"/>
      <family val="2"/>
    </font>
    <font>
      <b/>
      <sz val="13"/>
      <color indexed="56"/>
      <name val="Arial"/>
      <family val="2"/>
    </font>
    <font>
      <b/>
      <sz val="11"/>
      <color indexed="56"/>
      <name val="Arial"/>
      <family val="2"/>
    </font>
    <font>
      <sz val="10"/>
      <color indexed="62"/>
      <name val="Arial"/>
      <family val="2"/>
    </font>
    <font>
      <sz val="10"/>
      <color indexed="52"/>
      <name val="Arial"/>
      <family val="2"/>
    </font>
    <font>
      <sz val="10"/>
      <color indexed="60"/>
      <name val="Arial"/>
      <family val="2"/>
    </font>
    <font>
      <b/>
      <sz val="10"/>
      <color indexed="63"/>
      <name val="Arial"/>
      <family val="2"/>
    </font>
    <font>
      <b/>
      <sz val="18"/>
      <color indexed="56"/>
      <name val="Cambria"/>
      <family val="2"/>
    </font>
    <font>
      <b/>
      <sz val="10"/>
      <color indexed="8"/>
      <name val="Arial"/>
      <family val="2"/>
    </font>
    <font>
      <sz val="10"/>
      <color indexed="10"/>
      <name val="Arial"/>
      <family val="2"/>
    </font>
    <font>
      <sz val="10"/>
      <name val="Times New Roman"/>
      <family val="1"/>
    </font>
    <font>
      <sz val="10"/>
      <name val="Arial"/>
      <family val="2"/>
    </font>
    <font>
      <sz val="8"/>
      <color rgb="FF000000"/>
      <name val="Tahoma"/>
      <family val="2"/>
    </font>
    <font>
      <b/>
      <sz val="12"/>
      <name val="Calibri"/>
      <family val="2"/>
      <scheme val="minor"/>
    </font>
    <font>
      <b/>
      <sz val="12"/>
      <color theme="1"/>
      <name val="Calibri"/>
      <family val="2"/>
      <scheme val="minor"/>
    </font>
    <font>
      <i/>
      <vertAlign val="superscript"/>
      <sz val="10"/>
      <color theme="1"/>
      <name val="Calibri"/>
      <family val="2"/>
      <scheme val="minor"/>
    </font>
    <font>
      <sz val="10"/>
      <color rgb="FF0000FF"/>
      <name val="Verdana"/>
      <family val="2"/>
    </font>
    <font>
      <sz val="6"/>
      <color indexed="8"/>
      <name val="Times New Roman"/>
      <family val="1"/>
    </font>
    <font>
      <sz val="8.25"/>
      <name val="Microsoft Sans Serif"/>
      <family val="2"/>
    </font>
    <font>
      <sz val="10"/>
      <color rgb="FF000000"/>
      <name val="Times New Roman"/>
      <family val="1"/>
    </font>
    <font>
      <b/>
      <sz val="11"/>
      <color rgb="FFFF0000"/>
      <name val="Calibri"/>
      <family val="2"/>
      <scheme val="minor"/>
    </font>
    <font>
      <b/>
      <i/>
      <sz val="11"/>
      <color indexed="8"/>
      <name val="Calibri"/>
      <family val="2"/>
      <scheme val="minor"/>
    </font>
    <font>
      <b/>
      <i/>
      <sz val="11"/>
      <name val="Calibri"/>
      <family val="2"/>
      <scheme val="minor"/>
    </font>
    <font>
      <i/>
      <sz val="11"/>
      <color theme="9" tint="-0.499984740745262"/>
      <name val="Calibri"/>
      <family val="2"/>
      <scheme val="minor"/>
    </font>
    <font>
      <b/>
      <sz val="9"/>
      <color indexed="81"/>
      <name val="Tahoma"/>
      <family val="2"/>
    </font>
    <font>
      <b/>
      <i/>
      <sz val="11"/>
      <color rgb="FF0000FF"/>
      <name val="Calibri"/>
      <family val="2"/>
      <scheme val="minor"/>
    </font>
  </fonts>
  <fills count="28">
    <fill>
      <patternFill patternType="none"/>
    </fill>
    <fill>
      <patternFill patternType="gray125"/>
    </fill>
    <fill>
      <patternFill patternType="solid">
        <fgColor theme="0" tint="-0.14999847407452621"/>
        <bgColor indexed="64"/>
      </patternFill>
    </fill>
    <fill>
      <patternFill patternType="solid">
        <fgColor theme="8" tint="0.79998168889431442"/>
        <bgColor indexed="64"/>
      </patternFill>
    </fill>
    <fill>
      <patternFill patternType="solid">
        <fgColor theme="8" tint="0.59999389629810485"/>
        <bgColor indexed="64"/>
      </patternFill>
    </fill>
    <fill>
      <patternFill patternType="solid">
        <fgColor theme="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s>
  <borders count="100">
    <border>
      <left/>
      <right/>
      <top/>
      <bottom/>
      <diagonal/>
    </border>
    <border>
      <left/>
      <right/>
      <top/>
      <bottom style="thin">
        <color indexed="64"/>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bottom style="thin">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bottom style="double">
        <color indexed="64"/>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top style="thin">
        <color theme="0" tint="-0.14996795556505021"/>
      </top>
      <bottom style="thin">
        <color theme="0" tint="-0.14996795556505021"/>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theme="4" tint="0.59996337778862885"/>
      </left>
      <right/>
      <top style="thin">
        <color theme="4" tint="0.59996337778862885"/>
      </top>
      <bottom style="thin">
        <color theme="4" tint="0.59996337778862885"/>
      </bottom>
      <diagonal/>
    </border>
    <border>
      <left/>
      <right/>
      <top style="thin">
        <color theme="4" tint="0.59996337778862885"/>
      </top>
      <bottom style="thin">
        <color theme="4" tint="0.59996337778862885"/>
      </bottom>
      <diagonal/>
    </border>
    <border>
      <left/>
      <right style="thin">
        <color theme="4" tint="0.59996337778862885"/>
      </right>
      <top style="thin">
        <color theme="4" tint="0.59996337778862885"/>
      </top>
      <bottom style="thin">
        <color theme="4" tint="0.59996337778862885"/>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top style="thin">
        <color indexed="64"/>
      </top>
      <bottom style="double">
        <color indexed="64"/>
      </bottom>
      <diagonal/>
    </border>
    <border>
      <left style="medium">
        <color indexed="64"/>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diagonal/>
    </border>
    <border>
      <left/>
      <right style="thin">
        <color indexed="64"/>
      </right>
      <top/>
      <bottom/>
      <diagonal/>
    </border>
    <border>
      <left style="thin">
        <color indexed="64"/>
      </left>
      <right style="thin">
        <color theme="4" tint="0.59996337778862885"/>
      </right>
      <top style="thin">
        <color theme="4" tint="0.59996337778862885"/>
      </top>
      <bottom style="thin">
        <color theme="4" tint="0.59996337778862885"/>
      </bottom>
      <diagonal/>
    </border>
    <border>
      <left style="medium">
        <color theme="4" tint="0.59996337778862885"/>
      </left>
      <right style="medium">
        <color theme="4" tint="0.59996337778862885"/>
      </right>
      <top style="medium">
        <color theme="4" tint="0.59996337778862885"/>
      </top>
      <bottom style="medium">
        <color theme="4" tint="0.59996337778862885"/>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double">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theme="4" tint="0.59996337778862885"/>
      </left>
      <right style="medium">
        <color indexed="64"/>
      </right>
      <top style="thin">
        <color theme="4" tint="0.59996337778862885"/>
      </top>
      <bottom style="thin">
        <color theme="4" tint="0.59996337778862885"/>
      </bottom>
      <diagonal/>
    </border>
    <border>
      <left style="thin">
        <color indexed="64"/>
      </left>
      <right style="thin">
        <color theme="4" tint="0.59996337778862885"/>
      </right>
      <top style="thin">
        <color theme="4" tint="0.59996337778862885"/>
      </top>
      <bottom style="medium">
        <color indexed="64"/>
      </bottom>
      <diagonal/>
    </border>
    <border>
      <left style="thin">
        <color theme="4" tint="0.59996337778862885"/>
      </left>
      <right style="thin">
        <color theme="4" tint="0.59996337778862885"/>
      </right>
      <top style="thin">
        <color theme="4" tint="0.59996337778862885"/>
      </top>
      <bottom style="medium">
        <color indexed="64"/>
      </bottom>
      <diagonal/>
    </border>
    <border>
      <left style="thin">
        <color theme="4" tint="0.59996337778862885"/>
      </left>
      <right style="medium">
        <color indexed="64"/>
      </right>
      <top style="thin">
        <color theme="4" tint="0.59996337778862885"/>
      </top>
      <bottom style="medium">
        <color indexed="64"/>
      </bottom>
      <diagonal/>
    </border>
    <border>
      <left style="thin">
        <color indexed="64"/>
      </left>
      <right style="thin">
        <color theme="4" tint="0.59996337778862885"/>
      </right>
      <top/>
      <bottom style="thin">
        <color theme="4" tint="0.59996337778862885"/>
      </bottom>
      <diagonal/>
    </border>
    <border>
      <left style="thin">
        <color theme="4" tint="0.59996337778862885"/>
      </left>
      <right style="thin">
        <color theme="4" tint="0.59996337778862885"/>
      </right>
      <top/>
      <bottom style="thin">
        <color theme="4" tint="0.59996337778862885"/>
      </bottom>
      <diagonal/>
    </border>
    <border>
      <left style="thin">
        <color theme="4" tint="0.59996337778862885"/>
      </left>
      <right style="medium">
        <color indexed="64"/>
      </right>
      <top/>
      <bottom style="thin">
        <color theme="4" tint="0.59996337778862885"/>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diagonal/>
    </border>
    <border>
      <left/>
      <right style="thin">
        <color indexed="64"/>
      </right>
      <top style="medium">
        <color indexed="64"/>
      </top>
      <bottom/>
      <diagonal/>
    </border>
    <border>
      <left/>
      <right style="thin">
        <color indexed="64"/>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style="thin">
        <color indexed="64"/>
      </left>
      <right/>
      <top style="medium">
        <color indexed="64"/>
      </top>
      <bottom style="thin">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8"/>
      </top>
      <bottom style="thin">
        <color indexed="8"/>
      </bottom>
      <diagonal/>
    </border>
    <border>
      <left style="medium">
        <color indexed="64"/>
      </left>
      <right style="medium">
        <color indexed="64"/>
      </right>
      <top style="thin">
        <color indexed="8"/>
      </top>
      <bottom style="thin">
        <color indexed="8"/>
      </bottom>
      <diagonal/>
    </border>
    <border>
      <left style="medium">
        <color indexed="64"/>
      </left>
      <right style="medium">
        <color indexed="64"/>
      </right>
      <top style="thin">
        <color indexed="8"/>
      </top>
      <bottom/>
      <diagonal/>
    </border>
    <border>
      <left style="thin">
        <color indexed="64"/>
      </left>
      <right style="medium">
        <color indexed="64"/>
      </right>
      <top/>
      <bottom style="thin">
        <color indexed="64"/>
      </bottom>
      <diagonal/>
    </border>
    <border>
      <left/>
      <right/>
      <top style="thin">
        <color indexed="64"/>
      </top>
      <bottom style="thin">
        <color indexed="64"/>
      </bottom>
      <diagonal/>
    </border>
    <border>
      <left/>
      <right/>
      <top style="thin">
        <color indexed="64"/>
      </top>
      <bottom style="double">
        <color indexed="64"/>
      </bottom>
      <diagonal/>
    </border>
    <border>
      <left style="thin">
        <color indexed="64"/>
      </left>
      <right/>
      <top style="double">
        <color indexed="64"/>
      </top>
      <bottom style="thin">
        <color indexed="64"/>
      </bottom>
      <diagonal/>
    </border>
    <border>
      <left/>
      <right/>
      <top style="thin">
        <color indexed="64"/>
      </top>
      <bottom style="medium">
        <color indexed="64"/>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s>
  <cellStyleXfs count="111">
    <xf numFmtId="0" fontId="0" fillId="0" borderId="0"/>
    <xf numFmtId="0" fontId="7" fillId="0" borderId="0" applyNumberFormat="0" applyFill="0" applyBorder="0" applyAlignment="0" applyProtection="0"/>
    <xf numFmtId="0" fontId="6" fillId="0" borderId="0"/>
    <xf numFmtId="9"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5" fillId="0" borderId="0"/>
    <xf numFmtId="43" fontId="5" fillId="0" borderId="0" applyFont="0" applyFill="0" applyBorder="0" applyAlignment="0" applyProtection="0"/>
    <xf numFmtId="0" fontId="54" fillId="6" borderId="0" applyNumberFormat="0" applyBorder="0" applyAlignment="0" applyProtection="0"/>
    <xf numFmtId="0" fontId="54" fillId="6" borderId="0" applyNumberFormat="0" applyBorder="0" applyAlignment="0" applyProtection="0"/>
    <xf numFmtId="0" fontId="54" fillId="7" borderId="0" applyNumberFormat="0" applyBorder="0" applyAlignment="0" applyProtection="0"/>
    <xf numFmtId="0" fontId="54" fillId="7" borderId="0" applyNumberFormat="0" applyBorder="0" applyAlignment="0" applyProtection="0"/>
    <xf numFmtId="0" fontId="54" fillId="8" borderId="0" applyNumberFormat="0" applyBorder="0" applyAlignment="0" applyProtection="0"/>
    <xf numFmtId="0" fontId="54" fillId="8" borderId="0" applyNumberFormat="0" applyBorder="0" applyAlignment="0" applyProtection="0"/>
    <xf numFmtId="0" fontId="54" fillId="9" borderId="0" applyNumberFormat="0" applyBorder="0" applyAlignment="0" applyProtection="0"/>
    <xf numFmtId="0" fontId="54" fillId="9" borderId="0" applyNumberFormat="0" applyBorder="0" applyAlignment="0" applyProtection="0"/>
    <xf numFmtId="0" fontId="54" fillId="10" borderId="0" applyNumberFormat="0" applyBorder="0" applyAlignment="0" applyProtection="0"/>
    <xf numFmtId="0" fontId="54" fillId="10" borderId="0" applyNumberFormat="0" applyBorder="0" applyAlignment="0" applyProtection="0"/>
    <xf numFmtId="0" fontId="54" fillId="11" borderId="0" applyNumberFormat="0" applyBorder="0" applyAlignment="0" applyProtection="0"/>
    <xf numFmtId="0" fontId="54" fillId="11" borderId="0" applyNumberFormat="0" applyBorder="0" applyAlignment="0" applyProtection="0"/>
    <xf numFmtId="0" fontId="54" fillId="12" borderId="0" applyNumberFormat="0" applyBorder="0" applyAlignment="0" applyProtection="0"/>
    <xf numFmtId="0" fontId="54" fillId="12" borderId="0" applyNumberFormat="0" applyBorder="0" applyAlignment="0" applyProtection="0"/>
    <xf numFmtId="0" fontId="54" fillId="13" borderId="0" applyNumberFormat="0" applyBorder="0" applyAlignment="0" applyProtection="0"/>
    <xf numFmtId="0" fontId="54" fillId="13" borderId="0" applyNumberFormat="0" applyBorder="0" applyAlignment="0" applyProtection="0"/>
    <xf numFmtId="0" fontId="54" fillId="14" borderId="0" applyNumberFormat="0" applyBorder="0" applyAlignment="0" applyProtection="0"/>
    <xf numFmtId="0" fontId="54" fillId="14" borderId="0" applyNumberFormat="0" applyBorder="0" applyAlignment="0" applyProtection="0"/>
    <xf numFmtId="0" fontId="54" fillId="9" borderId="0" applyNumberFormat="0" applyBorder="0" applyAlignment="0" applyProtection="0"/>
    <xf numFmtId="0" fontId="54" fillId="9" borderId="0" applyNumberFormat="0" applyBorder="0" applyAlignment="0" applyProtection="0"/>
    <xf numFmtId="0" fontId="54" fillId="12" borderId="0" applyNumberFormat="0" applyBorder="0" applyAlignment="0" applyProtection="0"/>
    <xf numFmtId="0" fontId="54" fillId="12" borderId="0" applyNumberFormat="0" applyBorder="0" applyAlignment="0" applyProtection="0"/>
    <xf numFmtId="0" fontId="54" fillId="15" borderId="0" applyNumberFormat="0" applyBorder="0" applyAlignment="0" applyProtection="0"/>
    <xf numFmtId="0" fontId="54" fillId="15" borderId="0" applyNumberFormat="0" applyBorder="0" applyAlignment="0" applyProtection="0"/>
    <xf numFmtId="0" fontId="55" fillId="16" borderId="0" applyNumberFormat="0" applyBorder="0" applyAlignment="0" applyProtection="0"/>
    <xf numFmtId="0" fontId="55" fillId="13" borderId="0" applyNumberFormat="0" applyBorder="0" applyAlignment="0" applyProtection="0"/>
    <xf numFmtId="0" fontId="55" fillId="14" borderId="0" applyNumberFormat="0" applyBorder="0" applyAlignment="0" applyProtection="0"/>
    <xf numFmtId="0" fontId="55" fillId="17" borderId="0" applyNumberFormat="0" applyBorder="0" applyAlignment="0" applyProtection="0"/>
    <xf numFmtId="0" fontId="55" fillId="18" borderId="0" applyNumberFormat="0" applyBorder="0" applyAlignment="0" applyProtection="0"/>
    <xf numFmtId="0" fontId="55" fillId="19" borderId="0" applyNumberFormat="0" applyBorder="0" applyAlignment="0" applyProtection="0"/>
    <xf numFmtId="0" fontId="55" fillId="20" borderId="0" applyNumberFormat="0" applyBorder="0" applyAlignment="0" applyProtection="0"/>
    <xf numFmtId="0" fontId="55" fillId="21" borderId="0" applyNumberFormat="0" applyBorder="0" applyAlignment="0" applyProtection="0"/>
    <xf numFmtId="0" fontId="55" fillId="22" borderId="0" applyNumberFormat="0" applyBorder="0" applyAlignment="0" applyProtection="0"/>
    <xf numFmtId="0" fontId="55" fillId="17" borderId="0" applyNumberFormat="0" applyBorder="0" applyAlignment="0" applyProtection="0"/>
    <xf numFmtId="0" fontId="55" fillId="18" borderId="0" applyNumberFormat="0" applyBorder="0" applyAlignment="0" applyProtection="0"/>
    <xf numFmtId="0" fontId="55" fillId="23" borderId="0" applyNumberFormat="0" applyBorder="0" applyAlignment="0" applyProtection="0"/>
    <xf numFmtId="0" fontId="56" fillId="7" borderId="0" applyNumberFormat="0" applyBorder="0" applyAlignment="0" applyProtection="0"/>
    <xf numFmtId="0" fontId="57" fillId="24" borderId="76" applyNumberFormat="0" applyAlignment="0" applyProtection="0"/>
    <xf numFmtId="0" fontId="58" fillId="25" borderId="77" applyNumberFormat="0" applyAlignment="0" applyProtection="0"/>
    <xf numFmtId="43" fontId="54"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4" fontId="5" fillId="0" borderId="0" applyFont="0" applyFill="0" applyBorder="0" applyAlignment="0" applyProtection="0"/>
    <xf numFmtId="44" fontId="54"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0" fontId="59" fillId="0" borderId="0" applyNumberFormat="0" applyFill="0" applyBorder="0" applyAlignment="0" applyProtection="0"/>
    <xf numFmtId="0" fontId="60" fillId="8" borderId="0" applyNumberFormat="0" applyBorder="0" applyAlignment="0" applyProtection="0"/>
    <xf numFmtId="0" fontId="61" fillId="0" borderId="78" applyNumberFormat="0" applyFill="0" applyAlignment="0" applyProtection="0"/>
    <xf numFmtId="0" fontId="62" fillId="0" borderId="79" applyNumberFormat="0" applyFill="0" applyAlignment="0" applyProtection="0"/>
    <xf numFmtId="0" fontId="63" fillId="0" borderId="80" applyNumberFormat="0" applyFill="0" applyAlignment="0" applyProtection="0"/>
    <xf numFmtId="0" fontId="63" fillId="0" borderId="0" applyNumberFormat="0" applyFill="0" applyBorder="0" applyAlignment="0" applyProtection="0"/>
    <xf numFmtId="0" fontId="64" fillId="11" borderId="76" applyNumberFormat="0" applyAlignment="0" applyProtection="0"/>
    <xf numFmtId="0" fontId="65" fillId="0" borderId="81" applyNumberFormat="0" applyFill="0" applyAlignment="0" applyProtection="0"/>
    <xf numFmtId="0" fontId="66" fillId="26" borderId="0" applyNumberFormat="0" applyBorder="0" applyAlignment="0" applyProtection="0"/>
    <xf numFmtId="0" fontId="54" fillId="0" borderId="0"/>
    <xf numFmtId="0" fontId="53" fillId="0" borderId="0"/>
    <xf numFmtId="0" fontId="5" fillId="0" borderId="0"/>
    <xf numFmtId="0" fontId="54" fillId="0" borderId="0"/>
    <xf numFmtId="0" fontId="54" fillId="0" borderId="0"/>
    <xf numFmtId="0" fontId="5" fillId="0" borderId="0"/>
    <xf numFmtId="0" fontId="5" fillId="0" borderId="0"/>
    <xf numFmtId="0" fontId="54" fillId="27" borderId="82" applyNumberFormat="0" applyFont="0" applyAlignment="0" applyProtection="0"/>
    <xf numFmtId="0" fontId="54" fillId="27" borderId="82" applyNumberFormat="0" applyFont="0" applyAlignment="0" applyProtection="0"/>
    <xf numFmtId="0" fontId="67" fillId="24" borderId="83" applyNumberFormat="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0" fontId="68" fillId="0" borderId="0" applyNumberFormat="0" applyFill="0" applyBorder="0" applyAlignment="0" applyProtection="0"/>
    <xf numFmtId="0" fontId="69" fillId="0" borderId="84" applyNumberFormat="0" applyFill="0" applyAlignment="0" applyProtection="0"/>
    <xf numFmtId="0" fontId="70" fillId="0" borderId="0" applyNumberFormat="0" applyFill="0" applyBorder="0" applyAlignment="0" applyProtection="0"/>
    <xf numFmtId="0" fontId="71" fillId="0" borderId="0"/>
    <xf numFmtId="43" fontId="71" fillId="0" borderId="0" applyFont="0" applyFill="0" applyBorder="0" applyAlignment="0" applyProtection="0"/>
    <xf numFmtId="43" fontId="71" fillId="0" borderId="0" applyFont="0" applyFill="0" applyBorder="0" applyAlignment="0" applyProtection="0"/>
    <xf numFmtId="44" fontId="71" fillId="0" borderId="0" applyFont="0" applyFill="0" applyBorder="0" applyAlignment="0" applyProtection="0"/>
    <xf numFmtId="44" fontId="71" fillId="0" borderId="0" applyFont="0" applyFill="0" applyBorder="0" applyAlignment="0" applyProtection="0"/>
    <xf numFmtId="9" fontId="71" fillId="0" borderId="0" applyFont="0" applyFill="0" applyBorder="0" applyAlignment="0" applyProtection="0"/>
    <xf numFmtId="9" fontId="71" fillId="0" borderId="0" applyFont="0" applyFill="0" applyBorder="0" applyAlignment="0" applyProtection="0"/>
    <xf numFmtId="0" fontId="72" fillId="0" borderId="0"/>
    <xf numFmtId="0" fontId="5" fillId="0" borderId="0"/>
    <xf numFmtId="43" fontId="71" fillId="0" borderId="0" applyFont="0" applyFill="0" applyBorder="0" applyAlignment="0" applyProtection="0"/>
    <xf numFmtId="9" fontId="71" fillId="0" borderId="0" applyFont="0" applyFill="0" applyBorder="0" applyAlignment="0" applyProtection="0"/>
    <xf numFmtId="43" fontId="6" fillId="0" borderId="0" applyFont="0" applyFill="0" applyBorder="0" applyAlignment="0" applyProtection="0"/>
    <xf numFmtId="44" fontId="6" fillId="0" borderId="0" applyFont="0" applyFill="0" applyBorder="0" applyAlignment="0" applyProtection="0"/>
    <xf numFmtId="43" fontId="5" fillId="0" borderId="0" applyFont="0" applyFill="0" applyBorder="0" applyAlignment="0" applyProtection="0"/>
    <xf numFmtId="43" fontId="78" fillId="0" borderId="0" applyFont="0" applyFill="0" applyBorder="0" applyAlignment="0" applyProtection="0"/>
    <xf numFmtId="43" fontId="54" fillId="0" borderId="0" applyFont="0" applyFill="0" applyBorder="0" applyAlignment="0" applyProtection="0"/>
    <xf numFmtId="0" fontId="79" fillId="0" borderId="0">
      <protection locked="0"/>
    </xf>
    <xf numFmtId="0" fontId="54" fillId="0" borderId="0"/>
    <xf numFmtId="0" fontId="80" fillId="0" borderId="0"/>
    <xf numFmtId="0" fontId="54" fillId="0" borderId="0"/>
    <xf numFmtId="0" fontId="80" fillId="0" borderId="0"/>
    <xf numFmtId="0" fontId="5" fillId="0" borderId="0"/>
    <xf numFmtId="0" fontId="5" fillId="0" borderId="0"/>
    <xf numFmtId="0" fontId="6" fillId="0" borderId="0"/>
    <xf numFmtId="0" fontId="6" fillId="0" borderId="0"/>
    <xf numFmtId="0" fontId="79" fillId="0" borderId="0">
      <protection locked="0"/>
    </xf>
    <xf numFmtId="0" fontId="5" fillId="0" borderId="0"/>
    <xf numFmtId="9" fontId="6" fillId="0" borderId="0" applyFont="0" applyFill="0" applyBorder="0" applyAlignment="0" applyProtection="0"/>
    <xf numFmtId="9" fontId="54" fillId="0" borderId="0" applyFont="0" applyFill="0" applyBorder="0" applyAlignment="0" applyProtection="0"/>
  </cellStyleXfs>
  <cellXfs count="788">
    <xf numFmtId="0" fontId="0" fillId="0" borderId="0" xfId="0"/>
    <xf numFmtId="0" fontId="8" fillId="0" borderId="0" xfId="0" applyFont="1"/>
    <xf numFmtId="0" fontId="0" fillId="0" borderId="0" xfId="0" applyAlignment="1">
      <alignment horizontal="left" indent="1"/>
    </xf>
    <xf numFmtId="0" fontId="0" fillId="0" borderId="0" xfId="0" applyAlignment="1">
      <alignment horizontal="centerContinuous"/>
    </xf>
    <xf numFmtId="0" fontId="9" fillId="0" borderId="0" xfId="0" applyFont="1" applyAlignment="1" applyProtection="1">
      <alignment horizontal="centerContinuous" vertical="center"/>
    </xf>
    <xf numFmtId="0" fontId="0" fillId="0" borderId="0" xfId="0" applyAlignment="1" applyProtection="1">
      <alignment horizontal="centerContinuous" vertical="center"/>
    </xf>
    <xf numFmtId="0" fontId="0" fillId="0" borderId="0" xfId="0" applyAlignment="1" applyProtection="1">
      <alignment vertical="center"/>
    </xf>
    <xf numFmtId="0" fontId="0" fillId="0" borderId="0" xfId="0" applyProtection="1"/>
    <xf numFmtId="0" fontId="8" fillId="0" borderId="0" xfId="0" applyFont="1" applyAlignment="1" applyProtection="1">
      <alignment vertical="center"/>
    </xf>
    <xf numFmtId="0" fontId="0" fillId="0" borderId="0" xfId="0" applyBorder="1" applyProtection="1"/>
    <xf numFmtId="0" fontId="8" fillId="0" borderId="0" xfId="0" applyFont="1" applyProtection="1"/>
    <xf numFmtId="0" fontId="0" fillId="0" borderId="0" xfId="0" applyFont="1"/>
    <xf numFmtId="0" fontId="8" fillId="0" borderId="0" xfId="0" applyFont="1" applyAlignment="1" applyProtection="1">
      <alignment horizontal="right"/>
    </xf>
    <xf numFmtId="0" fontId="8" fillId="0" borderId="0" xfId="0" applyFont="1" applyAlignment="1" applyProtection="1">
      <alignment horizontal="left"/>
    </xf>
    <xf numFmtId="0" fontId="0" fillId="0" borderId="0" xfId="0" applyAlignment="1">
      <alignment vertical="center"/>
    </xf>
    <xf numFmtId="0" fontId="0" fillId="0" borderId="0" xfId="0" applyAlignment="1">
      <alignment vertical="center" wrapText="1"/>
    </xf>
    <xf numFmtId="0" fontId="0" fillId="0" borderId="0" xfId="0" applyAlignment="1">
      <alignment horizontal="center" vertical="center"/>
    </xf>
    <xf numFmtId="0" fontId="0" fillId="0" borderId="0" xfId="0" applyAlignment="1">
      <alignment horizontal="left" vertical="center" indent="1"/>
    </xf>
    <xf numFmtId="0" fontId="0" fillId="0" borderId="0" xfId="0" applyAlignment="1">
      <alignment horizontal="left" vertical="center"/>
    </xf>
    <xf numFmtId="37" fontId="0" fillId="0" borderId="0" xfId="0" applyNumberFormat="1" applyAlignment="1">
      <alignment horizontal="center" vertical="center"/>
    </xf>
    <xf numFmtId="0" fontId="15" fillId="0" borderId="0" xfId="0" applyFont="1" applyAlignment="1">
      <alignment vertical="center"/>
    </xf>
    <xf numFmtId="0" fontId="0" fillId="2" borderId="11" xfId="0" applyFill="1" applyBorder="1" applyAlignment="1">
      <alignment vertical="center"/>
    </xf>
    <xf numFmtId="0" fontId="0" fillId="2" borderId="12" xfId="0" applyFill="1" applyBorder="1" applyAlignment="1">
      <alignment vertical="center"/>
    </xf>
    <xf numFmtId="37" fontId="0" fillId="2" borderId="11" xfId="0" applyNumberFormat="1" applyFill="1" applyBorder="1" applyAlignment="1">
      <alignment vertical="center"/>
    </xf>
    <xf numFmtId="37" fontId="10" fillId="2" borderId="10" xfId="0" applyNumberFormat="1" applyFont="1" applyFill="1" applyBorder="1" applyAlignment="1">
      <alignment vertical="center"/>
    </xf>
    <xf numFmtId="37" fontId="10" fillId="2" borderId="11" xfId="0" applyNumberFormat="1" applyFont="1" applyFill="1" applyBorder="1" applyAlignment="1">
      <alignment vertical="center"/>
    </xf>
    <xf numFmtId="165" fontId="6" fillId="0" borderId="0" xfId="3" applyNumberFormat="1" applyFont="1" applyFill="1" applyBorder="1" applyAlignment="1">
      <alignment vertical="center"/>
    </xf>
    <xf numFmtId="164" fontId="10" fillId="0" borderId="0" xfId="0" applyNumberFormat="1" applyFont="1" applyBorder="1"/>
    <xf numFmtId="0" fontId="0" fillId="0" borderId="0" xfId="0" applyAlignment="1">
      <alignment horizontal="right" vertical="center"/>
    </xf>
    <xf numFmtId="0" fontId="10" fillId="0" borderId="0" xfId="0" applyFont="1" applyBorder="1" applyAlignment="1">
      <alignment horizontal="center" vertical="center"/>
    </xf>
    <xf numFmtId="0" fontId="0" fillId="2" borderId="13" xfId="0" applyFill="1" applyBorder="1" applyAlignment="1">
      <alignment vertical="center"/>
    </xf>
    <xf numFmtId="0" fontId="0" fillId="0" borderId="11" xfId="0" applyBorder="1" applyAlignment="1">
      <alignment vertical="center"/>
    </xf>
    <xf numFmtId="0" fontId="0" fillId="2" borderId="15" xfId="0" applyFill="1" applyBorder="1" applyAlignment="1">
      <alignment vertical="center"/>
    </xf>
    <xf numFmtId="0" fontId="8" fillId="0" borderId="11" xfId="0" applyFont="1" applyBorder="1" applyAlignment="1">
      <alignment horizontal="center" vertical="center"/>
    </xf>
    <xf numFmtId="0" fontId="8" fillId="0" borderId="11" xfId="0" applyFont="1" applyBorder="1" applyAlignment="1">
      <alignment vertical="center"/>
    </xf>
    <xf numFmtId="37" fontId="0" fillId="0" borderId="11" xfId="0" applyNumberFormat="1" applyBorder="1" applyAlignment="1">
      <alignment horizontal="center" vertical="center"/>
    </xf>
    <xf numFmtId="0" fontId="0" fillId="0" borderId="11" xfId="0" applyBorder="1" applyAlignment="1">
      <alignment vertical="center" wrapText="1"/>
    </xf>
    <xf numFmtId="0" fontId="0" fillId="0" borderId="11" xfId="0" applyBorder="1" applyAlignment="1">
      <alignment horizontal="center" vertical="center"/>
    </xf>
    <xf numFmtId="37" fontId="0" fillId="0" borderId="0" xfId="0" applyNumberFormat="1" applyBorder="1" applyAlignment="1">
      <alignment horizontal="center" vertical="center"/>
    </xf>
    <xf numFmtId="0" fontId="0" fillId="0" borderId="0" xfId="0" applyBorder="1" applyAlignment="1">
      <alignment vertical="center" wrapText="1"/>
    </xf>
    <xf numFmtId="0" fontId="0" fillId="0" borderId="0" xfId="0" applyBorder="1" applyAlignment="1">
      <alignment horizontal="center" vertical="center"/>
    </xf>
    <xf numFmtId="37" fontId="0" fillId="0" borderId="10" xfId="0" applyNumberFormat="1" applyBorder="1" applyAlignment="1">
      <alignment horizontal="center" vertical="center"/>
    </xf>
    <xf numFmtId="0" fontId="0" fillId="0" borderId="10" xfId="0" applyBorder="1" applyAlignment="1">
      <alignment vertical="center" wrapText="1"/>
    </xf>
    <xf numFmtId="0" fontId="0" fillId="0" borderId="10" xfId="0" applyBorder="1" applyAlignment="1">
      <alignment horizontal="center" vertical="center"/>
    </xf>
    <xf numFmtId="0" fontId="0" fillId="0" borderId="12" xfId="0" applyBorder="1"/>
    <xf numFmtId="37" fontId="10" fillId="0" borderId="0" xfId="0" applyNumberFormat="1" applyFont="1" applyBorder="1" applyAlignment="1">
      <alignment vertical="center"/>
    </xf>
    <xf numFmtId="37" fontId="10" fillId="0" borderId="0" xfId="0" applyNumberFormat="1" applyFont="1" applyFill="1" applyBorder="1" applyAlignment="1">
      <alignment vertical="center"/>
    </xf>
    <xf numFmtId="0" fontId="17" fillId="0" borderId="0" xfId="0" applyFont="1" applyAlignment="1">
      <alignment vertical="center"/>
    </xf>
    <xf numFmtId="0" fontId="8" fillId="0" borderId="12" xfId="0" applyFont="1" applyBorder="1"/>
    <xf numFmtId="49" fontId="0" fillId="0" borderId="12" xfId="0" applyNumberFormat="1" applyBorder="1" applyAlignment="1">
      <alignment horizontal="center" vertical="center"/>
    </xf>
    <xf numFmtId="168" fontId="18" fillId="0" borderId="0" xfId="0" applyNumberFormat="1" applyFont="1" applyBorder="1"/>
    <xf numFmtId="0" fontId="12" fillId="0" borderId="0" xfId="0" applyFont="1" applyBorder="1"/>
    <xf numFmtId="10" fontId="12" fillId="0" borderId="0" xfId="0" applyNumberFormat="1" applyFont="1" applyBorder="1"/>
    <xf numFmtId="0" fontId="12" fillId="0" borderId="0" xfId="0" applyFont="1" applyBorder="1" applyAlignment="1">
      <alignment horizontal="center"/>
    </xf>
    <xf numFmtId="10" fontId="12" fillId="0" borderId="0" xfId="0" applyNumberFormat="1" applyFont="1" applyBorder="1" applyAlignment="1">
      <alignment horizontal="center"/>
    </xf>
    <xf numFmtId="10" fontId="12" fillId="0" borderId="0" xfId="0" applyNumberFormat="1" applyFont="1" applyBorder="1" applyAlignment="1">
      <alignment horizontal="right"/>
    </xf>
    <xf numFmtId="14" fontId="10" fillId="0" borderId="0" xfId="0" applyNumberFormat="1" applyFont="1" applyBorder="1"/>
    <xf numFmtId="168" fontId="19" fillId="0" borderId="27" xfId="2" applyNumberFormat="1" applyFont="1" applyBorder="1" applyAlignment="1">
      <alignment horizontal="center"/>
    </xf>
    <xf numFmtId="0" fontId="19" fillId="0" borderId="27" xfId="2" applyFont="1" applyBorder="1"/>
    <xf numFmtId="0" fontId="0" fillId="0" borderId="27" xfId="0" applyFill="1" applyBorder="1"/>
    <xf numFmtId="168" fontId="19" fillId="0" borderId="27" xfId="2" applyNumberFormat="1" applyFont="1" applyFill="1" applyBorder="1" applyAlignment="1">
      <alignment horizontal="center"/>
    </xf>
    <xf numFmtId="168" fontId="12" fillId="0" borderId="27" xfId="2" applyNumberFormat="1" applyFont="1" applyBorder="1" applyAlignment="1">
      <alignment horizontal="center"/>
    </xf>
    <xf numFmtId="14" fontId="0" fillId="0" borderId="0" xfId="0" applyNumberFormat="1" applyAlignment="1">
      <alignment horizontal="left" vertical="center"/>
    </xf>
    <xf numFmtId="0" fontId="18" fillId="0" borderId="27" xfId="0" applyNumberFormat="1" applyFont="1" applyBorder="1" applyAlignment="1">
      <alignment horizontal="center"/>
    </xf>
    <xf numFmtId="166" fontId="10" fillId="0" borderId="0" xfId="0" applyNumberFormat="1" applyFont="1" applyBorder="1" applyAlignment="1">
      <alignment horizontal="left"/>
    </xf>
    <xf numFmtId="14" fontId="10" fillId="0" borderId="0" xfId="0" applyNumberFormat="1" applyFont="1" applyBorder="1" applyAlignment="1">
      <alignment horizontal="left"/>
    </xf>
    <xf numFmtId="168" fontId="18" fillId="0" borderId="0" xfId="0" applyNumberFormat="1" applyFont="1" applyBorder="1" applyAlignment="1">
      <alignment vertical="center"/>
    </xf>
    <xf numFmtId="0" fontId="12" fillId="0" borderId="0" xfId="0" applyFont="1" applyBorder="1" applyAlignment="1">
      <alignment vertical="center"/>
    </xf>
    <xf numFmtId="0" fontId="0" fillId="0" borderId="0" xfId="0" applyFont="1" applyAlignment="1">
      <alignment vertical="center"/>
    </xf>
    <xf numFmtId="14" fontId="10" fillId="0" borderId="0" xfId="0" applyNumberFormat="1" applyFont="1" applyBorder="1" applyAlignment="1">
      <alignment horizontal="left" vertical="center"/>
    </xf>
    <xf numFmtId="14" fontId="10" fillId="0" borderId="0" xfId="0" applyNumberFormat="1" applyFont="1" applyBorder="1" applyAlignment="1">
      <alignment vertical="center"/>
    </xf>
    <xf numFmtId="0" fontId="18" fillId="0" borderId="27" xfId="0" applyNumberFormat="1" applyFont="1" applyBorder="1" applyAlignment="1">
      <alignment horizontal="center" vertical="center"/>
    </xf>
    <xf numFmtId="168" fontId="19" fillId="0" borderId="27" xfId="2" applyNumberFormat="1" applyFont="1" applyBorder="1" applyAlignment="1">
      <alignment horizontal="center" vertical="center"/>
    </xf>
    <xf numFmtId="0" fontId="19" fillId="0" borderId="27" xfId="2" applyFont="1" applyBorder="1" applyAlignment="1">
      <alignment vertical="center"/>
    </xf>
    <xf numFmtId="0" fontId="0" fillId="0" borderId="27" xfId="0" applyFill="1" applyBorder="1" applyAlignment="1">
      <alignment vertical="center"/>
    </xf>
    <xf numFmtId="168" fontId="19" fillId="0" borderId="27" xfId="2" applyNumberFormat="1" applyFont="1" applyFill="1" applyBorder="1" applyAlignment="1">
      <alignment horizontal="center" vertical="center"/>
    </xf>
    <xf numFmtId="168" fontId="12" fillId="0" borderId="27" xfId="2" applyNumberFormat="1" applyFont="1" applyBorder="1" applyAlignment="1">
      <alignment horizontal="center" vertical="center"/>
    </xf>
    <xf numFmtId="10" fontId="12" fillId="0" borderId="0" xfId="0" applyNumberFormat="1" applyFont="1" applyBorder="1" applyAlignment="1">
      <alignment vertical="center"/>
    </xf>
    <xf numFmtId="168" fontId="20" fillId="0" borderId="0" xfId="0" applyNumberFormat="1" applyFont="1" applyBorder="1"/>
    <xf numFmtId="168" fontId="20" fillId="0" borderId="0" xfId="0" applyNumberFormat="1" applyFont="1" applyBorder="1" applyAlignment="1">
      <alignment vertical="center"/>
    </xf>
    <xf numFmtId="0" fontId="18" fillId="0" borderId="27" xfId="0" applyNumberFormat="1" applyFont="1" applyBorder="1" applyAlignment="1">
      <alignment horizontal="center" vertical="center" wrapText="1"/>
    </xf>
    <xf numFmtId="165" fontId="12" fillId="2" borderId="11" xfId="3" applyNumberFormat="1" applyFont="1" applyFill="1" applyBorder="1" applyAlignment="1">
      <alignment vertical="center"/>
    </xf>
    <xf numFmtId="0" fontId="8" fillId="2" borderId="0" xfId="0" applyFont="1" applyFill="1" applyAlignment="1" applyProtection="1">
      <alignment horizontal="right"/>
    </xf>
    <xf numFmtId="0" fontId="8" fillId="2" borderId="0" xfId="0" applyFont="1" applyFill="1" applyAlignment="1" applyProtection="1">
      <alignment horizontal="left"/>
    </xf>
    <xf numFmtId="0" fontId="0" fillId="2" borderId="0" xfId="0" applyFill="1"/>
    <xf numFmtId="37" fontId="12" fillId="2" borderId="11" xfId="0" applyNumberFormat="1" applyFont="1" applyFill="1" applyBorder="1" applyAlignment="1">
      <alignment vertical="center"/>
    </xf>
    <xf numFmtId="0" fontId="8" fillId="2" borderId="18" xfId="0" applyFont="1" applyFill="1" applyBorder="1" applyAlignment="1">
      <alignment horizontal="center" vertical="center"/>
    </xf>
    <xf numFmtId="0" fontId="0" fillId="2" borderId="16" xfId="0" applyFill="1" applyBorder="1" applyAlignment="1">
      <alignment vertical="center"/>
    </xf>
    <xf numFmtId="0" fontId="0" fillId="2" borderId="19" xfId="0" applyFill="1" applyBorder="1" applyAlignment="1">
      <alignment vertical="center"/>
    </xf>
    <xf numFmtId="0" fontId="8" fillId="0" borderId="0" xfId="0" applyFont="1" applyBorder="1"/>
    <xf numFmtId="0" fontId="0" fillId="2" borderId="0" xfId="0" applyFill="1" applyBorder="1" applyAlignment="1">
      <alignment vertical="center"/>
    </xf>
    <xf numFmtId="165" fontId="6" fillId="0" borderId="0" xfId="3" applyNumberFormat="1" applyFont="1"/>
    <xf numFmtId="165" fontId="0" fillId="0" borderId="0" xfId="0" applyNumberFormat="1"/>
    <xf numFmtId="0" fontId="0" fillId="0" borderId="0" xfId="0" applyAlignment="1">
      <alignment horizontal="center" vertical="center" wrapText="1"/>
    </xf>
    <xf numFmtId="49" fontId="0" fillId="0" borderId="0" xfId="0" applyNumberFormat="1" applyAlignment="1">
      <alignment horizontal="center" vertical="center"/>
    </xf>
    <xf numFmtId="0" fontId="8" fillId="0" borderId="5" xfId="0" applyFont="1" applyBorder="1" applyAlignment="1">
      <alignment vertical="center"/>
    </xf>
    <xf numFmtId="0" fontId="8" fillId="0" borderId="7" xfId="0" applyFont="1" applyBorder="1" applyAlignment="1">
      <alignment vertical="center"/>
    </xf>
    <xf numFmtId="0" fontId="0" fillId="0" borderId="8" xfId="0" applyBorder="1"/>
    <xf numFmtId="0" fontId="0" fillId="0" borderId="7" xfId="0" applyBorder="1" applyAlignment="1">
      <alignment vertical="center"/>
    </xf>
    <xf numFmtId="49" fontId="0" fillId="3" borderId="5" xfId="0" applyNumberFormat="1" applyFill="1" applyBorder="1" applyAlignment="1">
      <alignment horizontal="center" vertical="center"/>
    </xf>
    <xf numFmtId="49" fontId="0" fillId="3" borderId="6" xfId="0" applyNumberFormat="1" applyFill="1" applyBorder="1" applyAlignment="1">
      <alignment horizontal="left" vertical="center" wrapText="1"/>
    </xf>
    <xf numFmtId="49" fontId="0" fillId="3" borderId="6" xfId="0" applyNumberFormat="1" applyFont="1" applyFill="1" applyBorder="1" applyAlignment="1">
      <alignment horizontal="left" vertical="center" wrapText="1"/>
    </xf>
    <xf numFmtId="0" fontId="0" fillId="3" borderId="7" xfId="0" applyFill="1" applyBorder="1" applyAlignment="1">
      <alignment horizontal="center" vertical="center"/>
    </xf>
    <xf numFmtId="0" fontId="0" fillId="3" borderId="9" xfId="0" applyFill="1" applyBorder="1" applyAlignment="1">
      <alignment horizontal="left" vertical="center" wrapText="1"/>
    </xf>
    <xf numFmtId="0" fontId="18" fillId="3" borderId="22" xfId="0" applyFont="1" applyFill="1" applyBorder="1" applyAlignment="1">
      <alignment horizontal="center" vertical="center"/>
    </xf>
    <xf numFmtId="0" fontId="8" fillId="0" borderId="0" xfId="0" applyFont="1" applyAlignment="1">
      <alignment horizontal="center" vertical="center"/>
    </xf>
    <xf numFmtId="0" fontId="8" fillId="3" borderId="22" xfId="0" applyFont="1" applyFill="1" applyBorder="1" applyAlignment="1">
      <alignment horizontal="center" vertical="center"/>
    </xf>
    <xf numFmtId="0" fontId="8" fillId="3" borderId="3" xfId="0" applyFont="1" applyFill="1" applyBorder="1" applyAlignment="1">
      <alignment horizontal="center" vertical="center"/>
    </xf>
    <xf numFmtId="0" fontId="8" fillId="3" borderId="4" xfId="0" applyFont="1" applyFill="1" applyBorder="1" applyAlignment="1">
      <alignment horizontal="center" vertical="center"/>
    </xf>
    <xf numFmtId="0" fontId="18" fillId="3" borderId="16" xfId="0" applyFont="1" applyFill="1" applyBorder="1" applyAlignment="1">
      <alignment horizontal="center" vertical="center"/>
    </xf>
    <xf numFmtId="0" fontId="0" fillId="3" borderId="16" xfId="0" applyFill="1" applyBorder="1" applyAlignment="1">
      <alignment vertical="center"/>
    </xf>
    <xf numFmtId="0" fontId="12" fillId="3" borderId="16" xfId="0" applyFont="1" applyFill="1" applyBorder="1" applyAlignment="1">
      <alignment vertical="center"/>
    </xf>
    <xf numFmtId="0" fontId="12" fillId="3" borderId="5" xfId="0" applyFont="1" applyFill="1" applyBorder="1" applyAlignment="1">
      <alignment vertical="center"/>
    </xf>
    <xf numFmtId="0" fontId="12" fillId="3" borderId="6" xfId="0" applyFont="1" applyFill="1" applyBorder="1" applyAlignment="1">
      <alignment vertical="center"/>
    </xf>
    <xf numFmtId="0" fontId="0" fillId="3" borderId="5" xfId="0" applyFill="1" applyBorder="1" applyAlignment="1">
      <alignment vertical="center"/>
    </xf>
    <xf numFmtId="0" fontId="0" fillId="3" borderId="6" xfId="0" applyFill="1" applyBorder="1" applyAlignment="1">
      <alignment vertical="center"/>
    </xf>
    <xf numFmtId="0" fontId="12" fillId="3" borderId="16" xfId="0" applyFont="1" applyFill="1" applyBorder="1" applyAlignment="1">
      <alignment horizontal="center" vertical="center"/>
    </xf>
    <xf numFmtId="0" fontId="0" fillId="3" borderId="19" xfId="0" applyFill="1" applyBorder="1" applyAlignment="1">
      <alignment vertical="center"/>
    </xf>
    <xf numFmtId="0" fontId="12" fillId="3" borderId="19" xfId="0" applyFont="1" applyFill="1" applyBorder="1" applyAlignment="1">
      <alignment horizontal="center" vertical="center"/>
    </xf>
    <xf numFmtId="0" fontId="12" fillId="3" borderId="19" xfId="0" applyFont="1" applyFill="1" applyBorder="1" applyAlignment="1">
      <alignment vertical="center"/>
    </xf>
    <xf numFmtId="0" fontId="18" fillId="3" borderId="3" xfId="0" applyFont="1" applyFill="1" applyBorder="1" applyAlignment="1">
      <alignment horizontal="centerContinuous" vertical="center"/>
    </xf>
    <xf numFmtId="0" fontId="18" fillId="3" borderId="4" xfId="0" applyFont="1" applyFill="1" applyBorder="1" applyAlignment="1">
      <alignment horizontal="centerContinuous" vertical="center"/>
    </xf>
    <xf numFmtId="0" fontId="8" fillId="3" borderId="16" xfId="0" applyFont="1" applyFill="1" applyBorder="1" applyAlignment="1">
      <alignment horizontal="center" vertical="center"/>
    </xf>
    <xf numFmtId="0" fontId="0" fillId="0" borderId="0" xfId="0" applyAlignment="1">
      <alignment horizontal="centerContinuous" vertical="center"/>
    </xf>
    <xf numFmtId="0" fontId="8" fillId="0" borderId="0" xfId="0" applyFont="1" applyAlignment="1" applyProtection="1">
      <alignment horizontal="left" vertical="center"/>
    </xf>
    <xf numFmtId="0" fontId="8" fillId="0" borderId="0" xfId="0" applyFont="1" applyAlignment="1" applyProtection="1">
      <alignment horizontal="right" vertical="center"/>
    </xf>
    <xf numFmtId="0" fontId="21" fillId="0" borderId="0" xfId="0" applyFont="1" applyAlignment="1">
      <alignment vertical="center"/>
    </xf>
    <xf numFmtId="37" fontId="10" fillId="0" borderId="11" xfId="0" applyNumberFormat="1" applyFont="1" applyBorder="1" applyAlignment="1" applyProtection="1">
      <alignment vertical="center"/>
      <protection locked="0"/>
    </xf>
    <xf numFmtId="37" fontId="10" fillId="0" borderId="15" xfId="0" applyNumberFormat="1" applyFont="1" applyBorder="1" applyAlignment="1" applyProtection="1">
      <alignment vertical="center"/>
      <protection locked="0"/>
    </xf>
    <xf numFmtId="0" fontId="0" fillId="0" borderId="0" xfId="0" applyFont="1" applyBorder="1" applyAlignment="1">
      <alignment horizontal="left" vertical="center"/>
    </xf>
    <xf numFmtId="0" fontId="8" fillId="0" borderId="0" xfId="0" applyFont="1" applyAlignment="1">
      <alignment vertical="center"/>
    </xf>
    <xf numFmtId="0" fontId="0" fillId="0" borderId="3" xfId="0" applyBorder="1" applyAlignment="1">
      <alignment vertical="center"/>
    </xf>
    <xf numFmtId="37" fontId="0" fillId="0" borderId="2" xfId="0" applyNumberFormat="1" applyBorder="1" applyAlignment="1">
      <alignment vertical="center"/>
    </xf>
    <xf numFmtId="37" fontId="0" fillId="0" borderId="4" xfId="0" applyNumberFormat="1" applyBorder="1" applyAlignment="1">
      <alignment vertical="center"/>
    </xf>
    <xf numFmtId="0" fontId="0" fillId="0" borderId="5" xfId="0" applyBorder="1" applyAlignment="1">
      <alignment vertical="center"/>
    </xf>
    <xf numFmtId="37" fontId="0" fillId="0" borderId="0" xfId="0" applyNumberFormat="1" applyBorder="1" applyAlignment="1">
      <alignment vertical="center"/>
    </xf>
    <xf numFmtId="37" fontId="0" fillId="0" borderId="6" xfId="0" applyNumberFormat="1" applyBorder="1" applyAlignment="1">
      <alignment vertical="center"/>
    </xf>
    <xf numFmtId="167" fontId="0" fillId="0" borderId="0" xfId="0" applyNumberFormat="1" applyBorder="1" applyAlignment="1">
      <alignment vertical="center"/>
    </xf>
    <xf numFmtId="0" fontId="0" fillId="2" borderId="6" xfId="0" applyFill="1" applyBorder="1" applyAlignment="1">
      <alignment vertical="center"/>
    </xf>
    <xf numFmtId="37" fontId="0" fillId="2" borderId="0" xfId="0" applyNumberFormat="1" applyFill="1" applyBorder="1" applyAlignment="1">
      <alignment vertical="center"/>
    </xf>
    <xf numFmtId="0" fontId="0" fillId="2" borderId="8" xfId="0" applyFill="1" applyBorder="1" applyAlignment="1">
      <alignment vertical="center"/>
    </xf>
    <xf numFmtId="165" fontId="6" fillId="0" borderId="9" xfId="3" applyNumberFormat="1" applyFont="1" applyBorder="1" applyAlignment="1">
      <alignment vertical="center"/>
    </xf>
    <xf numFmtId="0" fontId="0" fillId="2" borderId="2" xfId="0" applyFill="1" applyBorder="1" applyAlignment="1">
      <alignment vertical="center"/>
    </xf>
    <xf numFmtId="165" fontId="6" fillId="0" borderId="0" xfId="3" applyNumberFormat="1" applyFont="1" applyBorder="1" applyAlignment="1">
      <alignment vertical="center"/>
    </xf>
    <xf numFmtId="165" fontId="6" fillId="0" borderId="6" xfId="3" applyNumberFormat="1" applyFont="1" applyBorder="1" applyAlignment="1">
      <alignment vertical="center"/>
    </xf>
    <xf numFmtId="165" fontId="6" fillId="2" borderId="0" xfId="3" applyNumberFormat="1" applyFont="1" applyFill="1" applyBorder="1" applyAlignment="1">
      <alignment vertical="center"/>
    </xf>
    <xf numFmtId="39" fontId="6" fillId="0" borderId="6" xfId="3" applyNumberFormat="1" applyFont="1" applyBorder="1" applyAlignment="1">
      <alignment vertical="center"/>
    </xf>
    <xf numFmtId="39" fontId="0" fillId="0" borderId="6" xfId="0" applyNumberFormat="1" applyBorder="1" applyAlignment="1">
      <alignment vertical="center"/>
    </xf>
    <xf numFmtId="0" fontId="0" fillId="0" borderId="3" xfId="0" applyFont="1" applyFill="1" applyBorder="1" applyAlignment="1">
      <alignment vertical="center"/>
    </xf>
    <xf numFmtId="165" fontId="6" fillId="0" borderId="4" xfId="3" applyNumberFormat="1" applyFont="1" applyBorder="1" applyAlignment="1">
      <alignment vertical="center"/>
    </xf>
    <xf numFmtId="0" fontId="0" fillId="0" borderId="5" xfId="0" applyFont="1" applyFill="1" applyBorder="1" applyAlignment="1">
      <alignment vertical="center"/>
    </xf>
    <xf numFmtId="0" fontId="8" fillId="0" borderId="7" xfId="0" applyFont="1" applyFill="1" applyBorder="1" applyAlignment="1">
      <alignment vertical="center"/>
    </xf>
    <xf numFmtId="0" fontId="0" fillId="0" borderId="0" xfId="0" quotePrefix="1" applyAlignment="1">
      <alignment vertical="center"/>
    </xf>
    <xf numFmtId="0" fontId="0" fillId="0" borderId="24" xfId="0" applyBorder="1" applyAlignment="1">
      <alignment vertical="center"/>
    </xf>
    <xf numFmtId="37" fontId="0" fillId="0" borderId="25" xfId="0" applyNumberFormat="1" applyBorder="1" applyAlignment="1">
      <alignment vertical="center"/>
    </xf>
    <xf numFmtId="37" fontId="0" fillId="0" borderId="26" xfId="0" applyNumberFormat="1" applyBorder="1" applyAlignment="1">
      <alignment vertical="center"/>
    </xf>
    <xf numFmtId="0" fontId="4" fillId="0" borderId="0" xfId="0" applyFont="1" applyAlignment="1">
      <alignment vertical="center"/>
    </xf>
    <xf numFmtId="49" fontId="0" fillId="0" borderId="0" xfId="0" applyNumberFormat="1" applyAlignment="1">
      <alignment vertical="center"/>
    </xf>
    <xf numFmtId="49" fontId="8" fillId="0" borderId="0" xfId="0" applyNumberFormat="1" applyFont="1" applyAlignment="1">
      <alignment horizontal="center" vertical="center"/>
    </xf>
    <xf numFmtId="49" fontId="8" fillId="0" borderId="0" xfId="0" applyNumberFormat="1" applyFont="1" applyAlignment="1">
      <alignment vertical="center"/>
    </xf>
    <xf numFmtId="0" fontId="0" fillId="0" borderId="1" xfId="0" applyFont="1" applyBorder="1" applyAlignment="1">
      <alignment vertical="center"/>
    </xf>
    <xf numFmtId="0" fontId="0" fillId="0" borderId="1" xfId="0" applyFont="1" applyBorder="1" applyAlignment="1">
      <alignment horizontal="center" vertical="center"/>
    </xf>
    <xf numFmtId="0" fontId="0" fillId="0" borderId="3" xfId="0" applyFont="1" applyBorder="1" applyAlignment="1">
      <alignment vertical="center"/>
    </xf>
    <xf numFmtId="0" fontId="0" fillId="0" borderId="2" xfId="0" applyFont="1" applyBorder="1" applyAlignment="1">
      <alignment horizontal="center" vertical="center"/>
    </xf>
    <xf numFmtId="0" fontId="0" fillId="0" borderId="4" xfId="0" applyFont="1" applyBorder="1" applyAlignment="1">
      <alignment horizontal="center" vertical="center"/>
    </xf>
    <xf numFmtId="0" fontId="0" fillId="0" borderId="5" xfId="0" applyFont="1" applyBorder="1" applyAlignment="1">
      <alignment vertical="center"/>
    </xf>
    <xf numFmtId="39" fontId="0" fillId="0" borderId="6" xfId="0" applyNumberFormat="1" applyFont="1" applyBorder="1" applyAlignment="1">
      <alignment vertical="center"/>
    </xf>
    <xf numFmtId="0" fontId="0" fillId="0" borderId="0" xfId="0" applyFont="1" applyBorder="1" applyAlignment="1">
      <alignment vertical="center"/>
    </xf>
    <xf numFmtId="0" fontId="0" fillId="0" borderId="6" xfId="0" applyFont="1" applyBorder="1" applyAlignment="1">
      <alignment vertical="center"/>
    </xf>
    <xf numFmtId="37" fontId="0" fillId="0" borderId="0" xfId="0" applyNumberFormat="1" applyFont="1" applyBorder="1" applyAlignment="1">
      <alignment horizontal="center" vertical="center"/>
    </xf>
    <xf numFmtId="0" fontId="0" fillId="0" borderId="7" xfId="0" applyFont="1" applyBorder="1" applyAlignment="1">
      <alignment vertical="center"/>
    </xf>
    <xf numFmtId="0" fontId="0" fillId="0" borderId="8" xfId="0" applyFont="1" applyBorder="1" applyAlignment="1">
      <alignment vertical="center"/>
    </xf>
    <xf numFmtId="37" fontId="0" fillId="0" borderId="8" xfId="0" applyNumberFormat="1" applyFont="1" applyBorder="1" applyAlignment="1">
      <alignment horizontal="center" vertical="center"/>
    </xf>
    <xf numFmtId="0" fontId="0" fillId="0" borderId="9" xfId="0" applyFont="1" applyBorder="1" applyAlignment="1">
      <alignment vertical="center"/>
    </xf>
    <xf numFmtId="39" fontId="8" fillId="0" borderId="6" xfId="0" applyNumberFormat="1" applyFont="1" applyBorder="1" applyAlignment="1">
      <alignment vertical="center"/>
    </xf>
    <xf numFmtId="10" fontId="0" fillId="0" borderId="0" xfId="0" applyNumberFormat="1" applyAlignment="1">
      <alignment vertical="center"/>
    </xf>
    <xf numFmtId="0" fontId="5" fillId="0" borderId="0" xfId="0" applyFont="1"/>
    <xf numFmtId="0" fontId="0" fillId="0" borderId="0" xfId="0" applyFont="1" applyBorder="1" applyAlignment="1">
      <alignment horizontal="center" vertical="center" wrapText="1"/>
    </xf>
    <xf numFmtId="0" fontId="0" fillId="0" borderId="1" xfId="0" applyFont="1" applyBorder="1" applyAlignment="1">
      <alignment horizontal="left" vertical="center" wrapText="1"/>
    </xf>
    <xf numFmtId="0" fontId="0" fillId="0" borderId="23" xfId="0" applyFont="1" applyBorder="1" applyAlignment="1">
      <alignment horizontal="right" vertical="center"/>
    </xf>
    <xf numFmtId="0" fontId="8" fillId="0" borderId="23" xfId="0" applyFont="1" applyBorder="1" applyAlignment="1">
      <alignment horizontal="right" vertical="center"/>
    </xf>
    <xf numFmtId="0" fontId="8" fillId="2" borderId="0" xfId="0" applyFont="1" applyFill="1" applyAlignment="1" applyProtection="1">
      <alignment horizontal="left" vertical="center"/>
    </xf>
    <xf numFmtId="0" fontId="0" fillId="2" borderId="0" xfId="0" applyFill="1" applyAlignment="1">
      <alignment vertical="center"/>
    </xf>
    <xf numFmtId="14" fontId="8" fillId="0" borderId="0" xfId="0" applyNumberFormat="1" applyFont="1" applyAlignment="1">
      <alignment horizontal="center" vertical="center"/>
    </xf>
    <xf numFmtId="14" fontId="0" fillId="0" borderId="0" xfId="0" applyNumberFormat="1" applyAlignment="1">
      <alignment vertical="center"/>
    </xf>
    <xf numFmtId="14" fontId="8" fillId="0" borderId="0" xfId="0" applyNumberFormat="1" applyFont="1" applyAlignment="1" applyProtection="1">
      <alignment horizontal="left"/>
    </xf>
    <xf numFmtId="14" fontId="0" fillId="0" borderId="0" xfId="0" applyNumberFormat="1" applyProtection="1"/>
    <xf numFmtId="0" fontId="0" fillId="0" borderId="0" xfId="0" applyAlignment="1">
      <alignment horizontal="right"/>
    </xf>
    <xf numFmtId="0" fontId="0" fillId="2" borderId="0" xfId="0" applyFill="1" applyAlignment="1">
      <alignment horizontal="right" vertical="center"/>
    </xf>
    <xf numFmtId="14" fontId="0" fillId="0" borderId="0" xfId="0" applyNumberFormat="1" applyAlignment="1">
      <alignment horizontal="right" vertical="center"/>
    </xf>
    <xf numFmtId="170" fontId="6" fillId="0" borderId="6" xfId="3" applyNumberFormat="1" applyFont="1" applyBorder="1" applyAlignment="1">
      <alignment vertical="center"/>
    </xf>
    <xf numFmtId="170" fontId="0" fillId="0" borderId="6" xfId="0" applyNumberFormat="1" applyBorder="1" applyAlignment="1">
      <alignment vertical="center"/>
    </xf>
    <xf numFmtId="0" fontId="0" fillId="0" borderId="5" xfId="0" applyFill="1" applyBorder="1" applyAlignment="1">
      <alignment vertical="center"/>
    </xf>
    <xf numFmtId="0" fontId="0" fillId="0" borderId="7" xfId="0" applyFill="1" applyBorder="1" applyAlignment="1">
      <alignment vertical="center"/>
    </xf>
    <xf numFmtId="0" fontId="0" fillId="0" borderId="0" xfId="0" applyAlignment="1">
      <alignment horizontal="left" vertical="center" wrapText="1"/>
    </xf>
    <xf numFmtId="0" fontId="18" fillId="0" borderId="11" xfId="0" applyFont="1" applyBorder="1" applyAlignment="1">
      <alignment horizontal="center" vertical="center" wrapText="1"/>
    </xf>
    <xf numFmtId="37" fontId="10" fillId="0" borderId="14" xfId="0" applyNumberFormat="1" applyFont="1" applyBorder="1" applyAlignment="1" applyProtection="1">
      <alignment vertical="center"/>
      <protection locked="0"/>
    </xf>
    <xf numFmtId="37" fontId="10" fillId="0" borderId="10" xfId="0" applyNumberFormat="1" applyFont="1" applyBorder="1" applyAlignment="1" applyProtection="1">
      <alignment vertical="center"/>
      <protection locked="0"/>
    </xf>
    <xf numFmtId="167" fontId="10" fillId="0" borderId="15" xfId="0" applyNumberFormat="1" applyFont="1" applyBorder="1" applyAlignment="1" applyProtection="1">
      <alignment vertical="center"/>
      <protection locked="0"/>
    </xf>
    <xf numFmtId="167" fontId="10" fillId="0" borderId="11" xfId="0" applyNumberFormat="1" applyFont="1" applyBorder="1" applyAlignment="1" applyProtection="1">
      <alignment vertical="center"/>
      <protection locked="0"/>
    </xf>
    <xf numFmtId="165" fontId="10" fillId="0" borderId="11" xfId="3" applyNumberFormat="1" applyFont="1" applyBorder="1" applyAlignment="1" applyProtection="1">
      <alignment vertical="center"/>
      <protection locked="0"/>
    </xf>
    <xf numFmtId="165" fontId="10" fillId="0" borderId="11" xfId="3" applyNumberFormat="1" applyFont="1" applyFill="1" applyBorder="1" applyAlignment="1" applyProtection="1">
      <alignment vertical="center"/>
      <protection locked="0"/>
    </xf>
    <xf numFmtId="0" fontId="0" fillId="2" borderId="16" xfId="0" applyFill="1" applyBorder="1" applyAlignment="1" applyProtection="1">
      <alignment vertical="center"/>
      <protection locked="0"/>
    </xf>
    <xf numFmtId="164" fontId="12" fillId="2" borderId="0" xfId="0" applyNumberFormat="1" applyFont="1" applyFill="1" applyAlignment="1" applyProtection="1">
      <alignment horizontal="left"/>
      <protection locked="0"/>
    </xf>
    <xf numFmtId="0" fontId="0" fillId="2" borderId="0" xfId="0" applyFont="1" applyFill="1" applyAlignment="1" applyProtection="1">
      <alignment horizontal="left"/>
      <protection locked="0"/>
    </xf>
    <xf numFmtId="14" fontId="0" fillId="2" borderId="0" xfId="0" applyNumberFormat="1" applyFill="1" applyAlignment="1" applyProtection="1">
      <alignment horizontal="left"/>
      <protection locked="0"/>
    </xf>
    <xf numFmtId="0" fontId="0" fillId="2" borderId="0" xfId="0" applyFill="1" applyAlignment="1" applyProtection="1">
      <alignment horizontal="left"/>
      <protection locked="0"/>
    </xf>
    <xf numFmtId="0" fontId="8" fillId="2" borderId="22" xfId="0" applyFont="1" applyFill="1" applyBorder="1" applyAlignment="1">
      <alignment horizontal="center" vertical="center"/>
    </xf>
    <xf numFmtId="168" fontId="20" fillId="0" borderId="0" xfId="0" applyNumberFormat="1" applyFont="1" applyBorder="1" applyAlignment="1" applyProtection="1">
      <alignment vertical="center"/>
    </xf>
    <xf numFmtId="0" fontId="12" fillId="0" borderId="0" xfId="0" applyFont="1" applyBorder="1" applyAlignment="1" applyProtection="1">
      <alignment vertical="center"/>
    </xf>
    <xf numFmtId="10" fontId="12" fillId="0" borderId="0" xfId="0" applyNumberFormat="1" applyFont="1" applyBorder="1" applyAlignment="1" applyProtection="1">
      <alignment vertical="center"/>
    </xf>
    <xf numFmtId="0" fontId="0" fillId="0" borderId="0" xfId="0" applyFont="1" applyAlignment="1" applyProtection="1">
      <alignment vertical="center"/>
    </xf>
    <xf numFmtId="0" fontId="0" fillId="0" borderId="0" xfId="0" applyFont="1" applyProtection="1"/>
    <xf numFmtId="168" fontId="18" fillId="0" borderId="0" xfId="0" applyNumberFormat="1" applyFont="1" applyBorder="1" applyAlignment="1" applyProtection="1">
      <alignment vertical="center"/>
    </xf>
    <xf numFmtId="10" fontId="12" fillId="0" borderId="0" xfId="0" applyNumberFormat="1" applyFont="1" applyBorder="1" applyProtection="1"/>
    <xf numFmtId="14" fontId="10" fillId="0" borderId="0" xfId="0" applyNumberFormat="1" applyFont="1" applyBorder="1" applyAlignment="1" applyProtection="1">
      <alignment vertical="center"/>
    </xf>
    <xf numFmtId="0" fontId="18" fillId="0" borderId="27" xfId="0" applyNumberFormat="1" applyFont="1" applyBorder="1" applyAlignment="1" applyProtection="1">
      <alignment horizontal="center" vertical="center"/>
    </xf>
    <xf numFmtId="168" fontId="12" fillId="0" borderId="0" xfId="0" applyNumberFormat="1" applyFont="1" applyBorder="1" applyAlignment="1" applyProtection="1">
      <alignment horizontal="center" vertical="center"/>
    </xf>
    <xf numFmtId="10" fontId="12" fillId="0" borderId="0" xfId="0" applyNumberFormat="1" applyFont="1" applyBorder="1" applyAlignment="1" applyProtection="1">
      <alignment horizontal="center"/>
    </xf>
    <xf numFmtId="168" fontId="19" fillId="0" borderId="27" xfId="2" applyNumberFormat="1" applyFont="1" applyBorder="1" applyAlignment="1" applyProtection="1">
      <alignment horizontal="center" vertical="center"/>
    </xf>
    <xf numFmtId="0" fontId="19" fillId="0" borderId="27" xfId="2" applyFont="1" applyBorder="1" applyAlignment="1" applyProtection="1">
      <alignment vertical="center"/>
    </xf>
    <xf numFmtId="0" fontId="0" fillId="0" borderId="27" xfId="0" applyFill="1" applyBorder="1" applyAlignment="1" applyProtection="1">
      <alignment vertical="center"/>
    </xf>
    <xf numFmtId="168" fontId="19" fillId="0" borderId="27" xfId="2" applyNumberFormat="1" applyFont="1" applyFill="1" applyBorder="1" applyAlignment="1" applyProtection="1">
      <alignment horizontal="center" vertical="center"/>
    </xf>
    <xf numFmtId="168" fontId="12" fillId="0" borderId="27" xfId="2" applyNumberFormat="1" applyFont="1" applyBorder="1" applyAlignment="1" applyProtection="1">
      <alignment horizontal="center" vertical="center"/>
    </xf>
    <xf numFmtId="0" fontId="18" fillId="0" borderId="28" xfId="0" applyNumberFormat="1" applyFont="1" applyBorder="1" applyAlignment="1" applyProtection="1">
      <alignment horizontal="center" vertical="center"/>
    </xf>
    <xf numFmtId="0" fontId="25" fillId="0" borderId="8" xfId="0" applyFont="1" applyBorder="1" applyAlignment="1">
      <alignment horizontal="left" vertical="center"/>
    </xf>
    <xf numFmtId="0" fontId="0" fillId="0" borderId="0" xfId="0" applyAlignment="1">
      <alignment horizontal="left" vertical="center" wrapText="1"/>
    </xf>
    <xf numFmtId="0" fontId="25" fillId="0" borderId="0" xfId="0" applyFont="1" applyBorder="1" applyAlignment="1">
      <alignment horizontal="left" vertical="center"/>
    </xf>
    <xf numFmtId="0" fontId="13" fillId="0" borderId="0" xfId="0" applyFont="1" applyBorder="1" applyAlignment="1">
      <alignment horizontal="left" vertical="center" wrapText="1"/>
    </xf>
    <xf numFmtId="0" fontId="14" fillId="0" borderId="8" xfId="1" applyFont="1" applyBorder="1" applyAlignment="1">
      <alignment horizontal="left" vertical="center" wrapText="1"/>
    </xf>
    <xf numFmtId="0" fontId="25" fillId="0" borderId="0" xfId="0" applyFont="1" applyAlignment="1">
      <alignment horizontal="centerContinuous" vertical="center"/>
    </xf>
    <xf numFmtId="0" fontId="14" fillId="0" borderId="0" xfId="1" applyFont="1" applyBorder="1" applyAlignment="1">
      <alignment horizontal="left" vertical="center" wrapText="1"/>
    </xf>
    <xf numFmtId="0" fontId="18" fillId="2" borderId="0" xfId="0" applyFont="1" applyFill="1"/>
    <xf numFmtId="0" fontId="17" fillId="2" borderId="0" xfId="0" applyFont="1" applyFill="1"/>
    <xf numFmtId="49" fontId="16" fillId="2" borderId="0" xfId="0" applyNumberFormat="1" applyFont="1" applyFill="1" applyAlignment="1" applyProtection="1">
      <alignment horizontal="left"/>
      <protection locked="0"/>
    </xf>
    <xf numFmtId="49" fontId="10" fillId="2" borderId="0" xfId="0" applyNumberFormat="1" applyFont="1" applyFill="1" applyAlignment="1">
      <alignment horizontal="left"/>
    </xf>
    <xf numFmtId="49" fontId="10" fillId="0" borderId="29" xfId="0" applyNumberFormat="1" applyFont="1" applyBorder="1" applyAlignment="1" applyProtection="1">
      <alignment horizontal="center" vertical="center"/>
      <protection locked="0"/>
    </xf>
    <xf numFmtId="165" fontId="10" fillId="0" borderId="29" xfId="3" applyNumberFormat="1" applyFont="1" applyBorder="1" applyAlignment="1" applyProtection="1">
      <alignment horizontal="center" vertical="center"/>
      <protection locked="0"/>
    </xf>
    <xf numFmtId="39" fontId="10" fillId="0" borderId="29" xfId="0" applyNumberFormat="1" applyFont="1" applyBorder="1" applyAlignment="1" applyProtection="1">
      <alignment horizontal="center" vertical="center"/>
      <protection locked="0"/>
    </xf>
    <xf numFmtId="39" fontId="10" fillId="0" borderId="29" xfId="3" applyNumberFormat="1" applyFont="1" applyBorder="1" applyAlignment="1" applyProtection="1">
      <alignment horizontal="center" vertical="center"/>
      <protection locked="0"/>
    </xf>
    <xf numFmtId="0" fontId="11" fillId="0" borderId="0" xfId="0" applyFont="1" applyAlignment="1">
      <alignment horizontal="left" vertical="center" wrapText="1"/>
    </xf>
    <xf numFmtId="0" fontId="18" fillId="3" borderId="16" xfId="0" applyFont="1" applyFill="1" applyBorder="1" applyAlignment="1" applyProtection="1">
      <alignment vertical="center"/>
      <protection locked="0"/>
    </xf>
    <xf numFmtId="0" fontId="8" fillId="3" borderId="16" xfId="0" applyFont="1" applyFill="1" applyBorder="1" applyAlignment="1" applyProtection="1">
      <alignment horizontal="left" vertical="center"/>
      <protection locked="0"/>
    </xf>
    <xf numFmtId="0" fontId="8" fillId="0" borderId="0" xfId="0" applyFont="1" applyAlignment="1">
      <alignment horizontal="left" vertical="center"/>
    </xf>
    <xf numFmtId="0" fontId="18" fillId="3" borderId="16" xfId="0" applyFont="1" applyFill="1" applyBorder="1" applyAlignment="1" applyProtection="1">
      <alignment horizontal="left" vertical="center"/>
      <protection locked="0"/>
    </xf>
    <xf numFmtId="0" fontId="18" fillId="3" borderId="5" xfId="0" applyFont="1" applyFill="1" applyBorder="1" applyAlignment="1" applyProtection="1">
      <alignment horizontal="left" vertical="center"/>
      <protection locked="0"/>
    </xf>
    <xf numFmtId="0" fontId="18" fillId="3" borderId="6" xfId="0" applyFont="1" applyFill="1" applyBorder="1" applyAlignment="1">
      <alignment vertical="center"/>
    </xf>
    <xf numFmtId="0" fontId="8" fillId="3" borderId="5" xfId="0" applyFont="1" applyFill="1" applyBorder="1" applyAlignment="1">
      <alignment horizontal="left" vertical="center"/>
    </xf>
    <xf numFmtId="0" fontId="8" fillId="3" borderId="6" xfId="0" applyFont="1" applyFill="1" applyBorder="1" applyAlignment="1">
      <alignment horizontal="left" vertical="center"/>
    </xf>
    <xf numFmtId="0" fontId="8" fillId="2" borderId="0" xfId="0" applyFont="1" applyFill="1" applyAlignment="1">
      <alignment vertical="center"/>
    </xf>
    <xf numFmtId="39" fontId="0" fillId="0" borderId="25" xfId="0" applyNumberFormat="1" applyBorder="1" applyAlignment="1">
      <alignment vertical="center"/>
    </xf>
    <xf numFmtId="39" fontId="0" fillId="0" borderId="26" xfId="0" applyNumberFormat="1" applyBorder="1" applyAlignment="1">
      <alignment vertical="center"/>
    </xf>
    <xf numFmtId="171" fontId="0" fillId="0" borderId="0" xfId="0" applyNumberFormat="1" applyAlignment="1">
      <alignment vertical="center"/>
    </xf>
    <xf numFmtId="49" fontId="10" fillId="0" borderId="29" xfId="0" applyNumberFormat="1" applyFont="1" applyBorder="1" applyAlignment="1" applyProtection="1">
      <alignment horizontal="center" vertical="center" wrapText="1"/>
      <protection locked="0"/>
    </xf>
    <xf numFmtId="173" fontId="0" fillId="0" borderId="0" xfId="0" applyNumberFormat="1" applyAlignment="1">
      <alignment vertical="center"/>
    </xf>
    <xf numFmtId="10" fontId="0" fillId="0" borderId="0" xfId="3" applyNumberFormat="1" applyFont="1" applyAlignment="1">
      <alignment vertical="center"/>
    </xf>
    <xf numFmtId="174" fontId="0" fillId="0" borderId="0" xfId="3" applyNumberFormat="1" applyFont="1" applyAlignment="1">
      <alignment vertical="center"/>
    </xf>
    <xf numFmtId="174" fontId="0" fillId="0" borderId="0" xfId="0" applyNumberFormat="1" applyAlignment="1">
      <alignment vertical="center"/>
    </xf>
    <xf numFmtId="0" fontId="0" fillId="0" borderId="11" xfId="0" applyBorder="1" applyAlignment="1">
      <alignment horizontal="center" vertical="center"/>
    </xf>
    <xf numFmtId="0" fontId="8" fillId="0" borderId="8" xfId="0" applyFont="1" applyBorder="1"/>
    <xf numFmtId="165" fontId="0" fillId="0" borderId="0" xfId="3" applyNumberFormat="1" applyFont="1" applyBorder="1" applyAlignment="1">
      <alignment horizontal="center" vertical="center"/>
    </xf>
    <xf numFmtId="0" fontId="8" fillId="0" borderId="5" xfId="0" applyFont="1" applyBorder="1"/>
    <xf numFmtId="0" fontId="0" fillId="0" borderId="16" xfId="0" quotePrefix="1" applyBorder="1" applyAlignment="1" applyProtection="1">
      <alignment vertical="center"/>
    </xf>
    <xf numFmtId="0" fontId="0" fillId="0" borderId="16" xfId="0" applyBorder="1" applyAlignment="1" applyProtection="1">
      <alignment vertical="center"/>
    </xf>
    <xf numFmtId="0" fontId="17" fillId="2" borderId="16" xfId="0" quotePrefix="1" applyFont="1" applyFill="1" applyBorder="1" applyAlignment="1" applyProtection="1">
      <alignment vertical="center"/>
      <protection locked="0"/>
    </xf>
    <xf numFmtId="0" fontId="0" fillId="0" borderId="16" xfId="0" applyBorder="1" applyAlignment="1">
      <alignment vertical="center"/>
    </xf>
    <xf numFmtId="0" fontId="0" fillId="0" borderId="16" xfId="0" applyBorder="1" applyAlignment="1">
      <alignment horizontal="left" vertical="center"/>
    </xf>
    <xf numFmtId="14" fontId="0" fillId="0" borderId="16" xfId="0" applyNumberFormat="1" applyBorder="1" applyAlignment="1">
      <alignment horizontal="left" vertical="center"/>
    </xf>
    <xf numFmtId="0" fontId="0" fillId="0" borderId="0" xfId="0" applyFont="1" applyBorder="1"/>
    <xf numFmtId="0" fontId="18" fillId="0" borderId="0" xfId="0" applyNumberFormat="1" applyFont="1" applyBorder="1" applyAlignment="1">
      <alignment horizontal="center"/>
    </xf>
    <xf numFmtId="168" fontId="19" fillId="0" borderId="0" xfId="2" applyNumberFormat="1" applyFont="1" applyBorder="1" applyAlignment="1">
      <alignment horizontal="center"/>
    </xf>
    <xf numFmtId="0" fontId="19" fillId="0" borderId="0" xfId="2" applyFont="1" applyBorder="1"/>
    <xf numFmtId="0" fontId="0" fillId="0" borderId="0" xfId="0" applyFill="1" applyBorder="1"/>
    <xf numFmtId="0" fontId="0" fillId="0" borderId="0" xfId="0" applyFill="1" applyBorder="1" applyAlignment="1" applyProtection="1">
      <alignment vertical="center"/>
    </xf>
    <xf numFmtId="168" fontId="19" fillId="0" borderId="0" xfId="2" applyNumberFormat="1" applyFont="1" applyFill="1" applyBorder="1" applyAlignment="1">
      <alignment horizontal="center"/>
    </xf>
    <xf numFmtId="168" fontId="12" fillId="0" borderId="0" xfId="2" applyNumberFormat="1" applyFont="1" applyBorder="1" applyAlignment="1">
      <alignment horizontal="center"/>
    </xf>
    <xf numFmtId="0" fontId="18" fillId="0" borderId="1" xfId="0" applyNumberFormat="1" applyFont="1" applyBorder="1" applyAlignment="1">
      <alignment horizontal="center" vertical="center"/>
    </xf>
    <xf numFmtId="0" fontId="18" fillId="0" borderId="1" xfId="0" applyNumberFormat="1" applyFont="1" applyBorder="1" applyAlignment="1">
      <alignment horizontal="center" vertical="center" wrapText="1"/>
    </xf>
    <xf numFmtId="37" fontId="0" fillId="0" borderId="11" xfId="0" applyNumberFormat="1" applyBorder="1" applyAlignment="1" applyProtection="1">
      <alignment horizontal="center" vertical="center"/>
      <protection locked="0"/>
    </xf>
    <xf numFmtId="0" fontId="8" fillId="2" borderId="18" xfId="0" applyFont="1" applyFill="1" applyBorder="1" applyAlignment="1" applyProtection="1">
      <alignment horizontal="center" vertical="center"/>
    </xf>
    <xf numFmtId="0" fontId="8" fillId="2" borderId="22" xfId="0" applyFont="1" applyFill="1" applyBorder="1" applyAlignment="1" applyProtection="1">
      <alignment horizontal="center" vertical="center"/>
    </xf>
    <xf numFmtId="0" fontId="8" fillId="2" borderId="16" xfId="0" applyFont="1" applyFill="1" applyBorder="1" applyAlignment="1" applyProtection="1">
      <alignment horizontal="center" vertical="center"/>
    </xf>
    <xf numFmtId="0" fontId="0" fillId="2" borderId="16" xfId="0" applyFill="1" applyBorder="1" applyAlignment="1" applyProtection="1">
      <alignment vertical="center"/>
    </xf>
    <xf numFmtId="0" fontId="17" fillId="2" borderId="16" xfId="0" applyFont="1" applyFill="1" applyBorder="1" applyAlignment="1" applyProtection="1">
      <alignment vertical="center"/>
    </xf>
    <xf numFmtId="0" fontId="17" fillId="2" borderId="16" xfId="0" applyFont="1" applyFill="1" applyBorder="1" applyAlignment="1" applyProtection="1">
      <alignment vertical="center" wrapText="1"/>
    </xf>
    <xf numFmtId="49" fontId="8" fillId="0" borderId="0" xfId="0" applyNumberFormat="1" applyFont="1" applyAlignment="1">
      <alignment horizontal="center" vertical="center" wrapText="1"/>
    </xf>
    <xf numFmtId="165" fontId="6" fillId="0" borderId="6" xfId="3" applyNumberFormat="1" applyFont="1" applyFill="1" applyBorder="1" applyAlignment="1">
      <alignment vertical="center"/>
    </xf>
    <xf numFmtId="165" fontId="0" fillId="0" borderId="9" xfId="0" applyNumberFormat="1" applyFill="1" applyBorder="1" applyAlignment="1">
      <alignment vertical="center"/>
    </xf>
    <xf numFmtId="165" fontId="20" fillId="0" borderId="19" xfId="3" applyNumberFormat="1" applyFont="1" applyFill="1" applyBorder="1" applyAlignment="1">
      <alignment horizontal="center" vertical="center"/>
    </xf>
    <xf numFmtId="165" fontId="18" fillId="0" borderId="22" xfId="3" applyNumberFormat="1" applyFont="1" applyFill="1" applyBorder="1" applyAlignment="1">
      <alignment horizontal="center" vertical="center"/>
    </xf>
    <xf numFmtId="0" fontId="0" fillId="0" borderId="6" xfId="0" applyBorder="1" applyAlignment="1">
      <alignment vertical="center"/>
    </xf>
    <xf numFmtId="0" fontId="0" fillId="0" borderId="9" xfId="0" applyBorder="1" applyAlignment="1">
      <alignment vertical="center"/>
    </xf>
    <xf numFmtId="0" fontId="8" fillId="0" borderId="0" xfId="0" applyFont="1" applyFill="1" applyBorder="1" applyAlignment="1" applyProtection="1">
      <alignment vertical="center"/>
    </xf>
    <xf numFmtId="0" fontId="0" fillId="0" borderId="0" xfId="0" applyNumberFormat="1" applyFill="1" applyBorder="1" applyAlignment="1" applyProtection="1">
      <alignment vertical="center"/>
    </xf>
    <xf numFmtId="0" fontId="8" fillId="0" borderId="0" xfId="0" applyNumberFormat="1" applyFont="1" applyFill="1" applyBorder="1" applyAlignment="1" applyProtection="1">
      <alignment horizontal="centerContinuous" vertical="center"/>
    </xf>
    <xf numFmtId="0" fontId="10" fillId="0" borderId="0" xfId="0" applyNumberFormat="1" applyFont="1" applyFill="1" applyBorder="1" applyAlignment="1" applyProtection="1">
      <alignment horizontal="right" vertical="center"/>
    </xf>
    <xf numFmtId="49" fontId="16" fillId="0" borderId="29" xfId="0" applyNumberFormat="1" applyFont="1" applyBorder="1" applyAlignment="1" applyProtection="1">
      <alignment horizontal="center" vertical="center"/>
      <protection locked="0"/>
    </xf>
    <xf numFmtId="0" fontId="30" fillId="0" borderId="0" xfId="0" applyFont="1" applyAlignment="1" applyProtection="1">
      <alignment horizontal="center" vertical="center"/>
    </xf>
    <xf numFmtId="0" fontId="0" fillId="0" borderId="0" xfId="0" applyBorder="1" applyAlignment="1"/>
    <xf numFmtId="0" fontId="8" fillId="0" borderId="0" xfId="0" applyFont="1" applyAlignment="1">
      <alignment vertical="center" wrapText="1"/>
    </xf>
    <xf numFmtId="49" fontId="16" fillId="0" borderId="29" xfId="0" applyNumberFormat="1" applyFont="1" applyBorder="1" applyAlignment="1" applyProtection="1">
      <alignment vertical="center"/>
      <protection locked="0"/>
    </xf>
    <xf numFmtId="0" fontId="11" fillId="0" borderId="0" xfId="0" applyFont="1" applyAlignment="1">
      <alignment horizontal="center"/>
    </xf>
    <xf numFmtId="165" fontId="16" fillId="0" borderId="29" xfId="3" applyNumberFormat="1" applyFont="1" applyBorder="1" applyAlignment="1" applyProtection="1">
      <alignment horizontal="center" vertical="center"/>
      <protection locked="0"/>
    </xf>
    <xf numFmtId="164" fontId="16" fillId="0" borderId="29" xfId="0" applyNumberFormat="1" applyFont="1" applyBorder="1" applyAlignment="1" applyProtection="1">
      <alignment horizontal="center" vertical="center"/>
      <protection locked="0"/>
    </xf>
    <xf numFmtId="0" fontId="8" fillId="0" borderId="21" xfId="0" applyFont="1" applyBorder="1" applyAlignment="1">
      <alignment horizontal="centerContinuous" vertical="center"/>
    </xf>
    <xf numFmtId="0" fontId="8" fillId="0" borderId="20" xfId="0" applyFont="1" applyBorder="1" applyAlignment="1">
      <alignment horizontal="centerContinuous" vertical="center"/>
    </xf>
    <xf numFmtId="0" fontId="8" fillId="0" borderId="18" xfId="0" applyFont="1" applyBorder="1" applyAlignment="1">
      <alignment horizontal="center" vertical="center"/>
    </xf>
    <xf numFmtId="0" fontId="8" fillId="0" borderId="18" xfId="0" applyFont="1" applyBorder="1" applyAlignment="1">
      <alignment horizontal="center" vertical="center" wrapText="1"/>
    </xf>
    <xf numFmtId="0" fontId="8" fillId="0" borderId="17" xfId="0" applyFont="1" applyBorder="1" applyAlignment="1">
      <alignment horizontal="center" vertical="center" wrapText="1"/>
    </xf>
    <xf numFmtId="0" fontId="8" fillId="0" borderId="20" xfId="0" applyFont="1" applyBorder="1" applyAlignment="1">
      <alignment horizontal="center" vertical="center" wrapText="1"/>
    </xf>
    <xf numFmtId="0" fontId="8" fillId="0" borderId="21" xfId="0" applyFont="1" applyBorder="1" applyAlignment="1">
      <alignment horizontal="center" vertical="center" wrapText="1"/>
    </xf>
    <xf numFmtId="0" fontId="0" fillId="0" borderId="0" xfId="0" applyFont="1" applyAlignment="1" applyProtection="1">
      <alignment horizontal="right" vertical="center"/>
    </xf>
    <xf numFmtId="0" fontId="8" fillId="2" borderId="0" xfId="0" applyFont="1" applyFill="1" applyAlignment="1" applyProtection="1">
      <alignment horizontal="right" vertical="center"/>
    </xf>
    <xf numFmtId="37" fontId="0" fillId="0" borderId="16" xfId="0" applyNumberFormat="1" applyBorder="1" applyAlignment="1">
      <alignment vertical="center"/>
    </xf>
    <xf numFmtId="37" fontId="0" fillId="0" borderId="5" xfId="0" applyNumberFormat="1" applyBorder="1" applyAlignment="1">
      <alignment vertical="center"/>
    </xf>
    <xf numFmtId="165" fontId="0" fillId="0" borderId="6" xfId="3" applyNumberFormat="1" applyFont="1" applyBorder="1" applyAlignment="1">
      <alignment vertical="center"/>
    </xf>
    <xf numFmtId="37" fontId="0" fillId="0" borderId="19" xfId="0" applyNumberFormat="1" applyBorder="1" applyAlignment="1">
      <alignment vertical="center"/>
    </xf>
    <xf numFmtId="39" fontId="0" fillId="0" borderId="5" xfId="0" applyNumberFormat="1" applyBorder="1" applyAlignment="1">
      <alignment vertical="center"/>
    </xf>
    <xf numFmtId="0" fontId="32" fillId="2" borderId="19" xfId="0" applyFont="1" applyFill="1" applyBorder="1" applyAlignment="1">
      <alignment vertical="center"/>
    </xf>
    <xf numFmtId="37" fontId="32" fillId="2" borderId="19" xfId="0" applyNumberFormat="1" applyFont="1" applyFill="1" applyBorder="1" applyAlignment="1">
      <alignment vertical="center" shrinkToFit="1"/>
    </xf>
    <xf numFmtId="37" fontId="32" fillId="2" borderId="7" xfId="0" applyNumberFormat="1" applyFont="1" applyFill="1" applyBorder="1" applyAlignment="1">
      <alignment vertical="center" shrinkToFit="1"/>
    </xf>
    <xf numFmtId="37" fontId="32" fillId="2" borderId="9" xfId="0" applyNumberFormat="1" applyFont="1" applyFill="1" applyBorder="1" applyAlignment="1">
      <alignment vertical="center" shrinkToFit="1"/>
    </xf>
    <xf numFmtId="0" fontId="32" fillId="2" borderId="18" xfId="0" applyFont="1" applyFill="1" applyBorder="1" applyAlignment="1">
      <alignment vertical="center"/>
    </xf>
    <xf numFmtId="39" fontId="32" fillId="2" borderId="21" xfId="0" applyNumberFormat="1" applyFont="1" applyFill="1" applyBorder="1" applyAlignment="1">
      <alignment vertical="center"/>
    </xf>
    <xf numFmtId="39" fontId="32" fillId="2" borderId="20" xfId="0" applyNumberFormat="1" applyFont="1" applyFill="1" applyBorder="1" applyAlignment="1">
      <alignment vertical="center"/>
    </xf>
    <xf numFmtId="37" fontId="32" fillId="2" borderId="17" xfId="0" applyNumberFormat="1" applyFont="1" applyFill="1" applyBorder="1" applyAlignment="1">
      <alignment vertical="center" shrinkToFit="1"/>
    </xf>
    <xf numFmtId="37" fontId="32" fillId="2" borderId="21" xfId="0" applyNumberFormat="1" applyFont="1" applyFill="1" applyBorder="1" applyAlignment="1">
      <alignment vertical="center" shrinkToFit="1"/>
    </xf>
    <xf numFmtId="0" fontId="11" fillId="0" borderId="0" xfId="0" applyFont="1" applyAlignment="1">
      <alignment horizontal="right"/>
    </xf>
    <xf numFmtId="37" fontId="10" fillId="0" borderId="34" xfId="0" applyNumberFormat="1" applyFont="1" applyBorder="1" applyAlignment="1" applyProtection="1">
      <alignment vertical="center" shrinkToFit="1"/>
      <protection locked="0"/>
    </xf>
    <xf numFmtId="0" fontId="30" fillId="0" borderId="0" xfId="0" applyFont="1" applyAlignment="1">
      <alignment horizontal="left" vertical="center"/>
    </xf>
    <xf numFmtId="0" fontId="11" fillId="0" borderId="0" xfId="0" applyFont="1" applyAlignment="1">
      <alignment vertical="center"/>
    </xf>
    <xf numFmtId="0" fontId="11" fillId="0" borderId="0" xfId="0" applyFont="1"/>
    <xf numFmtId="0" fontId="0" fillId="0" borderId="11" xfId="0" applyBorder="1" applyAlignment="1">
      <alignment horizontal="centerContinuous" vertical="center"/>
    </xf>
    <xf numFmtId="166" fontId="0" fillId="0" borderId="11" xfId="0" applyNumberFormat="1" applyBorder="1" applyAlignment="1">
      <alignment horizontal="centerContinuous" vertical="center"/>
    </xf>
    <xf numFmtId="0" fontId="0" fillId="0" borderId="11" xfId="0" applyBorder="1" applyAlignment="1">
      <alignment horizontal="center" vertical="center" wrapText="1"/>
    </xf>
    <xf numFmtId="0" fontId="30" fillId="0" borderId="0" xfId="0" applyFont="1"/>
    <xf numFmtId="0" fontId="0" fillId="0" borderId="15" xfId="0" applyBorder="1" applyAlignment="1">
      <alignment horizontal="center" vertical="center" wrapText="1"/>
    </xf>
    <xf numFmtId="166" fontId="0" fillId="0" borderId="14" xfId="0" applyNumberFormat="1" applyBorder="1" applyAlignment="1">
      <alignment vertical="center"/>
    </xf>
    <xf numFmtId="49" fontId="0" fillId="0" borderId="15" xfId="0" applyNumberFormat="1" applyBorder="1" applyAlignment="1">
      <alignment horizontal="center" vertical="center"/>
    </xf>
    <xf numFmtId="37" fontId="10" fillId="0" borderId="15" xfId="0" applyNumberFormat="1" applyFont="1" applyBorder="1" applyAlignment="1">
      <alignment vertical="center"/>
    </xf>
    <xf numFmtId="37" fontId="12" fillId="2" borderId="15" xfId="0" applyNumberFormat="1" applyFont="1" applyFill="1" applyBorder="1" applyAlignment="1">
      <alignment vertical="center"/>
    </xf>
    <xf numFmtId="37" fontId="16" fillId="0" borderId="15" xfId="0" applyNumberFormat="1" applyFont="1" applyBorder="1" applyAlignment="1">
      <alignment vertical="center"/>
    </xf>
    <xf numFmtId="37" fontId="18" fillId="2" borderId="15" xfId="0" applyNumberFormat="1" applyFont="1" applyFill="1" applyBorder="1" applyAlignment="1">
      <alignment vertical="center"/>
    </xf>
    <xf numFmtId="165" fontId="18" fillId="2" borderId="15" xfId="3" applyNumberFormat="1" applyFont="1" applyFill="1" applyBorder="1" applyAlignment="1">
      <alignment vertical="center"/>
    </xf>
    <xf numFmtId="14" fontId="0" fillId="0" borderId="0" xfId="0" applyNumberFormat="1"/>
    <xf numFmtId="0" fontId="0" fillId="0" borderId="11" xfId="0" applyBorder="1" applyAlignment="1">
      <alignment horizontal="left" vertical="center" wrapText="1"/>
    </xf>
    <xf numFmtId="166" fontId="12" fillId="0" borderId="11" xfId="0" applyNumberFormat="1" applyFont="1" applyBorder="1" applyAlignment="1">
      <alignment horizontal="left" vertical="center" wrapText="1"/>
    </xf>
    <xf numFmtId="0" fontId="12" fillId="0" borderId="11" xfId="0" applyFont="1" applyBorder="1" applyAlignment="1">
      <alignment horizontal="left" vertical="center" wrapText="1"/>
    </xf>
    <xf numFmtId="37" fontId="12" fillId="0" borderId="11" xfId="0" applyNumberFormat="1" applyFont="1" applyBorder="1" applyAlignment="1">
      <alignment horizontal="left" vertical="center" wrapText="1"/>
    </xf>
    <xf numFmtId="37" fontId="12" fillId="0" borderId="0" xfId="0" applyNumberFormat="1" applyFont="1" applyBorder="1" applyAlignment="1">
      <alignment horizontal="left" vertical="center" wrapText="1"/>
    </xf>
    <xf numFmtId="0" fontId="0" fillId="0" borderId="37" xfId="0" applyFont="1" applyBorder="1" applyAlignment="1">
      <alignment horizontal="center" vertical="center"/>
    </xf>
    <xf numFmtId="0" fontId="0" fillId="0" borderId="38" xfId="0" applyBorder="1" applyAlignment="1">
      <alignment horizontal="left" vertical="center" wrapText="1"/>
    </xf>
    <xf numFmtId="0" fontId="0" fillId="0" borderId="38" xfId="0" applyBorder="1" applyAlignment="1">
      <alignment horizontal="center" vertical="center" wrapText="1"/>
    </xf>
    <xf numFmtId="0" fontId="0" fillId="0" borderId="39" xfId="0" applyFont="1" applyBorder="1" applyAlignment="1">
      <alignment horizontal="center" vertical="center"/>
    </xf>
    <xf numFmtId="49" fontId="0" fillId="0" borderId="11" xfId="0" applyNumberFormat="1" applyBorder="1" applyAlignment="1">
      <alignment horizontal="center" vertical="center" wrapText="1"/>
    </xf>
    <xf numFmtId="49" fontId="0" fillId="0" borderId="39" xfId="0" applyNumberFormat="1" applyFont="1" applyBorder="1" applyAlignment="1">
      <alignment horizontal="center" vertical="center"/>
    </xf>
    <xf numFmtId="37" fontId="12" fillId="2" borderId="11" xfId="0" applyNumberFormat="1" applyFont="1" applyFill="1" applyBorder="1" applyAlignment="1" applyProtection="1">
      <alignment vertical="center"/>
    </xf>
    <xf numFmtId="10" fontId="10" fillId="2" borderId="11" xfId="3" applyNumberFormat="1" applyFont="1" applyFill="1" applyBorder="1" applyAlignment="1" applyProtection="1">
      <alignment vertical="center"/>
    </xf>
    <xf numFmtId="10" fontId="12" fillId="2" borderId="11" xfId="3" applyNumberFormat="1" applyFont="1" applyFill="1" applyBorder="1" applyAlignment="1" applyProtection="1">
      <alignment vertical="center"/>
    </xf>
    <xf numFmtId="166" fontId="12" fillId="0" borderId="11" xfId="0" applyNumberFormat="1" applyFont="1" applyBorder="1" applyAlignment="1">
      <alignment horizontal="left" vertical="center" wrapText="1" indent="1"/>
    </xf>
    <xf numFmtId="49" fontId="0" fillId="0" borderId="40" xfId="0" applyNumberFormat="1" applyFont="1" applyBorder="1" applyAlignment="1">
      <alignment horizontal="center" vertical="center"/>
    </xf>
    <xf numFmtId="37" fontId="12" fillId="0" borderId="41" xfId="0" applyNumberFormat="1" applyFont="1" applyFill="1" applyBorder="1" applyAlignment="1">
      <alignment horizontal="left" vertical="center" wrapText="1"/>
    </xf>
    <xf numFmtId="37" fontId="12" fillId="2" borderId="41" xfId="0" applyNumberFormat="1" applyFont="1" applyFill="1" applyBorder="1" applyAlignment="1" applyProtection="1">
      <alignment vertical="center"/>
    </xf>
    <xf numFmtId="10" fontId="10" fillId="2" borderId="41" xfId="3" applyNumberFormat="1" applyFont="1" applyFill="1" applyBorder="1" applyAlignment="1" applyProtection="1">
      <alignment vertical="center"/>
    </xf>
    <xf numFmtId="10" fontId="12" fillId="2" borderId="41" xfId="3" applyNumberFormat="1" applyFont="1" applyFill="1" applyBorder="1" applyAlignment="1" applyProtection="1">
      <alignment vertical="center"/>
    </xf>
    <xf numFmtId="37" fontId="12" fillId="0" borderId="11" xfId="0" applyNumberFormat="1" applyFont="1" applyFill="1" applyBorder="1" applyAlignment="1">
      <alignment horizontal="left" vertical="center" wrapText="1"/>
    </xf>
    <xf numFmtId="10" fontId="10" fillId="2" borderId="11" xfId="3" applyNumberFormat="1" applyFont="1" applyFill="1" applyBorder="1" applyAlignment="1">
      <alignment vertical="center"/>
    </xf>
    <xf numFmtId="10" fontId="12" fillId="2" borderId="34" xfId="3" applyNumberFormat="1" applyFont="1" applyFill="1" applyBorder="1" applyAlignment="1">
      <alignment vertical="center"/>
    </xf>
    <xf numFmtId="37" fontId="12" fillId="2" borderId="36" xfId="0" applyNumberFormat="1" applyFont="1" applyFill="1" applyBorder="1" applyAlignment="1">
      <alignment vertical="center"/>
    </xf>
    <xf numFmtId="165" fontId="20" fillId="2" borderId="18" xfId="3" applyNumberFormat="1" applyFont="1" applyFill="1" applyBorder="1" applyAlignment="1">
      <alignment horizontal="center" vertical="center"/>
    </xf>
    <xf numFmtId="37" fontId="12" fillId="2" borderId="41" xfId="0" applyNumberFormat="1" applyFont="1" applyFill="1" applyBorder="1" applyAlignment="1">
      <alignment vertical="center"/>
    </xf>
    <xf numFmtId="165" fontId="12" fillId="2" borderId="41" xfId="3" applyNumberFormat="1" applyFont="1" applyFill="1" applyBorder="1" applyAlignment="1">
      <alignment vertical="center"/>
    </xf>
    <xf numFmtId="37" fontId="12" fillId="2" borderId="42" xfId="0" applyNumberFormat="1" applyFont="1" applyFill="1" applyBorder="1" applyAlignment="1">
      <alignment vertical="center"/>
    </xf>
    <xf numFmtId="10" fontId="12" fillId="2" borderId="41" xfId="3" applyNumberFormat="1" applyFont="1" applyFill="1" applyBorder="1" applyAlignment="1">
      <alignment vertical="center"/>
    </xf>
    <xf numFmtId="37" fontId="12" fillId="2" borderId="43" xfId="0" applyNumberFormat="1" applyFont="1" applyFill="1" applyBorder="1" applyAlignment="1">
      <alignment horizontal="center" vertical="center" wrapText="1"/>
    </xf>
    <xf numFmtId="37" fontId="12" fillId="2" borderId="44" xfId="0" applyNumberFormat="1" applyFont="1" applyFill="1" applyBorder="1" applyAlignment="1">
      <alignment horizontal="center" vertical="center" wrapText="1"/>
    </xf>
    <xf numFmtId="37" fontId="12" fillId="2" borderId="44" xfId="0" applyNumberFormat="1" applyFont="1" applyFill="1" applyBorder="1" applyAlignment="1" applyProtection="1">
      <alignment horizontal="center" vertical="center" wrapText="1"/>
    </xf>
    <xf numFmtId="49" fontId="0" fillId="0" borderId="45" xfId="0" applyNumberFormat="1" applyFont="1" applyBorder="1" applyAlignment="1">
      <alignment horizontal="center" vertical="center"/>
    </xf>
    <xf numFmtId="37" fontId="12" fillId="0" borderId="10" xfId="0" applyNumberFormat="1" applyFont="1" applyFill="1" applyBorder="1" applyAlignment="1">
      <alignment horizontal="left" vertical="center" wrapText="1"/>
    </xf>
    <xf numFmtId="10" fontId="12" fillId="2" borderId="10" xfId="3" applyNumberFormat="1" applyFont="1" applyFill="1" applyBorder="1" applyAlignment="1" applyProtection="1">
      <alignment vertical="center"/>
    </xf>
    <xf numFmtId="37" fontId="12" fillId="2" borderId="35" xfId="0" applyNumberFormat="1" applyFont="1" applyFill="1" applyBorder="1" applyAlignment="1" applyProtection="1">
      <alignment vertical="center"/>
    </xf>
    <xf numFmtId="49" fontId="0" fillId="0" borderId="46" xfId="0" applyNumberFormat="1" applyFont="1" applyBorder="1" applyAlignment="1">
      <alignment horizontal="center" vertical="center"/>
    </xf>
    <xf numFmtId="37" fontId="12" fillId="0" borderId="12" xfId="0" applyNumberFormat="1" applyFont="1" applyFill="1" applyBorder="1" applyAlignment="1">
      <alignment horizontal="left" vertical="center" wrapText="1"/>
    </xf>
    <xf numFmtId="37" fontId="12" fillId="2" borderId="12" xfId="0" applyNumberFormat="1" applyFont="1" applyFill="1" applyBorder="1" applyAlignment="1" applyProtection="1">
      <alignment vertical="center"/>
    </xf>
    <xf numFmtId="165" fontId="20" fillId="2" borderId="18" xfId="3" applyNumberFormat="1" applyFont="1" applyFill="1" applyBorder="1" applyAlignment="1" applyProtection="1">
      <alignment horizontal="center" vertical="center"/>
    </xf>
    <xf numFmtId="37" fontId="12" fillId="2" borderId="47" xfId="0" applyNumberFormat="1" applyFont="1" applyFill="1" applyBorder="1" applyAlignment="1" applyProtection="1">
      <alignment vertical="center"/>
    </xf>
    <xf numFmtId="10" fontId="12" fillId="2" borderId="12" xfId="3" applyNumberFormat="1" applyFont="1" applyFill="1" applyBorder="1" applyAlignment="1" applyProtection="1">
      <alignment vertical="center"/>
    </xf>
    <xf numFmtId="49" fontId="0" fillId="0" borderId="0" xfId="0" applyNumberFormat="1" applyFont="1" applyBorder="1" applyAlignment="1">
      <alignment horizontal="center" vertical="center"/>
    </xf>
    <xf numFmtId="37" fontId="12" fillId="0" borderId="0" xfId="0" applyNumberFormat="1" applyFont="1" applyFill="1" applyBorder="1" applyAlignment="1">
      <alignment horizontal="left" vertical="center" wrapText="1"/>
    </xf>
    <xf numFmtId="37" fontId="12" fillId="0" borderId="0" xfId="0" applyNumberFormat="1" applyFont="1" applyFill="1" applyBorder="1" applyAlignment="1" applyProtection="1">
      <alignment horizontal="left" vertical="center" wrapText="1"/>
    </xf>
    <xf numFmtId="49" fontId="0" fillId="0" borderId="0" xfId="0" applyNumberFormat="1" applyAlignment="1">
      <alignment horizontal="left" vertical="center"/>
    </xf>
    <xf numFmtId="49" fontId="12" fillId="0" borderId="0" xfId="0" applyNumberFormat="1" applyFont="1" applyAlignment="1">
      <alignment horizontal="left" indent="1"/>
    </xf>
    <xf numFmtId="49" fontId="0" fillId="0" borderId="0" xfId="0" applyNumberFormat="1" applyAlignment="1">
      <alignment horizontal="left" indent="1"/>
    </xf>
    <xf numFmtId="49" fontId="0" fillId="0" borderId="0" xfId="0" applyNumberFormat="1"/>
    <xf numFmtId="49" fontId="7" fillId="0" borderId="0" xfId="1" applyNumberFormat="1" applyAlignment="1">
      <alignment horizontal="left" indent="3"/>
    </xf>
    <xf numFmtId="0" fontId="30" fillId="0" borderId="0" xfId="0" applyFont="1" applyAlignment="1" applyProtection="1">
      <alignment horizontal="left" vertical="center"/>
    </xf>
    <xf numFmtId="0" fontId="8" fillId="2" borderId="1" xfId="0" applyFont="1" applyFill="1" applyBorder="1"/>
    <xf numFmtId="49" fontId="10" fillId="2" borderId="1" xfId="0" applyNumberFormat="1" applyFont="1" applyFill="1" applyBorder="1" applyAlignment="1">
      <alignment horizontal="left"/>
    </xf>
    <xf numFmtId="0" fontId="0" fillId="2" borderId="1" xfId="0" applyFill="1" applyBorder="1"/>
    <xf numFmtId="0" fontId="8" fillId="4" borderId="36" xfId="0" applyFont="1" applyFill="1" applyBorder="1" applyAlignment="1">
      <alignment vertical="center"/>
    </xf>
    <xf numFmtId="0" fontId="0" fillId="4" borderId="15" xfId="0" applyFill="1" applyBorder="1" applyAlignment="1">
      <alignment vertical="center"/>
    </xf>
    <xf numFmtId="0" fontId="0" fillId="4" borderId="48" xfId="0" applyFill="1" applyBorder="1" applyAlignment="1">
      <alignment vertical="center"/>
    </xf>
    <xf numFmtId="0" fontId="0" fillId="4" borderId="49" xfId="0" applyFill="1" applyBorder="1" applyAlignment="1">
      <alignment vertical="center"/>
    </xf>
    <xf numFmtId="0" fontId="0" fillId="4" borderId="35" xfId="0" applyFill="1" applyBorder="1" applyAlignment="1">
      <alignment vertical="center"/>
    </xf>
    <xf numFmtId="0" fontId="0" fillId="4" borderId="14" xfId="0" applyFill="1" applyBorder="1" applyAlignment="1">
      <alignment vertical="center"/>
    </xf>
    <xf numFmtId="165" fontId="0" fillId="2" borderId="0" xfId="3" applyNumberFormat="1" applyFont="1" applyFill="1" applyAlignment="1" applyProtection="1">
      <alignment horizontal="left"/>
      <protection locked="0"/>
    </xf>
    <xf numFmtId="0" fontId="36" fillId="2" borderId="0" xfId="0" applyFont="1" applyFill="1"/>
    <xf numFmtId="165" fontId="0" fillId="2" borderId="0" xfId="3" applyNumberFormat="1" applyFont="1" applyFill="1" applyAlignment="1">
      <alignment horizontal="left"/>
    </xf>
    <xf numFmtId="0" fontId="12" fillId="2" borderId="0" xfId="0" applyFont="1" applyFill="1"/>
    <xf numFmtId="165" fontId="12" fillId="2" borderId="0" xfId="3" applyNumberFormat="1" applyFont="1" applyFill="1" applyAlignment="1" applyProtection="1">
      <alignment horizontal="left"/>
      <protection locked="0"/>
    </xf>
    <xf numFmtId="0" fontId="15" fillId="2" borderId="0" xfId="0" applyFont="1" applyFill="1"/>
    <xf numFmtId="0" fontId="37" fillId="2" borderId="0" xfId="0" applyFont="1" applyFill="1"/>
    <xf numFmtId="0" fontId="12" fillId="2" borderId="0" xfId="0" applyFont="1" applyFill="1" applyAlignment="1" applyProtection="1">
      <alignment horizontal="left"/>
      <protection locked="0"/>
    </xf>
    <xf numFmtId="166" fontId="16" fillId="0" borderId="29" xfId="0" applyNumberFormat="1" applyFont="1" applyBorder="1" applyAlignment="1" applyProtection="1">
      <alignment horizontal="center" vertical="center"/>
      <protection locked="0"/>
    </xf>
    <xf numFmtId="0" fontId="8" fillId="0" borderId="0" xfId="0" applyFont="1" applyAlignment="1" applyProtection="1">
      <alignment horizontal="center" vertical="center" wrapText="1"/>
    </xf>
    <xf numFmtId="0" fontId="8" fillId="0" borderId="0" xfId="0" applyFont="1" applyFill="1" applyBorder="1" applyAlignment="1" applyProtection="1">
      <alignment vertical="center" wrapText="1"/>
    </xf>
    <xf numFmtId="165" fontId="0" fillId="0" borderId="0" xfId="3" applyNumberFormat="1" applyFont="1" applyBorder="1" applyAlignment="1">
      <alignment horizontal="center"/>
    </xf>
    <xf numFmtId="0" fontId="0" fillId="0" borderId="5" xfId="0" applyBorder="1" applyAlignment="1"/>
    <xf numFmtId="0" fontId="0" fillId="0" borderId="0" xfId="0" applyBorder="1" applyAlignment="1">
      <alignment horizontal="center"/>
    </xf>
    <xf numFmtId="165" fontId="36" fillId="0" borderId="0" xfId="3" applyNumberFormat="1" applyFont="1" applyBorder="1" applyAlignment="1">
      <alignment horizontal="center"/>
    </xf>
    <xf numFmtId="165" fontId="0" fillId="0" borderId="6" xfId="0" applyNumberFormat="1" applyBorder="1"/>
    <xf numFmtId="0" fontId="0" fillId="0" borderId="7" xfId="0" applyBorder="1" applyAlignment="1"/>
    <xf numFmtId="0" fontId="0" fillId="0" borderId="8" xfId="0" applyBorder="1" applyAlignment="1">
      <alignment horizontal="center"/>
    </xf>
    <xf numFmtId="165" fontId="0" fillId="0" borderId="8" xfId="3" applyNumberFormat="1" applyFont="1" applyBorder="1" applyAlignment="1">
      <alignment horizontal="center"/>
    </xf>
    <xf numFmtId="165" fontId="0" fillId="0" borderId="8" xfId="3" applyNumberFormat="1" applyFont="1" applyBorder="1" applyAlignment="1">
      <alignment horizontal="center" vertical="center"/>
    </xf>
    <xf numFmtId="165" fontId="0" fillId="0" borderId="9" xfId="0" applyNumberFormat="1" applyBorder="1"/>
    <xf numFmtId="165" fontId="0" fillId="0" borderId="7" xfId="3" applyNumberFormat="1" applyFont="1" applyBorder="1" applyAlignment="1">
      <alignment horizontal="center"/>
    </xf>
    <xf numFmtId="165" fontId="0" fillId="0" borderId="9" xfId="3" applyNumberFormat="1" applyFont="1" applyBorder="1" applyAlignment="1">
      <alignment horizontal="center"/>
    </xf>
    <xf numFmtId="165" fontId="0" fillId="0" borderId="5" xfId="3" applyNumberFormat="1" applyFont="1" applyBorder="1" applyAlignment="1">
      <alignment horizontal="center"/>
    </xf>
    <xf numFmtId="165" fontId="0" fillId="0" borderId="6" xfId="3" applyNumberFormat="1" applyFont="1" applyBorder="1" applyAlignment="1">
      <alignment horizontal="center"/>
    </xf>
    <xf numFmtId="0" fontId="8" fillId="0" borderId="3" xfId="0" applyFont="1" applyBorder="1"/>
    <xf numFmtId="0" fontId="8" fillId="0" borderId="2" xfId="0" applyFont="1" applyBorder="1"/>
    <xf numFmtId="0" fontId="8" fillId="0" borderId="3" xfId="0" applyFont="1" applyBorder="1" applyAlignment="1">
      <alignment horizontal="centerContinuous"/>
    </xf>
    <xf numFmtId="0" fontId="8" fillId="0" borderId="2" xfId="0" applyFont="1" applyBorder="1" applyAlignment="1">
      <alignment horizontal="centerContinuous"/>
    </xf>
    <xf numFmtId="0" fontId="8" fillId="0" borderId="4" xfId="0" applyFont="1" applyBorder="1" applyAlignment="1">
      <alignment horizontal="centerContinuous"/>
    </xf>
    <xf numFmtId="0" fontId="8" fillId="0" borderId="4" xfId="0" applyFont="1" applyBorder="1"/>
    <xf numFmtId="165" fontId="8" fillId="0" borderId="7" xfId="3" applyNumberFormat="1" applyFont="1" applyBorder="1" applyAlignment="1">
      <alignment horizontal="center"/>
    </xf>
    <xf numFmtId="165" fontId="8" fillId="0" borderId="8" xfId="3" applyNumberFormat="1" applyFont="1" applyBorder="1" applyAlignment="1">
      <alignment horizontal="center"/>
    </xf>
    <xf numFmtId="165" fontId="8" fillId="0" borderId="9" xfId="3" applyNumberFormat="1" applyFont="1" applyBorder="1" applyAlignment="1">
      <alignment horizontal="center"/>
    </xf>
    <xf numFmtId="165" fontId="8" fillId="0" borderId="8" xfId="0" applyNumberFormat="1" applyFont="1" applyBorder="1" applyAlignment="1">
      <alignment horizontal="center"/>
    </xf>
    <xf numFmtId="0" fontId="8" fillId="0" borderId="9" xfId="0" applyFont="1" applyBorder="1"/>
    <xf numFmtId="0" fontId="8" fillId="0" borderId="8" xfId="0" applyFont="1" applyBorder="1" applyAlignment="1">
      <alignment horizontal="center" vertical="center" wrapText="1"/>
    </xf>
    <xf numFmtId="0" fontId="18" fillId="0" borderId="7" xfId="0" applyNumberFormat="1" applyFont="1" applyFill="1" applyBorder="1" applyAlignment="1" applyProtection="1">
      <alignment horizontal="center" vertical="center"/>
    </xf>
    <xf numFmtId="0" fontId="18" fillId="0" borderId="8" xfId="0" applyNumberFormat="1" applyFont="1" applyFill="1" applyBorder="1" applyAlignment="1" applyProtection="1">
      <alignment horizontal="center" vertical="center"/>
    </xf>
    <xf numFmtId="0" fontId="18" fillId="0" borderId="9" xfId="0" applyNumberFormat="1" applyFont="1" applyFill="1" applyBorder="1" applyAlignment="1" applyProtection="1">
      <alignment horizontal="center" vertical="center"/>
    </xf>
    <xf numFmtId="0" fontId="18" fillId="0" borderId="8" xfId="0" applyNumberFormat="1" applyFont="1" applyFill="1" applyBorder="1" applyAlignment="1" applyProtection="1">
      <alignment horizontal="center" vertical="center" wrapText="1"/>
    </xf>
    <xf numFmtId="0" fontId="18" fillId="0" borderId="9" xfId="0" applyNumberFormat="1" applyFont="1" applyFill="1" applyBorder="1" applyAlignment="1" applyProtection="1">
      <alignment horizontal="center" vertical="center" wrapText="1"/>
    </xf>
    <xf numFmtId="169" fontId="0" fillId="0" borderId="5" xfId="0" applyNumberFormat="1" applyBorder="1"/>
    <xf numFmtId="169" fontId="0" fillId="0" borderId="6" xfId="0" applyNumberFormat="1" applyBorder="1"/>
    <xf numFmtId="0" fontId="8" fillId="0" borderId="6" xfId="0" applyFont="1" applyBorder="1"/>
    <xf numFmtId="0" fontId="8" fillId="0" borderId="9" xfId="0" applyFont="1" applyBorder="1" applyAlignment="1">
      <alignment horizontal="center" vertical="center" wrapText="1"/>
    </xf>
    <xf numFmtId="0" fontId="8" fillId="0" borderId="7" xfId="0" applyFont="1" applyBorder="1" applyAlignment="1">
      <alignment horizontal="center" vertical="center" wrapText="1"/>
    </xf>
    <xf numFmtId="0" fontId="38" fillId="0" borderId="3" xfId="0" applyFont="1" applyBorder="1" applyAlignment="1">
      <alignment horizontal="centerContinuous" vertical="center"/>
    </xf>
    <xf numFmtId="0" fontId="39" fillId="0" borderId="2" xfId="0" applyFont="1" applyBorder="1" applyAlignment="1">
      <alignment horizontal="centerContinuous"/>
    </xf>
    <xf numFmtId="0" fontId="39" fillId="0" borderId="4" xfId="0" applyFont="1" applyBorder="1" applyAlignment="1">
      <alignment horizontal="centerContinuous"/>
    </xf>
    <xf numFmtId="165" fontId="0" fillId="0" borderId="0" xfId="0" applyNumberFormat="1" applyBorder="1"/>
    <xf numFmtId="0" fontId="29" fillId="0" borderId="2" xfId="0" applyFont="1" applyBorder="1" applyAlignment="1">
      <alignment horizontal="center"/>
    </xf>
    <xf numFmtId="0" fontId="38" fillId="0" borderId="3" xfId="0" applyFont="1" applyBorder="1"/>
    <xf numFmtId="0" fontId="38" fillId="0" borderId="2" xfId="0" applyFont="1" applyBorder="1"/>
    <xf numFmtId="0" fontId="38" fillId="0" borderId="4" xfId="0" applyFont="1" applyBorder="1"/>
    <xf numFmtId="0" fontId="38" fillId="0" borderId="2" xfId="0" applyFont="1" applyBorder="1" applyAlignment="1">
      <alignment horizontal="centerContinuous" vertical="center"/>
    </xf>
    <xf numFmtId="0" fontId="38" fillId="0" borderId="4" xfId="0" applyFont="1" applyBorder="1" applyAlignment="1">
      <alignment horizontal="centerContinuous" vertical="center"/>
    </xf>
    <xf numFmtId="0" fontId="38" fillId="0" borderId="7" xfId="0" applyFont="1" applyBorder="1"/>
    <xf numFmtId="0" fontId="38" fillId="0" borderId="8" xfId="0" applyFont="1" applyBorder="1"/>
    <xf numFmtId="0" fontId="38" fillId="0" borderId="9" xfId="0" applyFont="1" applyBorder="1"/>
    <xf numFmtId="0" fontId="38" fillId="0" borderId="8" xfId="0" applyFont="1" applyBorder="1" applyAlignment="1">
      <alignment horizontal="centerContinuous" vertical="center"/>
    </xf>
    <xf numFmtId="0" fontId="38" fillId="0" borderId="9" xfId="0" applyFont="1" applyBorder="1" applyAlignment="1">
      <alignment horizontal="centerContinuous" vertical="center"/>
    </xf>
    <xf numFmtId="169" fontId="0" fillId="2" borderId="0" xfId="0" applyNumberFormat="1" applyFont="1" applyFill="1" applyAlignment="1" applyProtection="1">
      <alignment horizontal="left"/>
      <protection locked="0"/>
    </xf>
    <xf numFmtId="0" fontId="30" fillId="0" borderId="0" xfId="0" applyFont="1" applyAlignment="1" applyProtection="1">
      <alignment vertical="center"/>
    </xf>
    <xf numFmtId="166" fontId="18" fillId="0" borderId="12" xfId="0" applyNumberFormat="1" applyFont="1" applyBorder="1" applyAlignment="1" applyProtection="1">
      <alignment horizontal="center" vertical="center"/>
      <protection locked="0"/>
    </xf>
    <xf numFmtId="0" fontId="0" fillId="0" borderId="11" xfId="0" applyBorder="1" applyAlignment="1">
      <alignment horizontal="center" vertical="center"/>
    </xf>
    <xf numFmtId="171" fontId="17" fillId="0" borderId="0" xfId="0" applyNumberFormat="1" applyFont="1" applyAlignment="1">
      <alignment vertical="center"/>
    </xf>
    <xf numFmtId="165" fontId="32" fillId="2" borderId="20" xfId="3" applyNumberFormat="1" applyFont="1" applyFill="1" applyBorder="1" applyAlignment="1">
      <alignment vertical="center"/>
    </xf>
    <xf numFmtId="171" fontId="17" fillId="0" borderId="0" xfId="0" quotePrefix="1" applyNumberFormat="1" applyFont="1" applyAlignment="1">
      <alignment vertical="center"/>
    </xf>
    <xf numFmtId="0" fontId="17" fillId="2" borderId="16" xfId="0" applyFont="1" applyFill="1" applyBorder="1" applyAlignment="1" applyProtection="1">
      <alignment vertical="center"/>
      <protection locked="0"/>
    </xf>
    <xf numFmtId="0" fontId="17" fillId="0" borderId="16" xfId="0" applyFont="1" applyBorder="1" applyAlignment="1" applyProtection="1">
      <alignment vertical="center"/>
    </xf>
    <xf numFmtId="0" fontId="0" fillId="0" borderId="19" xfId="0" applyBorder="1" applyAlignment="1" applyProtection="1">
      <alignment vertical="center"/>
    </xf>
    <xf numFmtId="0" fontId="8" fillId="0" borderId="17" xfId="0" applyFont="1" applyBorder="1" applyAlignment="1">
      <alignment horizontal="centerContinuous" vertical="center"/>
    </xf>
    <xf numFmtId="49" fontId="12" fillId="2" borderId="11" xfId="0" applyNumberFormat="1" applyFont="1" applyFill="1" applyBorder="1" applyAlignment="1" applyProtection="1">
      <alignment horizontal="center" vertical="center"/>
    </xf>
    <xf numFmtId="169" fontId="0" fillId="0" borderId="0" xfId="0" applyNumberFormat="1" applyFill="1" applyBorder="1"/>
    <xf numFmtId="165" fontId="12" fillId="0" borderId="0" xfId="3" applyNumberFormat="1" applyFont="1" applyFill="1" applyBorder="1" applyAlignment="1">
      <alignment horizontal="center"/>
    </xf>
    <xf numFmtId="165" fontId="12" fillId="0" borderId="8" xfId="3" applyNumberFormat="1" applyFont="1" applyFill="1" applyBorder="1" applyAlignment="1">
      <alignment horizontal="center"/>
    </xf>
    <xf numFmtId="39" fontId="0" fillId="0" borderId="0" xfId="0" applyNumberFormat="1" applyFont="1" applyBorder="1" applyAlignment="1">
      <alignment vertical="center"/>
    </xf>
    <xf numFmtId="39" fontId="0" fillId="0" borderId="2" xfId="0" applyNumberFormat="1" applyFont="1" applyBorder="1" applyAlignment="1">
      <alignment vertical="center"/>
    </xf>
    <xf numFmtId="37" fontId="0" fillId="0" borderId="16" xfId="0" applyNumberFormat="1" applyFont="1" applyBorder="1" applyAlignment="1">
      <alignment vertical="center"/>
    </xf>
    <xf numFmtId="165" fontId="20" fillId="0" borderId="18" xfId="3" applyNumberFormat="1" applyFont="1" applyFill="1" applyBorder="1" applyAlignment="1">
      <alignment horizontal="center" vertical="center"/>
    </xf>
    <xf numFmtId="165" fontId="0" fillId="0" borderId="5" xfId="3" applyNumberFormat="1" applyFont="1" applyBorder="1" applyAlignment="1">
      <alignment horizontal="center" vertical="center"/>
    </xf>
    <xf numFmtId="165" fontId="0" fillId="0" borderId="6" xfId="3" applyNumberFormat="1" applyFont="1" applyBorder="1" applyAlignment="1">
      <alignment horizontal="center" vertical="center"/>
    </xf>
    <xf numFmtId="165" fontId="0" fillId="0" borderId="7" xfId="3" applyNumberFormat="1" applyFont="1" applyBorder="1" applyAlignment="1">
      <alignment horizontal="center" vertical="center"/>
    </xf>
    <xf numFmtId="165" fontId="0" fillId="0" borderId="9" xfId="3" applyNumberFormat="1" applyFont="1" applyBorder="1" applyAlignment="1">
      <alignment horizontal="center" vertical="center"/>
    </xf>
    <xf numFmtId="165" fontId="32" fillId="2" borderId="7" xfId="3" applyNumberFormat="1" applyFont="1" applyFill="1" applyBorder="1" applyAlignment="1">
      <alignment horizontal="center" vertical="center" shrinkToFit="1"/>
    </xf>
    <xf numFmtId="165" fontId="32" fillId="2" borderId="9" xfId="3" applyNumberFormat="1" applyFont="1" applyFill="1" applyBorder="1" applyAlignment="1">
      <alignment horizontal="center" vertical="center" shrinkToFit="1"/>
    </xf>
    <xf numFmtId="169" fontId="0" fillId="0" borderId="5" xfId="0" applyNumberFormat="1" applyFill="1" applyBorder="1"/>
    <xf numFmtId="169" fontId="0" fillId="0" borderId="6" xfId="0" applyNumberFormat="1" applyFill="1" applyBorder="1"/>
    <xf numFmtId="169" fontId="0" fillId="0" borderId="7" xfId="0" applyNumberFormat="1" applyFill="1" applyBorder="1"/>
    <xf numFmtId="169" fontId="0" fillId="0" borderId="9" xfId="0" applyNumberFormat="1" applyFill="1" applyBorder="1"/>
    <xf numFmtId="37" fontId="0" fillId="0" borderId="5" xfId="0" applyNumberFormat="1" applyBorder="1" applyAlignment="1">
      <alignment horizontal="right" vertical="center"/>
    </xf>
    <xf numFmtId="37" fontId="0" fillId="0" borderId="6" xfId="0" applyNumberFormat="1" applyBorder="1" applyAlignment="1">
      <alignment horizontal="right" vertical="center"/>
    </xf>
    <xf numFmtId="37" fontId="0" fillId="0" borderId="7" xfId="0" applyNumberFormat="1" applyBorder="1" applyAlignment="1">
      <alignment horizontal="right" vertical="center"/>
    </xf>
    <xf numFmtId="37" fontId="0" fillId="0" borderId="9" xfId="0" applyNumberFormat="1" applyBorder="1" applyAlignment="1">
      <alignment horizontal="right" vertical="center"/>
    </xf>
    <xf numFmtId="0" fontId="12" fillId="0" borderId="0" xfId="0" applyFont="1" applyAlignment="1">
      <alignment vertical="center"/>
    </xf>
    <xf numFmtId="0" fontId="16" fillId="0" borderId="0" xfId="0" applyFont="1" applyBorder="1" applyAlignment="1">
      <alignment horizontal="center" vertical="center"/>
    </xf>
    <xf numFmtId="0" fontId="0" fillId="0" borderId="0" xfId="0" applyBorder="1" applyAlignment="1">
      <alignment vertical="center"/>
    </xf>
    <xf numFmtId="39" fontId="32" fillId="2" borderId="17" xfId="0" applyNumberFormat="1" applyFont="1" applyFill="1" applyBorder="1" applyAlignment="1">
      <alignment vertical="center" shrinkToFit="1"/>
    </xf>
    <xf numFmtId="0" fontId="0" fillId="0" borderId="0" xfId="0" applyAlignment="1" applyProtection="1">
      <alignment vertical="center"/>
      <protection locked="0"/>
    </xf>
    <xf numFmtId="49" fontId="10" fillId="0" borderId="0" xfId="0" applyNumberFormat="1" applyFont="1" applyBorder="1" applyAlignment="1" applyProtection="1">
      <alignment horizontal="center" vertical="center"/>
    </xf>
    <xf numFmtId="0" fontId="0" fillId="4" borderId="49" xfId="0" applyFill="1" applyBorder="1" applyAlignment="1" applyProtection="1">
      <alignment vertical="center"/>
      <protection locked="0"/>
    </xf>
    <xf numFmtId="49" fontId="16" fillId="0" borderId="29" xfId="0" applyNumberFormat="1" applyFont="1" applyBorder="1" applyProtection="1">
      <protection locked="0"/>
    </xf>
    <xf numFmtId="0" fontId="38" fillId="0" borderId="0" xfId="0" applyFont="1" applyAlignment="1">
      <alignment horizontal="centerContinuous"/>
    </xf>
    <xf numFmtId="0" fontId="17" fillId="0" borderId="16" xfId="0" quotePrefix="1" applyFont="1" applyBorder="1" applyAlignment="1" applyProtection="1">
      <alignment vertical="center"/>
    </xf>
    <xf numFmtId="0" fontId="0" fillId="0" borderId="0" xfId="0" applyAlignment="1" applyProtection="1">
      <alignment horizontal="center"/>
      <protection locked="0"/>
    </xf>
    <xf numFmtId="0" fontId="0" fillId="0" borderId="0" xfId="0" applyAlignment="1">
      <alignment horizontal="left" vertical="center" wrapText="1"/>
    </xf>
    <xf numFmtId="0" fontId="30" fillId="0" borderId="0" xfId="0" applyFont="1" applyAlignment="1">
      <alignment horizontal="left" vertical="center" wrapText="1"/>
    </xf>
    <xf numFmtId="169" fontId="0" fillId="0" borderId="8" xfId="0" applyNumberFormat="1" applyFill="1" applyBorder="1"/>
    <xf numFmtId="37" fontId="0" fillId="0" borderId="22" xfId="0" applyNumberFormat="1" applyFont="1" applyBorder="1" applyAlignment="1">
      <alignment vertical="center"/>
    </xf>
    <xf numFmtId="37" fontId="0" fillId="0" borderId="19" xfId="0" applyNumberFormat="1" applyFont="1" applyBorder="1" applyAlignment="1">
      <alignment vertical="center"/>
    </xf>
    <xf numFmtId="37" fontId="0" fillId="0" borderId="7" xfId="0" applyNumberFormat="1" applyBorder="1" applyAlignment="1">
      <alignment vertical="center"/>
    </xf>
    <xf numFmtId="172" fontId="0" fillId="0" borderId="16" xfId="5" applyNumberFormat="1" applyFont="1" applyBorder="1" applyAlignment="1">
      <alignment vertical="center"/>
    </xf>
    <xf numFmtId="0" fontId="0" fillId="0" borderId="19" xfId="0" applyBorder="1" applyAlignment="1">
      <alignment vertical="center"/>
    </xf>
    <xf numFmtId="37" fontId="16" fillId="0" borderId="29" xfId="0" applyNumberFormat="1" applyFont="1" applyBorder="1" applyAlignment="1" applyProtection="1">
      <alignment horizontal="center" vertical="center"/>
      <protection locked="0"/>
    </xf>
    <xf numFmtId="166" fontId="16" fillId="0" borderId="0" xfId="0" applyNumberFormat="1" applyFont="1" applyBorder="1" applyAlignment="1" applyProtection="1">
      <alignment horizontal="center" vertical="center"/>
    </xf>
    <xf numFmtId="37" fontId="10" fillId="0" borderId="50" xfId="0" applyNumberFormat="1" applyFont="1" applyBorder="1" applyAlignment="1" applyProtection="1">
      <alignment vertical="center"/>
      <protection locked="0"/>
    </xf>
    <xf numFmtId="37" fontId="10" fillId="0" borderId="29" xfId="0" applyNumberFormat="1" applyFont="1" applyBorder="1" applyAlignment="1" applyProtection="1">
      <alignment vertical="center"/>
      <protection locked="0"/>
    </xf>
    <xf numFmtId="37" fontId="10" fillId="2" borderId="36" xfId="0" applyNumberFormat="1" applyFont="1" applyFill="1" applyBorder="1" applyAlignment="1">
      <alignment vertical="center"/>
    </xf>
    <xf numFmtId="37" fontId="12" fillId="2" borderId="34" xfId="0" applyNumberFormat="1" applyFont="1" applyFill="1" applyBorder="1" applyAlignment="1" applyProtection="1">
      <alignment vertical="center"/>
    </xf>
    <xf numFmtId="37" fontId="12" fillId="2" borderId="10" xfId="0" applyNumberFormat="1" applyFont="1" applyFill="1" applyBorder="1" applyAlignment="1">
      <alignment vertical="center"/>
    </xf>
    <xf numFmtId="37" fontId="12" fillId="0" borderId="36" xfId="0" applyNumberFormat="1" applyFont="1" applyBorder="1" applyAlignment="1">
      <alignment horizontal="left" vertical="center" wrapText="1"/>
    </xf>
    <xf numFmtId="37" fontId="12" fillId="2" borderId="10" xfId="0" applyNumberFormat="1" applyFont="1" applyFill="1" applyBorder="1" applyAlignment="1" applyProtection="1">
      <alignment vertical="center"/>
    </xf>
    <xf numFmtId="0" fontId="0" fillId="0" borderId="5" xfId="0" quotePrefix="1" applyFont="1" applyFill="1" applyBorder="1" applyAlignment="1">
      <alignment vertical="center"/>
    </xf>
    <xf numFmtId="0" fontId="15" fillId="0" borderId="16" xfId="0" applyFont="1" applyBorder="1" applyAlignment="1">
      <alignment vertical="center"/>
    </xf>
    <xf numFmtId="0" fontId="48" fillId="2" borderId="0" xfId="0" applyFont="1" applyFill="1"/>
    <xf numFmtId="165" fontId="48" fillId="2" borderId="0" xfId="3" applyNumberFormat="1" applyFont="1" applyFill="1" applyAlignment="1" applyProtection="1">
      <alignment horizontal="left"/>
      <protection locked="0"/>
    </xf>
    <xf numFmtId="10" fontId="10" fillId="0" borderId="0" xfId="0" applyNumberFormat="1" applyFont="1" applyBorder="1" applyAlignment="1">
      <alignment horizontal="left" vertical="center"/>
    </xf>
    <xf numFmtId="166" fontId="10" fillId="0" borderId="0" xfId="0" applyNumberFormat="1" applyFont="1" applyBorder="1" applyAlignment="1">
      <alignment horizontal="left" vertical="center"/>
    </xf>
    <xf numFmtId="166" fontId="10" fillId="0" borderId="0" xfId="0" applyNumberFormat="1" applyFont="1" applyBorder="1" applyAlignment="1" applyProtection="1">
      <alignment horizontal="left" vertical="center"/>
    </xf>
    <xf numFmtId="14" fontId="16" fillId="0" borderId="0" xfId="0" applyNumberFormat="1" applyFont="1" applyBorder="1" applyAlignment="1">
      <alignment horizontal="left" vertical="center"/>
    </xf>
    <xf numFmtId="10" fontId="10" fillId="0" borderId="0" xfId="0" applyNumberFormat="1" applyFont="1" applyBorder="1" applyAlignment="1">
      <alignment horizontal="left"/>
    </xf>
    <xf numFmtId="49" fontId="10" fillId="0" borderId="0" xfId="0" applyNumberFormat="1" applyFont="1" applyBorder="1" applyAlignment="1">
      <alignment horizontal="left"/>
    </xf>
    <xf numFmtId="14" fontId="16" fillId="0" borderId="0" xfId="0" applyNumberFormat="1" applyFont="1" applyFill="1" applyBorder="1" applyAlignment="1">
      <alignment horizontal="left" vertical="center"/>
    </xf>
    <xf numFmtId="10" fontId="10" fillId="0" borderId="0" xfId="0" applyNumberFormat="1" applyFont="1" applyBorder="1" applyAlignment="1" applyProtection="1">
      <alignment horizontal="left" vertical="center"/>
    </xf>
    <xf numFmtId="14" fontId="16" fillId="0" borderId="0" xfId="0" applyNumberFormat="1" applyFont="1" applyBorder="1" applyAlignment="1" applyProtection="1">
      <alignment horizontal="left" vertical="center"/>
    </xf>
    <xf numFmtId="0" fontId="0" fillId="3" borderId="5" xfId="0" applyFill="1" applyBorder="1" applyAlignment="1">
      <alignment horizontal="center" vertical="center"/>
    </xf>
    <xf numFmtId="0" fontId="0" fillId="3" borderId="6" xfId="0" applyFill="1" applyBorder="1" applyAlignment="1">
      <alignment horizontal="left" vertical="center" wrapText="1"/>
    </xf>
    <xf numFmtId="49" fontId="16" fillId="0" borderId="51" xfId="0" applyNumberFormat="1" applyFont="1" applyBorder="1" applyAlignment="1" applyProtection="1">
      <alignment horizontal="center" vertical="center"/>
      <protection locked="0"/>
    </xf>
    <xf numFmtId="0" fontId="0" fillId="4" borderId="14" xfId="0" applyFill="1" applyBorder="1" applyAlignment="1" applyProtection="1">
      <alignment vertical="center"/>
      <protection locked="0"/>
    </xf>
    <xf numFmtId="0" fontId="0" fillId="0" borderId="52" xfId="0" applyBorder="1" applyAlignment="1">
      <alignment horizontal="center" vertical="center" wrapText="1"/>
    </xf>
    <xf numFmtId="37" fontId="12" fillId="2" borderId="53" xfId="0" applyNumberFormat="1" applyFont="1" applyFill="1" applyBorder="1" applyAlignment="1">
      <alignment vertical="center"/>
    </xf>
    <xf numFmtId="49" fontId="12" fillId="0" borderId="33" xfId="0" applyNumberFormat="1" applyFont="1" applyBorder="1" applyAlignment="1" applyProtection="1">
      <alignment horizontal="center" vertical="center"/>
    </xf>
    <xf numFmtId="0" fontId="0" fillId="0" borderId="11" xfId="0" applyBorder="1" applyAlignment="1">
      <alignment horizontal="center" vertical="center"/>
    </xf>
    <xf numFmtId="0" fontId="0" fillId="0" borderId="38" xfId="0" applyBorder="1" applyAlignment="1">
      <alignment vertical="center"/>
    </xf>
    <xf numFmtId="0" fontId="0" fillId="0" borderId="38" xfId="0" applyBorder="1" applyAlignment="1">
      <alignment horizontal="centerContinuous" vertical="center"/>
    </xf>
    <xf numFmtId="0" fontId="0" fillId="0" borderId="52" xfId="0" applyBorder="1" applyAlignment="1">
      <alignment horizontal="centerContinuous" vertical="center"/>
    </xf>
    <xf numFmtId="0" fontId="0" fillId="0" borderId="53" xfId="0" applyBorder="1" applyAlignment="1">
      <alignment horizontal="center" vertical="center" wrapText="1"/>
    </xf>
    <xf numFmtId="0" fontId="0" fillId="0" borderId="46" xfId="0" applyFont="1" applyBorder="1" applyAlignment="1">
      <alignment horizontal="center" vertical="center"/>
    </xf>
    <xf numFmtId="37" fontId="12" fillId="0" borderId="12" xfId="0" applyNumberFormat="1" applyFont="1" applyBorder="1" applyAlignment="1">
      <alignment horizontal="left" vertical="center" wrapText="1"/>
    </xf>
    <xf numFmtId="0" fontId="0" fillId="0" borderId="45" xfId="0" applyFont="1" applyBorder="1" applyAlignment="1">
      <alignment horizontal="center" vertical="center"/>
    </xf>
    <xf numFmtId="166" fontId="12" fillId="0" borderId="10" xfId="0" applyNumberFormat="1" applyFont="1" applyBorder="1" applyAlignment="1">
      <alignment horizontal="left" vertical="center" wrapText="1"/>
    </xf>
    <xf numFmtId="37" fontId="10" fillId="0" borderId="61" xfId="0" applyNumberFormat="1" applyFont="1" applyBorder="1" applyAlignment="1" applyProtection="1">
      <alignment vertical="center"/>
      <protection locked="0"/>
    </xf>
    <xf numFmtId="37" fontId="10" fillId="0" borderId="62" xfId="0" applyNumberFormat="1" applyFont="1" applyBorder="1" applyAlignment="1" applyProtection="1">
      <alignment vertical="center"/>
      <protection locked="0"/>
    </xf>
    <xf numFmtId="0" fontId="0" fillId="0" borderId="12" xfId="0" applyBorder="1" applyAlignment="1">
      <alignment horizontal="left" vertical="center" wrapText="1"/>
    </xf>
    <xf numFmtId="0" fontId="0" fillId="0" borderId="12" xfId="0" applyBorder="1" applyAlignment="1">
      <alignment horizontal="center" vertical="center" wrapText="1"/>
    </xf>
    <xf numFmtId="166" fontId="0" fillId="0" borderId="12" xfId="0" applyNumberFormat="1" applyBorder="1" applyAlignment="1">
      <alignment horizontal="center" vertical="center" wrapText="1"/>
    </xf>
    <xf numFmtId="0" fontId="0" fillId="0" borderId="53" xfId="0" applyBorder="1" applyAlignment="1">
      <alignment horizontal="centerContinuous" vertical="center"/>
    </xf>
    <xf numFmtId="49" fontId="0" fillId="0" borderId="39" xfId="0" applyNumberFormat="1" applyBorder="1" applyAlignment="1">
      <alignment horizontal="center" vertical="center"/>
    </xf>
    <xf numFmtId="49" fontId="0" fillId="0" borderId="46" xfId="0" applyNumberFormat="1" applyBorder="1" applyAlignment="1">
      <alignment horizontal="center" vertical="center"/>
    </xf>
    <xf numFmtId="0" fontId="0" fillId="0" borderId="12" xfId="0" applyBorder="1" applyAlignment="1">
      <alignment vertical="center" wrapText="1"/>
    </xf>
    <xf numFmtId="37" fontId="0" fillId="2" borderId="12" xfId="0" applyNumberFormat="1" applyFill="1" applyBorder="1" applyAlignment="1">
      <alignment vertical="center"/>
    </xf>
    <xf numFmtId="49" fontId="0" fillId="0" borderId="45" xfId="0" applyNumberFormat="1" applyBorder="1" applyAlignment="1">
      <alignment horizontal="center" vertical="center"/>
    </xf>
    <xf numFmtId="0" fontId="0" fillId="0" borderId="10" xfId="0" applyBorder="1" applyAlignment="1">
      <alignment horizontal="left" vertical="center" wrapText="1"/>
    </xf>
    <xf numFmtId="37" fontId="0" fillId="2" borderId="10" xfId="0" applyNumberFormat="1" applyFill="1" applyBorder="1" applyAlignment="1">
      <alignment vertical="center"/>
    </xf>
    <xf numFmtId="0" fontId="0" fillId="0" borderId="46" xfId="0" applyBorder="1"/>
    <xf numFmtId="0" fontId="0" fillId="0" borderId="12" xfId="0" applyBorder="1" applyAlignment="1">
      <alignment horizontal="centerContinuous" vertical="center"/>
    </xf>
    <xf numFmtId="0" fontId="0" fillId="0" borderId="64" xfId="0" applyBorder="1" applyAlignment="1">
      <alignment horizontal="centerContinuous" vertical="center"/>
    </xf>
    <xf numFmtId="49" fontId="15" fillId="0" borderId="2" xfId="0" applyNumberFormat="1" applyFont="1" applyFill="1" applyBorder="1" applyAlignment="1">
      <alignment horizontal="left" vertical="center"/>
    </xf>
    <xf numFmtId="0" fontId="15" fillId="0" borderId="0" xfId="0" applyFont="1" applyBorder="1"/>
    <xf numFmtId="0" fontId="15" fillId="0" borderId="0" xfId="0" applyFont="1"/>
    <xf numFmtId="39" fontId="0" fillId="0" borderId="0" xfId="0" applyNumberFormat="1" applyBorder="1" applyAlignment="1">
      <alignment vertical="center"/>
    </xf>
    <xf numFmtId="7" fontId="0" fillId="0" borderId="6" xfId="0" applyNumberFormat="1" applyBorder="1" applyAlignment="1">
      <alignment vertical="center"/>
    </xf>
    <xf numFmtId="7" fontId="0" fillId="0" borderId="0" xfId="0" applyNumberFormat="1" applyBorder="1" applyAlignment="1">
      <alignment vertical="center"/>
    </xf>
    <xf numFmtId="0" fontId="0" fillId="0" borderId="3" xfId="0" applyFont="1" applyBorder="1" applyAlignment="1">
      <alignment horizontal="center" vertical="center"/>
    </xf>
    <xf numFmtId="0" fontId="0" fillId="0" borderId="66" xfId="0" applyBorder="1" applyAlignment="1">
      <alignment horizontal="centerContinuous" vertical="center"/>
    </xf>
    <xf numFmtId="0" fontId="0" fillId="0" borderId="67" xfId="0" applyBorder="1" applyAlignment="1">
      <alignment horizontal="center" vertical="center" wrapText="1"/>
    </xf>
    <xf numFmtId="0" fontId="0" fillId="0" borderId="68" xfId="0" applyFont="1" applyBorder="1" applyAlignment="1">
      <alignment horizontal="center" vertical="center"/>
    </xf>
    <xf numFmtId="0" fontId="0" fillId="0" borderId="69" xfId="0" applyBorder="1" applyAlignment="1">
      <alignment vertical="center"/>
    </xf>
    <xf numFmtId="0" fontId="8" fillId="0" borderId="69" xfId="0" applyFont="1" applyBorder="1" applyAlignment="1">
      <alignment vertical="center"/>
    </xf>
    <xf numFmtId="0" fontId="8" fillId="0" borderId="70" xfId="0" applyFont="1" applyBorder="1" applyAlignment="1">
      <alignment vertical="center"/>
    </xf>
    <xf numFmtId="37" fontId="16" fillId="0" borderId="13" xfId="0" applyNumberFormat="1" applyFont="1" applyBorder="1" applyAlignment="1">
      <alignment vertical="center"/>
    </xf>
    <xf numFmtId="165" fontId="18" fillId="2" borderId="13" xfId="3" applyNumberFormat="1" applyFont="1" applyFill="1" applyBorder="1" applyAlignment="1">
      <alignment vertical="center"/>
    </xf>
    <xf numFmtId="0" fontId="11" fillId="0" borderId="37" xfId="0" applyFont="1" applyBorder="1" applyAlignment="1">
      <alignment vertical="center"/>
    </xf>
    <xf numFmtId="0" fontId="11" fillId="0" borderId="39" xfId="0" applyFont="1" applyBorder="1" applyAlignment="1">
      <alignment vertical="center"/>
    </xf>
    <xf numFmtId="0" fontId="0" fillId="0" borderId="39" xfId="0" applyBorder="1" applyAlignment="1">
      <alignment vertical="center"/>
    </xf>
    <xf numFmtId="0" fontId="0" fillId="0" borderId="53" xfId="0" applyBorder="1" applyAlignment="1">
      <alignment horizontal="center" vertical="center"/>
    </xf>
    <xf numFmtId="0" fontId="0" fillId="0" borderId="39" xfId="0" applyBorder="1" applyAlignment="1">
      <alignment horizontal="left" vertical="center"/>
    </xf>
    <xf numFmtId="37" fontId="10" fillId="0" borderId="53" xfId="0" applyNumberFormat="1" applyFont="1" applyBorder="1" applyAlignment="1" applyProtection="1">
      <alignment vertical="center"/>
      <protection locked="0"/>
    </xf>
    <xf numFmtId="0" fontId="0" fillId="0" borderId="46" xfId="0" applyBorder="1" applyAlignment="1">
      <alignment horizontal="left" vertical="center"/>
    </xf>
    <xf numFmtId="37" fontId="0" fillId="2" borderId="64" xfId="0" applyNumberFormat="1" applyFill="1" applyBorder="1" applyAlignment="1">
      <alignment vertical="center"/>
    </xf>
    <xf numFmtId="0" fontId="0" fillId="0" borderId="37" xfId="0" applyFont="1" applyBorder="1" applyAlignment="1">
      <alignment horizontal="center" vertical="center" wrapText="1"/>
    </xf>
    <xf numFmtId="0" fontId="0" fillId="0" borderId="38" xfId="0" applyFont="1" applyBorder="1" applyAlignment="1">
      <alignment horizontal="center" vertical="center" wrapText="1"/>
    </xf>
    <xf numFmtId="0" fontId="0" fillId="0" borderId="52" xfId="0" applyFont="1" applyBorder="1" applyAlignment="1">
      <alignment horizontal="center" vertical="center" wrapText="1"/>
    </xf>
    <xf numFmtId="49" fontId="12" fillId="0" borderId="65" xfId="0" applyNumberFormat="1" applyFont="1" applyBorder="1" applyAlignment="1" applyProtection="1">
      <alignment horizontal="center" vertical="center"/>
    </xf>
    <xf numFmtId="37" fontId="10" fillId="0" borderId="72" xfId="0" applyNumberFormat="1" applyFont="1" applyBorder="1" applyAlignment="1" applyProtection="1">
      <alignment vertical="center" shrinkToFit="1"/>
      <protection locked="0"/>
    </xf>
    <xf numFmtId="37" fontId="10" fillId="0" borderId="73" xfId="0" applyNumberFormat="1" applyFont="1" applyBorder="1" applyAlignment="1" applyProtection="1">
      <alignment vertical="center" shrinkToFit="1"/>
      <protection locked="0"/>
    </xf>
    <xf numFmtId="37" fontId="12" fillId="2" borderId="46" xfId="0" applyNumberFormat="1" applyFont="1" applyFill="1" applyBorder="1" applyAlignment="1">
      <alignment vertical="center" shrinkToFit="1"/>
    </xf>
    <xf numFmtId="37" fontId="12" fillId="2" borderId="12" xfId="0" applyNumberFormat="1" applyFont="1" applyFill="1" applyBorder="1" applyAlignment="1">
      <alignment vertical="center" shrinkToFit="1"/>
    </xf>
    <xf numFmtId="37" fontId="12" fillId="2" borderId="64" xfId="0" applyNumberFormat="1" applyFont="1" applyFill="1" applyBorder="1" applyAlignment="1">
      <alignment vertical="center" shrinkToFit="1"/>
    </xf>
    <xf numFmtId="0" fontId="0" fillId="0" borderId="74" xfId="0" applyFont="1" applyBorder="1" applyAlignment="1">
      <alignment horizontal="center" vertical="center"/>
    </xf>
    <xf numFmtId="10" fontId="19" fillId="0" borderId="0" xfId="3" applyNumberFormat="1" applyFont="1" applyBorder="1" applyAlignment="1" applyProtection="1">
      <alignment vertical="center"/>
    </xf>
    <xf numFmtId="0" fontId="49" fillId="0" borderId="0" xfId="0" applyNumberFormat="1" applyFont="1" applyBorder="1" applyAlignment="1" applyProtection="1">
      <alignment horizontal="center" vertical="center"/>
      <protection locked="0"/>
    </xf>
    <xf numFmtId="0" fontId="12" fillId="0" borderId="0" xfId="0" applyNumberFormat="1" applyFont="1" applyBorder="1" applyAlignment="1" applyProtection="1">
      <alignment horizontal="center" vertical="center"/>
      <protection locked="0"/>
    </xf>
    <xf numFmtId="49" fontId="16" fillId="0" borderId="29" xfId="0" applyNumberFormat="1" applyFont="1" applyBorder="1" applyAlignment="1" applyProtection="1">
      <alignment horizontal="center" vertical="center" shrinkToFit="1"/>
      <protection locked="0"/>
    </xf>
    <xf numFmtId="0" fontId="0" fillId="0" borderId="0" xfId="0" applyBorder="1" applyAlignment="1">
      <alignment horizontal="center" vertical="center" shrinkToFit="1"/>
    </xf>
    <xf numFmtId="0" fontId="0" fillId="0" borderId="8" xfId="0" applyBorder="1" applyAlignment="1">
      <alignment horizontal="center" vertical="center" shrinkToFit="1"/>
    </xf>
    <xf numFmtId="0" fontId="0" fillId="0" borderId="16" xfId="0" applyBorder="1" applyAlignment="1">
      <alignment horizontal="left" vertical="center" shrinkToFit="1"/>
    </xf>
    <xf numFmtId="0" fontId="0" fillId="0" borderId="19" xfId="0" applyBorder="1" applyAlignment="1">
      <alignment horizontal="left" vertical="center" shrinkToFit="1"/>
    </xf>
    <xf numFmtId="0" fontId="10" fillId="0" borderId="29" xfId="0" applyFont="1" applyBorder="1" applyAlignment="1" applyProtection="1">
      <alignment horizontal="center" vertical="center"/>
      <protection locked="0"/>
    </xf>
    <xf numFmtId="37" fontId="45" fillId="2" borderId="20" xfId="0" applyNumberFormat="1" applyFont="1" applyFill="1" applyBorder="1" applyAlignment="1">
      <alignment vertical="center"/>
    </xf>
    <xf numFmtId="0" fontId="0" fillId="0" borderId="16" xfId="0" applyBorder="1"/>
    <xf numFmtId="0" fontId="0" fillId="0" borderId="19" xfId="0" applyBorder="1"/>
    <xf numFmtId="0" fontId="50" fillId="2" borderId="16" xfId="0" applyFont="1" applyFill="1" applyBorder="1" applyAlignment="1" applyProtection="1">
      <alignment vertical="center"/>
    </xf>
    <xf numFmtId="49" fontId="16" fillId="0" borderId="71" xfId="0" applyNumberFormat="1" applyFont="1" applyBorder="1" applyAlignment="1" applyProtection="1">
      <alignment horizontal="center" vertical="center"/>
      <protection locked="0"/>
    </xf>
    <xf numFmtId="0" fontId="17" fillId="0" borderId="16" xfId="0" applyFont="1" applyBorder="1" applyAlignment="1" applyProtection="1">
      <alignment vertical="center"/>
    </xf>
    <xf numFmtId="0" fontId="50" fillId="2" borderId="16" xfId="0" applyFont="1" applyFill="1" applyBorder="1" applyAlignment="1" applyProtection="1">
      <alignment vertical="center"/>
    </xf>
    <xf numFmtId="0" fontId="51" fillId="0" borderId="16" xfId="0" applyFont="1" applyBorder="1" applyAlignment="1">
      <alignment vertical="center"/>
    </xf>
    <xf numFmtId="0" fontId="5" fillId="0" borderId="0" xfId="6"/>
    <xf numFmtId="0" fontId="52" fillId="0" borderId="0" xfId="6" applyFont="1" applyAlignment="1">
      <alignment horizontal="left"/>
    </xf>
    <xf numFmtId="175" fontId="52" fillId="0" borderId="0" xfId="6" applyNumberFormat="1" applyFont="1" applyAlignment="1">
      <alignment horizontal="right"/>
    </xf>
    <xf numFmtId="0" fontId="8" fillId="0" borderId="22" xfId="0" applyFont="1" applyBorder="1" applyAlignment="1">
      <alignment horizontal="center" vertical="center" wrapText="1"/>
    </xf>
    <xf numFmtId="0" fontId="11" fillId="0" borderId="7" xfId="0" applyFont="1" applyBorder="1" applyAlignment="1">
      <alignment horizontal="left" vertical="center" indent="8"/>
    </xf>
    <xf numFmtId="169" fontId="0" fillId="0" borderId="0" xfId="0" applyNumberFormat="1" applyBorder="1"/>
    <xf numFmtId="165" fontId="8" fillId="0" borderId="4" xfId="0" applyNumberFormat="1" applyFont="1" applyBorder="1" applyAlignment="1">
      <alignment horizontal="center" vertical="center" wrapText="1"/>
    </xf>
    <xf numFmtId="0" fontId="75" fillId="0" borderId="0" xfId="0" applyFont="1" applyAlignment="1">
      <alignment horizontal="left" indent="5"/>
    </xf>
    <xf numFmtId="0" fontId="74" fillId="0" borderId="0" xfId="0" applyFont="1" applyAlignment="1">
      <alignment horizontal="left" indent="5"/>
    </xf>
    <xf numFmtId="37" fontId="10" fillId="0" borderId="12" xfId="0" applyNumberFormat="1" applyFont="1" applyBorder="1" applyAlignment="1" applyProtection="1">
      <alignment vertical="center"/>
      <protection locked="0"/>
    </xf>
    <xf numFmtId="37" fontId="10" fillId="5" borderId="12" xfId="0" applyNumberFormat="1" applyFont="1" applyFill="1" applyBorder="1" applyAlignment="1" applyProtection="1">
      <alignment vertical="center"/>
      <protection locked="0"/>
    </xf>
    <xf numFmtId="37" fontId="10" fillId="0" borderId="64" xfId="0" applyNumberFormat="1" applyFont="1" applyBorder="1" applyAlignment="1" applyProtection="1">
      <alignment vertical="center"/>
      <protection locked="0"/>
    </xf>
    <xf numFmtId="49" fontId="0" fillId="0" borderId="53" xfId="0" applyNumberFormat="1" applyBorder="1" applyAlignment="1">
      <alignment horizontal="center" vertical="center"/>
    </xf>
    <xf numFmtId="37" fontId="18" fillId="2" borderId="53" xfId="0" applyNumberFormat="1" applyFont="1" applyFill="1" applyBorder="1" applyAlignment="1">
      <alignment vertical="center"/>
    </xf>
    <xf numFmtId="165" fontId="18" fillId="2" borderId="53" xfId="3" applyNumberFormat="1" applyFont="1" applyFill="1" applyBorder="1" applyAlignment="1">
      <alignment vertical="center"/>
    </xf>
    <xf numFmtId="165" fontId="18" fillId="2" borderId="64" xfId="3" applyNumberFormat="1" applyFont="1" applyFill="1" applyBorder="1" applyAlignment="1">
      <alignment vertical="center"/>
    </xf>
    <xf numFmtId="175" fontId="77" fillId="0" borderId="0" xfId="6" applyNumberFormat="1" applyFont="1" applyAlignment="1">
      <alignment horizontal="center"/>
    </xf>
    <xf numFmtId="37" fontId="10" fillId="0" borderId="27" xfId="4" applyNumberFormat="1" applyFont="1" applyBorder="1" applyAlignment="1">
      <alignment horizontal="center"/>
    </xf>
    <xf numFmtId="0" fontId="29" fillId="0" borderId="0" xfId="0" applyFont="1" applyAlignment="1">
      <alignment vertical="center"/>
    </xf>
    <xf numFmtId="165" fontId="29" fillId="0" borderId="0" xfId="3" applyNumberFormat="1" applyFont="1" applyFill="1" applyBorder="1" applyAlignment="1">
      <alignment vertical="center"/>
    </xf>
    <xf numFmtId="165" fontId="29" fillId="0" borderId="0" xfId="3" applyNumberFormat="1" applyFont="1" applyBorder="1" applyAlignment="1">
      <alignment vertical="center"/>
    </xf>
    <xf numFmtId="168" fontId="20" fillId="0" borderId="0" xfId="0" applyNumberFormat="1" applyFont="1" applyFill="1" applyBorder="1" applyAlignment="1">
      <alignment vertical="center"/>
    </xf>
    <xf numFmtId="0" fontId="12" fillId="0" borderId="0" xfId="0" applyFont="1" applyFill="1" applyBorder="1" applyAlignment="1">
      <alignment vertical="center"/>
    </xf>
    <xf numFmtId="10" fontId="12" fillId="0" borderId="0" xfId="0" applyNumberFormat="1" applyFont="1" applyFill="1" applyBorder="1" applyAlignment="1">
      <alignment vertical="center"/>
    </xf>
    <xf numFmtId="0" fontId="0" fillId="0" borderId="0" xfId="0" applyFill="1"/>
    <xf numFmtId="168" fontId="18" fillId="0" borderId="0" xfId="0" applyNumberFormat="1" applyFont="1" applyFill="1" applyBorder="1" applyAlignment="1">
      <alignment vertical="center"/>
    </xf>
    <xf numFmtId="10" fontId="10" fillId="0" borderId="0" xfId="0" applyNumberFormat="1" applyFont="1" applyFill="1" applyBorder="1" applyAlignment="1">
      <alignment horizontal="left"/>
    </xf>
    <xf numFmtId="168" fontId="18" fillId="0" borderId="0" xfId="0" applyNumberFormat="1" applyFont="1" applyFill="1" applyBorder="1"/>
    <xf numFmtId="166" fontId="10" fillId="0" borderId="0" xfId="0" applyNumberFormat="1" applyFont="1" applyFill="1" applyBorder="1" applyAlignment="1">
      <alignment horizontal="left" vertical="center"/>
    </xf>
    <xf numFmtId="10" fontId="10" fillId="0" borderId="0" xfId="0" applyNumberFormat="1" applyFont="1" applyFill="1" applyBorder="1" applyAlignment="1">
      <alignment horizontal="left" vertical="center"/>
    </xf>
    <xf numFmtId="0" fontId="8" fillId="0" borderId="0" xfId="0" applyFont="1" applyFill="1" applyBorder="1" applyAlignment="1">
      <alignment horizontal="center" vertical="center" wrapText="1"/>
    </xf>
    <xf numFmtId="37" fontId="10" fillId="0" borderId="0" xfId="4" applyNumberFormat="1" applyFont="1" applyFill="1" applyBorder="1" applyAlignment="1">
      <alignment horizontal="center"/>
    </xf>
    <xf numFmtId="168" fontId="12" fillId="0" borderId="0" xfId="2" applyNumberFormat="1" applyFont="1" applyFill="1" applyBorder="1" applyAlignment="1">
      <alignment horizontal="center"/>
    </xf>
    <xf numFmtId="0" fontId="0" fillId="0" borderId="0" xfId="0" applyFont="1" applyFill="1" applyBorder="1"/>
    <xf numFmtId="0" fontId="0" fillId="0" borderId="0" xfId="0" applyFill="1" applyBorder="1" applyAlignment="1">
      <alignment vertical="center"/>
    </xf>
    <xf numFmtId="0" fontId="0" fillId="0" borderId="0" xfId="0" applyFill="1" applyBorder="1" applyAlignment="1">
      <alignment horizontal="left" indent="1"/>
    </xf>
    <xf numFmtId="0" fontId="0" fillId="0" borderId="85" xfId="0" applyFill="1" applyBorder="1" applyAlignment="1">
      <alignment horizontal="left" vertical="center" wrapText="1"/>
    </xf>
    <xf numFmtId="0" fontId="0" fillId="0" borderId="38" xfId="0" applyNumberFormat="1" applyBorder="1" applyAlignment="1">
      <alignment horizontal="centerContinuous" vertical="center"/>
    </xf>
    <xf numFmtId="37" fontId="10" fillId="5" borderId="60" xfId="0" applyNumberFormat="1" applyFont="1" applyFill="1" applyBorder="1" applyAlignment="1" applyProtection="1">
      <alignment vertical="center"/>
      <protection locked="0"/>
    </xf>
    <xf numFmtId="0" fontId="0" fillId="0" borderId="87" xfId="0" applyBorder="1" applyAlignment="1">
      <alignment horizontal="centerContinuous" vertical="distributed"/>
    </xf>
    <xf numFmtId="0" fontId="0" fillId="0" borderId="88" xfId="0" applyBorder="1" applyAlignment="1">
      <alignment horizontal="centerContinuous" vertical="distributed" wrapText="1"/>
    </xf>
    <xf numFmtId="37" fontId="10" fillId="2" borderId="58" xfId="0" applyNumberFormat="1" applyFont="1" applyFill="1" applyBorder="1" applyAlignment="1" applyProtection="1">
      <alignment vertical="center"/>
    </xf>
    <xf numFmtId="37" fontId="10" fillId="2" borderId="59" xfId="0" applyNumberFormat="1" applyFont="1" applyFill="1" applyBorder="1" applyAlignment="1" applyProtection="1">
      <alignment vertical="center"/>
    </xf>
    <xf numFmtId="37" fontId="10" fillId="2" borderId="63" xfId="0" applyNumberFormat="1" applyFont="1" applyFill="1" applyBorder="1" applyAlignment="1" applyProtection="1">
      <alignment vertical="center"/>
    </xf>
    <xf numFmtId="37" fontId="10" fillId="2" borderId="57" xfId="0" applyNumberFormat="1" applyFont="1" applyFill="1" applyBorder="1" applyAlignment="1" applyProtection="1">
      <alignment vertical="center"/>
    </xf>
    <xf numFmtId="174" fontId="8" fillId="0" borderId="86" xfId="3" applyNumberFormat="1" applyFont="1" applyFill="1" applyBorder="1" applyAlignment="1">
      <alignment horizontal="right" vertical="center" wrapText="1"/>
    </xf>
    <xf numFmtId="168" fontId="81" fillId="0" borderId="0" xfId="0" applyNumberFormat="1" applyFont="1" applyFill="1" applyBorder="1" applyAlignment="1">
      <alignment vertical="center" wrapText="1"/>
    </xf>
    <xf numFmtId="10" fontId="0" fillId="2" borderId="0" xfId="3" applyNumberFormat="1" applyFont="1" applyFill="1" applyAlignment="1" applyProtection="1">
      <alignment horizontal="left"/>
      <protection locked="0"/>
    </xf>
    <xf numFmtId="0" fontId="0" fillId="0" borderId="74" xfId="0" applyFill="1" applyBorder="1" applyAlignment="1">
      <alignment horizontal="left" vertical="center" wrapText="1"/>
    </xf>
    <xf numFmtId="0" fontId="8" fillId="0" borderId="87" xfId="0" applyFont="1" applyFill="1" applyBorder="1" applyAlignment="1">
      <alignment horizontal="center" vertical="center" wrapText="1"/>
    </xf>
    <xf numFmtId="166" fontId="12" fillId="0" borderId="45" xfId="0" applyNumberFormat="1" applyFont="1" applyFill="1" applyBorder="1" applyAlignment="1">
      <alignment horizontal="left" vertical="center" wrapText="1"/>
    </xf>
    <xf numFmtId="174" fontId="12" fillId="0" borderId="92" xfId="3" applyNumberFormat="1" applyFont="1" applyFill="1" applyBorder="1" applyAlignment="1" applyProtection="1">
      <alignment vertical="center"/>
    </xf>
    <xf numFmtId="166" fontId="12" fillId="0" borderId="39" xfId="0" applyNumberFormat="1" applyFont="1" applyFill="1" applyBorder="1" applyAlignment="1">
      <alignment horizontal="left" vertical="center" wrapText="1" indent="1"/>
    </xf>
    <xf numFmtId="174" fontId="12" fillId="0" borderId="53" xfId="3" applyNumberFormat="1" applyFont="1" applyFill="1" applyBorder="1" applyAlignment="1" applyProtection="1">
      <alignment vertical="center"/>
    </xf>
    <xf numFmtId="0" fontId="12" fillId="0" borderId="39" xfId="0" applyFont="1" applyFill="1" applyBorder="1" applyAlignment="1">
      <alignment horizontal="left" vertical="center" wrapText="1"/>
    </xf>
    <xf numFmtId="37" fontId="12" fillId="0" borderId="39" xfId="0" applyNumberFormat="1" applyFont="1" applyFill="1" applyBorder="1" applyAlignment="1">
      <alignment horizontal="left" vertical="center" wrapText="1"/>
    </xf>
    <xf numFmtId="37" fontId="12" fillId="0" borderId="69" xfId="0" applyNumberFormat="1" applyFont="1" applyFill="1" applyBorder="1" applyAlignment="1">
      <alignment horizontal="left" vertical="center" wrapText="1"/>
    </xf>
    <xf numFmtId="37" fontId="12" fillId="0" borderId="40" xfId="0" applyNumberFormat="1" applyFont="1" applyFill="1" applyBorder="1" applyAlignment="1">
      <alignment horizontal="left" vertical="center" wrapText="1"/>
    </xf>
    <xf numFmtId="174" fontId="12" fillId="0" borderId="54" xfId="3" applyNumberFormat="1" applyFont="1" applyFill="1" applyBorder="1" applyAlignment="1" applyProtection="1">
      <alignment vertical="center"/>
    </xf>
    <xf numFmtId="37" fontId="12" fillId="0" borderId="46" xfId="0" applyNumberFormat="1" applyFont="1" applyFill="1" applyBorder="1" applyAlignment="1">
      <alignment horizontal="left" vertical="center" wrapText="1"/>
    </xf>
    <xf numFmtId="174" fontId="12" fillId="0" borderId="56" xfId="3" applyNumberFormat="1" applyFont="1" applyFill="1" applyBorder="1" applyAlignment="1">
      <alignment vertical="center"/>
    </xf>
    <xf numFmtId="174" fontId="8" fillId="0" borderId="0" xfId="3" applyNumberFormat="1" applyFont="1" applyFill="1" applyBorder="1" applyAlignment="1">
      <alignment horizontal="right" vertical="center" wrapText="1"/>
    </xf>
    <xf numFmtId="174" fontId="12" fillId="0" borderId="0" xfId="0" applyNumberFormat="1" applyFont="1" applyFill="1" applyBorder="1" applyAlignment="1" applyProtection="1">
      <alignment vertical="center"/>
    </xf>
    <xf numFmtId="174" fontId="12" fillId="0" borderId="0" xfId="3" applyNumberFormat="1" applyFont="1" applyFill="1" applyBorder="1" applyAlignment="1" applyProtection="1">
      <alignment vertical="center"/>
    </xf>
    <xf numFmtId="174" fontId="12" fillId="0" borderId="0" xfId="3" applyNumberFormat="1" applyFont="1" applyFill="1" applyBorder="1" applyAlignment="1">
      <alignment vertical="center"/>
    </xf>
    <xf numFmtId="1" fontId="0" fillId="0" borderId="0" xfId="0" applyNumberFormat="1" applyAlignment="1">
      <alignment vertical="center"/>
    </xf>
    <xf numFmtId="1" fontId="0" fillId="0" borderId="0" xfId="0" applyNumberFormat="1" applyAlignment="1" applyProtection="1">
      <alignment vertical="center"/>
    </xf>
    <xf numFmtId="0" fontId="11" fillId="2" borderId="0" xfId="0" applyFont="1" applyFill="1" applyBorder="1" applyAlignment="1" applyProtection="1">
      <alignment horizontal="right" vertical="center"/>
    </xf>
    <xf numFmtId="0" fontId="82" fillId="2" borderId="0" xfId="0" applyFont="1" applyFill="1" applyBorder="1" applyAlignment="1" applyProtection="1">
      <alignment horizontal="right" vertical="center"/>
    </xf>
    <xf numFmtId="165" fontId="6" fillId="0" borderId="6" xfId="3" applyNumberFormat="1" applyFont="1" applyFill="1" applyBorder="1" applyAlignment="1" applyProtection="1">
      <alignment vertical="center"/>
    </xf>
    <xf numFmtId="0" fontId="83" fillId="2" borderId="0" xfId="0" applyFont="1" applyFill="1" applyBorder="1" applyAlignment="1" applyProtection="1">
      <alignment horizontal="right" vertical="center"/>
    </xf>
    <xf numFmtId="1" fontId="83" fillId="2" borderId="0" xfId="0" applyNumberFormat="1" applyFont="1" applyFill="1" applyBorder="1" applyAlignment="1" applyProtection="1">
      <alignment horizontal="right" vertical="center"/>
    </xf>
    <xf numFmtId="0" fontId="12" fillId="2" borderId="0" xfId="0" applyFont="1" applyFill="1" applyBorder="1" applyAlignment="1" applyProtection="1">
      <alignment vertical="center"/>
    </xf>
    <xf numFmtId="0" fontId="0" fillId="0" borderId="75" xfId="0" applyBorder="1" applyAlignment="1">
      <alignment horizontal="center" vertical="center" wrapText="1"/>
    </xf>
    <xf numFmtId="49" fontId="0" fillId="0" borderId="36" xfId="0" applyNumberFormat="1" applyBorder="1" applyAlignment="1">
      <alignment horizontal="center" vertical="center" wrapText="1"/>
    </xf>
    <xf numFmtId="165" fontId="12" fillId="2" borderId="36" xfId="3" applyNumberFormat="1" applyFont="1" applyFill="1" applyBorder="1" applyAlignment="1" applyProtection="1">
      <alignment vertical="center"/>
    </xf>
    <xf numFmtId="37" fontId="12" fillId="2" borderId="36" xfId="0" applyNumberFormat="1" applyFont="1" applyFill="1" applyBorder="1" applyAlignment="1" applyProtection="1">
      <alignment vertical="center"/>
    </xf>
    <xf numFmtId="10" fontId="12" fillId="2" borderId="36" xfId="3" applyNumberFormat="1" applyFont="1" applyFill="1" applyBorder="1" applyAlignment="1" applyProtection="1">
      <alignment vertical="center"/>
    </xf>
    <xf numFmtId="37" fontId="12" fillId="2" borderId="42" xfId="0" applyNumberFormat="1" applyFont="1" applyFill="1" applyBorder="1" applyAlignment="1" applyProtection="1">
      <alignment vertical="center"/>
    </xf>
    <xf numFmtId="37" fontId="12" fillId="2" borderId="93" xfId="0" applyNumberFormat="1" applyFont="1" applyFill="1" applyBorder="1" applyAlignment="1">
      <alignment vertical="center"/>
    </xf>
    <xf numFmtId="37" fontId="12" fillId="2" borderId="94" xfId="0" applyNumberFormat="1" applyFont="1" applyFill="1" applyBorder="1" applyAlignment="1">
      <alignment vertical="center"/>
    </xf>
    <xf numFmtId="37" fontId="12" fillId="2" borderId="95" xfId="0" applyNumberFormat="1" applyFont="1" applyFill="1" applyBorder="1" applyAlignment="1" applyProtection="1">
      <alignment horizontal="center" vertical="center" wrapText="1"/>
    </xf>
    <xf numFmtId="37" fontId="12" fillId="2" borderId="1" xfId="0" applyNumberFormat="1" applyFont="1" applyFill="1" applyBorder="1" applyAlignment="1" applyProtection="1">
      <alignment vertical="center"/>
    </xf>
    <xf numFmtId="37" fontId="12" fillId="2" borderId="96" xfId="0" applyNumberFormat="1" applyFont="1" applyFill="1" applyBorder="1" applyAlignment="1" applyProtection="1">
      <alignment vertical="center"/>
    </xf>
    <xf numFmtId="0" fontId="15" fillId="0" borderId="19" xfId="0" applyFont="1" applyBorder="1" applyAlignment="1">
      <alignment vertical="center"/>
    </xf>
    <xf numFmtId="0" fontId="15" fillId="0" borderId="0" xfId="0" applyFont="1" applyBorder="1" applyAlignment="1">
      <alignment vertical="center"/>
    </xf>
    <xf numFmtId="0" fontId="0" fillId="0" borderId="0" xfId="0" applyBorder="1"/>
    <xf numFmtId="165" fontId="84" fillId="0" borderId="11" xfId="3" applyNumberFormat="1" applyFont="1" applyFill="1" applyBorder="1" applyAlignment="1" applyProtection="1">
      <alignment vertical="center"/>
      <protection locked="0"/>
    </xf>
    <xf numFmtId="165" fontId="51" fillId="2" borderId="11" xfId="3" applyNumberFormat="1" applyFont="1" applyFill="1" applyBorder="1" applyAlignment="1" applyProtection="1">
      <alignment vertical="center"/>
    </xf>
    <xf numFmtId="165" fontId="51" fillId="2" borderId="15" xfId="3" applyNumberFormat="1" applyFont="1" applyFill="1" applyBorder="1" applyAlignment="1" applyProtection="1">
      <alignment vertical="center"/>
    </xf>
    <xf numFmtId="39" fontId="12" fillId="2" borderId="11" xfId="3" applyNumberFormat="1" applyFont="1" applyFill="1" applyBorder="1" applyAlignment="1" applyProtection="1">
      <alignment horizontal="center" vertical="center"/>
    </xf>
    <xf numFmtId="177" fontId="0" fillId="0" borderId="0" xfId="0" applyNumberFormat="1" applyProtection="1"/>
    <xf numFmtId="0" fontId="0" fillId="0" borderId="0" xfId="0" applyNumberFormat="1" applyProtection="1"/>
    <xf numFmtId="0" fontId="0" fillId="0" borderId="0" xfId="0" applyNumberFormat="1"/>
    <xf numFmtId="0" fontId="22" fillId="0" borderId="0" xfId="3" applyNumberFormat="1" applyFont="1" applyFill="1" applyBorder="1" applyAlignment="1" applyProtection="1">
      <alignment vertical="center"/>
    </xf>
    <xf numFmtId="0" fontId="0" fillId="0" borderId="0" xfId="0" applyAlignment="1">
      <alignment horizontal="left" vertical="center" wrapText="1" indent="1"/>
    </xf>
    <xf numFmtId="49" fontId="10" fillId="0" borderId="0" xfId="0" applyNumberFormat="1" applyFont="1" applyBorder="1" applyAlignment="1" applyProtection="1">
      <alignment horizontal="center" vertical="center" wrapText="1"/>
      <protection locked="0"/>
    </xf>
    <xf numFmtId="0" fontId="0" fillId="0" borderId="0" xfId="0" applyAlignment="1">
      <alignment horizontal="left" vertical="center" wrapText="1"/>
    </xf>
    <xf numFmtId="0" fontId="0" fillId="0" borderId="0" xfId="0" applyAlignment="1">
      <alignment horizontal="left" vertical="center" wrapText="1" indent="1"/>
    </xf>
    <xf numFmtId="165" fontId="10" fillId="0" borderId="0" xfId="3" applyNumberFormat="1" applyFont="1" applyBorder="1" applyAlignment="1" applyProtection="1">
      <alignment horizontal="center" vertical="center"/>
      <protection locked="0"/>
    </xf>
    <xf numFmtId="0" fontId="8" fillId="3" borderId="3" xfId="0" applyFont="1" applyFill="1" applyBorder="1" applyAlignment="1">
      <alignment vertical="center" wrapText="1"/>
    </xf>
    <xf numFmtId="0" fontId="8" fillId="3" borderId="97" xfId="0" applyFont="1" applyFill="1" applyBorder="1" applyAlignment="1">
      <alignment vertical="center"/>
    </xf>
    <xf numFmtId="0" fontId="0" fillId="3" borderId="98" xfId="0" applyFill="1" applyBorder="1" applyAlignment="1">
      <alignment vertical="center"/>
    </xf>
    <xf numFmtId="0" fontId="0" fillId="3" borderId="99" xfId="0" applyFill="1" applyBorder="1" applyAlignment="1">
      <alignment vertical="center"/>
    </xf>
    <xf numFmtId="0" fontId="8" fillId="3" borderId="69" xfId="0" applyFont="1" applyFill="1" applyBorder="1" applyAlignment="1">
      <alignment vertical="center"/>
    </xf>
    <xf numFmtId="0" fontId="8" fillId="3" borderId="55" xfId="0" applyFont="1" applyFill="1" applyBorder="1" applyAlignment="1">
      <alignment vertical="center"/>
    </xf>
    <xf numFmtId="178" fontId="86" fillId="0" borderId="36" xfId="0" applyNumberFormat="1" applyFont="1" applyFill="1" applyBorder="1" applyAlignment="1" applyProtection="1">
      <alignment horizontal="center" vertical="center"/>
      <protection locked="0"/>
    </xf>
    <xf numFmtId="176" fontId="10" fillId="0" borderId="89" xfId="0" applyNumberFormat="1" applyFont="1" applyFill="1" applyBorder="1" applyAlignment="1">
      <alignment horizontal="center"/>
    </xf>
    <xf numFmtId="176" fontId="10" fillId="0" borderId="89" xfId="82" applyNumberFormat="1" applyFont="1" applyFill="1" applyBorder="1" applyAlignment="1">
      <alignment horizontal="center"/>
    </xf>
    <xf numFmtId="176" fontId="10" fillId="0" borderId="90" xfId="0" applyNumberFormat="1" applyFont="1" applyFill="1" applyBorder="1" applyAlignment="1">
      <alignment horizontal="center"/>
    </xf>
    <xf numFmtId="176" fontId="10" fillId="0" borderId="90" xfId="82" applyNumberFormat="1" applyFont="1" applyFill="1" applyBorder="1" applyAlignment="1">
      <alignment horizontal="center"/>
    </xf>
    <xf numFmtId="176" fontId="10" fillId="0" borderId="91" xfId="0" applyNumberFormat="1" applyFont="1" applyFill="1" applyBorder="1" applyAlignment="1">
      <alignment horizontal="center"/>
    </xf>
    <xf numFmtId="176" fontId="10" fillId="0" borderId="91" xfId="82" applyNumberFormat="1" applyFont="1" applyFill="1" applyBorder="1" applyAlignment="1">
      <alignment horizontal="center"/>
    </xf>
    <xf numFmtId="176" fontId="10" fillId="0" borderId="16" xfId="0" applyNumberFormat="1" applyFont="1" applyFill="1" applyBorder="1" applyAlignment="1">
      <alignment horizontal="center"/>
    </xf>
    <xf numFmtId="176" fontId="10" fillId="0" borderId="16" xfId="82" applyNumberFormat="1" applyFont="1" applyFill="1" applyBorder="1" applyAlignment="1">
      <alignment horizontal="center"/>
    </xf>
    <xf numFmtId="2" fontId="10" fillId="0" borderId="11" xfId="52" applyNumberFormat="1" applyFont="1" applyFill="1" applyBorder="1" applyAlignment="1">
      <alignment horizontal="center"/>
    </xf>
    <xf numFmtId="0" fontId="18" fillId="0" borderId="0" xfId="0" applyNumberFormat="1" applyFont="1" applyBorder="1" applyAlignment="1">
      <alignment horizontal="center" vertical="center" wrapText="1"/>
    </xf>
    <xf numFmtId="39" fontId="10" fillId="0" borderId="11" xfId="7" applyNumberFormat="1" applyFont="1" applyFill="1" applyBorder="1" applyAlignment="1">
      <alignment horizontal="center"/>
    </xf>
    <xf numFmtId="179" fontId="10" fillId="0" borderId="27" xfId="4" applyNumberFormat="1" applyFont="1" applyBorder="1" applyAlignment="1">
      <alignment horizontal="center"/>
    </xf>
    <xf numFmtId="37" fontId="12" fillId="0" borderId="37" xfId="0" applyNumberFormat="1" applyFont="1" applyBorder="1" applyAlignment="1" applyProtection="1">
      <alignment vertical="center"/>
      <protection locked="0"/>
    </xf>
    <xf numFmtId="37" fontId="12" fillId="0" borderId="11" xfId="0" applyNumberFormat="1" applyFont="1" applyBorder="1" applyAlignment="1" applyProtection="1">
      <alignment vertical="center"/>
      <protection locked="0"/>
    </xf>
    <xf numFmtId="167" fontId="12" fillId="0" borderId="11" xfId="0" applyNumberFormat="1" applyFont="1" applyBorder="1" applyAlignment="1" applyProtection="1">
      <alignment vertical="center"/>
      <protection locked="0"/>
    </xf>
    <xf numFmtId="180" fontId="12" fillId="0" borderId="11" xfId="0" applyNumberFormat="1" applyFont="1" applyBorder="1" applyAlignment="1" applyProtection="1">
      <alignment vertical="center"/>
      <protection locked="0"/>
    </xf>
    <xf numFmtId="49" fontId="16" fillId="0" borderId="30" xfId="0" applyNumberFormat="1" applyFont="1" applyBorder="1" applyAlignment="1" applyProtection="1">
      <alignment horizontal="left" vertical="center"/>
      <protection locked="0"/>
    </xf>
    <xf numFmtId="49" fontId="16" fillId="0" borderId="31" xfId="0" applyNumberFormat="1" applyFont="1" applyBorder="1" applyAlignment="1" applyProtection="1">
      <alignment horizontal="left" vertical="center"/>
      <protection locked="0"/>
    </xf>
    <xf numFmtId="49" fontId="16" fillId="0" borderId="32" xfId="0" applyNumberFormat="1" applyFont="1" applyBorder="1" applyAlignment="1" applyProtection="1">
      <alignment horizontal="left" vertical="center"/>
      <protection locked="0"/>
    </xf>
    <xf numFmtId="0" fontId="42" fillId="0" borderId="0" xfId="0" applyFont="1" applyAlignment="1">
      <alignment horizontal="left" vertical="center" wrapText="1"/>
    </xf>
    <xf numFmtId="0" fontId="8" fillId="0" borderId="22" xfId="0" applyFont="1" applyBorder="1" applyAlignment="1">
      <alignment horizontal="center" vertical="center"/>
    </xf>
    <xf numFmtId="0" fontId="8" fillId="0" borderId="19" xfId="0" applyFont="1" applyBorder="1" applyAlignment="1">
      <alignment horizontal="center" vertical="center"/>
    </xf>
    <xf numFmtId="0" fontId="18" fillId="0" borderId="0" xfId="0" applyFont="1" applyBorder="1" applyAlignment="1">
      <alignment horizontal="center" vertical="center" wrapText="1"/>
    </xf>
    <xf numFmtId="0" fontId="8" fillId="0" borderId="22" xfId="0" applyFont="1" applyBorder="1" applyAlignment="1">
      <alignment horizontal="center" vertical="center" wrapText="1"/>
    </xf>
    <xf numFmtId="0" fontId="8" fillId="0" borderId="19" xfId="0" applyFont="1" applyBorder="1" applyAlignment="1">
      <alignment horizontal="center" vertical="center" wrapText="1"/>
    </xf>
    <xf numFmtId="37" fontId="0" fillId="2" borderId="75" xfId="0" applyNumberFormat="1" applyFill="1" applyBorder="1" applyAlignment="1">
      <alignment horizontal="right" vertical="center"/>
    </xf>
    <xf numFmtId="0" fontId="0" fillId="0" borderId="67" xfId="0" applyBorder="1" applyAlignment="1">
      <alignment horizontal="right" vertical="center"/>
    </xf>
    <xf numFmtId="37" fontId="0" fillId="2" borderId="35" xfId="0" applyNumberFormat="1" applyFill="1" applyBorder="1" applyAlignment="1">
      <alignment horizontal="right" vertical="center"/>
    </xf>
    <xf numFmtId="37" fontId="0" fillId="2" borderId="23" xfId="0" applyNumberFormat="1" applyFill="1" applyBorder="1" applyAlignment="1">
      <alignment horizontal="right" vertical="center"/>
    </xf>
    <xf numFmtId="37" fontId="0" fillId="2" borderId="36" xfId="0" applyNumberFormat="1" applyFill="1" applyBorder="1" applyAlignment="1">
      <alignment horizontal="right" vertical="center"/>
    </xf>
    <xf numFmtId="37" fontId="0" fillId="2" borderId="15" xfId="0" applyNumberFormat="1" applyFill="1" applyBorder="1" applyAlignment="1">
      <alignment horizontal="right" vertical="center"/>
    </xf>
    <xf numFmtId="37" fontId="0" fillId="2" borderId="55" xfId="0" applyNumberFormat="1" applyFill="1" applyBorder="1" applyAlignment="1">
      <alignment horizontal="right" vertical="center"/>
    </xf>
    <xf numFmtId="37" fontId="0" fillId="2" borderId="47" xfId="0" applyNumberFormat="1" applyFill="1" applyBorder="1" applyAlignment="1">
      <alignment horizontal="right" vertical="center"/>
    </xf>
    <xf numFmtId="37" fontId="0" fillId="2" borderId="13" xfId="0" applyNumberFormat="1" applyFill="1" applyBorder="1" applyAlignment="1">
      <alignment horizontal="right" vertical="center"/>
    </xf>
    <xf numFmtId="37" fontId="0" fillId="2" borderId="56" xfId="0" applyNumberFormat="1" applyFill="1" applyBorder="1" applyAlignment="1">
      <alignment horizontal="right" vertical="center"/>
    </xf>
    <xf numFmtId="0" fontId="0" fillId="0" borderId="0" xfId="0" applyAlignment="1">
      <alignment horizontal="left" vertical="center" wrapText="1"/>
    </xf>
    <xf numFmtId="0" fontId="0" fillId="0" borderId="0" xfId="0" applyBorder="1" applyAlignment="1">
      <alignment horizontal="left" vertical="center" wrapText="1"/>
    </xf>
    <xf numFmtId="166" fontId="0" fillId="0" borderId="11" xfId="0" applyNumberFormat="1" applyBorder="1" applyAlignment="1">
      <alignment horizontal="center" vertical="center"/>
    </xf>
    <xf numFmtId="0" fontId="0" fillId="0" borderId="11" xfId="0" applyBorder="1" applyAlignment="1">
      <alignment horizontal="center" vertical="center"/>
    </xf>
    <xf numFmtId="0" fontId="0" fillId="0" borderId="53" xfId="0" applyBorder="1" applyAlignment="1">
      <alignment horizontal="center" vertical="center"/>
    </xf>
    <xf numFmtId="0" fontId="38" fillId="0" borderId="3" xfId="0" applyFont="1" applyBorder="1" applyAlignment="1">
      <alignment horizontal="center" vertical="center"/>
    </xf>
    <xf numFmtId="0" fontId="38" fillId="0" borderId="4" xfId="0" applyFont="1" applyBorder="1" applyAlignment="1">
      <alignment horizontal="center" vertical="center"/>
    </xf>
    <xf numFmtId="0" fontId="38" fillId="0" borderId="7" xfId="0" applyFont="1" applyBorder="1" applyAlignment="1">
      <alignment horizontal="center" vertical="center"/>
    </xf>
    <xf numFmtId="0" fontId="38" fillId="0" borderId="9" xfId="0" applyFont="1" applyBorder="1" applyAlignment="1">
      <alignment horizontal="center" vertical="center"/>
    </xf>
    <xf numFmtId="165" fontId="22" fillId="0" borderId="4" xfId="3" applyNumberFormat="1" applyFont="1" applyFill="1" applyBorder="1" applyAlignment="1" applyProtection="1">
      <alignment horizontal="center" vertical="center"/>
      <protection locked="0"/>
    </xf>
    <xf numFmtId="165" fontId="22" fillId="0" borderId="6" xfId="3" applyNumberFormat="1" applyFont="1" applyFill="1" applyBorder="1" applyAlignment="1" applyProtection="1">
      <alignment horizontal="center" vertical="center"/>
      <protection locked="0"/>
    </xf>
    <xf numFmtId="165" fontId="22" fillId="0" borderId="9" xfId="3" applyNumberFormat="1" applyFont="1" applyFill="1" applyBorder="1" applyAlignment="1" applyProtection="1">
      <alignment horizontal="center" vertical="center"/>
      <protection locked="0"/>
    </xf>
    <xf numFmtId="165" fontId="8" fillId="0" borderId="22" xfId="0" applyNumberFormat="1" applyFont="1" applyBorder="1" applyAlignment="1">
      <alignment horizontal="center" vertical="center" wrapText="1"/>
    </xf>
    <xf numFmtId="165" fontId="8" fillId="0" borderId="19" xfId="0" applyNumberFormat="1" applyFont="1" applyBorder="1" applyAlignment="1">
      <alignment horizontal="center" vertical="center" wrapText="1"/>
    </xf>
    <xf numFmtId="0" fontId="8" fillId="0" borderId="16" xfId="0" applyFont="1" applyBorder="1" applyAlignment="1">
      <alignment horizontal="center" vertical="center" wrapText="1"/>
    </xf>
    <xf numFmtId="165" fontId="8" fillId="0" borderId="16" xfId="0" applyNumberFormat="1" applyFont="1" applyBorder="1" applyAlignment="1">
      <alignment horizontal="center" vertical="center" wrapText="1"/>
    </xf>
    <xf numFmtId="0" fontId="38" fillId="0" borderId="3" xfId="0" applyFont="1" applyBorder="1" applyAlignment="1">
      <alignment horizontal="center" vertical="center" wrapText="1"/>
    </xf>
    <xf numFmtId="0" fontId="38" fillId="0" borderId="4" xfId="0" applyFont="1" applyBorder="1" applyAlignment="1">
      <alignment horizontal="center" vertical="center" wrapText="1"/>
    </xf>
    <xf numFmtId="0" fontId="38" fillId="0" borderId="7" xfId="0" applyFont="1" applyBorder="1" applyAlignment="1">
      <alignment horizontal="center" vertical="center" wrapText="1"/>
    </xf>
    <xf numFmtId="0" fontId="38" fillId="0" borderId="9" xfId="0" applyFont="1" applyBorder="1" applyAlignment="1">
      <alignment horizontal="center" vertical="center" wrapText="1"/>
    </xf>
    <xf numFmtId="0" fontId="46" fillId="0" borderId="0" xfId="1" applyFont="1" applyAlignment="1">
      <alignment horizontal="right" vertical="center"/>
    </xf>
    <xf numFmtId="0" fontId="40" fillId="0" borderId="2" xfId="1" applyFont="1" applyBorder="1" applyAlignment="1">
      <alignment horizontal="right" vertical="center"/>
    </xf>
    <xf numFmtId="0" fontId="41" fillId="0" borderId="2" xfId="1" applyFont="1" applyBorder="1" applyAlignment="1">
      <alignment horizontal="right" vertical="center"/>
    </xf>
  </cellXfs>
  <cellStyles count="111">
    <cellStyle name="20% - Accent1 2" xfId="9" xr:uid="{00000000-0005-0000-0000-000000000000}"/>
    <cellStyle name="20% - Accent1 3" xfId="8" xr:uid="{00000000-0005-0000-0000-000001000000}"/>
    <cellStyle name="20% - Accent2 2" xfId="11" xr:uid="{00000000-0005-0000-0000-000002000000}"/>
    <cellStyle name="20% - Accent2 3" xfId="10" xr:uid="{00000000-0005-0000-0000-000003000000}"/>
    <cellStyle name="20% - Accent3 2" xfId="13" xr:uid="{00000000-0005-0000-0000-000004000000}"/>
    <cellStyle name="20% - Accent3 3" xfId="12" xr:uid="{00000000-0005-0000-0000-000005000000}"/>
    <cellStyle name="20% - Accent4 2" xfId="15" xr:uid="{00000000-0005-0000-0000-000006000000}"/>
    <cellStyle name="20% - Accent4 3" xfId="14" xr:uid="{00000000-0005-0000-0000-000007000000}"/>
    <cellStyle name="20% - Accent5 2" xfId="17" xr:uid="{00000000-0005-0000-0000-000008000000}"/>
    <cellStyle name="20% - Accent5 3" xfId="16" xr:uid="{00000000-0005-0000-0000-000009000000}"/>
    <cellStyle name="20% - Accent6 2" xfId="19" xr:uid="{00000000-0005-0000-0000-00000A000000}"/>
    <cellStyle name="20% - Accent6 3" xfId="18" xr:uid="{00000000-0005-0000-0000-00000B000000}"/>
    <cellStyle name="40% - Accent1 2" xfId="21" xr:uid="{00000000-0005-0000-0000-00000C000000}"/>
    <cellStyle name="40% - Accent1 3" xfId="20" xr:uid="{00000000-0005-0000-0000-00000D000000}"/>
    <cellStyle name="40% - Accent2 2" xfId="23" xr:uid="{00000000-0005-0000-0000-00000E000000}"/>
    <cellStyle name="40% - Accent2 3" xfId="22" xr:uid="{00000000-0005-0000-0000-00000F000000}"/>
    <cellStyle name="40% - Accent3 2" xfId="25" xr:uid="{00000000-0005-0000-0000-000010000000}"/>
    <cellStyle name="40% - Accent3 3" xfId="24" xr:uid="{00000000-0005-0000-0000-000011000000}"/>
    <cellStyle name="40% - Accent4 2" xfId="27" xr:uid="{00000000-0005-0000-0000-000012000000}"/>
    <cellStyle name="40% - Accent4 3" xfId="26" xr:uid="{00000000-0005-0000-0000-000013000000}"/>
    <cellStyle name="40% - Accent5 2" xfId="29" xr:uid="{00000000-0005-0000-0000-000014000000}"/>
    <cellStyle name="40% - Accent5 3" xfId="28" xr:uid="{00000000-0005-0000-0000-000015000000}"/>
    <cellStyle name="40% - Accent6 2" xfId="31" xr:uid="{00000000-0005-0000-0000-000016000000}"/>
    <cellStyle name="40% - Accent6 3" xfId="30" xr:uid="{00000000-0005-0000-0000-000017000000}"/>
    <cellStyle name="60% - Accent1 2" xfId="32" xr:uid="{00000000-0005-0000-0000-000018000000}"/>
    <cellStyle name="60% - Accent2 2" xfId="33" xr:uid="{00000000-0005-0000-0000-000019000000}"/>
    <cellStyle name="60% - Accent3 2" xfId="34" xr:uid="{00000000-0005-0000-0000-00001A000000}"/>
    <cellStyle name="60% - Accent4 2" xfId="35" xr:uid="{00000000-0005-0000-0000-00001B000000}"/>
    <cellStyle name="60% - Accent5 2" xfId="36" xr:uid="{00000000-0005-0000-0000-00001C000000}"/>
    <cellStyle name="60% - Accent6 2" xfId="37" xr:uid="{00000000-0005-0000-0000-00001D000000}"/>
    <cellStyle name="Accent1 2" xfId="38" xr:uid="{00000000-0005-0000-0000-00001E000000}"/>
    <cellStyle name="Accent2 2" xfId="39" xr:uid="{00000000-0005-0000-0000-00001F000000}"/>
    <cellStyle name="Accent3 2" xfId="40" xr:uid="{00000000-0005-0000-0000-000020000000}"/>
    <cellStyle name="Accent4 2" xfId="41" xr:uid="{00000000-0005-0000-0000-000021000000}"/>
    <cellStyle name="Accent5 2" xfId="42" xr:uid="{00000000-0005-0000-0000-000022000000}"/>
    <cellStyle name="Accent6 2" xfId="43" xr:uid="{00000000-0005-0000-0000-000023000000}"/>
    <cellStyle name="Bad 2" xfId="44" xr:uid="{00000000-0005-0000-0000-000024000000}"/>
    <cellStyle name="Calculation 2" xfId="45" xr:uid="{00000000-0005-0000-0000-000025000000}"/>
    <cellStyle name="Check Cell 2" xfId="46" xr:uid="{00000000-0005-0000-0000-000026000000}"/>
    <cellStyle name="Comma" xfId="5" builtinId="3"/>
    <cellStyle name="Comma 2" xfId="7" xr:uid="{00000000-0005-0000-0000-000028000000}"/>
    <cellStyle name="Comma 2 2" xfId="47" xr:uid="{00000000-0005-0000-0000-000029000000}"/>
    <cellStyle name="Comma 2 3" xfId="84" xr:uid="{00000000-0005-0000-0000-00002A000000}"/>
    <cellStyle name="Comma 3" xfId="48" xr:uid="{00000000-0005-0000-0000-00002B000000}"/>
    <cellStyle name="Comma 3 2" xfId="91" xr:uid="{00000000-0005-0000-0000-00002C000000}"/>
    <cellStyle name="Comma 3 2 2" xfId="95" xr:uid="{00000000-0005-0000-0000-00002D000000}"/>
    <cellStyle name="Comma 3 3" xfId="96" xr:uid="{00000000-0005-0000-0000-00002E000000}"/>
    <cellStyle name="Comma 4" xfId="49" xr:uid="{00000000-0005-0000-0000-00002F000000}"/>
    <cellStyle name="Comma 4 2" xfId="50" xr:uid="{00000000-0005-0000-0000-000030000000}"/>
    <cellStyle name="Comma 4 3" xfId="97" xr:uid="{00000000-0005-0000-0000-000031000000}"/>
    <cellStyle name="Comma 5" xfId="83" xr:uid="{00000000-0005-0000-0000-000032000000}"/>
    <cellStyle name="Comma 5 2" xfId="93" xr:uid="{00000000-0005-0000-0000-000033000000}"/>
    <cellStyle name="Currency 2" xfId="52" xr:uid="{00000000-0005-0000-0000-000034000000}"/>
    <cellStyle name="Currency 2 2" xfId="86" xr:uid="{00000000-0005-0000-0000-000035000000}"/>
    <cellStyle name="Currency 3" xfId="53" xr:uid="{00000000-0005-0000-0000-000036000000}"/>
    <cellStyle name="Currency 4" xfId="54" xr:uid="{00000000-0005-0000-0000-000037000000}"/>
    <cellStyle name="Currency 4 2" xfId="55" xr:uid="{00000000-0005-0000-0000-000038000000}"/>
    <cellStyle name="Currency 5" xfId="51" xr:uid="{00000000-0005-0000-0000-000039000000}"/>
    <cellStyle name="Currency 5 2" xfId="94" xr:uid="{00000000-0005-0000-0000-00003A000000}"/>
    <cellStyle name="Currency 6" xfId="85" xr:uid="{00000000-0005-0000-0000-00003B000000}"/>
    <cellStyle name="Explanatory Text 2" xfId="56" xr:uid="{00000000-0005-0000-0000-00003C000000}"/>
    <cellStyle name="Good 2" xfId="57" xr:uid="{00000000-0005-0000-0000-00003D000000}"/>
    <cellStyle name="Heading 1 2" xfId="58" xr:uid="{00000000-0005-0000-0000-00003E000000}"/>
    <cellStyle name="Heading 2 2" xfId="59" xr:uid="{00000000-0005-0000-0000-00003F000000}"/>
    <cellStyle name="Heading 3 2" xfId="60" xr:uid="{00000000-0005-0000-0000-000040000000}"/>
    <cellStyle name="Heading 4 2" xfId="61" xr:uid="{00000000-0005-0000-0000-000041000000}"/>
    <cellStyle name="Hyperlink" xfId="1" builtinId="8"/>
    <cellStyle name="Input 2" xfId="62" xr:uid="{00000000-0005-0000-0000-000043000000}"/>
    <cellStyle name="Linked Cell 2" xfId="63" xr:uid="{00000000-0005-0000-0000-000044000000}"/>
    <cellStyle name="Neutral 2" xfId="64" xr:uid="{00000000-0005-0000-0000-000045000000}"/>
    <cellStyle name="Normal" xfId="0" builtinId="0"/>
    <cellStyle name="Normal 10" xfId="98" xr:uid="{00000000-0005-0000-0000-000047000000}"/>
    <cellStyle name="Normal 11" xfId="99" xr:uid="{00000000-0005-0000-0000-000048000000}"/>
    <cellStyle name="Normal 12" xfId="100" xr:uid="{00000000-0005-0000-0000-000049000000}"/>
    <cellStyle name="Normal 13" xfId="101" xr:uid="{00000000-0005-0000-0000-00004A000000}"/>
    <cellStyle name="Normal 2" xfId="2" xr:uid="{00000000-0005-0000-0000-00004B000000}"/>
    <cellStyle name="Normal 2 2" xfId="65" xr:uid="{00000000-0005-0000-0000-00004C000000}"/>
    <cellStyle name="Normal 2 2 2" xfId="102" xr:uid="{00000000-0005-0000-0000-00004D000000}"/>
    <cellStyle name="Normal 3" xfId="6" xr:uid="{00000000-0005-0000-0000-00004E000000}"/>
    <cellStyle name="Normal 3 2" xfId="66" xr:uid="{00000000-0005-0000-0000-00004F000000}"/>
    <cellStyle name="Normal 3 2 2" xfId="103" xr:uid="{00000000-0005-0000-0000-000050000000}"/>
    <cellStyle name="Normal 4" xfId="67" xr:uid="{00000000-0005-0000-0000-000051000000}"/>
    <cellStyle name="Normal 4 2" xfId="104" xr:uid="{00000000-0005-0000-0000-000052000000}"/>
    <cellStyle name="Normal 4 2 2" xfId="105" xr:uid="{00000000-0005-0000-0000-000053000000}"/>
    <cellStyle name="Normal 5" xfId="68" xr:uid="{00000000-0005-0000-0000-000054000000}"/>
    <cellStyle name="Normal 5 2" xfId="69" xr:uid="{00000000-0005-0000-0000-000055000000}"/>
    <cellStyle name="Normal 5 3" xfId="106" xr:uid="{00000000-0005-0000-0000-000056000000}"/>
    <cellStyle name="Normal 6" xfId="70" xr:uid="{00000000-0005-0000-0000-000057000000}"/>
    <cellStyle name="Normal 7" xfId="71" xr:uid="{00000000-0005-0000-0000-000058000000}"/>
    <cellStyle name="Normal 8" xfId="82" xr:uid="{00000000-0005-0000-0000-000059000000}"/>
    <cellStyle name="Normal 8 2" xfId="107" xr:uid="{00000000-0005-0000-0000-00005A000000}"/>
    <cellStyle name="Normal 9" xfId="89" xr:uid="{00000000-0005-0000-0000-00005B000000}"/>
    <cellStyle name="Normal 9 2" xfId="90" xr:uid="{00000000-0005-0000-0000-00005C000000}"/>
    <cellStyle name="Normal 9 3" xfId="108" xr:uid="{00000000-0005-0000-0000-00005D000000}"/>
    <cellStyle name="Note 2" xfId="73" xr:uid="{00000000-0005-0000-0000-00005E000000}"/>
    <cellStyle name="Note 3" xfId="72" xr:uid="{00000000-0005-0000-0000-00005F000000}"/>
    <cellStyle name="Output 2" xfId="74" xr:uid="{00000000-0005-0000-0000-000060000000}"/>
    <cellStyle name="Percent" xfId="3" builtinId="5"/>
    <cellStyle name="Percent 2" xfId="76" xr:uid="{00000000-0005-0000-0000-000062000000}"/>
    <cellStyle name="Percent 2 2" xfId="88" xr:uid="{00000000-0005-0000-0000-000063000000}"/>
    <cellStyle name="Percent 3" xfId="4" xr:uid="{00000000-0005-0000-0000-000064000000}"/>
    <cellStyle name="Percent 3 2" xfId="78" xr:uid="{00000000-0005-0000-0000-000065000000}"/>
    <cellStyle name="Percent 3 3" xfId="77" xr:uid="{00000000-0005-0000-0000-000066000000}"/>
    <cellStyle name="Percent 3 4" xfId="92" xr:uid="{00000000-0005-0000-0000-000067000000}"/>
    <cellStyle name="Percent 4" xfId="75" xr:uid="{00000000-0005-0000-0000-000068000000}"/>
    <cellStyle name="Percent 4 2" xfId="109" xr:uid="{00000000-0005-0000-0000-000069000000}"/>
    <cellStyle name="Percent 5" xfId="87" xr:uid="{00000000-0005-0000-0000-00006A000000}"/>
    <cellStyle name="Percent 5 2" xfId="110" xr:uid="{00000000-0005-0000-0000-00006B000000}"/>
    <cellStyle name="Title 2" xfId="79" xr:uid="{00000000-0005-0000-0000-00006C000000}"/>
    <cellStyle name="Total 2" xfId="80" xr:uid="{00000000-0005-0000-0000-00006D000000}"/>
    <cellStyle name="Warning Text 2" xfId="81" xr:uid="{00000000-0005-0000-0000-00006E000000}"/>
  </cellStyles>
  <dxfs count="2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0" tint="-0.14996795556505021"/>
      </font>
      <fill>
        <patternFill>
          <bgColor theme="0" tint="-0.14996795556505021"/>
        </patternFill>
      </fill>
    </dxf>
  </dxfs>
  <tableStyles count="0" defaultTableStyle="TableStyleMedium2" defaultPivotStyle="PivotStyleLight16"/>
  <colors>
    <mruColors>
      <color rgb="FF0000FF"/>
      <color rgb="FF008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2.xml"/><Relationship Id="rId50"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1.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Drop" dropLines="3" dropStyle="combo" dx="16" fmlaLink="References!$D$5" fmlaRange="List_LineType" sel="2" val="0"/>
</file>

<file path=xl/ctrlProps/ctrlProp6.xml><?xml version="1.0" encoding="utf-8"?>
<formControlPr xmlns="http://schemas.microsoft.com/office/spreadsheetml/2009/9/main" objectType="Drop" dropLines="22" dropStyle="combo" dx="16" fmlaLink="References!$F$5" fmlaRange="List_GeneralLine" sel="4" val="0"/>
</file>

<file path=xl/ctrlProps/ctrlProp7.xml><?xml version="1.0" encoding="utf-8"?>
<formControlPr xmlns="http://schemas.microsoft.com/office/spreadsheetml/2009/9/main" objectType="CheckBox" fmlaLink="Settings!$B$25" lockText="1"/>
</file>

<file path=xl/ctrlProps/ctrlProp8.xml><?xml version="1.0" encoding="utf-8"?>
<formControlPr xmlns="http://schemas.microsoft.com/office/spreadsheetml/2009/9/main" objectType="Drop" dropLines="3" dropStyle="combo" dx="16" fmlaLink="References!$K$5" fmlaRange="References!$K$6:$K$8" sel="1" val="0"/>
</file>

<file path=xl/ctrlProps/ctrlProp9.xml><?xml version="1.0" encoding="utf-8"?>
<formControlPr xmlns="http://schemas.microsoft.com/office/spreadsheetml/2009/9/main" objectType="CheckBox" fmlaLink="Settings!$E$24" lockText="1"/>
</file>

<file path=xl/ctrlProps/ctrlProp10.xml><?xml version="1.0" encoding="utf-8"?>
<formControlPr xmlns="http://schemas.microsoft.com/office/spreadsheetml/2009/9/main" objectType="Drop" dropLines="29" dropStyle="combo" dx="16" fmlaLink="'1.General'!$A$34" fmlaRange="List_DetailLine" sel="2" val="0"/>
</file>

<file path=xl/ctrlProps/ctrlProp11.xml><?xml version="1.0" encoding="utf-8"?>
<formControlPr xmlns="http://schemas.microsoft.com/office/spreadsheetml/2009/9/main" objectType="Drop" dropLines="29" dropStyle="combo" dx="16" fmlaLink="'1.General'!$A$35" fmlaRange="List_DetailLine" sel="2" val="0"/>
</file>

<file path=xl/ctrlProps/ctrlProp12.xml><?xml version="1.0" encoding="utf-8"?>
<formControlPr xmlns="http://schemas.microsoft.com/office/spreadsheetml/2009/9/main" objectType="Drop" dropLines="29" dropStyle="combo" dx="16" fmlaLink="'1.General'!$A$36" fmlaRange="List_DetailLine" sel="2" val="0"/>
</file>

<file path=xl/ctrlProps/ctrlProp13.xml><?xml version="1.0" encoding="utf-8"?>
<formControlPr xmlns="http://schemas.microsoft.com/office/spreadsheetml/2009/9/main" objectType="Drop" dropLines="29" dropStyle="combo" dx="16" fmlaLink="'1.General'!$A$37" fmlaRange="List_DetailLine" sel="3" val="0"/>
</file>

<file path=xl/ctrlProps/ctrlProp14.xml><?xml version="1.0" encoding="utf-8"?>
<formControlPr xmlns="http://schemas.microsoft.com/office/spreadsheetml/2009/9/main" objectType="Drop" dropLines="29" dropStyle="combo" dx="16" fmlaLink="'1.General'!$A$38" fmlaRange="List_DetailLine" sel="3" val="0"/>
</file>

<file path=xl/ctrlProps/ctrlProp15.xml><?xml version="1.0" encoding="utf-8"?>
<formControlPr xmlns="http://schemas.microsoft.com/office/spreadsheetml/2009/9/main" objectType="Drop" dropLines="29" dropStyle="combo" dx="16" fmlaLink="'1.General'!$A$39" fmlaRange="List_DetailLine" sel="3" val="0"/>
</file>

<file path=xl/ctrlProps/ctrlProp16.xml><?xml version="1.0" encoding="utf-8"?>
<formControlPr xmlns="http://schemas.microsoft.com/office/spreadsheetml/2009/9/main" objectType="Drop" dropLines="29" dropStyle="combo" dx="16" fmlaLink="'1.General'!$A$40" fmlaRange="List_DetailLine" sel="2" val="0"/>
</file>

<file path=xl/ctrlProps/ctrlProp17.xml><?xml version="1.0" encoding="utf-8"?>
<formControlPr xmlns="http://schemas.microsoft.com/office/spreadsheetml/2009/9/main" objectType="Drop" dropLines="29" dropStyle="combo" dx="16" fmlaLink="'1.General'!$A$41" fmlaRange="List_DetailLine" sel="1" val="0"/>
</file>

<file path=xl/ctrlProps/ctrlProp18.xml><?xml version="1.0" encoding="utf-8"?>
<formControlPr xmlns="http://schemas.microsoft.com/office/spreadsheetml/2009/9/main" objectType="Drop" dropLines="29" dropStyle="combo" dx="16" fmlaLink="'1.General'!$A$42" fmlaRange="List_DetailLine" sel="1" val="0"/>
</file>

<file path=xl/ctrlProps/ctrlProp19.xml><?xml version="1.0" encoding="utf-8"?>
<formControlPr xmlns="http://schemas.microsoft.com/office/spreadsheetml/2009/9/main" objectType="Drop" dropLines="29" dropStyle="combo" dx="16" fmlaLink="'1.General'!$A$43" fmlaRange="List_DetailLine" sel="1" val="0"/>
</file>

<file path=xl/ctrlProps/ctrlProp20.xml><?xml version="1.0" encoding="utf-8"?>
<formControlPr xmlns="http://schemas.microsoft.com/office/spreadsheetml/2009/9/main" objectType="Drop" dropLines="2" dropStyle="combo" dx="16" fmlaLink="$I$47" fmlaRange="List_YNIndicator" sel="2" val="0"/>
</file>

<file path=xl/ctrlProps/ctrlProp21.xml><?xml version="1.0" encoding="utf-8"?>
<formControlPr xmlns="http://schemas.microsoft.com/office/spreadsheetml/2009/9/main" objectType="Drop" dropLines="2" dropStyle="combo" dx="16" fmlaLink="$I$48" fmlaRange="List_YNIndicator" sel="2" val="0"/>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Drop" dropLines="7" dropStyle="combo" dx="15" fmlaLink="References!$S$5" fmlaRange="References!$S$6:$S$14" noThreeD="1" sel="9" val="2"/>
</file>

<file path=xl/ctrlProps/ctrlProp24.xml><?xml version="1.0" encoding="utf-8"?>
<formControlPr xmlns="http://schemas.microsoft.com/office/spreadsheetml/2009/9/main" objectType="CheckBox"/>
</file>

<file path=xl/ctrlProps/ctrlProp25.xml><?xml version="1.0" encoding="utf-8"?>
<formControlPr xmlns="http://schemas.microsoft.com/office/spreadsheetml/2009/9/main" objectType="CheckBox"/>
</file>

<file path=xl/ctrlProps/ctrlProp26.xml><?xml version="1.0" encoding="utf-8"?>
<formControlPr xmlns="http://schemas.microsoft.com/office/spreadsheetml/2009/9/main" objectType="Button"/>
</file>

<file path=xl/ctrlProps/ctrlProp27.xml><?xml version="1.0" encoding="utf-8"?>
<formControlPr xmlns="http://schemas.microsoft.com/office/spreadsheetml/2009/9/main" objectType="Button"/>
</file>

<file path=xl/ctrlProps/ctrlProp28.xml><?xml version="1.0" encoding="utf-8"?>
<formControlPr xmlns="http://schemas.microsoft.com/office/spreadsheetml/2009/9/main" objectType="Button"/>
</file>

<file path=xl/ctrlProps/ctrlProp29.xml><?xml version="1.0" encoding="utf-8"?>
<formControlPr xmlns="http://schemas.microsoft.com/office/spreadsheetml/2009/9/main" objectType="Button"/>
</file>

<file path=xl/ctrlProps/ctrlProp30.xml><?xml version="1.0" encoding="utf-8"?>
<formControlPr xmlns="http://schemas.microsoft.com/office/spreadsheetml/2009/9/main" objectType="Button"/>
</file>

<file path=xl/ctrlProps/ctrlProp31.xml><?xml version="1.0" encoding="utf-8"?>
<formControlPr xmlns="http://schemas.microsoft.com/office/spreadsheetml/2009/9/main" objectType="Button"/>
</file>

<file path=xl/ctrlProps/ctrlProp32.xml><?xml version="1.0" encoding="utf-8"?>
<formControlPr xmlns="http://schemas.microsoft.com/office/spreadsheetml/2009/9/main" objectType="Button"/>
</file>

<file path=xl/ctrlProps/ctrlProp33.xml><?xml version="1.0" encoding="utf-8"?>
<formControlPr xmlns="http://schemas.microsoft.com/office/spreadsheetml/2009/9/main" objectType="Button"/>
</file>

<file path=xl/ctrlProps/ctrlProp34.xml><?xml version="1.0" encoding="utf-8"?>
<formControlPr xmlns="http://schemas.microsoft.com/office/spreadsheetml/2009/9/main" objectType="Button"/>
</file>

<file path=xl/ctrlProps/ctrlProp35.xml><?xml version="1.0" encoding="utf-8"?>
<formControlPr xmlns="http://schemas.microsoft.com/office/spreadsheetml/2009/9/main" objectType="Button"/>
</file>

<file path=xl/ctrlProps/ctrlProp36.xml><?xml version="1.0" encoding="utf-8"?>
<formControlPr xmlns="http://schemas.microsoft.com/office/spreadsheetml/2009/9/main" objectType="Button"/>
</file>

<file path=xl/ctrlProps/ctrlProp37.xml><?xml version="1.0" encoding="utf-8"?>
<formControlPr xmlns="http://schemas.microsoft.com/office/spreadsheetml/2009/9/main" objectType="Button"/>
</file>

<file path=xl/ctrlProps/ctrlProp38.xml><?xml version="1.0" encoding="utf-8"?>
<formControlPr xmlns="http://schemas.microsoft.com/office/spreadsheetml/2009/9/main" objectType="Button"/>
</file>

<file path=xl/ctrlProps/ctrlProp39.xml><?xml version="1.0" encoding="utf-8"?>
<formControlPr xmlns="http://schemas.microsoft.com/office/spreadsheetml/2009/9/main" objectType="Button"/>
</file>

<file path=xl/ctrlProps/ctrlProp40.xml><?xml version="1.0" encoding="utf-8"?>
<formControlPr xmlns="http://schemas.microsoft.com/office/spreadsheetml/2009/9/main" objectType="Button"/>
</file>

<file path=xl/ctrlProps/ctrlProp41.xml><?xml version="1.0" encoding="utf-8"?>
<formControlPr xmlns="http://schemas.microsoft.com/office/spreadsheetml/2009/9/main" objectType="Button"/>
</file>

<file path=xl/ctrlProps/ctrlProp42.xml><?xml version="1.0" encoding="utf-8"?>
<formControlPr xmlns="http://schemas.microsoft.com/office/spreadsheetml/2009/9/main" objectType="Button"/>
</file>

<file path=xl/ctrlProps/ctrlProp43.xml><?xml version="1.0" encoding="utf-8"?>
<formControlPr xmlns="http://schemas.microsoft.com/office/spreadsheetml/2009/9/main" objectType="Button"/>
</file>

<file path=xl/ctrlProps/ctrlProp44.xml><?xml version="1.0" encoding="utf-8"?>
<formControlPr xmlns="http://schemas.microsoft.com/office/spreadsheetml/2009/9/main" objectType="Button"/>
</file>

<file path=xl/ctrlProps/ctrlProp45.xml><?xml version="1.0" encoding="utf-8"?>
<formControlPr xmlns="http://schemas.microsoft.com/office/spreadsheetml/2009/9/main" objectType="Button"/>
</file>

<file path=xl/drawings/_rels/vmlDrawing3.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11</xdr:row>
          <xdr:rowOff>9525</xdr:rowOff>
        </xdr:from>
        <xdr:to>
          <xdr:col>1</xdr:col>
          <xdr:colOff>9525</xdr:colOff>
          <xdr:row>12</xdr:row>
          <xdr:rowOff>0</xdr:rowOff>
        </xdr:to>
        <xdr:sp macro="" textlink="">
          <xdr:nvSpPr>
            <xdr:cNvPr id="29697" name="Update Footers" descr="Update Footers" hidden="1">
              <a:extLst>
                <a:ext uri="{63B3BB69-23CF-44E3-9099-C40C66FF867C}">
                  <a14:compatExt spid="_x0000_s29697"/>
                </a:ext>
                <a:ext uri="{FF2B5EF4-FFF2-40B4-BE49-F238E27FC236}">
                  <a16:creationId xmlns:a16="http://schemas.microsoft.com/office/drawing/2014/main" id="{00000000-0008-0000-0000-000001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Update Footers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0</xdr:rowOff>
        </xdr:from>
        <xdr:to>
          <xdr:col>1</xdr:col>
          <xdr:colOff>28575</xdr:colOff>
          <xdr:row>4</xdr:row>
          <xdr:rowOff>9525</xdr:rowOff>
        </xdr:to>
        <xdr:sp macro="" textlink="">
          <xdr:nvSpPr>
            <xdr:cNvPr id="29698" name="Button 2" hidden="1">
              <a:extLst>
                <a:ext uri="{63B3BB69-23CF-44E3-9099-C40C66FF867C}">
                  <a14:compatExt spid="_x0000_s29698"/>
                </a:ext>
                <a:ext uri="{FF2B5EF4-FFF2-40B4-BE49-F238E27FC236}">
                  <a16:creationId xmlns:a16="http://schemas.microsoft.com/office/drawing/2014/main" id="{00000000-0008-0000-0000-000002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Unprotect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7</xdr:row>
          <xdr:rowOff>9525</xdr:rowOff>
        </xdr:from>
        <xdr:to>
          <xdr:col>1</xdr:col>
          <xdr:colOff>19050</xdr:colOff>
          <xdr:row>8</xdr:row>
          <xdr:rowOff>0</xdr:rowOff>
        </xdr:to>
        <xdr:sp macro="" textlink="">
          <xdr:nvSpPr>
            <xdr:cNvPr id="29699" name="Button 3" hidden="1">
              <a:extLst>
                <a:ext uri="{63B3BB69-23CF-44E3-9099-C40C66FF867C}">
                  <a14:compatExt spid="_x0000_s29699"/>
                </a:ext>
                <a:ext uri="{FF2B5EF4-FFF2-40B4-BE49-F238E27FC236}">
                  <a16:creationId xmlns:a16="http://schemas.microsoft.com/office/drawing/2014/main" id="{00000000-0008-0000-0000-000003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16</xdr:row>
          <xdr:rowOff>9525</xdr:rowOff>
        </xdr:from>
        <xdr:to>
          <xdr:col>1</xdr:col>
          <xdr:colOff>9525</xdr:colOff>
          <xdr:row>17</xdr:row>
          <xdr:rowOff>9525</xdr:rowOff>
        </xdr:to>
        <xdr:sp macro="" textlink="">
          <xdr:nvSpPr>
            <xdr:cNvPr id="29700" name="Button 4" hidden="1">
              <a:extLst>
                <a:ext uri="{63B3BB69-23CF-44E3-9099-C40C66FF867C}">
                  <a14:compatExt spid="_x0000_s29700"/>
                </a:ext>
                <a:ext uri="{FF2B5EF4-FFF2-40B4-BE49-F238E27FC236}">
                  <a16:creationId xmlns:a16="http://schemas.microsoft.com/office/drawing/2014/main" id="{00000000-0008-0000-0000-000004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Hide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17</xdr:row>
          <xdr:rowOff>9525</xdr:rowOff>
        </xdr:from>
        <xdr:to>
          <xdr:col>2</xdr:col>
          <xdr:colOff>1333500</xdr:colOff>
          <xdr:row>18</xdr:row>
          <xdr:rowOff>19050</xdr:rowOff>
        </xdr:to>
        <xdr:sp macro="" textlink="">
          <xdr:nvSpPr>
            <xdr:cNvPr id="1064" name="Drop Down 40" hidden="1">
              <a:extLst>
                <a:ext uri="{63B3BB69-23CF-44E3-9099-C40C66FF867C}">
                  <a14:compatExt spid="_x0000_s1064"/>
                </a:ext>
                <a:ext uri="{FF2B5EF4-FFF2-40B4-BE49-F238E27FC236}">
                  <a16:creationId xmlns:a16="http://schemas.microsoft.com/office/drawing/2014/main" id="{00000000-0008-0000-0300-00002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19</xdr:row>
          <xdr:rowOff>9525</xdr:rowOff>
        </xdr:from>
        <xdr:to>
          <xdr:col>5</xdr:col>
          <xdr:colOff>152400</xdr:colOff>
          <xdr:row>20</xdr:row>
          <xdr:rowOff>19050</xdr:rowOff>
        </xdr:to>
        <xdr:sp macro="" textlink="">
          <xdr:nvSpPr>
            <xdr:cNvPr id="1065" name="Drop Down 41" hidden="1">
              <a:extLst>
                <a:ext uri="{63B3BB69-23CF-44E3-9099-C40C66FF867C}">
                  <a14:compatExt spid="_x0000_s1065"/>
                </a:ext>
                <a:ext uri="{FF2B5EF4-FFF2-40B4-BE49-F238E27FC236}">
                  <a16:creationId xmlns:a16="http://schemas.microsoft.com/office/drawing/2014/main" id="{00000000-0008-0000-0300-00002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1238250</xdr:colOff>
          <xdr:row>23</xdr:row>
          <xdr:rowOff>104775</xdr:rowOff>
        </xdr:from>
        <xdr:to>
          <xdr:col>0</xdr:col>
          <xdr:colOff>1543050</xdr:colOff>
          <xdr:row>25</xdr:row>
          <xdr:rowOff>114300</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0300-00003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26</xdr:row>
          <xdr:rowOff>9525</xdr:rowOff>
        </xdr:from>
        <xdr:to>
          <xdr:col>3</xdr:col>
          <xdr:colOff>819150</xdr:colOff>
          <xdr:row>27</xdr:row>
          <xdr:rowOff>28575</xdr:rowOff>
        </xdr:to>
        <xdr:sp macro="" textlink="">
          <xdr:nvSpPr>
            <xdr:cNvPr id="1074" name="Drop Down 50" hidden="1">
              <a:extLst>
                <a:ext uri="{63B3BB69-23CF-44E3-9099-C40C66FF867C}">
                  <a14:compatExt spid="_x0000_s1074"/>
                </a:ext>
                <a:ext uri="{FF2B5EF4-FFF2-40B4-BE49-F238E27FC236}">
                  <a16:creationId xmlns:a16="http://schemas.microsoft.com/office/drawing/2014/main" id="{00000000-0008-0000-0300-00003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161925</xdr:colOff>
          <xdr:row>23</xdr:row>
          <xdr:rowOff>95250</xdr:rowOff>
        </xdr:from>
        <xdr:to>
          <xdr:col>3</xdr:col>
          <xdr:colOff>466725</xdr:colOff>
          <xdr:row>25</xdr:row>
          <xdr:rowOff>104775</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0300-00003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33</xdr:row>
          <xdr:rowOff>9525</xdr:rowOff>
        </xdr:from>
        <xdr:to>
          <xdr:col>0</xdr:col>
          <xdr:colOff>2971800</xdr:colOff>
          <xdr:row>34</xdr:row>
          <xdr:rowOff>0</xdr:rowOff>
        </xdr:to>
        <xdr:sp macro="" textlink="">
          <xdr:nvSpPr>
            <xdr:cNvPr id="1077" name="cvg1DropDown" hidden="1">
              <a:extLst>
                <a:ext uri="{63B3BB69-23CF-44E3-9099-C40C66FF867C}">
                  <a14:compatExt spid="_x0000_s1077"/>
                </a:ext>
                <a:ext uri="{FF2B5EF4-FFF2-40B4-BE49-F238E27FC236}">
                  <a16:creationId xmlns:a16="http://schemas.microsoft.com/office/drawing/2014/main" id="{00000000-0008-0000-0300-00003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34</xdr:row>
          <xdr:rowOff>9525</xdr:rowOff>
        </xdr:from>
        <xdr:to>
          <xdr:col>0</xdr:col>
          <xdr:colOff>2971800</xdr:colOff>
          <xdr:row>35</xdr:row>
          <xdr:rowOff>0</xdr:rowOff>
        </xdr:to>
        <xdr:sp macro="" textlink="">
          <xdr:nvSpPr>
            <xdr:cNvPr id="1078" name="cvg2DropDown" hidden="1">
              <a:extLst>
                <a:ext uri="{63B3BB69-23CF-44E3-9099-C40C66FF867C}">
                  <a14:compatExt spid="_x0000_s1078"/>
                </a:ext>
                <a:ext uri="{FF2B5EF4-FFF2-40B4-BE49-F238E27FC236}">
                  <a16:creationId xmlns:a16="http://schemas.microsoft.com/office/drawing/2014/main" id="{00000000-0008-0000-0300-00003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35</xdr:row>
          <xdr:rowOff>9525</xdr:rowOff>
        </xdr:from>
        <xdr:to>
          <xdr:col>0</xdr:col>
          <xdr:colOff>2971800</xdr:colOff>
          <xdr:row>36</xdr:row>
          <xdr:rowOff>0</xdr:rowOff>
        </xdr:to>
        <xdr:sp macro="" textlink="">
          <xdr:nvSpPr>
            <xdr:cNvPr id="1079" name="cvg3DropDown" hidden="1">
              <a:extLst>
                <a:ext uri="{63B3BB69-23CF-44E3-9099-C40C66FF867C}">
                  <a14:compatExt spid="_x0000_s1079"/>
                </a:ext>
                <a:ext uri="{FF2B5EF4-FFF2-40B4-BE49-F238E27FC236}">
                  <a16:creationId xmlns:a16="http://schemas.microsoft.com/office/drawing/2014/main" id="{00000000-0008-0000-0300-00003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36</xdr:row>
          <xdr:rowOff>0</xdr:rowOff>
        </xdr:from>
        <xdr:to>
          <xdr:col>0</xdr:col>
          <xdr:colOff>2971800</xdr:colOff>
          <xdr:row>36</xdr:row>
          <xdr:rowOff>238125</xdr:rowOff>
        </xdr:to>
        <xdr:sp macro="" textlink="">
          <xdr:nvSpPr>
            <xdr:cNvPr id="1080" name="cvg4DropDown" hidden="1">
              <a:extLst>
                <a:ext uri="{63B3BB69-23CF-44E3-9099-C40C66FF867C}">
                  <a14:compatExt spid="_x0000_s1080"/>
                </a:ext>
                <a:ext uri="{FF2B5EF4-FFF2-40B4-BE49-F238E27FC236}">
                  <a16:creationId xmlns:a16="http://schemas.microsoft.com/office/drawing/2014/main" id="{00000000-0008-0000-0300-00003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37</xdr:row>
          <xdr:rowOff>0</xdr:rowOff>
        </xdr:from>
        <xdr:to>
          <xdr:col>0</xdr:col>
          <xdr:colOff>2971800</xdr:colOff>
          <xdr:row>37</xdr:row>
          <xdr:rowOff>238125</xdr:rowOff>
        </xdr:to>
        <xdr:sp macro="" textlink="">
          <xdr:nvSpPr>
            <xdr:cNvPr id="1081" name="cvg5DropDown" hidden="1">
              <a:extLst>
                <a:ext uri="{63B3BB69-23CF-44E3-9099-C40C66FF867C}">
                  <a14:compatExt spid="_x0000_s1081"/>
                </a:ext>
                <a:ext uri="{FF2B5EF4-FFF2-40B4-BE49-F238E27FC236}">
                  <a16:creationId xmlns:a16="http://schemas.microsoft.com/office/drawing/2014/main" id="{00000000-0008-0000-0300-00003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38</xdr:row>
          <xdr:rowOff>0</xdr:rowOff>
        </xdr:from>
        <xdr:to>
          <xdr:col>0</xdr:col>
          <xdr:colOff>2971800</xdr:colOff>
          <xdr:row>38</xdr:row>
          <xdr:rowOff>238125</xdr:rowOff>
        </xdr:to>
        <xdr:sp macro="" textlink="">
          <xdr:nvSpPr>
            <xdr:cNvPr id="1082" name="cvg6DropDown" hidden="1">
              <a:extLst>
                <a:ext uri="{63B3BB69-23CF-44E3-9099-C40C66FF867C}">
                  <a14:compatExt spid="_x0000_s1082"/>
                </a:ext>
                <a:ext uri="{FF2B5EF4-FFF2-40B4-BE49-F238E27FC236}">
                  <a16:creationId xmlns:a16="http://schemas.microsoft.com/office/drawing/2014/main" id="{00000000-0008-0000-0300-00003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39</xdr:row>
          <xdr:rowOff>0</xdr:rowOff>
        </xdr:from>
        <xdr:to>
          <xdr:col>0</xdr:col>
          <xdr:colOff>2971800</xdr:colOff>
          <xdr:row>39</xdr:row>
          <xdr:rowOff>238125</xdr:rowOff>
        </xdr:to>
        <xdr:sp macro="" textlink="">
          <xdr:nvSpPr>
            <xdr:cNvPr id="1083" name="cvg7DropDown" hidden="1">
              <a:extLst>
                <a:ext uri="{63B3BB69-23CF-44E3-9099-C40C66FF867C}">
                  <a14:compatExt spid="_x0000_s1083"/>
                </a:ext>
                <a:ext uri="{FF2B5EF4-FFF2-40B4-BE49-F238E27FC236}">
                  <a16:creationId xmlns:a16="http://schemas.microsoft.com/office/drawing/2014/main" id="{00000000-0008-0000-0300-00003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40</xdr:row>
          <xdr:rowOff>0</xdr:rowOff>
        </xdr:from>
        <xdr:to>
          <xdr:col>0</xdr:col>
          <xdr:colOff>2971800</xdr:colOff>
          <xdr:row>40</xdr:row>
          <xdr:rowOff>238125</xdr:rowOff>
        </xdr:to>
        <xdr:sp macro="" textlink="">
          <xdr:nvSpPr>
            <xdr:cNvPr id="1084" name="cvg8DropDown" hidden="1">
              <a:extLst>
                <a:ext uri="{63B3BB69-23CF-44E3-9099-C40C66FF867C}">
                  <a14:compatExt spid="_x0000_s1084"/>
                </a:ext>
                <a:ext uri="{FF2B5EF4-FFF2-40B4-BE49-F238E27FC236}">
                  <a16:creationId xmlns:a16="http://schemas.microsoft.com/office/drawing/2014/main" id="{00000000-0008-0000-0300-00003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41</xdr:row>
          <xdr:rowOff>0</xdr:rowOff>
        </xdr:from>
        <xdr:to>
          <xdr:col>0</xdr:col>
          <xdr:colOff>2971800</xdr:colOff>
          <xdr:row>41</xdr:row>
          <xdr:rowOff>238125</xdr:rowOff>
        </xdr:to>
        <xdr:sp macro="" textlink="">
          <xdr:nvSpPr>
            <xdr:cNvPr id="1085" name="cvg9DropDown" hidden="1">
              <a:extLst>
                <a:ext uri="{63B3BB69-23CF-44E3-9099-C40C66FF867C}">
                  <a14:compatExt spid="_x0000_s1085"/>
                </a:ext>
                <a:ext uri="{FF2B5EF4-FFF2-40B4-BE49-F238E27FC236}">
                  <a16:creationId xmlns:a16="http://schemas.microsoft.com/office/drawing/2014/main" id="{00000000-0008-0000-0300-00003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41</xdr:row>
          <xdr:rowOff>238125</xdr:rowOff>
        </xdr:from>
        <xdr:to>
          <xdr:col>0</xdr:col>
          <xdr:colOff>2971800</xdr:colOff>
          <xdr:row>42</xdr:row>
          <xdr:rowOff>228600</xdr:rowOff>
        </xdr:to>
        <xdr:sp macro="" textlink="">
          <xdr:nvSpPr>
            <xdr:cNvPr id="1086" name="cvg10DropDown" hidden="1">
              <a:extLst>
                <a:ext uri="{63B3BB69-23CF-44E3-9099-C40C66FF867C}">
                  <a14:compatExt spid="_x0000_s1086"/>
                </a:ext>
                <a:ext uri="{FF2B5EF4-FFF2-40B4-BE49-F238E27FC236}">
                  <a16:creationId xmlns:a16="http://schemas.microsoft.com/office/drawing/2014/main" id="{00000000-0008-0000-0300-00003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695325</xdr:colOff>
          <xdr:row>45</xdr:row>
          <xdr:rowOff>171450</xdr:rowOff>
        </xdr:from>
        <xdr:to>
          <xdr:col>2</xdr:col>
          <xdr:colOff>1152525</xdr:colOff>
          <xdr:row>46</xdr:row>
          <xdr:rowOff>219075</xdr:rowOff>
        </xdr:to>
        <xdr:sp macro="" textlink="">
          <xdr:nvSpPr>
            <xdr:cNvPr id="1087" name="Drop Down 63" hidden="1">
              <a:extLst>
                <a:ext uri="{63B3BB69-23CF-44E3-9099-C40C66FF867C}">
                  <a14:compatExt spid="_x0000_s1087"/>
                </a:ext>
                <a:ext uri="{FF2B5EF4-FFF2-40B4-BE49-F238E27FC236}">
                  <a16:creationId xmlns:a16="http://schemas.microsoft.com/office/drawing/2014/main" id="{00000000-0008-0000-0300-00003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695325</xdr:colOff>
          <xdr:row>47</xdr:row>
          <xdr:rowOff>28575</xdr:rowOff>
        </xdr:from>
        <xdr:to>
          <xdr:col>2</xdr:col>
          <xdr:colOff>1152525</xdr:colOff>
          <xdr:row>48</xdr:row>
          <xdr:rowOff>38100</xdr:rowOff>
        </xdr:to>
        <xdr:sp macro="" textlink="">
          <xdr:nvSpPr>
            <xdr:cNvPr id="1089" name="Drop Down 65" hidden="1">
              <a:extLst>
                <a:ext uri="{63B3BB69-23CF-44E3-9099-C40C66FF867C}">
                  <a14:compatExt spid="_x0000_s1089"/>
                </a:ext>
                <a:ext uri="{FF2B5EF4-FFF2-40B4-BE49-F238E27FC236}">
                  <a16:creationId xmlns:a16="http://schemas.microsoft.com/office/drawing/2014/main" id="{00000000-0008-0000-0300-00004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46</xdr:row>
          <xdr:rowOff>0</xdr:rowOff>
        </xdr:from>
        <xdr:to>
          <xdr:col>5</xdr:col>
          <xdr:colOff>542925</xdr:colOff>
          <xdr:row>47</xdr:row>
          <xdr:rowOff>19050</xdr:rowOff>
        </xdr:to>
        <xdr:sp macro="" textlink="">
          <xdr:nvSpPr>
            <xdr:cNvPr id="1090" name="txtVariance" hidden="1">
              <a:extLst>
                <a:ext uri="{63B3BB69-23CF-44E3-9099-C40C66FF867C}">
                  <a14:compatExt spid="_x0000_s1090"/>
                </a:ext>
                <a:ext uri="{FF2B5EF4-FFF2-40B4-BE49-F238E27FC236}">
                  <a16:creationId xmlns:a16="http://schemas.microsoft.com/office/drawing/2014/main" id="{00000000-0008-0000-0300-00004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51</xdr:row>
          <xdr:rowOff>180975</xdr:rowOff>
        </xdr:from>
        <xdr:to>
          <xdr:col>3</xdr:col>
          <xdr:colOff>0</xdr:colOff>
          <xdr:row>53</xdr:row>
          <xdr:rowOff>0</xdr:rowOff>
        </xdr:to>
        <xdr:sp macro="" textlink="">
          <xdr:nvSpPr>
            <xdr:cNvPr id="1091" name="Button 67" hidden="1">
              <a:extLst>
                <a:ext uri="{63B3BB69-23CF-44E3-9099-C40C66FF867C}">
                  <a14:compatExt spid="_x0000_s1091"/>
                </a:ext>
                <a:ext uri="{FF2B5EF4-FFF2-40B4-BE49-F238E27FC236}">
                  <a16:creationId xmlns:a16="http://schemas.microsoft.com/office/drawing/2014/main" id="{00000000-0008-0000-0300-00004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Print Selected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49</xdr:row>
          <xdr:rowOff>171450</xdr:rowOff>
        </xdr:from>
        <xdr:to>
          <xdr:col>2</xdr:col>
          <xdr:colOff>1581150</xdr:colOff>
          <xdr:row>50</xdr:row>
          <xdr:rowOff>180975</xdr:rowOff>
        </xdr:to>
        <xdr:sp macro="" textlink="">
          <xdr:nvSpPr>
            <xdr:cNvPr id="1093" name="Drop Down 69" hidden="1">
              <a:extLst>
                <a:ext uri="{63B3BB69-23CF-44E3-9099-C40C66FF867C}">
                  <a14:compatExt spid="_x0000_s1093"/>
                </a:ext>
                <a:ext uri="{FF2B5EF4-FFF2-40B4-BE49-F238E27FC236}">
                  <a16:creationId xmlns:a16="http://schemas.microsoft.com/office/drawing/2014/main" id="{00000000-0008-0000-0300-00004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66675</xdr:colOff>
          <xdr:row>13</xdr:row>
          <xdr:rowOff>38100</xdr:rowOff>
        </xdr:from>
        <xdr:to>
          <xdr:col>0</xdr:col>
          <xdr:colOff>295275</xdr:colOff>
          <xdr:row>13</xdr:row>
          <xdr:rowOff>171450</xdr:rowOff>
        </xdr:to>
        <xdr:sp macro="" textlink="">
          <xdr:nvSpPr>
            <xdr:cNvPr id="110593" name="Check Box 1" hidden="1">
              <a:extLst>
                <a:ext uri="{63B3BB69-23CF-44E3-9099-C40C66FF867C}">
                  <a14:compatExt spid="_x0000_s110593"/>
                </a:ext>
                <a:ext uri="{FF2B5EF4-FFF2-40B4-BE49-F238E27FC236}">
                  <a16:creationId xmlns:a16="http://schemas.microsoft.com/office/drawing/2014/main" id="{00000000-0008-0000-0700-000001B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66675</xdr:colOff>
          <xdr:row>7</xdr:row>
          <xdr:rowOff>9525</xdr:rowOff>
        </xdr:from>
        <xdr:to>
          <xdr:col>0</xdr:col>
          <xdr:colOff>352425</xdr:colOff>
          <xdr:row>7</xdr:row>
          <xdr:rowOff>171450</xdr:rowOff>
        </xdr:to>
        <xdr:sp macro="" textlink="">
          <xdr:nvSpPr>
            <xdr:cNvPr id="116739" name="Check Box 3" hidden="1">
              <a:extLst>
                <a:ext uri="{63B3BB69-23CF-44E3-9099-C40C66FF867C}">
                  <a14:compatExt spid="_x0000_s116739"/>
                </a:ext>
                <a:ext uri="{FF2B5EF4-FFF2-40B4-BE49-F238E27FC236}">
                  <a16:creationId xmlns:a16="http://schemas.microsoft.com/office/drawing/2014/main" id="{00000000-0008-0000-0800-000003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180975</xdr:colOff>
          <xdr:row>9</xdr:row>
          <xdr:rowOff>142875</xdr:rowOff>
        </xdr:from>
        <xdr:to>
          <xdr:col>10</xdr:col>
          <xdr:colOff>1009650</xdr:colOff>
          <xdr:row>11</xdr:row>
          <xdr:rowOff>66675</xdr:rowOff>
        </xdr:to>
        <xdr:sp macro="" textlink="">
          <xdr:nvSpPr>
            <xdr:cNvPr id="9223" name="btnYears" hidden="1">
              <a:extLst>
                <a:ext uri="{63B3BB69-23CF-44E3-9099-C40C66FF867C}">
                  <a14:compatExt spid="_x0000_s9223"/>
                </a:ext>
                <a:ext uri="{FF2B5EF4-FFF2-40B4-BE49-F238E27FC236}">
                  <a16:creationId xmlns:a16="http://schemas.microsoft.com/office/drawing/2014/main" id="{00000000-0008-0000-0A00-000007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180975</xdr:colOff>
          <xdr:row>9</xdr:row>
          <xdr:rowOff>142875</xdr:rowOff>
        </xdr:from>
        <xdr:to>
          <xdr:col>10</xdr:col>
          <xdr:colOff>1009650</xdr:colOff>
          <xdr:row>11</xdr:row>
          <xdr:rowOff>66675</xdr:rowOff>
        </xdr:to>
        <xdr:sp macro="" textlink="">
          <xdr:nvSpPr>
            <xdr:cNvPr id="47107" name="btnYears" hidden="1">
              <a:extLst>
                <a:ext uri="{63B3BB69-23CF-44E3-9099-C40C66FF867C}">
                  <a14:compatExt spid="_x0000_s47107"/>
                </a:ext>
                <a:ext uri="{FF2B5EF4-FFF2-40B4-BE49-F238E27FC236}">
                  <a16:creationId xmlns:a16="http://schemas.microsoft.com/office/drawing/2014/main" id="{00000000-0008-0000-0B00-000003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180975</xdr:colOff>
          <xdr:row>9</xdr:row>
          <xdr:rowOff>142875</xdr:rowOff>
        </xdr:from>
        <xdr:to>
          <xdr:col>10</xdr:col>
          <xdr:colOff>1009650</xdr:colOff>
          <xdr:row>11</xdr:row>
          <xdr:rowOff>66675</xdr:rowOff>
        </xdr:to>
        <xdr:sp macro="" textlink="">
          <xdr:nvSpPr>
            <xdr:cNvPr id="49156" name="btnYears" hidden="1">
              <a:extLst>
                <a:ext uri="{63B3BB69-23CF-44E3-9099-C40C66FF867C}">
                  <a14:compatExt spid="_x0000_s49156"/>
                </a:ext>
                <a:ext uri="{FF2B5EF4-FFF2-40B4-BE49-F238E27FC236}">
                  <a16:creationId xmlns:a16="http://schemas.microsoft.com/office/drawing/2014/main" id="{00000000-0008-0000-0C00-000004C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180975</xdr:colOff>
          <xdr:row>9</xdr:row>
          <xdr:rowOff>142875</xdr:rowOff>
        </xdr:from>
        <xdr:to>
          <xdr:col>10</xdr:col>
          <xdr:colOff>1009650</xdr:colOff>
          <xdr:row>11</xdr:row>
          <xdr:rowOff>66675</xdr:rowOff>
        </xdr:to>
        <xdr:sp macro="" textlink="">
          <xdr:nvSpPr>
            <xdr:cNvPr id="50179" name="btnYears" hidden="1">
              <a:extLst>
                <a:ext uri="{63B3BB69-23CF-44E3-9099-C40C66FF867C}">
                  <a14:compatExt spid="_x0000_s50179"/>
                </a:ext>
                <a:ext uri="{FF2B5EF4-FFF2-40B4-BE49-F238E27FC236}">
                  <a16:creationId xmlns:a16="http://schemas.microsoft.com/office/drawing/2014/main" id="{00000000-0008-0000-0D00-000003C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180975</xdr:colOff>
          <xdr:row>9</xdr:row>
          <xdr:rowOff>142875</xdr:rowOff>
        </xdr:from>
        <xdr:to>
          <xdr:col>10</xdr:col>
          <xdr:colOff>1009650</xdr:colOff>
          <xdr:row>11</xdr:row>
          <xdr:rowOff>66675</xdr:rowOff>
        </xdr:to>
        <xdr:sp macro="" textlink="">
          <xdr:nvSpPr>
            <xdr:cNvPr id="51203" name="btnYears" hidden="1">
              <a:extLst>
                <a:ext uri="{63B3BB69-23CF-44E3-9099-C40C66FF867C}">
                  <a14:compatExt spid="_x0000_s51203"/>
                </a:ext>
                <a:ext uri="{FF2B5EF4-FFF2-40B4-BE49-F238E27FC236}">
                  <a16:creationId xmlns:a16="http://schemas.microsoft.com/office/drawing/2014/main" id="{00000000-0008-0000-0E00-000003C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180975</xdr:colOff>
          <xdr:row>9</xdr:row>
          <xdr:rowOff>142875</xdr:rowOff>
        </xdr:from>
        <xdr:to>
          <xdr:col>10</xdr:col>
          <xdr:colOff>1009650</xdr:colOff>
          <xdr:row>11</xdr:row>
          <xdr:rowOff>66675</xdr:rowOff>
        </xdr:to>
        <xdr:sp macro="" textlink="">
          <xdr:nvSpPr>
            <xdr:cNvPr id="52227" name="btnYears" hidden="1">
              <a:extLst>
                <a:ext uri="{63B3BB69-23CF-44E3-9099-C40C66FF867C}">
                  <a14:compatExt spid="_x0000_s52227"/>
                </a:ext>
                <a:ext uri="{FF2B5EF4-FFF2-40B4-BE49-F238E27FC236}">
                  <a16:creationId xmlns:a16="http://schemas.microsoft.com/office/drawing/2014/main" id="{00000000-0008-0000-0F00-000003C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180975</xdr:colOff>
          <xdr:row>9</xdr:row>
          <xdr:rowOff>142875</xdr:rowOff>
        </xdr:from>
        <xdr:to>
          <xdr:col>10</xdr:col>
          <xdr:colOff>1009650</xdr:colOff>
          <xdr:row>11</xdr:row>
          <xdr:rowOff>66675</xdr:rowOff>
        </xdr:to>
        <xdr:sp macro="" textlink="">
          <xdr:nvSpPr>
            <xdr:cNvPr id="53251" name="btnYears" hidden="1">
              <a:extLst>
                <a:ext uri="{63B3BB69-23CF-44E3-9099-C40C66FF867C}">
                  <a14:compatExt spid="_x0000_s53251"/>
                </a:ext>
                <a:ext uri="{FF2B5EF4-FFF2-40B4-BE49-F238E27FC236}">
                  <a16:creationId xmlns:a16="http://schemas.microsoft.com/office/drawing/2014/main" id="{00000000-0008-0000-1000-000003D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Contract to three years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180975</xdr:colOff>
          <xdr:row>9</xdr:row>
          <xdr:rowOff>142875</xdr:rowOff>
        </xdr:from>
        <xdr:to>
          <xdr:col>10</xdr:col>
          <xdr:colOff>1009650</xdr:colOff>
          <xdr:row>11</xdr:row>
          <xdr:rowOff>66675</xdr:rowOff>
        </xdr:to>
        <xdr:sp macro="" textlink="">
          <xdr:nvSpPr>
            <xdr:cNvPr id="54275" name="btnYears" hidden="1">
              <a:extLst>
                <a:ext uri="{63B3BB69-23CF-44E3-9099-C40C66FF867C}">
                  <a14:compatExt spid="_x0000_s54275"/>
                </a:ext>
                <a:ext uri="{FF2B5EF4-FFF2-40B4-BE49-F238E27FC236}">
                  <a16:creationId xmlns:a16="http://schemas.microsoft.com/office/drawing/2014/main" id="{00000000-0008-0000-1100-000003D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180975</xdr:colOff>
          <xdr:row>9</xdr:row>
          <xdr:rowOff>142875</xdr:rowOff>
        </xdr:from>
        <xdr:to>
          <xdr:col>10</xdr:col>
          <xdr:colOff>1009650</xdr:colOff>
          <xdr:row>11</xdr:row>
          <xdr:rowOff>66675</xdr:rowOff>
        </xdr:to>
        <xdr:sp macro="" textlink="">
          <xdr:nvSpPr>
            <xdr:cNvPr id="55299" name="btnYears" hidden="1">
              <a:extLst>
                <a:ext uri="{63B3BB69-23CF-44E3-9099-C40C66FF867C}">
                  <a14:compatExt spid="_x0000_s55299"/>
                </a:ext>
                <a:ext uri="{FF2B5EF4-FFF2-40B4-BE49-F238E27FC236}">
                  <a16:creationId xmlns:a16="http://schemas.microsoft.com/office/drawing/2014/main" id="{00000000-0008-0000-1200-000003D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200025</xdr:colOff>
          <xdr:row>9</xdr:row>
          <xdr:rowOff>152400</xdr:rowOff>
        </xdr:from>
        <xdr:to>
          <xdr:col>10</xdr:col>
          <xdr:colOff>1028700</xdr:colOff>
          <xdr:row>11</xdr:row>
          <xdr:rowOff>76200</xdr:rowOff>
        </xdr:to>
        <xdr:sp macro="" textlink="">
          <xdr:nvSpPr>
            <xdr:cNvPr id="99329" name="btnYears" hidden="1">
              <a:extLst>
                <a:ext uri="{63B3BB69-23CF-44E3-9099-C40C66FF867C}">
                  <a14:compatExt spid="_x0000_s99329"/>
                </a:ext>
                <a:ext uri="{FF2B5EF4-FFF2-40B4-BE49-F238E27FC236}">
                  <a16:creationId xmlns:a16="http://schemas.microsoft.com/office/drawing/2014/main" id="{00000000-0008-0000-1300-0000018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733425</xdr:colOff>
          <xdr:row>8</xdr:row>
          <xdr:rowOff>0</xdr:rowOff>
        </xdr:to>
        <xdr:sp macro="" textlink="">
          <xdr:nvSpPr>
            <xdr:cNvPr id="27675" name="btnYears" hidden="1">
              <a:extLst>
                <a:ext uri="{63B3BB69-23CF-44E3-9099-C40C66FF867C}">
                  <a14:compatExt spid="_x0000_s27675"/>
                </a:ext>
                <a:ext uri="{FF2B5EF4-FFF2-40B4-BE49-F238E27FC236}">
                  <a16:creationId xmlns:a16="http://schemas.microsoft.com/office/drawing/2014/main" id="{00000000-0008-0000-1400-00001B6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733425</xdr:colOff>
          <xdr:row>8</xdr:row>
          <xdr:rowOff>0</xdr:rowOff>
        </xdr:to>
        <xdr:sp macro="" textlink="">
          <xdr:nvSpPr>
            <xdr:cNvPr id="57349" name="btnYears" hidden="1">
              <a:extLst>
                <a:ext uri="{63B3BB69-23CF-44E3-9099-C40C66FF867C}">
                  <a14:compatExt spid="_x0000_s57349"/>
                </a:ext>
                <a:ext uri="{FF2B5EF4-FFF2-40B4-BE49-F238E27FC236}">
                  <a16:creationId xmlns:a16="http://schemas.microsoft.com/office/drawing/2014/main" id="{00000000-0008-0000-1500-000005E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733425</xdr:colOff>
          <xdr:row>8</xdr:row>
          <xdr:rowOff>0</xdr:rowOff>
        </xdr:to>
        <xdr:sp macro="" textlink="">
          <xdr:nvSpPr>
            <xdr:cNvPr id="60419" name="btnYears" hidden="1">
              <a:extLst>
                <a:ext uri="{63B3BB69-23CF-44E3-9099-C40C66FF867C}">
                  <a14:compatExt spid="_x0000_s60419"/>
                </a:ext>
                <a:ext uri="{FF2B5EF4-FFF2-40B4-BE49-F238E27FC236}">
                  <a16:creationId xmlns:a16="http://schemas.microsoft.com/office/drawing/2014/main" id="{00000000-0008-0000-1600-000003E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733425</xdr:colOff>
          <xdr:row>8</xdr:row>
          <xdr:rowOff>0</xdr:rowOff>
        </xdr:to>
        <xdr:sp macro="" textlink="">
          <xdr:nvSpPr>
            <xdr:cNvPr id="61443" name="btnYears" hidden="1">
              <a:extLst>
                <a:ext uri="{63B3BB69-23CF-44E3-9099-C40C66FF867C}">
                  <a14:compatExt spid="_x0000_s61443"/>
                </a:ext>
                <a:ext uri="{FF2B5EF4-FFF2-40B4-BE49-F238E27FC236}">
                  <a16:creationId xmlns:a16="http://schemas.microsoft.com/office/drawing/2014/main" id="{00000000-0008-0000-1700-000003F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733425</xdr:colOff>
          <xdr:row>8</xdr:row>
          <xdr:rowOff>0</xdr:rowOff>
        </xdr:to>
        <xdr:sp macro="" textlink="">
          <xdr:nvSpPr>
            <xdr:cNvPr id="62467" name="btnYears" hidden="1">
              <a:extLst>
                <a:ext uri="{63B3BB69-23CF-44E3-9099-C40C66FF867C}">
                  <a14:compatExt spid="_x0000_s62467"/>
                </a:ext>
                <a:ext uri="{FF2B5EF4-FFF2-40B4-BE49-F238E27FC236}">
                  <a16:creationId xmlns:a16="http://schemas.microsoft.com/office/drawing/2014/main" id="{00000000-0008-0000-1800-000003F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733425</xdr:colOff>
          <xdr:row>8</xdr:row>
          <xdr:rowOff>0</xdr:rowOff>
        </xdr:to>
        <xdr:sp macro="" textlink="">
          <xdr:nvSpPr>
            <xdr:cNvPr id="63491" name="btnYears" hidden="1">
              <a:extLst>
                <a:ext uri="{63B3BB69-23CF-44E3-9099-C40C66FF867C}">
                  <a14:compatExt spid="_x0000_s63491"/>
                </a:ext>
                <a:ext uri="{FF2B5EF4-FFF2-40B4-BE49-F238E27FC236}">
                  <a16:creationId xmlns:a16="http://schemas.microsoft.com/office/drawing/2014/main" id="{00000000-0008-0000-1900-000003F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733425</xdr:colOff>
          <xdr:row>8</xdr:row>
          <xdr:rowOff>0</xdr:rowOff>
        </xdr:to>
        <xdr:sp macro="" textlink="">
          <xdr:nvSpPr>
            <xdr:cNvPr id="76803" name="btnYears" hidden="1">
              <a:extLst>
                <a:ext uri="{63B3BB69-23CF-44E3-9099-C40C66FF867C}">
                  <a14:compatExt spid="_x0000_s76803"/>
                </a:ext>
                <a:ext uri="{FF2B5EF4-FFF2-40B4-BE49-F238E27FC236}">
                  <a16:creationId xmlns:a16="http://schemas.microsoft.com/office/drawing/2014/main" id="{00000000-0008-0000-1A00-0000032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Contract to three years</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733425</xdr:colOff>
          <xdr:row>8</xdr:row>
          <xdr:rowOff>0</xdr:rowOff>
        </xdr:to>
        <xdr:sp macro="" textlink="">
          <xdr:nvSpPr>
            <xdr:cNvPr id="77827" name="btnYears" hidden="1">
              <a:extLst>
                <a:ext uri="{63B3BB69-23CF-44E3-9099-C40C66FF867C}">
                  <a14:compatExt spid="_x0000_s77827"/>
                </a:ext>
                <a:ext uri="{FF2B5EF4-FFF2-40B4-BE49-F238E27FC236}">
                  <a16:creationId xmlns:a16="http://schemas.microsoft.com/office/drawing/2014/main" id="{00000000-0008-0000-1B00-0000033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733425</xdr:colOff>
          <xdr:row>8</xdr:row>
          <xdr:rowOff>0</xdr:rowOff>
        </xdr:to>
        <xdr:sp macro="" textlink="">
          <xdr:nvSpPr>
            <xdr:cNvPr id="78851" name="btnYears" hidden="1">
              <a:extLst>
                <a:ext uri="{63B3BB69-23CF-44E3-9099-C40C66FF867C}">
                  <a14:compatExt spid="_x0000_s78851"/>
                </a:ext>
                <a:ext uri="{FF2B5EF4-FFF2-40B4-BE49-F238E27FC236}">
                  <a16:creationId xmlns:a16="http://schemas.microsoft.com/office/drawing/2014/main" id="{00000000-0008-0000-1C00-0000033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733425</xdr:colOff>
          <xdr:row>8</xdr:row>
          <xdr:rowOff>0</xdr:rowOff>
        </xdr:to>
        <xdr:sp macro="" textlink="">
          <xdr:nvSpPr>
            <xdr:cNvPr id="79875" name="btnYears" hidden="1">
              <a:extLst>
                <a:ext uri="{63B3BB69-23CF-44E3-9099-C40C66FF867C}">
                  <a14:compatExt spid="_x0000_s79875"/>
                </a:ext>
                <a:ext uri="{FF2B5EF4-FFF2-40B4-BE49-F238E27FC236}">
                  <a16:creationId xmlns:a16="http://schemas.microsoft.com/office/drawing/2014/main" id="{00000000-0008-0000-1D00-0000033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www.insurance.ca.gov/0250-insurers/0800-rate-filings/0200-prior-approval-factors/upload/bondYields.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Opr.statefarm.org\dfs\PCACT\00\WORKGROUP\P-C%20ACTUARIAL\AUTO\STATE%20FILES\California\CDI%20Indications\2021\Template%20Updater%202021-4Q.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atest"/>
      <sheetName val="Feb2023"/>
      <sheetName val="Jan2023"/>
      <sheetName val="Dec2022"/>
      <sheetName val="Nov2022"/>
      <sheetName val="Oct2022"/>
      <sheetName val="Sep2022"/>
      <sheetName val="Aug2022"/>
      <sheetName val="Jul2022"/>
      <sheetName val="Jun2022"/>
      <sheetName val="May2022"/>
      <sheetName val="Apr2022"/>
      <sheetName val="Mar2022"/>
      <sheetName val="Feb2022"/>
      <sheetName val="Jan2022"/>
      <sheetName val="Dec2021"/>
      <sheetName val="Nov2021"/>
      <sheetName val="Oct2021"/>
      <sheetName val="Sep2021"/>
      <sheetName val="Aug2021"/>
      <sheetName val="Jul2021"/>
      <sheetName val="Jun2021"/>
      <sheetName val="May2021"/>
      <sheetName val="Apr2021"/>
      <sheetName val="Mar2021"/>
      <sheetName val="Feb2021"/>
      <sheetName val="Jan2021"/>
      <sheetName val="Dec2020"/>
      <sheetName val="Nov2020"/>
      <sheetName val="Oct2020"/>
      <sheetName val="Sep2020"/>
      <sheetName val="Aug2020"/>
      <sheetName val="Jul2020"/>
      <sheetName val="Jun2020"/>
      <sheetName val="May2020"/>
      <sheetName val="Apr2020"/>
      <sheetName val="Mar2020"/>
      <sheetName val="Feb2020"/>
      <sheetName val="Jan2020"/>
      <sheetName val="Dec2019"/>
      <sheetName val="Nov2019"/>
      <sheetName val="Oct2019"/>
      <sheetName val="Sep2019"/>
      <sheetName val="Aug2019"/>
      <sheetName val="Jul2019"/>
      <sheetName val="Jun2019"/>
      <sheetName val="May2019"/>
      <sheetName val="Apr2019"/>
      <sheetName val="Mar2019"/>
      <sheetName val="Feb2019"/>
      <sheetName val="Jan2019"/>
      <sheetName val="Dec2018"/>
      <sheetName val="Nov2018"/>
      <sheetName val="Oct2018"/>
      <sheetName val="Sep2018"/>
      <sheetName val="Aug2018"/>
      <sheetName val="Jul2018"/>
      <sheetName val="Jun2018"/>
      <sheetName val="May2018"/>
      <sheetName val="Apr2018"/>
      <sheetName val="Mar2018"/>
      <sheetName val="Feb2018_TaxReform"/>
      <sheetName val="Feb2018"/>
      <sheetName val="Jan2018_TaxReform"/>
      <sheetName val="Jan2018"/>
      <sheetName val="Dec2017"/>
      <sheetName val="Nov2017"/>
      <sheetName val="Oct2017"/>
      <sheetName val="Sep2017"/>
      <sheetName val="Aug2017"/>
      <sheetName val="Jul2017"/>
      <sheetName val="Jun2017"/>
      <sheetName val="May2017"/>
      <sheetName val="Apr2017"/>
      <sheetName val="Mar2017"/>
      <sheetName val="Feb2017"/>
      <sheetName val="Jan2017"/>
      <sheetName val="Dec2016"/>
      <sheetName val="Nov2016"/>
      <sheetName val="Oct2016"/>
      <sheetName val="Sep2016"/>
      <sheetName val="Aug2016"/>
      <sheetName val="Jul2016"/>
      <sheetName val="Jun2016"/>
      <sheetName val="May2016"/>
      <sheetName val="Apr2016"/>
      <sheetName val="Mar2016"/>
      <sheetName val="Feb2016"/>
      <sheetName val="Jan2016"/>
      <sheetName val="Dec2015"/>
      <sheetName val="Nov2015"/>
      <sheetName val="Oct2015"/>
      <sheetName val="Sep2015"/>
      <sheetName val="Aug2015"/>
      <sheetName val="Jul2015"/>
      <sheetName val="Jun2015"/>
      <sheetName val="May2015"/>
      <sheetName val="Apr2015"/>
      <sheetName val="Mar2015"/>
      <sheetName val="Feb2015"/>
      <sheetName val="Jan2015"/>
      <sheetName val="Dec2014"/>
      <sheetName val="Nov2014"/>
      <sheetName val="Oct2014"/>
      <sheetName val="Sep2014"/>
      <sheetName val="Aug2014"/>
      <sheetName val="Jul2014"/>
      <sheetName val="Jun2014"/>
      <sheetName val="May2014"/>
      <sheetName val="Apr2014"/>
      <sheetName val="Mar2014"/>
      <sheetName val="Feb2014"/>
      <sheetName val="Jan2014"/>
      <sheetName val="Dec2013"/>
      <sheetName val="Nov2013"/>
      <sheetName val="Oct2013"/>
      <sheetName val="Sep2013"/>
      <sheetName val="Aug2013"/>
      <sheetName val="Jul2013"/>
      <sheetName val="Jun2013"/>
      <sheetName val="May2013"/>
      <sheetName val="Apr2013"/>
      <sheetName val="Mar2013"/>
      <sheetName val="Feb2013"/>
      <sheetName val="Jan2013"/>
      <sheetName val="Dec2012"/>
      <sheetName val="Nov2012"/>
      <sheetName val="Oct2012"/>
      <sheetName val="Sep2012"/>
      <sheetName val="Aug2012"/>
      <sheetName val="Jul2012"/>
      <sheetName val="Jun2012"/>
      <sheetName val="May2012"/>
      <sheetName val="Apr2012"/>
      <sheetName val="Mar2012"/>
      <sheetName val="Feb2012"/>
      <sheetName val="Jan2012"/>
      <sheetName val="Dec2011"/>
      <sheetName val="Nov2011"/>
      <sheetName val="Oct2011"/>
      <sheetName val="Sep2011"/>
      <sheetName val="Aug2011"/>
      <sheetName val="Jul2011"/>
      <sheetName val="Jun2011"/>
      <sheetName val="May2011"/>
      <sheetName val="Apr2011"/>
      <sheetName val="Mar2011"/>
      <sheetName val="Feb2011"/>
      <sheetName val="Jan2011"/>
      <sheetName val="Dec2010"/>
      <sheetName val="Nov2010"/>
      <sheetName val="Oct2010"/>
      <sheetName val="Sep2010"/>
      <sheetName val="Aug2010"/>
      <sheetName val="Jul2010"/>
      <sheetName val="Jun2010"/>
      <sheetName val="May2010"/>
      <sheetName val="Apr2010"/>
      <sheetName val="Mar2010"/>
      <sheetName val="Feb2010"/>
      <sheetName val="Jan2010"/>
      <sheetName val="Dec2009"/>
      <sheetName val="Nov2009"/>
      <sheetName val="Oct2009"/>
      <sheetName val="Sep2009"/>
      <sheetName val="Aug2009"/>
      <sheetName val="Jul2009"/>
      <sheetName val="Jun2009"/>
      <sheetName val="May2009"/>
      <sheetName val="Apr2009"/>
      <sheetName val="Mar2009"/>
      <sheetName val="Feb2009"/>
      <sheetName val="Jan2009"/>
      <sheetName val="Dec2008"/>
      <sheetName val="Nov2008"/>
      <sheetName val="Oct2008"/>
      <sheetName val="Sep2008"/>
      <sheetName val="Aug2008"/>
      <sheetName val="Jul2008"/>
      <sheetName val="Jun2008"/>
      <sheetName val="May2008"/>
      <sheetName val="Apr2008"/>
      <sheetName val="Mar2008"/>
      <sheetName val="Feb2008"/>
      <sheetName val="Jan2008"/>
      <sheetName val="Dec2007"/>
      <sheetName val="Nov2007"/>
      <sheetName val="Oct2007"/>
      <sheetName val="Sep2007"/>
      <sheetName val="Aug2007"/>
      <sheetName val="Jul2007"/>
      <sheetName val="Jun2007"/>
      <sheetName val="May2007"/>
      <sheetName val="Apr2007"/>
      <sheetName val="Mar2007"/>
      <sheetName val="BondYields"/>
      <sheetName val="source"/>
      <sheetName val="federal reserve"/>
      <sheetName val="corporate_municipal"/>
      <sheetName val="gms_tdameritrade"/>
      <sheetName val="gms_vs_tdameritrad"/>
      <sheetName val="ibbotson_morningstar_duffphelps"/>
      <sheetName val="fed_reserve"/>
      <sheetName val="Analyst Use Only"/>
      <sheetName val="federal reserve_1"/>
      <sheetName val="federal reserve (2)"/>
      <sheetName val="new_tax"/>
      <sheetName val="ibbotson_morning star"/>
      <sheetName val="valu_bond"/>
      <sheetName val="ibbotson"/>
      <sheetName val="Sheet1"/>
      <sheetName val="July 2012"/>
      <sheetName val="Sep"/>
      <sheetName val="JLatest"/>
      <sheetName val="JuLatest"/>
      <sheetName val="JunLatest"/>
      <sheetName val="JuneLatest"/>
      <sheetName val="June2Latest"/>
      <sheetName val="June20Latest"/>
      <sheetName val="June201Latest"/>
      <sheetName val="June2011Latest"/>
      <sheetName val="June2011atest"/>
      <sheetName val="June2011test"/>
      <sheetName val="June2011est"/>
      <sheetName val="June2011st"/>
      <sheetName val="June2011t"/>
      <sheetName val="June2011"/>
      <sheetName val="LJun2011"/>
      <sheetName val="LaJun2011"/>
    </sheetNames>
    <sheetDataSet>
      <sheetData sheetId="0">
        <row r="1">
          <cell r="A1" t="str">
            <v>February 2023</v>
          </cell>
        </row>
      </sheetData>
      <sheetData sheetId="1"/>
      <sheetData sheetId="2"/>
      <sheetData sheetId="3"/>
      <sheetData sheetId="4"/>
      <sheetData sheetId="5"/>
      <sheetData sheetId="6"/>
      <sheetData sheetId="7"/>
      <sheetData sheetId="8"/>
      <sheetData sheetId="9">
        <row r="6">
          <cell r="E6">
            <v>2.2799999999999997E-2</v>
          </cell>
        </row>
        <row r="10">
          <cell r="E10">
            <v>1.0966666666666666E-2</v>
          </cell>
        </row>
        <row r="11">
          <cell r="E11">
            <v>2.9300000000000003E-2</v>
          </cell>
        </row>
        <row r="12">
          <cell r="E12">
            <v>3.2433333333333335E-2</v>
          </cell>
        </row>
        <row r="14">
          <cell r="E14">
            <v>1.3699999999999999E-2</v>
          </cell>
        </row>
        <row r="15">
          <cell r="E15">
            <v>3.877761904761904E-2</v>
          </cell>
        </row>
        <row r="16">
          <cell r="E16">
            <v>4.4024880952380947E-2</v>
          </cell>
        </row>
        <row r="19">
          <cell r="E19">
            <v>2.8719503968253967E-2</v>
          </cell>
        </row>
        <row r="20">
          <cell r="E20">
            <v>3.5211448412698416E-2</v>
          </cell>
        </row>
        <row r="23">
          <cell r="E23">
            <v>2.1459999999999996E-2</v>
          </cell>
        </row>
        <row r="24">
          <cell r="E24">
            <v>8.134000000000001E-2</v>
          </cell>
        </row>
        <row r="25">
          <cell r="E25">
            <v>5.3870317460317459E-2</v>
          </cell>
        </row>
        <row r="26">
          <cell r="E26">
            <v>4.4024880952380947E-2</v>
          </cell>
        </row>
        <row r="27">
          <cell r="E27">
            <v>4.2799999999999998E-2</v>
          </cell>
        </row>
        <row r="28">
          <cell r="E28">
            <v>1.0966666666666666E-2</v>
          </cell>
        </row>
        <row r="30">
          <cell r="E30">
            <v>2.1459999999999996E-2</v>
          </cell>
        </row>
        <row r="31">
          <cell r="E31">
            <v>8.134000000000001E-2</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ocess"/>
      <sheetName val="Inputs"/>
      <sheetName val="Rate History"/>
      <sheetName val="MiscL Complement"/>
      <sheetName val="PremiumTrend - 5"/>
      <sheetName val="PremExpo SQL"/>
      <sheetName val="LossDev - 7"/>
      <sheetName val="LossDev SQL"/>
      <sheetName val="LossDev Data"/>
      <sheetName val="Loss Trends - 8"/>
      <sheetName val="Loss Trend SQL"/>
      <sheetName val="2nd Sev SQL"/>
      <sheetName val="Selections Dashboard"/>
      <sheetName val="Sheet4"/>
      <sheetName val="Ind. Calc."/>
      <sheetName val="CDI Rate Template"/>
      <sheetName val="8A Adjustment"/>
      <sheetName val="Exhibit 1"/>
      <sheetName val="Exhibit 2"/>
      <sheetName val="Exhibit 3"/>
      <sheetName val="Exhibit 4"/>
      <sheetName val="Exhibit 6"/>
      <sheetName val="Exhibit 9"/>
      <sheetName val="Exhibit 10"/>
      <sheetName val="Exhibit 11"/>
      <sheetName val="Exhibit 13 - 1A"/>
      <sheetName val="Exhibit 13 Supplemental"/>
      <sheetName val="Exhibit 13 Support pt1"/>
      <sheetName val="Exhibit 13 Support pt2"/>
      <sheetName val="Exhibit 13 2A"/>
      <sheetName val="Exhibit 15"/>
      <sheetName val="Exhibit 16"/>
      <sheetName val="Exhibit 17"/>
      <sheetName val="Exhibit 20"/>
      <sheetName val="App 4"/>
      <sheetName val="App 5"/>
      <sheetName val="App 6"/>
      <sheetName val="App 7"/>
      <sheetName val="RTF Info"/>
      <sheetName val="Output for Graph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www.insurance.ca.gov/0250-insurers/0800-rate-filings/"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7.xml"/><Relationship Id="rId13" Type="http://schemas.openxmlformats.org/officeDocument/2006/relationships/ctrlProp" Target="../ctrlProps/ctrlProp12.xml"/><Relationship Id="rId18" Type="http://schemas.openxmlformats.org/officeDocument/2006/relationships/ctrlProp" Target="../ctrlProps/ctrlProp17.xml"/><Relationship Id="rId3" Type="http://schemas.openxmlformats.org/officeDocument/2006/relationships/vmlDrawing" Target="../drawings/vmlDrawing3.vml"/><Relationship Id="rId21" Type="http://schemas.openxmlformats.org/officeDocument/2006/relationships/ctrlProp" Target="../ctrlProps/ctrlProp20.xml"/><Relationship Id="rId7" Type="http://schemas.openxmlformats.org/officeDocument/2006/relationships/ctrlProp" Target="../ctrlProps/ctrlProp6.xml"/><Relationship Id="rId12" Type="http://schemas.openxmlformats.org/officeDocument/2006/relationships/ctrlProp" Target="../ctrlProps/ctrlProp11.xml"/><Relationship Id="rId17" Type="http://schemas.openxmlformats.org/officeDocument/2006/relationships/ctrlProp" Target="../ctrlProps/ctrlProp16.xml"/><Relationship Id="rId2" Type="http://schemas.openxmlformats.org/officeDocument/2006/relationships/drawing" Target="../drawings/drawing2.xml"/><Relationship Id="rId16" Type="http://schemas.openxmlformats.org/officeDocument/2006/relationships/ctrlProp" Target="../ctrlProps/ctrlProp15.xml"/><Relationship Id="rId20" Type="http://schemas.openxmlformats.org/officeDocument/2006/relationships/ctrlProp" Target="../ctrlProps/ctrlProp19.xml"/><Relationship Id="rId1" Type="http://schemas.openxmlformats.org/officeDocument/2006/relationships/printerSettings" Target="../printerSettings/printerSettings4.bin"/><Relationship Id="rId6" Type="http://schemas.openxmlformats.org/officeDocument/2006/relationships/ctrlProp" Target="../ctrlProps/ctrlProp5.xml"/><Relationship Id="rId11" Type="http://schemas.openxmlformats.org/officeDocument/2006/relationships/ctrlProp" Target="../ctrlProps/ctrlProp10.xml"/><Relationship Id="rId24" Type="http://schemas.openxmlformats.org/officeDocument/2006/relationships/ctrlProp" Target="../ctrlProps/ctrlProp23.xml"/><Relationship Id="rId5" Type="http://schemas.openxmlformats.org/officeDocument/2006/relationships/image" Target="../media/image1.emf"/><Relationship Id="rId15" Type="http://schemas.openxmlformats.org/officeDocument/2006/relationships/ctrlProp" Target="../ctrlProps/ctrlProp14.xml"/><Relationship Id="rId23" Type="http://schemas.openxmlformats.org/officeDocument/2006/relationships/ctrlProp" Target="../ctrlProps/ctrlProp22.xml"/><Relationship Id="rId10" Type="http://schemas.openxmlformats.org/officeDocument/2006/relationships/ctrlProp" Target="../ctrlProps/ctrlProp9.xml"/><Relationship Id="rId19" Type="http://schemas.openxmlformats.org/officeDocument/2006/relationships/ctrlProp" Target="../ctrlProps/ctrlProp18.xml"/><Relationship Id="rId4" Type="http://schemas.openxmlformats.org/officeDocument/2006/relationships/control" Target="../activeX/activeX1.xml"/><Relationship Id="rId9" Type="http://schemas.openxmlformats.org/officeDocument/2006/relationships/ctrlProp" Target="../ctrlProps/ctrlProp8.xml"/><Relationship Id="rId14" Type="http://schemas.openxmlformats.org/officeDocument/2006/relationships/ctrlProp" Target="../ctrlProps/ctrlProp13.xml"/><Relationship Id="rId22" Type="http://schemas.openxmlformats.org/officeDocument/2006/relationships/ctrlProp" Target="../ctrlProps/ctrlProp2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www.insurance.ca.gov/0250-insurers/0800-rate-filings/0200-prior-approval-factors/" TargetMode="Externa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8.bin"/><Relationship Id="rId4" Type="http://schemas.openxmlformats.org/officeDocument/2006/relationships/ctrlProp" Target="../ctrlProps/ctrlProp2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9.bin"/><Relationship Id="rId4" Type="http://schemas.openxmlformats.org/officeDocument/2006/relationships/ctrlProp" Target="../ctrlProps/ctrlProp25.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11.bin"/><Relationship Id="rId4" Type="http://schemas.openxmlformats.org/officeDocument/2006/relationships/ctrlProp" Target="../ctrlProps/ctrlProp2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12.bin"/><Relationship Id="rId4" Type="http://schemas.openxmlformats.org/officeDocument/2006/relationships/ctrlProp" Target="../ctrlProps/ctrlProp2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13.bin"/><Relationship Id="rId4" Type="http://schemas.openxmlformats.org/officeDocument/2006/relationships/ctrlProp" Target="../ctrlProps/ctrlProp2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14.bin"/><Relationship Id="rId4" Type="http://schemas.openxmlformats.org/officeDocument/2006/relationships/ctrlProp" Target="../ctrlProps/ctrlProp29.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15.bin"/><Relationship Id="rId4" Type="http://schemas.openxmlformats.org/officeDocument/2006/relationships/ctrlProp" Target="../ctrlProps/ctrlProp30.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6.bin"/><Relationship Id="rId4" Type="http://schemas.openxmlformats.org/officeDocument/2006/relationships/ctrlProp" Target="../ctrlProps/ctrlProp31.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1.xml"/><Relationship Id="rId1" Type="http://schemas.openxmlformats.org/officeDocument/2006/relationships/printerSettings" Target="../printerSettings/printerSettings17.bin"/><Relationship Id="rId4" Type="http://schemas.openxmlformats.org/officeDocument/2006/relationships/ctrlProp" Target="../ctrlProps/ctrlProp32.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2.xml"/><Relationship Id="rId1" Type="http://schemas.openxmlformats.org/officeDocument/2006/relationships/printerSettings" Target="../printerSettings/printerSettings18.bin"/><Relationship Id="rId4" Type="http://schemas.openxmlformats.org/officeDocument/2006/relationships/ctrlProp" Target="../ctrlProps/ctrlProp33.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3.xml"/><Relationship Id="rId1" Type="http://schemas.openxmlformats.org/officeDocument/2006/relationships/printerSettings" Target="../printerSettings/printerSettings19.bin"/><Relationship Id="rId4" Type="http://schemas.openxmlformats.org/officeDocument/2006/relationships/ctrlProp" Target="../ctrlProps/ctrlProp34.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4.xml"/><Relationship Id="rId1" Type="http://schemas.openxmlformats.org/officeDocument/2006/relationships/printerSettings" Target="../printerSettings/printerSettings20.bin"/><Relationship Id="rId4" Type="http://schemas.openxmlformats.org/officeDocument/2006/relationships/ctrlProp" Target="../ctrlProps/ctrlProp35.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5.xml"/><Relationship Id="rId1" Type="http://schemas.openxmlformats.org/officeDocument/2006/relationships/printerSettings" Target="../printerSettings/printerSettings21.bin"/><Relationship Id="rId4" Type="http://schemas.openxmlformats.org/officeDocument/2006/relationships/ctrlProp" Target="../ctrlProps/ctrlProp36.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6.xml"/><Relationship Id="rId1" Type="http://schemas.openxmlformats.org/officeDocument/2006/relationships/printerSettings" Target="../printerSettings/printerSettings22.bin"/><Relationship Id="rId4" Type="http://schemas.openxmlformats.org/officeDocument/2006/relationships/ctrlProp" Target="../ctrlProps/ctrlProp37.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7.xml"/><Relationship Id="rId1" Type="http://schemas.openxmlformats.org/officeDocument/2006/relationships/printerSettings" Target="../printerSettings/printerSettings23.bin"/><Relationship Id="rId4" Type="http://schemas.openxmlformats.org/officeDocument/2006/relationships/ctrlProp" Target="../ctrlProps/ctrlProp38.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8.xml"/><Relationship Id="rId1" Type="http://schemas.openxmlformats.org/officeDocument/2006/relationships/printerSettings" Target="../printerSettings/printerSettings24.bin"/><Relationship Id="rId4" Type="http://schemas.openxmlformats.org/officeDocument/2006/relationships/ctrlProp" Target="../ctrlProps/ctrlProp39.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9.xml"/><Relationship Id="rId1" Type="http://schemas.openxmlformats.org/officeDocument/2006/relationships/printerSettings" Target="../printerSettings/printerSettings25.bin"/><Relationship Id="rId4" Type="http://schemas.openxmlformats.org/officeDocument/2006/relationships/ctrlProp" Target="../ctrlProps/ctrlProp40.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0.xml"/><Relationship Id="rId1" Type="http://schemas.openxmlformats.org/officeDocument/2006/relationships/printerSettings" Target="../printerSettings/printerSettings26.bin"/><Relationship Id="rId4" Type="http://schemas.openxmlformats.org/officeDocument/2006/relationships/ctrlProp" Target="../ctrlProps/ctrlProp41.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1.xml"/><Relationship Id="rId1" Type="http://schemas.openxmlformats.org/officeDocument/2006/relationships/printerSettings" Target="../printerSettings/printerSettings27.bin"/><Relationship Id="rId4" Type="http://schemas.openxmlformats.org/officeDocument/2006/relationships/ctrlProp" Target="../ctrlProps/ctrlProp42.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2.xml"/><Relationship Id="rId1" Type="http://schemas.openxmlformats.org/officeDocument/2006/relationships/printerSettings" Target="../printerSettings/printerSettings28.bin"/><Relationship Id="rId4" Type="http://schemas.openxmlformats.org/officeDocument/2006/relationships/ctrlProp" Target="../ctrlProps/ctrlProp43.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3.xml"/><Relationship Id="rId1" Type="http://schemas.openxmlformats.org/officeDocument/2006/relationships/printerSettings" Target="../printerSettings/printerSettings29.bin"/><Relationship Id="rId4" Type="http://schemas.openxmlformats.org/officeDocument/2006/relationships/ctrlProp" Target="../ctrlProps/ctrlProp44.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4.xml"/><Relationship Id="rId1" Type="http://schemas.openxmlformats.org/officeDocument/2006/relationships/printerSettings" Target="../printerSettings/printerSettings30.bin"/><Relationship Id="rId4" Type="http://schemas.openxmlformats.org/officeDocument/2006/relationships/ctrlProp" Target="../ctrlProps/ctrlProp45.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6.v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27.v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C000"/>
  </sheetPr>
  <dimension ref="A1:E106"/>
  <sheetViews>
    <sheetView showGridLines="0" view="pageBreakPreview" topLeftCell="A5" zoomScaleNormal="100" zoomScaleSheetLayoutView="100" workbookViewId="0">
      <selection activeCell="B10" sqref="B10"/>
    </sheetView>
  </sheetViews>
  <sheetFormatPr defaultRowHeight="15" x14ac:dyDescent="0.25"/>
  <cols>
    <col min="1" max="1" width="23.7109375" customWidth="1"/>
    <col min="2" max="2" width="71.42578125" customWidth="1"/>
    <col min="3" max="3" width="3.7109375" customWidth="1"/>
    <col min="4" max="4" width="20.7109375" customWidth="1"/>
    <col min="5" max="5" width="50.7109375" customWidth="1"/>
  </cols>
  <sheetData>
    <row r="1" spans="1:5" x14ac:dyDescent="0.25">
      <c r="A1" s="232" t="s">
        <v>129</v>
      </c>
      <c r="B1" s="84"/>
      <c r="C1" s="84"/>
      <c r="D1" s="84"/>
      <c r="E1" s="84"/>
    </row>
    <row r="2" spans="1:5" x14ac:dyDescent="0.25">
      <c r="A2" s="84"/>
      <c r="B2" s="84"/>
      <c r="C2" s="84"/>
      <c r="D2" s="84"/>
      <c r="E2" s="84"/>
    </row>
    <row r="3" spans="1:5" x14ac:dyDescent="0.25">
      <c r="A3" s="84" t="s">
        <v>283</v>
      </c>
      <c r="B3" s="84"/>
      <c r="C3" s="84"/>
      <c r="D3" s="84"/>
      <c r="E3" s="84"/>
    </row>
    <row r="4" spans="1:5" x14ac:dyDescent="0.25">
      <c r="A4" s="233"/>
      <c r="B4" s="84"/>
      <c r="C4" s="84"/>
      <c r="D4" s="84"/>
      <c r="E4" s="84"/>
    </row>
    <row r="5" spans="1:5" x14ac:dyDescent="0.25">
      <c r="A5" s="233" t="s">
        <v>340</v>
      </c>
      <c r="B5" s="84" t="s">
        <v>757</v>
      </c>
      <c r="C5" s="84"/>
      <c r="D5" s="84"/>
      <c r="E5" s="84"/>
    </row>
    <row r="6" spans="1:5" x14ac:dyDescent="0.25">
      <c r="A6" s="233"/>
      <c r="B6" s="84"/>
      <c r="C6" s="84"/>
      <c r="D6" s="84"/>
      <c r="E6" s="84"/>
    </row>
    <row r="7" spans="1:5" x14ac:dyDescent="0.25">
      <c r="A7" s="84" t="s">
        <v>284</v>
      </c>
      <c r="B7" s="84"/>
      <c r="C7" s="84"/>
      <c r="D7" s="84"/>
      <c r="E7" s="84"/>
    </row>
    <row r="8" spans="1:5" x14ac:dyDescent="0.25">
      <c r="A8" s="233"/>
      <c r="B8" s="84"/>
      <c r="C8" s="84"/>
      <c r="D8" s="84"/>
      <c r="E8" s="84"/>
    </row>
    <row r="9" spans="1:5" x14ac:dyDescent="0.25">
      <c r="A9" s="233"/>
      <c r="B9" s="84"/>
      <c r="C9" s="84"/>
      <c r="D9" s="84"/>
      <c r="E9" s="84"/>
    </row>
    <row r="10" spans="1:5" x14ac:dyDescent="0.25">
      <c r="A10" s="84" t="s">
        <v>35</v>
      </c>
      <c r="B10" s="234" t="s">
        <v>746</v>
      </c>
      <c r="C10" s="84"/>
      <c r="D10" s="84"/>
      <c r="E10" s="84"/>
    </row>
    <row r="11" spans="1:5" x14ac:dyDescent="0.25">
      <c r="A11" s="84" t="s">
        <v>279</v>
      </c>
      <c r="B11" s="235"/>
      <c r="C11" s="84"/>
      <c r="D11" s="84"/>
      <c r="E11" s="84"/>
    </row>
    <row r="12" spans="1:5" x14ac:dyDescent="0.25">
      <c r="A12" s="84"/>
      <c r="B12" s="235"/>
      <c r="C12" s="84"/>
      <c r="D12" s="84"/>
      <c r="E12" s="84"/>
    </row>
    <row r="13" spans="1:5" x14ac:dyDescent="0.25">
      <c r="A13" s="84" t="s">
        <v>161</v>
      </c>
      <c r="B13" s="235"/>
      <c r="C13" s="84"/>
      <c r="D13" s="84"/>
      <c r="E13" s="84"/>
    </row>
    <row r="14" spans="1:5" x14ac:dyDescent="0.25">
      <c r="A14" s="84"/>
      <c r="B14" s="235"/>
      <c r="C14" s="84"/>
      <c r="D14" s="84"/>
      <c r="E14" s="84"/>
    </row>
    <row r="15" spans="1:5" x14ac:dyDescent="0.25">
      <c r="A15" s="84" t="s">
        <v>286</v>
      </c>
      <c r="B15" s="235"/>
      <c r="C15" s="84"/>
      <c r="D15" s="84"/>
      <c r="E15" s="84"/>
    </row>
    <row r="16" spans="1:5" x14ac:dyDescent="0.25">
      <c r="A16" s="84" t="s">
        <v>287</v>
      </c>
      <c r="B16" s="235"/>
      <c r="C16" s="84"/>
      <c r="D16" s="84"/>
      <c r="E16" s="84"/>
    </row>
    <row r="17" spans="1:5" x14ac:dyDescent="0.25">
      <c r="A17" s="84"/>
      <c r="B17" s="235"/>
      <c r="C17" s="84"/>
      <c r="D17" s="84"/>
      <c r="E17" s="84"/>
    </row>
    <row r="18" spans="1:5" x14ac:dyDescent="0.25">
      <c r="A18" s="84"/>
      <c r="B18" s="235"/>
      <c r="C18" s="84"/>
      <c r="D18" s="84"/>
      <c r="E18" s="84"/>
    </row>
    <row r="19" spans="1:5" x14ac:dyDescent="0.25">
      <c r="A19" s="396" t="s">
        <v>288</v>
      </c>
      <c r="B19" s="397"/>
      <c r="C19" s="398"/>
      <c r="D19" s="398"/>
      <c r="E19" s="398"/>
    </row>
    <row r="20" spans="1:5" x14ac:dyDescent="0.25">
      <c r="A20" s="84" t="s">
        <v>30</v>
      </c>
      <c r="B20" s="203" t="str">
        <f>B10&amp;" Edition"</f>
        <v>01/11/2022 Edition</v>
      </c>
      <c r="C20" s="84"/>
      <c r="D20" s="84" t="s">
        <v>141</v>
      </c>
      <c r="E20" s="204" t="str">
        <f>IF(ISBLANK('1.General'!$C$10),"",'1.General'!$C$10)</f>
        <v/>
      </c>
    </row>
    <row r="21" spans="1:5" x14ac:dyDescent="0.25">
      <c r="A21" s="84" t="s">
        <v>28</v>
      </c>
      <c r="B21" s="204" t="str">
        <f>IF(ISBLANK('1.General'!$C$13),"",'1.General'!$C$13)</f>
        <v>State Farm Mutual Automobile Insurance Company</v>
      </c>
      <c r="C21" s="84"/>
      <c r="D21" s="84" t="s">
        <v>186</v>
      </c>
      <c r="E21" s="206" t="str">
        <f>IF(ISBLANK('1.General'!$C$8),"",'1.General'!$C$8)</f>
        <v>Laura Campbell</v>
      </c>
    </row>
    <row r="22" spans="1:5" x14ac:dyDescent="0.25">
      <c r="A22" s="84" t="s">
        <v>29</v>
      </c>
      <c r="B22" s="204" t="str">
        <f>INDEX(List_GeneralLine,References!$F$5,1)</f>
        <v>Auto Liability and Physical Damage</v>
      </c>
      <c r="C22" s="84"/>
      <c r="D22" s="84" t="s">
        <v>187</v>
      </c>
      <c r="E22" s="205">
        <f>IF(ISBLANK('1.General'!$F$8),"",'1.General'!$F$8)</f>
        <v>44816</v>
      </c>
    </row>
    <row r="23" spans="1:5" x14ac:dyDescent="0.25">
      <c r="A23" s="84" t="s">
        <v>165</v>
      </c>
      <c r="B23" s="405">
        <f>IFERROR('3.2YieldFIT'!$D$42,"")</f>
        <v>8.8050065696007235E-2</v>
      </c>
      <c r="C23" s="84"/>
      <c r="D23" s="84" t="s">
        <v>168</v>
      </c>
      <c r="E23" s="205">
        <f>IF(ISBLANK('1.General'!$D$23),"",'1.General'!$D$23)</f>
        <v>45061</v>
      </c>
    </row>
    <row r="24" spans="1:5" x14ac:dyDescent="0.25">
      <c r="A24" s="84" t="s">
        <v>166</v>
      </c>
      <c r="B24" s="405">
        <f>IFERROR('3.2YieldFIT'!$F$34,"")</f>
        <v>0.18752087399665437</v>
      </c>
      <c r="C24" s="84"/>
      <c r="D24" s="84" t="s">
        <v>380</v>
      </c>
      <c r="E24" s="206" t="b">
        <v>0</v>
      </c>
    </row>
    <row r="25" spans="1:5" x14ac:dyDescent="0.25">
      <c r="A25" s="84" t="s">
        <v>281</v>
      </c>
      <c r="B25" s="206" t="b">
        <v>0</v>
      </c>
      <c r="C25" s="84"/>
      <c r="D25" s="84" t="s">
        <v>614</v>
      </c>
      <c r="E25" s="206" t="b">
        <f ca="1">IF(OR(RIGHT(Detailed_LineCode01)="R",RIGHT(Detailed_LineCode02)="R",RIGHT(Detailed_LineCode03)="R",RIGHT(Detailed_LineCode04)="R",RIGHT(Detailed_LineCode05)="R",RIGHT(Detailed_LineCode06)="R",RIGHT(Detailed_LineCode07)="R",RIGHT(Detailed_LineCode08)="R",RIGHT(Detailed_LineCode09)="R",RIGHT(Detailed_LineCode10)="R"),TRUE,FALSE)</f>
        <v>0</v>
      </c>
    </row>
    <row r="26" spans="1:5" x14ac:dyDescent="0.25">
      <c r="A26" s="84" t="s">
        <v>185</v>
      </c>
      <c r="B26" s="405">
        <f>IFERROR('4.2Excluded Exp'!$E$20,0)</f>
        <v>1.3597266477453115E-2</v>
      </c>
      <c r="C26" s="84"/>
      <c r="D26" s="84" t="s">
        <v>742</v>
      </c>
      <c r="E26" s="206">
        <f>IF(ISBLANK('1.General'!$F$10),"",'1.General'!$F$10)</f>
        <v>44819</v>
      </c>
    </row>
    <row r="27" spans="1:5" x14ac:dyDescent="0.25">
      <c r="A27" s="530"/>
      <c r="B27" s="531"/>
      <c r="C27" s="84"/>
      <c r="D27" s="84"/>
      <c r="E27" s="206"/>
    </row>
    <row r="28" spans="1:5" x14ac:dyDescent="0.25">
      <c r="A28" s="84"/>
      <c r="B28" s="204"/>
      <c r="C28" s="84"/>
      <c r="D28" s="84"/>
      <c r="E28" s="84"/>
    </row>
    <row r="29" spans="1:5" x14ac:dyDescent="0.25">
      <c r="A29" s="410" t="s">
        <v>590</v>
      </c>
      <c r="B29" s="204"/>
      <c r="C29" s="84"/>
      <c r="D29" s="410" t="s">
        <v>589</v>
      </c>
      <c r="E29" s="84"/>
    </row>
    <row r="30" spans="1:5" x14ac:dyDescent="0.25">
      <c r="A30" s="84" t="s">
        <v>346</v>
      </c>
      <c r="B30" s="204" t="str">
        <f>IF(Covg01="","",INDEX(List_DetailLine,'1.General'!$A34,1))</f>
        <v>Private Passenger Auto Liability</v>
      </c>
      <c r="C30" s="84"/>
      <c r="D30" s="84" t="s">
        <v>347</v>
      </c>
      <c r="E30" s="204">
        <f ca="1">IF(OR(Covg01="",ISERR(Detailed_LineDesc01)),"",VLOOKUP($B30,List_DetailLine,2,FALSE))</f>
        <v>19.2</v>
      </c>
    </row>
    <row r="31" spans="1:5" x14ac:dyDescent="0.25">
      <c r="A31" s="84" t="s">
        <v>348</v>
      </c>
      <c r="B31" s="204" t="str">
        <f>IF(Covg02="","",INDEX(List_DetailLine,'1.General'!$A35,1))</f>
        <v>Private Passenger Auto Liability</v>
      </c>
      <c r="C31" s="84"/>
      <c r="D31" s="84" t="s">
        <v>349</v>
      </c>
      <c r="E31" s="204">
        <f ca="1">IF(OR(Covg02="",ISERR(Detailed_LineDesc02)),"",VLOOKUP($B31,List_DetailLine,2,FALSE))</f>
        <v>19.2</v>
      </c>
    </row>
    <row r="32" spans="1:5" x14ac:dyDescent="0.25">
      <c r="A32" s="84" t="s">
        <v>357</v>
      </c>
      <c r="B32" s="204" t="str">
        <f>IF(Covg03="","",INDEX(List_DetailLine,'1.General'!$A36,1))</f>
        <v>Private Passenger Auto Liability</v>
      </c>
      <c r="C32" s="84"/>
      <c r="D32" s="84" t="s">
        <v>350</v>
      </c>
      <c r="E32" s="204">
        <f ca="1">IF(OR(Covg03="",ISERR(Detailed_LineDesc03)),"",VLOOKUP($B32,List_DetailLine,2,FALSE))</f>
        <v>19.2</v>
      </c>
    </row>
    <row r="33" spans="1:5" x14ac:dyDescent="0.25">
      <c r="A33" s="84" t="s">
        <v>358</v>
      </c>
      <c r="B33" s="204" t="str">
        <f>IF(Covg04="","",INDEX(List_DetailLine,'1.General'!$A37,1))</f>
        <v>Private Passenger Auto Physical Damage</v>
      </c>
      <c r="C33" s="84"/>
      <c r="D33" s="84" t="s">
        <v>351</v>
      </c>
      <c r="E33" s="204">
        <f ca="1">IF(OR(Covg04="",ISERR(Detailed_LineDesc03)),"",VLOOKUP($B33,List_DetailLine,2,FALSE))</f>
        <v>21.1</v>
      </c>
    </row>
    <row r="34" spans="1:5" x14ac:dyDescent="0.25">
      <c r="A34" s="84" t="s">
        <v>359</v>
      </c>
      <c r="B34" s="204" t="str">
        <f>IF(Covg05="","",INDEX(List_DetailLine,'1.General'!$A38,1))</f>
        <v>Private Passenger Auto Physical Damage</v>
      </c>
      <c r="C34" s="84"/>
      <c r="D34" s="84" t="s">
        <v>352</v>
      </c>
      <c r="E34" s="204">
        <f ca="1">IF(OR(Covg05="",ISERR(Detailed_LineDesc05)),"",VLOOKUP($B34,List_DetailLine,2,FALSE))</f>
        <v>21.1</v>
      </c>
    </row>
    <row r="35" spans="1:5" x14ac:dyDescent="0.25">
      <c r="A35" s="84" t="s">
        <v>360</v>
      </c>
      <c r="B35" s="204" t="str">
        <f>IF(Covg06="","",INDEX(List_DetailLine,'1.General'!$A39,1))</f>
        <v>Private Passenger Auto Physical Damage</v>
      </c>
      <c r="C35" s="84"/>
      <c r="D35" s="84" t="s">
        <v>353</v>
      </c>
      <c r="E35" s="204">
        <f ca="1">IF(OR(Covg06="",ISERR(Detailed_LineDesc06)),"",VLOOKUP($B35,List_DetailLine,2,FALSE))</f>
        <v>21.1</v>
      </c>
    </row>
    <row r="36" spans="1:5" x14ac:dyDescent="0.25">
      <c r="A36" s="84" t="s">
        <v>361</v>
      </c>
      <c r="B36" s="204" t="str">
        <f>IF(Covg07="","",INDEX(List_DetailLine,'1.General'!$A40,1))</f>
        <v>Private Passenger Auto Liability</v>
      </c>
      <c r="C36" s="84"/>
      <c r="D36" s="84" t="s">
        <v>354</v>
      </c>
      <c r="E36" s="204">
        <f ca="1">IF(OR(Covg07="",ISERR(Detailed_LineDesc07)),"",VLOOKUP($B36,List_DetailLine,2,FALSE))</f>
        <v>19.2</v>
      </c>
    </row>
    <row r="37" spans="1:5" x14ac:dyDescent="0.25">
      <c r="A37" s="84" t="s">
        <v>362</v>
      </c>
      <c r="B37" s="204" t="str">
        <f>IF(Covg08="","",INDEX(List_DetailLine,'1.General'!$A41,1))</f>
        <v/>
      </c>
      <c r="C37" s="84"/>
      <c r="D37" s="84" t="s">
        <v>355</v>
      </c>
      <c r="E37" s="204" t="str">
        <f>IF(OR(Covg08="",ISERR(Detailed_LineDesc08)),"",VLOOKUP($B37,List_DetailLine,2,FALSE))</f>
        <v/>
      </c>
    </row>
    <row r="38" spans="1:5" x14ac:dyDescent="0.25">
      <c r="A38" s="84" t="s">
        <v>363</v>
      </c>
      <c r="B38" s="204" t="str">
        <f>IF(Covg09="","",INDEX(List_DetailLine,'1.General'!$A42,1))</f>
        <v/>
      </c>
      <c r="C38" s="84"/>
      <c r="D38" s="84" t="s">
        <v>356</v>
      </c>
      <c r="E38" s="204" t="str">
        <f>IF(OR(Covg09="",ISERR(Detailed_LineDesc09)),"",VLOOKUP($B38,List_DetailLine,2,FALSE))</f>
        <v/>
      </c>
    </row>
    <row r="39" spans="1:5" x14ac:dyDescent="0.25">
      <c r="A39" s="84" t="s">
        <v>344</v>
      </c>
      <c r="B39" s="204" t="str">
        <f>IF(Covg10="","",INDEX(List_DetailLine,'1.General'!$A43,1))</f>
        <v/>
      </c>
      <c r="C39" s="84"/>
      <c r="D39" s="84" t="s">
        <v>345</v>
      </c>
      <c r="E39" s="204" t="str">
        <f>IF(OR(Covg10="",ISERR(Detailed_LineDesc10)),"",VLOOKUP($B39,List_DetailLine,2,FALSE))</f>
        <v/>
      </c>
    </row>
    <row r="40" spans="1:5" x14ac:dyDescent="0.25">
      <c r="A40" s="84"/>
      <c r="B40" s="204"/>
      <c r="C40" s="84"/>
      <c r="D40" s="84"/>
      <c r="E40" s="84"/>
    </row>
    <row r="41" spans="1:5" x14ac:dyDescent="0.25">
      <c r="A41" s="410" t="s">
        <v>560</v>
      </c>
      <c r="B41" s="204"/>
      <c r="C41" s="84"/>
      <c r="D41" s="410" t="s">
        <v>558</v>
      </c>
      <c r="E41" s="84"/>
    </row>
    <row r="42" spans="1:5" x14ac:dyDescent="0.25">
      <c r="A42" s="408" t="s">
        <v>369</v>
      </c>
      <c r="B42" s="412" t="str">
        <f>IF(ISBLANK('1.General'!$C34),"",'1.General'!$C34)</f>
        <v>BIPD</v>
      </c>
      <c r="C42" s="408"/>
      <c r="D42" s="408" t="s">
        <v>538</v>
      </c>
      <c r="E42" s="407">
        <f ca="1">IF(ISBLANK('5.CDI Parameters'!$J11),"",'5.CDI Parameters'!$J11)</f>
        <v>0.29732485720293622</v>
      </c>
    </row>
    <row r="43" spans="1:5" x14ac:dyDescent="0.25">
      <c r="A43" s="408" t="s">
        <v>370</v>
      </c>
      <c r="B43" s="412" t="str">
        <f>IF(ISBLANK('1.General'!$C35),"",'1.General'!$C35)</f>
        <v>MPC</v>
      </c>
      <c r="C43" s="408"/>
      <c r="D43" s="408" t="s">
        <v>539</v>
      </c>
      <c r="E43" s="407">
        <f ca="1">IF(ISBLANK('5.CDI Parameters'!$J12),"",'5.CDI Parameters'!$J12)</f>
        <v>0.29732485720293622</v>
      </c>
    </row>
    <row r="44" spans="1:5" x14ac:dyDescent="0.25">
      <c r="A44" s="408" t="s">
        <v>371</v>
      </c>
      <c r="B44" s="412" t="str">
        <f>IF(ISBLANK('1.General'!$C36),"",'1.General'!$C36)</f>
        <v>UM</v>
      </c>
      <c r="C44" s="408"/>
      <c r="D44" s="408" t="s">
        <v>540</v>
      </c>
      <c r="E44" s="407">
        <f ca="1">IF(ISBLANK('5.CDI Parameters'!$J13),"",'5.CDI Parameters'!$J13)</f>
        <v>0.29732485720293622</v>
      </c>
    </row>
    <row r="45" spans="1:5" x14ac:dyDescent="0.25">
      <c r="A45" s="408" t="s">
        <v>372</v>
      </c>
      <c r="B45" s="412" t="str">
        <f>IF(ISBLANK('1.General'!$C37),"",'1.General'!$C37)</f>
        <v>COMP</v>
      </c>
      <c r="C45" s="408"/>
      <c r="D45" s="408" t="s">
        <v>541</v>
      </c>
      <c r="E45" s="407">
        <f ca="1">IF(ISBLANK('5.CDI Parameters'!$J14),"",'5.CDI Parameters'!$J14)</f>
        <v>0.29866055104631506</v>
      </c>
    </row>
    <row r="46" spans="1:5" x14ac:dyDescent="0.25">
      <c r="A46" s="408" t="s">
        <v>373</v>
      </c>
      <c r="B46" s="412" t="str">
        <f>IF(ISBLANK('1.General'!$C38),"",'1.General'!$C38)</f>
        <v>COLL</v>
      </c>
      <c r="C46" s="408"/>
      <c r="D46" s="408" t="s">
        <v>542</v>
      </c>
      <c r="E46" s="407">
        <f ca="1">IF(ISBLANK('5.CDI Parameters'!$J15),"",'5.CDI Parameters'!$J15)</f>
        <v>0.29866055104631506</v>
      </c>
    </row>
    <row r="47" spans="1:5" x14ac:dyDescent="0.25">
      <c r="A47" s="408" t="s">
        <v>374</v>
      </c>
      <c r="B47" s="412" t="str">
        <f>IF(ISBLANK('1.General'!$C39),"",'1.General'!$C39)</f>
        <v>Misc. Damage</v>
      </c>
      <c r="C47" s="408"/>
      <c r="D47" s="408" t="s">
        <v>543</v>
      </c>
      <c r="E47" s="407">
        <f ca="1">IF(ISBLANK('5.CDI Parameters'!$J16),"",'5.CDI Parameters'!$J16)</f>
        <v>0.29866055104631506</v>
      </c>
    </row>
    <row r="48" spans="1:5" x14ac:dyDescent="0.25">
      <c r="A48" s="408" t="s">
        <v>375</v>
      </c>
      <c r="B48" s="412" t="str">
        <f>IF(ISBLANK('1.General'!$C40),"",'1.General'!$C40)</f>
        <v>Misc. Liability</v>
      </c>
      <c r="C48" s="408"/>
      <c r="D48" s="408" t="s">
        <v>544</v>
      </c>
      <c r="E48" s="407">
        <f ca="1">IF(ISBLANK('5.CDI Parameters'!$J17),"",'5.CDI Parameters'!$J17)</f>
        <v>0.29732485720293622</v>
      </c>
    </row>
    <row r="49" spans="1:5" x14ac:dyDescent="0.25">
      <c r="A49" s="408" t="s">
        <v>376</v>
      </c>
      <c r="B49" s="412" t="str">
        <f>IF(ISBLANK('1.General'!$C41),"",'1.General'!$C41)</f>
        <v/>
      </c>
      <c r="C49" s="408"/>
      <c r="D49" s="408" t="s">
        <v>545</v>
      </c>
      <c r="E49" s="407" t="str">
        <f>IF(ISBLANK('5.CDI Parameters'!$J18),"",'5.CDI Parameters'!$J18)</f>
        <v/>
      </c>
    </row>
    <row r="50" spans="1:5" x14ac:dyDescent="0.25">
      <c r="A50" s="408" t="s">
        <v>377</v>
      </c>
      <c r="B50" s="412" t="str">
        <f>IF(ISBLANK('1.General'!$C42),"",'1.General'!$C42)</f>
        <v/>
      </c>
      <c r="C50" s="408"/>
      <c r="D50" s="408" t="s">
        <v>546</v>
      </c>
      <c r="E50" s="407" t="str">
        <f>IF(ISBLANK('5.CDI Parameters'!$J19),"",'5.CDI Parameters'!$J19)</f>
        <v/>
      </c>
    </row>
    <row r="51" spans="1:5" x14ac:dyDescent="0.25">
      <c r="A51" s="408" t="s">
        <v>378</v>
      </c>
      <c r="B51" s="412" t="str">
        <f>IF(ISBLANK('1.General'!$C43),"",'1.General'!$C43)</f>
        <v/>
      </c>
      <c r="C51" s="408"/>
      <c r="D51" s="408" t="s">
        <v>547</v>
      </c>
      <c r="E51" s="407" t="str">
        <f>IF(ISBLANK('5.CDI Parameters'!$J20),"",'5.CDI Parameters'!$J20)</f>
        <v/>
      </c>
    </row>
    <row r="52" spans="1:5" x14ac:dyDescent="0.25">
      <c r="A52" s="408"/>
      <c r="B52" s="412"/>
      <c r="C52" s="408"/>
      <c r="D52" s="408"/>
      <c r="E52" s="84"/>
    </row>
    <row r="53" spans="1:5" x14ac:dyDescent="0.25">
      <c r="A53" s="411" t="s">
        <v>588</v>
      </c>
      <c r="B53" s="412"/>
      <c r="C53" s="408"/>
      <c r="D53" s="411" t="s">
        <v>587</v>
      </c>
      <c r="E53" s="84"/>
    </row>
    <row r="54" spans="1:5" x14ac:dyDescent="0.25">
      <c r="A54" s="408" t="s">
        <v>508</v>
      </c>
      <c r="B54" s="409">
        <f ca="1">IF(ISBLANK('5.CDI Parameters'!$G11),"",'5.CDI Parameters'!$G11)</f>
        <v>0.31092212368038935</v>
      </c>
      <c r="C54" s="408"/>
      <c r="D54" s="408" t="s">
        <v>518</v>
      </c>
      <c r="E54" s="409">
        <f>IF(ISBLANK('6.1Ratemaking Data'!$J$39),0,'6.1Ratemaking Data'!$J$39)</f>
        <v>0</v>
      </c>
    </row>
    <row r="55" spans="1:5" x14ac:dyDescent="0.25">
      <c r="A55" s="408" t="s">
        <v>509</v>
      </c>
      <c r="B55" s="409">
        <f ca="1">IF(ISBLANK('5.CDI Parameters'!$G12),"",'5.CDI Parameters'!$G12)</f>
        <v>0.31092212368038935</v>
      </c>
      <c r="C55" s="408"/>
      <c r="D55" s="408" t="s">
        <v>519</v>
      </c>
      <c r="E55" s="409">
        <f>IF(ISBLANK('6.2Ratemaking Data'!$J$39),0,'6.2Ratemaking Data'!$J$39)</f>
        <v>0</v>
      </c>
    </row>
    <row r="56" spans="1:5" x14ac:dyDescent="0.25">
      <c r="A56" s="84" t="s">
        <v>510</v>
      </c>
      <c r="B56" s="405">
        <f ca="1">IF(ISBLANK('5.CDI Parameters'!$G13),"",'5.CDI Parameters'!$G13)</f>
        <v>0.31092212368038935</v>
      </c>
      <c r="C56" s="84"/>
      <c r="D56" s="408" t="s">
        <v>520</v>
      </c>
      <c r="E56" s="409">
        <f>IF(ISBLANK('6.3Ratemaking Data'!$J$39),0,'6.3Ratemaking Data'!$J$39)</f>
        <v>0</v>
      </c>
    </row>
    <row r="57" spans="1:5" x14ac:dyDescent="0.25">
      <c r="A57" s="84" t="s">
        <v>511</v>
      </c>
      <c r="B57" s="405">
        <f ca="1">IF(ISBLANK('5.CDI Parameters'!$G14),"",'5.CDI Parameters'!$G14)</f>
        <v>0.31225781752376819</v>
      </c>
      <c r="C57" s="84"/>
      <c r="D57" s="408" t="s">
        <v>521</v>
      </c>
      <c r="E57" s="409">
        <f>IF(ISBLANK('6.4Ratemaking Data'!$J$39),0,'6.4Ratemaking Data'!$J$39)</f>
        <v>0</v>
      </c>
    </row>
    <row r="58" spans="1:5" x14ac:dyDescent="0.25">
      <c r="A58" s="84" t="s">
        <v>512</v>
      </c>
      <c r="B58" s="405">
        <f ca="1">IF(ISBLANK('5.CDI Parameters'!$G15),"",'5.CDI Parameters'!$G15)</f>
        <v>0.31225781752376819</v>
      </c>
      <c r="C58" s="84"/>
      <c r="D58" s="408" t="s">
        <v>522</v>
      </c>
      <c r="E58" s="409">
        <f>IF(ISBLANK('6.5Ratemaking Data'!$J$39),0,'6.5Ratemaking Data'!$J$39)</f>
        <v>0</v>
      </c>
    </row>
    <row r="59" spans="1:5" x14ac:dyDescent="0.25">
      <c r="A59" s="84" t="s">
        <v>513</v>
      </c>
      <c r="B59" s="405">
        <f ca="1">IF(ISBLANK('5.CDI Parameters'!$G16),"",'5.CDI Parameters'!$G16)</f>
        <v>0.31225781752376819</v>
      </c>
      <c r="C59" s="84"/>
      <c r="D59" s="408" t="s">
        <v>523</v>
      </c>
      <c r="E59" s="409">
        <f>IF(ISBLANK('6.6Ratemaking Data'!$J$39),0,'6.6Ratemaking Data'!$J$39)</f>
        <v>0</v>
      </c>
    </row>
    <row r="60" spans="1:5" x14ac:dyDescent="0.25">
      <c r="A60" s="84" t="s">
        <v>514</v>
      </c>
      <c r="B60" s="405">
        <f ca="1">IF(ISBLANK('5.CDI Parameters'!$G17),"",'5.CDI Parameters'!$G17)</f>
        <v>0.31092212368038935</v>
      </c>
      <c r="C60" s="84"/>
      <c r="D60" s="408" t="s">
        <v>524</v>
      </c>
      <c r="E60" s="409">
        <f>IF(ISBLANK('6.7Ratemaking Data'!$J$39),0,'6.7Ratemaking Data'!$J$39)</f>
        <v>0</v>
      </c>
    </row>
    <row r="61" spans="1:5" x14ac:dyDescent="0.25">
      <c r="A61" s="84" t="s">
        <v>515</v>
      </c>
      <c r="B61" s="405" t="str">
        <f>IF(ISBLANK('5.CDI Parameters'!$G18),"",'5.CDI Parameters'!$G18)</f>
        <v/>
      </c>
      <c r="C61" s="84"/>
      <c r="D61" s="408" t="s">
        <v>525</v>
      </c>
      <c r="E61" s="409">
        <f>IF(ISBLANK('6.8Ratemaking Data'!$J$39),0,'6.8Ratemaking Data'!$J$39)</f>
        <v>0</v>
      </c>
    </row>
    <row r="62" spans="1:5" x14ac:dyDescent="0.25">
      <c r="A62" s="84" t="s">
        <v>516</v>
      </c>
      <c r="B62" s="405" t="str">
        <f>IF(ISBLANK('5.CDI Parameters'!$G19),"",'5.CDI Parameters'!$G19)</f>
        <v/>
      </c>
      <c r="C62" s="84"/>
      <c r="D62" s="408" t="s">
        <v>526</v>
      </c>
      <c r="E62" s="409">
        <f>IF(ISBLANK('6.9Ratemaking Data'!$J$39),0,'6.9Ratemaking Data'!$J$39)</f>
        <v>0</v>
      </c>
    </row>
    <row r="63" spans="1:5" x14ac:dyDescent="0.25">
      <c r="A63" s="84" t="s">
        <v>517</v>
      </c>
      <c r="B63" s="405" t="str">
        <f>IF(ISBLANK('5.CDI Parameters'!$G20),"",'5.CDI Parameters'!$G20)</f>
        <v/>
      </c>
      <c r="C63" s="84"/>
      <c r="D63" s="408" t="s">
        <v>527</v>
      </c>
      <c r="E63" s="409">
        <f>IF(ISBLANK('6.10Ratemaking Data'!$J$39),0,'6.10Ratemaking Data'!$J$39)</f>
        <v>0</v>
      </c>
    </row>
    <row r="64" spans="1:5" x14ac:dyDescent="0.25">
      <c r="A64" s="84"/>
      <c r="B64" s="204"/>
      <c r="C64" s="84"/>
      <c r="D64" s="408"/>
      <c r="E64" s="406"/>
    </row>
    <row r="65" spans="1:5" x14ac:dyDescent="0.25">
      <c r="A65" s="410" t="s">
        <v>585</v>
      </c>
      <c r="B65" s="204"/>
      <c r="C65" s="84"/>
      <c r="D65" s="411"/>
      <c r="E65" s="406"/>
    </row>
    <row r="66" spans="1:5" x14ac:dyDescent="0.25">
      <c r="A66" s="410" t="s">
        <v>561</v>
      </c>
      <c r="B66" s="204"/>
      <c r="C66" s="84"/>
      <c r="D66" s="411" t="s">
        <v>559</v>
      </c>
      <c r="E66" s="406"/>
    </row>
    <row r="67" spans="1:5" x14ac:dyDescent="0.25">
      <c r="A67" s="408" t="s">
        <v>528</v>
      </c>
      <c r="B67" s="409">
        <f ca="1">IF(ExpRatio_Actual01&gt;EffStd_Wtd01,MIN(ExpRatio_Actual01-EffStd_Wtd01,EffStd_VarReq01),0)</f>
        <v>0</v>
      </c>
      <c r="C67" s="84"/>
      <c r="D67" s="408" t="s">
        <v>548</v>
      </c>
      <c r="E67" s="409">
        <f>IF(ISBLANK('6.1Ratemaking Data'!$J$40),0,'6.1Ratemaking Data'!$J$40)</f>
        <v>0</v>
      </c>
    </row>
    <row r="68" spans="1:5" x14ac:dyDescent="0.25">
      <c r="A68" s="408" t="s">
        <v>529</v>
      </c>
      <c r="B68" s="409">
        <f ca="1">IF(ExpRatio_Actual02&gt;EffStd_Wtd02,MIN(ExpRatio_Actual02-EffStd_Wtd02,EffStd_VarReq02),0)</f>
        <v>0</v>
      </c>
      <c r="C68" s="84"/>
      <c r="D68" s="408" t="s">
        <v>549</v>
      </c>
      <c r="E68" s="409">
        <f>IF(ISBLANK('6.2Ratemaking Data'!$J$40),0,'6.2Ratemaking Data'!$J$40)</f>
        <v>0</v>
      </c>
    </row>
    <row r="69" spans="1:5" x14ac:dyDescent="0.25">
      <c r="A69" s="408" t="s">
        <v>530</v>
      </c>
      <c r="B69" s="409">
        <f ca="1">IF(ExpRatio_Actual03&gt;EffStd_Wtd03,MIN(ExpRatio_Actual03-EffStd_Wtd03,EffStd_VarReq03),0)</f>
        <v>0</v>
      </c>
      <c r="C69" s="84"/>
      <c r="D69" s="408" t="s">
        <v>550</v>
      </c>
      <c r="E69" s="409">
        <f>IF(ISBLANK('6.3Ratemaking Data'!$J$40),0,'6.3Ratemaking Data'!$J$40)</f>
        <v>0</v>
      </c>
    </row>
    <row r="70" spans="1:5" x14ac:dyDescent="0.25">
      <c r="A70" s="408" t="s">
        <v>531</v>
      </c>
      <c r="B70" s="409">
        <f ca="1">IF(ExpRatio_Actual04&gt;EffStd_Wtd04,MIN(ExpRatio_Actual04-EffStd_Wtd04,EffStd_VarReq04),0)</f>
        <v>0</v>
      </c>
      <c r="C70" s="84"/>
      <c r="D70" s="408" t="s">
        <v>551</v>
      </c>
      <c r="E70" s="409">
        <f>IF(ISBLANK('6.4Ratemaking Data'!$J$40),0,'6.4Ratemaking Data'!$J$40)</f>
        <v>0</v>
      </c>
    </row>
    <row r="71" spans="1:5" x14ac:dyDescent="0.25">
      <c r="A71" s="408" t="s">
        <v>532</v>
      </c>
      <c r="B71" s="409">
        <f ca="1">IF(ExpRatio_Actual05&gt;EffStd_Wtd05,MIN(ExpRatio_Actual05-EffStd_Wtd05,EffStd_VarReq05),0)</f>
        <v>0</v>
      </c>
      <c r="C71" s="84"/>
      <c r="D71" s="408" t="s">
        <v>552</v>
      </c>
      <c r="E71" s="409">
        <f>IF(ISBLANK('6.5Ratemaking Data'!$J$40),0,'6.5Ratemaking Data'!$J$40)</f>
        <v>0</v>
      </c>
    </row>
    <row r="72" spans="1:5" x14ac:dyDescent="0.25">
      <c r="A72" s="408" t="s">
        <v>533</v>
      </c>
      <c r="B72" s="409">
        <f ca="1">IF(ExpRatio_Actual06&gt;EffStd_Wtd06,MIN(ExpRatio_Actual06-EffStd_Wtd06,EffStd_VarReq06),0)</f>
        <v>0</v>
      </c>
      <c r="C72" s="84"/>
      <c r="D72" s="408" t="s">
        <v>553</v>
      </c>
      <c r="E72" s="409">
        <f>IF(ISBLANK('6.6Ratemaking Data'!$J$40),0,'6.6Ratemaking Data'!$J$40)</f>
        <v>0</v>
      </c>
    </row>
    <row r="73" spans="1:5" x14ac:dyDescent="0.25">
      <c r="A73" s="408" t="s">
        <v>534</v>
      </c>
      <c r="B73" s="409">
        <f ca="1">IF(ExpRatio_Actual07&gt;EffStd_Wtd07,MIN(ExpRatio_Actual07-EffStd_Wtd07,EffStd_VarReq07),0)</f>
        <v>0</v>
      </c>
      <c r="C73" s="84"/>
      <c r="D73" s="408" t="s">
        <v>554</v>
      </c>
      <c r="E73" s="409">
        <f>IF(ISBLANK('6.7Ratemaking Data'!$J$40),0,'6.7Ratemaking Data'!$J$40)</f>
        <v>0</v>
      </c>
    </row>
    <row r="74" spans="1:5" x14ac:dyDescent="0.25">
      <c r="A74" s="408" t="s">
        <v>535</v>
      </c>
      <c r="B74" s="409">
        <f>IF(ExpRatio_Actual08&gt;EffStd_Wtd08,MIN(ExpRatio_Actual08-EffStd_Wtd08,EffStd_VarReq08),0)</f>
        <v>0</v>
      </c>
      <c r="C74" s="84"/>
      <c r="D74" s="408" t="s">
        <v>555</v>
      </c>
      <c r="E74" s="409">
        <f>IF(ISBLANK('6.8Ratemaking Data'!$J$40),0,'6.8Ratemaking Data'!$J$40)</f>
        <v>0</v>
      </c>
    </row>
    <row r="75" spans="1:5" x14ac:dyDescent="0.25">
      <c r="A75" s="408" t="s">
        <v>536</v>
      </c>
      <c r="B75" s="409">
        <f>IF(ExpRatio_Actual09&gt;EffStd_Wtd09,MIN(ExpRatio_Actual09-EffStd_Wtd09,EffStd_VarReq09),0)</f>
        <v>0</v>
      </c>
      <c r="C75" s="84"/>
      <c r="D75" s="408" t="s">
        <v>556</v>
      </c>
      <c r="E75" s="409">
        <f>IF(ISBLANK('6.9Ratemaking Data'!$J$40),0,'6.9Ratemaking Data'!$J$40)</f>
        <v>0</v>
      </c>
    </row>
    <row r="76" spans="1:5" x14ac:dyDescent="0.25">
      <c r="A76" s="408" t="s">
        <v>537</v>
      </c>
      <c r="B76" s="409">
        <f>IF(ExpRatio_Actual10&gt;EffStd_Wtd10,MIN(ExpRatio_Actual10-EffStd_Wtd10,EffStd_VarReq10),0)</f>
        <v>0</v>
      </c>
      <c r="C76" s="84"/>
      <c r="D76" s="408" t="s">
        <v>557</v>
      </c>
      <c r="E76" s="409">
        <f>IF(ISBLANK('6.10Ratemaking Data'!$J$40),0,'6.10Ratemaking Data'!$J$40)</f>
        <v>0</v>
      </c>
    </row>
    <row r="77" spans="1:5" x14ac:dyDescent="0.25">
      <c r="A77" s="408"/>
      <c r="B77" s="409"/>
      <c r="C77" s="84"/>
      <c r="D77" s="408"/>
      <c r="E77" s="409"/>
    </row>
    <row r="78" spans="1:5" x14ac:dyDescent="0.25">
      <c r="A78" s="410" t="s">
        <v>586</v>
      </c>
      <c r="B78" s="204"/>
      <c r="C78" s="84"/>
      <c r="D78" s="410" t="s">
        <v>584</v>
      </c>
      <c r="E78" s="84"/>
    </row>
    <row r="79" spans="1:5" x14ac:dyDescent="0.25">
      <c r="A79" s="84" t="s">
        <v>564</v>
      </c>
      <c r="B79" s="467">
        <f ca="1">IF(ISBLANK('5.CDI Parameters'!$D26),"",'5.CDI Parameters'!$D26)</f>
        <v>0.32984149635237803</v>
      </c>
      <c r="C79" s="84"/>
      <c r="D79" s="84" t="s">
        <v>574</v>
      </c>
      <c r="E79" s="467">
        <f ca="1">IF(ISBLANK('5.CDI Parameters'!$E26),"",'5.CDI Parameters'!$E26)</f>
        <v>1.2289421602119517</v>
      </c>
    </row>
    <row r="80" spans="1:5" x14ac:dyDescent="0.25">
      <c r="A80" s="84" t="s">
        <v>565</v>
      </c>
      <c r="B80" s="467">
        <f ca="1">IF(ISBLANK('5.CDI Parameters'!$D27),"",'5.CDI Parameters'!$D27)</f>
        <v>0.32984149635237803</v>
      </c>
      <c r="C80" s="84"/>
      <c r="D80" s="84" t="s">
        <v>575</v>
      </c>
      <c r="E80" s="467">
        <f ca="1">IF(ISBLANK('5.CDI Parameters'!$E27),"",'5.CDI Parameters'!$E27)</f>
        <v>1.2289421602119517</v>
      </c>
    </row>
    <row r="81" spans="1:5" x14ac:dyDescent="0.25">
      <c r="A81" s="84" t="s">
        <v>566</v>
      </c>
      <c r="B81" s="467">
        <f ca="1">IF(ISBLANK('5.CDI Parameters'!$D28),"",'5.CDI Parameters'!$D28)</f>
        <v>0.32984149635237803</v>
      </c>
      <c r="C81" s="84"/>
      <c r="D81" s="84" t="s">
        <v>576</v>
      </c>
      <c r="E81" s="467">
        <f ca="1">IF(ISBLANK('5.CDI Parameters'!$E28),"",'5.CDI Parameters'!$E28)</f>
        <v>1.2289421602119517</v>
      </c>
    </row>
    <row r="82" spans="1:5" x14ac:dyDescent="0.25">
      <c r="A82" s="84" t="s">
        <v>567</v>
      </c>
      <c r="B82" s="467">
        <f ca="1">IF(ISBLANK('5.CDI Parameters'!$D29),"",'5.CDI Parameters'!$D29)</f>
        <v>0.33549281014277643</v>
      </c>
      <c r="C82" s="84"/>
      <c r="D82" s="84" t="s">
        <v>577</v>
      </c>
      <c r="E82" s="467">
        <f ca="1">IF(ISBLANK('5.CDI Parameters'!$E29),"",'5.CDI Parameters'!$E29)</f>
        <v>7.309859769299859E-2</v>
      </c>
    </row>
    <row r="83" spans="1:5" x14ac:dyDescent="0.25">
      <c r="A83" s="84" t="s">
        <v>568</v>
      </c>
      <c r="B83" s="467">
        <f ca="1">IF(ISBLANK('5.CDI Parameters'!$D30),"",'5.CDI Parameters'!$D30)</f>
        <v>0.33549281014277643</v>
      </c>
      <c r="C83" s="84"/>
      <c r="D83" s="84" t="s">
        <v>578</v>
      </c>
      <c r="E83" s="467">
        <f ca="1">IF(ISBLANK('5.CDI Parameters'!$E30),"",'5.CDI Parameters'!$E30)</f>
        <v>7.309859769299859E-2</v>
      </c>
    </row>
    <row r="84" spans="1:5" x14ac:dyDescent="0.25">
      <c r="A84" s="84" t="s">
        <v>569</v>
      </c>
      <c r="B84" s="467">
        <f ca="1">IF(ISBLANK('5.CDI Parameters'!$D31),"",'5.CDI Parameters'!$D31)</f>
        <v>0.33549281014277643</v>
      </c>
      <c r="C84" s="84"/>
      <c r="D84" s="84" t="s">
        <v>579</v>
      </c>
      <c r="E84" s="467">
        <f ca="1">IF(ISBLANK('5.CDI Parameters'!$E31),"",'5.CDI Parameters'!$E31)</f>
        <v>7.309859769299859E-2</v>
      </c>
    </row>
    <row r="85" spans="1:5" x14ac:dyDescent="0.25">
      <c r="A85" s="84" t="s">
        <v>570</v>
      </c>
      <c r="B85" s="467">
        <f ca="1">IF(ISBLANK('5.CDI Parameters'!$D32),"",'5.CDI Parameters'!$D32)</f>
        <v>0.32984149635237803</v>
      </c>
      <c r="C85" s="84"/>
      <c r="D85" s="84" t="s">
        <v>580</v>
      </c>
      <c r="E85" s="467">
        <f ca="1">IF(ISBLANK('5.CDI Parameters'!$E32),"",'5.CDI Parameters'!$E32)</f>
        <v>1.2289421602119517</v>
      </c>
    </row>
    <row r="86" spans="1:5" x14ac:dyDescent="0.25">
      <c r="A86" s="84" t="s">
        <v>571</v>
      </c>
      <c r="B86" s="467" t="str">
        <f>IF(ISBLANK('5.CDI Parameters'!$D33),"",'5.CDI Parameters'!$D33)</f>
        <v/>
      </c>
      <c r="C86" s="84"/>
      <c r="D86" s="84" t="s">
        <v>581</v>
      </c>
      <c r="E86" s="467" t="str">
        <f>IF(ISBLANK('5.CDI Parameters'!$E33),"",'5.CDI Parameters'!$E33)</f>
        <v/>
      </c>
    </row>
    <row r="87" spans="1:5" x14ac:dyDescent="0.25">
      <c r="A87" s="84" t="s">
        <v>572</v>
      </c>
      <c r="B87" s="467" t="str">
        <f>IF(ISBLANK('5.CDI Parameters'!$D34),"",'5.CDI Parameters'!$D34)</f>
        <v/>
      </c>
      <c r="C87" s="84"/>
      <c r="D87" s="84" t="s">
        <v>582</v>
      </c>
      <c r="E87" s="467" t="str">
        <f>IF(ISBLANK('5.CDI Parameters'!$E34),"",'5.CDI Parameters'!$E34)</f>
        <v/>
      </c>
    </row>
    <row r="88" spans="1:5" x14ac:dyDescent="0.25">
      <c r="A88" s="84" t="s">
        <v>573</v>
      </c>
      <c r="B88" s="467" t="str">
        <f>IF(ISBLANK('5.CDI Parameters'!$D35),"",'5.CDI Parameters'!$D35)</f>
        <v/>
      </c>
      <c r="C88" s="84"/>
      <c r="D88" s="84" t="s">
        <v>583</v>
      </c>
      <c r="E88" s="467" t="str">
        <f>IF(ISBLANK('5.CDI Parameters'!$E35),"",'5.CDI Parameters'!$E35)</f>
        <v/>
      </c>
    </row>
    <row r="89" spans="1:5" x14ac:dyDescent="0.25">
      <c r="A89" s="84"/>
      <c r="B89" s="204"/>
      <c r="C89" s="84"/>
      <c r="D89" s="84"/>
      <c r="E89" s="84"/>
    </row>
    <row r="90" spans="1:5" x14ac:dyDescent="0.25">
      <c r="A90" s="410" t="s">
        <v>604</v>
      </c>
      <c r="B90" s="204"/>
      <c r="C90" s="84"/>
      <c r="D90" s="410" t="s">
        <v>692</v>
      </c>
      <c r="E90" s="84"/>
    </row>
    <row r="91" spans="1:5" x14ac:dyDescent="0.25">
      <c r="A91" s="84" t="s">
        <v>591</v>
      </c>
      <c r="B91" s="467">
        <f ca="1">IF(ISBLANK('5.CDI Parameters'!$H26),"",'5.CDI Parameters'!$H26)</f>
        <v>0.79714001147810298</v>
      </c>
      <c r="C91" s="84"/>
      <c r="D91" s="84" t="s">
        <v>682</v>
      </c>
      <c r="E91" s="205">
        <f>IF(ISBLANK('1.General'!$E$34),"",'1.General'!$E$34)</f>
        <v>44088</v>
      </c>
    </row>
    <row r="92" spans="1:5" x14ac:dyDescent="0.25">
      <c r="A92" s="84" t="s">
        <v>592</v>
      </c>
      <c r="B92" s="467">
        <f ca="1">IF(ISBLANK('5.CDI Parameters'!$H27),"",'5.CDI Parameters'!$H27)</f>
        <v>0.79714001147810298</v>
      </c>
      <c r="C92" s="84"/>
      <c r="D92" s="84" t="s">
        <v>683</v>
      </c>
      <c r="E92" s="205">
        <f>IF(ISBLANK('1.General'!$E$35),"",'1.General'!$E$35)</f>
        <v>44088</v>
      </c>
    </row>
    <row r="93" spans="1:5" x14ac:dyDescent="0.25">
      <c r="A93" s="84" t="s">
        <v>593</v>
      </c>
      <c r="B93" s="467">
        <f ca="1">IF(ISBLANK('5.CDI Parameters'!$H28),"",'5.CDI Parameters'!$H28)</f>
        <v>0.79714001147810298</v>
      </c>
      <c r="C93" s="84"/>
      <c r="D93" s="84" t="s">
        <v>684</v>
      </c>
      <c r="E93" s="205">
        <f>IF(ISBLANK('1.General'!$E$36),"",'1.General'!$E$36)</f>
        <v>44088</v>
      </c>
    </row>
    <row r="94" spans="1:5" x14ac:dyDescent="0.25">
      <c r="A94" s="84" t="s">
        <v>594</v>
      </c>
      <c r="B94" s="467">
        <f ca="1">IF(ISBLANK('5.CDI Parameters'!$H29),"",'5.CDI Parameters'!$H29)</f>
        <v>1.2893927100650311</v>
      </c>
      <c r="C94" s="84"/>
      <c r="D94" s="84" t="s">
        <v>685</v>
      </c>
      <c r="E94" s="205">
        <f>IF(ISBLANK('1.General'!$E$37),"",'1.General'!$E$37)</f>
        <v>44088</v>
      </c>
    </row>
    <row r="95" spans="1:5" x14ac:dyDescent="0.25">
      <c r="A95" s="84" t="s">
        <v>595</v>
      </c>
      <c r="B95" s="467">
        <f ca="1">IF(ISBLANK('5.CDI Parameters'!$H30),"",'5.CDI Parameters'!$H30)</f>
        <v>1.2893927100650311</v>
      </c>
      <c r="C95" s="84"/>
      <c r="D95" s="84" t="s">
        <v>686</v>
      </c>
      <c r="E95" s="205">
        <f>IF(ISBLANK('1.General'!$E$38),"",'1.General'!$E$38)</f>
        <v>44088</v>
      </c>
    </row>
    <row r="96" spans="1:5" x14ac:dyDescent="0.25">
      <c r="A96" s="84" t="s">
        <v>596</v>
      </c>
      <c r="B96" s="467">
        <f ca="1">IF(ISBLANK('5.CDI Parameters'!$H31),"",'5.CDI Parameters'!$H31)</f>
        <v>1.2893927100650311</v>
      </c>
      <c r="C96" s="84"/>
      <c r="D96" s="84" t="s">
        <v>687</v>
      </c>
      <c r="E96" s="205">
        <f>IF(ISBLANK('1.General'!$E$39),"",'1.General'!$E$39)</f>
        <v>44088</v>
      </c>
    </row>
    <row r="97" spans="1:5" x14ac:dyDescent="0.25">
      <c r="A97" s="84" t="s">
        <v>597</v>
      </c>
      <c r="B97" s="467">
        <f ca="1">IF(ISBLANK('5.CDI Parameters'!$H32),"",'5.CDI Parameters'!$H32)</f>
        <v>0.79714001147810298</v>
      </c>
      <c r="C97" s="84"/>
      <c r="D97" s="84" t="s">
        <v>688</v>
      </c>
      <c r="E97" s="205">
        <f>IF(ISBLANK('1.General'!$E$40),"",'1.General'!$E$40)</f>
        <v>44088</v>
      </c>
    </row>
    <row r="98" spans="1:5" x14ac:dyDescent="0.25">
      <c r="A98" s="84" t="s">
        <v>598</v>
      </c>
      <c r="B98" s="467" t="str">
        <f>IF(ISBLANK('5.CDI Parameters'!$H33),"",'5.CDI Parameters'!$H33)</f>
        <v/>
      </c>
      <c r="C98" s="84"/>
      <c r="D98" s="84" t="s">
        <v>689</v>
      </c>
      <c r="E98" s="205" t="str">
        <f>IF(ISBLANK('1.General'!$E$41),"",'1.General'!$E$41)</f>
        <v/>
      </c>
    </row>
    <row r="99" spans="1:5" x14ac:dyDescent="0.25">
      <c r="A99" s="84" t="s">
        <v>599</v>
      </c>
      <c r="B99" s="467" t="str">
        <f>IF(ISBLANK('5.CDI Parameters'!$H34),"",'5.CDI Parameters'!$H34)</f>
        <v/>
      </c>
      <c r="C99" s="84"/>
      <c r="D99" s="84" t="s">
        <v>690</v>
      </c>
      <c r="E99" s="205" t="str">
        <f>IF(ISBLANK('1.General'!$E$42),"",'1.General'!$E$42)</f>
        <v/>
      </c>
    </row>
    <row r="100" spans="1:5" x14ac:dyDescent="0.25">
      <c r="A100" s="84" t="s">
        <v>600</v>
      </c>
      <c r="B100" s="467" t="str">
        <f>IF(ISBLANK('5.CDI Parameters'!$H35),"",'5.CDI Parameters'!$H35)</f>
        <v/>
      </c>
      <c r="C100" s="84"/>
      <c r="D100" s="84" t="s">
        <v>691</v>
      </c>
      <c r="E100" s="205" t="str">
        <f>IF(ISBLANK('1.General'!$E$43),"",'1.General'!$E$43)</f>
        <v/>
      </c>
    </row>
    <row r="101" spans="1:5" x14ac:dyDescent="0.25">
      <c r="A101" s="84"/>
      <c r="B101" s="467"/>
      <c r="C101" s="84"/>
      <c r="D101" s="84"/>
      <c r="E101" s="205"/>
    </row>
    <row r="102" spans="1:5" x14ac:dyDescent="0.25">
      <c r="A102" s="84" t="s">
        <v>167</v>
      </c>
      <c r="B102" s="670">
        <f>'Federal Income Tax Rate'!B9</f>
        <v>0.21</v>
      </c>
      <c r="C102" s="84"/>
      <c r="D102" s="84"/>
      <c r="E102" s="205"/>
    </row>
    <row r="103" spans="1:5" x14ac:dyDescent="0.25">
      <c r="A103" s="84" t="s">
        <v>192</v>
      </c>
      <c r="B103" s="670">
        <f>'5.CDI Parameters'!$J$28</f>
        <v>2.35E-2</v>
      </c>
      <c r="C103" s="84"/>
      <c r="D103" s="84"/>
      <c r="E103" s="205"/>
    </row>
    <row r="104" spans="1:5" x14ac:dyDescent="0.25">
      <c r="A104" s="84" t="s">
        <v>195</v>
      </c>
      <c r="B104" s="670">
        <f>'5.CDI Parameters'!$J$31</f>
        <v>2.2799999999999997E-2</v>
      </c>
      <c r="C104" s="84"/>
      <c r="D104" s="84" t="s">
        <v>730</v>
      </c>
      <c r="E104" s="205" t="str">
        <f>'3.2YieldFIT'!$G$48</f>
        <v>June 2022</v>
      </c>
    </row>
    <row r="105" spans="1:5" x14ac:dyDescent="0.25">
      <c r="A105" s="84" t="s">
        <v>197</v>
      </c>
      <c r="B105" s="670">
        <v>-0.06</v>
      </c>
      <c r="C105" s="84"/>
      <c r="D105" s="84"/>
      <c r="E105" s="205"/>
    </row>
    <row r="106" spans="1:5" x14ac:dyDescent="0.25">
      <c r="A106" s="84" t="s">
        <v>196</v>
      </c>
      <c r="B106" s="670">
        <f>ROR_RiskFree+0.06</f>
        <v>8.2799999999999999E-2</v>
      </c>
      <c r="C106" s="84"/>
      <c r="D106" s="84"/>
      <c r="E106" s="205"/>
    </row>
  </sheetData>
  <sheetProtection formatColumns="0" formatRows="0" sort="0"/>
  <pageMargins left="0.7" right="0.7" top="0.75" bottom="0.75" header="0.3" footer="0.3"/>
  <pageSetup scale="44" orientation="portrait" r:id="rId1"/>
  <headerFooter>
    <oddFooter>&amp;L01/11/2022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9697" r:id="rId4" name="Update Footers">
              <controlPr defaultSize="0" print="0" autoFill="0" autoPict="0" macro="[0]!DynamicFooter" altText="Update Footers">
                <anchor moveWithCells="1" sizeWithCells="1">
                  <from>
                    <xdr:col>0</xdr:col>
                    <xdr:colOff>19050</xdr:colOff>
                    <xdr:row>11</xdr:row>
                    <xdr:rowOff>9525</xdr:rowOff>
                  </from>
                  <to>
                    <xdr:col>1</xdr:col>
                    <xdr:colOff>9525</xdr:colOff>
                    <xdr:row>12</xdr:row>
                    <xdr:rowOff>0</xdr:rowOff>
                  </to>
                </anchor>
              </controlPr>
            </control>
          </mc:Choice>
        </mc:AlternateContent>
        <mc:AlternateContent xmlns:mc="http://schemas.openxmlformats.org/markup-compatibility/2006">
          <mc:Choice Requires="x14">
            <control shapeId="29698" r:id="rId5" name="Button 2">
              <controlPr defaultSize="0" print="0" autoFill="0" autoPict="0" macro="[0]!unprotectrrbsheets">
                <anchor moveWithCells="1">
                  <from>
                    <xdr:col>0</xdr:col>
                    <xdr:colOff>9525</xdr:colOff>
                    <xdr:row>3</xdr:row>
                    <xdr:rowOff>0</xdr:rowOff>
                  </from>
                  <to>
                    <xdr:col>1</xdr:col>
                    <xdr:colOff>28575</xdr:colOff>
                    <xdr:row>4</xdr:row>
                    <xdr:rowOff>9525</xdr:rowOff>
                  </to>
                </anchor>
              </controlPr>
            </control>
          </mc:Choice>
        </mc:AlternateContent>
        <mc:AlternateContent xmlns:mc="http://schemas.openxmlformats.org/markup-compatibility/2006">
          <mc:Choice Requires="x14">
            <control shapeId="29699" r:id="rId6" name="Button 3">
              <controlPr defaultSize="0" print="0" autoFill="0" autoPict="0" macro="[0]!ProtectRRBSheets">
                <anchor moveWithCells="1">
                  <from>
                    <xdr:col>0</xdr:col>
                    <xdr:colOff>19050</xdr:colOff>
                    <xdr:row>7</xdr:row>
                    <xdr:rowOff>9525</xdr:rowOff>
                  </from>
                  <to>
                    <xdr:col>1</xdr:col>
                    <xdr:colOff>19050</xdr:colOff>
                    <xdr:row>8</xdr:row>
                    <xdr:rowOff>0</xdr:rowOff>
                  </to>
                </anchor>
              </controlPr>
            </control>
          </mc:Choice>
        </mc:AlternateContent>
        <mc:AlternateContent xmlns:mc="http://schemas.openxmlformats.org/markup-compatibility/2006">
          <mc:Choice Requires="x14">
            <control shapeId="29700" r:id="rId7" name="Button 4">
              <controlPr defaultSize="0" print="0" autoFill="0" autoPict="0" macro="[0]!hidesheets">
                <anchor moveWithCells="1">
                  <from>
                    <xdr:col>0</xdr:col>
                    <xdr:colOff>9525</xdr:colOff>
                    <xdr:row>16</xdr:row>
                    <xdr:rowOff>9525</xdr:rowOff>
                  </from>
                  <to>
                    <xdr:col>1</xdr:col>
                    <xdr:colOff>9525</xdr:colOff>
                    <xdr:row>17</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rgb="FFFFC000"/>
    <pageSetUpPr fitToPage="1"/>
  </sheetPr>
  <dimension ref="A1:V78"/>
  <sheetViews>
    <sheetView zoomScaleNormal="100" workbookViewId="0">
      <selection activeCell="I42" sqref="I42"/>
    </sheetView>
  </sheetViews>
  <sheetFormatPr defaultRowHeight="15" x14ac:dyDescent="0.25"/>
  <cols>
    <col min="1" max="1" width="29" style="14" customWidth="1"/>
    <col min="2" max="2" width="15.85546875" style="14" bestFit="1" customWidth="1"/>
    <col min="3" max="3" width="5.7109375" style="14" customWidth="1"/>
    <col min="4" max="4" width="11.5703125" style="14" bestFit="1" customWidth="1"/>
    <col min="5" max="5" width="5.7109375" style="14" customWidth="1"/>
    <col min="6" max="6" width="32.28515625" style="14" bestFit="1" customWidth="1"/>
    <col min="7" max="7" width="7.5703125" style="14" bestFit="1" customWidth="1"/>
    <col min="8" max="8" width="54.7109375" style="14" bestFit="1" customWidth="1"/>
    <col min="9" max="9" width="5.7109375" style="14" bestFit="1" customWidth="1"/>
    <col min="10" max="10" width="5.7109375" style="14" customWidth="1"/>
    <col min="11" max="11" width="41.42578125" style="14" customWidth="1"/>
    <col min="12" max="12" width="5.7109375" style="14" customWidth="1"/>
    <col min="13" max="13" width="18.7109375" style="14" customWidth="1"/>
    <col min="14" max="14" width="117.85546875" style="14" customWidth="1"/>
    <col min="15" max="15" width="5.7109375" style="14" customWidth="1"/>
    <col min="16" max="16" width="34" style="14" bestFit="1" customWidth="1"/>
    <col min="17" max="17" width="5.7109375" style="14" customWidth="1"/>
    <col min="18" max="18" width="9.140625" style="14"/>
    <col min="19" max="19" width="41.42578125" style="14" customWidth="1"/>
    <col min="20" max="20" width="9.140625" style="14"/>
    <col min="21" max="21" width="14.5703125" style="14" bestFit="1" customWidth="1"/>
    <col min="22" max="22" width="18" style="14" bestFit="1" customWidth="1"/>
    <col min="23" max="16384" width="9.140625" style="14"/>
  </cols>
  <sheetData>
    <row r="1" spans="1:22" ht="15.75" thickBot="1" x14ac:dyDescent="0.3">
      <c r="A1" s="232" t="s">
        <v>129</v>
      </c>
    </row>
    <row r="2" spans="1:22" x14ac:dyDescent="0.25">
      <c r="B2" s="104" t="s">
        <v>105</v>
      </c>
      <c r="C2" s="105"/>
      <c r="D2" s="106" t="s">
        <v>106</v>
      </c>
      <c r="E2" s="105"/>
      <c r="F2" s="104" t="s">
        <v>158</v>
      </c>
      <c r="G2" s="105"/>
      <c r="H2" s="120" t="s">
        <v>504</v>
      </c>
      <c r="I2" s="121"/>
      <c r="J2" s="105"/>
      <c r="K2" s="106" t="s">
        <v>505</v>
      </c>
      <c r="L2" s="105"/>
      <c r="M2" s="107" t="s">
        <v>107</v>
      </c>
      <c r="N2" s="108" t="s">
        <v>507</v>
      </c>
      <c r="P2" s="106" t="s">
        <v>506</v>
      </c>
      <c r="S2" s="106" t="s">
        <v>626</v>
      </c>
    </row>
    <row r="3" spans="1:22" ht="15.75" thickBot="1" x14ac:dyDescent="0.3">
      <c r="B3" s="109" t="s">
        <v>108</v>
      </c>
      <c r="C3" s="105"/>
      <c r="D3" s="122" t="s">
        <v>160</v>
      </c>
      <c r="F3" s="111"/>
      <c r="H3" s="112"/>
      <c r="I3" s="113"/>
      <c r="K3" s="110"/>
      <c r="M3" s="114"/>
      <c r="N3" s="115"/>
      <c r="P3" s="110"/>
      <c r="S3" s="110"/>
    </row>
    <row r="4" spans="1:22" ht="30" x14ac:dyDescent="0.25">
      <c r="B4" s="109" t="s">
        <v>159</v>
      </c>
      <c r="C4" s="183"/>
      <c r="D4" s="110"/>
      <c r="F4" s="111"/>
      <c r="H4" s="112"/>
      <c r="I4" s="113"/>
      <c r="K4" s="110"/>
      <c r="M4" s="114"/>
      <c r="N4" s="115"/>
      <c r="P4" s="110"/>
      <c r="S4" s="110"/>
      <c r="U4" s="723" t="s">
        <v>737</v>
      </c>
      <c r="V4" s="724" t="s">
        <v>738</v>
      </c>
    </row>
    <row r="5" spans="1:22" ht="90" x14ac:dyDescent="0.25">
      <c r="A5" s="240" t="s">
        <v>503</v>
      </c>
      <c r="B5" s="241"/>
      <c r="C5" s="130"/>
      <c r="D5" s="242">
        <v>2</v>
      </c>
      <c r="E5" s="243"/>
      <c r="F5" s="244">
        <v>4</v>
      </c>
      <c r="G5" s="243"/>
      <c r="H5" s="245">
        <v>17</v>
      </c>
      <c r="I5" s="246"/>
      <c r="J5" s="130"/>
      <c r="K5" s="242">
        <v>1</v>
      </c>
      <c r="L5" s="130"/>
      <c r="M5" s="247"/>
      <c r="N5" s="248"/>
      <c r="O5" s="243"/>
      <c r="P5" s="242">
        <v>3</v>
      </c>
      <c r="S5" s="244">
        <v>9</v>
      </c>
      <c r="U5" s="727" t="s">
        <v>736</v>
      </c>
      <c r="V5" s="728" t="s">
        <v>739</v>
      </c>
    </row>
    <row r="6" spans="1:22" ht="30" x14ac:dyDescent="0.25">
      <c r="B6" s="116" t="s">
        <v>2</v>
      </c>
      <c r="C6" s="16"/>
      <c r="D6" s="110" t="s">
        <v>5</v>
      </c>
      <c r="F6" s="111"/>
      <c r="H6" s="112"/>
      <c r="I6" s="113"/>
      <c r="K6" s="110" t="s">
        <v>38</v>
      </c>
      <c r="M6" s="99" t="s">
        <v>84</v>
      </c>
      <c r="N6" s="100" t="s">
        <v>257</v>
      </c>
      <c r="P6" s="110"/>
      <c r="S6" s="110" t="s">
        <v>627</v>
      </c>
      <c r="U6" s="114" t="str">
        <f>TEXT(V6,"mmm")&amp;YEAR(V6)</f>
        <v>Jun2022</v>
      </c>
      <c r="V6" s="115" t="str">
        <f>'3.2YieldFIT'!G48</f>
        <v>June 2022</v>
      </c>
    </row>
    <row r="7" spans="1:22" ht="30" x14ac:dyDescent="0.25">
      <c r="B7" s="116" t="s">
        <v>3</v>
      </c>
      <c r="C7" s="16"/>
      <c r="D7" s="110" t="s">
        <v>6</v>
      </c>
      <c r="F7" s="111" t="s">
        <v>8</v>
      </c>
      <c r="H7" s="112" t="s">
        <v>8</v>
      </c>
      <c r="I7" s="113">
        <v>22</v>
      </c>
      <c r="K7" s="110" t="s">
        <v>74</v>
      </c>
      <c r="M7" s="99" t="s">
        <v>85</v>
      </c>
      <c r="N7" s="100" t="s">
        <v>258</v>
      </c>
      <c r="P7" s="110" t="s">
        <v>240</v>
      </c>
      <c r="S7" s="110" t="s">
        <v>628</v>
      </c>
      <c r="U7" s="114" t="str">
        <f>TEXT(V7,"mmm")&amp;YEAR(V7)</f>
        <v>Feb2023</v>
      </c>
      <c r="V7" s="115" t="str">
        <f>[1]Latest!$A$1</f>
        <v>February 2023</v>
      </c>
    </row>
    <row r="8" spans="1:22" ht="30.75" thickBot="1" x14ac:dyDescent="0.3">
      <c r="B8" s="118" t="s">
        <v>26</v>
      </c>
      <c r="C8" s="16"/>
      <c r="D8" s="117"/>
      <c r="F8" s="111" t="s">
        <v>9</v>
      </c>
      <c r="H8" s="112" t="s">
        <v>9</v>
      </c>
      <c r="I8" s="113">
        <v>2.1</v>
      </c>
      <c r="K8" s="117" t="s">
        <v>75</v>
      </c>
      <c r="M8" s="99" t="s">
        <v>86</v>
      </c>
      <c r="N8" s="100" t="s">
        <v>259</v>
      </c>
      <c r="P8" s="110" t="s">
        <v>241</v>
      </c>
      <c r="S8" s="110" t="s">
        <v>629</v>
      </c>
      <c r="U8" s="114" t="str">
        <f t="shared" ref="U8:U30" si="0">TEXT(EOMONTH(U7,-1),"mmm")&amp;YEAR(EOMONTH(U7,-1))</f>
        <v>Jan2023</v>
      </c>
      <c r="V8" s="115" t="str">
        <f t="shared" ref="V8:V30" si="1">TEXT(U8,"mmmm ")&amp;YEAR(U8)</f>
        <v>January 2023</v>
      </c>
    </row>
    <row r="9" spans="1:22" ht="30.75" thickBot="1" x14ac:dyDescent="0.3">
      <c r="F9" s="111" t="s">
        <v>10</v>
      </c>
      <c r="H9" s="112" t="s">
        <v>11</v>
      </c>
      <c r="I9" s="113">
        <v>17</v>
      </c>
      <c r="M9" s="99" t="s">
        <v>87</v>
      </c>
      <c r="N9" s="100" t="s">
        <v>260</v>
      </c>
      <c r="P9" s="117" t="s">
        <v>242</v>
      </c>
      <c r="S9" s="110" t="s">
        <v>630</v>
      </c>
      <c r="U9" s="114" t="str">
        <f t="shared" si="0"/>
        <v>Dec2022</v>
      </c>
      <c r="V9" s="115" t="str">
        <f t="shared" si="1"/>
        <v>December 2022</v>
      </c>
    </row>
    <row r="10" spans="1:22" ht="30" x14ac:dyDescent="0.25">
      <c r="F10" s="111" t="s">
        <v>11</v>
      </c>
      <c r="H10" s="112" t="s">
        <v>12</v>
      </c>
      <c r="I10" s="113">
        <v>27</v>
      </c>
      <c r="M10" s="99" t="s">
        <v>88</v>
      </c>
      <c r="N10" s="100" t="s">
        <v>261</v>
      </c>
      <c r="P10" s="399" t="s">
        <v>624</v>
      </c>
      <c r="Q10" s="400"/>
      <c r="S10" s="110" t="s">
        <v>631</v>
      </c>
      <c r="U10" s="114" t="str">
        <f t="shared" si="0"/>
        <v>Nov2022</v>
      </c>
      <c r="V10" s="115" t="str">
        <f t="shared" si="1"/>
        <v>November 2022</v>
      </c>
    </row>
    <row r="11" spans="1:22" ht="45" x14ac:dyDescent="0.25">
      <c r="F11" s="111" t="s">
        <v>12</v>
      </c>
      <c r="H11" s="112" t="s">
        <v>13</v>
      </c>
      <c r="I11" s="113">
        <v>26</v>
      </c>
      <c r="M11" s="99" t="s">
        <v>91</v>
      </c>
      <c r="N11" s="100" t="s">
        <v>262</v>
      </c>
      <c r="P11" s="401" t="s">
        <v>346</v>
      </c>
      <c r="Q11" s="402">
        <v>1</v>
      </c>
      <c r="S11" s="110" t="s">
        <v>632</v>
      </c>
      <c r="U11" s="114" t="str">
        <f t="shared" si="0"/>
        <v>Oct2022</v>
      </c>
      <c r="V11" s="115" t="str">
        <f t="shared" si="1"/>
        <v>October 2022</v>
      </c>
    </row>
    <row r="12" spans="1:22" ht="30" x14ac:dyDescent="0.25">
      <c r="F12" s="111" t="s">
        <v>13</v>
      </c>
      <c r="H12" s="112" t="s">
        <v>39</v>
      </c>
      <c r="I12" s="113">
        <v>19.399999999999999</v>
      </c>
      <c r="M12" s="99" t="s">
        <v>89</v>
      </c>
      <c r="N12" s="100" t="s">
        <v>263</v>
      </c>
      <c r="P12" s="401" t="s">
        <v>348</v>
      </c>
      <c r="Q12" s="402">
        <v>2</v>
      </c>
      <c r="S12" s="110" t="s">
        <v>696</v>
      </c>
      <c r="U12" s="114" t="str">
        <f t="shared" si="0"/>
        <v>Sep2022</v>
      </c>
      <c r="V12" s="115" t="str">
        <f t="shared" si="1"/>
        <v>September 2022</v>
      </c>
    </row>
    <row r="13" spans="1:22" ht="30" x14ac:dyDescent="0.25">
      <c r="F13" s="111" t="s">
        <v>14</v>
      </c>
      <c r="H13" s="112" t="s">
        <v>40</v>
      </c>
      <c r="I13" s="113">
        <v>21.2</v>
      </c>
      <c r="M13" s="99" t="s">
        <v>90</v>
      </c>
      <c r="N13" s="100" t="s">
        <v>264</v>
      </c>
      <c r="P13" s="401" t="s">
        <v>357</v>
      </c>
      <c r="Q13" s="402">
        <v>1</v>
      </c>
      <c r="S13" s="110" t="s">
        <v>695</v>
      </c>
      <c r="U13" s="114" t="str">
        <f t="shared" si="0"/>
        <v>Aug2022</v>
      </c>
      <c r="V13" s="115" t="str">
        <f t="shared" si="1"/>
        <v>August 2022</v>
      </c>
    </row>
    <row r="14" spans="1:22" ht="30.75" thickBot="1" x14ac:dyDescent="0.3">
      <c r="F14" s="111" t="s">
        <v>15</v>
      </c>
      <c r="H14" s="112" t="s">
        <v>41</v>
      </c>
      <c r="I14" s="113">
        <v>5</v>
      </c>
      <c r="M14" s="99" t="s">
        <v>116</v>
      </c>
      <c r="N14" s="100" t="s">
        <v>265</v>
      </c>
      <c r="P14" s="401" t="s">
        <v>358</v>
      </c>
      <c r="Q14" s="402">
        <v>1</v>
      </c>
      <c r="S14" s="117" t="s">
        <v>633</v>
      </c>
      <c r="U14" s="114" t="str">
        <f t="shared" si="0"/>
        <v>Jul2022</v>
      </c>
      <c r="V14" s="115" t="str">
        <f t="shared" si="1"/>
        <v>July 2022</v>
      </c>
    </row>
    <row r="15" spans="1:22" ht="30" x14ac:dyDescent="0.25">
      <c r="F15" s="111" t="s">
        <v>16</v>
      </c>
      <c r="H15" s="112" t="s">
        <v>42</v>
      </c>
      <c r="I15" s="113">
        <v>5.2</v>
      </c>
      <c r="M15" s="99" t="s">
        <v>92</v>
      </c>
      <c r="N15" s="100" t="s">
        <v>266</v>
      </c>
      <c r="P15" s="401" t="s">
        <v>359</v>
      </c>
      <c r="Q15" s="402">
        <v>1</v>
      </c>
      <c r="U15" s="114" t="str">
        <f t="shared" si="0"/>
        <v>Jun2022</v>
      </c>
      <c r="V15" s="115" t="str">
        <f t="shared" si="1"/>
        <v>June 2022</v>
      </c>
    </row>
    <row r="16" spans="1:22" ht="30" x14ac:dyDescent="0.25">
      <c r="F16" s="111" t="s">
        <v>17</v>
      </c>
      <c r="H16" s="112" t="s">
        <v>43</v>
      </c>
      <c r="I16" s="113">
        <v>5.0999999999999996</v>
      </c>
      <c r="M16" s="99" t="s">
        <v>93</v>
      </c>
      <c r="N16" s="100" t="s">
        <v>267</v>
      </c>
      <c r="P16" s="401" t="s">
        <v>360</v>
      </c>
      <c r="Q16" s="402">
        <v>1</v>
      </c>
      <c r="U16" s="114" t="str">
        <f t="shared" si="0"/>
        <v>May2022</v>
      </c>
      <c r="V16" s="115" t="str">
        <f t="shared" si="1"/>
        <v>May 2022</v>
      </c>
    </row>
    <row r="17" spans="6:22" ht="30" x14ac:dyDescent="0.25">
      <c r="F17" s="111" t="s">
        <v>713</v>
      </c>
      <c r="H17" s="112" t="s">
        <v>14</v>
      </c>
      <c r="I17" s="113">
        <v>12</v>
      </c>
      <c r="M17" s="99" t="s">
        <v>94</v>
      </c>
      <c r="N17" s="100" t="s">
        <v>268</v>
      </c>
      <c r="P17" s="401" t="s">
        <v>361</v>
      </c>
      <c r="Q17" s="402">
        <v>1</v>
      </c>
      <c r="U17" s="114" t="str">
        <f t="shared" si="0"/>
        <v>Apr2022</v>
      </c>
      <c r="V17" s="115" t="str">
        <f t="shared" si="1"/>
        <v>April 2022</v>
      </c>
    </row>
    <row r="18" spans="6:22" ht="30" x14ac:dyDescent="0.25">
      <c r="F18" s="111" t="s">
        <v>18</v>
      </c>
      <c r="H18" s="112" t="s">
        <v>325</v>
      </c>
      <c r="I18" s="113" t="s">
        <v>331</v>
      </c>
      <c r="M18" s="99" t="s">
        <v>95</v>
      </c>
      <c r="N18" s="100" t="s">
        <v>269</v>
      </c>
      <c r="P18" s="401" t="s">
        <v>362</v>
      </c>
      <c r="Q18" s="402">
        <v>1</v>
      </c>
      <c r="U18" s="114" t="str">
        <f t="shared" si="0"/>
        <v>Mar2022</v>
      </c>
      <c r="V18" s="115" t="str">
        <f t="shared" si="1"/>
        <v>March 2022</v>
      </c>
    </row>
    <row r="19" spans="6:22" ht="30" x14ac:dyDescent="0.25">
      <c r="F19" s="111" t="s">
        <v>45</v>
      </c>
      <c r="H19" s="112" t="s">
        <v>44</v>
      </c>
      <c r="I19" s="113">
        <v>3</v>
      </c>
      <c r="M19" s="99" t="s">
        <v>96</v>
      </c>
      <c r="N19" s="101" t="s">
        <v>270</v>
      </c>
      <c r="P19" s="401" t="s">
        <v>363</v>
      </c>
      <c r="Q19" s="402">
        <v>1</v>
      </c>
      <c r="U19" s="114" t="str">
        <f t="shared" si="0"/>
        <v>Feb2022</v>
      </c>
      <c r="V19" s="115" t="str">
        <f t="shared" si="1"/>
        <v>February 2022</v>
      </c>
    </row>
    <row r="20" spans="6:22" ht="30" x14ac:dyDescent="0.25">
      <c r="F20" s="111" t="s">
        <v>19</v>
      </c>
      <c r="H20" s="112" t="s">
        <v>16</v>
      </c>
      <c r="I20" s="113">
        <v>23</v>
      </c>
      <c r="M20" s="99" t="s">
        <v>97</v>
      </c>
      <c r="N20" s="100" t="s">
        <v>271</v>
      </c>
      <c r="P20" s="403" t="s">
        <v>344</v>
      </c>
      <c r="Q20" s="404">
        <v>1</v>
      </c>
      <c r="U20" s="114" t="str">
        <f t="shared" si="0"/>
        <v>Jan2022</v>
      </c>
      <c r="V20" s="115" t="str">
        <f t="shared" si="1"/>
        <v>January 2022</v>
      </c>
    </row>
    <row r="21" spans="6:22" ht="30" x14ac:dyDescent="0.25">
      <c r="F21" s="111" t="s">
        <v>20</v>
      </c>
      <c r="H21" s="112" t="s">
        <v>17</v>
      </c>
      <c r="I21" s="113">
        <v>1</v>
      </c>
      <c r="M21" s="99" t="s">
        <v>98</v>
      </c>
      <c r="N21" s="100" t="s">
        <v>272</v>
      </c>
      <c r="U21" s="114" t="str">
        <f t="shared" si="0"/>
        <v>Dec2021</v>
      </c>
      <c r="V21" s="115" t="str">
        <f t="shared" si="1"/>
        <v>December 2021</v>
      </c>
    </row>
    <row r="22" spans="6:22" ht="30" x14ac:dyDescent="0.25">
      <c r="F22" s="111" t="s">
        <v>21</v>
      </c>
      <c r="H22" s="112" t="s">
        <v>19</v>
      </c>
      <c r="I22" s="113">
        <v>9</v>
      </c>
      <c r="M22" s="99" t="s">
        <v>99</v>
      </c>
      <c r="N22" s="100" t="s">
        <v>273</v>
      </c>
      <c r="U22" s="114" t="str">
        <f t="shared" si="0"/>
        <v>Nov2021</v>
      </c>
      <c r="V22" s="115" t="str">
        <f t="shared" si="1"/>
        <v>November 2021</v>
      </c>
    </row>
    <row r="23" spans="6:22" ht="30" x14ac:dyDescent="0.25">
      <c r="F23" s="111" t="s">
        <v>22</v>
      </c>
      <c r="H23" s="112" t="s">
        <v>45</v>
      </c>
      <c r="I23" s="113">
        <v>4</v>
      </c>
      <c r="M23" s="99" t="s">
        <v>100</v>
      </c>
      <c r="N23" s="100" t="s">
        <v>274</v>
      </c>
      <c r="U23" s="114" t="str">
        <f t="shared" si="0"/>
        <v>Oct2021</v>
      </c>
      <c r="V23" s="115" t="str">
        <f t="shared" si="1"/>
        <v>October 2021</v>
      </c>
    </row>
    <row r="24" spans="6:22" ht="45" x14ac:dyDescent="0.25">
      <c r="F24" s="111" t="s">
        <v>23</v>
      </c>
      <c r="H24" s="112" t="s">
        <v>20</v>
      </c>
      <c r="I24" s="113">
        <v>9</v>
      </c>
      <c r="M24" s="99" t="s">
        <v>101</v>
      </c>
      <c r="N24" s="100" t="s">
        <v>275</v>
      </c>
      <c r="U24" s="114" t="str">
        <f t="shared" si="0"/>
        <v>Sep2021</v>
      </c>
      <c r="V24" s="115" t="str">
        <f t="shared" si="1"/>
        <v>September 2021</v>
      </c>
    </row>
    <row r="25" spans="6:22" ht="30" x14ac:dyDescent="0.25">
      <c r="F25" s="111" t="s">
        <v>24</v>
      </c>
      <c r="H25" s="112" t="s">
        <v>21</v>
      </c>
      <c r="I25" s="113">
        <v>11</v>
      </c>
      <c r="M25" s="99" t="s">
        <v>102</v>
      </c>
      <c r="N25" s="100" t="s">
        <v>276</v>
      </c>
      <c r="U25" s="114" t="str">
        <f t="shared" si="0"/>
        <v>Aug2021</v>
      </c>
      <c r="V25" s="115" t="str">
        <f t="shared" si="1"/>
        <v>August 2021</v>
      </c>
    </row>
    <row r="26" spans="6:22" ht="30" x14ac:dyDescent="0.25">
      <c r="F26" s="111" t="s">
        <v>744</v>
      </c>
      <c r="H26" s="112" t="s">
        <v>46</v>
      </c>
      <c r="I26" s="113">
        <v>11.2</v>
      </c>
      <c r="M26" s="99" t="s">
        <v>103</v>
      </c>
      <c r="N26" s="100" t="s">
        <v>277</v>
      </c>
      <c r="U26" s="114" t="str">
        <f t="shared" si="0"/>
        <v>Jul2021</v>
      </c>
      <c r="V26" s="115" t="str">
        <f t="shared" si="1"/>
        <v>July 2021</v>
      </c>
    </row>
    <row r="27" spans="6:22" ht="30.75" customHeight="1" thickBot="1" x14ac:dyDescent="0.3">
      <c r="F27" s="119" t="s">
        <v>25</v>
      </c>
      <c r="H27" s="112" t="s">
        <v>47</v>
      </c>
      <c r="I27" s="113">
        <v>11.1</v>
      </c>
      <c r="M27" s="99" t="s">
        <v>104</v>
      </c>
      <c r="N27" s="100" t="s">
        <v>278</v>
      </c>
      <c r="U27" s="114" t="str">
        <f t="shared" si="0"/>
        <v>Jun2021</v>
      </c>
      <c r="V27" s="115" t="str">
        <f t="shared" si="1"/>
        <v>June 2021</v>
      </c>
    </row>
    <row r="28" spans="6:22" ht="30.75" customHeight="1" x14ac:dyDescent="0.25">
      <c r="H28" s="112" t="s">
        <v>326</v>
      </c>
      <c r="I28" s="113" t="s">
        <v>328</v>
      </c>
      <c r="M28" s="541" t="s">
        <v>26</v>
      </c>
      <c r="N28" s="542" t="str">
        <f>""</f>
        <v/>
      </c>
      <c r="U28" s="114" t="str">
        <f t="shared" si="0"/>
        <v>May2021</v>
      </c>
      <c r="V28" s="115" t="str">
        <f t="shared" si="1"/>
        <v>May 2021</v>
      </c>
    </row>
    <row r="29" spans="6:22" ht="30.75" customHeight="1" thickBot="1" x14ac:dyDescent="0.3">
      <c r="H29" s="112" t="s">
        <v>324</v>
      </c>
      <c r="I29" s="113" t="s">
        <v>330</v>
      </c>
      <c r="M29" s="102" t="s">
        <v>379</v>
      </c>
      <c r="N29" s="103" t="str">
        <f>""</f>
        <v/>
      </c>
      <c r="U29" s="114" t="str">
        <f t="shared" si="0"/>
        <v>Apr2021</v>
      </c>
      <c r="V29" s="115" t="str">
        <f t="shared" si="1"/>
        <v>April 2021</v>
      </c>
    </row>
    <row r="30" spans="6:22" ht="30.75" customHeight="1" thickBot="1" x14ac:dyDescent="0.3">
      <c r="H30" s="112" t="s">
        <v>327</v>
      </c>
      <c r="I30" s="113" t="s">
        <v>329</v>
      </c>
      <c r="N30" s="18"/>
      <c r="U30" s="725" t="str">
        <f t="shared" si="0"/>
        <v>Mar2021</v>
      </c>
      <c r="V30" s="726" t="str">
        <f t="shared" si="1"/>
        <v>March 2021</v>
      </c>
    </row>
    <row r="31" spans="6:22" ht="30.75" customHeight="1" x14ac:dyDescent="0.25">
      <c r="H31" s="112" t="s">
        <v>23</v>
      </c>
      <c r="I31" s="113">
        <v>17</v>
      </c>
      <c r="N31" s="18"/>
    </row>
    <row r="32" spans="6:22" ht="30.75" customHeight="1" x14ac:dyDescent="0.25">
      <c r="H32" s="112" t="s">
        <v>48</v>
      </c>
      <c r="I32" s="113">
        <v>17.2</v>
      </c>
      <c r="N32" s="18"/>
    </row>
    <row r="33" spans="8:14" ht="30.75" customHeight="1" x14ac:dyDescent="0.25">
      <c r="H33" s="112" t="s">
        <v>49</v>
      </c>
      <c r="I33" s="113">
        <v>17.100000000000001</v>
      </c>
      <c r="N33" s="18"/>
    </row>
    <row r="34" spans="8:14" ht="30.75" customHeight="1" x14ac:dyDescent="0.25">
      <c r="H34" s="112" t="s">
        <v>50</v>
      </c>
      <c r="I34" s="113">
        <v>19.2</v>
      </c>
      <c r="N34" s="18"/>
    </row>
    <row r="35" spans="8:14" ht="30.75" customHeight="1" x14ac:dyDescent="0.25">
      <c r="H35" s="112" t="s">
        <v>51</v>
      </c>
      <c r="I35" s="113">
        <v>21.1</v>
      </c>
      <c r="N35" s="18"/>
    </row>
    <row r="36" spans="8:14" ht="30.75" customHeight="1" x14ac:dyDescent="0.25">
      <c r="H36" s="112" t="s">
        <v>24</v>
      </c>
      <c r="I36" s="113">
        <v>18</v>
      </c>
      <c r="N36" s="18"/>
    </row>
    <row r="37" spans="8:14" ht="30.75" customHeight="1" x14ac:dyDescent="0.25">
      <c r="H37" s="112" t="s">
        <v>52</v>
      </c>
      <c r="I37" s="113">
        <v>18.2</v>
      </c>
      <c r="N37" s="18"/>
    </row>
    <row r="38" spans="8:14" ht="30.75" customHeight="1" x14ac:dyDescent="0.25">
      <c r="H38" s="112" t="s">
        <v>53</v>
      </c>
      <c r="I38" s="113">
        <v>18.100000000000001</v>
      </c>
      <c r="N38" s="18"/>
    </row>
    <row r="39" spans="8:14" ht="30.75" customHeight="1" x14ac:dyDescent="0.25">
      <c r="H39" s="112" t="s">
        <v>25</v>
      </c>
      <c r="I39" s="113">
        <v>24</v>
      </c>
      <c r="N39" s="18"/>
    </row>
    <row r="40" spans="8:14" ht="30" customHeight="1" x14ac:dyDescent="0.25">
      <c r="H40" s="399" t="s">
        <v>680</v>
      </c>
      <c r="I40" s="400"/>
      <c r="N40" s="18"/>
    </row>
    <row r="41" spans="8:14" ht="30" customHeight="1" x14ac:dyDescent="0.25">
      <c r="H41" s="401"/>
      <c r="I41" s="506"/>
      <c r="N41" s="18"/>
    </row>
    <row r="42" spans="8:14" ht="30" customHeight="1" x14ac:dyDescent="0.25">
      <c r="H42" s="401" t="s">
        <v>50</v>
      </c>
      <c r="I42" s="506">
        <f ca="1">IF(ISNA(OFFSET($I$6,MATCH($H42,$H$7:$H$39),0)),"",OFFSET($I$6,MATCH($H42,$H$7:$H$39),0))</f>
        <v>19.2</v>
      </c>
      <c r="N42" s="18"/>
    </row>
    <row r="43" spans="8:14" ht="30" customHeight="1" x14ac:dyDescent="0.25">
      <c r="H43" s="401" t="s">
        <v>51</v>
      </c>
      <c r="I43" s="506">
        <f ca="1">IF(ISNA(OFFSET($I$6,MATCH($H43,$H$7:$H$39),0)),"",OFFSET($I$6,MATCH($H43,$H$7:$H$39),0))</f>
        <v>21.1</v>
      </c>
      <c r="N43" s="18"/>
    </row>
    <row r="44" spans="8:14" ht="30" customHeight="1" x14ac:dyDescent="0.25">
      <c r="H44" s="401"/>
      <c r="I44" s="506" t="str">
        <f ca="1">IF(ISNA(OFFSET($I$6,MATCH($H44,$H$7:$H$39),0)),"",OFFSET($I$6,MATCH($H44,$H$7:$H$39),0))</f>
        <v/>
      </c>
      <c r="N44" s="18"/>
    </row>
    <row r="45" spans="8:14" ht="30" customHeight="1" x14ac:dyDescent="0.25">
      <c r="H45" s="401"/>
      <c r="I45" s="506" t="str">
        <f t="shared" ref="I45:I50" ca="1" si="2">IF(ISNA(OFFSET($I$6,MATCH($H45,$H$7:$H$39),0)),"",OFFSET($I$6,MATCH($H45,$H$7:$H$39),0))</f>
        <v/>
      </c>
      <c r="N45" s="18"/>
    </row>
    <row r="46" spans="8:14" ht="30" customHeight="1" x14ac:dyDescent="0.25">
      <c r="H46" s="401"/>
      <c r="I46" s="506" t="str">
        <f t="shared" ca="1" si="2"/>
        <v/>
      </c>
      <c r="N46" s="18"/>
    </row>
    <row r="47" spans="8:14" ht="30" customHeight="1" x14ac:dyDescent="0.25">
      <c r="H47" s="401"/>
      <c r="I47" s="506" t="str">
        <f t="shared" ca="1" si="2"/>
        <v/>
      </c>
      <c r="N47" s="18"/>
    </row>
    <row r="48" spans="8:14" ht="30" customHeight="1" x14ac:dyDescent="0.25">
      <c r="H48" s="401"/>
      <c r="I48" s="506" t="str">
        <f t="shared" ca="1" si="2"/>
        <v/>
      </c>
      <c r="N48" s="18"/>
    </row>
    <row r="49" spans="8:14" ht="30" customHeight="1" x14ac:dyDescent="0.25">
      <c r="H49" s="401"/>
      <c r="I49" s="506" t="str">
        <f t="shared" ca="1" si="2"/>
        <v/>
      </c>
      <c r="N49" s="18"/>
    </row>
    <row r="50" spans="8:14" ht="30" customHeight="1" x14ac:dyDescent="0.25">
      <c r="H50" s="403"/>
      <c r="I50" s="544" t="str">
        <f t="shared" ca="1" si="2"/>
        <v/>
      </c>
      <c r="N50" s="18"/>
    </row>
    <row r="51" spans="8:14" ht="30" customHeight="1" x14ac:dyDescent="0.25">
      <c r="N51" s="18"/>
    </row>
    <row r="52" spans="8:14" ht="30" customHeight="1" x14ac:dyDescent="0.25"/>
    <row r="53" spans="8:14" ht="30" customHeight="1" x14ac:dyDescent="0.25"/>
    <row r="54" spans="8:14" ht="30" customHeight="1" x14ac:dyDescent="0.25"/>
    <row r="55" spans="8:14" ht="30" customHeight="1" x14ac:dyDescent="0.25"/>
    <row r="56" spans="8:14" ht="30" customHeight="1" x14ac:dyDescent="0.25"/>
    <row r="57" spans="8:14" ht="30" customHeight="1" x14ac:dyDescent="0.25"/>
    <row r="58" spans="8:14" ht="30" customHeight="1" x14ac:dyDescent="0.25"/>
    <row r="59" spans="8:14" ht="30" customHeight="1" x14ac:dyDescent="0.25"/>
    <row r="60" spans="8:14" ht="30" customHeight="1" x14ac:dyDescent="0.25"/>
    <row r="61" spans="8:14" ht="30" customHeight="1" x14ac:dyDescent="0.25"/>
    <row r="62" spans="8:14" ht="30" customHeight="1" x14ac:dyDescent="0.25"/>
    <row r="63" spans="8:14" ht="30" customHeight="1" x14ac:dyDescent="0.25"/>
    <row r="64" spans="8:14" ht="30" customHeight="1" x14ac:dyDescent="0.25"/>
    <row r="65" ht="30" customHeight="1" x14ac:dyDescent="0.25"/>
    <row r="66" ht="30" customHeight="1" x14ac:dyDescent="0.25"/>
    <row r="67" ht="30" customHeight="1" x14ac:dyDescent="0.25"/>
    <row r="68" ht="30" customHeight="1" x14ac:dyDescent="0.25"/>
    <row r="69" ht="30" customHeight="1" x14ac:dyDescent="0.25"/>
    <row r="70" ht="30" customHeight="1" x14ac:dyDescent="0.25"/>
    <row r="71" ht="30" customHeight="1" x14ac:dyDescent="0.25"/>
    <row r="72" ht="30" customHeight="1" x14ac:dyDescent="0.25"/>
    <row r="73" ht="30" customHeight="1" x14ac:dyDescent="0.25"/>
    <row r="74" ht="30" customHeight="1" x14ac:dyDescent="0.25"/>
    <row r="75" ht="30" customHeight="1" x14ac:dyDescent="0.25"/>
    <row r="76" ht="30" customHeight="1" x14ac:dyDescent="0.25"/>
    <row r="78" ht="30" customHeight="1" x14ac:dyDescent="0.25"/>
  </sheetData>
  <sheetProtection algorithmName="SHA-512" hashValue="J40K6SLrHIObRbUvL6F2O5zK9Fd7huS6HOud4wbfb2qv8Isft3/Z+PTq5DXeVD43bEAhbam7QhtRQfbQbeK7Mg==" saltValue="iuhPQYfEeB2pFdQFOJveAg==" spinCount="100000" sheet="1" objects="1" scenarios="1" formatColumns="0" formatRows="0" sort="0"/>
  <printOptions horizontalCentered="1"/>
  <pageMargins left="0.2" right="0.45" top="0.5" bottom="0.5" header="0.3" footer="0.3"/>
  <pageSetup scale="26" orientation="landscape" r:id="rId1"/>
  <headerFooter>
    <oddFooter>&amp;L01/11/2022 Edition</oddFooter>
  </headerFooter>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9">
    <tabColor theme="0" tint="-0.14999847407452621"/>
  </sheetPr>
  <dimension ref="A1:D22"/>
  <sheetViews>
    <sheetView showGridLines="0" view="pageBreakPreview" zoomScaleNormal="100" zoomScaleSheetLayoutView="100" workbookViewId="0"/>
  </sheetViews>
  <sheetFormatPr defaultRowHeight="15" x14ac:dyDescent="0.25"/>
  <cols>
    <col min="1" max="1" width="3.140625" customWidth="1"/>
    <col min="2" max="2" width="100.7109375" customWidth="1"/>
    <col min="3" max="3" width="2.28515625" customWidth="1"/>
    <col min="4" max="4" width="100.7109375" customWidth="1"/>
  </cols>
  <sheetData>
    <row r="1" spans="1:4" ht="26.25" x14ac:dyDescent="0.25">
      <c r="A1" s="230" t="s">
        <v>285</v>
      </c>
      <c r="B1" s="230"/>
      <c r="C1" s="230" t="s">
        <v>705</v>
      </c>
      <c r="D1" s="123"/>
    </row>
    <row r="2" spans="1:4" ht="26.25" x14ac:dyDescent="0.25">
      <c r="A2" s="230" t="s">
        <v>381</v>
      </c>
      <c r="B2" s="3"/>
      <c r="C2" s="230" t="s">
        <v>501</v>
      </c>
      <c r="D2" s="123"/>
    </row>
    <row r="3" spans="1:4" ht="26.25" customHeight="1" x14ac:dyDescent="0.25">
      <c r="A3" s="230"/>
      <c r="B3" s="3"/>
      <c r="C3" s="3"/>
    </row>
    <row r="4" spans="1:4" ht="47.25" x14ac:dyDescent="0.25">
      <c r="A4" s="227"/>
      <c r="B4" s="228" t="s">
        <v>652</v>
      </c>
      <c r="C4" s="228"/>
    </row>
    <row r="5" spans="1:4" ht="27" thickBot="1" x14ac:dyDescent="0.3">
      <c r="A5" s="225"/>
      <c r="B5" s="229" t="s">
        <v>27</v>
      </c>
      <c r="C5" s="229"/>
      <c r="D5" s="97"/>
    </row>
    <row r="6" spans="1:4" ht="15" customHeight="1" x14ac:dyDescent="0.25">
      <c r="A6" s="227"/>
      <c r="B6" s="231"/>
      <c r="C6" s="231"/>
    </row>
    <row r="7" spans="1:4" ht="75" customHeight="1" x14ac:dyDescent="0.25">
      <c r="A7" s="130" t="s">
        <v>642</v>
      </c>
      <c r="B7" s="194" t="s">
        <v>658</v>
      </c>
      <c r="C7" s="130" t="s">
        <v>642</v>
      </c>
      <c r="D7" s="511" t="s">
        <v>694</v>
      </c>
    </row>
    <row r="8" spans="1:4" ht="32.25" x14ac:dyDescent="0.25">
      <c r="A8" s="130" t="s">
        <v>643</v>
      </c>
      <c r="B8" s="511" t="s">
        <v>636</v>
      </c>
      <c r="C8" s="130" t="s">
        <v>643</v>
      </c>
      <c r="D8" s="15" t="s">
        <v>660</v>
      </c>
    </row>
    <row r="9" spans="1:4" ht="99.95" customHeight="1" x14ac:dyDescent="0.25">
      <c r="A9" s="130" t="s">
        <v>644</v>
      </c>
      <c r="B9" s="511" t="s">
        <v>654</v>
      </c>
      <c r="C9" s="130" t="s">
        <v>644</v>
      </c>
      <c r="D9" s="15" t="s">
        <v>307</v>
      </c>
    </row>
    <row r="10" spans="1:4" ht="75" x14ac:dyDescent="0.25">
      <c r="A10" s="130" t="s">
        <v>645</v>
      </c>
      <c r="B10" s="511" t="s">
        <v>637</v>
      </c>
      <c r="C10" s="130" t="s">
        <v>645</v>
      </c>
      <c r="D10" s="15" t="s">
        <v>308</v>
      </c>
    </row>
    <row r="11" spans="1:4" ht="69.95" customHeight="1" x14ac:dyDescent="0.25">
      <c r="A11" s="130" t="s">
        <v>646</v>
      </c>
      <c r="B11" s="511" t="s">
        <v>638</v>
      </c>
      <c r="C11" s="130" t="s">
        <v>646</v>
      </c>
      <c r="D11" s="15" t="s">
        <v>309</v>
      </c>
    </row>
    <row r="12" spans="1:4" ht="60" x14ac:dyDescent="0.25">
      <c r="A12" s="130" t="s">
        <v>647</v>
      </c>
      <c r="B12" s="511" t="s">
        <v>639</v>
      </c>
      <c r="C12" s="130"/>
    </row>
    <row r="13" spans="1:4" ht="54.95" customHeight="1" x14ac:dyDescent="0.25">
      <c r="A13" s="130" t="s">
        <v>648</v>
      </c>
      <c r="B13" s="511" t="s">
        <v>640</v>
      </c>
      <c r="C13" s="130"/>
    </row>
    <row r="14" spans="1:4" ht="54.95" customHeight="1" x14ac:dyDescent="0.25">
      <c r="A14" s="130" t="s">
        <v>649</v>
      </c>
      <c r="B14" s="511" t="s">
        <v>659</v>
      </c>
      <c r="C14" s="130"/>
    </row>
    <row r="15" spans="1:4" ht="39.950000000000003" customHeight="1" x14ac:dyDescent="0.25">
      <c r="A15" s="130" t="s">
        <v>650</v>
      </c>
      <c r="B15" s="511" t="s">
        <v>641</v>
      </c>
      <c r="C15" s="130"/>
      <c r="D15" s="299"/>
    </row>
    <row r="16" spans="1:4" ht="24.95" customHeight="1" x14ac:dyDescent="0.25">
      <c r="A16" s="130" t="s">
        <v>651</v>
      </c>
      <c r="B16" s="15" t="s">
        <v>309</v>
      </c>
      <c r="C16" s="226"/>
    </row>
    <row r="17" spans="1:3" ht="90" customHeight="1" x14ac:dyDescent="0.25">
      <c r="A17" s="130"/>
      <c r="B17" s="194"/>
      <c r="C17" s="226"/>
    </row>
    <row r="19" spans="1:3" x14ac:dyDescent="0.25">
      <c r="B19" s="511"/>
    </row>
    <row r="22" spans="1:3" x14ac:dyDescent="0.25">
      <c r="B22" s="511"/>
    </row>
  </sheetData>
  <sheetProtection algorithmName="SHA-512" hashValue="ZrDPgYAoqkeK/zFVB1TYMQ9j0HYKigjHViQvorjiopQBXMOndzJMB3ycNsuEwZCpRgcXraR6+lazjcBoPudsAA==" saltValue="Yw9LnYWgAH9Wv8khD8DQTQ==" spinCount="100000" sheet="1" objects="1" scenarios="1" formatColumns="0" formatRows="0" sort="0"/>
  <hyperlinks>
    <hyperlink ref="B5" r:id="rId1" xr:uid="{00000000-0004-0000-0200-000000000000}"/>
  </hyperlinks>
  <pageMargins left="0.7" right="0.7" top="0.75" bottom="0.75" header="0.3" footer="0.3"/>
  <pageSetup scale="86" orientation="portrait" r:id="rId2"/>
  <headerFooter>
    <oddFooter>&amp;CPrior Approval Rate Template&amp;L01/11/2022 Edition</oddFooter>
  </headerFooter>
  <colBreaks count="1" manualBreakCount="1">
    <brk id="2" max="1048575" man="1"/>
  </colBreak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0000FF"/>
  </sheetPr>
  <dimension ref="A1:J53"/>
  <sheetViews>
    <sheetView showGridLines="0" view="pageBreakPreview" topLeftCell="A31" zoomScaleNormal="100" zoomScaleSheetLayoutView="100" workbookViewId="0">
      <selection activeCell="D39" sqref="D39"/>
    </sheetView>
  </sheetViews>
  <sheetFormatPr defaultRowHeight="15" x14ac:dyDescent="0.25"/>
  <cols>
    <col min="1" max="1" width="44.7109375" style="7" customWidth="1"/>
    <col min="2" max="2" width="5.7109375" style="7" customWidth="1"/>
    <col min="3" max="3" width="23.85546875" style="7" customWidth="1"/>
    <col min="4" max="6" width="12.7109375" style="7" customWidth="1"/>
    <col min="7" max="7" width="20.7109375" style="7" customWidth="1"/>
    <col min="8" max="8" width="0.85546875" style="7" customWidth="1"/>
    <col min="9" max="9" width="5.28515625" style="7" hidden="1" customWidth="1"/>
    <col min="10" max="10" width="195.42578125" style="6" bestFit="1" customWidth="1"/>
    <col min="11" max="16384" width="9.140625" style="7"/>
  </cols>
  <sheetData>
    <row r="1" spans="1:10" ht="15.75" thickBot="1" x14ac:dyDescent="0.3">
      <c r="A1" s="10" t="s">
        <v>31</v>
      </c>
      <c r="B1" s="10"/>
      <c r="E1" s="10" t="s">
        <v>33</v>
      </c>
      <c r="G1" s="12" t="str">
        <f>Co_Name</f>
        <v>State Farm Mutual Automobile Insurance Company</v>
      </c>
      <c r="H1" s="12"/>
      <c r="J1" s="86" t="s">
        <v>662</v>
      </c>
    </row>
    <row r="2" spans="1:10" x14ac:dyDescent="0.25">
      <c r="A2" s="10" t="s">
        <v>32</v>
      </c>
      <c r="B2" s="10"/>
      <c r="E2" s="10" t="s">
        <v>34</v>
      </c>
      <c r="G2" s="12" t="str">
        <f>General_Line</f>
        <v>Auto Liability and Physical Damage</v>
      </c>
      <c r="H2" s="12"/>
      <c r="J2" s="207" t="s">
        <v>113</v>
      </c>
    </row>
    <row r="3" spans="1:10" ht="18" customHeight="1" x14ac:dyDescent="0.25">
      <c r="A3" s="10"/>
      <c r="B3" s="10"/>
      <c r="C3" s="186"/>
      <c r="I3" s="12"/>
      <c r="J3" s="262"/>
    </row>
    <row r="4" spans="1:10" ht="23.25" x14ac:dyDescent="0.25">
      <c r="A4" s="4" t="s">
        <v>656</v>
      </c>
      <c r="B4" s="4"/>
      <c r="C4" s="5"/>
      <c r="D4" s="5"/>
      <c r="E4" s="5"/>
      <c r="F4" s="5"/>
      <c r="G4" s="5"/>
      <c r="H4" s="5"/>
      <c r="I4" s="5"/>
      <c r="J4" s="262"/>
    </row>
    <row r="5" spans="1:10" ht="23.25" x14ac:dyDescent="0.25">
      <c r="A5" s="4" t="s">
        <v>657</v>
      </c>
      <c r="B5" s="4"/>
      <c r="C5" s="5"/>
      <c r="D5" s="5"/>
      <c r="E5" s="5"/>
      <c r="F5" s="5"/>
      <c r="G5" s="5"/>
      <c r="H5" s="5"/>
      <c r="I5" s="5"/>
      <c r="J5" s="263"/>
    </row>
    <row r="6" spans="1:10" ht="18" customHeight="1" x14ac:dyDescent="0.25">
      <c r="A6" s="8"/>
      <c r="B6" s="4"/>
      <c r="C6" s="5"/>
      <c r="D6" s="5"/>
      <c r="E6" s="5"/>
      <c r="F6" s="5"/>
      <c r="G6" s="5"/>
      <c r="H6" s="5"/>
      <c r="I6" s="5"/>
      <c r="J6" s="262"/>
    </row>
    <row r="7" spans="1:10" ht="18" customHeight="1" x14ac:dyDescent="0.25">
      <c r="A7" s="4"/>
      <c r="B7" s="4"/>
      <c r="C7" s="5"/>
      <c r="D7" s="5"/>
      <c r="E7" s="5"/>
      <c r="F7" s="5"/>
      <c r="G7" s="5"/>
      <c r="H7" s="5"/>
      <c r="I7" s="5"/>
      <c r="J7" s="262"/>
    </row>
    <row r="8" spans="1:10" ht="18" customHeight="1" x14ac:dyDescent="0.25">
      <c r="A8" s="8" t="s">
        <v>1</v>
      </c>
      <c r="B8" s="8"/>
      <c r="C8" s="296" t="s">
        <v>755</v>
      </c>
      <c r="D8" s="6"/>
      <c r="E8" s="311" t="s">
        <v>741</v>
      </c>
      <c r="F8" s="303">
        <v>44816</v>
      </c>
      <c r="G8" s="6"/>
      <c r="H8" s="6"/>
      <c r="I8" s="6"/>
      <c r="J8" s="283" t="str">
        <f>IF(ISBLANK(F8),"← Warning! Enter the last modified date of this Excel file.",
IF(ISERROR(VALUE(F8)),"← Warning! Date is not being read as a date value; re-enter date information according to your system date format.",""))</f>
        <v/>
      </c>
    </row>
    <row r="9" spans="1:10" ht="9.9499999999999993" customHeight="1" x14ac:dyDescent="0.25">
      <c r="A9" s="6"/>
      <c r="B9" s="6"/>
      <c r="C9" s="6"/>
      <c r="D9" s="6"/>
      <c r="E9" s="6"/>
      <c r="F9" s="6"/>
      <c r="G9" s="6"/>
      <c r="H9" s="6"/>
      <c r="I9" s="6"/>
      <c r="J9" s="263"/>
    </row>
    <row r="10" spans="1:10" ht="18" customHeight="1" x14ac:dyDescent="0.25">
      <c r="A10" s="8" t="s">
        <v>366</v>
      </c>
      <c r="B10" s="8"/>
      <c r="C10" s="478"/>
      <c r="D10" s="6"/>
      <c r="E10" s="311" t="s">
        <v>740</v>
      </c>
      <c r="F10" s="303">
        <v>44819</v>
      </c>
      <c r="G10" s="6"/>
      <c r="H10" s="6"/>
      <c r="I10" s="6"/>
      <c r="J10" s="283" t="str">
        <f>IF(ISBLANK(F10),"← ERROR! Enter the original SERFF submission date of this filing.",
IF(ISERROR(VALUE(F10)),"← ERROR! Date is not being read as a date value; re-enter date information according to your system date format.",""))</f>
        <v/>
      </c>
    </row>
    <row r="11" spans="1:10" ht="18" customHeight="1" x14ac:dyDescent="0.25">
      <c r="A11" s="6"/>
      <c r="B11" s="6"/>
      <c r="C11" s="297"/>
      <c r="D11" s="6"/>
      <c r="E11" s="6"/>
      <c r="F11" s="6"/>
      <c r="I11" s="9"/>
      <c r="J11" s="263"/>
    </row>
    <row r="12" spans="1:10" ht="15" customHeight="1" x14ac:dyDescent="0.25">
      <c r="A12" s="6"/>
      <c r="B12" s="6"/>
      <c r="C12" s="6"/>
      <c r="D12" s="6"/>
      <c r="E12" s="6"/>
      <c r="F12" s="6"/>
      <c r="G12" s="293"/>
      <c r="H12" s="293"/>
      <c r="I12" s="273"/>
      <c r="J12" s="263"/>
    </row>
    <row r="13" spans="1:10" ht="15" customHeight="1" x14ac:dyDescent="0.25">
      <c r="A13" s="8" t="s">
        <v>0</v>
      </c>
      <c r="B13" s="8"/>
      <c r="C13" s="746" t="s">
        <v>756</v>
      </c>
      <c r="D13" s="747"/>
      <c r="E13" s="747"/>
      <c r="F13" s="748"/>
      <c r="G13" s="293"/>
      <c r="H13" s="293"/>
      <c r="I13" s="273"/>
      <c r="J13" s="263"/>
    </row>
    <row r="14" spans="1:10" ht="15" customHeight="1" x14ac:dyDescent="0.25">
      <c r="A14" s="8"/>
      <c r="B14" s="8"/>
      <c r="C14" s="8"/>
      <c r="D14" s="8"/>
      <c r="E14" s="8"/>
      <c r="F14" s="8"/>
      <c r="G14" s="293"/>
      <c r="H14" s="293"/>
      <c r="I14" s="273"/>
      <c r="J14" s="263"/>
    </row>
    <row r="15" spans="1:10" ht="15" customHeight="1" x14ac:dyDescent="0.25">
      <c r="A15" s="130" t="s">
        <v>155</v>
      </c>
      <c r="B15" s="130"/>
      <c r="C15" s="1"/>
      <c r="D15" s="301" t="s">
        <v>79</v>
      </c>
      <c r="E15" s="301" t="s">
        <v>80</v>
      </c>
      <c r="F15" s="301" t="s">
        <v>81</v>
      </c>
      <c r="G15" s="293"/>
      <c r="H15" s="293"/>
      <c r="I15" s="273"/>
      <c r="J15" s="263"/>
    </row>
    <row r="16" spans="1:10" ht="15" customHeight="1" x14ac:dyDescent="0.25">
      <c r="A16" s="130"/>
      <c r="B16" s="130"/>
      <c r="C16" s="130"/>
      <c r="D16" s="302">
        <v>1</v>
      </c>
      <c r="E16" s="302"/>
      <c r="F16" s="302"/>
      <c r="G16" s="294"/>
      <c r="H16" s="294"/>
      <c r="I16" s="292"/>
      <c r="J16" s="283" t="str">
        <f>IF(SUM($D$16:$F$16)&lt;&gt;1,"← ERROR! Sum of all marketing systems must add to 100%.","")</f>
        <v/>
      </c>
    </row>
    <row r="17" spans="1:10" ht="15" customHeight="1" x14ac:dyDescent="0.25">
      <c r="A17" s="8"/>
      <c r="B17" s="8"/>
      <c r="C17" s="8"/>
      <c r="D17" s="8"/>
      <c r="E17" s="8"/>
      <c r="F17" s="8"/>
      <c r="G17" s="295"/>
      <c r="H17" s="295"/>
      <c r="I17" s="273"/>
      <c r="J17" s="263"/>
    </row>
    <row r="18" spans="1:10" ht="15" customHeight="1" x14ac:dyDescent="0.25">
      <c r="A18" s="8" t="s">
        <v>4</v>
      </c>
      <c r="B18" s="8"/>
      <c r="C18" s="8"/>
      <c r="D18" s="8"/>
      <c r="E18" s="8"/>
      <c r="F18" s="8"/>
      <c r="G18" s="295"/>
      <c r="H18" s="295"/>
      <c r="I18" s="273"/>
      <c r="J18" s="283" t="str">
        <f>IF(INDEX(List_LineType,References!$D$5,1)="","← ERROR! Select a Line Type from the pull-down menu.","")</f>
        <v/>
      </c>
    </row>
    <row r="19" spans="1:10" ht="15" customHeight="1" x14ac:dyDescent="0.25">
      <c r="A19" s="8"/>
      <c r="B19" s="8"/>
      <c r="C19" s="8"/>
      <c r="D19" s="8"/>
      <c r="E19" s="8"/>
      <c r="F19" s="8"/>
      <c r="G19" s="295"/>
      <c r="H19" s="295"/>
      <c r="I19" s="273"/>
      <c r="J19" s="263"/>
    </row>
    <row r="20" spans="1:10" ht="15" customHeight="1" x14ac:dyDescent="0.25">
      <c r="A20" s="8" t="s">
        <v>7</v>
      </c>
      <c r="B20" s="8"/>
      <c r="C20" s="8"/>
      <c r="D20" s="8"/>
      <c r="E20" s="8"/>
      <c r="F20" s="8"/>
      <c r="G20" s="293"/>
      <c r="H20" s="293"/>
      <c r="I20" s="273"/>
      <c r="J20" s="283" t="str">
        <f>IF(INDEX(List_GeneralLine,References!$F$5,1)="","← ERROR! Select a General Line from the pull-down menu.","")</f>
        <v/>
      </c>
    </row>
    <row r="21" spans="1:10" ht="15" customHeight="1" x14ac:dyDescent="0.25">
      <c r="A21" s="8"/>
      <c r="B21" s="8"/>
      <c r="C21" s="8"/>
      <c r="D21" s="8"/>
      <c r="E21" s="8"/>
      <c r="F21" s="8"/>
      <c r="G21" s="295"/>
      <c r="H21" s="295"/>
      <c r="I21" s="273"/>
      <c r="J21" s="263"/>
    </row>
    <row r="22" spans="1:10" ht="15" customHeight="1" x14ac:dyDescent="0.25">
      <c r="A22" s="8"/>
      <c r="B22" s="8"/>
      <c r="C22" s="8"/>
      <c r="D22" s="8"/>
      <c r="E22" s="8"/>
      <c r="F22" s="8"/>
      <c r="G22" s="295"/>
      <c r="H22" s="295"/>
      <c r="I22" s="273"/>
      <c r="J22" s="283"/>
    </row>
    <row r="23" spans="1:10" ht="15" customHeight="1" x14ac:dyDescent="0.25">
      <c r="A23" s="130" t="s">
        <v>82</v>
      </c>
      <c r="B23" s="130"/>
      <c r="C23" s="130"/>
      <c r="D23" s="303">
        <v>45061</v>
      </c>
      <c r="E23" s="8"/>
      <c r="F23" s="8"/>
      <c r="G23" s="295"/>
      <c r="H23" s="295"/>
      <c r="I23" s="273"/>
      <c r="J23" s="475" t="str">
        <f>IF(ISBLANK($D$23),"← ERROR! Enter a proposed effective date.",IF($D$23&lt;=$D$22,"← ERROR! Proposed effective date must be after prior effective date.",""))</f>
        <v/>
      </c>
    </row>
    <row r="24" spans="1:10" ht="15" customHeight="1" x14ac:dyDescent="0.25">
      <c r="A24" s="8"/>
      <c r="B24" s="8"/>
      <c r="C24" s="8"/>
      <c r="D24" s="8"/>
      <c r="E24" s="8"/>
      <c r="F24" s="8"/>
      <c r="G24" s="295"/>
      <c r="H24" s="295"/>
      <c r="I24" s="273"/>
      <c r="J24" s="263"/>
    </row>
    <row r="25" spans="1:10" ht="15" customHeight="1" x14ac:dyDescent="0.25">
      <c r="A25" s="8" t="s">
        <v>364</v>
      </c>
      <c r="B25" s="8"/>
      <c r="C25" s="8" t="s">
        <v>703</v>
      </c>
      <c r="D25" s="8"/>
      <c r="E25" s="395" t="str">
        <f>IF(Settings!$E$24=FALSE,"(LCM Calculation(s) is(are) hidden unless this box is checked.)","")</f>
        <v>(LCM Calculation(s) is(are) hidden unless this box is checked.)</v>
      </c>
      <c r="F25" s="8"/>
      <c r="G25" s="295"/>
      <c r="H25" s="295"/>
      <c r="I25" s="273"/>
      <c r="J25" s="263"/>
    </row>
    <row r="26" spans="1:10" ht="15" customHeight="1" x14ac:dyDescent="0.25">
      <c r="A26" s="6"/>
      <c r="B26" s="6"/>
      <c r="C26" s="6"/>
      <c r="D26" s="6"/>
      <c r="E26" s="6"/>
      <c r="F26" s="6"/>
      <c r="G26" s="295"/>
      <c r="H26" s="295"/>
      <c r="I26" s="273"/>
      <c r="J26" s="263"/>
    </row>
    <row r="27" spans="1:10" ht="18" customHeight="1" x14ac:dyDescent="0.25">
      <c r="A27" s="130" t="s">
        <v>365</v>
      </c>
      <c r="B27" s="6"/>
      <c r="C27" s="6"/>
      <c r="D27" s="6"/>
      <c r="E27" s="6"/>
      <c r="F27" s="6"/>
      <c r="G27" s="295"/>
      <c r="H27" s="295"/>
      <c r="I27" s="273"/>
      <c r="J27" s="263"/>
    </row>
    <row r="28" spans="1:10" ht="15" customHeight="1" x14ac:dyDescent="0.25">
      <c r="A28" s="8"/>
      <c r="B28" s="8"/>
      <c r="C28" s="6"/>
      <c r="D28" s="6"/>
      <c r="E28" s="6"/>
      <c r="F28" s="6"/>
      <c r="G28" s="295"/>
      <c r="H28" s="295"/>
      <c r="I28" s="273"/>
      <c r="J28" s="263"/>
    </row>
    <row r="29" spans="1:10" ht="15" customHeight="1" x14ac:dyDescent="0.25">
      <c r="A29" s="8" t="s">
        <v>387</v>
      </c>
      <c r="B29" s="8"/>
      <c r="C29" s="413">
        <v>20221</v>
      </c>
      <c r="D29" s="6"/>
      <c r="E29" s="6"/>
      <c r="F29" s="6"/>
      <c r="G29" s="295"/>
      <c r="H29" s="295"/>
      <c r="I29" s="273"/>
      <c r="J29" s="620" t="str">
        <f>IF(New_Program=TRUE,"",
IF(OR(AND(RIGHT(MstRcntDataYr,1)&lt;&gt;"1",RIGHT(MstRcntDataYr,1)&lt;&gt;"2",RIGHT(MstRcntDataYr,1)&lt;&gt;"3",RIGHT(MstRcntDataYr,1)&lt;&gt;"4"),AND(LEFT(MstRcntDataYr,4)&lt;"2013",LEFT(MstRcntDataYr,4)&gt;"2025")),"← ERROR! Enter the most recent fiscal period in YYYYQ format.",
IF(NOT(ISBLANK(F10)),
IF(MstRcntDataYr&lt;VALUE(YEAR(EDATE(F10,-8))&amp;ROUNDUP(MONTH(EDATE(F10,-8))/3,0)),"← ERROR! The most recent fiscal period must be "&amp;VALUE(YEAR(EDATE(F10,-8))&amp;ROUNDUP(MONTH(EDATE(F10,-8))/3,0))&amp;" or later.",""),"")))</f>
        <v/>
      </c>
    </row>
    <row r="30" spans="1:10" ht="15" customHeight="1" x14ac:dyDescent="0.25">
      <c r="A30" s="468" t="s">
        <v>602</v>
      </c>
      <c r="B30" s="8"/>
      <c r="C30" s="520"/>
      <c r="D30" s="6"/>
      <c r="E30" s="6"/>
      <c r="F30" s="6"/>
      <c r="G30" s="295"/>
      <c r="H30" s="295"/>
      <c r="I30" s="273"/>
      <c r="J30" s="620"/>
    </row>
    <row r="31" spans="1:10" ht="30" customHeight="1" x14ac:dyDescent="0.25">
      <c r="A31" s="8"/>
      <c r="B31" s="8"/>
      <c r="C31" s="749" t="s">
        <v>661</v>
      </c>
      <c r="D31" s="749"/>
      <c r="E31" s="749"/>
      <c r="F31" s="6"/>
      <c r="G31" s="295"/>
      <c r="H31" s="295"/>
      <c r="I31" s="273"/>
      <c r="J31" s="263"/>
    </row>
    <row r="32" spans="1:10" ht="60" x14ac:dyDescent="0.25">
      <c r="A32" s="415" t="s">
        <v>383</v>
      </c>
      <c r="B32" s="415"/>
      <c r="C32" s="414" t="s">
        <v>635</v>
      </c>
      <c r="D32" s="414" t="s">
        <v>562</v>
      </c>
      <c r="E32" s="414" t="s">
        <v>681</v>
      </c>
      <c r="G32" s="295"/>
      <c r="H32" s="9"/>
      <c r="I32" s="9"/>
      <c r="J32" s="263"/>
    </row>
    <row r="33" spans="1:10" ht="5.0999999999999996" customHeight="1" x14ac:dyDescent="0.25">
      <c r="G33" s="295"/>
      <c r="J33" s="509"/>
    </row>
    <row r="34" spans="1:10" ht="20.100000000000001" customHeight="1" x14ac:dyDescent="0.25">
      <c r="A34" s="300">
        <v>2</v>
      </c>
      <c r="C34" s="609" t="s">
        <v>747</v>
      </c>
      <c r="D34" s="302">
        <v>-5.2999999999999999E-2</v>
      </c>
      <c r="E34" s="303">
        <v>44088</v>
      </c>
      <c r="G34" s="295"/>
      <c r="J34" s="509" t="str">
        <f t="shared" ref="J34:J43" si="0">IF(New_Program=TRUE,IF(OR(AND($A34=1,ISBLANK($C34),ISBLANK($D34)),AND($A34&lt;&gt;1,$C34&lt;&gt;"",$D34&lt;&gt;"")),"","← ERROR! Select a Detailed Line Description and enter a Coverage/Form/Program and Proposed % Impact of 0%."&amp;"  Alternatively, de-select the Detailed Line Description and delete all associated cell entries."),IF(OR(AND($A34=1,ISBLANK($C34),ISBLANK($D34),ISBLANK($E34)),AND($A34&lt;&gt;1,$C34&lt;&gt;"",$D34&lt;&gt;"",$E34&lt;&gt;"")),"","← ERROR! Select a Detailed Line Description and enter a Coverage/Form/Program, Proposed % Impact and Prior Effective Date."&amp;"  Alternatively, de-select the Detailed Line Description and delete all associated cell entries."))</f>
        <v/>
      </c>
    </row>
    <row r="35" spans="1:10" ht="20.100000000000001" customHeight="1" x14ac:dyDescent="0.25">
      <c r="A35" s="300">
        <v>2</v>
      </c>
      <c r="C35" s="609" t="s">
        <v>748</v>
      </c>
      <c r="D35" s="302">
        <v>-7.0000000000000001E-3</v>
      </c>
      <c r="E35" s="303">
        <v>44088</v>
      </c>
      <c r="G35" s="295"/>
      <c r="J35" s="509" t="str">
        <f t="shared" si="0"/>
        <v/>
      </c>
    </row>
    <row r="36" spans="1:10" ht="20.100000000000001" customHeight="1" x14ac:dyDescent="0.25">
      <c r="A36" s="300">
        <v>2</v>
      </c>
      <c r="C36" s="609" t="s">
        <v>749</v>
      </c>
      <c r="D36" s="302">
        <v>0.08</v>
      </c>
      <c r="E36" s="303">
        <v>44088</v>
      </c>
      <c r="G36" s="295"/>
      <c r="J36" s="509" t="str">
        <f t="shared" si="0"/>
        <v/>
      </c>
    </row>
    <row r="37" spans="1:10" ht="20.100000000000001" customHeight="1" x14ac:dyDescent="0.25">
      <c r="A37" s="300">
        <v>3</v>
      </c>
      <c r="C37" s="609" t="s">
        <v>750</v>
      </c>
      <c r="D37" s="302">
        <v>0.45</v>
      </c>
      <c r="E37" s="303">
        <v>44088</v>
      </c>
      <c r="G37" s="295"/>
      <c r="J37" s="509" t="str">
        <f t="shared" si="0"/>
        <v/>
      </c>
    </row>
    <row r="38" spans="1:10" ht="20.100000000000001" customHeight="1" x14ac:dyDescent="0.25">
      <c r="A38" s="300">
        <v>3</v>
      </c>
      <c r="C38" s="609" t="s">
        <v>751</v>
      </c>
      <c r="D38" s="302">
        <v>0.115</v>
      </c>
      <c r="E38" s="303">
        <v>44088</v>
      </c>
      <c r="G38" s="295"/>
      <c r="J38" s="509" t="str">
        <f t="shared" si="0"/>
        <v/>
      </c>
    </row>
    <row r="39" spans="1:10" ht="20.100000000000001" customHeight="1" x14ac:dyDescent="0.25">
      <c r="A39" s="300">
        <v>3</v>
      </c>
      <c r="C39" s="609" t="s">
        <v>752</v>
      </c>
      <c r="D39" s="302">
        <v>5.0999999999999997E-2</v>
      </c>
      <c r="E39" s="303">
        <v>44088</v>
      </c>
      <c r="G39" s="295"/>
      <c r="J39" s="509" t="str">
        <f t="shared" si="0"/>
        <v/>
      </c>
    </row>
    <row r="40" spans="1:10" ht="20.100000000000001" customHeight="1" x14ac:dyDescent="0.25">
      <c r="A40" s="300">
        <v>2</v>
      </c>
      <c r="C40" s="609" t="s">
        <v>753</v>
      </c>
      <c r="D40" s="302">
        <v>-0.183</v>
      </c>
      <c r="E40" s="303">
        <v>44088</v>
      </c>
      <c r="G40" s="295"/>
      <c r="J40" s="509" t="str">
        <f t="shared" si="0"/>
        <v/>
      </c>
    </row>
    <row r="41" spans="1:10" ht="20.100000000000001" customHeight="1" x14ac:dyDescent="0.25">
      <c r="A41" s="300">
        <v>1</v>
      </c>
      <c r="C41" s="609"/>
      <c r="D41" s="302"/>
      <c r="E41" s="303"/>
      <c r="G41" s="295"/>
      <c r="J41" s="509" t="str">
        <f t="shared" si="0"/>
        <v/>
      </c>
    </row>
    <row r="42" spans="1:10" ht="20.100000000000001" customHeight="1" x14ac:dyDescent="0.25">
      <c r="A42" s="300">
        <v>1</v>
      </c>
      <c r="C42" s="609"/>
      <c r="D42" s="302"/>
      <c r="E42" s="303"/>
      <c r="G42" s="295"/>
      <c r="J42" s="509" t="str">
        <f t="shared" si="0"/>
        <v/>
      </c>
    </row>
    <row r="43" spans="1:10" ht="20.100000000000001" customHeight="1" x14ac:dyDescent="0.25">
      <c r="A43" s="300">
        <v>1</v>
      </c>
      <c r="C43" s="609"/>
      <c r="D43" s="302"/>
      <c r="E43" s="303"/>
      <c r="G43" s="295"/>
      <c r="J43" s="509" t="str">
        <f t="shared" si="0"/>
        <v/>
      </c>
    </row>
    <row r="44" spans="1:10" ht="20.100000000000001" customHeight="1" x14ac:dyDescent="0.25">
      <c r="A44" s="329"/>
      <c r="B44" s="329"/>
      <c r="C44" s="329"/>
      <c r="G44" s="295"/>
      <c r="J44" s="475"/>
    </row>
    <row r="45" spans="1:10" ht="20.100000000000001" customHeight="1" x14ac:dyDescent="0.25">
      <c r="A45" s="512"/>
      <c r="B45" s="512"/>
      <c r="C45" s="512"/>
      <c r="J45" s="475"/>
    </row>
    <row r="46" spans="1:10" x14ac:dyDescent="0.25">
      <c r="A46" s="10" t="s">
        <v>603</v>
      </c>
      <c r="J46" s="263"/>
    </row>
    <row r="47" spans="1:10" ht="18" customHeight="1" x14ac:dyDescent="0.25">
      <c r="A47" s="7" t="s">
        <v>605</v>
      </c>
      <c r="D47" s="28" t="s">
        <v>83</v>
      </c>
      <c r="E47" s="504" t="s">
        <v>655</v>
      </c>
      <c r="I47" s="510">
        <v>2</v>
      </c>
      <c r="J47" s="475" t="str">
        <f>IF(AND($I$47=1,LEN('1.General'!$E$47)=0),"← ERROR! Enter an applicable Variance #(s), or enter 'N' in pull-down menu if no variance is requested.",IF(AND($I$47=2,LEN('1.General'!$E$47)&gt;0),"← ERROR! Enter 'Y' in pull-down menu if a variance(s) is(are) being requested, or delete entry for Variance #.",""))</f>
        <v/>
      </c>
    </row>
    <row r="48" spans="1:10" ht="18" customHeight="1" x14ac:dyDescent="0.25">
      <c r="A48" s="17" t="s">
        <v>611</v>
      </c>
      <c r="E48" s="505"/>
      <c r="I48" s="510">
        <v>2</v>
      </c>
      <c r="J48" s="475" t="str">
        <f>IF(AND($I$48=2,FIND({3},'1.General'!E47&amp;"3")&lt;=LEN('1.General'!E47)),"← ERROR! Change entry for Variance #3 to 'Y' if it is being requested in 'Variance #' text box.",IF(AND($I$48=1,FIND({3},'1.General'!E47&amp;"3")&gt;LEN('1.General'!E47)),"← ERROR! Change entry for Variance #3 to 'N' if it is not being requested in 'Variance #' text box.",""))</f>
        <v/>
      </c>
    </row>
    <row r="49" spans="1:10" ht="15.75" thickBot="1" x14ac:dyDescent="0.3">
      <c r="D49" s="28"/>
      <c r="E49" s="505"/>
      <c r="J49" s="476"/>
    </row>
    <row r="51" spans="1:10" x14ac:dyDescent="0.25">
      <c r="A51" s="1" t="s">
        <v>625</v>
      </c>
      <c r="B51" s="1"/>
      <c r="C51" s="507"/>
    </row>
    <row r="52" spans="1:10" x14ac:dyDescent="0.25">
      <c r="A52"/>
      <c r="B52"/>
      <c r="C52"/>
    </row>
    <row r="53" spans="1:10" x14ac:dyDescent="0.25">
      <c r="A53"/>
      <c r="B53"/>
      <c r="C53"/>
    </row>
  </sheetData>
  <sheetProtection algorithmName="SHA-512" hashValue="8U5dbxYfAaAFJKV8z9AjhdY2KRUXfcNu1pynaRwip+pCRqvz3Zpx7LT0EYqM8tLIzqHyfP72eNmwaxjssghhkg==" saltValue="17hwHQrJ03O2R5Y4HlqddQ==" spinCount="100000" sheet="1" objects="1" scenarios="1" formatColumns="0" formatRows="0" sort="0"/>
  <mergeCells count="2">
    <mergeCell ref="C13:F13"/>
    <mergeCell ref="C31:E31"/>
  </mergeCells>
  <dataValidations disablePrompts="1" count="3">
    <dataValidation type="decimal" allowBlank="1" showInputMessage="1" showErrorMessage="1" error="A valid entry is between 0% and 100%." sqref="D16:F16" xr:uid="{00000000-0002-0000-0300-000000000000}">
      <formula1>0</formula1>
      <formula2>1</formula2>
    </dataValidation>
    <dataValidation type="custom" allowBlank="1" showInputMessage="1" showErrorMessage="1" error="Enter the most recent fiscal period used in YYYYQ format." sqref="C29" xr:uid="{00000000-0002-0000-0300-000001000000}">
      <formula1>AND(OR(RIGHT(C29,1)="1",RIGHT(C29,1)="2",RIGHT(C29,1)="3",RIGHT(C29,1)="4"),C29&gt;=20131,C29&lt;=20254,LEN(C29)=5)</formula1>
    </dataValidation>
    <dataValidation type="date" operator="greaterThanOrEqual" allowBlank="1" showInputMessage="1" showErrorMessage="1" sqref="D23" xr:uid="{00000000-0002-0000-0300-000002000000}">
      <formula1>44197</formula1>
    </dataValidation>
  </dataValidations>
  <printOptions horizontalCentered="1"/>
  <pageMargins left="0.45" right="0.45" top="0.5" bottom="0.5" header="0.3" footer="0.3"/>
  <pageSetup scale="70" orientation="portrait" r:id="rId1"/>
  <headerFooter>
    <oddFooter>&amp;CPrior Approval Rate Template&amp;RPage 1&amp;L01/11/2022 Edition</oddFooter>
  </headerFooter>
  <drawing r:id="rId2"/>
  <legacyDrawing r:id="rId3"/>
  <controls>
    <mc:AlternateContent xmlns:mc="http://schemas.openxmlformats.org/markup-compatibility/2006">
      <mc:Choice Requires="x14">
        <control shapeId="1090" r:id="rId4" name="txtVariance">
          <controlPr locked="0" defaultSize="0" autoLine="0" linkedCell="$E$47" r:id="rId5">
            <anchor moveWithCells="1">
              <from>
                <xdr:col>4</xdr:col>
                <xdr:colOff>0</xdr:colOff>
                <xdr:row>46</xdr:row>
                <xdr:rowOff>0</xdr:rowOff>
              </from>
              <to>
                <xdr:col>5</xdr:col>
                <xdr:colOff>542925</xdr:colOff>
                <xdr:row>47</xdr:row>
                <xdr:rowOff>19050</xdr:rowOff>
              </to>
            </anchor>
          </controlPr>
        </control>
      </mc:Choice>
      <mc:Fallback>
        <control shapeId="1090" r:id="rId4" name="txtVariance"/>
      </mc:Fallback>
    </mc:AlternateContent>
    <mc:AlternateContent xmlns:mc="http://schemas.openxmlformats.org/markup-compatibility/2006">
      <mc:Choice Requires="x14">
        <control shapeId="1064" r:id="rId6" name="Drop Down 40">
          <controlPr defaultSize="0" autoLine="0" autoPict="0" macro="[0]!LineMapping">
            <anchor moveWithCells="1">
              <from>
                <xdr:col>2</xdr:col>
                <xdr:colOff>9525</xdr:colOff>
                <xdr:row>17</xdr:row>
                <xdr:rowOff>9525</xdr:rowOff>
              </from>
              <to>
                <xdr:col>2</xdr:col>
                <xdr:colOff>1333500</xdr:colOff>
                <xdr:row>18</xdr:row>
                <xdr:rowOff>19050</xdr:rowOff>
              </to>
            </anchor>
          </controlPr>
        </control>
      </mc:Choice>
    </mc:AlternateContent>
    <mc:AlternateContent xmlns:mc="http://schemas.openxmlformats.org/markup-compatibility/2006">
      <mc:Choice Requires="x14">
        <control shapeId="1065" r:id="rId7" name="Drop Down 41">
          <controlPr defaultSize="0" autoLine="0" autoPict="0" macro="[0]!LineMapping">
            <anchor moveWithCells="1">
              <from>
                <xdr:col>2</xdr:col>
                <xdr:colOff>9525</xdr:colOff>
                <xdr:row>19</xdr:row>
                <xdr:rowOff>9525</xdr:rowOff>
              </from>
              <to>
                <xdr:col>5</xdr:col>
                <xdr:colOff>152400</xdr:colOff>
                <xdr:row>20</xdr:row>
                <xdr:rowOff>19050</xdr:rowOff>
              </to>
            </anchor>
          </controlPr>
        </control>
      </mc:Choice>
    </mc:AlternateContent>
    <mc:AlternateContent xmlns:mc="http://schemas.openxmlformats.org/markup-compatibility/2006">
      <mc:Choice Requires="x14">
        <control shapeId="1073" r:id="rId8" name="Check Box 49">
          <controlPr defaultSize="0" autoFill="0" autoLine="0" autoPict="0">
            <anchor moveWithCells="1">
              <from>
                <xdr:col>0</xdr:col>
                <xdr:colOff>1238250</xdr:colOff>
                <xdr:row>23</xdr:row>
                <xdr:rowOff>104775</xdr:rowOff>
              </from>
              <to>
                <xdr:col>0</xdr:col>
                <xdr:colOff>1543050</xdr:colOff>
                <xdr:row>25</xdr:row>
                <xdr:rowOff>114300</xdr:rowOff>
              </to>
            </anchor>
          </controlPr>
        </control>
      </mc:Choice>
    </mc:AlternateContent>
    <mc:AlternateContent xmlns:mc="http://schemas.openxmlformats.org/markup-compatibility/2006">
      <mc:Choice Requires="x14">
        <control shapeId="1074" r:id="rId9" name="Drop Down 50">
          <controlPr defaultSize="0" autoLine="0" autoPict="0">
            <anchor moveWithCells="1">
              <from>
                <xdr:col>2</xdr:col>
                <xdr:colOff>9525</xdr:colOff>
                <xdr:row>26</xdr:row>
                <xdr:rowOff>9525</xdr:rowOff>
              </from>
              <to>
                <xdr:col>3</xdr:col>
                <xdr:colOff>819150</xdr:colOff>
                <xdr:row>27</xdr:row>
                <xdr:rowOff>28575</xdr:rowOff>
              </to>
            </anchor>
          </controlPr>
        </control>
      </mc:Choice>
    </mc:AlternateContent>
    <mc:AlternateContent xmlns:mc="http://schemas.openxmlformats.org/markup-compatibility/2006">
      <mc:Choice Requires="x14">
        <control shapeId="1076" r:id="rId10" name="Check Box 52">
          <controlPr defaultSize="0" autoFill="0" autoLine="0" autoPict="0" macro="[0]!LCMVisible">
            <anchor moveWithCells="1">
              <from>
                <xdr:col>3</xdr:col>
                <xdr:colOff>161925</xdr:colOff>
                <xdr:row>23</xdr:row>
                <xdr:rowOff>95250</xdr:rowOff>
              </from>
              <to>
                <xdr:col>3</xdr:col>
                <xdr:colOff>466725</xdr:colOff>
                <xdr:row>25</xdr:row>
                <xdr:rowOff>104775</xdr:rowOff>
              </to>
            </anchor>
          </controlPr>
        </control>
      </mc:Choice>
    </mc:AlternateContent>
    <mc:AlternateContent xmlns:mc="http://schemas.openxmlformats.org/markup-compatibility/2006">
      <mc:Choice Requires="x14">
        <control shapeId="1077" r:id="rId11" name="cvg1DropDown">
          <controlPr defaultSize="0" autoLine="0" autoPict="0" macro="[0]!cvg1DropDown_Change">
            <anchor moveWithCells="1">
              <from>
                <xdr:col>0</xdr:col>
                <xdr:colOff>28575</xdr:colOff>
                <xdr:row>33</xdr:row>
                <xdr:rowOff>9525</xdr:rowOff>
              </from>
              <to>
                <xdr:col>0</xdr:col>
                <xdr:colOff>2971800</xdr:colOff>
                <xdr:row>34</xdr:row>
                <xdr:rowOff>0</xdr:rowOff>
              </to>
            </anchor>
          </controlPr>
        </control>
      </mc:Choice>
    </mc:AlternateContent>
    <mc:AlternateContent xmlns:mc="http://schemas.openxmlformats.org/markup-compatibility/2006">
      <mc:Choice Requires="x14">
        <control shapeId="1078" r:id="rId12" name="cvg2DropDown">
          <controlPr defaultSize="0" autoLine="0" autoPict="0" macro="[0]!cvg2DropDown_Change">
            <anchor moveWithCells="1">
              <from>
                <xdr:col>0</xdr:col>
                <xdr:colOff>28575</xdr:colOff>
                <xdr:row>34</xdr:row>
                <xdr:rowOff>9525</xdr:rowOff>
              </from>
              <to>
                <xdr:col>0</xdr:col>
                <xdr:colOff>2971800</xdr:colOff>
                <xdr:row>35</xdr:row>
                <xdr:rowOff>0</xdr:rowOff>
              </to>
            </anchor>
          </controlPr>
        </control>
      </mc:Choice>
    </mc:AlternateContent>
    <mc:AlternateContent xmlns:mc="http://schemas.openxmlformats.org/markup-compatibility/2006">
      <mc:Choice Requires="x14">
        <control shapeId="1079" r:id="rId13" name="cvg3DropDown">
          <controlPr defaultSize="0" autoLine="0" autoPict="0" macro="[0]!cvg3DropDown_Change">
            <anchor moveWithCells="1">
              <from>
                <xdr:col>0</xdr:col>
                <xdr:colOff>28575</xdr:colOff>
                <xdr:row>35</xdr:row>
                <xdr:rowOff>9525</xdr:rowOff>
              </from>
              <to>
                <xdr:col>0</xdr:col>
                <xdr:colOff>2971800</xdr:colOff>
                <xdr:row>36</xdr:row>
                <xdr:rowOff>0</xdr:rowOff>
              </to>
            </anchor>
          </controlPr>
        </control>
      </mc:Choice>
    </mc:AlternateContent>
    <mc:AlternateContent xmlns:mc="http://schemas.openxmlformats.org/markup-compatibility/2006">
      <mc:Choice Requires="x14">
        <control shapeId="1080" r:id="rId14" name="cvg4DropDown">
          <controlPr defaultSize="0" autoLine="0" autoPict="0" macro="[0]!cvg4DropDown_Change">
            <anchor moveWithCells="1">
              <from>
                <xdr:col>0</xdr:col>
                <xdr:colOff>28575</xdr:colOff>
                <xdr:row>36</xdr:row>
                <xdr:rowOff>0</xdr:rowOff>
              </from>
              <to>
                <xdr:col>0</xdr:col>
                <xdr:colOff>2971800</xdr:colOff>
                <xdr:row>36</xdr:row>
                <xdr:rowOff>238125</xdr:rowOff>
              </to>
            </anchor>
          </controlPr>
        </control>
      </mc:Choice>
    </mc:AlternateContent>
    <mc:AlternateContent xmlns:mc="http://schemas.openxmlformats.org/markup-compatibility/2006">
      <mc:Choice Requires="x14">
        <control shapeId="1081" r:id="rId15" name="cvg5DropDown">
          <controlPr defaultSize="0" autoLine="0" autoPict="0" macro="[0]!cvg5DropDown_Change">
            <anchor moveWithCells="1">
              <from>
                <xdr:col>0</xdr:col>
                <xdr:colOff>28575</xdr:colOff>
                <xdr:row>37</xdr:row>
                <xdr:rowOff>0</xdr:rowOff>
              </from>
              <to>
                <xdr:col>0</xdr:col>
                <xdr:colOff>2971800</xdr:colOff>
                <xdr:row>37</xdr:row>
                <xdr:rowOff>238125</xdr:rowOff>
              </to>
            </anchor>
          </controlPr>
        </control>
      </mc:Choice>
    </mc:AlternateContent>
    <mc:AlternateContent xmlns:mc="http://schemas.openxmlformats.org/markup-compatibility/2006">
      <mc:Choice Requires="x14">
        <control shapeId="1082" r:id="rId16" name="cvg6DropDown">
          <controlPr defaultSize="0" autoLine="0" autoPict="0" macro="[0]!cvg6DropDown_Change">
            <anchor moveWithCells="1">
              <from>
                <xdr:col>0</xdr:col>
                <xdr:colOff>28575</xdr:colOff>
                <xdr:row>38</xdr:row>
                <xdr:rowOff>0</xdr:rowOff>
              </from>
              <to>
                <xdr:col>0</xdr:col>
                <xdr:colOff>2971800</xdr:colOff>
                <xdr:row>38</xdr:row>
                <xdr:rowOff>238125</xdr:rowOff>
              </to>
            </anchor>
          </controlPr>
        </control>
      </mc:Choice>
    </mc:AlternateContent>
    <mc:AlternateContent xmlns:mc="http://schemas.openxmlformats.org/markup-compatibility/2006">
      <mc:Choice Requires="x14">
        <control shapeId="1083" r:id="rId17" name="cvg7DropDown">
          <controlPr defaultSize="0" autoLine="0" autoPict="0" macro="[0]!cvg7DropDown_Change">
            <anchor moveWithCells="1">
              <from>
                <xdr:col>0</xdr:col>
                <xdr:colOff>28575</xdr:colOff>
                <xdr:row>39</xdr:row>
                <xdr:rowOff>0</xdr:rowOff>
              </from>
              <to>
                <xdr:col>0</xdr:col>
                <xdr:colOff>2971800</xdr:colOff>
                <xdr:row>39</xdr:row>
                <xdr:rowOff>238125</xdr:rowOff>
              </to>
            </anchor>
          </controlPr>
        </control>
      </mc:Choice>
    </mc:AlternateContent>
    <mc:AlternateContent xmlns:mc="http://schemas.openxmlformats.org/markup-compatibility/2006">
      <mc:Choice Requires="x14">
        <control shapeId="1084" r:id="rId18" name="cvg8DropDown">
          <controlPr defaultSize="0" autoLine="0" autoPict="0" macro="[0]!cvg8DropDown_Change">
            <anchor moveWithCells="1">
              <from>
                <xdr:col>0</xdr:col>
                <xdr:colOff>28575</xdr:colOff>
                <xdr:row>40</xdr:row>
                <xdr:rowOff>0</xdr:rowOff>
              </from>
              <to>
                <xdr:col>0</xdr:col>
                <xdr:colOff>2971800</xdr:colOff>
                <xdr:row>40</xdr:row>
                <xdr:rowOff>238125</xdr:rowOff>
              </to>
            </anchor>
          </controlPr>
        </control>
      </mc:Choice>
    </mc:AlternateContent>
    <mc:AlternateContent xmlns:mc="http://schemas.openxmlformats.org/markup-compatibility/2006">
      <mc:Choice Requires="x14">
        <control shapeId="1085" r:id="rId19" name="cvg9DropDown">
          <controlPr defaultSize="0" autoLine="0" autoPict="0" macro="[0]!cvg9DropDown_Change">
            <anchor moveWithCells="1">
              <from>
                <xdr:col>0</xdr:col>
                <xdr:colOff>28575</xdr:colOff>
                <xdr:row>41</xdr:row>
                <xdr:rowOff>0</xdr:rowOff>
              </from>
              <to>
                <xdr:col>0</xdr:col>
                <xdr:colOff>2971800</xdr:colOff>
                <xdr:row>41</xdr:row>
                <xdr:rowOff>238125</xdr:rowOff>
              </to>
            </anchor>
          </controlPr>
        </control>
      </mc:Choice>
    </mc:AlternateContent>
    <mc:AlternateContent xmlns:mc="http://schemas.openxmlformats.org/markup-compatibility/2006">
      <mc:Choice Requires="x14">
        <control shapeId="1086" r:id="rId20" name="cvg10DropDown">
          <controlPr defaultSize="0" autoLine="0" autoPict="0" macro="[0]!cvg10DropDown_Change">
            <anchor moveWithCells="1">
              <from>
                <xdr:col>0</xdr:col>
                <xdr:colOff>28575</xdr:colOff>
                <xdr:row>41</xdr:row>
                <xdr:rowOff>238125</xdr:rowOff>
              </from>
              <to>
                <xdr:col>0</xdr:col>
                <xdr:colOff>2971800</xdr:colOff>
                <xdr:row>42</xdr:row>
                <xdr:rowOff>228600</xdr:rowOff>
              </to>
            </anchor>
          </controlPr>
        </control>
      </mc:Choice>
    </mc:AlternateContent>
    <mc:AlternateContent xmlns:mc="http://schemas.openxmlformats.org/markup-compatibility/2006">
      <mc:Choice Requires="x14">
        <control shapeId="1087" r:id="rId21" name="Drop Down 63">
          <controlPr defaultSize="0" autoLine="0" autoPict="0">
            <anchor moveWithCells="1">
              <from>
                <xdr:col>2</xdr:col>
                <xdr:colOff>695325</xdr:colOff>
                <xdr:row>45</xdr:row>
                <xdr:rowOff>171450</xdr:rowOff>
              </from>
              <to>
                <xdr:col>2</xdr:col>
                <xdr:colOff>1152525</xdr:colOff>
                <xdr:row>46</xdr:row>
                <xdr:rowOff>219075</xdr:rowOff>
              </to>
            </anchor>
          </controlPr>
        </control>
      </mc:Choice>
    </mc:AlternateContent>
    <mc:AlternateContent xmlns:mc="http://schemas.openxmlformats.org/markup-compatibility/2006">
      <mc:Choice Requires="x14">
        <control shapeId="1089" r:id="rId22" name="Drop Down 65">
          <controlPr defaultSize="0" autoLine="0" autoPict="0">
            <anchor moveWithCells="1">
              <from>
                <xdr:col>2</xdr:col>
                <xdr:colOff>695325</xdr:colOff>
                <xdr:row>47</xdr:row>
                <xdr:rowOff>28575</xdr:rowOff>
              </from>
              <to>
                <xdr:col>2</xdr:col>
                <xdr:colOff>1152525</xdr:colOff>
                <xdr:row>48</xdr:row>
                <xdr:rowOff>38100</xdr:rowOff>
              </to>
            </anchor>
          </controlPr>
        </control>
      </mc:Choice>
    </mc:AlternateContent>
    <mc:AlternateContent xmlns:mc="http://schemas.openxmlformats.org/markup-compatibility/2006">
      <mc:Choice Requires="x14">
        <control shapeId="1091" r:id="rId23" name="Button 67">
          <controlPr defaultSize="0" print="0" autoFill="0" autoPict="0" macro="[0]!PrintSelection">
            <anchor moveWithCells="1" sizeWithCells="1">
              <from>
                <xdr:col>2</xdr:col>
                <xdr:colOff>0</xdr:colOff>
                <xdr:row>51</xdr:row>
                <xdr:rowOff>180975</xdr:rowOff>
              </from>
              <to>
                <xdr:col>3</xdr:col>
                <xdr:colOff>0</xdr:colOff>
                <xdr:row>53</xdr:row>
                <xdr:rowOff>0</xdr:rowOff>
              </to>
            </anchor>
          </controlPr>
        </control>
      </mc:Choice>
    </mc:AlternateContent>
    <mc:AlternateContent xmlns:mc="http://schemas.openxmlformats.org/markup-compatibility/2006">
      <mc:Choice Requires="x14">
        <control shapeId="1093" r:id="rId24" name="Drop Down 69">
          <controlPr defaultSize="0" autoLine="0" autoPict="0">
            <anchor moveWithCells="1">
              <from>
                <xdr:col>2</xdr:col>
                <xdr:colOff>9525</xdr:colOff>
                <xdr:row>49</xdr:row>
                <xdr:rowOff>171450</xdr:rowOff>
              </from>
              <to>
                <xdr:col>2</xdr:col>
                <xdr:colOff>1581150</xdr:colOff>
                <xdr:row>50</xdr:row>
                <xdr:rowOff>180975</xdr:rowOff>
              </to>
            </anchor>
          </controlPr>
        </control>
      </mc:Choice>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rgb="FF0000FF"/>
  </sheetPr>
  <dimension ref="A1:I48"/>
  <sheetViews>
    <sheetView showGridLines="0" tabSelected="1" view="pageBreakPreview" topLeftCell="A7" zoomScaleNormal="100" zoomScaleSheetLayoutView="100" workbookViewId="0">
      <selection activeCell="G12" sqref="G12"/>
    </sheetView>
  </sheetViews>
  <sheetFormatPr defaultRowHeight="15" x14ac:dyDescent="0.25"/>
  <cols>
    <col min="1" max="1" width="30" style="14" customWidth="1"/>
    <col min="2" max="4" width="18.7109375" style="14" customWidth="1"/>
    <col min="5" max="6" width="17.7109375" style="68" customWidth="1"/>
    <col min="7" max="7" width="15.7109375" style="14" customWidth="1"/>
    <col min="8" max="8" width="18.7109375" style="14" hidden="1" customWidth="1"/>
    <col min="9" max="9" width="102.42578125" style="14" bestFit="1" customWidth="1"/>
    <col min="10" max="16384" width="9.140625" style="14"/>
  </cols>
  <sheetData>
    <row r="1" spans="1:9" ht="15.75" thickBot="1" x14ac:dyDescent="0.3">
      <c r="A1" s="8" t="s">
        <v>31</v>
      </c>
      <c r="B1" s="6"/>
      <c r="C1" s="6"/>
      <c r="D1" s="8" t="s">
        <v>33</v>
      </c>
      <c r="E1" s="211"/>
      <c r="G1" s="311" t="str">
        <f>Co_Name</f>
        <v>State Farm Mutual Automobile Insurance Company</v>
      </c>
      <c r="I1" s="86" t="s">
        <v>663</v>
      </c>
    </row>
    <row r="2" spans="1:9" x14ac:dyDescent="0.25">
      <c r="A2" s="8" t="s">
        <v>32</v>
      </c>
      <c r="B2" s="689"/>
      <c r="C2" s="6"/>
      <c r="D2" s="8" t="s">
        <v>34</v>
      </c>
      <c r="E2" s="211"/>
      <c r="G2" s="311" t="str">
        <f>General_Line</f>
        <v>Auto Liability and Physical Damage</v>
      </c>
      <c r="I2" s="207" t="s">
        <v>113</v>
      </c>
    </row>
    <row r="3" spans="1:9" x14ac:dyDescent="0.25">
      <c r="B3" s="688"/>
      <c r="D3" s="181" t="s">
        <v>142</v>
      </c>
      <c r="E3" s="182"/>
      <c r="F3" s="182"/>
      <c r="G3" s="312" t="str">
        <f>CDI_FileNo</f>
        <v/>
      </c>
      <c r="I3" s="265"/>
    </row>
    <row r="4" spans="1:9" ht="18" customHeight="1" x14ac:dyDescent="0.25">
      <c r="D4" s="8"/>
      <c r="G4" s="311"/>
      <c r="I4" s="265"/>
    </row>
    <row r="5" spans="1:9" ht="23.25" x14ac:dyDescent="0.25">
      <c r="A5" s="4" t="s">
        <v>656</v>
      </c>
      <c r="B5" s="4"/>
      <c r="C5" s="5"/>
      <c r="D5" s="5"/>
      <c r="E5" s="5"/>
      <c r="F5" s="5"/>
      <c r="G5" s="5"/>
      <c r="I5" s="265"/>
    </row>
    <row r="6" spans="1:9" ht="23.25" x14ac:dyDescent="0.25">
      <c r="A6" s="4" t="s">
        <v>382</v>
      </c>
      <c r="B6" s="4"/>
      <c r="C6" s="5"/>
      <c r="D6" s="5"/>
      <c r="E6" s="5"/>
      <c r="F6" s="5"/>
      <c r="G6" s="5"/>
      <c r="I6" s="265"/>
    </row>
    <row r="7" spans="1:9" ht="15.75" thickBot="1" x14ac:dyDescent="0.3">
      <c r="I7" s="265"/>
    </row>
    <row r="8" spans="1:9" ht="45.75" thickBot="1" x14ac:dyDescent="0.3">
      <c r="A8" s="306" t="s">
        <v>635</v>
      </c>
      <c r="B8" s="307" t="str">
        <f>IF(New_Program=TRUE,"Projected ","Latest Year Adjusted ")&amp;"Annual Premium ($)"</f>
        <v>Latest Year Adjusted Annual Premium ($)</v>
      </c>
      <c r="C8" s="308" t="s">
        <v>384</v>
      </c>
      <c r="D8" s="309" t="s">
        <v>385</v>
      </c>
      <c r="E8" s="308" t="s">
        <v>697</v>
      </c>
      <c r="F8" s="309" t="s">
        <v>698</v>
      </c>
      <c r="G8" s="309" t="s">
        <v>368</v>
      </c>
      <c r="H8" s="308" t="s">
        <v>613</v>
      </c>
      <c r="I8" s="622"/>
    </row>
    <row r="9" spans="1:9" x14ac:dyDescent="0.25">
      <c r="A9" s="612" t="str">
        <f>IF(Covg01="","",Covg01)</f>
        <v>BIPD</v>
      </c>
      <c r="B9" s="313">
        <f>IF(Covg01="","",IF(New_Program=TRUE,'7.1Rate Change Calculation'!$H$48,'7.1Rate Change Calculation'!$G$48))</f>
        <v>1636549925.7624707</v>
      </c>
      <c r="C9" s="496">
        <f ca="1">IF(Covg01="","",IF(Rein_Indicator=TRUE,"NA",(1+E9)*$B9))</f>
        <v>1221697531.6228166</v>
      </c>
      <c r="D9" s="497">
        <f ca="1">IF(Covg01="","",(1+F9)*$B9)</f>
        <v>1609338423.8097839</v>
      </c>
      <c r="E9" s="486">
        <f ca="1">IF(Covg01="","",IF(Rein_Indicator=TRUE,"NA",'7.1Rate Change Calculation'!CHANGE_AT_MIN))</f>
        <v>-0.25349204910224404</v>
      </c>
      <c r="F9" s="487">
        <f ca="1">IF(Covg01="","",IF(Rein_Indicator=TRUE,'7.1Rate Change Calculation'!Rein_CHANGE_AT_MAX,'7.1Rate Change Calculation'!CHANGE_AT_MAX))</f>
        <v>-1.6627358276288976E-2</v>
      </c>
      <c r="G9" s="487">
        <f t="array" ref="G9:G18">IF('1.General'!$C$34:$C$43="","",'1.General'!$D$34:$D$43)</f>
        <v>-5.2999999999999999E-2</v>
      </c>
      <c r="H9" s="314">
        <f>IF(Covg01="","",IF(New_Program=TRUE,$B9,(1+$G9)*$B9))</f>
        <v>1549812779.6970596</v>
      </c>
      <c r="I9" s="621" t="str">
        <f ca="1">IF(Covg01="","",IF(AND($G9&gt;=$E9,$G9&lt;=$F9),"","← WARNING! Proposed % is outside of range of permitted rate changes."))</f>
        <v/>
      </c>
    </row>
    <row r="10" spans="1:9" x14ac:dyDescent="0.25">
      <c r="A10" s="612" t="str">
        <f>IF(Covg02="","",Covg02)</f>
        <v>MPC</v>
      </c>
      <c r="B10" s="313">
        <f>IF(Covg02="","",IF(New_Program=TRUE,'7.2Rate Change Calculation'!$H$48,'7.2Rate Change Calculation'!$G$48))</f>
        <v>65863742.10901092</v>
      </c>
      <c r="C10" s="496">
        <f ca="1">IF(Covg02="","",IF(Rein_Indicator=TRUE,"NA",(1+E10)*$B10))</f>
        <v>49692008.658662029</v>
      </c>
      <c r="D10" s="497">
        <f ca="1">IF(Covg02="","",(1+F10)*$B10)</f>
        <v>65459131.102970406</v>
      </c>
      <c r="E10" s="486">
        <f ca="1">IF(Covg02="","",IF(Rein_Indicator=TRUE,"NA",'7.2Rate Change Calculation'!CHANGE_AT_MIN))</f>
        <v>-0.24553317094529936</v>
      </c>
      <c r="F10" s="487">
        <f ca="1">IF(Covg02="","",IF(Rein_Indicator=TRUE,'7.2Rate Change Calculation'!Rein_CHANGE_AT_MAX,'7.2Rate Change Calculation'!CHANGE_AT_MAX))</f>
        <v>-6.143152409573715E-3</v>
      </c>
      <c r="G10" s="487">
        <v>-7.0000000000000001E-3</v>
      </c>
      <c r="H10" s="314">
        <f>IF(Covg02="","",IF(New_Program=TRUE,$B10,(1+$G10)*$B10))</f>
        <v>65402695.914247841</v>
      </c>
      <c r="I10" s="621" t="str">
        <f ca="1">IF(Covg02="","",IF(AND($G10&gt;=$E10,$G10&lt;=$F10),"","← WARNING! Proposed % is outside of range of permitted rate changes."))</f>
        <v/>
      </c>
    </row>
    <row r="11" spans="1:9" x14ac:dyDescent="0.25">
      <c r="A11" s="612" t="str">
        <f>IF(Covg03="","",Covg03)</f>
        <v>UM</v>
      </c>
      <c r="B11" s="313">
        <f>IF(Covg03="","",IF(New_Program=TRUE,'7.3Rate Change Calculation'!$H$48,'7.3Rate Change Calculation'!$G$48))</f>
        <v>309615097.60844845</v>
      </c>
      <c r="C11" s="496">
        <f ca="1">IF(Covg03="","",IF(Rein_Indicator=TRUE,"NA",(1+E11)*$B11))</f>
        <v>273089965.87629598</v>
      </c>
      <c r="D11" s="497">
        <f ca="1">IF(Covg03="","",(1+F11)*$B11)</f>
        <v>359740577.24241525</v>
      </c>
      <c r="E11" s="486">
        <f ca="1">IF(Covg03="","",IF(Rein_Indicator=TRUE,"NA",'7.3Rate Change Calculation'!CHANGE_AT_MIN))</f>
        <v>-0.11796947892490565</v>
      </c>
      <c r="F11" s="487">
        <f ca="1">IF(Covg03="","",IF(Rein_Indicator=TRUE,'7.3Rate Change Calculation'!Rein_CHANGE_AT_MAX,'7.3Rate Change Calculation'!CHANGE_AT_MAX))</f>
        <v>0.16189610914050928</v>
      </c>
      <c r="G11" s="487">
        <v>0.08</v>
      </c>
      <c r="H11" s="314">
        <f>IF(Covg03="","",IF(New_Program=TRUE,$B11,(1+$G11)*$B11))</f>
        <v>334384305.41712433</v>
      </c>
      <c r="I11" s="621" t="str">
        <f ca="1">IF(Covg03="","",IF(AND($G11&gt;=$E11,$G11&lt;=$F11),"","← WARNING! Proposed % is outside of range of permitted rate changes."))</f>
        <v/>
      </c>
    </row>
    <row r="12" spans="1:9" x14ac:dyDescent="0.25">
      <c r="A12" s="612" t="str">
        <f>IF(Covg04="","",Covg04)</f>
        <v>COMP</v>
      </c>
      <c r="B12" s="313">
        <f>IF(Covg04="","",IF(New_Program=TRUE,'7.4Rate Change Calculation'!$H$48,'7.4Rate Change Calculation'!$G$48))</f>
        <v>364473938.45801419</v>
      </c>
      <c r="C12" s="496">
        <f ca="1">IF(Covg04="","",IF(Rein_Indicator=TRUE,"NA",(1+E12)*$B12))</f>
        <v>449371135.60858625</v>
      </c>
      <c r="D12" s="497">
        <f ca="1">IF(Covg04="","",(1+F12)*$B12)</f>
        <v>536786492.11248237</v>
      </c>
      <c r="E12" s="486">
        <f ca="1">IF(Covg04="","",IF(Rein_Indicator=TRUE,"NA",'7.4Rate Change Calculation'!CHANGE_AT_MIN))</f>
        <v>0.23293077554391955</v>
      </c>
      <c r="F12" s="487">
        <f ca="1">IF(Covg04="","",IF(Rein_Indicator=TRUE,'7.4Rate Change Calculation'!Rein_CHANGE_AT_MAX,'7.4Rate Change Calculation'!CHANGE_AT_MAX))</f>
        <v>0.4727705755409391</v>
      </c>
      <c r="G12" s="487">
        <v>0.45</v>
      </c>
      <c r="H12" s="314">
        <f>IF(Covg04="","",IF(New_Program=TRUE,$B12,(1+$G12)*$B12))</f>
        <v>528487210.76412058</v>
      </c>
      <c r="I12" s="621" t="str">
        <f ca="1">IF(Covg04="","",IF(AND($G12&gt;=$E12,$G12&lt;=$F12),"","← WARNING! Proposed % is outside of range of permitted rate changes."))</f>
        <v/>
      </c>
    </row>
    <row r="13" spans="1:9" x14ac:dyDescent="0.25">
      <c r="A13" s="612" t="str">
        <f>IF(Covg05="","",Covg05)</f>
        <v>COLL</v>
      </c>
      <c r="B13" s="313">
        <f>IF(Covg05="","",IF(New_Program=TRUE,'7.5Rate Change Calculation'!$H$48,'7.5Rate Change Calculation'!$G$48))</f>
        <v>1377582231.3435102</v>
      </c>
      <c r="C13" s="496">
        <f ca="1">IF(Covg05="","",IF(Rein_Indicator=TRUE,"NA",(1+E13)*$B13))</f>
        <v>1401359344.2193141</v>
      </c>
      <c r="D13" s="497">
        <f ca="1">IF(Covg05="","",(1+F13)*$B13)</f>
        <v>1673963249.8953977</v>
      </c>
      <c r="E13" s="486">
        <f ca="1">IF(Covg05="","",IF(Rein_Indicator=TRUE,"NA",'7.5Rate Change Calculation'!CHANGE_AT_MIN))</f>
        <v>1.7260031622660415E-2</v>
      </c>
      <c r="F13" s="487">
        <f ca="1">IF(Covg05="","",IF(Rein_Indicator=TRUE,'7.5Rate Change Calculation'!Rein_CHANGE_AT_MAX,'7.5Rate Change Calculation'!CHANGE_AT_MAX))</f>
        <v>0.21514579079815571</v>
      </c>
      <c r="G13" s="487">
        <v>0.115</v>
      </c>
      <c r="H13" s="314">
        <f>IF(Covg05="","",IF(New_Program=TRUE,$B13,(1+$G13)*$B13))</f>
        <v>1536004187.9480138</v>
      </c>
      <c r="I13" s="621" t="str">
        <f ca="1">IF(Covg05="","",IF(AND($G13&gt;=$E13,$G13&lt;=$F13),"","← WARNING! Proposed % is outside of range of permitted rate changes."))</f>
        <v/>
      </c>
    </row>
    <row r="14" spans="1:9" x14ac:dyDescent="0.25">
      <c r="A14" s="612" t="str">
        <f>IF(Covg06="","",Covg06)</f>
        <v>Misc. Damage</v>
      </c>
      <c r="B14" s="313">
        <f>IF(Covg06="","",IF(New_Program=TRUE,'7.6Rate Change Calculation'!$H$48,'7.6Rate Change Calculation'!$G$48))</f>
        <v>87669353.391171619</v>
      </c>
      <c r="C14" s="496">
        <f ca="1">IF(Covg06="","",IF(Rein_Indicator=TRUE,"NA",(1+E14)*$B14))</f>
        <v>80612490.790155947</v>
      </c>
      <c r="D14" s="497">
        <f ca="1">IF(Covg06="","",(1+F14)*$B14)</f>
        <v>96293893.227241814</v>
      </c>
      <c r="E14" s="486">
        <f ca="1">IF(Covg06="","",IF(Rein_Indicator=TRUE,"NA",'7.6Rate Change Calculation'!CHANGE_AT_MIN))</f>
        <v>-8.0494064665090861E-2</v>
      </c>
      <c r="F14" s="487">
        <f ca="1">IF(Covg06="","",IF(Rein_Indicator=TRUE,'7.6Rate Change Calculation'!Rein_CHANGE_AT_MAX,'7.6Rate Change Calculation'!CHANGE_AT_MAX))</f>
        <v>9.837576647324385E-2</v>
      </c>
      <c r="G14" s="487">
        <v>5.0999999999999997E-2</v>
      </c>
      <c r="H14" s="314">
        <f>IF(Covg06="","",IF(New_Program=TRUE,$B14,(1+$G14)*$B14))</f>
        <v>92140490.41412136</v>
      </c>
      <c r="I14" s="621" t="str">
        <f ca="1">IF(Covg06="","",IF(AND($G14&gt;=$E14,$G14&lt;=$F14),"","← WARNING! Proposed % is outside of range of permitted rate changes."))</f>
        <v/>
      </c>
    </row>
    <row r="15" spans="1:9" x14ac:dyDescent="0.25">
      <c r="A15" s="612" t="str">
        <f>IF(Covg07="","",Covg07)</f>
        <v>Misc. Liability</v>
      </c>
      <c r="B15" s="313">
        <f>IF(Covg07="","",IF(New_Program=TRUE,'7.7Rate Change Calculation'!$H$48,'7.7Rate Change Calculation'!$G$48))</f>
        <v>711029.03826479218</v>
      </c>
      <c r="C15" s="496">
        <f ca="1">IF(Covg07="","",IF(Rein_Indicator=TRUE,"NA",(1+E15)*$B15))</f>
        <v>446601.30155622249</v>
      </c>
      <c r="D15" s="497">
        <f ca="1">IF(Covg07="","",(1+F15)*$B15)</f>
        <v>588306.52932823356</v>
      </c>
      <c r="E15" s="486">
        <f ca="1">IF(Covg07="","",IF(Rein_Indicator=TRUE,"NA",'7.7Rate Change Calculation'!CHANGE_AT_MIN))</f>
        <v>-0.37189442691944596</v>
      </c>
      <c r="F15" s="487">
        <f ca="1">IF(Covg07="","",IF(Rein_Indicator=TRUE,'7.7Rate Change Calculation'!Rein_CHANGE_AT_MAX,'7.7Rate Change Calculation'!CHANGE_AT_MAX))</f>
        <v>-0.172598448631652</v>
      </c>
      <c r="G15" s="487">
        <v>-0.183</v>
      </c>
      <c r="H15" s="314">
        <f>IF(Covg07="","",IF(New_Program=TRUE,$B15,(1+$G15)*$B15))</f>
        <v>580910.72426233522</v>
      </c>
      <c r="I15" s="621" t="str">
        <f ca="1">IF(Covg07="","",IF(AND($G15&gt;=$E15,$G15&lt;=$F15),"","← WARNING! Proposed % is outside of range of permitted rate changes."))</f>
        <v/>
      </c>
    </row>
    <row r="16" spans="1:9" x14ac:dyDescent="0.25">
      <c r="A16" s="612" t="str">
        <f>IF(Covg08="","",Covg08)</f>
        <v/>
      </c>
      <c r="B16" s="313" t="str">
        <f>IF(Covg08="","",IF(New_Program=TRUE,'7.8Rate Change Calculation'!$H$48,'7.8Rate Change Calculation'!$G$48))</f>
        <v/>
      </c>
      <c r="C16" s="496" t="str">
        <f>IF(Covg08="","",IF(Rein_Indicator=TRUE,"NA",(1+E16)*$B16))</f>
        <v/>
      </c>
      <c r="D16" s="497" t="str">
        <f>IF(Covg08="","",(1+F16)*$B16)</f>
        <v/>
      </c>
      <c r="E16" s="486" t="str">
        <f>IF(Covg08="","",IF(Rein_Indicator=TRUE,"NA",'7.8Rate Change Calculation'!CHANGE_AT_MIN))</f>
        <v/>
      </c>
      <c r="F16" s="487" t="str">
        <f>IF(Covg08="","",IF(Rein_Indicator=TRUE,'7.8Rate Change Calculation'!Rein_CHANGE_AT_MAX,'7.8Rate Change Calculation'!CHANGE_AT_MAX))</f>
        <v/>
      </c>
      <c r="G16" s="487" t="str">
        <v/>
      </c>
      <c r="H16" s="314" t="str">
        <f>IF(Covg08="","",IF(New_Program=TRUE,$B16,(1+$G16)*$B16))</f>
        <v/>
      </c>
      <c r="I16" s="621" t="str">
        <f>IF(Covg08="","",IF(AND($G16&gt;=$E16,$G16&lt;=$F16),"","← WARNING! Proposed % is outside of range of permitted rate changes."))</f>
        <v/>
      </c>
    </row>
    <row r="17" spans="1:9" x14ac:dyDescent="0.25">
      <c r="A17" s="612" t="str">
        <f>IF(Covg09="","",Covg09)</f>
        <v/>
      </c>
      <c r="B17" s="313" t="str">
        <f>IF(Covg09="","",IF(New_Program=TRUE,'7.9Rate Change Calculation'!$H$48,'7.9Rate Change Calculation'!$G$48))</f>
        <v/>
      </c>
      <c r="C17" s="496" t="str">
        <f>IF(Covg09="","",IF(Rein_Indicator=TRUE,"NA",(1+E17)*$B17))</f>
        <v/>
      </c>
      <c r="D17" s="497" t="str">
        <f>IF(Covg09="","",(1+F17)*$B17)</f>
        <v/>
      </c>
      <c r="E17" s="486" t="str">
        <f>IF(Covg09="","",IF(Rein_Indicator=TRUE,"NA",'7.9Rate Change Calculation'!CHANGE_AT_MIN))</f>
        <v/>
      </c>
      <c r="F17" s="487" t="str">
        <f>IF(Covg09="","",IF(Rein_Indicator=TRUE,'7.9Rate Change Calculation'!Rein_CHANGE_AT_MAX,'7.9Rate Change Calculation'!CHANGE_AT_MAX))</f>
        <v/>
      </c>
      <c r="G17" s="487" t="str">
        <v/>
      </c>
      <c r="H17" s="314" t="str">
        <f>IF(Covg09="","",IF(New_Program=TRUE,$B17,(1+$G17)*$B17))</f>
        <v/>
      </c>
      <c r="I17" s="621" t="str">
        <f>IF(Covg09="","",IF(AND($G17&gt;=$E17,$G17&lt;=$F17),"","← WARNING! Proposed % is outside of range of permitted rate changes."))</f>
        <v/>
      </c>
    </row>
    <row r="18" spans="1:9" ht="15.75" thickBot="1" x14ac:dyDescent="0.3">
      <c r="A18" s="613" t="str">
        <f>IF(Covg10="","",Covg10)</f>
        <v/>
      </c>
      <c r="B18" s="316" t="str">
        <f>IF(Covg10="","",IF(New_Program=TRUE,'7.10Rate Change Calculation'!$H$48,'7.10Rate Change Calculation'!$G$48))</f>
        <v/>
      </c>
      <c r="C18" s="498" t="str">
        <f>IF(Covg10="","",IF(Rein_Indicator=TRUE,"NA",(1+E18)*$B18))</f>
        <v/>
      </c>
      <c r="D18" s="499" t="str">
        <f>IF(Covg10="","",(1+F18)*$B18)</f>
        <v/>
      </c>
      <c r="E18" s="488" t="str">
        <f>IF(Covg10="","",IF(Rein_Indicator=TRUE,"NA",'7.10Rate Change Calculation'!CHANGE_AT_MIN))</f>
        <v/>
      </c>
      <c r="F18" s="489" t="str">
        <f>IF(Covg10="","",IF(Rein_Indicator=TRUE,'7.10Rate Change Calculation'!Rein_CHANGE_AT_MAX,'7.10Rate Change Calculation'!CHANGE_AT_MAX))</f>
        <v/>
      </c>
      <c r="G18" s="489" t="str">
        <v/>
      </c>
      <c r="H18" s="516" t="str">
        <f>IF(Covg10="","",IF(New_Program=TRUE,$B18,(1+$G18)*$B18))</f>
        <v/>
      </c>
      <c r="I18" s="621" t="str">
        <f>IF(Covg10="","",IF(AND($G18&gt;=$E18,$G18&lt;=$F18),"","← WARNING! Proposed % is outside of range of permitted rate changes."))</f>
        <v/>
      </c>
    </row>
    <row r="19" spans="1:9" ht="21.75" thickBot="1" x14ac:dyDescent="0.3">
      <c r="A19" s="318" t="s">
        <v>379</v>
      </c>
      <c r="B19" s="319">
        <f>IF(AND(Covg01="",Covg02="",Covg03="",Covg04="",Covg05="",Covg06="",Covg07="",Covg08="",Covg09="",Covg10=""),"",SUM(B9:B18))</f>
        <v>3842465317.7108908</v>
      </c>
      <c r="C19" s="320">
        <f ca="1">IF(AND(Covg01="",Covg02="",Covg03="",Covg04="",Covg05="",Covg06="",Covg07="",Covg08="",Covg09="",Covg10=""),"",SUM(C9:C18))</f>
        <v>3476269078.0773869</v>
      </c>
      <c r="D19" s="321">
        <f ca="1">IF(AND(Covg01="",Covg02="",Covg03="",Covg04="",Covg05="",Covg06="",Covg07="",Covg08="",Covg09="",Covg10=""),"",SUM(D9:D18))</f>
        <v>4342170073.9196196</v>
      </c>
      <c r="E19" s="490">
        <f ca="1">IF(AND(Covg01="",Covg02="",Covg03="",Covg04="",Covg05="",Covg06="",Covg07="",Covg08="",Covg09="",Covg10=""),"",IF(Rein_Indicator=TRUE,"NA",SUMPRODUCT(E9:E18,$B$9:$B$18)/$B$19))</f>
        <v>-9.5302418982316603E-2</v>
      </c>
      <c r="F19" s="491">
        <f ca="1">IF(AND(Covg01="",Covg02="",Covg03="",Covg04="",Covg05="",Covg06="",Covg07="",Covg08="",Covg09="",Covg10=""),"",SUMPRODUCT(F9:F18,$B$9:$B$18)/$B$19)</f>
        <v>0.13004795486519127</v>
      </c>
      <c r="G19" s="491">
        <f>IF(AND(Covg01="",Covg02="",Covg03="",Covg04="",Covg05="",Covg06="",Covg07="",Covg08="",Covg09="",Covg10=""),"",SUMPRODUCT(G9:G18,$B$9:$B$18)/$B$19)</f>
        <v>6.8796265238782003E-2</v>
      </c>
      <c r="H19" s="320">
        <f>IF(AND(Covg01="",Covg02="",Covg03="",Covg04="",Covg05="",Covg06="",Covg07="",Covg08="",Covg09="",Covg10=""),"",SUM(H9:H18))</f>
        <v>4106812580.8789492</v>
      </c>
      <c r="I19" s="621" t="str">
        <f ca="1">IF(AND(Covg01="",Covg02="",Covg03="",Covg04="",Covg05="",Covg06="",Covg07="",Covg08="",Covg09="",Covg10=""),"",IF(AND($G19&gt;=$E19,$G19&lt;=$F19),"","← WARNING! Proposed % is outside of range of permitted rate changes."))</f>
        <v/>
      </c>
    </row>
    <row r="20" spans="1:9" ht="30" customHeight="1" x14ac:dyDescent="0.25">
      <c r="I20" s="265"/>
    </row>
    <row r="21" spans="1:9" x14ac:dyDescent="0.25">
      <c r="A21" s="130" t="s">
        <v>653</v>
      </c>
      <c r="C21" s="519">
        <v>3643678.5158333331</v>
      </c>
      <c r="I21" s="283" t="str">
        <f>IF(OR($C$21&lt;=0,NOT(ISNUMBER($C$21)),ISBLANK($C$21)),IF(New_Program=TRUE,"← ERROR! Enter the combined total projected earned exposures corresponding to the total projected premium.","← ERROR! Enter the combined total earned exposures for the latest year."),"")</f>
        <v/>
      </c>
    </row>
    <row r="22" spans="1:9" ht="15" customHeight="1" thickBot="1" x14ac:dyDescent="0.3">
      <c r="I22" s="265"/>
    </row>
    <row r="23" spans="1:9" ht="15.75" thickBot="1" x14ac:dyDescent="0.3">
      <c r="A23" s="750" t="s">
        <v>635</v>
      </c>
      <c r="B23" s="477" t="s">
        <v>386</v>
      </c>
      <c r="C23" s="304"/>
      <c r="D23" s="304"/>
      <c r="E23" s="305"/>
      <c r="F23" s="753" t="str">
        <f>IF(New_Program=TRUE,"Projected ","Latest Year ")&amp;"Earned Exposures"</f>
        <v>Latest Year Earned Exposures</v>
      </c>
      <c r="G23" s="752"/>
      <c r="I23" s="265"/>
    </row>
    <row r="24" spans="1:9" ht="52.5" customHeight="1" thickBot="1" x14ac:dyDescent="0.3">
      <c r="A24" s="751"/>
      <c r="B24" s="308" t="str">
        <f>IF(New_Program=TRUE,"Projected ","Latest Year Adjusted ")</f>
        <v xml:space="preserve">Latest Year Adjusted </v>
      </c>
      <c r="C24" s="310" t="s">
        <v>708</v>
      </c>
      <c r="D24" s="310" t="s">
        <v>709</v>
      </c>
      <c r="E24" s="309" t="s">
        <v>610</v>
      </c>
      <c r="F24" s="754"/>
      <c r="G24" s="752"/>
      <c r="I24" s="265"/>
    </row>
    <row r="25" spans="1:9" x14ac:dyDescent="0.25">
      <c r="A25" s="612" t="str">
        <f>IF(Covg01="","",Covg01)</f>
        <v>BIPD</v>
      </c>
      <c r="B25" s="317">
        <f>IF(Covg01="","",$B9/$F25)</f>
        <v>449.14766799228767</v>
      </c>
      <c r="C25" s="482">
        <f ca="1">IF(Covg01="","",'7.1Rate Change Calculation'!H66)</f>
        <v>335.29230528342828</v>
      </c>
      <c r="D25" s="483">
        <f ca="1">IF(Covg01="","",'7.1Rate Change Calculation'!H67)</f>
        <v>441.67952879762021</v>
      </c>
      <c r="E25" s="166">
        <f>IF(Covg01="","",$H9/$F25)</f>
        <v>425.34284158869639</v>
      </c>
      <c r="F25" s="514">
        <f>IF(Covg01="","",IF(New_Program=TRUE,'7.1Rate Change Calculation'!$H$21,'7.1Rate Change Calculation'!$G$21))</f>
        <v>3643679</v>
      </c>
      <c r="G25" s="501"/>
      <c r="I25" s="265"/>
    </row>
    <row r="26" spans="1:9" x14ac:dyDescent="0.25">
      <c r="A26" s="612" t="str">
        <f>IF(Covg02="","",Covg02)</f>
        <v>MPC</v>
      </c>
      <c r="B26" s="317">
        <f>IF(Covg02="","",$B10/$F26)</f>
        <v>32.043808933716441</v>
      </c>
      <c r="C26" s="482">
        <f ca="1">IF(Covg02="","",'7.2Rate Change Calculation'!H66)</f>
        <v>24.175990917055731</v>
      </c>
      <c r="D26" s="482">
        <f ca="1">IF(Covg02="","",'7.2Rate Change Calculation'!H67)</f>
        <v>31.846958931653361</v>
      </c>
      <c r="E26" s="166">
        <f>IF(Covg02="","",$H10/$F26)</f>
        <v>31.819502271180426</v>
      </c>
      <c r="F26" s="484">
        <f>IF(Covg02="","",IF(New_Program=TRUE,'7.2Rate Change Calculation'!$H$21,'7.2Rate Change Calculation'!$G$21))</f>
        <v>2055428</v>
      </c>
      <c r="G26" s="501"/>
      <c r="I26" s="265"/>
    </row>
    <row r="27" spans="1:9" x14ac:dyDescent="0.25">
      <c r="A27" s="612" t="str">
        <f>IF(Covg03="","",Covg03)</f>
        <v>UM</v>
      </c>
      <c r="B27" s="317">
        <f>IF(Covg03="","",$B11/$F27)</f>
        <v>86.513228001102163</v>
      </c>
      <c r="C27" s="482">
        <f ca="1">IF(Covg03="","",'7.3Rate Change Calculation'!H66)</f>
        <v>76.307307573700584</v>
      </c>
      <c r="D27" s="482">
        <f ca="1">IF(Covg03="","",'7.3Rate Change Calculation'!H67)</f>
        <v>100.51938300366636</v>
      </c>
      <c r="E27" s="166">
        <f>IF(Covg03="","",$H11/$F27)</f>
        <v>93.434286241190335</v>
      </c>
      <c r="F27" s="484">
        <f>IF(Covg03="","",IF(New_Program=TRUE,'7.3Rate Change Calculation'!$H$21,'7.3Rate Change Calculation'!$G$21))</f>
        <v>3578818</v>
      </c>
      <c r="G27" s="501"/>
      <c r="I27" s="265"/>
    </row>
    <row r="28" spans="1:9" x14ac:dyDescent="0.25">
      <c r="A28" s="612" t="str">
        <f>IF(Covg04="","",Covg04)</f>
        <v>COMP</v>
      </c>
      <c r="B28" s="317">
        <f>IF(Covg04="","",$B12/$F28)</f>
        <v>110.28489683555458</v>
      </c>
      <c r="C28" s="482">
        <f ca="1">IF(Covg04="","",'7.4Rate Change Calculation'!H66)</f>
        <v>135.97364338624146</v>
      </c>
      <c r="D28" s="482">
        <f ca="1">IF(Covg04="","",'7.4Rate Change Calculation'!H67)</f>
        <v>162.42435098597281</v>
      </c>
      <c r="E28" s="166">
        <f>IF(Covg04="","",$H12/$F28)</f>
        <v>159.91310041155413</v>
      </c>
      <c r="F28" s="484">
        <f>IF(Covg04="","",IF(New_Program=TRUE,'7.4Rate Change Calculation'!$H$21,'7.4Rate Change Calculation'!$G$21))</f>
        <v>3304840</v>
      </c>
      <c r="G28" s="501"/>
      <c r="I28" s="265"/>
    </row>
    <row r="29" spans="1:9" x14ac:dyDescent="0.25">
      <c r="A29" s="612" t="str">
        <f>IF(Covg05="","",Covg05)</f>
        <v>COLL</v>
      </c>
      <c r="B29" s="317">
        <f>IF(Covg05="","",$B13/$F29)</f>
        <v>432.45454753153359</v>
      </c>
      <c r="C29" s="482">
        <f ca="1">IF(Covg05="","",'7.5Rate Change Calculation'!H66)</f>
        <v>439.91872669729116</v>
      </c>
      <c r="D29" s="482">
        <f ca="1">IF(Covg05="","",'7.5Rate Change Calculation'!H67)</f>
        <v>525.49532314446401</v>
      </c>
      <c r="E29" s="166">
        <f>IF(Covg05="","",$H13/$F29)</f>
        <v>482.18682049765994</v>
      </c>
      <c r="F29" s="484">
        <f>IF(Covg05="","",IF(New_Program=TRUE,'7.5Rate Change Calculation'!$H$21,'7.5Rate Change Calculation'!$G$21))</f>
        <v>3185496</v>
      </c>
      <c r="G29" s="501"/>
      <c r="I29" s="265"/>
    </row>
    <row r="30" spans="1:9" x14ac:dyDescent="0.25">
      <c r="A30" s="612" t="str">
        <f>IF(Covg06="","",Covg06)</f>
        <v>Misc. Damage</v>
      </c>
      <c r="B30" s="317">
        <f>IF(Covg06="","",$B14/$F30)</f>
        <v>21.706938420418396</v>
      </c>
      <c r="C30" s="482">
        <f ca="1">IF(Covg06="","",'7.6Rate Change Calculation'!H66)</f>
        <v>19.959658715524093</v>
      </c>
      <c r="D30" s="482">
        <f ca="1">IF(Covg06="","",'7.6Rate Change Calculation'!H67)</f>
        <v>23.842375125314561</v>
      </c>
      <c r="E30" s="166">
        <f>IF(Covg06="","",$H14/$F30)</f>
        <v>22.813992279859729</v>
      </c>
      <c r="F30" s="484">
        <f>IF(Covg06="","",IF(New_Program=TRUE,'7.6Rate Change Calculation'!$H$21,'7.6Rate Change Calculation'!$G$21))</f>
        <v>4038771</v>
      </c>
      <c r="G30" s="501"/>
      <c r="I30" s="265"/>
    </row>
    <row r="31" spans="1:9" x14ac:dyDescent="0.25">
      <c r="A31" s="612" t="str">
        <f>IF(Covg07="","",Covg07)</f>
        <v>Misc. Liability</v>
      </c>
      <c r="B31" s="317">
        <f>IF(Covg07="","",$B15/$F31)</f>
        <v>3.1777550067252682</v>
      </c>
      <c r="C31" s="482">
        <f ca="1">IF(Covg07="","",'7.7Rate Change Calculation'!H66)</f>
        <v>2.0022120457282897</v>
      </c>
      <c r="D31" s="482">
        <f ca="1">IF(Covg07="","",'7.7Rate Change Calculation'!H67)</f>
        <v>2.6375078072926423</v>
      </c>
      <c r="E31" s="166">
        <f>IF(Covg07="","",$H15/$F31)</f>
        <v>2.5962258404945442</v>
      </c>
      <c r="F31" s="484">
        <f>IF(Covg07="","",IF(New_Program=TRUE,'7.7Rate Change Calculation'!$H$21,'7.7Rate Change Calculation'!$G$21))</f>
        <v>223752</v>
      </c>
      <c r="G31" s="501"/>
      <c r="I31" s="265"/>
    </row>
    <row r="32" spans="1:9" x14ac:dyDescent="0.25">
      <c r="A32" s="612" t="str">
        <f>IF(Covg08="","",Covg08)</f>
        <v/>
      </c>
      <c r="B32" s="317" t="str">
        <f>IF(Covg08="","",$B16/$F32)</f>
        <v/>
      </c>
      <c r="C32" s="482" t="str">
        <f>IF(Covg08="","",'7.8Rate Change Calculation'!H66)</f>
        <v/>
      </c>
      <c r="D32" s="482" t="str">
        <f>IF(Covg08="","",'7.8Rate Change Calculation'!H67)</f>
        <v/>
      </c>
      <c r="E32" s="166" t="str">
        <f>IF(Covg08="","",$H16/$F32)</f>
        <v/>
      </c>
      <c r="F32" s="484" t="str">
        <f>IF(Covg08="","",IF(New_Program=TRUE,'7.8Rate Change Calculation'!$H$21,'7.8Rate Change Calculation'!$G$21))</f>
        <v/>
      </c>
      <c r="G32" s="501"/>
      <c r="I32" s="265"/>
    </row>
    <row r="33" spans="1:9" x14ac:dyDescent="0.25">
      <c r="A33" s="612" t="str">
        <f>IF(Covg09="","",Covg09)</f>
        <v/>
      </c>
      <c r="B33" s="317" t="str">
        <f>IF(Covg09="","",$B17/$F33)</f>
        <v/>
      </c>
      <c r="C33" s="482" t="str">
        <f>IF(Covg09="","",'7.9Rate Change Calculation'!H66)</f>
        <v/>
      </c>
      <c r="D33" s="482" t="str">
        <f>IF(Covg09="","",'7.9Rate Change Calculation'!H67)</f>
        <v/>
      </c>
      <c r="E33" s="166" t="str">
        <f>IF(Covg09="","",$H17/$F33)</f>
        <v/>
      </c>
      <c r="F33" s="484" t="str">
        <f>IF(Covg09="","",IF(New_Program=TRUE,'7.9Rate Change Calculation'!$H$21,'7.9Rate Change Calculation'!$G$21))</f>
        <v/>
      </c>
      <c r="G33" s="501"/>
      <c r="I33" s="265"/>
    </row>
    <row r="34" spans="1:9" ht="15.75" thickBot="1" x14ac:dyDescent="0.3">
      <c r="A34" s="613" t="str">
        <f>IF(Covg10="","",Covg10)</f>
        <v/>
      </c>
      <c r="B34" s="317" t="str">
        <f>IF(Covg10="","",$B18/$F34)</f>
        <v/>
      </c>
      <c r="C34" s="482" t="str">
        <f>IF(Covg10="","",'7.10Rate Change Calculation'!H66)</f>
        <v/>
      </c>
      <c r="D34" s="482" t="str">
        <f>IF(Covg10="","",'7.10Rate Change Calculation'!H67)</f>
        <v/>
      </c>
      <c r="E34" s="166" t="str">
        <f>IF(Covg10="","",$H18/$F34)</f>
        <v/>
      </c>
      <c r="F34" s="515" t="str">
        <f>IF(Covg10="","",IF(New_Program=TRUE,'7.10Rate Change Calculation'!$H$21,'7.10Rate Change Calculation'!$G$21))</f>
        <v/>
      </c>
      <c r="G34" s="501"/>
      <c r="I34" s="265"/>
    </row>
    <row r="35" spans="1:9" ht="21.75" thickBot="1" x14ac:dyDescent="0.3">
      <c r="A35" s="322" t="s">
        <v>379</v>
      </c>
      <c r="B35" s="503">
        <f>IF(AND(Covg01="",Covg02="",Covg03="",Covg04="",Covg05="",Covg06="",Covg07="",Covg08="",Covg09="",Covg10=""),"",$B19/$F35)</f>
        <v>1054.5566248541809</v>
      </c>
      <c r="C35" s="323">
        <f ca="1">IF(AND(Covg01="",Covg02="",Covg03="",Covg04="",Covg05="",Covg06="",Covg07="",Covg08="",Covg09="",Covg10=""),"",$C19/$F35)</f>
        <v>954.05482755175001</v>
      </c>
      <c r="D35" s="323">
        <f ca="1">IF(AND(Covg01="",Covg02="",Covg03="",Covg04="",Covg05="",Covg06="",Covg07="",Covg08="",Covg09="",Covg10=""),"",$D19/$F35)</f>
        <v>1191.6995572060059</v>
      </c>
      <c r="E35" s="324">
        <f>IF(AND(Covg01="",Covg02="",Covg03="",Covg04="",Covg05="",Covg06="",Covg07="",Covg08="",Covg09="",Covg10=""),"",$H19/$F35)</f>
        <v>1127.1061821269636</v>
      </c>
      <c r="F35" s="615">
        <f>IF(ISBLANK($C$21),"",$C$21)</f>
        <v>3643678.5158333331</v>
      </c>
      <c r="G35" s="502"/>
      <c r="I35" s="517"/>
    </row>
    <row r="36" spans="1:9" ht="30" customHeight="1" thickBot="1" x14ac:dyDescent="0.3">
      <c r="I36" s="265"/>
    </row>
    <row r="37" spans="1:9" ht="45.75" thickBot="1" x14ac:dyDescent="0.3">
      <c r="A37" s="306" t="s">
        <v>635</v>
      </c>
      <c r="B37" s="308" t="str">
        <f>IF(New_Program=TRUE,"Projected ","Latest Year Adjusted ")&amp;"Annual Premium ($)"</f>
        <v>Latest Year Adjusted Annual Premium ($)</v>
      </c>
      <c r="C37" s="310" t="str">
        <f>IF(New_Program=TRUE,"Projected Annual ","Latest Year Projected ")&amp;"Ultimate Loss &amp; DCCE ($)"</f>
        <v>Latest Year Projected Ultimate Loss &amp; DCCE ($)</v>
      </c>
      <c r="D37" s="309" t="str">
        <f>IF(New_Program=TRUE,"Projected Annual ","Latest Year Projected ")&amp;"Ultimate Loss &amp; DCCE Ratio"</f>
        <v>Latest Year Projected Ultimate Loss &amp; DCCE Ratio</v>
      </c>
      <c r="H37" s="500"/>
      <c r="I37" s="265"/>
    </row>
    <row r="38" spans="1:9" x14ac:dyDescent="0.25">
      <c r="A38" s="612" t="str">
        <f>IF(Covg01="","",Covg01)</f>
        <v>BIPD</v>
      </c>
      <c r="B38" s="314">
        <f>$B9</f>
        <v>1636549925.7624707</v>
      </c>
      <c r="C38" s="135">
        <f>IF(Covg01="","",IF(New_Program=TRUE,'7.1Rate Change Calculation'!$H$49+'7.1Rate Change Calculation'!$H$50,'7.1Rate Change Calculation'!$G$49+'7.1Rate Change Calculation'!$G$50))</f>
        <v>1294156190.2121413</v>
      </c>
      <c r="D38" s="315">
        <f>IF(Covg01="","",C38/B38)</f>
        <v>0.79078320180741946</v>
      </c>
      <c r="H38" s="500"/>
      <c r="I38" s="265"/>
    </row>
    <row r="39" spans="1:9" x14ac:dyDescent="0.25">
      <c r="A39" s="612" t="str">
        <f>IF(Covg02="","",Covg02)</f>
        <v>MPC</v>
      </c>
      <c r="B39" s="314">
        <f t="shared" ref="B39:B47" si="0">$B10</f>
        <v>65863742.10901092</v>
      </c>
      <c r="C39" s="135">
        <f>IF(Covg02="","",IF(New_Program=TRUE,'7.2Rate Change Calculation'!$H$49+'7.2Rate Change Calculation'!$H$50,'7.2Rate Change Calculation'!$G$49+'7.2Rate Change Calculation'!$G$50))</f>
        <v>52639232.661998555</v>
      </c>
      <c r="D39" s="315">
        <f>IF(Covg02="","",C39/B39)</f>
        <v>0.79921411958153676</v>
      </c>
      <c r="H39" s="500"/>
      <c r="I39" s="265"/>
    </row>
    <row r="40" spans="1:9" x14ac:dyDescent="0.25">
      <c r="A40" s="612" t="str">
        <f>IF(Covg03="","",Covg03)</f>
        <v>UM</v>
      </c>
      <c r="B40" s="314">
        <f t="shared" si="0"/>
        <v>309615097.60844845</v>
      </c>
      <c r="C40" s="135">
        <f>IF(Covg03="","",IF(New_Program=TRUE,'7.3Rate Change Calculation'!$H$49+'7.3Rate Change Calculation'!$H$50,'7.3Rate Change Calculation'!$G$49+'7.3Rate Change Calculation'!$G$50))</f>
        <v>289286882.12553829</v>
      </c>
      <c r="D40" s="315">
        <f>IF(Covg03="","",C40/B40)</f>
        <v>0.93434359099433184</v>
      </c>
      <c r="H40" s="500"/>
      <c r="I40" s="265"/>
    </row>
    <row r="41" spans="1:9" x14ac:dyDescent="0.25">
      <c r="A41" s="612" t="str">
        <f>IF(Covg04="","",Covg04)</f>
        <v>COMP</v>
      </c>
      <c r="B41" s="314">
        <f t="shared" si="0"/>
        <v>364473938.45801419</v>
      </c>
      <c r="C41" s="135">
        <f>IF(Covg04="","",IF(New_Program=TRUE,'7.4Rate Change Calculation'!$H$49+'7.4Rate Change Calculation'!$H$50,'7.4Rate Change Calculation'!$G$49+'7.4Rate Change Calculation'!$G$50))</f>
        <v>389420925.58313501</v>
      </c>
      <c r="D41" s="315">
        <f>IF(Covg04="","",C41/B41)</f>
        <v>1.0684465595281365</v>
      </c>
      <c r="H41" s="500"/>
      <c r="I41" s="265"/>
    </row>
    <row r="42" spans="1:9" x14ac:dyDescent="0.25">
      <c r="A42" s="612" t="str">
        <f>IF(Covg05="","",Covg05)</f>
        <v>COLL</v>
      </c>
      <c r="B42" s="314">
        <f t="shared" si="0"/>
        <v>1377582231.3435102</v>
      </c>
      <c r="C42" s="135">
        <f>IF(Covg05="","",IF(New_Program=TRUE,'7.5Rate Change Calculation'!$H$49+'7.5Rate Change Calculation'!$H$50,'7.5Rate Change Calculation'!$G$49+'7.5Rate Change Calculation'!$G$50))</f>
        <v>1214405220.2226787</v>
      </c>
      <c r="D42" s="315">
        <f>IF(Covg05="","",C42/B42)</f>
        <v>0.88154826085286364</v>
      </c>
      <c r="H42" s="500"/>
      <c r="I42" s="265"/>
    </row>
    <row r="43" spans="1:9" x14ac:dyDescent="0.25">
      <c r="A43" s="612" t="str">
        <f>IF(Covg06="","",Covg06)</f>
        <v>Misc. Damage</v>
      </c>
      <c r="B43" s="314">
        <f t="shared" si="0"/>
        <v>87669353.391171619</v>
      </c>
      <c r="C43" s="135">
        <f>IF(Covg06="","",IF(New_Program=TRUE,'7.6Rate Change Calculation'!$H$49+'7.6Rate Change Calculation'!$H$50,'7.6Rate Change Calculation'!$G$49+'7.6Rate Change Calculation'!$G$50))</f>
        <v>69858048.925527498</v>
      </c>
      <c r="D43" s="315">
        <f>IF(Covg06="","",C43/B43)</f>
        <v>0.79683545302117242</v>
      </c>
      <c r="I43" s="265"/>
    </row>
    <row r="44" spans="1:9" x14ac:dyDescent="0.25">
      <c r="A44" s="612" t="str">
        <f>IF(Covg07="","",Covg07)</f>
        <v>Misc. Liability</v>
      </c>
      <c r="B44" s="314">
        <f t="shared" si="0"/>
        <v>711029.03826479218</v>
      </c>
      <c r="C44" s="135">
        <f>IF(Covg07="","",IF(New_Program=TRUE,'7.7Rate Change Calculation'!$H$49+'7.7Rate Change Calculation'!$H$50,'7.7Rate Change Calculation'!$G$49+'7.7Rate Change Calculation'!$G$50))</f>
        <v>186960.42541103545</v>
      </c>
      <c r="D44" s="315">
        <f>IF(Covg07="","",C44/B44)</f>
        <v>0.26294344583632895</v>
      </c>
      <c r="I44" s="265"/>
    </row>
    <row r="45" spans="1:9" x14ac:dyDescent="0.25">
      <c r="A45" s="612" t="str">
        <f>IF(Covg08="","",Covg08)</f>
        <v/>
      </c>
      <c r="B45" s="314" t="str">
        <f t="shared" si="0"/>
        <v/>
      </c>
      <c r="C45" s="135" t="str">
        <f>IF(Covg08="","",IF(New_Program=TRUE,'7.8Rate Change Calculation'!$H$49+'7.8Rate Change Calculation'!$H$50,'7.8Rate Change Calculation'!$G$49+'7.8Rate Change Calculation'!$G$50))</f>
        <v/>
      </c>
      <c r="D45" s="315" t="str">
        <f>IF(Covg08="","",C45/B45)</f>
        <v/>
      </c>
      <c r="I45" s="265"/>
    </row>
    <row r="46" spans="1:9" x14ac:dyDescent="0.25">
      <c r="A46" s="612" t="str">
        <f>IF(Covg09="","",Covg09)</f>
        <v/>
      </c>
      <c r="B46" s="314" t="str">
        <f t="shared" si="0"/>
        <v/>
      </c>
      <c r="C46" s="135" t="str">
        <f>IF(Covg09="","",IF(New_Program=TRUE,'7.9Rate Change Calculation'!$H$49+'7.9Rate Change Calculation'!$H$50,'7.9Rate Change Calculation'!$G$49+'7.9Rate Change Calculation'!$G$50))</f>
        <v/>
      </c>
      <c r="D46" s="315" t="str">
        <f>IF(Covg09="","",C46/B46)</f>
        <v/>
      </c>
      <c r="I46" s="265"/>
    </row>
    <row r="47" spans="1:9" ht="15.75" thickBot="1" x14ac:dyDescent="0.3">
      <c r="A47" s="613" t="str">
        <f>IF(Covg10="","",Covg10)</f>
        <v/>
      </c>
      <c r="B47" s="314" t="str">
        <f t="shared" si="0"/>
        <v/>
      </c>
      <c r="C47" s="135" t="str">
        <f>IF(Covg10="","",IF(New_Program=TRUE,'7.10Rate Change Calculation'!$H$49+'7.10Rate Change Calculation'!$H$50,'7.10Rate Change Calculation'!$G$49+'7.10Rate Change Calculation'!$G$50))</f>
        <v/>
      </c>
      <c r="D47" s="315" t="str">
        <f>IF(Covg10="","",C47/B47)</f>
        <v/>
      </c>
      <c r="I47" s="265"/>
    </row>
    <row r="48" spans="1:9" ht="21.75" thickBot="1" x14ac:dyDescent="0.3">
      <c r="A48" s="322" t="s">
        <v>379</v>
      </c>
      <c r="B48" s="325">
        <f>IF(AND(Covg01="",Covg02="",Covg03="",Covg04="",Covg05="",Covg06="",Covg07="",Covg08="",Covg09="",Covg10=""),"",SUM(B38:B47))</f>
        <v>3842465317.7108908</v>
      </c>
      <c r="C48" s="326">
        <f>IF(AND(Covg01="",Covg02="",Covg03="",Covg04="",Covg05="",Covg06="",Covg07="",Covg08="",Covg09="",Covg10=""),"",SUM(C38:C47))</f>
        <v>3309953460.1564307</v>
      </c>
      <c r="D48" s="472">
        <f>IF(AND(Covg01="",Covg02="",Covg03="",Covg04="",Covg05="",Covg06="",Covg07="",Covg08="",Covg09="",Covg10=""),"",C48/B48)</f>
        <v>0.86141401066133794</v>
      </c>
      <c r="I48" s="518"/>
    </row>
  </sheetData>
  <sheetProtection algorithmName="SHA-512" hashValue="3RsWTuzzrRuMQdgNFt9TygBgpKsB/LjhU1CpPqyrycltx73v4/AJl/1t4Yr8cM2MsvpeW22b5zXjQJg/EyYZ0A==" saltValue="BsR9KffjIitzHdPBn2iCeg==" spinCount="100000" sheet="1" objects="1" scenarios="1" formatColumns="0" formatRows="0" sort="0"/>
  <mergeCells count="3">
    <mergeCell ref="A23:A24"/>
    <mergeCell ref="G23:G24"/>
    <mergeCell ref="F23:F24"/>
  </mergeCells>
  <dataValidations disablePrompts="1" count="1">
    <dataValidation type="list" allowBlank="1" showInputMessage="1" showErrorMessage="1" sqref="G25:G34" xr:uid="{00000000-0002-0000-0400-000000000000}">
      <formula1>"0,1"</formula1>
    </dataValidation>
  </dataValidations>
  <printOptions horizontalCentered="1"/>
  <pageMargins left="0.45" right="0.45" top="0.5" bottom="0.5" header="0.3" footer="0.3"/>
  <pageSetup scale="69" orientation="portrait" r:id="rId1"/>
  <headerFooter>
    <oddFooter>&amp;CPrior Approval Rate Template&amp;RPage 2&amp;L01/11/2022 Edition</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5">
    <tabColor rgb="FF0000FF"/>
    <pageSetUpPr fitToPage="1"/>
  </sheetPr>
  <dimension ref="A1:H29"/>
  <sheetViews>
    <sheetView showGridLines="0" view="pageBreakPreview" topLeftCell="A4" zoomScaleNormal="100" zoomScaleSheetLayoutView="100" workbookViewId="0">
      <selection activeCell="G15" sqref="G15"/>
    </sheetView>
  </sheetViews>
  <sheetFormatPr defaultRowHeight="15" x14ac:dyDescent="0.25"/>
  <cols>
    <col min="1" max="1" width="5.85546875" customWidth="1"/>
    <col min="2" max="2" width="25.7109375" customWidth="1"/>
    <col min="3" max="3" width="17" bestFit="1" customWidth="1"/>
    <col min="4" max="8" width="15.7109375" customWidth="1"/>
  </cols>
  <sheetData>
    <row r="1" spans="1:8" x14ac:dyDescent="0.25">
      <c r="A1" s="8" t="s">
        <v>31</v>
      </c>
      <c r="D1" s="124" t="s">
        <v>33</v>
      </c>
      <c r="G1" s="125" t="str">
        <f>Co_Name</f>
        <v>State Farm Mutual Automobile Insurance Company</v>
      </c>
      <c r="H1" s="125"/>
    </row>
    <row r="2" spans="1:8" x14ac:dyDescent="0.25">
      <c r="A2" s="8" t="s">
        <v>32</v>
      </c>
      <c r="D2" s="124" t="s">
        <v>34</v>
      </c>
      <c r="G2" s="125" t="str">
        <f>General_Line</f>
        <v>Auto Liability and Physical Damage</v>
      </c>
      <c r="H2" s="125"/>
    </row>
    <row r="3" spans="1:8" x14ac:dyDescent="0.25">
      <c r="B3" s="344"/>
      <c r="D3" s="181" t="s">
        <v>142</v>
      </c>
      <c r="E3" s="182"/>
      <c r="F3" s="182"/>
      <c r="G3" s="312" t="str">
        <f>CDI_FileNo</f>
        <v/>
      </c>
      <c r="H3" s="312"/>
    </row>
    <row r="4" spans="1:8" ht="18" customHeight="1" x14ac:dyDescent="0.25">
      <c r="A4" s="14"/>
    </row>
    <row r="5" spans="1:8" ht="23.25" x14ac:dyDescent="0.25">
      <c r="A5" s="4" t="s">
        <v>418</v>
      </c>
      <c r="B5" s="3"/>
      <c r="C5" s="3"/>
      <c r="D5" s="3"/>
      <c r="E5" s="3"/>
      <c r="F5" s="3"/>
      <c r="G5" s="3"/>
      <c r="H5" s="3"/>
    </row>
    <row r="6" spans="1:8" ht="15.75" thickBot="1" x14ac:dyDescent="0.3"/>
    <row r="7" spans="1:8" ht="30" customHeight="1" x14ac:dyDescent="0.25">
      <c r="A7" s="350"/>
      <c r="B7" s="351"/>
      <c r="C7" s="549" t="s">
        <v>419</v>
      </c>
      <c r="D7" s="550" t="s">
        <v>420</v>
      </c>
      <c r="E7" s="550"/>
      <c r="F7" s="660" t="s">
        <v>421</v>
      </c>
      <c r="G7" s="660"/>
      <c r="H7" s="662" t="s">
        <v>723</v>
      </c>
    </row>
    <row r="8" spans="1:8" ht="30" customHeight="1" thickBot="1" x14ac:dyDescent="0.3">
      <c r="A8" s="553" t="s">
        <v>59</v>
      </c>
      <c r="B8" s="559" t="s">
        <v>64</v>
      </c>
      <c r="C8" s="560" t="s">
        <v>422</v>
      </c>
      <c r="D8" s="561" t="s">
        <v>423</v>
      </c>
      <c r="E8" s="560" t="s">
        <v>424</v>
      </c>
      <c r="F8" s="561" t="s">
        <v>425</v>
      </c>
      <c r="G8" s="561" t="s">
        <v>426</v>
      </c>
      <c r="H8" s="663" t="s">
        <v>724</v>
      </c>
    </row>
    <row r="9" spans="1:8" ht="30" customHeight="1" x14ac:dyDescent="0.25">
      <c r="A9" s="555">
        <v>1.7</v>
      </c>
      <c r="B9" s="556" t="s">
        <v>427</v>
      </c>
      <c r="C9" s="557">
        <v>454493365</v>
      </c>
      <c r="D9" s="558">
        <v>4035718518</v>
      </c>
      <c r="E9" s="558">
        <v>2549806199</v>
      </c>
      <c r="F9" s="558">
        <v>241166305</v>
      </c>
      <c r="G9" s="558">
        <v>23656173</v>
      </c>
      <c r="H9" s="666"/>
    </row>
    <row r="10" spans="1:8" ht="30" customHeight="1" x14ac:dyDescent="0.25">
      <c r="A10" s="353">
        <v>2.7</v>
      </c>
      <c r="B10" s="347" t="s">
        <v>428</v>
      </c>
      <c r="C10" s="521">
        <v>1919195</v>
      </c>
      <c r="D10" s="522">
        <v>23600034</v>
      </c>
      <c r="E10" s="522">
        <v>72679653</v>
      </c>
      <c r="F10" s="522">
        <v>0</v>
      </c>
      <c r="G10" s="522">
        <v>0</v>
      </c>
      <c r="H10" s="667"/>
    </row>
    <row r="11" spans="1:8" ht="30" customHeight="1" x14ac:dyDescent="0.25">
      <c r="A11" s="353">
        <v>3.7</v>
      </c>
      <c r="B11" s="348" t="s">
        <v>429</v>
      </c>
      <c r="C11" s="521">
        <v>282232150</v>
      </c>
      <c r="D11" s="522">
        <v>1624266563</v>
      </c>
      <c r="E11" s="522">
        <v>797017582</v>
      </c>
      <c r="F11" s="522">
        <v>77731256</v>
      </c>
      <c r="G11" s="522">
        <v>0</v>
      </c>
      <c r="H11" s="667"/>
    </row>
    <row r="12" spans="1:8" ht="30" customHeight="1" x14ac:dyDescent="0.25">
      <c r="A12" s="353">
        <v>4.7</v>
      </c>
      <c r="B12" s="348" t="s">
        <v>430</v>
      </c>
      <c r="C12" s="521">
        <v>1114700140</v>
      </c>
      <c r="D12" s="522">
        <v>8403385910</v>
      </c>
      <c r="E12" s="522">
        <v>7427108905</v>
      </c>
      <c r="F12" s="522">
        <v>979357868</v>
      </c>
      <c r="G12" s="522">
        <v>24656067</v>
      </c>
      <c r="H12" s="667"/>
    </row>
    <row r="13" spans="1:8" ht="30" customHeight="1" x14ac:dyDescent="0.25">
      <c r="A13" s="353">
        <v>5.7</v>
      </c>
      <c r="B13" s="348" t="s">
        <v>431</v>
      </c>
      <c r="C13" s="521">
        <v>776973445</v>
      </c>
      <c r="D13" s="522">
        <v>6397062779</v>
      </c>
      <c r="E13" s="522">
        <v>8317525728</v>
      </c>
      <c r="F13" s="522">
        <v>644987813</v>
      </c>
      <c r="G13" s="522">
        <v>66933534</v>
      </c>
      <c r="H13" s="667"/>
    </row>
    <row r="14" spans="1:8" ht="30" customHeight="1" x14ac:dyDescent="0.25">
      <c r="A14" s="353">
        <v>6.7</v>
      </c>
      <c r="B14" s="348" t="s">
        <v>432</v>
      </c>
      <c r="C14" s="521">
        <v>591519356</v>
      </c>
      <c r="D14" s="522">
        <v>4930215713</v>
      </c>
      <c r="E14" s="522">
        <v>10631419612</v>
      </c>
      <c r="F14" s="522">
        <v>262394492</v>
      </c>
      <c r="G14" s="522">
        <v>0</v>
      </c>
      <c r="H14" s="667"/>
    </row>
    <row r="15" spans="1:8" ht="30" customHeight="1" x14ac:dyDescent="0.25">
      <c r="A15" s="353">
        <v>7.7</v>
      </c>
      <c r="B15" s="348" t="s">
        <v>699</v>
      </c>
      <c r="C15" s="521">
        <v>0</v>
      </c>
      <c r="D15" s="522">
        <v>0</v>
      </c>
      <c r="E15" s="522">
        <v>0</v>
      </c>
      <c r="F15" s="522">
        <v>0</v>
      </c>
      <c r="G15" s="522">
        <v>0</v>
      </c>
      <c r="H15" s="667"/>
    </row>
    <row r="16" spans="1:8" ht="30" customHeight="1" x14ac:dyDescent="0.25">
      <c r="A16" s="353">
        <v>8.6999999999999993</v>
      </c>
      <c r="B16" s="348" t="s">
        <v>433</v>
      </c>
      <c r="C16" s="521">
        <v>0</v>
      </c>
      <c r="D16" s="522">
        <v>0</v>
      </c>
      <c r="E16" s="522">
        <v>0</v>
      </c>
      <c r="F16" s="522">
        <v>0</v>
      </c>
      <c r="G16" s="522">
        <v>0</v>
      </c>
      <c r="H16" s="667"/>
    </row>
    <row r="17" spans="1:8" ht="30" customHeight="1" thickBot="1" x14ac:dyDescent="0.3">
      <c r="A17" s="553">
        <v>9.6999999999999993</v>
      </c>
      <c r="B17" s="554" t="s">
        <v>727</v>
      </c>
      <c r="C17" s="664"/>
      <c r="D17" s="665"/>
      <c r="E17" s="665"/>
      <c r="F17" s="665"/>
      <c r="G17" s="665"/>
      <c r="H17" s="661"/>
    </row>
    <row r="18" spans="1:8" ht="15" customHeight="1" x14ac:dyDescent="0.25">
      <c r="A18" s="129" t="s">
        <v>120</v>
      </c>
      <c r="B18" s="349"/>
      <c r="C18" s="45"/>
      <c r="D18" s="45"/>
      <c r="E18" s="45"/>
      <c r="F18" s="45"/>
      <c r="G18" s="45"/>
      <c r="H18" s="45"/>
    </row>
    <row r="19" spans="1:8" ht="15" customHeight="1" x14ac:dyDescent="0.25">
      <c r="A19" s="14" t="s">
        <v>704</v>
      </c>
      <c r="B19" s="349"/>
      <c r="C19" s="45"/>
      <c r="D19" s="45"/>
      <c r="E19" s="45"/>
      <c r="F19" s="45"/>
      <c r="G19" s="45"/>
      <c r="H19" s="45"/>
    </row>
    <row r="20" spans="1:8" ht="30" customHeight="1" thickBot="1" x14ac:dyDescent="0.3"/>
    <row r="21" spans="1:8" ht="30" customHeight="1" x14ac:dyDescent="0.25">
      <c r="A21" s="350"/>
      <c r="B21" s="351"/>
      <c r="C21" s="549" t="s">
        <v>419</v>
      </c>
      <c r="D21" s="550" t="s">
        <v>420</v>
      </c>
      <c r="E21" s="550"/>
      <c r="F21" s="550" t="s">
        <v>421</v>
      </c>
      <c r="G21" s="551"/>
    </row>
    <row r="22" spans="1:8" ht="30" customHeight="1" thickBot="1" x14ac:dyDescent="0.3">
      <c r="A22" s="570"/>
      <c r="B22" s="44"/>
      <c r="C22" s="560" t="s">
        <v>422</v>
      </c>
      <c r="D22" s="571" t="s">
        <v>434</v>
      </c>
      <c r="E22" s="571"/>
      <c r="F22" s="571" t="s">
        <v>435</v>
      </c>
      <c r="G22" s="572"/>
    </row>
    <row r="23" spans="1:8" ht="45" customHeight="1" x14ac:dyDescent="0.25">
      <c r="A23" s="567" t="s">
        <v>163</v>
      </c>
      <c r="B23" s="568" t="s">
        <v>436</v>
      </c>
      <c r="C23" s="569">
        <f>SUM(C9:C10)</f>
        <v>456412560</v>
      </c>
      <c r="D23" s="755">
        <f>SUM(D9:E10)</f>
        <v>6681804404</v>
      </c>
      <c r="E23" s="756"/>
      <c r="F23" s="757">
        <f>SUM(F9:G10)</f>
        <v>264822478</v>
      </c>
      <c r="G23" s="758"/>
    </row>
    <row r="24" spans="1:8" ht="45" customHeight="1" x14ac:dyDescent="0.25">
      <c r="A24" s="563" t="s">
        <v>164</v>
      </c>
      <c r="B24" s="345" t="s">
        <v>726</v>
      </c>
      <c r="C24" s="23">
        <f>SUM(C14:C16)+C13/2</f>
        <v>980006078.5</v>
      </c>
      <c r="D24" s="759">
        <f>SUM(D14:E16)+SUM(D13:E13)/2</f>
        <v>22918929578.5</v>
      </c>
      <c r="E24" s="760"/>
      <c r="F24" s="759">
        <f>H17+SUM(F14:G16)+SUM(F13:G13)/2</f>
        <v>618355165.5</v>
      </c>
      <c r="G24" s="761"/>
    </row>
    <row r="25" spans="1:8" ht="45" customHeight="1" thickBot="1" x14ac:dyDescent="0.3">
      <c r="A25" s="564" t="s">
        <v>437</v>
      </c>
      <c r="B25" s="565" t="s">
        <v>438</v>
      </c>
      <c r="C25" s="566">
        <f>SUM(C11:C12)+C13/2</f>
        <v>1785419012.5</v>
      </c>
      <c r="D25" s="762">
        <f>SUM(D11:E12)+SUM(D13:E13)/2</f>
        <v>25609073213.5</v>
      </c>
      <c r="E25" s="763"/>
      <c r="F25" s="762">
        <f>SUM(F11:G12)+SUM(F13:G13)/2</f>
        <v>1437705864.5</v>
      </c>
      <c r="G25" s="764"/>
    </row>
    <row r="26" spans="1:8" x14ac:dyDescent="0.25">
      <c r="A26" s="573" t="s">
        <v>702</v>
      </c>
    </row>
    <row r="27" spans="1:8" x14ac:dyDescent="0.25">
      <c r="A27" s="574" t="s">
        <v>701</v>
      </c>
    </row>
    <row r="28" spans="1:8" x14ac:dyDescent="0.25">
      <c r="A28" s="575" t="s">
        <v>700</v>
      </c>
    </row>
    <row r="29" spans="1:8" ht="17.25" x14ac:dyDescent="0.25">
      <c r="A29" s="390" t="s">
        <v>725</v>
      </c>
    </row>
  </sheetData>
  <sheetProtection algorithmName="SHA-512" hashValue="MMByxiTO3LxcewMeg0nt7YYFarWHBpPVxjRZvDAWMfmL2JoKJN3ft0YHOLFEPXUt7g1GUnPBPhFkqMah2N4lTA==" saltValue="/PET5Zc9hHocmEz5Xc2Ibw==" spinCount="100000" sheet="1" objects="1" scenarios="1" formatColumns="0" formatRows="0" sort="0"/>
  <mergeCells count="6">
    <mergeCell ref="D23:E23"/>
    <mergeCell ref="F23:G23"/>
    <mergeCell ref="D24:E24"/>
    <mergeCell ref="F24:G24"/>
    <mergeCell ref="D25:E25"/>
    <mergeCell ref="F25:G25"/>
  </mergeCells>
  <printOptions horizontalCentered="1"/>
  <pageMargins left="0.45" right="0.45" top="0.5" bottom="0.5" header="0.3" footer="0.3"/>
  <pageSetup scale="76" orientation="portrait" r:id="rId1"/>
  <headerFooter>
    <oddFooter>&amp;CPrior Approval Rate Template&amp;RPage 3.1&amp;L01/11/2022 Edition</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6">
    <tabColor rgb="FF0000FF"/>
    <pageSetUpPr fitToPage="1"/>
  </sheetPr>
  <dimension ref="A1:K73"/>
  <sheetViews>
    <sheetView showGridLines="0" view="pageBreakPreview" topLeftCell="B1" zoomScaleNormal="100" zoomScaleSheetLayoutView="100" workbookViewId="0">
      <selection activeCell="D42" sqref="D42"/>
    </sheetView>
  </sheetViews>
  <sheetFormatPr defaultRowHeight="15" x14ac:dyDescent="0.25"/>
  <cols>
    <col min="1" max="1" width="8" customWidth="1"/>
    <col min="2" max="2" width="51" customWidth="1"/>
    <col min="3" max="3" width="17" bestFit="1" customWidth="1"/>
    <col min="4" max="7" width="15.7109375" customWidth="1"/>
    <col min="8" max="8" width="69" style="14" bestFit="1" customWidth="1"/>
  </cols>
  <sheetData>
    <row r="1" spans="1:8" ht="15.75" thickBot="1" x14ac:dyDescent="0.3">
      <c r="A1" s="8" t="s">
        <v>31</v>
      </c>
      <c r="D1" s="124" t="s">
        <v>33</v>
      </c>
      <c r="G1" s="125" t="str">
        <f>Co_Name</f>
        <v>State Farm Mutual Automobile Insurance Company</v>
      </c>
      <c r="H1" s="86" t="s">
        <v>664</v>
      </c>
    </row>
    <row r="2" spans="1:8" x14ac:dyDescent="0.25">
      <c r="A2" s="8" t="s">
        <v>32</v>
      </c>
      <c r="D2" s="124" t="s">
        <v>34</v>
      </c>
      <c r="G2" s="125" t="str">
        <f>General_Line</f>
        <v>Auto Liability and Physical Damage</v>
      </c>
      <c r="H2" s="207" t="s">
        <v>113</v>
      </c>
    </row>
    <row r="3" spans="1:8" x14ac:dyDescent="0.25">
      <c r="B3" s="344"/>
      <c r="D3" s="181" t="s">
        <v>142</v>
      </c>
      <c r="E3" s="182"/>
      <c r="F3" s="182"/>
      <c r="G3" s="312" t="str">
        <f>CDI_FileNo</f>
        <v/>
      </c>
      <c r="H3" s="265"/>
    </row>
    <row r="4" spans="1:8" ht="18" customHeight="1" x14ac:dyDescent="0.25">
      <c r="A4" s="14"/>
      <c r="H4" s="265"/>
    </row>
    <row r="5" spans="1:8" ht="23.25" x14ac:dyDescent="0.25">
      <c r="A5" s="4" t="s">
        <v>418</v>
      </c>
      <c r="B5" s="3"/>
      <c r="C5" s="3"/>
      <c r="D5" s="3"/>
      <c r="E5" s="3"/>
      <c r="F5" s="3"/>
      <c r="G5" s="3"/>
      <c r="H5" s="265"/>
    </row>
    <row r="6" spans="1:8" ht="19.5" thickBot="1" x14ac:dyDescent="0.35">
      <c r="A6" s="508" t="s">
        <v>634</v>
      </c>
      <c r="B6" s="508"/>
      <c r="C6" s="508"/>
      <c r="D6" s="508"/>
      <c r="E6" s="508"/>
      <c r="F6" s="508"/>
      <c r="G6" s="508"/>
      <c r="H6" s="265"/>
    </row>
    <row r="7" spans="1:8" ht="32.25" x14ac:dyDescent="0.25">
      <c r="A7" s="350"/>
      <c r="B7" s="351"/>
      <c r="C7" s="352" t="s">
        <v>439</v>
      </c>
      <c r="D7" s="352" t="s">
        <v>440</v>
      </c>
      <c r="E7" s="352" t="s">
        <v>441</v>
      </c>
      <c r="F7" s="352" t="s">
        <v>442</v>
      </c>
      <c r="G7" s="696" t="s">
        <v>443</v>
      </c>
      <c r="H7" s="265"/>
    </row>
    <row r="8" spans="1:8" ht="18" customHeight="1" x14ac:dyDescent="0.25">
      <c r="A8" s="353"/>
      <c r="B8" s="345"/>
      <c r="C8" s="354" t="s">
        <v>444</v>
      </c>
      <c r="D8" s="354" t="s">
        <v>445</v>
      </c>
      <c r="E8" s="354" t="s">
        <v>446</v>
      </c>
      <c r="F8" s="354" t="s">
        <v>447</v>
      </c>
      <c r="G8" s="697" t="s">
        <v>448</v>
      </c>
      <c r="H8" s="265"/>
    </row>
    <row r="9" spans="1:8" ht="18" customHeight="1" x14ac:dyDescent="0.25">
      <c r="A9" s="355" t="s">
        <v>163</v>
      </c>
      <c r="B9" s="346" t="s">
        <v>449</v>
      </c>
      <c r="C9" s="356"/>
      <c r="D9" s="357"/>
      <c r="E9" s="356"/>
      <c r="F9" s="358"/>
      <c r="G9" s="698"/>
      <c r="H9" s="265"/>
    </row>
    <row r="10" spans="1:8" ht="18" customHeight="1" x14ac:dyDescent="0.25">
      <c r="A10" s="355"/>
      <c r="B10" s="359" t="s">
        <v>450</v>
      </c>
      <c r="C10" s="356">
        <f>'3.1YieldFIT'!C23</f>
        <v>456412560</v>
      </c>
      <c r="D10" s="710">
        <f>[1]Jun2022!$E$10</f>
        <v>1.0966666666666666E-2</v>
      </c>
      <c r="E10" s="356">
        <f>C10*D10</f>
        <v>5005324.4079999998</v>
      </c>
      <c r="F10" s="358">
        <f>INDEX(INV_TAX_RATE,COUNTA($B$9:$B10)+1,1)</f>
        <v>0.21</v>
      </c>
      <c r="G10" s="699">
        <f>E10*F10</f>
        <v>1051118.1256799998</v>
      </c>
      <c r="H10" s="265"/>
    </row>
    <row r="11" spans="1:8" ht="18" customHeight="1" x14ac:dyDescent="0.25">
      <c r="A11" s="355"/>
      <c r="B11" s="359" t="s">
        <v>451</v>
      </c>
      <c r="C11" s="356">
        <f>'3.1YieldFIT'!D23</f>
        <v>6681804404</v>
      </c>
      <c r="D11" s="710">
        <f>[1]Jun2022!$E$11</f>
        <v>2.9300000000000003E-2</v>
      </c>
      <c r="E11" s="356">
        <f>C11*D11</f>
        <v>195776869.03720003</v>
      </c>
      <c r="F11" s="358">
        <f>INDEX(INV_TAX_RATE,COUNTA($B$9:$B11)+1,1)</f>
        <v>0.21</v>
      </c>
      <c r="G11" s="699">
        <f>E11*F11</f>
        <v>41113142.497812003</v>
      </c>
      <c r="H11" s="265"/>
    </row>
    <row r="12" spans="1:8" ht="18" customHeight="1" x14ac:dyDescent="0.25">
      <c r="A12" s="355"/>
      <c r="B12" s="359" t="s">
        <v>452</v>
      </c>
      <c r="C12" s="356">
        <f>'3.1YieldFIT'!F23</f>
        <v>264822478</v>
      </c>
      <c r="D12" s="710">
        <f>[1]Jun2022!$E$12</f>
        <v>3.2433333333333335E-2</v>
      </c>
      <c r="E12" s="356">
        <f>C12*D12</f>
        <v>8589075.7031333335</v>
      </c>
      <c r="F12" s="358">
        <f>INDEX(INV_TAX_RATE,COUNTA($B$9:$B12)+1,1)</f>
        <v>0.21</v>
      </c>
      <c r="G12" s="699">
        <f>E12*F12</f>
        <v>1803705.897658</v>
      </c>
      <c r="H12" s="265"/>
    </row>
    <row r="13" spans="1:8" ht="18" customHeight="1" x14ac:dyDescent="0.25">
      <c r="A13" s="355" t="s">
        <v>164</v>
      </c>
      <c r="B13" s="347" t="s">
        <v>453</v>
      </c>
      <c r="C13" s="356"/>
      <c r="D13" s="711"/>
      <c r="E13" s="356"/>
      <c r="F13" s="358"/>
      <c r="G13" s="698"/>
      <c r="H13" s="265"/>
    </row>
    <row r="14" spans="1:8" ht="18" customHeight="1" x14ac:dyDescent="0.25">
      <c r="A14" s="355"/>
      <c r="B14" s="359" t="s">
        <v>450</v>
      </c>
      <c r="C14" s="356">
        <f>'3.1YieldFIT'!C24</f>
        <v>980006078.5</v>
      </c>
      <c r="D14" s="710">
        <f>[1]Jun2022!$E$14</f>
        <v>1.3699999999999999E-2</v>
      </c>
      <c r="E14" s="356">
        <f>C14*D14</f>
        <v>13426083.275449999</v>
      </c>
      <c r="F14" s="358">
        <f>INDEX(INV_TAX_RATE,COUNTA($B$9:$B14)+1,1)</f>
        <v>0.21</v>
      </c>
      <c r="G14" s="699">
        <f>E14*F14</f>
        <v>2819477.4878444998</v>
      </c>
      <c r="H14" s="265"/>
    </row>
    <row r="15" spans="1:8" ht="18" customHeight="1" x14ac:dyDescent="0.25">
      <c r="A15" s="355"/>
      <c r="B15" s="359" t="s">
        <v>451</v>
      </c>
      <c r="C15" s="356">
        <f>'3.1YieldFIT'!D24</f>
        <v>22918929578.5</v>
      </c>
      <c r="D15" s="710">
        <f>[1]Jun2022!$E$15</f>
        <v>3.877761904761904E-2</v>
      </c>
      <c r="E15" s="356">
        <f>C15*D15</f>
        <v>888741520.174281</v>
      </c>
      <c r="F15" s="358">
        <f>INDEX(INV_TAX_RATE,COUNTA($B$9:$B15)+1,1)</f>
        <v>0.21</v>
      </c>
      <c r="G15" s="699">
        <f>E15*F15</f>
        <v>186635719.236599</v>
      </c>
      <c r="H15" s="265"/>
    </row>
    <row r="16" spans="1:8" ht="18" customHeight="1" x14ac:dyDescent="0.25">
      <c r="A16" s="355"/>
      <c r="B16" s="359" t="s">
        <v>452</v>
      </c>
      <c r="C16" s="356">
        <f>'3.1YieldFIT'!F24</f>
        <v>618355165.5</v>
      </c>
      <c r="D16" s="710">
        <f>[1]Jun2022!$E$16</f>
        <v>4.4024880952380947E-2</v>
      </c>
      <c r="E16" s="356">
        <f>C16*D16</f>
        <v>27223012.547427319</v>
      </c>
      <c r="F16" s="358">
        <f>INDEX(INV_TAX_RATE,COUNTA($B$9:$B16)+1,1)</f>
        <v>0.21</v>
      </c>
      <c r="G16" s="699">
        <f>E16*F16</f>
        <v>5716832.6349597368</v>
      </c>
      <c r="H16" s="265"/>
    </row>
    <row r="17" spans="1:8" ht="18" customHeight="1" x14ac:dyDescent="0.25">
      <c r="A17" s="355" t="s">
        <v>437</v>
      </c>
      <c r="B17" s="348" t="s">
        <v>454</v>
      </c>
      <c r="C17" s="356"/>
      <c r="D17" s="711"/>
      <c r="E17" s="356"/>
      <c r="F17" s="358"/>
      <c r="G17" s="700"/>
      <c r="H17" s="265"/>
    </row>
    <row r="18" spans="1:8" ht="18" customHeight="1" x14ac:dyDescent="0.25">
      <c r="A18" s="355"/>
      <c r="B18" s="359" t="s">
        <v>450</v>
      </c>
      <c r="C18" s="356">
        <f>'3.1YieldFIT'!C25</f>
        <v>1785419012.5</v>
      </c>
      <c r="D18" s="710">
        <f>D14*(1-INDEX(INV_TAX_RATE,1,1))</f>
        <v>1.0822999999999999E-2</v>
      </c>
      <c r="E18" s="356">
        <f>C18*D18</f>
        <v>19323589.972287498</v>
      </c>
      <c r="F18" s="358">
        <f>INDEX(INV_TAX_RATE,COUNTA($B$9:$B18)+1,1)</f>
        <v>5.2499999999999998E-2</v>
      </c>
      <c r="G18" s="699">
        <f>E18*F18</f>
        <v>1014488.4735450937</v>
      </c>
      <c r="H18" s="265"/>
    </row>
    <row r="19" spans="1:8" ht="18" customHeight="1" x14ac:dyDescent="0.25">
      <c r="A19" s="355"/>
      <c r="B19" s="359" t="s">
        <v>451</v>
      </c>
      <c r="C19" s="356">
        <f>'3.1YieldFIT'!D25</f>
        <v>25609073213.5</v>
      </c>
      <c r="D19" s="710">
        <f>[1]Jun2022!$E$19</f>
        <v>2.8719503968253967E-2</v>
      </c>
      <c r="E19" s="356">
        <f>C19*D19</f>
        <v>735479879.77841961</v>
      </c>
      <c r="F19" s="358">
        <f>INDEX(INV_TAX_RATE,COUNTA($B$9:$B19)+1,1)</f>
        <v>5.2499999999999998E-2</v>
      </c>
      <c r="G19" s="699">
        <f>E19*F19</f>
        <v>38612693.688367032</v>
      </c>
      <c r="H19" s="265"/>
    </row>
    <row r="20" spans="1:8" ht="18" customHeight="1" x14ac:dyDescent="0.25">
      <c r="A20" s="355"/>
      <c r="B20" s="359" t="s">
        <v>452</v>
      </c>
      <c r="C20" s="524">
        <f>'3.1YieldFIT'!F25</f>
        <v>1437705864.5</v>
      </c>
      <c r="D20" s="710">
        <f>[1]Jun2022!$E$20</f>
        <v>3.5211448412698416E-2</v>
      </c>
      <c r="E20" s="356">
        <f>C20*D20</f>
        <v>50623705.88047573</v>
      </c>
      <c r="F20" s="358">
        <f>INDEX(INV_TAX_RATE,COUNTA($B$9:$B20)+1,1)</f>
        <v>5.2499999999999998E-2</v>
      </c>
      <c r="G20" s="699">
        <f>E20*F20</f>
        <v>2657744.5587249757</v>
      </c>
      <c r="H20" s="265"/>
    </row>
    <row r="21" spans="1:8" ht="18" customHeight="1" x14ac:dyDescent="0.25">
      <c r="A21" s="355" t="s">
        <v>455</v>
      </c>
      <c r="B21" s="526" t="s">
        <v>456</v>
      </c>
      <c r="C21" s="127">
        <v>131067302214</v>
      </c>
      <c r="D21" s="712"/>
      <c r="E21" s="356"/>
      <c r="F21" s="358"/>
      <c r="G21" s="700"/>
      <c r="H21" s="474"/>
    </row>
    <row r="22" spans="1:8" ht="18" customHeight="1" x14ac:dyDescent="0.25">
      <c r="A22" s="355"/>
      <c r="B22" s="359" t="s">
        <v>457</v>
      </c>
      <c r="C22" s="527"/>
      <c r="D22" s="710">
        <f>[1]Jun2022!$E$23</f>
        <v>2.1459999999999996E-2</v>
      </c>
      <c r="E22" s="356">
        <f>C21*D22</f>
        <v>2812704305.5124397</v>
      </c>
      <c r="F22" s="358">
        <f>INDEX(INV_TAX_RATE,COUNTA($B$9:$B22)+1,1)</f>
        <v>0.13125000000000001</v>
      </c>
      <c r="G22" s="699">
        <f t="shared" ref="G22:G27" si="0">E22*F22</f>
        <v>369167440.0985077</v>
      </c>
      <c r="H22" s="265"/>
    </row>
    <row r="23" spans="1:8" ht="18" customHeight="1" x14ac:dyDescent="0.25">
      <c r="A23" s="355"/>
      <c r="B23" s="359" t="s">
        <v>458</v>
      </c>
      <c r="C23" s="356"/>
      <c r="D23" s="710">
        <f>[1]Jun2022!$E$24</f>
        <v>8.134000000000001E-2</v>
      </c>
      <c r="E23" s="356">
        <f>C21*D23</f>
        <v>10661014362.086761</v>
      </c>
      <c r="F23" s="358">
        <f>INDEX(INV_TAX_RATE,COUNTA($B$9:$B23)+1,1)</f>
        <v>0.21</v>
      </c>
      <c r="G23" s="699">
        <f t="shared" si="0"/>
        <v>2238813016.0382199</v>
      </c>
      <c r="H23" s="265"/>
    </row>
    <row r="24" spans="1:8" ht="18" customHeight="1" x14ac:dyDescent="0.25">
      <c r="A24" s="355" t="s">
        <v>459</v>
      </c>
      <c r="B24" s="348" t="s">
        <v>460</v>
      </c>
      <c r="C24" s="127">
        <v>277167135</v>
      </c>
      <c r="D24" s="710">
        <f>[1]Jun2022!$E$25</f>
        <v>5.3870317460317459E-2</v>
      </c>
      <c r="E24" s="356">
        <f t="shared" ref="E24:E27" si="1">C24*D24</f>
        <v>14931081.552016666</v>
      </c>
      <c r="F24" s="358">
        <f>INDEX(INV_TAX_RATE,COUNTA($B$9:$B24)+1,1)</f>
        <v>0.13125000000000001</v>
      </c>
      <c r="G24" s="699">
        <f t="shared" si="0"/>
        <v>1959704.4537021876</v>
      </c>
      <c r="H24" s="265"/>
    </row>
    <row r="25" spans="1:8" ht="18" customHeight="1" x14ac:dyDescent="0.25">
      <c r="A25" s="355" t="s">
        <v>461</v>
      </c>
      <c r="B25" s="348" t="s">
        <v>462</v>
      </c>
      <c r="C25" s="127">
        <v>978237224</v>
      </c>
      <c r="D25" s="710">
        <f>[1]Jun2022!$E$26</f>
        <v>4.4024880952380947E-2</v>
      </c>
      <c r="E25" s="356">
        <f t="shared" si="1"/>
        <v>43066777.329787612</v>
      </c>
      <c r="F25" s="358">
        <f>INDEX(INV_TAX_RATE,COUNTA($B$9:$B25)+1,1)</f>
        <v>0.21</v>
      </c>
      <c r="G25" s="699">
        <f t="shared" si="0"/>
        <v>9044023.2392553985</v>
      </c>
      <c r="H25" s="265"/>
    </row>
    <row r="26" spans="1:8" ht="18" customHeight="1" x14ac:dyDescent="0.25">
      <c r="A26" s="355" t="s">
        <v>463</v>
      </c>
      <c r="B26" s="348" t="s">
        <v>464</v>
      </c>
      <c r="C26" s="127">
        <f>344514537+20732118+3321047</f>
        <v>368567702</v>
      </c>
      <c r="D26" s="710">
        <f>[1]Jun2022!$E$27</f>
        <v>4.2799999999999998E-2</v>
      </c>
      <c r="E26" s="356">
        <f t="shared" si="1"/>
        <v>15774697.645599999</v>
      </c>
      <c r="F26" s="358">
        <f>INDEX(INV_TAX_RATE,COUNTA($B$9:$B26)+1,1)</f>
        <v>0.21</v>
      </c>
      <c r="G26" s="699">
        <f t="shared" si="0"/>
        <v>3312686.5055759996</v>
      </c>
      <c r="H26" s="265"/>
    </row>
    <row r="27" spans="1:8" ht="18" customHeight="1" x14ac:dyDescent="0.25">
      <c r="A27" s="355" t="s">
        <v>465</v>
      </c>
      <c r="B27" s="348" t="s">
        <v>466</v>
      </c>
      <c r="C27" s="127">
        <v>-168202189</v>
      </c>
      <c r="D27" s="710">
        <f>[1]Jun2022!$E$28</f>
        <v>1.0966666666666666E-2</v>
      </c>
      <c r="E27" s="356">
        <f t="shared" si="1"/>
        <v>-1844617.3393666665</v>
      </c>
      <c r="F27" s="358">
        <f>INDEX(INV_TAX_RATE,COUNTA($B$9:$B27)+1,1)</f>
        <v>0.21</v>
      </c>
      <c r="G27" s="699">
        <f t="shared" si="0"/>
        <v>-387369.64126699994</v>
      </c>
      <c r="H27" s="265"/>
    </row>
    <row r="28" spans="1:8" ht="18" customHeight="1" x14ac:dyDescent="0.25">
      <c r="A28" s="355" t="s">
        <v>467</v>
      </c>
      <c r="B28" s="348" t="s">
        <v>468</v>
      </c>
      <c r="C28" s="127">
        <f>0+9874425840+101898+82905157</f>
        <v>9957432895</v>
      </c>
      <c r="D28" s="711"/>
      <c r="E28" s="356"/>
      <c r="F28" s="358"/>
      <c r="G28" s="700"/>
      <c r="H28" s="265"/>
    </row>
    <row r="29" spans="1:8" ht="18" customHeight="1" x14ac:dyDescent="0.25">
      <c r="A29" s="355"/>
      <c r="B29" s="359" t="s">
        <v>457</v>
      </c>
      <c r="C29" s="356"/>
      <c r="D29" s="710">
        <f>[1]Jun2022!$E$30</f>
        <v>2.1459999999999996E-2</v>
      </c>
      <c r="E29" s="356">
        <f>C28*D29</f>
        <v>213686509.92669997</v>
      </c>
      <c r="F29" s="358">
        <f>INDEX(INV_TAX_RATE,COUNTA($B$9:$B29)+1,1)</f>
        <v>0.13125000000000001</v>
      </c>
      <c r="G29" s="699">
        <f>E29*F29</f>
        <v>28046354.427879371</v>
      </c>
      <c r="H29" s="265"/>
    </row>
    <row r="30" spans="1:8" ht="18" customHeight="1" x14ac:dyDescent="0.25">
      <c r="A30" s="355"/>
      <c r="B30" s="359" t="s">
        <v>458</v>
      </c>
      <c r="C30" s="356"/>
      <c r="D30" s="710">
        <f>[1]Jun2022!$E$31</f>
        <v>8.134000000000001E-2</v>
      </c>
      <c r="E30" s="356">
        <f>C28*D30</f>
        <v>809937591.67930007</v>
      </c>
      <c r="F30" s="358">
        <f>INDEX(INV_TAX_RATE,COUNTA($B$9:$B30)+1,1)</f>
        <v>0.21</v>
      </c>
      <c r="G30" s="699">
        <f>E30*F30</f>
        <v>170086894.252653</v>
      </c>
      <c r="H30" s="265"/>
    </row>
    <row r="31" spans="1:8" ht="18" customHeight="1" thickBot="1" x14ac:dyDescent="0.3">
      <c r="A31" s="360" t="s">
        <v>469</v>
      </c>
      <c r="B31" s="361" t="s">
        <v>470</v>
      </c>
      <c r="C31" s="362">
        <f>SUM(C9:C30)</f>
        <v>203233033336</v>
      </c>
      <c r="D31" s="363"/>
      <c r="E31" s="362">
        <f>SUM(E9:E30)</f>
        <v>16513459769.169914</v>
      </c>
      <c r="F31" s="364"/>
      <c r="G31" s="701">
        <f>SUM(G9:G30)</f>
        <v>3101467671.9757171</v>
      </c>
      <c r="H31" s="265"/>
    </row>
    <row r="32" spans="1:8" ht="18" customHeight="1" thickTop="1" x14ac:dyDescent="0.25">
      <c r="A32" s="355" t="s">
        <v>471</v>
      </c>
      <c r="B32" s="348" t="s">
        <v>472</v>
      </c>
      <c r="C32" s="25"/>
      <c r="D32" s="523"/>
      <c r="E32" s="197">
        <v>215722949</v>
      </c>
      <c r="F32" s="358">
        <f>INDEX(INV_TAX_RATE,COUNTA($B$9:$B32)+1,1)</f>
        <v>0.21</v>
      </c>
      <c r="G32" s="368">
        <f>E32*F32</f>
        <v>45301819.289999999</v>
      </c>
      <c r="H32" s="265"/>
    </row>
    <row r="33" spans="1:11" ht="15.75" thickBot="1" x14ac:dyDescent="0.3">
      <c r="A33" s="355" t="s">
        <v>473</v>
      </c>
      <c r="B33" s="365" t="s">
        <v>474</v>
      </c>
      <c r="C33" s="85">
        <f>C31</f>
        <v>203233033336</v>
      </c>
      <c r="D33" s="366"/>
      <c r="E33" s="525">
        <f>E31-E32</f>
        <v>16297736820.169914</v>
      </c>
      <c r="F33" s="367"/>
      <c r="G33" s="368">
        <f>G31-G32</f>
        <v>3056165852.6857171</v>
      </c>
      <c r="H33" s="265"/>
    </row>
    <row r="34" spans="1:11" ht="19.5" thickBot="1" x14ac:dyDescent="0.3">
      <c r="A34" s="355" t="s">
        <v>475</v>
      </c>
      <c r="B34" s="365" t="s">
        <v>476</v>
      </c>
      <c r="C34" s="85"/>
      <c r="D34" s="366"/>
      <c r="E34" s="368"/>
      <c r="F34" s="369">
        <f>G33/E33</f>
        <v>0.18752087399665437</v>
      </c>
      <c r="G34" s="702"/>
      <c r="H34" s="474" t="str">
        <f>IF(ISERROR($F$34),"← ERROR! Correct issues with input of source data on either Page 3.1 or 3.2.","")</f>
        <v/>
      </c>
    </row>
    <row r="35" spans="1:11" ht="30.75" thickBot="1" x14ac:dyDescent="0.3">
      <c r="A35" s="360" t="s">
        <v>477</v>
      </c>
      <c r="B35" s="361" t="s">
        <v>478</v>
      </c>
      <c r="C35" s="370"/>
      <c r="D35" s="371">
        <f>E33/C33</f>
        <v>8.0192361215340818E-2</v>
      </c>
      <c r="E35" s="372"/>
      <c r="F35" s="373"/>
      <c r="G35" s="703"/>
      <c r="H35" s="517"/>
    </row>
    <row r="36" spans="1:11" ht="30.75" thickTop="1" x14ac:dyDescent="0.25">
      <c r="A36" s="374"/>
      <c r="B36" s="375"/>
      <c r="C36" s="376" t="s">
        <v>395</v>
      </c>
      <c r="D36" s="376"/>
      <c r="E36" s="376"/>
      <c r="F36" s="376"/>
      <c r="G36" s="704"/>
      <c r="H36" s="265"/>
    </row>
    <row r="37" spans="1:11" ht="18" customHeight="1" x14ac:dyDescent="0.25">
      <c r="A37" s="377" t="s">
        <v>479</v>
      </c>
      <c r="B37" s="378" t="s">
        <v>480</v>
      </c>
      <c r="C37" s="127">
        <v>21709769011</v>
      </c>
      <c r="D37" s="379"/>
      <c r="E37" s="380"/>
      <c r="F37" s="379"/>
      <c r="G37" s="705"/>
      <c r="H37" s="265"/>
    </row>
    <row r="38" spans="1:11" ht="17.25" x14ac:dyDescent="0.25">
      <c r="A38" s="377" t="s">
        <v>481</v>
      </c>
      <c r="B38" s="378" t="s">
        <v>482</v>
      </c>
      <c r="C38" s="127">
        <v>8748868449</v>
      </c>
      <c r="D38" s="379"/>
      <c r="E38" s="380"/>
      <c r="F38" s="379"/>
      <c r="G38" s="705"/>
      <c r="H38" s="265"/>
    </row>
    <row r="39" spans="1:11" ht="17.25" x14ac:dyDescent="0.25">
      <c r="A39" s="377" t="s">
        <v>483</v>
      </c>
      <c r="B39" s="378" t="s">
        <v>484</v>
      </c>
      <c r="C39" s="127">
        <v>11458027448</v>
      </c>
      <c r="D39" s="379"/>
      <c r="E39" s="380"/>
      <c r="F39" s="379"/>
      <c r="G39" s="705"/>
      <c r="H39" s="265"/>
    </row>
    <row r="40" spans="1:11" ht="17.25" x14ac:dyDescent="0.25">
      <c r="A40" s="377" t="s">
        <v>485</v>
      </c>
      <c r="B40" s="378" t="s">
        <v>486</v>
      </c>
      <c r="C40" s="127">
        <v>143179583361</v>
      </c>
      <c r="D40" s="379"/>
      <c r="E40" s="380"/>
      <c r="F40" s="379"/>
      <c r="G40" s="705"/>
      <c r="H40" s="265"/>
    </row>
    <row r="41" spans="1:11" ht="15.75" thickBot="1" x14ac:dyDescent="0.3">
      <c r="A41" s="377" t="s">
        <v>487</v>
      </c>
      <c r="B41" s="378" t="s">
        <v>488</v>
      </c>
      <c r="C41" s="356">
        <f>SUM(C37:C40)</f>
        <v>185096248269</v>
      </c>
      <c r="D41" s="379"/>
      <c r="E41" s="380"/>
      <c r="F41" s="379"/>
      <c r="G41" s="705"/>
      <c r="H41" s="265"/>
    </row>
    <row r="42" spans="1:11" ht="45.75" thickBot="1" x14ac:dyDescent="0.3">
      <c r="A42" s="381" t="s">
        <v>489</v>
      </c>
      <c r="B42" s="382" t="s">
        <v>714</v>
      </c>
      <c r="C42" s="383"/>
      <c r="D42" s="384">
        <f>D35*C33/C41</f>
        <v>8.8050065696007235E-2</v>
      </c>
      <c r="E42" s="385"/>
      <c r="F42" s="386"/>
      <c r="G42" s="706"/>
      <c r="H42" s="474" t="str">
        <f>IF(ISERROR($D$42),"← ERROR! Correct issues with input of source data on either Page 3.1 or 3.2.","")</f>
        <v/>
      </c>
    </row>
    <row r="43" spans="1:11" ht="5.0999999999999996" customHeight="1" x14ac:dyDescent="0.25">
      <c r="A43" s="387"/>
      <c r="B43" s="388"/>
      <c r="C43" s="388"/>
      <c r="D43" s="389"/>
      <c r="E43" s="389"/>
      <c r="F43" s="389"/>
      <c r="G43" s="389"/>
      <c r="H43" s="265"/>
    </row>
    <row r="44" spans="1:11" ht="17.25" x14ac:dyDescent="0.25">
      <c r="A44" s="390" t="s">
        <v>693</v>
      </c>
      <c r="H44" s="265"/>
    </row>
    <row r="45" spans="1:11" x14ac:dyDescent="0.25">
      <c r="A45" s="391" t="s">
        <v>490</v>
      </c>
      <c r="H45" s="265"/>
    </row>
    <row r="46" spans="1:11" x14ac:dyDescent="0.25">
      <c r="A46" s="392" t="s">
        <v>491</v>
      </c>
      <c r="H46" s="265"/>
    </row>
    <row r="47" spans="1:11" ht="17.25" x14ac:dyDescent="0.25">
      <c r="A47" s="393" t="s">
        <v>492</v>
      </c>
      <c r="H47" s="529"/>
    </row>
    <row r="48" spans="1:11" x14ac:dyDescent="0.25">
      <c r="A48" s="394" t="s">
        <v>493</v>
      </c>
      <c r="F48" s="187" t="s">
        <v>494</v>
      </c>
      <c r="G48" s="729" t="s">
        <v>754</v>
      </c>
      <c r="H48" s="529" t="s">
        <v>623</v>
      </c>
      <c r="I48" s="715"/>
      <c r="J48" s="715"/>
      <c r="K48" s="716"/>
    </row>
    <row r="49" spans="1:11" ht="17.25" x14ac:dyDescent="0.25">
      <c r="A49" s="393" t="s">
        <v>495</v>
      </c>
      <c r="H49" s="529" t="s">
        <v>339</v>
      </c>
      <c r="I49" s="715"/>
      <c r="J49" s="715"/>
      <c r="K49" s="716"/>
    </row>
    <row r="50" spans="1:11" ht="17.25" x14ac:dyDescent="0.25">
      <c r="A50" s="390" t="s">
        <v>496</v>
      </c>
      <c r="H50" s="529"/>
      <c r="I50" s="715"/>
      <c r="J50" s="715"/>
      <c r="K50" s="716"/>
    </row>
    <row r="51" spans="1:11" ht="15.75" thickBot="1" x14ac:dyDescent="0.3">
      <c r="A51" s="392" t="s">
        <v>497</v>
      </c>
      <c r="H51" s="707"/>
      <c r="I51" s="715"/>
      <c r="J51" s="715"/>
      <c r="K51" s="716"/>
    </row>
    <row r="52" spans="1:11" x14ac:dyDescent="0.25">
      <c r="H52" s="708"/>
      <c r="I52" s="715"/>
      <c r="J52" s="715"/>
      <c r="K52" s="716"/>
    </row>
    <row r="53" spans="1:11" x14ac:dyDescent="0.25">
      <c r="I53" s="715"/>
      <c r="J53" s="715"/>
      <c r="K53" s="716"/>
    </row>
    <row r="54" spans="1:11" x14ac:dyDescent="0.25">
      <c r="I54" s="715"/>
      <c r="J54" s="715"/>
      <c r="K54" s="716"/>
    </row>
    <row r="55" spans="1:11" x14ac:dyDescent="0.25">
      <c r="I55" s="715"/>
      <c r="J55" s="715"/>
      <c r="K55" s="716"/>
    </row>
    <row r="56" spans="1:11" x14ac:dyDescent="0.25">
      <c r="I56" s="715"/>
      <c r="J56" s="715"/>
      <c r="K56" s="716"/>
    </row>
    <row r="57" spans="1:11" x14ac:dyDescent="0.25">
      <c r="I57" s="715"/>
      <c r="J57" s="717"/>
      <c r="K57" s="716"/>
    </row>
    <row r="58" spans="1:11" x14ac:dyDescent="0.25">
      <c r="I58" s="715"/>
      <c r="J58" s="715"/>
      <c r="K58" s="716"/>
    </row>
    <row r="59" spans="1:11" x14ac:dyDescent="0.25">
      <c r="I59" s="715"/>
      <c r="J59" s="715"/>
      <c r="K59" s="716"/>
    </row>
    <row r="60" spans="1:11" x14ac:dyDescent="0.25">
      <c r="I60" s="715"/>
      <c r="J60" s="715"/>
      <c r="K60" s="716"/>
    </row>
    <row r="61" spans="1:11" x14ac:dyDescent="0.25">
      <c r="I61" s="715"/>
      <c r="J61" s="715"/>
      <c r="K61" s="716"/>
    </row>
    <row r="62" spans="1:11" x14ac:dyDescent="0.25">
      <c r="I62" s="715"/>
      <c r="J62" s="715"/>
      <c r="K62" s="716"/>
    </row>
    <row r="63" spans="1:11" x14ac:dyDescent="0.25">
      <c r="I63" s="715"/>
      <c r="J63" s="715"/>
      <c r="K63" s="716"/>
    </row>
    <row r="64" spans="1:11" x14ac:dyDescent="0.25">
      <c r="I64" s="715"/>
      <c r="J64" s="715"/>
      <c r="K64" s="716"/>
    </row>
    <row r="65" spans="9:11" x14ac:dyDescent="0.25">
      <c r="I65" s="715"/>
      <c r="J65" s="715"/>
      <c r="K65" s="716"/>
    </row>
    <row r="66" spans="9:11" x14ac:dyDescent="0.25">
      <c r="I66" s="715"/>
      <c r="J66" s="715"/>
      <c r="K66" s="716"/>
    </row>
    <row r="67" spans="9:11" x14ac:dyDescent="0.25">
      <c r="I67" s="715"/>
      <c r="J67" s="715"/>
      <c r="K67" s="716"/>
    </row>
    <row r="68" spans="9:11" x14ac:dyDescent="0.25">
      <c r="I68" s="715"/>
      <c r="J68" s="715"/>
      <c r="K68" s="716"/>
    </row>
    <row r="69" spans="9:11" x14ac:dyDescent="0.25">
      <c r="I69" s="715"/>
      <c r="J69" s="715"/>
      <c r="K69" s="716"/>
    </row>
    <row r="70" spans="9:11" x14ac:dyDescent="0.25">
      <c r="I70" s="715"/>
      <c r="J70" s="715"/>
      <c r="K70" s="716"/>
    </row>
    <row r="71" spans="9:11" x14ac:dyDescent="0.25">
      <c r="I71" s="715"/>
      <c r="J71" s="715"/>
      <c r="K71" s="716"/>
    </row>
    <row r="72" spans="9:11" x14ac:dyDescent="0.25">
      <c r="I72" s="715"/>
      <c r="J72" s="715"/>
      <c r="K72" s="716"/>
    </row>
    <row r="73" spans="9:11" x14ac:dyDescent="0.25">
      <c r="I73" s="714"/>
      <c r="J73" s="714"/>
    </row>
  </sheetData>
  <sheetProtection algorithmName="SHA-512" hashValue="krqgrHItoLPn3ITBqmFPFQoi1HSA53WWKJlKJlWoIK5R6Cid7c/x5VycZNHhTlZ5E9+A6yWrE0gm3P9w2MQOjw==" saltValue="Kc/p/Y9mC0qpLJNI/bWSQA==" spinCount="100000" sheet="1" objects="1" scenarios="1" formatColumns="0" formatRows="0" sort="0"/>
  <hyperlinks>
    <hyperlink ref="A48" r:id="rId1" xr:uid="{00000000-0004-0000-0600-000000000000}"/>
  </hyperlinks>
  <printOptions horizontalCentered="1"/>
  <pageMargins left="0.45" right="0.45" top="0.5" bottom="0.5" header="0.3" footer="0.3"/>
  <pageSetup scale="70" orientation="portrait" r:id="rId2"/>
  <headerFooter>
    <oddFooter>&amp;CPrior Approval Rate Template&amp;RPage 3.2&amp;L01/11/2022 Edition</oddFooter>
  </headerFooter>
  <extLst>
    <ext xmlns:x14="http://schemas.microsoft.com/office/spreadsheetml/2009/9/main" uri="{CCE6A557-97BC-4b89-ADB6-D9C93CAAB3DF}">
      <x14:dataValidations xmlns:xm="http://schemas.microsoft.com/office/excel/2006/main" count="1">
        <x14:dataValidation type="list" showInputMessage="1" showErrorMessage="1" xr:uid="{00000000-0002-0000-0600-000000000000}">
          <x14:formula1>
            <xm:f>References!$V$7:$V$30</xm:f>
          </x14:formula1>
          <xm:sqref>G48</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3">
    <tabColor rgb="FF0000FF"/>
  </sheetPr>
  <dimension ref="A1:G43"/>
  <sheetViews>
    <sheetView view="pageBreakPreview" zoomScaleNormal="100" zoomScaleSheetLayoutView="100" workbookViewId="0">
      <selection activeCell="A11" sqref="A11:D11"/>
    </sheetView>
  </sheetViews>
  <sheetFormatPr defaultRowHeight="15" x14ac:dyDescent="0.25"/>
  <cols>
    <col min="1" max="1" width="16.7109375" customWidth="1"/>
    <col min="2" max="2" width="16" customWidth="1"/>
    <col min="3" max="3" width="16.140625" customWidth="1"/>
    <col min="4" max="4" width="16" customWidth="1"/>
    <col min="5" max="5" width="16.140625" customWidth="1"/>
    <col min="6" max="6" width="16" customWidth="1"/>
    <col min="7" max="7" width="16.140625" customWidth="1"/>
  </cols>
  <sheetData>
    <row r="1" spans="1:7" x14ac:dyDescent="0.25">
      <c r="A1" s="8" t="s">
        <v>31</v>
      </c>
      <c r="B1" s="8"/>
      <c r="D1" s="124" t="s">
        <v>33</v>
      </c>
      <c r="G1" s="125" t="str">
        <f>Co_Name</f>
        <v>State Farm Mutual Automobile Insurance Company</v>
      </c>
    </row>
    <row r="2" spans="1:7" x14ac:dyDescent="0.25">
      <c r="A2" s="8" t="s">
        <v>32</v>
      </c>
      <c r="B2" s="8"/>
      <c r="D2" s="124" t="s">
        <v>34</v>
      </c>
      <c r="G2" s="125" t="str">
        <f>General_Line</f>
        <v>Auto Liability and Physical Damage</v>
      </c>
    </row>
    <row r="3" spans="1:7" x14ac:dyDescent="0.25">
      <c r="A3" s="14"/>
      <c r="B3" s="184"/>
      <c r="C3" s="14"/>
      <c r="D3" s="181" t="s">
        <v>142</v>
      </c>
      <c r="E3" s="182"/>
      <c r="F3" s="182"/>
      <c r="G3" s="312" t="str">
        <f>CDI_FileNo</f>
        <v/>
      </c>
    </row>
    <row r="4" spans="1:7" ht="18" customHeight="1" x14ac:dyDescent="0.25">
      <c r="A4" s="14"/>
      <c r="B4" s="184"/>
      <c r="C4" s="14"/>
      <c r="D4" s="14"/>
      <c r="E4" s="14"/>
      <c r="F4" s="14"/>
      <c r="G4" s="14"/>
    </row>
    <row r="5" spans="1:7" ht="23.25" x14ac:dyDescent="0.25">
      <c r="A5" s="4" t="s">
        <v>391</v>
      </c>
      <c r="B5" s="4"/>
      <c r="C5" s="123"/>
      <c r="D5" s="123"/>
      <c r="E5" s="123"/>
      <c r="F5" s="123"/>
      <c r="G5" s="123"/>
    </row>
    <row r="6" spans="1:7" ht="23.25" x14ac:dyDescent="0.25">
      <c r="A6" s="4" t="s">
        <v>392</v>
      </c>
      <c r="B6" s="4"/>
      <c r="C6" s="4"/>
      <c r="D6" s="4"/>
      <c r="E6" s="4"/>
      <c r="F6" s="4"/>
      <c r="G6" s="4"/>
    </row>
    <row r="7" spans="1:7" ht="15.75" thickBot="1" x14ac:dyDescent="0.3"/>
    <row r="8" spans="1:7" ht="30" x14ac:dyDescent="0.25">
      <c r="E8" s="596" t="s">
        <v>393</v>
      </c>
      <c r="F8" s="597" t="s">
        <v>394</v>
      </c>
      <c r="G8" s="598" t="s">
        <v>395</v>
      </c>
    </row>
    <row r="9" spans="1:7" x14ac:dyDescent="0.25">
      <c r="D9" s="327"/>
      <c r="E9" s="599">
        <f>F9-1</f>
        <v>2019</v>
      </c>
      <c r="F9" s="547">
        <f>G9-1</f>
        <v>2020</v>
      </c>
      <c r="G9" s="619" t="s">
        <v>745</v>
      </c>
    </row>
    <row r="10" spans="1:7" ht="30" customHeight="1" x14ac:dyDescent="0.25">
      <c r="A10" s="765" t="s">
        <v>498</v>
      </c>
      <c r="B10" s="765"/>
      <c r="C10" s="765"/>
      <c r="D10" s="766"/>
      <c r="E10" s="600">
        <v>64021449909</v>
      </c>
      <c r="F10" s="328">
        <v>64816402364</v>
      </c>
      <c r="G10" s="601">
        <v>66531873255</v>
      </c>
    </row>
    <row r="11" spans="1:7" ht="30" customHeight="1" x14ac:dyDescent="0.25">
      <c r="A11" s="765" t="s">
        <v>499</v>
      </c>
      <c r="B11" s="765"/>
      <c r="C11" s="765"/>
      <c r="D11" s="766"/>
      <c r="E11" s="600">
        <v>1158953310</v>
      </c>
      <c r="F11" s="328">
        <v>1134252131</v>
      </c>
      <c r="G11" s="601">
        <v>1332212105</v>
      </c>
    </row>
    <row r="12" spans="1:7" ht="15.75" thickBot="1" x14ac:dyDescent="0.3">
      <c r="A12" s="14" t="s">
        <v>500</v>
      </c>
      <c r="B12" s="14"/>
      <c r="C12" s="14"/>
      <c r="D12" s="14"/>
      <c r="E12" s="602">
        <f>SUM(E10:E11)</f>
        <v>65180403219</v>
      </c>
      <c r="F12" s="603">
        <f>SUM(F10:F11)</f>
        <v>65950654495</v>
      </c>
      <c r="G12" s="604">
        <f>SUM(G10:G11)</f>
        <v>67864085360</v>
      </c>
    </row>
    <row r="13" spans="1:7" x14ac:dyDescent="0.25">
      <c r="A13" s="329" t="s">
        <v>676</v>
      </c>
      <c r="B13" s="14"/>
      <c r="C13" s="14"/>
      <c r="D13" s="14"/>
    </row>
    <row r="14" spans="1:7" ht="15.75" x14ac:dyDescent="0.25">
      <c r="A14" s="631" t="s">
        <v>718</v>
      </c>
      <c r="B14" s="1"/>
    </row>
    <row r="15" spans="1:7" ht="30" customHeight="1" x14ac:dyDescent="0.25">
      <c r="A15" s="330" t="s">
        <v>396</v>
      </c>
    </row>
    <row r="16" spans="1:7" ht="5.25" customHeight="1" thickBot="1" x14ac:dyDescent="0.3">
      <c r="A16" s="331"/>
    </row>
    <row r="17" spans="1:7" ht="15" customHeight="1" x14ac:dyDescent="0.25">
      <c r="A17" s="588"/>
      <c r="B17" s="550" t="s">
        <v>393</v>
      </c>
      <c r="C17" s="550"/>
      <c r="D17" s="550" t="s">
        <v>394</v>
      </c>
      <c r="E17" s="550"/>
      <c r="F17" s="550" t="s">
        <v>395</v>
      </c>
      <c r="G17" s="551"/>
    </row>
    <row r="18" spans="1:7" ht="15" customHeight="1" x14ac:dyDescent="0.25">
      <c r="A18" s="589"/>
      <c r="B18" s="333">
        <f>E$9</f>
        <v>2019</v>
      </c>
      <c r="C18" s="332"/>
      <c r="D18" s="333">
        <f>F$9</f>
        <v>2020</v>
      </c>
      <c r="E18" s="332"/>
      <c r="F18" s="333" t="str">
        <f>G$9</f>
        <v>2021</v>
      </c>
      <c r="G18" s="562"/>
    </row>
    <row r="19" spans="1:7" ht="15" customHeight="1" x14ac:dyDescent="0.25">
      <c r="A19" s="590"/>
      <c r="B19" s="548" t="s">
        <v>397</v>
      </c>
      <c r="C19" s="548" t="s">
        <v>398</v>
      </c>
      <c r="D19" s="548" t="s">
        <v>397</v>
      </c>
      <c r="E19" s="548" t="s">
        <v>398</v>
      </c>
      <c r="F19" s="548" t="s">
        <v>397</v>
      </c>
      <c r="G19" s="591" t="s">
        <v>398</v>
      </c>
    </row>
    <row r="20" spans="1:7" ht="15" customHeight="1" x14ac:dyDescent="0.25">
      <c r="A20" s="592" t="s">
        <v>399</v>
      </c>
      <c r="B20" s="127">
        <v>1988548.9400000002</v>
      </c>
      <c r="C20" s="127">
        <v>8283342.8799999999</v>
      </c>
      <c r="D20" s="127">
        <v>2184605.62</v>
      </c>
      <c r="E20" s="127">
        <v>18081900</v>
      </c>
      <c r="F20" s="127">
        <v>2130873.84</v>
      </c>
      <c r="G20" s="593">
        <v>22376700</v>
      </c>
    </row>
    <row r="21" spans="1:7" ht="15" customHeight="1" x14ac:dyDescent="0.25">
      <c r="A21" s="592" t="s">
        <v>400</v>
      </c>
      <c r="B21" s="127">
        <v>936307.37</v>
      </c>
      <c r="C21" s="127">
        <v>2625838.4</v>
      </c>
      <c r="D21" s="127">
        <v>1010750.1</v>
      </c>
      <c r="E21" s="127">
        <v>5801460</v>
      </c>
      <c r="F21" s="127">
        <v>1019146.0700000001</v>
      </c>
      <c r="G21" s="593">
        <v>7616868</v>
      </c>
    </row>
    <row r="22" spans="1:7" ht="15" customHeight="1" x14ac:dyDescent="0.25">
      <c r="A22" s="592" t="s">
        <v>401</v>
      </c>
      <c r="B22" s="127">
        <v>898152.89</v>
      </c>
      <c r="C22" s="127">
        <v>2625838.4</v>
      </c>
      <c r="D22" s="127">
        <v>1004986.77</v>
      </c>
      <c r="E22" s="127">
        <v>5801460</v>
      </c>
      <c r="F22" s="127">
        <v>1006088.25</v>
      </c>
      <c r="G22" s="593">
        <v>7253322</v>
      </c>
    </row>
    <row r="23" spans="1:7" ht="15" customHeight="1" x14ac:dyDescent="0.25">
      <c r="A23" s="592" t="s">
        <v>402</v>
      </c>
      <c r="B23" s="127">
        <v>797125.02999999991</v>
      </c>
      <c r="C23" s="127">
        <v>2160793.6000000001</v>
      </c>
      <c r="D23" s="127">
        <v>1086416.3799999999</v>
      </c>
      <c r="E23" s="127">
        <v>4962100</v>
      </c>
      <c r="F23" s="127">
        <v>979601.7</v>
      </c>
      <c r="G23" s="593">
        <v>6616284</v>
      </c>
    </row>
    <row r="24" spans="1:7" ht="15" customHeight="1" x14ac:dyDescent="0.25">
      <c r="A24" s="592" t="s">
        <v>403</v>
      </c>
      <c r="B24" s="127">
        <v>769940.92</v>
      </c>
      <c r="C24" s="127">
        <v>1780609.12</v>
      </c>
      <c r="D24" s="127">
        <v>790204.24</v>
      </c>
      <c r="E24" s="127">
        <v>2475562.5</v>
      </c>
      <c r="F24" s="127">
        <v>819194.11</v>
      </c>
      <c r="G24" s="593">
        <v>3881730</v>
      </c>
    </row>
    <row r="25" spans="1:7" ht="15" customHeight="1" x14ac:dyDescent="0.25">
      <c r="A25" s="134"/>
      <c r="B25" s="502"/>
      <c r="C25" s="502"/>
      <c r="D25" s="502"/>
      <c r="E25" s="502"/>
      <c r="F25" s="502"/>
      <c r="G25" s="290"/>
    </row>
    <row r="26" spans="1:7" ht="15" customHeight="1" x14ac:dyDescent="0.25">
      <c r="A26" s="590"/>
      <c r="B26" s="332" t="s">
        <v>393</v>
      </c>
      <c r="C26" s="332"/>
      <c r="D26" s="332" t="s">
        <v>394</v>
      </c>
      <c r="E26" s="332"/>
      <c r="F26" s="332" t="s">
        <v>395</v>
      </c>
      <c r="G26" s="562"/>
    </row>
    <row r="27" spans="1:7" ht="15" customHeight="1" x14ac:dyDescent="0.25">
      <c r="A27" s="590"/>
      <c r="B27" s="767">
        <f>E$9</f>
        <v>2019</v>
      </c>
      <c r="C27" s="768"/>
      <c r="D27" s="767">
        <f>F$9</f>
        <v>2020</v>
      </c>
      <c r="E27" s="768"/>
      <c r="F27" s="767" t="str">
        <f>G$9</f>
        <v>2021</v>
      </c>
      <c r="G27" s="769"/>
    </row>
    <row r="28" spans="1:7" ht="30" customHeight="1" x14ac:dyDescent="0.25">
      <c r="A28" s="590"/>
      <c r="B28" s="334" t="s">
        <v>404</v>
      </c>
      <c r="C28" s="334" t="s">
        <v>405</v>
      </c>
      <c r="D28" s="334" t="s">
        <v>404</v>
      </c>
      <c r="E28" s="334" t="s">
        <v>405</v>
      </c>
      <c r="F28" s="334" t="s">
        <v>404</v>
      </c>
      <c r="G28" s="552" t="s">
        <v>405</v>
      </c>
    </row>
    <row r="29" spans="1:7" ht="15" customHeight="1" x14ac:dyDescent="0.25">
      <c r="A29" s="592" t="s">
        <v>399</v>
      </c>
      <c r="B29" s="85">
        <f>1077*10^(1.46+0.406*(IF($E$10/1000000&lt;70,LOG10(70),LOG10($E$10/1000000))))</f>
        <v>2777051.0189908776</v>
      </c>
      <c r="C29" s="85">
        <f>IF(SUM(B20:C20)&lt;B29,0,SUM(B20:C20)-B29)</f>
        <v>7494840.8010091223</v>
      </c>
      <c r="D29" s="85">
        <f>1077*10^(1.46+0.406*(IF($F$10/1000000&lt;70,LOG10(70),LOG10($F$10/1000000))))</f>
        <v>2790999.6470308122</v>
      </c>
      <c r="E29" s="85">
        <f>IF(SUM(D20:E20)&lt;D29,0,SUM(D20:E20)-D29)</f>
        <v>17475505.972969189</v>
      </c>
      <c r="F29" s="85">
        <f>1077*10^(1.46+0.406*(IF($G$10/1000000&lt;70,LOG10(70),LOG10($G$10/1000000))))</f>
        <v>2820757.7004732592</v>
      </c>
      <c r="G29" s="546">
        <f>IF(SUM(F20:G20)&lt;F29,0,SUM(F20:G20)-F29)</f>
        <v>21686816.13952674</v>
      </c>
    </row>
    <row r="30" spans="1:7" ht="15" customHeight="1" x14ac:dyDescent="0.25">
      <c r="A30" s="592" t="s">
        <v>400</v>
      </c>
      <c r="B30" s="85">
        <f>1077*10^(1.414+0.349*(IF($E$10/1000000&lt;70,LOG10(70),LOG10($E$10/1000000))))</f>
        <v>1329300.9181339967</v>
      </c>
      <c r="C30" s="85">
        <f t="shared" ref="C30:E33" si="0">IF(SUM(B21:C21)&lt;B30,0,SUM(B21:C21)-B30)</f>
        <v>2232844.8518660031</v>
      </c>
      <c r="D30" s="85">
        <f>1077*10^(1.414+0.349*(IF($F$10/1000000&lt;70,LOG10(70),LOG10($F$10/1000000))))</f>
        <v>1335038.3490722852</v>
      </c>
      <c r="E30" s="85">
        <f t="shared" si="0"/>
        <v>5477171.7509277146</v>
      </c>
      <c r="F30" s="85">
        <f>1077*10^(1.414+0.349*(IF($G$10/1000000&lt;70,LOG10(70),LOG10($G$10/1000000))))</f>
        <v>1347265.1829938681</v>
      </c>
      <c r="G30" s="546">
        <f t="shared" ref="G30" si="1">IF(SUM(F21:G21)&lt;F30,0,SUM(F21:G21)-F30)</f>
        <v>7288748.8870061319</v>
      </c>
    </row>
    <row r="31" spans="1:7" ht="15" customHeight="1" x14ac:dyDescent="0.25">
      <c r="A31" s="592" t="s">
        <v>401</v>
      </c>
      <c r="B31" s="85">
        <f>1077*10^(1.231+0.382*(IF($E$10/1000000&lt;70,LOG10(70),LOG10($E$10/1000000))))</f>
        <v>1256701.2480768154</v>
      </c>
      <c r="C31" s="85">
        <f t="shared" si="0"/>
        <v>2267290.0419231849</v>
      </c>
      <c r="D31" s="85">
        <f>1077*10^(1.231+0.382*(IF($F$10/1000000&lt;70,LOG10(70),LOG10($F$10/1000000))))</f>
        <v>1262639.4183347356</v>
      </c>
      <c r="E31" s="85">
        <f t="shared" si="0"/>
        <v>5543807.351665264</v>
      </c>
      <c r="F31" s="85">
        <f>1077*10^(1.231+0.382*(IF($G$10/1000000&lt;70,LOG10(70),LOG10($G$10/1000000))))</f>
        <v>1275302.0810506688</v>
      </c>
      <c r="G31" s="546">
        <f t="shared" ref="G31" si="2">IF(SUM(F22:G22)&lt;F31,0,SUM(F22:G22)-F31)</f>
        <v>6984108.1689493312</v>
      </c>
    </row>
    <row r="32" spans="1:7" ht="15" customHeight="1" x14ac:dyDescent="0.25">
      <c r="A32" s="592" t="s">
        <v>402</v>
      </c>
      <c r="B32" s="85">
        <f>1077*10^(1.247+0.358*(IF($E$10/1000000&lt;70,LOG10(70),LOG10($E$10/1000000))))</f>
        <v>999724.26722144184</v>
      </c>
      <c r="C32" s="85">
        <f t="shared" si="0"/>
        <v>1958194.3627785579</v>
      </c>
      <c r="D32" s="85">
        <f>1077*10^(1.247+0.358*(IF($F$10/1000000&lt;70,LOG10(70),LOG10($F$10/1000000))))</f>
        <v>1004150.7230533524</v>
      </c>
      <c r="E32" s="85">
        <f t="shared" si="0"/>
        <v>5044365.6569466479</v>
      </c>
      <c r="F32" s="85">
        <f>1077*10^(1.247+0.358*(IF($G$10/1000000&lt;70,LOG10(70),LOG10($G$10/1000000))))</f>
        <v>1013585.4189741334</v>
      </c>
      <c r="G32" s="546">
        <f t="shared" ref="G32" si="3">IF(SUM(F23:G23)&lt;F32,0,SUM(F23:G23)-F32)</f>
        <v>6582300.281025867</v>
      </c>
    </row>
    <row r="33" spans="1:7" ht="15" customHeight="1" x14ac:dyDescent="0.25">
      <c r="A33" s="592" t="s">
        <v>403</v>
      </c>
      <c r="B33" s="85">
        <f>1077*10^(1.246+0.342*(IF($E$10/1000000&lt;70,LOG10(70),LOG10($E$10/1000000))))</f>
        <v>835562.66458049649</v>
      </c>
      <c r="C33" s="85">
        <f t="shared" si="0"/>
        <v>1714987.3754195035</v>
      </c>
      <c r="D33" s="85">
        <f>1077*10^(1.246+0.342*(IF($F$10/1000000&lt;70,LOG10(70),LOG10($F$10/1000000))))</f>
        <v>839096.57145037025</v>
      </c>
      <c r="E33" s="85">
        <f t="shared" si="0"/>
        <v>2426670.1685496299</v>
      </c>
      <c r="F33" s="85">
        <f>1077*10^(1.246+0.342*(IF($G$10/1000000&lt;70,LOG10(70),LOG10($G$10/1000000))))</f>
        <v>846626.53946077835</v>
      </c>
      <c r="G33" s="546">
        <f t="shared" ref="G33" si="4">IF(SUM(F24:G24)&lt;F33,0,SUM(F24:G24)-F33)</f>
        <v>3854297.5705392221</v>
      </c>
    </row>
    <row r="34" spans="1:7" ht="15" customHeight="1" thickBot="1" x14ac:dyDescent="0.3">
      <c r="A34" s="594" t="s">
        <v>406</v>
      </c>
      <c r="B34" s="22"/>
      <c r="C34" s="566">
        <f>SUM(C29:C33)</f>
        <v>15668157.43299637</v>
      </c>
      <c r="D34" s="22"/>
      <c r="E34" s="566">
        <f>SUM(E29:E33)</f>
        <v>35967520.90105845</v>
      </c>
      <c r="F34" s="22"/>
      <c r="G34" s="595">
        <f>SUM(G29:G33)</f>
        <v>46396271.047047287</v>
      </c>
    </row>
    <row r="35" spans="1:7" ht="15" customHeight="1" x14ac:dyDescent="0.25"/>
    <row r="36" spans="1:7" ht="15" customHeight="1" x14ac:dyDescent="0.25">
      <c r="A36" s="330" t="s">
        <v>407</v>
      </c>
    </row>
    <row r="37" spans="1:7" ht="15" customHeight="1" thickBot="1" x14ac:dyDescent="0.3"/>
    <row r="38" spans="1:7" ht="15" customHeight="1" x14ac:dyDescent="0.25">
      <c r="A38" s="605"/>
      <c r="B38" s="550" t="s">
        <v>393</v>
      </c>
      <c r="C38" s="550"/>
      <c r="D38" s="550" t="s">
        <v>394</v>
      </c>
      <c r="E38" s="550"/>
      <c r="F38" s="550" t="s">
        <v>395</v>
      </c>
      <c r="G38" s="551"/>
    </row>
    <row r="39" spans="1:7" ht="15" customHeight="1" x14ac:dyDescent="0.25">
      <c r="A39" s="555"/>
      <c r="B39" s="333">
        <f>E$9</f>
        <v>2019</v>
      </c>
      <c r="C39" s="332"/>
      <c r="D39" s="333">
        <f>F$9</f>
        <v>2020</v>
      </c>
      <c r="E39" s="332"/>
      <c r="F39" s="333" t="str">
        <f>G$9</f>
        <v>2021</v>
      </c>
      <c r="G39" s="562"/>
    </row>
    <row r="40" spans="1:7" ht="30" x14ac:dyDescent="0.25">
      <c r="A40" s="590"/>
      <c r="B40" s="334" t="s">
        <v>408</v>
      </c>
      <c r="C40" s="334" t="s">
        <v>720</v>
      </c>
      <c r="D40" s="334" t="s">
        <v>408</v>
      </c>
      <c r="E40" s="334" t="s">
        <v>720</v>
      </c>
      <c r="F40" s="334" t="s">
        <v>408</v>
      </c>
      <c r="G40" s="552" t="s">
        <v>720</v>
      </c>
    </row>
    <row r="41" spans="1:7" ht="18" thickBot="1" x14ac:dyDescent="0.3">
      <c r="A41" s="594" t="s">
        <v>409</v>
      </c>
      <c r="B41" s="632">
        <v>906791014.5</v>
      </c>
      <c r="C41" s="633">
        <v>302263671.5</v>
      </c>
      <c r="D41" s="632">
        <v>875227273.5</v>
      </c>
      <c r="E41" s="632">
        <v>291742424.5</v>
      </c>
      <c r="F41" s="632">
        <v>801167938.5</v>
      </c>
      <c r="G41" s="634">
        <v>267055979.5</v>
      </c>
    </row>
    <row r="42" spans="1:7" ht="15.75" x14ac:dyDescent="0.25">
      <c r="A42" s="335" t="s">
        <v>721</v>
      </c>
    </row>
    <row r="43" spans="1:7" x14ac:dyDescent="0.25">
      <c r="A43" s="335" t="s">
        <v>719</v>
      </c>
    </row>
  </sheetData>
  <sheetProtection algorithmName="SHA-512" hashValue="jaxL32UABlFGrp/LJFlhjMoH13cXpJT7k+f01/hcoHwAlI+SejyPoN3rROJ6nhUkd8TR4G6jpszP5LoqT9jmVw==" saltValue="4ticHRvyBaEpYFajqx/dgA==" spinCount="100000" sheet="1" objects="1" scenarios="1" formatColumns="0" formatRows="0" sort="0"/>
  <mergeCells count="5">
    <mergeCell ref="A10:D10"/>
    <mergeCell ref="A11:D11"/>
    <mergeCell ref="B27:C27"/>
    <mergeCell ref="D27:E27"/>
    <mergeCell ref="F27:G27"/>
  </mergeCells>
  <printOptions horizontalCentered="1"/>
  <pageMargins left="0.45" right="0.45" top="0.5" bottom="0.5" header="0.3" footer="0.3"/>
  <pageSetup scale="83" orientation="portrait" r:id="rId1"/>
  <headerFooter>
    <oddFooter>&amp;CPrior Approval Rate Template&amp;RPage 4.1&amp;L01/11/2022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0593" r:id="rId4" name="Check Box 1">
              <controlPr defaultSize="0" autoFill="0" autoLine="0" autoPict="0">
                <anchor>
                  <from>
                    <xdr:col>0</xdr:col>
                    <xdr:colOff>66675</xdr:colOff>
                    <xdr:row>13</xdr:row>
                    <xdr:rowOff>38100</xdr:rowOff>
                  </from>
                  <to>
                    <xdr:col>0</xdr:col>
                    <xdr:colOff>295275</xdr:colOff>
                    <xdr:row>13</xdr:row>
                    <xdr:rowOff>171450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4">
    <tabColor rgb="FF0000FF"/>
  </sheetPr>
  <dimension ref="A1:F21"/>
  <sheetViews>
    <sheetView view="pageBreakPreview" zoomScaleNormal="100" zoomScaleSheetLayoutView="100" workbookViewId="0">
      <selection activeCell="E20" sqref="E20"/>
    </sheetView>
  </sheetViews>
  <sheetFormatPr defaultRowHeight="15" x14ac:dyDescent="0.25"/>
  <cols>
    <col min="1" max="1" width="51.85546875" customWidth="1"/>
    <col min="2" max="2" width="15.7109375" customWidth="1"/>
    <col min="3" max="5" width="14.7109375" customWidth="1"/>
    <col min="6" max="6" width="69.28515625" bestFit="1" customWidth="1"/>
  </cols>
  <sheetData>
    <row r="1" spans="1:6" ht="15.75" thickBot="1" x14ac:dyDescent="0.3">
      <c r="A1" s="8" t="s">
        <v>31</v>
      </c>
      <c r="B1" s="124" t="s">
        <v>33</v>
      </c>
      <c r="E1" s="125" t="str">
        <f>Co_Name</f>
        <v>State Farm Mutual Automobile Insurance Company</v>
      </c>
      <c r="F1" s="86" t="s">
        <v>710</v>
      </c>
    </row>
    <row r="2" spans="1:6" x14ac:dyDescent="0.25">
      <c r="A2" s="8" t="s">
        <v>32</v>
      </c>
      <c r="B2" s="124" t="s">
        <v>34</v>
      </c>
      <c r="E2" s="125" t="str">
        <f>General_Line</f>
        <v>Auto Liability and Physical Damage</v>
      </c>
      <c r="F2" s="207" t="s">
        <v>113</v>
      </c>
    </row>
    <row r="3" spans="1:6" x14ac:dyDescent="0.25">
      <c r="A3" s="14"/>
      <c r="B3" s="181" t="s">
        <v>142</v>
      </c>
      <c r="C3" s="182"/>
      <c r="D3" s="182"/>
      <c r="E3" s="312" t="str">
        <f>CDI_FileNo</f>
        <v/>
      </c>
      <c r="F3" s="265"/>
    </row>
    <row r="4" spans="1:6" ht="18" customHeight="1" x14ac:dyDescent="0.25">
      <c r="A4" s="14"/>
      <c r="B4" s="184"/>
      <c r="F4" s="265"/>
    </row>
    <row r="5" spans="1:6" ht="23.25" x14ac:dyDescent="0.25">
      <c r="A5" s="4" t="s">
        <v>410</v>
      </c>
      <c r="B5" s="123"/>
      <c r="C5" s="123"/>
      <c r="D5" s="123"/>
      <c r="E5" s="123"/>
      <c r="F5" s="265"/>
    </row>
    <row r="6" spans="1:6" ht="23.25" x14ac:dyDescent="0.25">
      <c r="A6" s="4" t="s">
        <v>392</v>
      </c>
      <c r="B6" s="4"/>
      <c r="C6" s="4"/>
      <c r="D6" s="4"/>
      <c r="E6" s="4"/>
      <c r="F6" s="265"/>
    </row>
    <row r="7" spans="1:6" x14ac:dyDescent="0.25">
      <c r="A7" s="1"/>
      <c r="F7" s="265"/>
    </row>
    <row r="8" spans="1:6" ht="16.5" thickBot="1" x14ac:dyDescent="0.3">
      <c r="A8" s="630" t="s">
        <v>718</v>
      </c>
      <c r="F8" s="265"/>
    </row>
    <row r="9" spans="1:6" ht="30" x14ac:dyDescent="0.25">
      <c r="A9" s="579"/>
      <c r="B9" s="580"/>
      <c r="C9" s="581" t="s">
        <v>393</v>
      </c>
      <c r="D9" s="352" t="s">
        <v>394</v>
      </c>
      <c r="E9" s="545" t="s">
        <v>395</v>
      </c>
      <c r="F9" s="265"/>
    </row>
    <row r="10" spans="1:6" x14ac:dyDescent="0.25">
      <c r="A10" s="582"/>
      <c r="B10" s="337"/>
      <c r="C10" s="338">
        <f>'4.1Excluded Exp'!E$9</f>
        <v>2019</v>
      </c>
      <c r="D10" s="338">
        <f>'4.1Excluded Exp'!F$9</f>
        <v>2020</v>
      </c>
      <c r="E10" s="635" t="str">
        <f>'4.1Excluded Exp'!G$9</f>
        <v>2021</v>
      </c>
      <c r="F10" s="265"/>
    </row>
    <row r="11" spans="1:6" ht="30" customHeight="1" x14ac:dyDescent="0.25">
      <c r="A11" s="583" t="s">
        <v>411</v>
      </c>
      <c r="B11" s="336"/>
      <c r="C11" s="128">
        <v>6756791.0700000003</v>
      </c>
      <c r="D11" s="128">
        <v>6600269.0599999996</v>
      </c>
      <c r="E11" s="593">
        <v>6184292.0499999998</v>
      </c>
      <c r="F11" s="265"/>
    </row>
    <row r="12" spans="1:6" ht="30" customHeight="1" x14ac:dyDescent="0.25">
      <c r="A12" s="583" t="s">
        <v>678</v>
      </c>
      <c r="B12" s="339"/>
      <c r="C12" s="340">
        <f>'4.1Excluded Exp'!$C$34</f>
        <v>15668157.43299637</v>
      </c>
      <c r="D12" s="340">
        <f>'4.1Excluded Exp'!$E$34</f>
        <v>35967520.90105845</v>
      </c>
      <c r="E12" s="546">
        <f>'4.1Excluded Exp'!$G$34</f>
        <v>46396271.047047287</v>
      </c>
      <c r="F12" s="265"/>
    </row>
    <row r="13" spans="1:6" ht="30" customHeight="1" x14ac:dyDescent="0.25">
      <c r="A13" s="583" t="s">
        <v>412</v>
      </c>
      <c r="B13" s="339"/>
      <c r="C13" s="128">
        <v>226788</v>
      </c>
      <c r="D13" s="128">
        <v>0</v>
      </c>
      <c r="E13" s="593">
        <v>697639</v>
      </c>
      <c r="F13" s="265"/>
    </row>
    <row r="14" spans="1:6" ht="30" customHeight="1" x14ac:dyDescent="0.25">
      <c r="A14" s="583" t="s">
        <v>413</v>
      </c>
      <c r="B14" s="339"/>
      <c r="C14" s="128">
        <v>0</v>
      </c>
      <c r="D14" s="128">
        <v>0</v>
      </c>
      <c r="E14" s="593">
        <v>0</v>
      </c>
      <c r="F14" s="265"/>
    </row>
    <row r="15" spans="1:6" ht="30" customHeight="1" x14ac:dyDescent="0.25">
      <c r="A15" s="583" t="s">
        <v>414</v>
      </c>
      <c r="B15" s="339"/>
      <c r="C15" s="128">
        <v>454515.4</v>
      </c>
      <c r="D15" s="128">
        <v>901017.98</v>
      </c>
      <c r="E15" s="593">
        <v>317683.52</v>
      </c>
      <c r="F15" s="265"/>
    </row>
    <row r="16" spans="1:6" ht="30" customHeight="1" x14ac:dyDescent="0.25">
      <c r="A16" s="583" t="s">
        <v>679</v>
      </c>
      <c r="B16" s="339"/>
      <c r="C16" s="340">
        <f>'4.1Excluded Exp'!$B$41</f>
        <v>906791014.5</v>
      </c>
      <c r="D16" s="340">
        <f>'4.1Excluded Exp'!$D$41</f>
        <v>875227273.5</v>
      </c>
      <c r="E16" s="546">
        <f>'4.1Excluded Exp'!$F$41</f>
        <v>801167938.5</v>
      </c>
      <c r="F16" s="265"/>
    </row>
    <row r="17" spans="1:6" ht="30" customHeight="1" x14ac:dyDescent="0.25">
      <c r="A17" s="583" t="s">
        <v>415</v>
      </c>
      <c r="B17" s="339"/>
      <c r="C17" s="128">
        <v>0</v>
      </c>
      <c r="D17" s="128">
        <v>0</v>
      </c>
      <c r="E17" s="593">
        <v>0</v>
      </c>
      <c r="F17" s="265"/>
    </row>
    <row r="18" spans="1:6" ht="30" customHeight="1" x14ac:dyDescent="0.25">
      <c r="A18" s="584" t="s">
        <v>416</v>
      </c>
      <c r="B18" s="341"/>
      <c r="C18" s="342">
        <f>SUM(C11:C17)</f>
        <v>929897266.40299642</v>
      </c>
      <c r="D18" s="342">
        <f>SUM(D11:D17)</f>
        <v>918696081.4410584</v>
      </c>
      <c r="E18" s="636">
        <f>SUM(E11:E17)</f>
        <v>854763824.11704731</v>
      </c>
      <c r="F18" s="265"/>
    </row>
    <row r="19" spans="1:6" ht="30" customHeight="1" x14ac:dyDescent="0.25">
      <c r="A19" s="584" t="s">
        <v>162</v>
      </c>
      <c r="B19" s="341"/>
      <c r="C19" s="343">
        <f>C18/'4.1Excluded Exp'!E$12</f>
        <v>1.4266516015229753E-2</v>
      </c>
      <c r="D19" s="343">
        <f>D18/'4.1Excluded Exp'!F$12</f>
        <v>1.3930052529057291E-2</v>
      </c>
      <c r="E19" s="637">
        <f>E18/'4.1Excluded Exp'!G$12</f>
        <v>1.2595230888072302E-2</v>
      </c>
      <c r="F19" s="616"/>
    </row>
    <row r="20" spans="1:6" ht="30" customHeight="1" thickBot="1" x14ac:dyDescent="0.3">
      <c r="A20" s="585" t="s">
        <v>417</v>
      </c>
      <c r="B20" s="586"/>
      <c r="C20" s="587"/>
      <c r="D20" s="587"/>
      <c r="E20" s="638">
        <f>AVERAGE(C19:E19)</f>
        <v>1.3597266477453115E-2</v>
      </c>
      <c r="F20" s="474" t="str">
        <f>IF(ISERROR($E$20),"← ERROR! Correct issues with input of source data on either Page 4.1 or 4.2.","")</f>
        <v/>
      </c>
    </row>
    <row r="21" spans="1:6" ht="15.75" thickBot="1" x14ac:dyDescent="0.3">
      <c r="F21" s="617"/>
    </row>
  </sheetData>
  <sheetProtection algorithmName="SHA-512" hashValue="g1AsFkeMt8zKrHoePO1cKAhFitMFksN+lMXU9OInHOdaa7veBUEbcpICsLKRp377+lJYsbvk5wau1Mn1wmiVug==" saltValue="na1MPkQsUq8PACPl5cictg==" spinCount="100000" sheet="1" objects="1" scenarios="1" formatColumns="0" formatRows="0" sort="0"/>
  <printOptions horizontalCentered="1"/>
  <pageMargins left="0.45" right="0.45" top="0.5" bottom="0.5" header="0.3" footer="0.3"/>
  <pageSetup scale="86" fitToHeight="2" orientation="portrait" r:id="rId1"/>
  <headerFooter>
    <oddFooter>&amp;CPrior Approval Rate Template&amp;RPage 4.2&amp;L01/11/2022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6739" r:id="rId4" name="Check Box 3">
              <controlPr defaultSize="0" autoFill="0" autoLine="0" autoPict="0">
                <anchor>
                  <from>
                    <xdr:col>0</xdr:col>
                    <xdr:colOff>66675</xdr:colOff>
                    <xdr:row>7</xdr:row>
                    <xdr:rowOff>9525</xdr:rowOff>
                  </from>
                  <to>
                    <xdr:col>0</xdr:col>
                    <xdr:colOff>352425</xdr:colOff>
                    <xdr:row>7</xdr:row>
                    <xdr:rowOff>171450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pageSetUpPr fitToPage="1"/>
  </sheetPr>
  <dimension ref="A1:XET36"/>
  <sheetViews>
    <sheetView showGridLines="0" view="pageBreakPreview" topLeftCell="A20" zoomScaleNormal="100" zoomScaleSheetLayoutView="100" workbookViewId="0">
      <selection activeCell="L30" sqref="L30"/>
    </sheetView>
  </sheetViews>
  <sheetFormatPr defaultRowHeight="15" x14ac:dyDescent="0.25"/>
  <cols>
    <col min="1" max="1" width="53" bestFit="1" customWidth="1"/>
    <col min="2" max="2" width="5.7109375" bestFit="1" customWidth="1"/>
    <col min="3" max="3" width="20.7109375" customWidth="1"/>
    <col min="4" max="7" width="15.7109375" customWidth="1"/>
    <col min="8" max="10" width="12.7109375" customWidth="1"/>
  </cols>
  <sheetData>
    <row r="1" spans="1:10 16374:16374" x14ac:dyDescent="0.25">
      <c r="A1" s="8" t="s">
        <v>31</v>
      </c>
      <c r="G1" s="124" t="s">
        <v>33</v>
      </c>
      <c r="J1" s="125" t="str">
        <f>Co_Name</f>
        <v>State Farm Mutual Automobile Insurance Company</v>
      </c>
    </row>
    <row r="2" spans="1:10 16374:16374" x14ac:dyDescent="0.25">
      <c r="A2" s="8" t="s">
        <v>32</v>
      </c>
      <c r="G2" s="124" t="s">
        <v>34</v>
      </c>
      <c r="J2" s="125" t="str">
        <f>General_Line</f>
        <v>Auto Liability and Physical Damage</v>
      </c>
    </row>
    <row r="3" spans="1:10 16374:16374" x14ac:dyDescent="0.25">
      <c r="G3" s="249" t="s">
        <v>140</v>
      </c>
      <c r="H3" s="249"/>
      <c r="I3" s="249"/>
      <c r="J3" s="188" t="str">
        <f>CDI_FileNo</f>
        <v/>
      </c>
    </row>
    <row r="4" spans="1:10 16374:16374" ht="18" customHeight="1" x14ac:dyDescent="0.25"/>
    <row r="5" spans="1:10 16374:16374" ht="23.25" x14ac:dyDescent="0.25">
      <c r="A5" s="4" t="s">
        <v>607</v>
      </c>
      <c r="B5" s="3"/>
      <c r="C5" s="3"/>
      <c r="D5" s="3"/>
      <c r="E5" s="3"/>
      <c r="F5" s="3"/>
      <c r="G5" s="3"/>
      <c r="H5" s="3"/>
      <c r="I5" s="3"/>
      <c r="J5" s="3"/>
    </row>
    <row r="6" spans="1:10 16374:16374" ht="24" thickBot="1" x14ac:dyDescent="0.3">
      <c r="A6" s="4"/>
      <c r="B6" s="3"/>
      <c r="C6" s="3"/>
      <c r="D6" s="3"/>
      <c r="E6" s="3"/>
      <c r="F6" s="3"/>
      <c r="G6" s="3"/>
      <c r="H6" s="3"/>
      <c r="I6" s="3"/>
      <c r="J6" s="3"/>
    </row>
    <row r="7" spans="1:10 16374:16374" ht="19.5" thickBot="1" x14ac:dyDescent="0.35">
      <c r="A7" s="452" t="s">
        <v>314</v>
      </c>
      <c r="B7" s="453"/>
      <c r="C7" s="453"/>
      <c r="D7" s="453"/>
      <c r="E7" s="453"/>
      <c r="F7" s="453"/>
      <c r="G7" s="453"/>
      <c r="H7" s="453"/>
      <c r="I7" s="453"/>
      <c r="J7" s="454"/>
    </row>
    <row r="8" spans="1:10 16374:16374" x14ac:dyDescent="0.25">
      <c r="A8" s="430"/>
      <c r="B8" s="431"/>
      <c r="C8" s="431"/>
      <c r="D8" s="432" t="s">
        <v>390</v>
      </c>
      <c r="E8" s="433"/>
      <c r="F8" s="434"/>
      <c r="G8" s="431"/>
      <c r="H8" s="431"/>
      <c r="I8" s="431"/>
      <c r="J8" s="435"/>
    </row>
    <row r="9" spans="1:10 16374:16374" ht="15.75" thickBot="1" x14ac:dyDescent="0.3">
      <c r="A9" s="261"/>
      <c r="B9" s="89"/>
      <c r="C9" s="449"/>
      <c r="D9" s="436">
        <f>Pct_Cap</f>
        <v>1</v>
      </c>
      <c r="E9" s="437">
        <f>Pct_Dir</f>
        <v>0</v>
      </c>
      <c r="F9" s="438">
        <f>Pct_Ind</f>
        <v>0</v>
      </c>
      <c r="G9" s="439"/>
      <c r="H9" s="259"/>
      <c r="I9" s="259"/>
      <c r="J9" s="440"/>
    </row>
    <row r="10" spans="1:10 16374:16374" ht="60.75" thickBot="1" x14ac:dyDescent="0.3">
      <c r="A10" s="96" t="s">
        <v>389</v>
      </c>
      <c r="B10" s="441" t="s">
        <v>388</v>
      </c>
      <c r="C10" s="441" t="s">
        <v>367</v>
      </c>
      <c r="D10" s="442" t="s">
        <v>117</v>
      </c>
      <c r="E10" s="443" t="s">
        <v>118</v>
      </c>
      <c r="F10" s="444" t="s">
        <v>125</v>
      </c>
      <c r="G10" s="445" t="s">
        <v>502</v>
      </c>
      <c r="H10" s="445" t="s">
        <v>292</v>
      </c>
      <c r="I10" s="445" t="s">
        <v>162</v>
      </c>
      <c r="J10" s="446" t="s">
        <v>315</v>
      </c>
      <c r="XET10" s="224"/>
    </row>
    <row r="11" spans="1:10 16374:16374" ht="18" customHeight="1" x14ac:dyDescent="0.25">
      <c r="A11" s="417" t="str">
        <f>Detailed_LineDesc01</f>
        <v>Private Passenger Auto Liability</v>
      </c>
      <c r="B11" s="418">
        <f ca="1">IF(RIGHT(Detailed_LineCode01,1)="R",LEFT(Detailed_LineCode01,LEN(Detailed_LineCode01)-1),Detailed_LineCode01)</f>
        <v>19.2</v>
      </c>
      <c r="C11" s="610" t="str">
        <f>IF(Covg01="","",Covg01)</f>
        <v>BIPD</v>
      </c>
      <c r="D11" s="428">
        <f ca="1">IF(Covg01="","",VLOOKUP(Detailed_LineCode01,Table_EffStd,D$21+1,FALSE))</f>
        <v>0.31092212368038935</v>
      </c>
      <c r="E11" s="416">
        <f ca="1">IF(Covg01="","",VLOOKUP(Detailed_LineCode01,Table_EffStd,E$21+1,FALSE))</f>
        <v>0.26622784813216294</v>
      </c>
      <c r="F11" s="429">
        <f ca="1">IF(Covg01="","",VLOOKUP(Detailed_LineCode01,Table_EffStd,F$21+1,FALSE))</f>
        <v>0.35653087916941489</v>
      </c>
      <c r="G11" s="260">
        <f ca="1">IF(Covg01="","",SUMPRODUCT(D11:F11,D$9:F$9))</f>
        <v>0.31092212368038935</v>
      </c>
      <c r="H11" s="480">
        <f>IF(Covg01="","",IF(AND(ISBLANK('6.1Ratemaking Data'!$J$39)=FALSE,'1.General'!$I$47=1),EffStd_Var01,0))</f>
        <v>0</v>
      </c>
      <c r="I11" s="416">
        <f>IF(Covg01="","",ExpRatio_Excluded)</f>
        <v>1.3597266477453115E-2</v>
      </c>
      <c r="J11" s="420">
        <f ca="1">IF(Covg01="","",G11+H11-I11)</f>
        <v>0.29732485720293622</v>
      </c>
    </row>
    <row r="12" spans="1:10 16374:16374" ht="18" customHeight="1" x14ac:dyDescent="0.25">
      <c r="A12" s="417" t="str">
        <f>Detailed_LineDesc02</f>
        <v>Private Passenger Auto Liability</v>
      </c>
      <c r="B12" s="418">
        <f ca="1">IF(RIGHT(Detailed_LineCode02,1)="R",LEFT(Detailed_LineCode02,LEN(Detailed_LineCode02)-1),Detailed_LineCode02)</f>
        <v>19.2</v>
      </c>
      <c r="C12" s="610" t="str">
        <f>IF(Covg02="","",Covg02)</f>
        <v>MPC</v>
      </c>
      <c r="D12" s="428">
        <f ca="1">IF(Covg02="","",VLOOKUP(Detailed_LineCode02,Table_EffStd,D$21+1,FALSE))</f>
        <v>0.31092212368038935</v>
      </c>
      <c r="E12" s="416">
        <f ca="1">IF(Covg02="","",VLOOKUP(Detailed_LineCode02,Table_EffStd,E$21+1,FALSE))</f>
        <v>0.26622784813216294</v>
      </c>
      <c r="F12" s="429">
        <f ca="1">IF(Covg02="","",VLOOKUP(Detailed_LineCode02,Table_EffStd,F$21+1,FALSE))</f>
        <v>0.35653087916941489</v>
      </c>
      <c r="G12" s="260">
        <f ca="1">IF(Covg02="","",SUMPRODUCT(D12:F12,D$9:F$9))</f>
        <v>0.31092212368038935</v>
      </c>
      <c r="H12" s="480">
        <f>IF(Covg02="","",IF(AND(ISBLANK('6.2Ratemaking Data'!$J$39)=FALSE,'1.General'!$I$47=1),EffStd_Var02,0))</f>
        <v>0</v>
      </c>
      <c r="I12" s="416">
        <f>IF(Covg02="","",ExpRatio_Excluded)</f>
        <v>1.3597266477453115E-2</v>
      </c>
      <c r="J12" s="420">
        <f ca="1">IF(Covg02="","",G12+H12-I12)</f>
        <v>0.29732485720293622</v>
      </c>
    </row>
    <row r="13" spans="1:10 16374:16374" ht="18" customHeight="1" x14ac:dyDescent="0.25">
      <c r="A13" s="417" t="str">
        <f>Detailed_LineDesc03</f>
        <v>Private Passenger Auto Liability</v>
      </c>
      <c r="B13" s="418">
        <f ca="1">IF(RIGHT(Detailed_LineCode03,1)="R",LEFT(Detailed_LineCode03,LEN(Detailed_LineCode03)-1),Detailed_LineCode03)</f>
        <v>19.2</v>
      </c>
      <c r="C13" s="610" t="str">
        <f>IF(Covg03="","",Covg03)</f>
        <v>UM</v>
      </c>
      <c r="D13" s="428">
        <f ca="1">IF(Covg03="","",VLOOKUP(Detailed_LineCode03,Table_EffStd,D$21+1,FALSE))</f>
        <v>0.31092212368038935</v>
      </c>
      <c r="E13" s="416">
        <f ca="1">IF(Covg03="","",VLOOKUP(Detailed_LineCode03,Table_EffStd,E$21+1,FALSE))</f>
        <v>0.26622784813216294</v>
      </c>
      <c r="F13" s="429">
        <f ca="1">IF(Covg03="","",VLOOKUP(Detailed_LineCode03,Table_EffStd,F$21+1,FALSE))</f>
        <v>0.35653087916941489</v>
      </c>
      <c r="G13" s="260">
        <f ca="1">IF(Covg03="","",SUMPRODUCT(D13:F13,D$9:F$9))</f>
        <v>0.31092212368038935</v>
      </c>
      <c r="H13" s="480">
        <f>IF(Covg03="","",IF(AND(ISBLANK('6.3Ratemaking Data'!$J$39)=FALSE,'1.General'!$I$47=1),EffStd_Var03,0))</f>
        <v>0</v>
      </c>
      <c r="I13" s="416">
        <f>IF(Covg03="","",ExpRatio_Excluded)</f>
        <v>1.3597266477453115E-2</v>
      </c>
      <c r="J13" s="420">
        <f ca="1">IF(Covg03="","",G13+H13-I13)</f>
        <v>0.29732485720293622</v>
      </c>
    </row>
    <row r="14" spans="1:10 16374:16374" ht="18" customHeight="1" x14ac:dyDescent="0.25">
      <c r="A14" s="417" t="str">
        <f>Detailed_LineDesc04</f>
        <v>Private Passenger Auto Physical Damage</v>
      </c>
      <c r="B14" s="418">
        <f ca="1">IF(RIGHT(Detailed_LineCode04,1)="R",LEFT(Detailed_LineCode04,LEN(Detailed_LineCode04)-1),Detailed_LineCode04)</f>
        <v>21.1</v>
      </c>
      <c r="C14" s="610" t="str">
        <f>IF(Covg04="","",Covg04)</f>
        <v>COMP</v>
      </c>
      <c r="D14" s="428">
        <f ca="1">IF(Covg04="","",VLOOKUP(Detailed_LineCode04,Table_EffStd,D$21+1,FALSE))</f>
        <v>0.31225781752376819</v>
      </c>
      <c r="E14" s="416">
        <f ca="1">IF(Covg04="","",VLOOKUP(Detailed_LineCode04,Table_EffStd,E$21+1,FALSE))</f>
        <v>0.25586059542168726</v>
      </c>
      <c r="F14" s="429">
        <f ca="1">IF(Covg04="","",VLOOKUP(Detailed_LineCode04,Table_EffStd,F$21+1,FALSE))</f>
        <v>0.35144754344074641</v>
      </c>
      <c r="G14" s="260">
        <f ca="1">IF(Covg04="","",SUMPRODUCT(D14:F14,D$9:F$9))</f>
        <v>0.31225781752376819</v>
      </c>
      <c r="H14" s="480">
        <f>IF(Covg04="","",IF(AND(ISBLANK('6.4Ratemaking Data'!$J$39)=FALSE,'1.General'!$I$47=1),EffStd_Var04,0))</f>
        <v>0</v>
      </c>
      <c r="I14" s="416">
        <f>IF(Covg04="","",ExpRatio_Excluded)</f>
        <v>1.3597266477453115E-2</v>
      </c>
      <c r="J14" s="420">
        <f ca="1">IF(Covg04="","",G14+H14-I14)</f>
        <v>0.29866055104631506</v>
      </c>
    </row>
    <row r="15" spans="1:10 16374:16374" ht="18" customHeight="1" x14ac:dyDescent="0.25">
      <c r="A15" s="417" t="str">
        <f>Detailed_LineDesc05</f>
        <v>Private Passenger Auto Physical Damage</v>
      </c>
      <c r="B15" s="418">
        <f ca="1">IF(RIGHT(Detailed_LineCode05,1)="R",LEFT(Detailed_LineCode05,LEN(Detailed_LineCode05)-1),Detailed_LineCode05)</f>
        <v>21.1</v>
      </c>
      <c r="C15" s="610" t="str">
        <f>IF(Covg05="","",Covg05)</f>
        <v>COLL</v>
      </c>
      <c r="D15" s="428">
        <f ca="1">IF(Covg05="","",VLOOKUP(Detailed_LineCode05,Table_EffStd,D$21+1,FALSE))</f>
        <v>0.31225781752376819</v>
      </c>
      <c r="E15" s="416">
        <f ca="1">IF(Covg05="","",VLOOKUP(Detailed_LineCode05,Table_EffStd,E$21+1,FALSE))</f>
        <v>0.25586059542168726</v>
      </c>
      <c r="F15" s="429">
        <f ca="1">IF(Covg05="","",VLOOKUP(Detailed_LineCode05,Table_EffStd,F$21+1,FALSE))</f>
        <v>0.35144754344074641</v>
      </c>
      <c r="G15" s="260">
        <f ca="1">IF(Covg05="","",SUMPRODUCT(D15:F15,D$9:F$9))</f>
        <v>0.31225781752376819</v>
      </c>
      <c r="H15" s="480">
        <f>IF(Covg05="","",IF(AND(ISBLANK('6.5Ratemaking Data'!$J$39)=FALSE,'1.General'!$I$47=1),EffStd_Var05,0))</f>
        <v>0</v>
      </c>
      <c r="I15" s="416">
        <f>IF(Covg05="","",ExpRatio_Excluded)</f>
        <v>1.3597266477453115E-2</v>
      </c>
      <c r="J15" s="420">
        <f ca="1">IF(Covg05="","",G15+H15-I15)</f>
        <v>0.29866055104631506</v>
      </c>
    </row>
    <row r="16" spans="1:10 16374:16374" ht="18" customHeight="1" x14ac:dyDescent="0.25">
      <c r="A16" s="417" t="str">
        <f>Detailed_LineDesc06</f>
        <v>Private Passenger Auto Physical Damage</v>
      </c>
      <c r="B16" s="418">
        <f ca="1">IF(RIGHT(Detailed_LineCode06,1)="R",LEFT(Detailed_LineCode06,LEN(Detailed_LineCode06)-1),Detailed_LineCode06)</f>
        <v>21.1</v>
      </c>
      <c r="C16" s="610" t="str">
        <f>IF(Covg06="","",Covg06)</f>
        <v>Misc. Damage</v>
      </c>
      <c r="D16" s="428">
        <f ca="1">IF(Covg06="","",VLOOKUP(Detailed_LineCode06,Table_EffStd,D$21+1,FALSE))</f>
        <v>0.31225781752376819</v>
      </c>
      <c r="E16" s="416">
        <f ca="1">IF(Covg06="","",VLOOKUP(Detailed_LineCode06,Table_EffStd,E$21+1,FALSE))</f>
        <v>0.25586059542168726</v>
      </c>
      <c r="F16" s="429">
        <f ca="1">IF(Covg06="","",VLOOKUP(Detailed_LineCode06,Table_EffStd,F$21+1,FALSE))</f>
        <v>0.35144754344074641</v>
      </c>
      <c r="G16" s="260">
        <f ca="1">IF(Covg06="","",SUMPRODUCT(D16:F16,D$9:F$9))</f>
        <v>0.31225781752376819</v>
      </c>
      <c r="H16" s="480">
        <f>IF(Covg06="","",IF(AND(ISBLANK('6.6Ratemaking Data'!$J$39)=FALSE,'1.General'!$I$47=1),EffStd_Var06,0))</f>
        <v>0</v>
      </c>
      <c r="I16" s="416">
        <f>IF(Covg06="","",ExpRatio_Excluded)</f>
        <v>1.3597266477453115E-2</v>
      </c>
      <c r="J16" s="420">
        <f ca="1">IF(Covg06="","",G16+H16-I16)</f>
        <v>0.29866055104631506</v>
      </c>
    </row>
    <row r="17" spans="1:19" ht="18" customHeight="1" x14ac:dyDescent="0.25">
      <c r="A17" s="417" t="str">
        <f>Detailed_LineDesc07</f>
        <v>Private Passenger Auto Liability</v>
      </c>
      <c r="B17" s="418">
        <f ca="1">IF(RIGHT(Detailed_LineCode07,1)="R",LEFT(Detailed_LineCode07,LEN(Detailed_LineCode07)-1),Detailed_LineCode07)</f>
        <v>19.2</v>
      </c>
      <c r="C17" s="610" t="str">
        <f>IF(Covg07="","",Covg07)</f>
        <v>Misc. Liability</v>
      </c>
      <c r="D17" s="428">
        <f ca="1">IF(Covg07="","",VLOOKUP(Detailed_LineCode07,Table_EffStd,D$21+1,FALSE))</f>
        <v>0.31092212368038935</v>
      </c>
      <c r="E17" s="416">
        <f ca="1">IF(Covg07="","",VLOOKUP(Detailed_LineCode07,Table_EffStd,E$21+1,FALSE))</f>
        <v>0.26622784813216294</v>
      </c>
      <c r="F17" s="429">
        <f ca="1">IF(Covg07="","",VLOOKUP(Detailed_LineCode07,Table_EffStd,F$21+1,FALSE))</f>
        <v>0.35653087916941489</v>
      </c>
      <c r="G17" s="260">
        <f ca="1">IF(Covg07="","",SUMPRODUCT(D17:F17,D$9:F$9))</f>
        <v>0.31092212368038935</v>
      </c>
      <c r="H17" s="480">
        <f>IF(Covg07="","",IF(AND(ISBLANK('6.7Ratemaking Data'!$J$39)=FALSE,'1.General'!$I$47=1),EffStd_Var07,0))</f>
        <v>0</v>
      </c>
      <c r="I17" s="416">
        <f>IF(Covg07="","",ExpRatio_Excluded)</f>
        <v>1.3597266477453115E-2</v>
      </c>
      <c r="J17" s="420">
        <f ca="1">IF(Covg07="","",G17+H17-I17)</f>
        <v>0.29732485720293622</v>
      </c>
    </row>
    <row r="18" spans="1:19" ht="18" customHeight="1" x14ac:dyDescent="0.25">
      <c r="A18" s="417" t="str">
        <f>Detailed_LineDesc08</f>
        <v/>
      </c>
      <c r="B18" s="418" t="str">
        <f>IF(RIGHT(Detailed_LineCode08,1)="R",LEFT(Detailed_LineCode08,LEN(Detailed_LineCode08)-1),Detailed_LineCode08)</f>
        <v/>
      </c>
      <c r="C18" s="610" t="str">
        <f>IF(Covg08="","",Covg08)</f>
        <v/>
      </c>
      <c r="D18" s="428" t="str">
        <f>IF(Covg08="","",VLOOKUP(Detailed_LineCode08,Table_EffStd,D$21+1,FALSE))</f>
        <v/>
      </c>
      <c r="E18" s="416" t="str">
        <f>IF(Covg08="","",VLOOKUP(Detailed_LineCode08,Table_EffStd,E$21+1,FALSE))</f>
        <v/>
      </c>
      <c r="F18" s="429" t="str">
        <f>IF(Covg08="","",VLOOKUP(Detailed_LineCode08,Table_EffStd,F$21+1,FALSE))</f>
        <v/>
      </c>
      <c r="G18" s="260" t="str">
        <f>IF(Covg08="","",SUMPRODUCT(D18:F18,D$9:F$9))</f>
        <v/>
      </c>
      <c r="H18" s="480" t="str">
        <f>IF(Covg08="","",IF(AND(ISBLANK('6.8Ratemaking Data'!$J$39)=FALSE,'1.General'!$I$47=1),EffStd_Var08,0))</f>
        <v/>
      </c>
      <c r="I18" s="416" t="str">
        <f>IF(Covg08="","",ExpRatio_Excluded)</f>
        <v/>
      </c>
      <c r="J18" s="420" t="str">
        <f>IF(Covg08="","",G18+H18-I18)</f>
        <v/>
      </c>
    </row>
    <row r="19" spans="1:19" ht="18" customHeight="1" x14ac:dyDescent="0.25">
      <c r="A19" s="417" t="str">
        <f>Detailed_LineDesc09</f>
        <v/>
      </c>
      <c r="B19" s="418" t="str">
        <f>IF(RIGHT(Detailed_LineCode09,1)="R",LEFT(Detailed_LineCode09,LEN(Detailed_LineCode09)-1),Detailed_LineCode09)</f>
        <v/>
      </c>
      <c r="C19" s="610" t="str">
        <f>IF(Covg09="","",Covg09)</f>
        <v/>
      </c>
      <c r="D19" s="428" t="str">
        <f>IF(Covg09="","",VLOOKUP(Detailed_LineCode09,Table_EffStd,D$21+1,FALSE))</f>
        <v/>
      </c>
      <c r="E19" s="416" t="str">
        <f>IF(Covg09="","",VLOOKUP(Detailed_LineCode09,Table_EffStd,E$21+1,FALSE))</f>
        <v/>
      </c>
      <c r="F19" s="429" t="str">
        <f>IF(Covg09="","",VLOOKUP(Detailed_LineCode09,Table_EffStd,F$21+1,FALSE))</f>
        <v/>
      </c>
      <c r="G19" s="260" t="str">
        <f>IF(Covg09="","",SUMPRODUCT(D19:F19,D$9:F$9))</f>
        <v/>
      </c>
      <c r="H19" s="480" t="str">
        <f>IF(Covg09="","",IF(AND(ISBLANK('6.9Ratemaking Data'!$J$39)=FALSE,'1.General'!$I$47=1),EffStd_Var09,0))</f>
        <v/>
      </c>
      <c r="I19" s="416" t="str">
        <f>IF(Covg09="","",ExpRatio_Excluded)</f>
        <v/>
      </c>
      <c r="J19" s="420" t="str">
        <f>IF(Covg09="","",G19+H19-I19)</f>
        <v/>
      </c>
    </row>
    <row r="20" spans="1:19" ht="18" customHeight="1" thickBot="1" x14ac:dyDescent="0.3">
      <c r="A20" s="421" t="str">
        <f>Detailed_LineDesc10</f>
        <v/>
      </c>
      <c r="B20" s="422" t="str">
        <f>IF(RIGHT(Detailed_LineCode10,1)="R",LEFT(Detailed_LineCode10,LEN(Detailed_LineCode10)-1),Detailed_LineCode10)</f>
        <v/>
      </c>
      <c r="C20" s="611" t="str">
        <f>IF(Covg10="","",Covg10)</f>
        <v/>
      </c>
      <c r="D20" s="426" t="str">
        <f>IF(Covg10="","",VLOOKUP(Detailed_LineCode10,Table_EffStd,D$21+1,FALSE))</f>
        <v/>
      </c>
      <c r="E20" s="423" t="str">
        <f>IF(Covg10="","",VLOOKUP(Detailed_LineCode10,Table_EffStd,E$21+1,FALSE))</f>
        <v/>
      </c>
      <c r="F20" s="427" t="str">
        <f>IF(Covg10="","",VLOOKUP(Detailed_LineCode10,Table_EffStd,F$21+1,FALSE))</f>
        <v/>
      </c>
      <c r="G20" s="424" t="str">
        <f>IF(Covg10="","",SUMPRODUCT(D20:F20,D$9:F$9))</f>
        <v/>
      </c>
      <c r="H20" s="481" t="str">
        <f>IF(Covg10="","",IF(AND(ISBLANK('6.10Ratemaking Data'!$J$39)=FALSE,'1.General'!$I$47=1),EffStd_Var10,0))</f>
        <v/>
      </c>
      <c r="I20" s="423" t="str">
        <f>IF(Covg10="","",ExpRatio_Excluded)</f>
        <v/>
      </c>
      <c r="J20" s="425" t="str">
        <f>IF(Covg10="","",G20+H20-I20)</f>
        <v/>
      </c>
    </row>
    <row r="21" spans="1:19" hidden="1" x14ac:dyDescent="0.25">
      <c r="A21" s="298"/>
      <c r="B21" s="418"/>
      <c r="C21" s="40"/>
      <c r="D21" s="456">
        <v>1</v>
      </c>
      <c r="E21" s="456">
        <v>2</v>
      </c>
      <c r="F21" s="456">
        <v>3</v>
      </c>
      <c r="G21" s="260"/>
      <c r="H21" s="419"/>
      <c r="I21" s="416"/>
      <c r="J21" s="455"/>
    </row>
    <row r="22" spans="1:19" ht="15.75" thickBot="1" x14ac:dyDescent="0.3"/>
    <row r="23" spans="1:19" ht="47.25" customHeight="1" x14ac:dyDescent="0.3">
      <c r="A23" s="457"/>
      <c r="B23" s="458"/>
      <c r="C23" s="459"/>
      <c r="D23" s="770" t="s">
        <v>136</v>
      </c>
      <c r="E23" s="771"/>
      <c r="F23" s="452" t="s">
        <v>134</v>
      </c>
      <c r="G23" s="460"/>
      <c r="H23" s="461"/>
      <c r="I23" s="781" t="str">
        <f>"Yields, Rate of Return &amp; Premium Tax Values as of "&amp;'3.2YieldFIT'!G48</f>
        <v>Yields, Rate of Return &amp; Premium Tax Values as of June 2022</v>
      </c>
      <c r="J23" s="782"/>
    </row>
    <row r="24" spans="1:19" ht="33.75" customHeight="1" thickBot="1" x14ac:dyDescent="0.35">
      <c r="A24" s="462"/>
      <c r="B24" s="463"/>
      <c r="C24" s="464"/>
      <c r="D24" s="772"/>
      <c r="E24" s="773"/>
      <c r="F24" s="627" t="str">
        <f>IF(AND('1.General'!$I$47*'1.General'!$I$48=1,FIND({3},'1.General'!$E$47&amp;"3")&lt;=LEN('1.General'!$E$47)),"(Variance 3 applied)","(Variance 3 not applied)")</f>
        <v>(Variance 3 not applied)</v>
      </c>
      <c r="G24" s="465"/>
      <c r="H24" s="466"/>
      <c r="I24" s="783"/>
      <c r="J24" s="784"/>
    </row>
    <row r="25" spans="1:19" ht="60.75" thickBot="1" x14ac:dyDescent="0.3">
      <c r="A25" s="96" t="s">
        <v>389</v>
      </c>
      <c r="B25" s="441" t="s">
        <v>388</v>
      </c>
      <c r="C25" s="450" t="s">
        <v>367</v>
      </c>
      <c r="D25" s="451" t="s">
        <v>138</v>
      </c>
      <c r="E25" s="450" t="s">
        <v>139</v>
      </c>
      <c r="F25" s="451" t="s">
        <v>563</v>
      </c>
      <c r="G25" s="441" t="s">
        <v>292</v>
      </c>
      <c r="H25" s="441" t="s">
        <v>316</v>
      </c>
      <c r="I25" s="626" t="s">
        <v>165</v>
      </c>
      <c r="J25" s="629">
        <f>'3.2YieldFIT'!D42</f>
        <v>8.8050065696007235E-2</v>
      </c>
    </row>
    <row r="26" spans="1:19" ht="18" customHeight="1" x14ac:dyDescent="0.25">
      <c r="A26" s="417" t="str">
        <f>Detailed_LineDesc01</f>
        <v>Private Passenger Auto Liability</v>
      </c>
      <c r="B26" s="418">
        <f ca="1">IF(RIGHT(Detailed_LineCode01,1)="R",LEFT(Detailed_LineCode01,LEN(Detailed_LineCode01)-1),Detailed_LineCode01)</f>
        <v>19.2</v>
      </c>
      <c r="C26" s="610" t="str">
        <f>IF(Covg01="","",Covg01)</f>
        <v>BIPD</v>
      </c>
      <c r="D26" s="447">
        <f ca="1">IF(Covg01="","",VLOOKUP(Detailed_LineCode01,Table_ResRatio,2,FALSE))</f>
        <v>0.32984149635237803</v>
      </c>
      <c r="E26" s="448">
        <f ca="1">IF(Covg01="","",VLOOKUP(Detailed_LineCode01,Table_ResRatio,3,FALSE))</f>
        <v>1.2289421602119517</v>
      </c>
      <c r="F26" s="447">
        <f ca="1">IF(Covg01="","",VLOOKUP(Detailed_LineCode01,Table_LevFact,2,FALSE))</f>
        <v>0.79714001147810298</v>
      </c>
      <c r="G26" s="479">
        <f>IF(Covg01="","",IF(AND('1.General'!$I$47*'1.General'!$I$48=1,FIND({3},'1.General'!$E$47&amp;"3")&lt;=LEN('1.General'!$E$47)),0.85,1))</f>
        <v>1</v>
      </c>
      <c r="H26" s="628">
        <f ca="1">IF(Covg01="","",F26*G26)</f>
        <v>0.79714001147810298</v>
      </c>
      <c r="I26" s="753" t="s">
        <v>715</v>
      </c>
      <c r="J26" s="777">
        <f>'3.2YieldFIT'!F34</f>
        <v>0.18752087399665437</v>
      </c>
    </row>
    <row r="27" spans="1:19" ht="18" customHeight="1" thickBot="1" x14ac:dyDescent="0.3">
      <c r="A27" s="417" t="str">
        <f>Detailed_LineDesc02</f>
        <v>Private Passenger Auto Liability</v>
      </c>
      <c r="B27" s="418">
        <f ca="1">IF(RIGHT(Detailed_LineCode02,1)="R",LEFT(Detailed_LineCode02,LEN(Detailed_LineCode02)-1),Detailed_LineCode02)</f>
        <v>19.2</v>
      </c>
      <c r="C27" s="610" t="str">
        <f>IF(Covg02="","",Covg02)</f>
        <v>MPC</v>
      </c>
      <c r="D27" s="447">
        <f ca="1">IF(Covg02="","",VLOOKUP(Detailed_LineCode02,Table_ResRatio,2,FALSE))</f>
        <v>0.32984149635237803</v>
      </c>
      <c r="E27" s="448">
        <f ca="1">IF(Covg02="","",VLOOKUP(Detailed_LineCode02,Table_ResRatio,3,FALSE))</f>
        <v>1.2289421602119517</v>
      </c>
      <c r="F27" s="447">
        <f ca="1">IF(Covg02="","",VLOOKUP(Detailed_LineCode02,Table_LevFact,2,FALSE))</f>
        <v>0.79714001147810298</v>
      </c>
      <c r="G27" s="479">
        <f>IF(Covg02="","",IF(AND('1.General'!$I$47*'1.General'!$I$48=1,FIND({3},'1.General'!$E$47&amp;"3")&lt;=LEN('1.General'!$E$47)),0.85,1))</f>
        <v>1</v>
      </c>
      <c r="H27" s="628">
        <f ca="1">IF(Covg02="","",F27*G27)</f>
        <v>0.79714001147810298</v>
      </c>
      <c r="I27" s="754"/>
      <c r="J27" s="778"/>
    </row>
    <row r="28" spans="1:19" ht="18" customHeight="1" x14ac:dyDescent="0.25">
      <c r="A28" s="417" t="str">
        <f>Detailed_LineDesc03</f>
        <v>Private Passenger Auto Liability</v>
      </c>
      <c r="B28" s="418">
        <f ca="1">IF(RIGHT(Detailed_LineCode03,1)="R",LEFT(Detailed_LineCode03,LEN(Detailed_LineCode03)-1),Detailed_LineCode03)</f>
        <v>19.2</v>
      </c>
      <c r="C28" s="610" t="str">
        <f>IF(Covg03="","",Covg03)</f>
        <v>UM</v>
      </c>
      <c r="D28" s="447">
        <f ca="1">IF(Covg03="","",VLOOKUP(Detailed_LineCode03,Table_ResRatio,2,FALSE))</f>
        <v>0.32984149635237803</v>
      </c>
      <c r="E28" s="448">
        <f ca="1">IF(Covg03="","",VLOOKUP(Detailed_LineCode03,Table_ResRatio,3,FALSE))</f>
        <v>1.2289421602119517</v>
      </c>
      <c r="F28" s="447">
        <f ca="1">IF(Covg03="","",VLOOKUP(Detailed_LineCode03,Table_LevFact,2,FALSE))</f>
        <v>0.79714001147810298</v>
      </c>
      <c r="G28" s="479">
        <f>IF(Covg03="","",IF(AND('1.General'!$I$47*'1.General'!$I$48=1,FIND({3},'1.General'!$E$47&amp;"3")&lt;=LEN('1.General'!$E$47)),0.85,1))</f>
        <v>1</v>
      </c>
      <c r="H28" s="628">
        <f ca="1">IF(Covg03="","",F28*G28)</f>
        <v>0.79714001147810298</v>
      </c>
      <c r="I28" s="753" t="s">
        <v>731</v>
      </c>
      <c r="J28" s="777">
        <v>2.35E-2</v>
      </c>
    </row>
    <row r="29" spans="1:19" ht="18" customHeight="1" x14ac:dyDescent="0.25">
      <c r="A29" s="417" t="str">
        <f>Detailed_LineDesc04</f>
        <v>Private Passenger Auto Physical Damage</v>
      </c>
      <c r="B29" s="418">
        <f ca="1">IF(RIGHT(Detailed_LineCode04,1)="R",LEFT(Detailed_LineCode04,LEN(Detailed_LineCode04)-1),Detailed_LineCode04)</f>
        <v>21.1</v>
      </c>
      <c r="C29" s="610" t="str">
        <f>IF(Covg04="","",Covg04)</f>
        <v>COMP</v>
      </c>
      <c r="D29" s="447">
        <f ca="1">IF(Covg04="","",VLOOKUP(Detailed_LineCode04,Table_ResRatio,2,FALSE))</f>
        <v>0.33549281014277643</v>
      </c>
      <c r="E29" s="448">
        <f ca="1">IF(Covg04="","",VLOOKUP(Detailed_LineCode04,Table_ResRatio,3,FALSE))</f>
        <v>7.309859769299859E-2</v>
      </c>
      <c r="F29" s="447">
        <f ca="1">IF(Covg04="","",VLOOKUP(Detailed_LineCode04,Table_LevFact,2,FALSE))</f>
        <v>1.2893927100650311</v>
      </c>
      <c r="G29" s="479">
        <f>IF(Covg04="","",IF(AND('1.General'!$I$47*'1.General'!$I$48=1,FIND({3},'1.General'!$E$47&amp;"3")&lt;=LEN('1.General'!$E$47)),0.85,1))</f>
        <v>1</v>
      </c>
      <c r="H29" s="628">
        <f ca="1">IF(Covg04="","",F29*G29)</f>
        <v>1.2893927100650311</v>
      </c>
      <c r="I29" s="779"/>
      <c r="J29" s="780"/>
    </row>
    <row r="30" spans="1:19" ht="18" customHeight="1" thickBot="1" x14ac:dyDescent="0.3">
      <c r="A30" s="417" t="str">
        <f>Detailed_LineDesc05</f>
        <v>Private Passenger Auto Physical Damage</v>
      </c>
      <c r="B30" s="418">
        <f ca="1">IF(RIGHT(Detailed_LineCode05,1)="R",LEFT(Detailed_LineCode05,LEN(Detailed_LineCode05)-1),Detailed_LineCode05)</f>
        <v>21.1</v>
      </c>
      <c r="C30" s="610" t="str">
        <f>IF(Covg05="","",Covg05)</f>
        <v>COLL</v>
      </c>
      <c r="D30" s="447">
        <f ca="1">IF(Covg05="","",VLOOKUP(Detailed_LineCode05,Table_ResRatio,2,FALSE))</f>
        <v>0.33549281014277643</v>
      </c>
      <c r="E30" s="448">
        <f ca="1">IF(Covg05="","",VLOOKUP(Detailed_LineCode05,Table_ResRatio,3,FALSE))</f>
        <v>7.309859769299859E-2</v>
      </c>
      <c r="F30" s="447">
        <f ca="1">IF(Covg05="","",VLOOKUP(Detailed_LineCode05,Table_LevFact,2,FALSE))</f>
        <v>1.2893927100650311</v>
      </c>
      <c r="G30" s="479">
        <f>IF(Covg05="","",IF(AND('1.General'!$I$47*'1.General'!$I$48=1,FIND({3},'1.General'!$E$47&amp;"3")&lt;=LEN('1.General'!$E$47)),0.85,1))</f>
        <v>1</v>
      </c>
      <c r="H30" s="628">
        <f ca="1">IF(Covg05="","",F30*G30)</f>
        <v>1.2893927100650311</v>
      </c>
      <c r="I30" s="754"/>
      <c r="J30" s="778"/>
    </row>
    <row r="31" spans="1:19" ht="18" customHeight="1" x14ac:dyDescent="0.25">
      <c r="A31" s="417" t="str">
        <f>Detailed_LineDesc06</f>
        <v>Private Passenger Auto Physical Damage</v>
      </c>
      <c r="B31" s="418">
        <f ca="1">IF(RIGHT(Detailed_LineCode06,1)="R",LEFT(Detailed_LineCode06,LEN(Detailed_LineCode06)-1),Detailed_LineCode06)</f>
        <v>21.1</v>
      </c>
      <c r="C31" s="610" t="str">
        <f>IF(Covg06="","",Covg06)</f>
        <v>Misc. Damage</v>
      </c>
      <c r="D31" s="447">
        <f ca="1">IF(Covg06="","",VLOOKUP(Detailed_LineCode06,Table_ResRatio,2,FALSE))</f>
        <v>0.33549281014277643</v>
      </c>
      <c r="E31" s="448">
        <f ca="1">IF(Covg06="","",VLOOKUP(Detailed_LineCode06,Table_ResRatio,3,FALSE))</f>
        <v>7.309859769299859E-2</v>
      </c>
      <c r="F31" s="447">
        <f ca="1">IF(Covg06="","",VLOOKUP(Detailed_LineCode06,Table_LevFact,2,FALSE))</f>
        <v>1.2893927100650311</v>
      </c>
      <c r="G31" s="479">
        <f>IF(Covg06="","",IF(AND('1.General'!$I$47*'1.General'!$I$48=1,FIND({3},'1.General'!$E$47&amp;"3")&lt;=LEN('1.General'!$E$47)),0.85,1))</f>
        <v>1</v>
      </c>
      <c r="H31" s="628">
        <f ca="1">IF(Covg06="","",F31*G31)</f>
        <v>1.2893927100650311</v>
      </c>
      <c r="I31" s="753" t="s">
        <v>717</v>
      </c>
      <c r="J31" s="774">
        <f>[1]Jun2022!$E$6</f>
        <v>2.2799999999999997E-2</v>
      </c>
      <c r="K31" s="708"/>
      <c r="L31" s="709"/>
      <c r="M31" s="709"/>
      <c r="N31" s="709"/>
      <c r="O31" s="709"/>
      <c r="P31" s="709"/>
      <c r="Q31" s="709"/>
      <c r="R31" s="709"/>
      <c r="S31" s="709"/>
    </row>
    <row r="32" spans="1:19" ht="18" customHeight="1" x14ac:dyDescent="0.25">
      <c r="A32" s="417" t="str">
        <f>Detailed_LineDesc07</f>
        <v>Private Passenger Auto Liability</v>
      </c>
      <c r="B32" s="418">
        <f ca="1">IF(RIGHT(Detailed_LineCode07,1)="R",LEFT(Detailed_LineCode07,LEN(Detailed_LineCode07)-1),Detailed_LineCode07)</f>
        <v>19.2</v>
      </c>
      <c r="C32" s="610" t="str">
        <f>IF(Covg07="","",Covg07)</f>
        <v>Misc. Liability</v>
      </c>
      <c r="D32" s="447">
        <f ca="1">IF(Covg07="","",VLOOKUP(Detailed_LineCode07,Table_ResRatio,2,FALSE))</f>
        <v>0.32984149635237803</v>
      </c>
      <c r="E32" s="448">
        <f ca="1">IF(Covg07="","",VLOOKUP(Detailed_LineCode07,Table_ResRatio,3,FALSE))</f>
        <v>1.2289421602119517</v>
      </c>
      <c r="F32" s="447">
        <f ca="1">IF(Covg07="","",VLOOKUP(Detailed_LineCode07,Table_LevFact,2,FALSE))</f>
        <v>0.79714001147810298</v>
      </c>
      <c r="G32" s="479">
        <f>IF(Covg07="","",IF(AND('1.General'!$I$47*'1.General'!$I$48=1,FIND({3},'1.General'!$E$47&amp;"3")&lt;=LEN('1.General'!$E$47)),0.85,1))</f>
        <v>1</v>
      </c>
      <c r="H32" s="628">
        <f ca="1">IF(Covg07="","",F32*G32)</f>
        <v>0.79714001147810298</v>
      </c>
      <c r="I32" s="779"/>
      <c r="J32" s="775"/>
      <c r="K32" s="708" t="s">
        <v>623</v>
      </c>
      <c r="L32" s="709"/>
      <c r="M32" s="709"/>
      <c r="N32" s="709"/>
      <c r="O32" s="709"/>
      <c r="P32" s="709"/>
      <c r="Q32" s="709"/>
      <c r="R32" s="709"/>
      <c r="S32" s="709"/>
    </row>
    <row r="33" spans="1:19" ht="18" customHeight="1" x14ac:dyDescent="0.25">
      <c r="A33" s="417" t="str">
        <f>Detailed_LineDesc08</f>
        <v/>
      </c>
      <c r="B33" s="418" t="str">
        <f>IF(RIGHT(Detailed_LineCode08,1)="R",LEFT(Detailed_LineCode08,LEN(Detailed_LineCode08)-1),Detailed_LineCode08)</f>
        <v/>
      </c>
      <c r="C33" s="610" t="str">
        <f>IF(Covg08="","",Covg08)</f>
        <v/>
      </c>
      <c r="D33" s="447" t="str">
        <f>IF(Covg08="","",VLOOKUP(Detailed_LineCode08,Table_ResRatio,2,FALSE))</f>
        <v/>
      </c>
      <c r="E33" s="448" t="str">
        <f>IF(Covg08="","",VLOOKUP(Detailed_LineCode08,Table_ResRatio,3,FALSE))</f>
        <v/>
      </c>
      <c r="F33" s="447" t="str">
        <f>IF(Covg08="","",VLOOKUP(Detailed_LineCode08,Table_LevFact,2,FALSE))</f>
        <v/>
      </c>
      <c r="G33" s="479" t="str">
        <f>IF(Covg08="","",IF(AND('1.General'!$I$47*'1.General'!$I$48=1,FIND({3},'1.General'!$E$47&amp;"3")&lt;=LEN('1.General'!$E$47)),0.85,1))</f>
        <v/>
      </c>
      <c r="H33" s="628" t="str">
        <f>IF(Covg08="","",F33*G33)</f>
        <v/>
      </c>
      <c r="I33" s="779"/>
      <c r="J33" s="775"/>
      <c r="K33" s="708" t="s">
        <v>339</v>
      </c>
      <c r="L33" s="709"/>
      <c r="M33" s="709"/>
      <c r="N33" s="709"/>
      <c r="O33" s="709"/>
      <c r="P33" s="709"/>
      <c r="Q33" s="709"/>
      <c r="R33" s="709"/>
      <c r="S33" s="709"/>
    </row>
    <row r="34" spans="1:19" ht="18" customHeight="1" x14ac:dyDescent="0.25">
      <c r="A34" s="417" t="str">
        <f>Detailed_LineDesc09</f>
        <v/>
      </c>
      <c r="B34" s="418" t="str">
        <f>IF(RIGHT(Detailed_LineCode09,1)="R",LEFT(Detailed_LineCode09,LEN(Detailed_LineCode09)-1),Detailed_LineCode09)</f>
        <v/>
      </c>
      <c r="C34" s="610" t="str">
        <f>IF(Covg09="","",Covg09)</f>
        <v/>
      </c>
      <c r="D34" s="492" t="str">
        <f>IF(Covg09="","",VLOOKUP(Detailed_LineCode09,Table_ResRatio,2,FALSE))</f>
        <v/>
      </c>
      <c r="E34" s="493" t="str">
        <f>IF(Covg09="","",VLOOKUP(Detailed_LineCode09,Table_ResRatio,3,FALSE))</f>
        <v/>
      </c>
      <c r="F34" s="492" t="str">
        <f>IF(Covg09="","",VLOOKUP(Detailed_LineCode09,Table_LevFact,2,FALSE))</f>
        <v/>
      </c>
      <c r="G34" s="479" t="str">
        <f>IF(Covg09="","",IF(AND('1.General'!$I$47*'1.General'!$I$48=1,FIND({3},'1.General'!$E$47&amp;"3")&lt;=LEN('1.General'!$E$47)),0.85,1))</f>
        <v/>
      </c>
      <c r="H34" s="479" t="str">
        <f>IF(Covg09="","",F34*G34)</f>
        <v/>
      </c>
      <c r="I34" s="779"/>
      <c r="J34" s="775"/>
      <c r="K34" s="708"/>
      <c r="L34" s="709"/>
      <c r="M34" s="709"/>
      <c r="N34" s="709"/>
      <c r="O34" s="709"/>
      <c r="P34" s="709"/>
      <c r="Q34" s="709"/>
      <c r="R34" s="709"/>
      <c r="S34" s="709"/>
    </row>
    <row r="35" spans="1:19" ht="18" customHeight="1" thickBot="1" x14ac:dyDescent="0.3">
      <c r="A35" s="421" t="str">
        <f>Detailed_LineDesc10</f>
        <v/>
      </c>
      <c r="B35" s="422" t="str">
        <f>IF(RIGHT(Detailed_LineCode10,1)="R",LEFT(Detailed_LineCode10,LEN(Detailed_LineCode10)-1),Detailed_LineCode10)</f>
        <v/>
      </c>
      <c r="C35" s="611" t="str">
        <f>IF(Covg10="","",Covg10)</f>
        <v/>
      </c>
      <c r="D35" s="494" t="str">
        <f>IF(Covg10="","",VLOOKUP(Detailed_LineCode10,Table_ResRatio,2,FALSE))</f>
        <v/>
      </c>
      <c r="E35" s="495" t="str">
        <f>IF(Covg10="","",VLOOKUP(Detailed_LineCode10,Table_ResRatio,3,FALSE))</f>
        <v/>
      </c>
      <c r="F35" s="494" t="str">
        <f>IF(Covg10="","",VLOOKUP(Detailed_LineCode10,Table_LevFact,2,FALSE))</f>
        <v/>
      </c>
      <c r="G35" s="513" t="str">
        <f>IF(Covg10="","",IF(AND('1.General'!$I$47*'1.General'!$I$48=1,FIND({3},'1.General'!$E$47&amp;"3")&lt;=LEN('1.General'!$E$47)),0.85,1))</f>
        <v/>
      </c>
      <c r="H35" s="513" t="str">
        <f>IF(Covg10="","",F35*G35)</f>
        <v/>
      </c>
      <c r="I35" s="754"/>
      <c r="J35" s="776"/>
      <c r="K35" s="708"/>
      <c r="L35" s="709"/>
      <c r="M35" s="709"/>
      <c r="N35" s="709"/>
      <c r="O35" s="709"/>
      <c r="P35" s="709"/>
      <c r="Q35" s="709"/>
      <c r="R35" s="709"/>
      <c r="S35" s="709"/>
    </row>
    <row r="36" spans="1:19" x14ac:dyDescent="0.25">
      <c r="K36" s="709"/>
      <c r="L36" s="709"/>
      <c r="M36" s="709"/>
      <c r="N36" s="709"/>
      <c r="O36" s="709"/>
      <c r="P36" s="709"/>
      <c r="Q36" s="709"/>
      <c r="R36" s="709"/>
      <c r="S36" s="709"/>
    </row>
  </sheetData>
  <sheetProtection algorithmName="SHA-512" hashValue="zgyU6LkItbARtZ6mGXBDZy2T/eS0EaRxuKHYOFcacapUhWlbLaNt+SeTsyoI6WNjd845Lt7xDfjaVk9cAgD59w==" saltValue="KqPawdPeAkITU0zIGtNjBQ==" spinCount="100000" sheet="1" objects="1" scenarios="1" formatColumns="0" formatRows="0" sort="0"/>
  <mergeCells count="8">
    <mergeCell ref="D23:E24"/>
    <mergeCell ref="J31:J35"/>
    <mergeCell ref="I26:I27"/>
    <mergeCell ref="J26:J27"/>
    <mergeCell ref="I28:I30"/>
    <mergeCell ref="J28:J30"/>
    <mergeCell ref="I31:I35"/>
    <mergeCell ref="I23:J24"/>
  </mergeCells>
  <printOptions horizontalCentered="1"/>
  <pageMargins left="0.45" right="0.45" top="0.5" bottom="0.5" header="0.3" footer="0.3"/>
  <pageSetup scale="71" orientation="landscape" r:id="rId1"/>
  <headerFooter>
    <oddFooter>&amp;CPrior Approval Rate Template&amp;RPage 5&amp;L01/11/2022 Edition</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0000FF"/>
    <pageSetUpPr fitToPage="1"/>
  </sheetPr>
  <dimension ref="A1:O64"/>
  <sheetViews>
    <sheetView showGridLines="0" view="pageBreakPreview" topLeftCell="A22" zoomScaleNormal="100" zoomScaleSheetLayoutView="100" workbookViewId="0">
      <selection activeCell="J25" sqref="J25:J26"/>
    </sheetView>
  </sheetViews>
  <sheetFormatPr defaultRowHeight="15" x14ac:dyDescent="0.25"/>
  <cols>
    <col min="1" max="1" width="5" customWidth="1"/>
    <col min="2" max="2" width="29.7109375" customWidth="1"/>
    <col min="3" max="3" width="7" bestFit="1" customWidth="1"/>
    <col min="4" max="6" width="15.7109375" hidden="1" customWidth="1"/>
    <col min="7" max="11" width="15.7109375" customWidth="1"/>
    <col min="12" max="12" width="0.85546875" customWidth="1"/>
    <col min="13" max="13" width="127.85546875" customWidth="1"/>
  </cols>
  <sheetData>
    <row r="1" spans="1:13" ht="15.75" thickBot="1" x14ac:dyDescent="0.3">
      <c r="A1" s="10" t="s">
        <v>31</v>
      </c>
      <c r="B1" s="13"/>
      <c r="H1" s="13" t="s">
        <v>33</v>
      </c>
      <c r="K1" s="12" t="str">
        <f>Co_Name</f>
        <v>State Farm Mutual Automobile Insurance Company</v>
      </c>
      <c r="M1" s="279" t="s">
        <v>310</v>
      </c>
    </row>
    <row r="2" spans="1:13" x14ac:dyDescent="0.25">
      <c r="A2" s="10" t="s">
        <v>32</v>
      </c>
      <c r="B2" s="13"/>
      <c r="H2" s="13" t="s">
        <v>34</v>
      </c>
      <c r="K2" s="12" t="str">
        <f>General_Line</f>
        <v>Auto Liability and Physical Damage</v>
      </c>
      <c r="M2" s="280" t="s">
        <v>113</v>
      </c>
    </row>
    <row r="3" spans="1:13" x14ac:dyDescent="0.25">
      <c r="A3" s="10"/>
      <c r="B3" s="185"/>
      <c r="H3" s="83" t="s">
        <v>142</v>
      </c>
      <c r="I3" s="84"/>
      <c r="J3" s="84"/>
      <c r="K3" s="82" t="str">
        <f>CDI_FileNo</f>
        <v/>
      </c>
      <c r="M3" s="281"/>
    </row>
    <row r="4" spans="1:13" ht="18" customHeight="1" x14ac:dyDescent="0.25">
      <c r="M4" s="282"/>
    </row>
    <row r="5" spans="1:13" ht="23.25" x14ac:dyDescent="0.25">
      <c r="A5" s="4" t="s">
        <v>606</v>
      </c>
      <c r="B5" s="3"/>
      <c r="C5" s="3"/>
      <c r="D5" s="3"/>
      <c r="E5" s="3"/>
      <c r="F5" s="3"/>
      <c r="G5" s="3"/>
      <c r="H5" s="3"/>
      <c r="I5" s="3"/>
      <c r="J5" s="3"/>
      <c r="K5" s="3"/>
      <c r="L5" s="3"/>
      <c r="M5" s="282"/>
    </row>
    <row r="6" spans="1:13" ht="15.75" thickBot="1" x14ac:dyDescent="0.3">
      <c r="M6" s="282"/>
    </row>
    <row r="7" spans="1:13" ht="18" customHeight="1" thickBot="1" x14ac:dyDescent="0.3">
      <c r="B7" s="130" t="s">
        <v>1</v>
      </c>
      <c r="G7" s="14" t="str">
        <f>Completed_By</f>
        <v>Laura Campbell</v>
      </c>
      <c r="J7" s="130" t="s">
        <v>706</v>
      </c>
      <c r="K7" s="543"/>
      <c r="M7" s="282"/>
    </row>
    <row r="8" spans="1:13" ht="18" customHeight="1" x14ac:dyDescent="0.25">
      <c r="B8" s="130" t="s">
        <v>76</v>
      </c>
      <c r="G8" s="62">
        <f>Completed_Date</f>
        <v>44816</v>
      </c>
      <c r="M8" s="282"/>
    </row>
    <row r="9" spans="1:13" ht="5.0999999999999996" customHeight="1" x14ac:dyDescent="0.25">
      <c r="B9" s="130"/>
      <c r="M9" s="282"/>
    </row>
    <row r="10" spans="1:13" ht="18" customHeight="1" x14ac:dyDescent="0.25">
      <c r="B10" s="130" t="s">
        <v>77</v>
      </c>
      <c r="G10" s="298" t="str">
        <f>Detailed_LineDesc01</f>
        <v>Private Passenger Auto Liability</v>
      </c>
      <c r="H10" s="298"/>
      <c r="I10" s="298"/>
      <c r="M10" s="283"/>
    </row>
    <row r="11" spans="1:13" ht="18" customHeight="1" x14ac:dyDescent="0.25">
      <c r="B11" s="130" t="s">
        <v>78</v>
      </c>
      <c r="G11" s="298" t="str">
        <f>Covg01</f>
        <v>BIPD</v>
      </c>
      <c r="H11" s="298"/>
      <c r="I11" s="298"/>
      <c r="M11" s="282"/>
    </row>
    <row r="12" spans="1:13" ht="9.9499999999999993" customHeight="1" x14ac:dyDescent="0.25">
      <c r="B12" s="2"/>
      <c r="G12" s="27"/>
      <c r="I12" s="28"/>
      <c r="J12" s="29"/>
      <c r="M12" s="282"/>
    </row>
    <row r="13" spans="1:13" ht="30" x14ac:dyDescent="0.25">
      <c r="A13" s="33" t="s">
        <v>59</v>
      </c>
      <c r="B13" s="34" t="s">
        <v>64</v>
      </c>
      <c r="C13" s="33" t="s">
        <v>58</v>
      </c>
      <c r="D13" s="195" t="s">
        <v>226</v>
      </c>
      <c r="E13" s="195" t="s">
        <v>227</v>
      </c>
      <c r="F13" s="195" t="s">
        <v>228</v>
      </c>
      <c r="G13" s="195" t="s">
        <v>229</v>
      </c>
      <c r="H13" s="195" t="s">
        <v>230</v>
      </c>
      <c r="I13" s="195" t="s">
        <v>231</v>
      </c>
      <c r="J13" s="33" t="s">
        <v>109</v>
      </c>
      <c r="K13" s="33" t="s">
        <v>110</v>
      </c>
      <c r="M13" s="282"/>
    </row>
    <row r="14" spans="1:13" ht="18" customHeight="1" thickBot="1" x14ac:dyDescent="0.3">
      <c r="A14" s="49" t="s">
        <v>115</v>
      </c>
      <c r="B14" s="48" t="s">
        <v>114</v>
      </c>
      <c r="C14" s="44"/>
      <c r="D14" s="469" t="str">
        <f>LEFT(MstRcntDataYr,4)-5&amp;RIGHT(MstRcntDataYr,1)</f>
        <v>20171</v>
      </c>
      <c r="E14" s="469" t="str">
        <f>LEFT(MstRcntDataYr,4)-4&amp;RIGHT(MstRcntDataYr,1)</f>
        <v>20181</v>
      </c>
      <c r="F14" s="469" t="str">
        <f>LEFT(MstRcntDataYr,4)-3&amp;RIGHT(MstRcntDataYr,1)</f>
        <v>20191</v>
      </c>
      <c r="G14" s="469" t="str">
        <f>LEFT(MstRcntDataYr,4)-2&amp;RIGHT(MstRcntDataYr,1)</f>
        <v>20201</v>
      </c>
      <c r="H14" s="469" t="str">
        <f>LEFT(MstRcntDataYr,4)-1&amp;RIGHT(MstRcntDataYr,1)</f>
        <v>20211</v>
      </c>
      <c r="I14" s="469">
        <f>MstRcntDataYr</f>
        <v>20221</v>
      </c>
      <c r="J14" s="30"/>
      <c r="K14" s="22"/>
      <c r="M14" s="282"/>
    </row>
    <row r="15" spans="1:13" ht="30" customHeight="1" x14ac:dyDescent="0.25">
      <c r="A15" s="41">
        <v>-1</v>
      </c>
      <c r="B15" s="42" t="s">
        <v>54</v>
      </c>
      <c r="C15" s="43"/>
      <c r="D15" s="196"/>
      <c r="E15" s="197"/>
      <c r="F15" s="197"/>
      <c r="G15" s="127"/>
      <c r="H15" s="127"/>
      <c r="I15" s="127">
        <v>1723371698.98</v>
      </c>
      <c r="J15" s="24"/>
      <c r="K15" s="127"/>
      <c r="M15" s="283" t="str">
        <f>IF(AND(New_Program=TRUE,ISBLANK($K$15)),"← ERROR! Enter projected figure for new program, or deselect 'New Program' on Page '1.General'.","")</f>
        <v/>
      </c>
    </row>
    <row r="16" spans="1:13" ht="30" customHeight="1" x14ac:dyDescent="0.25">
      <c r="A16" s="35">
        <v>-2</v>
      </c>
      <c r="B16" s="36" t="s">
        <v>55</v>
      </c>
      <c r="C16" s="37"/>
      <c r="D16" s="128"/>
      <c r="E16" s="127"/>
      <c r="F16" s="127"/>
      <c r="G16" s="127"/>
      <c r="H16" s="127"/>
      <c r="I16" s="127">
        <v>1715344604.9300001</v>
      </c>
      <c r="J16" s="25"/>
      <c r="K16" s="85" t="str">
        <f>IF(ISBLANK($K$15),"",$K$15)</f>
        <v/>
      </c>
      <c r="M16" s="283" t="str">
        <f>IF(AND(New_Program=TRUE,$K$16&lt;&gt;$K$15),"← ERROR! For New Programs, Earned Premium must equal Written Premium. Refer to Section III.C. of Prior Approval Rate Filing Instructions.","")</f>
        <v/>
      </c>
    </row>
    <row r="17" spans="1:13" ht="18" customHeight="1" x14ac:dyDescent="0.25">
      <c r="A17" s="35">
        <v>-3</v>
      </c>
      <c r="B17" s="36" t="s">
        <v>36</v>
      </c>
      <c r="C17" s="37" t="s">
        <v>65</v>
      </c>
      <c r="D17" s="198"/>
      <c r="E17" s="199"/>
      <c r="F17" s="199"/>
      <c r="G17" s="199"/>
      <c r="H17" s="199"/>
      <c r="I17" s="199">
        <v>1</v>
      </c>
      <c r="J17" s="21"/>
      <c r="K17" s="21"/>
      <c r="M17" s="282"/>
    </row>
    <row r="18" spans="1:13" ht="18" customHeight="1" x14ac:dyDescent="0.25">
      <c r="A18" s="35">
        <v>-4</v>
      </c>
      <c r="B18" s="36" t="s">
        <v>130</v>
      </c>
      <c r="C18" s="37" t="s">
        <v>66</v>
      </c>
      <c r="D18" s="198"/>
      <c r="E18" s="199"/>
      <c r="F18" s="199"/>
      <c r="G18" s="199"/>
      <c r="H18" s="199"/>
      <c r="I18" s="199">
        <v>0.95406481068522975</v>
      </c>
      <c r="J18" s="200">
        <v>-2.0682531542587802E-2</v>
      </c>
      <c r="K18" s="21"/>
      <c r="M18" s="283" t="str">
        <f>IF(AND(New_Program=FALSE,ISBLANK($J$18)),"← ERROR! Enter Annual Premium Trend as a percentage in the 'Projected' column.","")</f>
        <v/>
      </c>
    </row>
    <row r="19" spans="1:13" ht="30" customHeight="1" x14ac:dyDescent="0.25">
      <c r="A19" s="35">
        <v>-5</v>
      </c>
      <c r="B19" s="36" t="s">
        <v>743</v>
      </c>
      <c r="C19" s="37" t="s">
        <v>67</v>
      </c>
      <c r="D19" s="128"/>
      <c r="E19" s="127"/>
      <c r="F19" s="127"/>
      <c r="G19" s="127"/>
      <c r="H19" s="127"/>
      <c r="I19" s="127">
        <v>0</v>
      </c>
      <c r="J19" s="21"/>
      <c r="K19" s="127"/>
      <c r="M19" s="283" t="str">
        <f>IF(AND(New_Program=TRUE,ISBLANK($K$19)),"← ERROR! Enter projected figure for new program, or deselect 'New Program' on Page '1.General'.","")</f>
        <v/>
      </c>
    </row>
    <row r="20" spans="1:13" ht="18" customHeight="1" x14ac:dyDescent="0.25">
      <c r="A20" s="35">
        <v>-6</v>
      </c>
      <c r="B20" s="36" t="s">
        <v>56</v>
      </c>
      <c r="C20" s="37"/>
      <c r="D20" s="128"/>
      <c r="E20" s="127"/>
      <c r="F20" s="127"/>
      <c r="G20" s="127"/>
      <c r="H20" s="127"/>
      <c r="I20" s="127">
        <v>3643679</v>
      </c>
      <c r="J20" s="21"/>
      <c r="K20" s="127"/>
      <c r="M20" s="283" t="str">
        <f>IF(AND(New_Program=TRUE,ISBLANK($K$20)),"← ERROR! Enter projected figure for new program, or deselect 'New Program' on Page '1.General'.","")</f>
        <v/>
      </c>
    </row>
    <row r="21" spans="1:13" ht="18" customHeight="1" x14ac:dyDescent="0.25">
      <c r="A21" s="35">
        <v>-7</v>
      </c>
      <c r="B21" s="36" t="s">
        <v>133</v>
      </c>
      <c r="C21" s="37"/>
      <c r="D21" s="128"/>
      <c r="E21" s="127"/>
      <c r="F21" s="127"/>
      <c r="G21" s="127"/>
      <c r="H21" s="127"/>
      <c r="I21" s="127">
        <v>813559162</v>
      </c>
      <c r="J21" s="21"/>
      <c r="K21" s="127"/>
      <c r="M21" s="283" t="str">
        <f>IF(AND(New_Program=TRUE,ISBLANK($K$21)),"← ERROR! Enter projected figure for new program, or deselect 'New Program' on Page '1.General'.","")</f>
        <v/>
      </c>
    </row>
    <row r="22" spans="1:13" ht="30" customHeight="1" x14ac:dyDescent="0.25">
      <c r="A22" s="35">
        <v>-8</v>
      </c>
      <c r="B22" s="36" t="s">
        <v>57</v>
      </c>
      <c r="C22" s="37"/>
      <c r="D22" s="128"/>
      <c r="E22" s="127"/>
      <c r="F22" s="127"/>
      <c r="G22" s="127"/>
      <c r="H22" s="127"/>
      <c r="I22" s="127">
        <v>2765790</v>
      </c>
      <c r="J22" s="21"/>
      <c r="K22" s="127"/>
      <c r="M22" s="283" t="str">
        <f>IF(AND(New_Program=TRUE,ISBLANK($K$22)),"← ERROR! Enter projected figure for new program, or deselect 'New Program' on Page '1.General'.","")</f>
        <v/>
      </c>
    </row>
    <row r="23" spans="1:13" ht="18" customHeight="1" x14ac:dyDescent="0.25">
      <c r="A23" s="35">
        <v>-9</v>
      </c>
      <c r="B23" s="36" t="s">
        <v>60</v>
      </c>
      <c r="C23" s="37" t="s">
        <v>68</v>
      </c>
      <c r="D23" s="198"/>
      <c r="E23" s="199"/>
      <c r="F23" s="199"/>
      <c r="G23" s="199"/>
      <c r="H23" s="199"/>
      <c r="I23" s="199">
        <v>1.3715913022235746</v>
      </c>
      <c r="J23" s="21"/>
      <c r="K23" s="21"/>
      <c r="M23" s="282"/>
    </row>
    <row r="24" spans="1:13" ht="18" customHeight="1" x14ac:dyDescent="0.25">
      <c r="A24" s="35">
        <v>-10</v>
      </c>
      <c r="B24" s="36" t="s">
        <v>61</v>
      </c>
      <c r="C24" s="37" t="s">
        <v>68</v>
      </c>
      <c r="D24" s="198"/>
      <c r="E24" s="199"/>
      <c r="F24" s="199"/>
      <c r="G24" s="199"/>
      <c r="H24" s="199"/>
      <c r="I24" s="199">
        <v>37.418300257053922</v>
      </c>
      <c r="J24" s="21"/>
      <c r="K24" s="21"/>
      <c r="M24" s="282"/>
    </row>
    <row r="25" spans="1:13" ht="18" customHeight="1" x14ac:dyDescent="0.25">
      <c r="A25" s="35">
        <v>-11</v>
      </c>
      <c r="B25" s="36" t="s">
        <v>132</v>
      </c>
      <c r="C25" s="37" t="s">
        <v>69</v>
      </c>
      <c r="D25" s="198"/>
      <c r="E25" s="199"/>
      <c r="F25" s="199"/>
      <c r="G25" s="199"/>
      <c r="H25" s="199"/>
      <c r="I25" s="199">
        <v>1.0628117980829981</v>
      </c>
      <c r="J25" s="200">
        <v>2.7444532097904206E-2</v>
      </c>
      <c r="K25" s="21"/>
      <c r="M25" s="283" t="str">
        <f>IF(AND(New_Program=FALSE,ISBLANK($J$25)),"← ERROR! Enter Annual Loss Trend as a percentage in the 'Projected' column","")</f>
        <v/>
      </c>
    </row>
    <row r="26" spans="1:13" ht="18" customHeight="1" x14ac:dyDescent="0.25">
      <c r="A26" s="35">
        <v>-12</v>
      </c>
      <c r="B26" s="36" t="s">
        <v>131</v>
      </c>
      <c r="C26" s="37" t="s">
        <v>69</v>
      </c>
      <c r="D26" s="198"/>
      <c r="E26" s="199"/>
      <c r="F26" s="199"/>
      <c r="G26" s="199"/>
      <c r="H26" s="199"/>
      <c r="I26" s="199">
        <v>1.0454581418517594</v>
      </c>
      <c r="J26" s="200">
        <v>2.7444532097904206E-2</v>
      </c>
      <c r="K26" s="21"/>
      <c r="M26" s="283" t="str">
        <f>IF(AND(New_Program=FALSE,ISBLANK($J$26)),"← ERROR! Enter Annual DCCE Trend as a percentage in the 'Projected' column","")</f>
        <v/>
      </c>
    </row>
    <row r="27" spans="1:13" ht="18" customHeight="1" x14ac:dyDescent="0.25">
      <c r="A27" s="35">
        <v>-13</v>
      </c>
      <c r="B27" s="36" t="s">
        <v>62</v>
      </c>
      <c r="C27" s="37" t="s">
        <v>70</v>
      </c>
      <c r="D27" s="198"/>
      <c r="E27" s="199"/>
      <c r="F27" s="199"/>
      <c r="G27" s="199"/>
      <c r="H27" s="199"/>
      <c r="I27" s="199">
        <v>1</v>
      </c>
      <c r="J27" s="21"/>
      <c r="K27" s="21"/>
      <c r="M27" s="282"/>
    </row>
    <row r="28" spans="1:13" ht="18" customHeight="1" x14ac:dyDescent="0.25">
      <c r="A28" s="35">
        <v>-14</v>
      </c>
      <c r="B28" s="31" t="s">
        <v>728</v>
      </c>
      <c r="C28" s="37" t="s">
        <v>71</v>
      </c>
      <c r="D28" s="32"/>
      <c r="E28" s="21"/>
      <c r="F28" s="21"/>
      <c r="G28" s="21"/>
      <c r="H28" s="21"/>
      <c r="I28" s="21"/>
      <c r="J28" s="201">
        <v>1</v>
      </c>
      <c r="K28" s="21"/>
      <c r="M28" s="284"/>
    </row>
    <row r="29" spans="1:13" ht="18" customHeight="1" x14ac:dyDescent="0.25">
      <c r="A29" s="35">
        <v>-15</v>
      </c>
      <c r="B29" s="36" t="s">
        <v>37</v>
      </c>
      <c r="C29" s="37" t="s">
        <v>72</v>
      </c>
      <c r="D29" s="128"/>
      <c r="E29" s="127"/>
      <c r="F29" s="127"/>
      <c r="G29" s="127"/>
      <c r="H29" s="127"/>
      <c r="I29" s="127">
        <v>0</v>
      </c>
      <c r="J29" s="21"/>
      <c r="K29" s="127"/>
      <c r="M29" s="283" t="str">
        <f>IF(AND(New_Program=TRUE,ISBLANK($K$29)),"← ERROR! Enter projected figure for new program, or deselect 'New Program' on Page '1.General'.","")</f>
        <v/>
      </c>
    </row>
    <row r="30" spans="1:13" ht="5.0999999999999996" customHeight="1" x14ac:dyDescent="0.25">
      <c r="A30" s="38"/>
      <c r="B30" s="39"/>
      <c r="C30" s="40"/>
      <c r="D30" s="641">
        <f>IF(COUNTBLANK(D15:D27)+COUNTBLANK(D29)=14,1,IF(COUNT(D15:D27)+COUNT(D29)=14,1,"D "))</f>
        <v>1</v>
      </c>
      <c r="E30" s="641">
        <f>IF(COUNTBLANK(E15:E27)+COUNTBLANK(E29)=14,1,IF(COUNT(E15:E27)+COUNT(E29)=14,1,"E "))</f>
        <v>1</v>
      </c>
      <c r="F30" s="641">
        <f>IF(COUNTBLANK(F15:F27)+COUNTBLANK(F29)=14,1,IF(COUNT(F15:F27)+COUNT(F29)=14,1,"F "))</f>
        <v>1</v>
      </c>
      <c r="G30" s="641">
        <f>IF(COUNTBLANK(G15:G27)+COUNTBLANK(G29)=14,1,IF(COUNT(G15:G27)+COUNT(G29)=14,1,"G "))</f>
        <v>1</v>
      </c>
      <c r="H30" s="641">
        <f>IF(COUNTBLANK(H15:H27)+COUNTBLANK(H29)=14,1,IF(COUNT(H15:H27)+COUNT(H29)=14,1,"H "))</f>
        <v>1</v>
      </c>
      <c r="I30" s="641">
        <f>IF(COUNTBLANK(I15:I27)+COUNTBLANK(I29)=14,1,IF(COUNT(I15:I27)+COUNT(I29)=14,1,"I "))</f>
        <v>1</v>
      </c>
      <c r="J30" s="642">
        <f>IF(COUNTBLANK(J15:J29)=15,1,IF(COUNT(J18,J25,J26,J28)=4,1,"J "))</f>
        <v>1</v>
      </c>
      <c r="K30" s="643">
        <f>IF(COUNTBLANK(K15)+COUNTBLANK(K17:K29)=14,1,IF(COUNT(K15,K19,K20,K21,K22,K29)=6,1,"K "))</f>
        <v>1</v>
      </c>
      <c r="M30" s="282"/>
    </row>
    <row r="31" spans="1:13" ht="15" customHeight="1" x14ac:dyDescent="0.25">
      <c r="A31" s="38"/>
      <c r="B31" s="20" t="s">
        <v>716</v>
      </c>
      <c r="C31" s="40"/>
      <c r="D31" s="14"/>
      <c r="E31" s="14"/>
      <c r="F31" s="14"/>
      <c r="G31" s="14"/>
      <c r="H31" s="14"/>
      <c r="I31" s="14"/>
      <c r="J31" s="26"/>
      <c r="K31" s="143"/>
      <c r="M31" s="283"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25">
      <c r="A32" s="38"/>
      <c r="B32" s="39"/>
      <c r="C32" s="40"/>
      <c r="D32" s="14"/>
      <c r="E32" s="14"/>
      <c r="F32" s="14"/>
      <c r="G32" s="14"/>
      <c r="H32" s="14"/>
      <c r="I32" s="14"/>
      <c r="J32" s="26"/>
      <c r="K32" s="143"/>
      <c r="M32" s="282"/>
    </row>
    <row r="33" spans="1:13" ht="18" customHeight="1" x14ac:dyDescent="0.25">
      <c r="A33" s="35">
        <v>-16</v>
      </c>
      <c r="B33" s="36" t="s">
        <v>162</v>
      </c>
      <c r="C33" s="258" t="s">
        <v>608</v>
      </c>
      <c r="D33" s="32"/>
      <c r="E33" s="21"/>
      <c r="F33" s="21"/>
      <c r="G33" s="21"/>
      <c r="H33" s="21"/>
      <c r="I33" s="21"/>
      <c r="J33" s="81">
        <f>IF(New_Program=FALSE,ExpRatio_Excluded,"")</f>
        <v>1.3597266477453115E-2</v>
      </c>
      <c r="K33" s="81" t="str">
        <f>IF(New_Program=TRUE,ExpRatio_Excluded,"")</f>
        <v/>
      </c>
      <c r="M33" s="282"/>
    </row>
    <row r="34" spans="1:13" ht="30" customHeight="1" x14ac:dyDescent="0.25">
      <c r="A34" s="35">
        <v>-17</v>
      </c>
      <c r="B34" s="36" t="s">
        <v>311</v>
      </c>
      <c r="C34" s="258" t="s">
        <v>609</v>
      </c>
      <c r="D34" s="32"/>
      <c r="E34" s="21"/>
      <c r="F34" s="21"/>
      <c r="G34" s="21"/>
      <c r="H34" s="21"/>
      <c r="I34" s="21"/>
      <c r="J34" s="81">
        <f>IF(New_Program=FALSE,FIT_Inv,"")</f>
        <v>0.18752087399665437</v>
      </c>
      <c r="K34" s="81" t="str">
        <f>IF(New_Program=TRUE,FIT_Inv,"")</f>
        <v/>
      </c>
      <c r="M34" s="282"/>
    </row>
    <row r="35" spans="1:13" ht="18" customHeight="1" x14ac:dyDescent="0.25">
      <c r="A35" s="35">
        <v>-18</v>
      </c>
      <c r="B35" s="31" t="s">
        <v>312</v>
      </c>
      <c r="C35" s="258" t="s">
        <v>609</v>
      </c>
      <c r="D35" s="32"/>
      <c r="E35" s="21"/>
      <c r="F35" s="21"/>
      <c r="G35" s="21"/>
      <c r="H35" s="21"/>
      <c r="I35" s="21"/>
      <c r="J35" s="81">
        <f>IF(New_Program=FALSE,Yield,"")</f>
        <v>8.8050065696007235E-2</v>
      </c>
      <c r="K35" s="81" t="str">
        <f>IF(New_Program=TRUE,Yield,"")</f>
        <v/>
      </c>
      <c r="M35" s="282"/>
    </row>
    <row r="36" spans="1:13" ht="5.0999999999999996" hidden="1" customHeight="1" x14ac:dyDescent="0.25">
      <c r="A36" s="38"/>
      <c r="B36" s="39"/>
      <c r="C36" s="40"/>
      <c r="D36" s="14"/>
      <c r="E36" s="14"/>
      <c r="F36" s="14"/>
      <c r="G36" s="14"/>
      <c r="H36" s="14"/>
      <c r="I36" s="14"/>
      <c r="J36" s="26"/>
      <c r="K36" s="143"/>
      <c r="M36" s="282"/>
    </row>
    <row r="37" spans="1:13" ht="15" hidden="1" customHeight="1" x14ac:dyDescent="0.25">
      <c r="A37" s="38"/>
      <c r="B37" s="20" t="s">
        <v>337</v>
      </c>
      <c r="C37" s="40"/>
      <c r="D37" s="45"/>
      <c r="E37" s="45"/>
      <c r="F37" s="45"/>
      <c r="G37" s="45"/>
      <c r="H37" s="45"/>
      <c r="I37" s="45"/>
      <c r="J37" s="45"/>
      <c r="K37" s="45"/>
      <c r="M37" s="282"/>
    </row>
    <row r="38" spans="1:13" ht="5.0999999999999996" hidden="1" customHeight="1" x14ac:dyDescent="0.25">
      <c r="A38" s="38"/>
      <c r="B38" s="39"/>
      <c r="C38" s="40"/>
      <c r="D38" s="45"/>
      <c r="E38" s="45"/>
      <c r="F38" s="45"/>
      <c r="G38" s="45"/>
      <c r="H38" s="45"/>
      <c r="I38" s="45"/>
      <c r="K38" s="46"/>
      <c r="M38" s="282"/>
    </row>
    <row r="39" spans="1:13" ht="18" hidden="1" customHeight="1" x14ac:dyDescent="0.25">
      <c r="A39" s="35">
        <v>-19</v>
      </c>
      <c r="B39" s="36" t="s">
        <v>112</v>
      </c>
      <c r="C39" s="37" t="s">
        <v>111</v>
      </c>
      <c r="D39" s="21"/>
      <c r="E39" s="21"/>
      <c r="F39" s="21"/>
      <c r="G39" s="21"/>
      <c r="H39" s="21"/>
      <c r="I39" s="21"/>
      <c r="J39" s="200"/>
      <c r="K39" s="21"/>
      <c r="M39" s="283" t="str">
        <f>IF(AND(ISBLANK($J$39)=FALSE,'1.General'!$I$47=2),"← ERROR! No efficiency standard variance will be applied unless 'Y' is selected in pull-down menu on Page '1.General'.","")</f>
        <v/>
      </c>
    </row>
    <row r="40" spans="1:13" ht="30" hidden="1" customHeight="1" x14ac:dyDescent="0.25">
      <c r="A40" s="35">
        <v>-20</v>
      </c>
      <c r="B40" s="36" t="s">
        <v>156</v>
      </c>
      <c r="C40" s="37" t="s">
        <v>111</v>
      </c>
      <c r="D40" s="21"/>
      <c r="E40" s="21"/>
      <c r="F40" s="21"/>
      <c r="G40" s="21"/>
      <c r="H40" s="21"/>
      <c r="I40" s="21"/>
      <c r="J40" s="200"/>
      <c r="K40" s="21"/>
      <c r="M40" s="284" t="str">
        <f>IF('1.General'!$I$47=2,"",IF(AND(ExpRatio_Actual01&lt;=EffStd_Wtd01,EffStd_VarReq01&gt;0),"← ERROR: Based on insurer's stated most recent year expense ratio, no relief from efficiency standard variances is allowed.  Insurer's stated most recent year expense ratio is already less than or equal to the efficiency standard.",IF(AND(ROUND(EffStd_Wtd01+EffStd_VarReq01,3)&gt;ExpRatio_Actual01,EffStd_VarReq01&gt;0),"← ERROR! Assuming the calculation of the insurer's most recent year expense ratio is justified, relief from the efficiency standard will be limited to the difference between that ratio and the efficiency standard, or, "&amp;ROUND(ExpRatio_Actual01-EffStd_Wtd01,3)*100&amp;"%, subject to CDI approval.","")))</f>
        <v/>
      </c>
    </row>
    <row r="41" spans="1:13" ht="4.5" customHeight="1" x14ac:dyDescent="0.25">
      <c r="A41" s="38"/>
      <c r="B41" s="39"/>
      <c r="C41" s="40"/>
      <c r="D41" s="45"/>
      <c r="E41" s="45"/>
      <c r="F41" s="45"/>
      <c r="G41" s="45"/>
      <c r="H41" s="45"/>
      <c r="I41" s="45"/>
      <c r="J41" s="45"/>
      <c r="K41" s="45"/>
      <c r="M41" s="284"/>
    </row>
    <row r="42" spans="1:13" ht="15" hidden="1" customHeight="1" x14ac:dyDescent="0.25">
      <c r="A42" s="19"/>
      <c r="B42" s="20" t="s">
        <v>711</v>
      </c>
      <c r="C42" s="16"/>
      <c r="D42" s="14"/>
      <c r="E42" s="14"/>
      <c r="F42" s="14"/>
      <c r="G42" s="14"/>
      <c r="H42" s="14"/>
      <c r="I42" s="14"/>
      <c r="J42" s="14"/>
      <c r="K42" s="14"/>
      <c r="M42" s="282"/>
    </row>
    <row r="43" spans="1:13" ht="4.5" hidden="1" customHeight="1" x14ac:dyDescent="0.25">
      <c r="A43" s="19"/>
      <c r="B43" s="20"/>
      <c r="C43" s="16"/>
      <c r="D43" s="14"/>
      <c r="E43" s="14"/>
      <c r="F43" s="14"/>
      <c r="G43" s="14"/>
      <c r="H43" s="14"/>
      <c r="I43" s="14"/>
      <c r="J43" s="14"/>
      <c r="K43" s="14"/>
      <c r="M43" s="282"/>
    </row>
    <row r="44" spans="1:13" ht="18" hidden="1" customHeight="1" x14ac:dyDescent="0.25">
      <c r="A44" s="278">
        <v>-19</v>
      </c>
      <c r="B44" s="36" t="s">
        <v>321</v>
      </c>
      <c r="C44" s="31"/>
      <c r="D44" s="21"/>
      <c r="E44" s="21"/>
      <c r="F44" s="21"/>
      <c r="G44" s="21"/>
      <c r="H44" s="21"/>
      <c r="I44" s="21"/>
      <c r="J44" s="201"/>
      <c r="K44" s="21"/>
      <c r="M44" s="283" t="str">
        <f>IF(AND(ISBLANK($J$44),OR(General_Line="Medical Malpractice",General_Line="Earthquake")),"← ERROR! Enter direct commission rate.","")</f>
        <v/>
      </c>
    </row>
    <row r="45" spans="1:13" ht="18" hidden="1" customHeight="1" x14ac:dyDescent="0.25">
      <c r="A45" s="278">
        <v>-20</v>
      </c>
      <c r="B45" s="36" t="s">
        <v>63</v>
      </c>
      <c r="C45" s="37" t="s">
        <v>73</v>
      </c>
      <c r="D45" s="127"/>
      <c r="E45" s="127"/>
      <c r="F45" s="127"/>
      <c r="G45" s="127"/>
      <c r="H45" s="127"/>
      <c r="I45" s="127"/>
      <c r="J45" s="23"/>
      <c r="K45" s="127"/>
      <c r="M45" s="283"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25">
      <c r="A46" s="278">
        <v>-21</v>
      </c>
      <c r="B46" s="36" t="s">
        <v>322</v>
      </c>
      <c r="C46" s="37" t="s">
        <v>73</v>
      </c>
      <c r="D46" s="127"/>
      <c r="E46" s="127"/>
      <c r="F46" s="127"/>
      <c r="G46" s="127"/>
      <c r="H46" s="127"/>
      <c r="I46" s="127"/>
      <c r="J46" s="23"/>
      <c r="K46" s="127"/>
      <c r="M46" s="283"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25">
      <c r="A47" s="14" t="s">
        <v>707</v>
      </c>
      <c r="M47" s="283"/>
    </row>
    <row r="48" spans="1:13" ht="17.25" customHeight="1" thickBot="1" x14ac:dyDescent="0.3">
      <c r="A48" s="14" t="s">
        <v>323</v>
      </c>
      <c r="M48" s="283"/>
    </row>
    <row r="49" spans="1:15" ht="17.25" hidden="1" customHeight="1" x14ac:dyDescent="0.25">
      <c r="A49" s="14" t="s">
        <v>338</v>
      </c>
      <c r="J49" s="187"/>
      <c r="M49" s="202"/>
    </row>
    <row r="50" spans="1:15" ht="17.25" hidden="1" customHeight="1" thickBot="1" x14ac:dyDescent="0.3">
      <c r="A50" s="14" t="s">
        <v>157</v>
      </c>
      <c r="J50" s="91"/>
      <c r="M50" s="88"/>
    </row>
    <row r="51" spans="1:15" ht="20.100000000000001" customHeight="1" x14ac:dyDescent="0.25">
      <c r="A51" s="14"/>
      <c r="H51" s="785" t="s">
        <v>666</v>
      </c>
      <c r="I51" s="785"/>
      <c r="J51" s="785"/>
      <c r="K51" s="785"/>
      <c r="M51" s="142"/>
    </row>
    <row r="52" spans="1:15" ht="17.25" customHeight="1" x14ac:dyDescent="0.25">
      <c r="A52" s="14"/>
      <c r="J52" s="92"/>
      <c r="M52" s="90"/>
    </row>
    <row r="53" spans="1:15" x14ac:dyDescent="0.25">
      <c r="A53" s="14"/>
      <c r="B53" s="14"/>
      <c r="C53" s="14"/>
      <c r="D53" s="14"/>
      <c r="E53" s="14"/>
      <c r="F53" s="14"/>
      <c r="G53" s="14"/>
      <c r="H53" s="14"/>
      <c r="I53" s="14"/>
      <c r="J53" s="14"/>
      <c r="K53" s="14"/>
      <c r="L53" s="14"/>
      <c r="M53" s="14"/>
      <c r="N53" s="14"/>
      <c r="O53" s="14"/>
    </row>
    <row r="54" spans="1:15" x14ac:dyDescent="0.25">
      <c r="A54" s="14"/>
      <c r="B54" s="14"/>
      <c r="C54" s="14"/>
      <c r="D54" s="14"/>
      <c r="E54" s="14"/>
      <c r="F54" s="14"/>
      <c r="G54" s="14"/>
      <c r="H54" s="14"/>
      <c r="I54" s="14"/>
      <c r="J54" s="14"/>
      <c r="K54" s="14"/>
      <c r="L54" s="14"/>
      <c r="M54" s="14"/>
      <c r="N54" s="14"/>
      <c r="O54" s="14"/>
    </row>
    <row r="55" spans="1:15" x14ac:dyDescent="0.25">
      <c r="A55" s="14"/>
      <c r="B55" s="14"/>
      <c r="C55" s="14"/>
      <c r="D55" s="14"/>
      <c r="E55" s="14"/>
      <c r="F55" s="14"/>
      <c r="G55" s="14"/>
      <c r="H55" s="14"/>
      <c r="I55" s="14"/>
      <c r="J55" s="14"/>
      <c r="K55" s="14"/>
      <c r="L55" s="14"/>
      <c r="M55" s="14"/>
      <c r="N55" s="14"/>
      <c r="O55" s="14"/>
    </row>
    <row r="56" spans="1:15" x14ac:dyDescent="0.25">
      <c r="A56" s="14"/>
      <c r="B56" s="14"/>
      <c r="C56" s="14"/>
      <c r="D56" s="14"/>
      <c r="E56" s="14"/>
      <c r="F56" s="14"/>
      <c r="G56" s="14"/>
      <c r="H56" s="14"/>
      <c r="I56" s="14"/>
      <c r="J56" s="14"/>
      <c r="K56" s="14"/>
      <c r="L56" s="14"/>
      <c r="M56" s="14"/>
      <c r="N56" s="14"/>
      <c r="O56" s="14"/>
    </row>
    <row r="57" spans="1:15" x14ac:dyDescent="0.25">
      <c r="A57" s="14"/>
      <c r="B57" s="14"/>
      <c r="C57" s="14"/>
      <c r="D57" s="14"/>
      <c r="E57" s="14"/>
      <c r="F57" s="14"/>
      <c r="G57" s="14"/>
      <c r="H57" s="14"/>
      <c r="I57" s="14"/>
      <c r="J57" s="14"/>
      <c r="K57" s="14"/>
      <c r="L57" s="14"/>
      <c r="M57" s="14"/>
      <c r="N57" s="14"/>
      <c r="O57" s="14"/>
    </row>
    <row r="58" spans="1:15" x14ac:dyDescent="0.25">
      <c r="A58" s="14"/>
      <c r="B58" s="14"/>
      <c r="C58" s="14"/>
      <c r="D58" s="14"/>
      <c r="E58" s="14"/>
      <c r="F58" s="14"/>
      <c r="G58" s="14"/>
      <c r="H58" s="14"/>
      <c r="I58" s="14"/>
      <c r="J58" s="14"/>
      <c r="K58" s="14"/>
      <c r="L58" s="14"/>
      <c r="M58" s="14"/>
      <c r="N58" s="14"/>
      <c r="O58" s="14"/>
    </row>
    <row r="59" spans="1:15" x14ac:dyDescent="0.25">
      <c r="A59" s="14"/>
      <c r="B59" s="14"/>
      <c r="C59" s="14"/>
      <c r="D59" s="14"/>
      <c r="E59" s="14"/>
      <c r="F59" s="14"/>
      <c r="G59" s="14"/>
      <c r="H59" s="14"/>
      <c r="I59" s="14"/>
      <c r="J59" s="14"/>
      <c r="K59" s="14"/>
      <c r="L59" s="14"/>
      <c r="M59" s="14"/>
      <c r="N59" s="14"/>
      <c r="O59" s="14"/>
    </row>
    <row r="60" spans="1:15" x14ac:dyDescent="0.25">
      <c r="A60" s="14"/>
      <c r="B60" s="14"/>
      <c r="C60" s="14"/>
      <c r="D60" s="14"/>
      <c r="E60" s="14"/>
      <c r="F60" s="14"/>
      <c r="G60" s="14"/>
      <c r="H60" s="14"/>
      <c r="I60" s="14"/>
      <c r="J60" s="14"/>
      <c r="K60" s="14"/>
      <c r="L60" s="14"/>
      <c r="M60" s="14"/>
      <c r="N60" s="14"/>
      <c r="O60" s="14"/>
    </row>
    <row r="61" spans="1:15" x14ac:dyDescent="0.25">
      <c r="A61" s="14"/>
      <c r="B61" s="14"/>
      <c r="C61" s="14"/>
      <c r="D61" s="14"/>
      <c r="E61" s="14"/>
      <c r="F61" s="14"/>
      <c r="G61" s="14"/>
      <c r="H61" s="14"/>
      <c r="I61" s="14"/>
      <c r="J61" s="14"/>
      <c r="K61" s="14"/>
      <c r="L61" s="14"/>
      <c r="M61" s="14"/>
      <c r="N61" s="14"/>
      <c r="O61" s="14"/>
    </row>
    <row r="62" spans="1:15" x14ac:dyDescent="0.25">
      <c r="A62" s="14"/>
      <c r="B62" s="14"/>
      <c r="C62" s="14"/>
      <c r="D62" s="14"/>
      <c r="E62" s="14"/>
      <c r="F62" s="14"/>
      <c r="G62" s="14"/>
      <c r="H62" s="14"/>
      <c r="I62" s="14"/>
      <c r="J62" s="14"/>
      <c r="K62" s="14"/>
      <c r="L62" s="14"/>
      <c r="M62" s="14"/>
      <c r="N62" s="14"/>
      <c r="O62" s="14"/>
    </row>
    <row r="63" spans="1:15" x14ac:dyDescent="0.25">
      <c r="A63" s="14"/>
      <c r="B63" s="14"/>
      <c r="C63" s="14"/>
      <c r="D63" s="14"/>
      <c r="E63" s="14"/>
      <c r="F63" s="14"/>
      <c r="G63" s="14"/>
      <c r="H63" s="14"/>
      <c r="I63" s="14"/>
      <c r="J63" s="14"/>
      <c r="K63" s="14"/>
      <c r="L63" s="14"/>
      <c r="M63" s="14"/>
      <c r="N63" s="14"/>
      <c r="O63" s="14"/>
    </row>
    <row r="64" spans="1:15" x14ac:dyDescent="0.25">
      <c r="A64" s="14"/>
      <c r="B64" s="14"/>
      <c r="C64" s="14"/>
      <c r="D64" s="14"/>
      <c r="E64" s="14"/>
      <c r="F64" s="14"/>
      <c r="G64" s="14"/>
      <c r="H64" s="14"/>
      <c r="I64" s="14"/>
      <c r="J64" s="14"/>
      <c r="K64" s="14"/>
      <c r="L64" s="14"/>
      <c r="M64" s="14"/>
      <c r="N64" s="14"/>
      <c r="O64" s="14"/>
    </row>
  </sheetData>
  <sheetProtection algorithmName="SHA-512" hashValue="ResavKt1f32BudKG3EykoelJwjWrtt7gnn02ykMJX7AqCYqyFDIo0C64X3Fnc9BZi0oVvZgszEhl7aAE0htn3w==" saltValue="l+Mame0HM1KiMb78t4MI2A==" spinCount="100000" sheet="1" objects="1" scenarios="1" formatColumns="0" formatRows="0" sort="0"/>
  <mergeCells count="1">
    <mergeCell ref="H51:K51"/>
  </mergeCells>
  <hyperlinks>
    <hyperlink ref="H51" location="CHANGE_AT_MAX" display="BOOM!" xr:uid="{00000000-0004-0000-0A00-000000000000}"/>
    <hyperlink ref="H51:K51" location="'7.1Rate Change Calculation'!CHANGE_AT_MAX" display="Go to 7.1Rate Change Calculation" xr:uid="{00000000-0004-0000-0A00-000001000000}"/>
  </hyperlinks>
  <printOptions horizontalCentered="1"/>
  <pageMargins left="0.45" right="0.45" top="0.5" bottom="0.75" header="0.3" footer="0.3"/>
  <pageSetup scale="80" orientation="portrait" r:id="rId1"/>
  <headerFooter>
    <oddFooter>&amp;CPrior Approval Rate Template&amp;RPage 6.1&amp;L01/11/2022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223" r:id="rId4" name="btnYears">
              <controlPr defaultSize="0" print="0" autoFill="0" autoPict="0" macro="[0]!ExpandContractColsData">
                <anchor moveWithCells="1">
                  <from>
                    <xdr:col>9</xdr:col>
                    <xdr:colOff>180975</xdr:colOff>
                    <xdr:row>9</xdr:row>
                    <xdr:rowOff>142875</xdr:rowOff>
                  </from>
                  <to>
                    <xdr:col>10</xdr:col>
                    <xdr:colOff>1009650</xdr:colOff>
                    <xdr:row>11</xdr:row>
                    <xdr:rowOff>66675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rgb="FF0000FF"/>
    <pageSetUpPr fitToPage="1"/>
  </sheetPr>
  <dimension ref="A1:O64"/>
  <sheetViews>
    <sheetView showGridLines="0" view="pageBreakPreview" topLeftCell="A13" zoomScaleNormal="100" zoomScaleSheetLayoutView="100" workbookViewId="0">
      <selection activeCell="J25" sqref="J25:J26"/>
    </sheetView>
  </sheetViews>
  <sheetFormatPr defaultRowHeight="15" x14ac:dyDescent="0.25"/>
  <cols>
    <col min="1" max="1" width="5" customWidth="1"/>
    <col min="2" max="2" width="29.7109375" customWidth="1"/>
    <col min="3" max="3" width="7" bestFit="1" customWidth="1"/>
    <col min="4" max="6" width="15.7109375" hidden="1" customWidth="1"/>
    <col min="7" max="11" width="15.7109375" customWidth="1"/>
    <col min="12" max="12" width="0.85546875" customWidth="1"/>
    <col min="13" max="13" width="127.85546875" bestFit="1" customWidth="1"/>
  </cols>
  <sheetData>
    <row r="1" spans="1:14" ht="15.75" thickBot="1" x14ac:dyDescent="0.3">
      <c r="A1" s="10" t="s">
        <v>31</v>
      </c>
      <c r="B1" s="13"/>
      <c r="H1" s="13" t="s">
        <v>33</v>
      </c>
      <c r="K1" s="12" t="str">
        <f>Co_Name</f>
        <v>State Farm Mutual Automobile Insurance Company</v>
      </c>
      <c r="M1" s="279" t="s">
        <v>310</v>
      </c>
    </row>
    <row r="2" spans="1:14" x14ac:dyDescent="0.25">
      <c r="A2" s="10" t="s">
        <v>32</v>
      </c>
      <c r="B2" s="13"/>
      <c r="H2" s="13" t="s">
        <v>34</v>
      </c>
      <c r="K2" s="12" t="str">
        <f>General_Line</f>
        <v>Auto Liability and Physical Damage</v>
      </c>
      <c r="M2" s="280" t="s">
        <v>113</v>
      </c>
    </row>
    <row r="3" spans="1:14" x14ac:dyDescent="0.25">
      <c r="A3" s="10"/>
      <c r="B3" s="185"/>
      <c r="H3" s="83" t="s">
        <v>142</v>
      </c>
      <c r="I3" s="84"/>
      <c r="J3" s="84"/>
      <c r="K3" s="82" t="str">
        <f>CDI_FileNo</f>
        <v/>
      </c>
      <c r="M3" s="281"/>
    </row>
    <row r="4" spans="1:14" ht="18" customHeight="1" x14ac:dyDescent="0.25">
      <c r="M4" s="282"/>
    </row>
    <row r="5" spans="1:14" ht="23.25" x14ac:dyDescent="0.25">
      <c r="A5" s="4" t="s">
        <v>606</v>
      </c>
      <c r="B5" s="3"/>
      <c r="C5" s="3"/>
      <c r="D5" s="3"/>
      <c r="E5" s="3"/>
      <c r="F5" s="3"/>
      <c r="G5" s="3"/>
      <c r="H5" s="3"/>
      <c r="I5" s="3"/>
      <c r="J5" s="3"/>
      <c r="K5" s="3"/>
      <c r="L5" s="3"/>
      <c r="M5" s="282"/>
    </row>
    <row r="6" spans="1:14" ht="15.75" thickBot="1" x14ac:dyDescent="0.3">
      <c r="M6" s="282"/>
    </row>
    <row r="7" spans="1:14" ht="18" customHeight="1" thickBot="1" x14ac:dyDescent="0.3">
      <c r="B7" s="130" t="s">
        <v>1</v>
      </c>
      <c r="G7" s="14" t="str">
        <f>Completed_By</f>
        <v>Laura Campbell</v>
      </c>
      <c r="J7" s="130" t="s">
        <v>706</v>
      </c>
      <c r="K7" s="543"/>
      <c r="M7" s="282"/>
    </row>
    <row r="8" spans="1:14" ht="18" customHeight="1" x14ac:dyDescent="0.25">
      <c r="B8" s="130" t="s">
        <v>76</v>
      </c>
      <c r="G8" s="62">
        <f>Completed_Date</f>
        <v>44816</v>
      </c>
      <c r="M8" s="282"/>
    </row>
    <row r="9" spans="1:14" ht="5.0999999999999996" customHeight="1" x14ac:dyDescent="0.25">
      <c r="B9" s="130"/>
      <c r="M9" s="282"/>
    </row>
    <row r="10" spans="1:14" ht="18" customHeight="1" x14ac:dyDescent="0.25">
      <c r="B10" s="130" t="s">
        <v>77</v>
      </c>
      <c r="G10" s="298" t="str">
        <f>Detailed_LineDesc02</f>
        <v>Private Passenger Auto Liability</v>
      </c>
      <c r="H10" s="298"/>
      <c r="I10" s="298"/>
      <c r="M10" s="283"/>
    </row>
    <row r="11" spans="1:14" ht="18" customHeight="1" x14ac:dyDescent="0.25">
      <c r="B11" s="130" t="s">
        <v>78</v>
      </c>
      <c r="G11" s="298" t="str">
        <f>Covg02</f>
        <v>MPC</v>
      </c>
      <c r="H11" s="298"/>
      <c r="I11" s="298"/>
      <c r="M11" s="282"/>
    </row>
    <row r="12" spans="1:14" ht="9.9499999999999993" customHeight="1" x14ac:dyDescent="0.25">
      <c r="B12" s="2"/>
      <c r="G12" s="27"/>
      <c r="I12" s="28"/>
      <c r="J12" s="29"/>
      <c r="M12" s="282"/>
    </row>
    <row r="13" spans="1:14" ht="30" x14ac:dyDescent="0.25">
      <c r="A13" s="33" t="s">
        <v>59</v>
      </c>
      <c r="B13" s="34" t="s">
        <v>64</v>
      </c>
      <c r="C13" s="33" t="s">
        <v>58</v>
      </c>
      <c r="D13" s="195" t="s">
        <v>226</v>
      </c>
      <c r="E13" s="195" t="s">
        <v>227</v>
      </c>
      <c r="F13" s="195" t="s">
        <v>228</v>
      </c>
      <c r="G13" s="195" t="s">
        <v>229</v>
      </c>
      <c r="H13" s="195" t="s">
        <v>230</v>
      </c>
      <c r="I13" s="195" t="s">
        <v>231</v>
      </c>
      <c r="J13" s="33" t="s">
        <v>109</v>
      </c>
      <c r="K13" s="33" t="s">
        <v>110</v>
      </c>
      <c r="M13" s="282"/>
    </row>
    <row r="14" spans="1:14" ht="18" customHeight="1" thickBot="1" x14ac:dyDescent="0.3">
      <c r="A14" s="49" t="s">
        <v>115</v>
      </c>
      <c r="B14" s="48" t="s">
        <v>114</v>
      </c>
      <c r="C14" s="44"/>
      <c r="D14" s="469" t="str">
        <f>LEFT(MstRcntDataYr,4)-5&amp;RIGHT(MstRcntDataYr,1)</f>
        <v>20171</v>
      </c>
      <c r="E14" s="469" t="str">
        <f>LEFT(MstRcntDataYr,4)-4&amp;RIGHT(MstRcntDataYr,1)</f>
        <v>20181</v>
      </c>
      <c r="F14" s="469" t="str">
        <f>LEFT(MstRcntDataYr,4)-3&amp;RIGHT(MstRcntDataYr,1)</f>
        <v>20191</v>
      </c>
      <c r="G14" s="469" t="str">
        <f>LEFT(MstRcntDataYr,4)-2&amp;RIGHT(MstRcntDataYr,1)</f>
        <v>20201</v>
      </c>
      <c r="H14" s="469" t="str">
        <f>LEFT(MstRcntDataYr,4)-1&amp;RIGHT(MstRcntDataYr,1)</f>
        <v>20211</v>
      </c>
      <c r="I14" s="469">
        <f>MstRcntDataYr</f>
        <v>20221</v>
      </c>
      <c r="J14" s="30"/>
      <c r="K14" s="22"/>
      <c r="M14" s="282"/>
    </row>
    <row r="15" spans="1:14" ht="30" customHeight="1" x14ac:dyDescent="0.25">
      <c r="A15" s="41">
        <v>-1</v>
      </c>
      <c r="B15" s="42" t="s">
        <v>54</v>
      </c>
      <c r="C15" s="43"/>
      <c r="D15" s="196"/>
      <c r="E15" s="197"/>
      <c r="F15" s="197"/>
      <c r="G15" s="127"/>
      <c r="H15" s="127"/>
      <c r="I15" s="127">
        <v>70072158.75999999</v>
      </c>
      <c r="J15" s="24"/>
      <c r="K15" s="127"/>
      <c r="M15" s="283" t="str">
        <f>IF(AND(New_Program=TRUE,ISBLANK($K$15)),"← ERROR! Enter projected figure for new program, or deselect 'New Program' on Page '1.General'.","")</f>
        <v/>
      </c>
      <c r="N15" s="14"/>
    </row>
    <row r="16" spans="1:14" ht="30" customHeight="1" x14ac:dyDescent="0.25">
      <c r="A16" s="35">
        <v>-2</v>
      </c>
      <c r="B16" s="36" t="s">
        <v>55</v>
      </c>
      <c r="C16" s="470"/>
      <c r="D16" s="128"/>
      <c r="E16" s="127"/>
      <c r="F16" s="127"/>
      <c r="G16" s="127"/>
      <c r="H16" s="127"/>
      <c r="I16" s="127">
        <v>69751182.780000001</v>
      </c>
      <c r="J16" s="25"/>
      <c r="K16" s="85" t="str">
        <f>IF(ISBLANK($K$15),"",$K$15)</f>
        <v/>
      </c>
      <c r="M16" s="283" t="str">
        <f>IF(AND(New_Program=TRUE,$K$16&lt;&gt;$K$15),"← ERROR! For New Programs, Earned Premium must equal Written Premium. Refer to Section III.C. of Prior Approval Rate Filing Instructions.","")</f>
        <v/>
      </c>
      <c r="N16" s="14"/>
    </row>
    <row r="17" spans="1:14" ht="18" customHeight="1" x14ac:dyDescent="0.25">
      <c r="A17" s="35">
        <v>-3</v>
      </c>
      <c r="B17" s="36" t="s">
        <v>36</v>
      </c>
      <c r="C17" s="470" t="s">
        <v>65</v>
      </c>
      <c r="D17" s="198"/>
      <c r="E17" s="199"/>
      <c r="F17" s="199"/>
      <c r="G17" s="199"/>
      <c r="H17" s="199"/>
      <c r="I17" s="199">
        <v>1</v>
      </c>
      <c r="J17" s="21"/>
      <c r="K17" s="21"/>
      <c r="M17" s="282"/>
      <c r="N17" s="14"/>
    </row>
    <row r="18" spans="1:14" ht="18" customHeight="1" x14ac:dyDescent="0.25">
      <c r="A18" s="35">
        <v>-4</v>
      </c>
      <c r="B18" s="36" t="s">
        <v>130</v>
      </c>
      <c r="C18" s="470" t="s">
        <v>66</v>
      </c>
      <c r="D18" s="198"/>
      <c r="E18" s="199"/>
      <c r="F18" s="199"/>
      <c r="G18" s="199"/>
      <c r="H18" s="199"/>
      <c r="I18" s="199">
        <v>0.94426702865741596</v>
      </c>
      <c r="J18" s="200">
        <v>-2.5165179403483E-2</v>
      </c>
      <c r="K18" s="21"/>
      <c r="M18" s="283" t="str">
        <f>IF(AND(New_Program=FALSE,ISBLANK($J$18)),"← ERROR! Enter Annual Premium Trend as a percentage in the 'Projected' column.","")</f>
        <v/>
      </c>
      <c r="N18" s="14"/>
    </row>
    <row r="19" spans="1:14" ht="30" customHeight="1" x14ac:dyDescent="0.25">
      <c r="A19" s="35">
        <v>-5</v>
      </c>
      <c r="B19" s="36" t="s">
        <v>743</v>
      </c>
      <c r="C19" s="470" t="s">
        <v>67</v>
      </c>
      <c r="D19" s="128"/>
      <c r="E19" s="127"/>
      <c r="F19" s="127"/>
      <c r="G19" s="127"/>
      <c r="H19" s="127"/>
      <c r="I19" s="127">
        <v>0</v>
      </c>
      <c r="J19" s="21"/>
      <c r="K19" s="127"/>
      <c r="M19" s="283" t="str">
        <f>IF(AND(New_Program=TRUE,ISBLANK($K$19)),"← ERROR! Enter projected figure for new program, or deselect 'New Program' on Page '1.General'.","")</f>
        <v/>
      </c>
      <c r="N19" s="14"/>
    </row>
    <row r="20" spans="1:14" ht="18" customHeight="1" x14ac:dyDescent="0.25">
      <c r="A20" s="35">
        <v>-6</v>
      </c>
      <c r="B20" s="36" t="s">
        <v>56</v>
      </c>
      <c r="C20" s="470"/>
      <c r="D20" s="128"/>
      <c r="E20" s="127"/>
      <c r="F20" s="127"/>
      <c r="G20" s="127"/>
      <c r="H20" s="127"/>
      <c r="I20" s="127">
        <v>2055428</v>
      </c>
      <c r="J20" s="21"/>
      <c r="K20" s="127"/>
      <c r="M20" s="283" t="str">
        <f>IF(AND(New_Program=TRUE,ISBLANK($K$20)),"← ERROR! Enter projected figure for new program, or deselect 'New Program' on Page '1.General'.","")</f>
        <v/>
      </c>
      <c r="N20" s="14"/>
    </row>
    <row r="21" spans="1:14" ht="18" customHeight="1" x14ac:dyDescent="0.25">
      <c r="A21" s="35">
        <v>-7</v>
      </c>
      <c r="B21" s="36" t="s">
        <v>133</v>
      </c>
      <c r="C21" s="470"/>
      <c r="D21" s="128"/>
      <c r="E21" s="127"/>
      <c r="F21" s="127"/>
      <c r="G21" s="127"/>
      <c r="H21" s="127"/>
      <c r="I21" s="127">
        <v>40123760.140000008</v>
      </c>
      <c r="J21" s="21"/>
      <c r="K21" s="127"/>
      <c r="M21" s="283" t="str">
        <f>IF(AND(New_Program=TRUE,ISBLANK($K$21)),"← ERROR! Enter projected figure for new program, or deselect 'New Program' on Page '1.General'.","")</f>
        <v/>
      </c>
      <c r="N21" s="14"/>
    </row>
    <row r="22" spans="1:14" ht="30" customHeight="1" x14ac:dyDescent="0.25">
      <c r="A22" s="35">
        <v>-8</v>
      </c>
      <c r="B22" s="36" t="s">
        <v>57</v>
      </c>
      <c r="C22" s="470"/>
      <c r="D22" s="128"/>
      <c r="E22" s="127"/>
      <c r="F22" s="127"/>
      <c r="G22" s="127"/>
      <c r="H22" s="127"/>
      <c r="I22" s="127">
        <v>41393.03</v>
      </c>
      <c r="J22" s="21"/>
      <c r="K22" s="127"/>
      <c r="M22" s="283" t="str">
        <f>IF(AND(New_Program=TRUE,ISBLANK($K$22)),"← ERROR! Enter projected figure for new program, or deselect 'New Program' on Page '1.General'.","")</f>
        <v/>
      </c>
      <c r="N22" s="14"/>
    </row>
    <row r="23" spans="1:14" ht="18" customHeight="1" x14ac:dyDescent="0.25">
      <c r="A23" s="35">
        <v>-9</v>
      </c>
      <c r="B23" s="36" t="s">
        <v>60</v>
      </c>
      <c r="C23" s="470" t="s">
        <v>68</v>
      </c>
      <c r="D23" s="198"/>
      <c r="E23" s="199"/>
      <c r="F23" s="199"/>
      <c r="G23" s="199"/>
      <c r="H23" s="199"/>
      <c r="I23" s="199">
        <v>1.3599309540670388</v>
      </c>
      <c r="J23" s="21"/>
      <c r="K23" s="21"/>
      <c r="M23" s="282"/>
      <c r="N23" s="14"/>
    </row>
    <row r="24" spans="1:14" ht="18" customHeight="1" x14ac:dyDescent="0.25">
      <c r="A24" s="35">
        <v>-10</v>
      </c>
      <c r="B24" s="36" t="s">
        <v>61</v>
      </c>
      <c r="C24" s="470" t="s">
        <v>68</v>
      </c>
      <c r="D24" s="198"/>
      <c r="E24" s="199"/>
      <c r="F24" s="199"/>
      <c r="G24" s="199"/>
      <c r="H24" s="199"/>
      <c r="I24" s="199">
        <v>3.746179698721134</v>
      </c>
      <c r="J24" s="21"/>
      <c r="K24" s="21"/>
      <c r="M24" s="282"/>
      <c r="N24" s="14"/>
    </row>
    <row r="25" spans="1:14" ht="18" customHeight="1" x14ac:dyDescent="0.25">
      <c r="A25" s="35">
        <v>-11</v>
      </c>
      <c r="B25" s="36" t="s">
        <v>132</v>
      </c>
      <c r="C25" s="470" t="s">
        <v>69</v>
      </c>
      <c r="D25" s="198"/>
      <c r="E25" s="199"/>
      <c r="F25" s="199"/>
      <c r="G25" s="199"/>
      <c r="H25" s="199"/>
      <c r="I25" s="199">
        <v>0.96196357263846621</v>
      </c>
      <c r="J25" s="200">
        <v>-1.708730309627382E-2</v>
      </c>
      <c r="K25" s="21"/>
      <c r="M25" s="283" t="str">
        <f>IF(AND(New_Program=FALSE,ISBLANK($J$25)),"← ERROR! Enter Annual Loss Trend as a percentage in the 'Projected' column","")</f>
        <v/>
      </c>
      <c r="N25" s="14"/>
    </row>
    <row r="26" spans="1:14" ht="18" customHeight="1" x14ac:dyDescent="0.25">
      <c r="A26" s="35">
        <v>-12</v>
      </c>
      <c r="B26" s="36" t="s">
        <v>131</v>
      </c>
      <c r="C26" s="470" t="s">
        <v>69</v>
      </c>
      <c r="D26" s="198"/>
      <c r="E26" s="199"/>
      <c r="F26" s="199"/>
      <c r="G26" s="199"/>
      <c r="H26" s="199"/>
      <c r="I26" s="199">
        <v>0.96196357263846621</v>
      </c>
      <c r="J26" s="200">
        <v>-1.708730309627382E-2</v>
      </c>
      <c r="K26" s="21"/>
      <c r="M26" s="283" t="str">
        <f>IF(AND(New_Program=FALSE,ISBLANK($J$26)),"← ERROR! Enter Annual DCCE Trend as a percentage in the 'Projected' column","")</f>
        <v/>
      </c>
      <c r="N26" s="14"/>
    </row>
    <row r="27" spans="1:14" ht="18" customHeight="1" x14ac:dyDescent="0.25">
      <c r="A27" s="35">
        <v>-13</v>
      </c>
      <c r="B27" s="36" t="s">
        <v>62</v>
      </c>
      <c r="C27" s="470" t="s">
        <v>70</v>
      </c>
      <c r="D27" s="198"/>
      <c r="E27" s="199"/>
      <c r="F27" s="199"/>
      <c r="G27" s="199"/>
      <c r="H27" s="199"/>
      <c r="I27" s="199">
        <v>1</v>
      </c>
      <c r="J27" s="21"/>
      <c r="K27" s="21"/>
      <c r="M27" s="282"/>
      <c r="N27" s="14"/>
    </row>
    <row r="28" spans="1:14" ht="18" customHeight="1" x14ac:dyDescent="0.25">
      <c r="A28" s="35">
        <v>-14</v>
      </c>
      <c r="B28" s="31" t="s">
        <v>728</v>
      </c>
      <c r="C28" s="470" t="s">
        <v>71</v>
      </c>
      <c r="D28" s="32"/>
      <c r="E28" s="21"/>
      <c r="F28" s="21"/>
      <c r="G28" s="21"/>
      <c r="H28" s="21"/>
      <c r="I28" s="21"/>
      <c r="J28" s="201">
        <v>1</v>
      </c>
      <c r="K28" s="21"/>
      <c r="M28" s="284"/>
      <c r="N28" s="14"/>
    </row>
    <row r="29" spans="1:14" ht="18" customHeight="1" x14ac:dyDescent="0.25">
      <c r="A29" s="35">
        <v>-15</v>
      </c>
      <c r="B29" s="36" t="s">
        <v>37</v>
      </c>
      <c r="C29" s="470" t="s">
        <v>72</v>
      </c>
      <c r="D29" s="128"/>
      <c r="E29" s="127"/>
      <c r="F29" s="127"/>
      <c r="G29" s="127"/>
      <c r="H29" s="127"/>
      <c r="I29" s="127">
        <v>0</v>
      </c>
      <c r="J29" s="21"/>
      <c r="K29" s="127"/>
      <c r="M29" s="283" t="str">
        <f>IF(AND(New_Program=TRUE,ISBLANK($K$29)),"← ERROR! Enter projected figure for new program, or deselect 'New Program' on Page '1.General'.","")</f>
        <v/>
      </c>
      <c r="N29" s="14"/>
    </row>
    <row r="30" spans="1:14" ht="5.0999999999999996" customHeight="1" x14ac:dyDescent="0.25">
      <c r="A30" s="38"/>
      <c r="B30" s="39"/>
      <c r="C30" s="40"/>
      <c r="D30" s="641">
        <f>IF(COUNTBLANK(D15:D27)+COUNTBLANK(D29)=14,1,IF(COUNT(D15:D27)+COUNT(D29)=14,1,"D "))</f>
        <v>1</v>
      </c>
      <c r="E30" s="641">
        <f>IF(COUNTBLANK(E15:E27)+COUNTBLANK(E29)=14,1,IF(COUNT(E15:E27)+COUNT(E29)=14,1,"E "))</f>
        <v>1</v>
      </c>
      <c r="F30" s="641">
        <f>IF(COUNTBLANK(F15:F27)+COUNTBLANK(F29)=14,1,IF(COUNT(F15:F27)+COUNT(F29)=14,1,"F "))</f>
        <v>1</v>
      </c>
      <c r="G30" s="641">
        <f>IF(COUNTBLANK(G15:G27)+COUNTBLANK(G29)=14,1,IF(COUNT(G15:G27)+COUNT(G29)=14,1,"G "))</f>
        <v>1</v>
      </c>
      <c r="H30" s="641">
        <f>IF(COUNTBLANK(H15:H27)+COUNTBLANK(H29)=14,1,IF(COUNT(H15:H27)+COUNT(H29)=14,1,"H "))</f>
        <v>1</v>
      </c>
      <c r="I30" s="641">
        <f>IF(COUNTBLANK(I15:I27)+COUNTBLANK(I29)=14,1,IF(COUNT(I15:I27)+COUNT(I29)=14,1,"I "))</f>
        <v>1</v>
      </c>
      <c r="J30" s="642">
        <f>IF(COUNTBLANK(J15:J29)=15,1,IF(COUNT(J18,J25,J26,J28)=4,1,"J "))</f>
        <v>1</v>
      </c>
      <c r="K30" s="643">
        <f>IF(COUNTBLANK(K15)+COUNTBLANK(K17:K29)=14,1,IF(COUNT(K15,K19,K20,K21,K22,K29)=6,1,"K "))</f>
        <v>1</v>
      </c>
      <c r="M30" s="282"/>
      <c r="N30" s="14"/>
    </row>
    <row r="31" spans="1:14" ht="15" customHeight="1" x14ac:dyDescent="0.25">
      <c r="A31" s="38"/>
      <c r="B31" s="20" t="s">
        <v>716</v>
      </c>
      <c r="C31" s="40"/>
      <c r="D31" s="14"/>
      <c r="E31" s="14"/>
      <c r="F31" s="14"/>
      <c r="G31" s="14"/>
      <c r="H31" s="14"/>
      <c r="I31" s="14"/>
      <c r="J31" s="26"/>
      <c r="K31" s="143"/>
      <c r="M31" s="283"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c r="N31" s="14"/>
    </row>
    <row r="32" spans="1:14" ht="4.5" customHeight="1" x14ac:dyDescent="0.25">
      <c r="A32" s="38"/>
      <c r="B32" s="39"/>
      <c r="C32" s="40"/>
      <c r="D32" s="14"/>
      <c r="E32" s="14"/>
      <c r="F32" s="14"/>
      <c r="G32" s="14"/>
      <c r="H32" s="14"/>
      <c r="I32" s="14"/>
      <c r="J32" s="26"/>
      <c r="K32" s="143"/>
      <c r="M32" s="282"/>
      <c r="N32" s="14"/>
    </row>
    <row r="33" spans="1:14" ht="18" customHeight="1" x14ac:dyDescent="0.25">
      <c r="A33" s="35">
        <v>-16</v>
      </c>
      <c r="B33" s="36" t="s">
        <v>162</v>
      </c>
      <c r="C33" s="470" t="s">
        <v>608</v>
      </c>
      <c r="D33" s="32"/>
      <c r="E33" s="21"/>
      <c r="F33" s="21"/>
      <c r="G33" s="21"/>
      <c r="H33" s="21"/>
      <c r="I33" s="21"/>
      <c r="J33" s="81">
        <f>IF(New_Program=FALSE,ExpRatio_Excluded,"")</f>
        <v>1.3597266477453115E-2</v>
      </c>
      <c r="K33" s="81" t="str">
        <f>IF(New_Program=TRUE,ExpRatio_Excluded,"")</f>
        <v/>
      </c>
      <c r="M33" s="282"/>
      <c r="N33" s="14"/>
    </row>
    <row r="34" spans="1:14" ht="30" customHeight="1" x14ac:dyDescent="0.25">
      <c r="A34" s="35">
        <v>-17</v>
      </c>
      <c r="B34" s="36" t="s">
        <v>311</v>
      </c>
      <c r="C34" s="470" t="s">
        <v>609</v>
      </c>
      <c r="D34" s="32"/>
      <c r="E34" s="21"/>
      <c r="F34" s="21"/>
      <c r="G34" s="21"/>
      <c r="H34" s="21"/>
      <c r="I34" s="21"/>
      <c r="J34" s="81">
        <f>IF(New_Program=FALSE,FIT_Inv,"")</f>
        <v>0.18752087399665437</v>
      </c>
      <c r="K34" s="81" t="str">
        <f>IF(New_Program=TRUE,FIT_Inv,"")</f>
        <v/>
      </c>
      <c r="M34" s="282"/>
      <c r="N34" s="14"/>
    </row>
    <row r="35" spans="1:14" ht="18" customHeight="1" x14ac:dyDescent="0.25">
      <c r="A35" s="35">
        <v>-18</v>
      </c>
      <c r="B35" s="31" t="s">
        <v>312</v>
      </c>
      <c r="C35" s="470" t="s">
        <v>609</v>
      </c>
      <c r="D35" s="32"/>
      <c r="E35" s="21"/>
      <c r="F35" s="21"/>
      <c r="G35" s="21"/>
      <c r="H35" s="21"/>
      <c r="I35" s="21"/>
      <c r="J35" s="81">
        <f>IF(New_Program=FALSE,Yield,"")</f>
        <v>8.8050065696007235E-2</v>
      </c>
      <c r="K35" s="81" t="str">
        <f>IF(New_Program=TRUE,Yield,"")</f>
        <v/>
      </c>
      <c r="M35" s="282"/>
      <c r="N35" s="14"/>
    </row>
    <row r="36" spans="1:14" ht="5.0999999999999996" hidden="1" customHeight="1" x14ac:dyDescent="0.25">
      <c r="A36" s="38"/>
      <c r="B36" s="39"/>
      <c r="C36" s="40"/>
      <c r="D36" s="14"/>
      <c r="E36" s="14"/>
      <c r="F36" s="14"/>
      <c r="G36" s="14"/>
      <c r="H36" s="14"/>
      <c r="I36" s="14"/>
      <c r="J36" s="26"/>
      <c r="K36" s="143"/>
      <c r="M36" s="282"/>
      <c r="N36" s="14"/>
    </row>
    <row r="37" spans="1:14" ht="15" hidden="1" customHeight="1" x14ac:dyDescent="0.25">
      <c r="A37" s="38"/>
      <c r="B37" s="20" t="s">
        <v>337</v>
      </c>
      <c r="C37" s="40"/>
      <c r="D37" s="45"/>
      <c r="E37" s="45"/>
      <c r="F37" s="45"/>
      <c r="G37" s="45"/>
      <c r="H37" s="45"/>
      <c r="I37" s="45"/>
      <c r="J37" s="45"/>
      <c r="K37" s="45"/>
      <c r="M37" s="282"/>
      <c r="N37" s="14"/>
    </row>
    <row r="38" spans="1:14" ht="5.0999999999999996" hidden="1" customHeight="1" x14ac:dyDescent="0.25">
      <c r="A38" s="38"/>
      <c r="B38" s="39"/>
      <c r="C38" s="40"/>
      <c r="D38" s="45"/>
      <c r="E38" s="45"/>
      <c r="F38" s="45"/>
      <c r="G38" s="45"/>
      <c r="H38" s="45"/>
      <c r="I38" s="45"/>
      <c r="K38" s="46"/>
      <c r="M38" s="282"/>
      <c r="N38" s="14"/>
    </row>
    <row r="39" spans="1:14" ht="18" hidden="1" customHeight="1" x14ac:dyDescent="0.25">
      <c r="A39" s="35">
        <v>-19</v>
      </c>
      <c r="B39" s="36" t="s">
        <v>112</v>
      </c>
      <c r="C39" s="470" t="s">
        <v>111</v>
      </c>
      <c r="D39" s="21"/>
      <c r="E39" s="21"/>
      <c r="F39" s="21"/>
      <c r="G39" s="21"/>
      <c r="H39" s="21"/>
      <c r="I39" s="21"/>
      <c r="J39" s="200"/>
      <c r="K39" s="21"/>
      <c r="M39" s="283" t="str">
        <f>IF(AND(ISBLANK($J$39)=FALSE,'1.General'!$I$47=2),"← ERROR! No efficiency standard variance will be applied unless 'Y' is selected in pull-down menu on Page '1.General'.","")</f>
        <v/>
      </c>
      <c r="N39" s="14"/>
    </row>
    <row r="40" spans="1:14" ht="30" hidden="1" customHeight="1" x14ac:dyDescent="0.25">
      <c r="A40" s="35">
        <v>-20</v>
      </c>
      <c r="B40" s="36" t="s">
        <v>156</v>
      </c>
      <c r="C40" s="470" t="s">
        <v>111</v>
      </c>
      <c r="D40" s="21"/>
      <c r="E40" s="21"/>
      <c r="F40" s="21"/>
      <c r="G40" s="21"/>
      <c r="H40" s="21"/>
      <c r="I40" s="21"/>
      <c r="J40" s="200"/>
      <c r="K40" s="21"/>
      <c r="M40" s="284" t="str">
        <f>IF('1.General'!$I$47=2,"",IF(AND(ExpRatio_Actual02&lt;=EffStd_Wtd02,EffStd_VarReq02&gt;0),"← ERROR: Based on insurer's stated most recent year expense ratio, no relief from efficiency standard variances is allowed.  Insurer's stated most recent year expense ratio is already less than or equal to the efficiency standard.",IF(AND(ROUND(EffStd_Wtd02+EffStd_VarReq02,3)&gt;ExpRatio_Actual02,EffStd_VarReq02&gt;0),"← ERROR! Assuming the calculation of the insurer's most recent year expense ratio is justified, relief from the efficiency standard will be limited to the difference between that ratio and the efficiency standard, or, "&amp;ROUND(ExpRatio_Actual02-EffStd_Wtd02,3)*100&amp;"%, subject to CDI approval.","")))</f>
        <v/>
      </c>
      <c r="N40" s="14"/>
    </row>
    <row r="41" spans="1:14" ht="4.5" customHeight="1" x14ac:dyDescent="0.25">
      <c r="A41" s="38"/>
      <c r="B41" s="39"/>
      <c r="C41" s="40"/>
      <c r="D41" s="45"/>
      <c r="E41" s="45"/>
      <c r="F41" s="45"/>
      <c r="G41" s="45"/>
      <c r="H41" s="45"/>
      <c r="I41" s="45"/>
      <c r="J41" s="45"/>
      <c r="K41" s="45"/>
      <c r="M41" s="284"/>
      <c r="N41" s="14"/>
    </row>
    <row r="42" spans="1:14" ht="15" hidden="1" customHeight="1" x14ac:dyDescent="0.25">
      <c r="A42" s="19"/>
      <c r="B42" s="20" t="s">
        <v>711</v>
      </c>
      <c r="C42" s="16"/>
      <c r="D42" s="14"/>
      <c r="E42" s="14"/>
      <c r="F42" s="14"/>
      <c r="G42" s="14"/>
      <c r="H42" s="14"/>
      <c r="I42" s="14"/>
      <c r="J42" s="14"/>
      <c r="K42" s="14"/>
      <c r="M42" s="282"/>
      <c r="N42" s="14"/>
    </row>
    <row r="43" spans="1:14" ht="4.5" hidden="1" customHeight="1" x14ac:dyDescent="0.25">
      <c r="A43" s="19"/>
      <c r="B43" s="20"/>
      <c r="C43" s="16"/>
      <c r="D43" s="14"/>
      <c r="E43" s="14"/>
      <c r="F43" s="14"/>
      <c r="G43" s="14"/>
      <c r="H43" s="14"/>
      <c r="I43" s="14"/>
      <c r="J43" s="14"/>
      <c r="K43" s="14"/>
      <c r="M43" s="282"/>
      <c r="N43" s="14"/>
    </row>
    <row r="44" spans="1:14" ht="18" hidden="1" customHeight="1" x14ac:dyDescent="0.25">
      <c r="A44" s="278">
        <v>-19</v>
      </c>
      <c r="B44" s="36" t="s">
        <v>321</v>
      </c>
      <c r="C44" s="31"/>
      <c r="D44" s="21"/>
      <c r="E44" s="21"/>
      <c r="F44" s="21"/>
      <c r="G44" s="21"/>
      <c r="H44" s="21"/>
      <c r="I44" s="21"/>
      <c r="J44" s="201"/>
      <c r="K44" s="21"/>
      <c r="M44" s="283" t="str">
        <f>IF(AND(ISBLANK($J$44),OR(General_Line="Medical Malpractice",General_Line="Earthquake")),"← ERROR! Enter direct commission rate.","")</f>
        <v/>
      </c>
      <c r="N44" s="14"/>
    </row>
    <row r="45" spans="1:14" ht="18" hidden="1" customHeight="1" x14ac:dyDescent="0.25">
      <c r="A45" s="278">
        <v>-20</v>
      </c>
      <c r="B45" s="36" t="s">
        <v>63</v>
      </c>
      <c r="C45" s="470" t="s">
        <v>73</v>
      </c>
      <c r="D45" s="127"/>
      <c r="E45" s="127"/>
      <c r="F45" s="127"/>
      <c r="G45" s="127"/>
      <c r="H45" s="127"/>
      <c r="I45" s="127"/>
      <c r="J45" s="23"/>
      <c r="K45" s="127"/>
      <c r="M45" s="283" t="str">
        <f>IF(AND(New_Program=TRUE,ISBLANK($K$45),OR(General_Line="Medical Malpractice",General_Line="Earthquake")),"← ERROR! Enter projected figure for new program, or deselect 'New Program' on Page '3.Filing Type' of the Prior Approval Rate Application.","")</f>
        <v/>
      </c>
      <c r="N45" s="14"/>
    </row>
    <row r="46" spans="1:14" ht="18" hidden="1" customHeight="1" x14ac:dyDescent="0.25">
      <c r="A46" s="278">
        <v>-21</v>
      </c>
      <c r="B46" s="36" t="s">
        <v>322</v>
      </c>
      <c r="C46" s="470" t="s">
        <v>73</v>
      </c>
      <c r="D46" s="127"/>
      <c r="E46" s="127"/>
      <c r="F46" s="127"/>
      <c r="G46" s="127"/>
      <c r="H46" s="127"/>
      <c r="I46" s="127"/>
      <c r="J46" s="23"/>
      <c r="K46" s="127"/>
      <c r="M46" s="283" t="str">
        <f>IF(AND(New_Program=TRUE,ISBLANK($K$46),OR(General_Line="Medical Malpractice",General_Line="Earthquake")),"← ERROR! Enter projected figure for new program, or deselect 'New Program' on Page '3.Filing Type' of the Prior Approval Rate Application.","")</f>
        <v/>
      </c>
      <c r="N46" s="14"/>
    </row>
    <row r="47" spans="1:14" ht="17.25" customHeight="1" x14ac:dyDescent="0.25">
      <c r="A47" s="14" t="s">
        <v>707</v>
      </c>
      <c r="M47" s="283"/>
      <c r="N47" s="14"/>
    </row>
    <row r="48" spans="1:14" ht="17.25" customHeight="1" thickBot="1" x14ac:dyDescent="0.3">
      <c r="A48" s="14" t="s">
        <v>323</v>
      </c>
      <c r="M48" s="283"/>
      <c r="N48" s="14"/>
    </row>
    <row r="49" spans="1:15" ht="17.25" hidden="1" customHeight="1" x14ac:dyDescent="0.25">
      <c r="A49" s="14" t="s">
        <v>338</v>
      </c>
      <c r="J49" s="187"/>
      <c r="M49" s="202"/>
      <c r="N49" s="14"/>
    </row>
    <row r="50" spans="1:15" ht="17.25" hidden="1" customHeight="1" thickBot="1" x14ac:dyDescent="0.3">
      <c r="A50" s="14" t="s">
        <v>157</v>
      </c>
      <c r="J50" s="91"/>
      <c r="M50" s="88"/>
      <c r="N50" s="14"/>
    </row>
    <row r="51" spans="1:15" ht="20.100000000000001" customHeight="1" x14ac:dyDescent="0.25">
      <c r="A51" s="14"/>
      <c r="H51" s="785" t="s">
        <v>667</v>
      </c>
      <c r="I51" s="785"/>
      <c r="J51" s="785"/>
      <c r="K51" s="785"/>
      <c r="M51" s="142"/>
      <c r="N51" s="14"/>
    </row>
    <row r="52" spans="1:15" ht="17.25" customHeight="1" x14ac:dyDescent="0.25">
      <c r="A52" s="14"/>
      <c r="J52" s="92"/>
      <c r="M52" s="90"/>
    </row>
    <row r="53" spans="1:15" x14ac:dyDescent="0.25">
      <c r="A53" s="14"/>
      <c r="B53" s="14"/>
      <c r="C53" s="14"/>
      <c r="D53" s="14"/>
      <c r="E53" s="14"/>
      <c r="F53" s="14"/>
      <c r="G53" s="14"/>
      <c r="H53" s="14"/>
      <c r="I53" s="14"/>
      <c r="J53" s="14"/>
      <c r="K53" s="14"/>
      <c r="L53" s="14"/>
      <c r="M53" s="14"/>
      <c r="N53" s="14"/>
      <c r="O53" s="14"/>
    </row>
    <row r="54" spans="1:15" x14ac:dyDescent="0.25">
      <c r="A54" s="14"/>
      <c r="B54" s="14"/>
      <c r="C54" s="14"/>
      <c r="D54" s="14"/>
      <c r="E54" s="14"/>
      <c r="F54" s="14"/>
      <c r="G54" s="14"/>
      <c r="H54" s="14"/>
      <c r="I54" s="14"/>
      <c r="J54" s="14"/>
      <c r="K54" s="14"/>
      <c r="L54" s="14"/>
      <c r="M54" s="14"/>
      <c r="N54" s="14"/>
      <c r="O54" s="14"/>
    </row>
    <row r="55" spans="1:15" x14ac:dyDescent="0.25">
      <c r="A55" s="14"/>
      <c r="B55" s="14"/>
      <c r="C55" s="14"/>
      <c r="D55" s="14"/>
      <c r="E55" s="14"/>
      <c r="F55" s="14"/>
      <c r="G55" s="14"/>
      <c r="H55" s="14"/>
      <c r="I55" s="14"/>
      <c r="J55" s="14"/>
      <c r="K55" s="14"/>
      <c r="L55" s="14"/>
      <c r="M55" s="14"/>
      <c r="N55" s="14"/>
      <c r="O55" s="14"/>
    </row>
    <row r="56" spans="1:15" x14ac:dyDescent="0.25">
      <c r="A56" s="14"/>
      <c r="B56" s="14"/>
      <c r="C56" s="14"/>
      <c r="D56" s="14"/>
      <c r="E56" s="14"/>
      <c r="F56" s="14"/>
      <c r="G56" s="14"/>
      <c r="H56" s="14"/>
      <c r="I56" s="14"/>
      <c r="J56" s="14"/>
      <c r="K56" s="14"/>
      <c r="L56" s="14"/>
      <c r="M56" s="14"/>
      <c r="N56" s="14"/>
      <c r="O56" s="14"/>
    </row>
    <row r="57" spans="1:15" x14ac:dyDescent="0.25">
      <c r="A57" s="14"/>
      <c r="B57" s="14"/>
      <c r="C57" s="14"/>
      <c r="D57" s="14"/>
      <c r="E57" s="14"/>
      <c r="F57" s="14"/>
      <c r="G57" s="14"/>
      <c r="H57" s="14"/>
      <c r="I57" s="14"/>
      <c r="J57" s="14"/>
      <c r="K57" s="14"/>
      <c r="L57" s="14"/>
      <c r="M57" s="14"/>
      <c r="N57" s="14"/>
      <c r="O57" s="14"/>
    </row>
    <row r="58" spans="1:15" x14ac:dyDescent="0.25">
      <c r="A58" s="14"/>
      <c r="B58" s="14"/>
      <c r="C58" s="14"/>
      <c r="D58" s="14"/>
      <c r="E58" s="14"/>
      <c r="F58" s="14"/>
      <c r="G58" s="14"/>
      <c r="H58" s="14"/>
      <c r="I58" s="14"/>
      <c r="J58" s="14"/>
      <c r="K58" s="14"/>
      <c r="L58" s="14"/>
      <c r="M58" s="14"/>
      <c r="N58" s="14"/>
      <c r="O58" s="14"/>
    </row>
    <row r="59" spans="1:15" x14ac:dyDescent="0.25">
      <c r="A59" s="14"/>
      <c r="B59" s="14"/>
      <c r="C59" s="14"/>
      <c r="D59" s="14"/>
      <c r="E59" s="14"/>
      <c r="F59" s="14"/>
      <c r="G59" s="14"/>
      <c r="H59" s="14"/>
      <c r="I59" s="14"/>
      <c r="J59" s="14"/>
      <c r="K59" s="14"/>
      <c r="L59" s="14"/>
      <c r="M59" s="14"/>
      <c r="N59" s="14"/>
      <c r="O59" s="14"/>
    </row>
    <row r="60" spans="1:15" x14ac:dyDescent="0.25">
      <c r="A60" s="14"/>
      <c r="B60" s="14"/>
      <c r="C60" s="14"/>
      <c r="D60" s="14"/>
      <c r="E60" s="14"/>
      <c r="F60" s="14"/>
      <c r="G60" s="14"/>
      <c r="H60" s="14"/>
      <c r="I60" s="14"/>
      <c r="J60" s="14"/>
      <c r="K60" s="14"/>
      <c r="L60" s="14"/>
      <c r="M60" s="14"/>
      <c r="N60" s="14"/>
      <c r="O60" s="14"/>
    </row>
    <row r="61" spans="1:15" x14ac:dyDescent="0.25">
      <c r="A61" s="14"/>
      <c r="B61" s="14"/>
      <c r="C61" s="14"/>
      <c r="D61" s="14"/>
      <c r="E61" s="14"/>
      <c r="F61" s="14"/>
      <c r="G61" s="14"/>
      <c r="H61" s="14"/>
      <c r="I61" s="14"/>
      <c r="J61" s="14"/>
      <c r="K61" s="14"/>
      <c r="L61" s="14"/>
      <c r="M61" s="14"/>
      <c r="N61" s="14"/>
      <c r="O61" s="14"/>
    </row>
    <row r="62" spans="1:15" x14ac:dyDescent="0.25">
      <c r="A62" s="14"/>
      <c r="B62" s="14"/>
      <c r="C62" s="14"/>
      <c r="D62" s="14"/>
      <c r="E62" s="14"/>
      <c r="F62" s="14"/>
      <c r="G62" s="14"/>
      <c r="H62" s="14"/>
      <c r="I62" s="14"/>
      <c r="J62" s="14"/>
      <c r="K62" s="14"/>
      <c r="L62" s="14"/>
      <c r="M62" s="14"/>
      <c r="N62" s="14"/>
      <c r="O62" s="14"/>
    </row>
    <row r="63" spans="1:15" x14ac:dyDescent="0.25">
      <c r="A63" s="14"/>
      <c r="B63" s="14"/>
      <c r="C63" s="14"/>
      <c r="D63" s="14"/>
      <c r="E63" s="14"/>
      <c r="F63" s="14"/>
      <c r="G63" s="14"/>
      <c r="H63" s="14"/>
      <c r="I63" s="14"/>
      <c r="J63" s="14"/>
      <c r="K63" s="14"/>
      <c r="L63" s="14"/>
      <c r="M63" s="14"/>
      <c r="N63" s="14"/>
      <c r="O63" s="14"/>
    </row>
    <row r="64" spans="1:15" x14ac:dyDescent="0.25">
      <c r="A64" s="14"/>
      <c r="B64" s="14"/>
      <c r="C64" s="14"/>
      <c r="D64" s="14"/>
      <c r="E64" s="14"/>
      <c r="F64" s="14"/>
      <c r="G64" s="14"/>
      <c r="H64" s="14"/>
      <c r="I64" s="14"/>
      <c r="J64" s="14"/>
      <c r="K64" s="14"/>
      <c r="L64" s="14"/>
      <c r="M64" s="14"/>
      <c r="N64" s="14"/>
      <c r="O64" s="14"/>
    </row>
  </sheetData>
  <sheetProtection algorithmName="SHA-512" hashValue="Vobq70WLdRsGIXt5xhq7M8MRZfZKONl30dWuVaHaHiUwU+UYaSGu/jCZKGzclT6dgmrf9u9A17Ji/JJyhOv0sA==" saltValue="190lFvDI5XkS1t+MDjPkfQ==" spinCount="100000" sheet="1" objects="1" scenarios="1" formatColumns="0" formatRows="0" sort="0"/>
  <mergeCells count="1">
    <mergeCell ref="H51:K51"/>
  </mergeCells>
  <hyperlinks>
    <hyperlink ref="H51" location="CHANGE_AT_MAX" display="BOOM!" xr:uid="{00000000-0004-0000-0B00-000000000000}"/>
    <hyperlink ref="H51:K51" location="'7.2Rate Change Calculation'!CHANGE_AT_MAX" display="Go to 7.2Rate Change Calculation" xr:uid="{00000000-0004-0000-0B00-000001000000}"/>
  </hyperlinks>
  <printOptions horizontalCentered="1"/>
  <pageMargins left="0.45" right="0.45" top="0.5" bottom="0.75" header="0.3" footer="0.3"/>
  <pageSetup scale="80" orientation="portrait" r:id="rId1"/>
  <headerFooter>
    <oddFooter>&amp;CPrior Approval Rate Template&amp;RPage 6.2&amp;L01/11/2022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7107" r:id="rId4" name="btnYears">
              <controlPr defaultSize="0" print="0" autoFill="0" autoPict="0" macro="[0]!ExpandContractColsData">
                <anchor moveWithCells="1">
                  <from>
                    <xdr:col>9</xdr:col>
                    <xdr:colOff>180975</xdr:colOff>
                    <xdr:row>9</xdr:row>
                    <xdr:rowOff>142875</xdr:rowOff>
                  </from>
                  <to>
                    <xdr:col>10</xdr:col>
                    <xdr:colOff>1009650</xdr:colOff>
                    <xdr:row>11</xdr:row>
                    <xdr:rowOff>66675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tabColor rgb="FF0000FF"/>
    <pageSetUpPr fitToPage="1"/>
  </sheetPr>
  <dimension ref="A1:N64"/>
  <sheetViews>
    <sheetView showGridLines="0" view="pageBreakPreview" topLeftCell="A10" zoomScaleNormal="100" zoomScaleSheetLayoutView="100" workbookViewId="0">
      <selection activeCell="J25" sqref="J25"/>
    </sheetView>
  </sheetViews>
  <sheetFormatPr defaultRowHeight="15" x14ac:dyDescent="0.25"/>
  <cols>
    <col min="1" max="1" width="5" customWidth="1"/>
    <col min="2" max="2" width="29.7109375" customWidth="1"/>
    <col min="3" max="3" width="7" bestFit="1" customWidth="1"/>
    <col min="4" max="6" width="15.7109375" hidden="1" customWidth="1"/>
    <col min="7" max="11" width="15.7109375" customWidth="1"/>
    <col min="12" max="12" width="0.85546875" customWidth="1"/>
    <col min="13" max="13" width="127.85546875" bestFit="1" customWidth="1"/>
  </cols>
  <sheetData>
    <row r="1" spans="1:13" ht="15.75" thickBot="1" x14ac:dyDescent="0.3">
      <c r="A1" s="10" t="s">
        <v>31</v>
      </c>
      <c r="B1" s="13"/>
      <c r="H1" s="13" t="s">
        <v>33</v>
      </c>
      <c r="K1" s="12" t="str">
        <f>Co_Name</f>
        <v>State Farm Mutual Automobile Insurance Company</v>
      </c>
      <c r="M1" s="279" t="s">
        <v>310</v>
      </c>
    </row>
    <row r="2" spans="1:13" x14ac:dyDescent="0.25">
      <c r="A2" s="10" t="s">
        <v>32</v>
      </c>
      <c r="B2" s="13"/>
      <c r="H2" s="13" t="s">
        <v>34</v>
      </c>
      <c r="K2" s="12" t="str">
        <f>General_Line</f>
        <v>Auto Liability and Physical Damage</v>
      </c>
      <c r="M2" s="280" t="s">
        <v>113</v>
      </c>
    </row>
    <row r="3" spans="1:13" x14ac:dyDescent="0.25">
      <c r="A3" s="10"/>
      <c r="B3" s="185"/>
      <c r="H3" s="83" t="s">
        <v>142</v>
      </c>
      <c r="I3" s="84"/>
      <c r="J3" s="84"/>
      <c r="K3" s="82" t="str">
        <f>CDI_FileNo</f>
        <v/>
      </c>
      <c r="M3" s="281"/>
    </row>
    <row r="4" spans="1:13" ht="18" customHeight="1" x14ac:dyDescent="0.25">
      <c r="M4" s="282"/>
    </row>
    <row r="5" spans="1:13" ht="23.25" x14ac:dyDescent="0.25">
      <c r="A5" s="4" t="s">
        <v>606</v>
      </c>
      <c r="B5" s="3"/>
      <c r="C5" s="3"/>
      <c r="D5" s="3"/>
      <c r="E5" s="3"/>
      <c r="F5" s="3"/>
      <c r="G5" s="3"/>
      <c r="H5" s="3"/>
      <c r="I5" s="3"/>
      <c r="J5" s="3"/>
      <c r="K5" s="3"/>
      <c r="L5" s="3"/>
      <c r="M5" s="282"/>
    </row>
    <row r="6" spans="1:13" ht="15.75" thickBot="1" x14ac:dyDescent="0.3">
      <c r="M6" s="282"/>
    </row>
    <row r="7" spans="1:13" ht="18" customHeight="1" thickBot="1" x14ac:dyDescent="0.3">
      <c r="B7" s="130" t="s">
        <v>1</v>
      </c>
      <c r="G7" s="14" t="str">
        <f>Completed_By</f>
        <v>Laura Campbell</v>
      </c>
      <c r="J7" s="130" t="s">
        <v>706</v>
      </c>
      <c r="K7" s="543"/>
      <c r="M7" s="282"/>
    </row>
    <row r="8" spans="1:13" ht="18" customHeight="1" x14ac:dyDescent="0.25">
      <c r="B8" s="130" t="s">
        <v>76</v>
      </c>
      <c r="G8" s="62">
        <f>Completed_Date</f>
        <v>44816</v>
      </c>
      <c r="M8" s="282"/>
    </row>
    <row r="9" spans="1:13" ht="5.0999999999999996" customHeight="1" x14ac:dyDescent="0.25">
      <c r="B9" s="130"/>
      <c r="M9" s="282"/>
    </row>
    <row r="10" spans="1:13" ht="18" customHeight="1" x14ac:dyDescent="0.25">
      <c r="B10" s="130" t="s">
        <v>77</v>
      </c>
      <c r="G10" s="298" t="str">
        <f>Detailed_LineDesc03</f>
        <v>Private Passenger Auto Liability</v>
      </c>
      <c r="H10" s="298"/>
      <c r="I10" s="298"/>
      <c r="M10" s="283"/>
    </row>
    <row r="11" spans="1:13" ht="18" customHeight="1" x14ac:dyDescent="0.25">
      <c r="B11" s="130" t="s">
        <v>78</v>
      </c>
      <c r="G11" s="298" t="str">
        <f>Covg03</f>
        <v>UM</v>
      </c>
      <c r="H11" s="298"/>
      <c r="I11" s="298"/>
      <c r="M11" s="282"/>
    </row>
    <row r="12" spans="1:13" ht="9.9499999999999993" customHeight="1" x14ac:dyDescent="0.25">
      <c r="B12" s="2"/>
      <c r="G12" s="27"/>
      <c r="I12" s="28"/>
      <c r="J12" s="29"/>
      <c r="M12" s="282"/>
    </row>
    <row r="13" spans="1:13" ht="30" x14ac:dyDescent="0.25">
      <c r="A13" s="33" t="s">
        <v>59</v>
      </c>
      <c r="B13" s="34" t="s">
        <v>64</v>
      </c>
      <c r="C13" s="33" t="s">
        <v>58</v>
      </c>
      <c r="D13" s="195" t="s">
        <v>226</v>
      </c>
      <c r="E13" s="195" t="s">
        <v>227</v>
      </c>
      <c r="F13" s="195" t="s">
        <v>228</v>
      </c>
      <c r="G13" s="195" t="s">
        <v>229</v>
      </c>
      <c r="H13" s="195" t="s">
        <v>230</v>
      </c>
      <c r="I13" s="195" t="s">
        <v>231</v>
      </c>
      <c r="J13" s="33" t="s">
        <v>109</v>
      </c>
      <c r="K13" s="33" t="s">
        <v>110</v>
      </c>
      <c r="M13" s="282"/>
    </row>
    <row r="14" spans="1:13" ht="18" customHeight="1" thickBot="1" x14ac:dyDescent="0.3">
      <c r="A14" s="49" t="s">
        <v>115</v>
      </c>
      <c r="B14" s="48" t="s">
        <v>114</v>
      </c>
      <c r="C14" s="44"/>
      <c r="D14" s="469" t="str">
        <f>LEFT(MstRcntDataYr,4)-5&amp;RIGHT(MstRcntDataYr,1)</f>
        <v>20171</v>
      </c>
      <c r="E14" s="469" t="str">
        <f>LEFT(MstRcntDataYr,4)-4&amp;RIGHT(MstRcntDataYr,1)</f>
        <v>20181</v>
      </c>
      <c r="F14" s="469" t="str">
        <f>LEFT(MstRcntDataYr,4)-3&amp;RIGHT(MstRcntDataYr,1)</f>
        <v>20191</v>
      </c>
      <c r="G14" s="469" t="str">
        <f>LEFT(MstRcntDataYr,4)-2&amp;RIGHT(MstRcntDataYr,1)</f>
        <v>20201</v>
      </c>
      <c r="H14" s="469" t="str">
        <f>LEFT(MstRcntDataYr,4)-1&amp;RIGHT(MstRcntDataYr,1)</f>
        <v>20211</v>
      </c>
      <c r="I14" s="469">
        <f>MstRcntDataYr</f>
        <v>20221</v>
      </c>
      <c r="J14" s="30"/>
      <c r="K14" s="22"/>
      <c r="M14" s="282"/>
    </row>
    <row r="15" spans="1:13" ht="30" customHeight="1" x14ac:dyDescent="0.25">
      <c r="A15" s="41">
        <v>-1</v>
      </c>
      <c r="B15" s="42" t="s">
        <v>54</v>
      </c>
      <c r="C15" s="43"/>
      <c r="D15" s="196"/>
      <c r="E15" s="197"/>
      <c r="F15" s="197"/>
      <c r="G15" s="127"/>
      <c r="H15" s="127"/>
      <c r="I15" s="127">
        <v>324692996.63999999</v>
      </c>
      <c r="J15" s="24"/>
      <c r="K15" s="127"/>
      <c r="M15" s="283" t="str">
        <f>IF(AND(New_Program=TRUE,ISBLANK($K$15)),"← ERROR! Enter projected figure for new program, or deselect 'New Program' on Page '1.General'.","")</f>
        <v/>
      </c>
    </row>
    <row r="16" spans="1:13" ht="30" customHeight="1" x14ac:dyDescent="0.25">
      <c r="A16" s="35">
        <v>-2</v>
      </c>
      <c r="B16" s="36" t="s">
        <v>55</v>
      </c>
      <c r="C16" s="470"/>
      <c r="D16" s="128"/>
      <c r="E16" s="127"/>
      <c r="F16" s="127"/>
      <c r="G16" s="127"/>
      <c r="H16" s="127"/>
      <c r="I16" s="127">
        <v>322120624.92999995</v>
      </c>
      <c r="J16" s="25"/>
      <c r="K16" s="85" t="str">
        <f>IF(ISBLANK($K$15),"",$K$15)</f>
        <v/>
      </c>
      <c r="M16" s="283" t="str">
        <f>IF(AND(New_Program=TRUE,$K$16&lt;&gt;$K$15),"← ERROR! For New Programs, Earned Premium must equal Written Premium. Refer to Section III.C. of Prior Approval Rate Filing Instructions.","")</f>
        <v/>
      </c>
    </row>
    <row r="17" spans="1:13" ht="18" customHeight="1" x14ac:dyDescent="0.25">
      <c r="A17" s="35">
        <v>-3</v>
      </c>
      <c r="B17" s="36" t="s">
        <v>36</v>
      </c>
      <c r="C17" s="470" t="s">
        <v>65</v>
      </c>
      <c r="D17" s="198"/>
      <c r="E17" s="199"/>
      <c r="F17" s="199"/>
      <c r="G17" s="199"/>
      <c r="H17" s="199"/>
      <c r="I17" s="199">
        <v>1</v>
      </c>
      <c r="J17" s="21"/>
      <c r="K17" s="21"/>
      <c r="M17" s="282"/>
    </row>
    <row r="18" spans="1:13" ht="18" customHeight="1" x14ac:dyDescent="0.25">
      <c r="A18" s="35">
        <v>-4</v>
      </c>
      <c r="B18" s="36" t="s">
        <v>130</v>
      </c>
      <c r="C18" s="470" t="s">
        <v>66</v>
      </c>
      <c r="D18" s="198"/>
      <c r="E18" s="199"/>
      <c r="F18" s="199"/>
      <c r="G18" s="199"/>
      <c r="H18" s="199"/>
      <c r="I18" s="199">
        <v>0.96117750198619201</v>
      </c>
      <c r="J18" s="200">
        <v>-1.74443571700077E-2</v>
      </c>
      <c r="K18" s="21"/>
      <c r="M18" s="283" t="str">
        <f>IF(AND(New_Program=FALSE,ISBLANK($J$18)),"← ERROR! Enter Annual Premium Trend as a percentage in the 'Projected' column.","")</f>
        <v/>
      </c>
    </row>
    <row r="19" spans="1:13" ht="30" customHeight="1" x14ac:dyDescent="0.25">
      <c r="A19" s="35">
        <v>-5</v>
      </c>
      <c r="B19" s="36" t="s">
        <v>743</v>
      </c>
      <c r="C19" s="470" t="s">
        <v>67</v>
      </c>
      <c r="D19" s="128"/>
      <c r="E19" s="127"/>
      <c r="F19" s="127"/>
      <c r="G19" s="127"/>
      <c r="H19" s="127"/>
      <c r="I19" s="127">
        <v>0</v>
      </c>
      <c r="J19" s="21"/>
      <c r="K19" s="127"/>
      <c r="M19" s="283" t="str">
        <f>IF(AND(New_Program=TRUE,ISBLANK($K$19)),"← ERROR! Enter projected figure for new program, or deselect 'New Program' on Page '1.General'.","")</f>
        <v/>
      </c>
    </row>
    <row r="20" spans="1:13" ht="18" customHeight="1" x14ac:dyDescent="0.25">
      <c r="A20" s="35">
        <v>-6</v>
      </c>
      <c r="B20" s="36" t="s">
        <v>56</v>
      </c>
      <c r="C20" s="470"/>
      <c r="D20" s="128"/>
      <c r="E20" s="127"/>
      <c r="F20" s="127"/>
      <c r="G20" s="127"/>
      <c r="H20" s="127"/>
      <c r="I20" s="127">
        <v>3578818</v>
      </c>
      <c r="J20" s="21"/>
      <c r="K20" s="127"/>
      <c r="M20" s="283" t="str">
        <f>IF(AND(New_Program=TRUE,ISBLANK($K$20)),"← ERROR! Enter projected figure for new program, or deselect 'New Program' on Page '1.General'.","")</f>
        <v/>
      </c>
    </row>
    <row r="21" spans="1:13" ht="18" customHeight="1" x14ac:dyDescent="0.25">
      <c r="A21" s="35">
        <v>-7</v>
      </c>
      <c r="B21" s="36" t="s">
        <v>133</v>
      </c>
      <c r="C21" s="470"/>
      <c r="D21" s="128"/>
      <c r="E21" s="127"/>
      <c r="F21" s="127"/>
      <c r="G21" s="127"/>
      <c r="H21" s="127"/>
      <c r="I21" s="127">
        <v>124290124.25</v>
      </c>
      <c r="J21" s="21"/>
      <c r="K21" s="127"/>
      <c r="M21" s="283" t="str">
        <f>IF(AND(New_Program=TRUE,ISBLANK($K$21)),"← ERROR! Enter projected figure for new program, or deselect 'New Program' on Page '1.General'.","")</f>
        <v/>
      </c>
    </row>
    <row r="22" spans="1:13" ht="30" customHeight="1" x14ac:dyDescent="0.25">
      <c r="A22" s="35">
        <v>-8</v>
      </c>
      <c r="B22" s="36" t="s">
        <v>57</v>
      </c>
      <c r="C22" s="470"/>
      <c r="D22" s="128"/>
      <c r="E22" s="127"/>
      <c r="F22" s="127"/>
      <c r="G22" s="127"/>
      <c r="H22" s="127"/>
      <c r="I22" s="127">
        <v>551258.88</v>
      </c>
      <c r="J22" s="21"/>
      <c r="K22" s="127"/>
      <c r="M22" s="283" t="str">
        <f>IF(AND(New_Program=TRUE,ISBLANK($K$22)),"← ERROR! Enter projected figure for new program, or deselect 'New Program' on Page '1.General'.","")</f>
        <v/>
      </c>
    </row>
    <row r="23" spans="1:13" ht="18" customHeight="1" x14ac:dyDescent="0.25">
      <c r="A23" s="35">
        <v>-9</v>
      </c>
      <c r="B23" s="36" t="s">
        <v>60</v>
      </c>
      <c r="C23" s="470" t="s">
        <v>68</v>
      </c>
      <c r="D23" s="198"/>
      <c r="E23" s="199"/>
      <c r="F23" s="199"/>
      <c r="G23" s="199"/>
      <c r="H23" s="199"/>
      <c r="I23" s="199">
        <v>1.9692030731391408</v>
      </c>
      <c r="J23" s="21"/>
      <c r="K23" s="21"/>
      <c r="M23" s="282"/>
    </row>
    <row r="24" spans="1:13" ht="18" customHeight="1" x14ac:dyDescent="0.25">
      <c r="A24" s="35">
        <v>-10</v>
      </c>
      <c r="B24" s="36" t="s">
        <v>61</v>
      </c>
      <c r="C24" s="470" t="s">
        <v>68</v>
      </c>
      <c r="D24" s="198"/>
      <c r="E24" s="199"/>
      <c r="F24" s="199"/>
      <c r="G24" s="199"/>
      <c r="H24" s="199"/>
      <c r="I24" s="199">
        <v>50.099203618735487</v>
      </c>
      <c r="J24" s="21"/>
      <c r="K24" s="21"/>
      <c r="M24" s="282"/>
    </row>
    <row r="25" spans="1:13" ht="18" customHeight="1" x14ac:dyDescent="0.25">
      <c r="A25" s="35">
        <v>-11</v>
      </c>
      <c r="B25" s="36" t="s">
        <v>132</v>
      </c>
      <c r="C25" s="470" t="s">
        <v>69</v>
      </c>
      <c r="D25" s="198"/>
      <c r="E25" s="199"/>
      <c r="F25" s="199"/>
      <c r="G25" s="199"/>
      <c r="H25" s="199"/>
      <c r="I25" s="199">
        <v>1.0621094423780115</v>
      </c>
      <c r="J25" s="200">
        <v>2.7142706299903896E-2</v>
      </c>
      <c r="K25" s="21"/>
      <c r="M25" s="283" t="str">
        <f>IF(AND(New_Program=FALSE,ISBLANK($J$25)),"← ERROR! Enter Annual Loss Trend as a percentage in the 'Projected' column","")</f>
        <v/>
      </c>
    </row>
    <row r="26" spans="1:13" ht="18" customHeight="1" x14ac:dyDescent="0.25">
      <c r="A26" s="35">
        <v>-12</v>
      </c>
      <c r="B26" s="36" t="s">
        <v>131</v>
      </c>
      <c r="C26" s="470" t="s">
        <v>69</v>
      </c>
      <c r="D26" s="198"/>
      <c r="E26" s="199"/>
      <c r="F26" s="199"/>
      <c r="G26" s="199"/>
      <c r="H26" s="199"/>
      <c r="I26" s="199">
        <v>1.0621094423780115</v>
      </c>
      <c r="J26" s="200">
        <v>2.7142706299903896E-2</v>
      </c>
      <c r="K26" s="21"/>
      <c r="M26" s="283" t="str">
        <f>IF(AND(New_Program=FALSE,ISBLANK($J$26)),"← ERROR! Enter Annual DCCE Trend as a percentage in the 'Projected' column","")</f>
        <v/>
      </c>
    </row>
    <row r="27" spans="1:13" ht="18" customHeight="1" x14ac:dyDescent="0.25">
      <c r="A27" s="35">
        <v>-13</v>
      </c>
      <c r="B27" s="36" t="s">
        <v>62</v>
      </c>
      <c r="C27" s="470" t="s">
        <v>70</v>
      </c>
      <c r="D27" s="198"/>
      <c r="E27" s="199"/>
      <c r="F27" s="199"/>
      <c r="G27" s="199"/>
      <c r="H27" s="199"/>
      <c r="I27" s="199">
        <v>1</v>
      </c>
      <c r="J27" s="21"/>
      <c r="K27" s="21"/>
      <c r="M27" s="282"/>
    </row>
    <row r="28" spans="1:13" ht="18" customHeight="1" x14ac:dyDescent="0.25">
      <c r="A28" s="35">
        <v>-14</v>
      </c>
      <c r="B28" s="31" t="s">
        <v>728</v>
      </c>
      <c r="C28" s="470" t="s">
        <v>71</v>
      </c>
      <c r="D28" s="32"/>
      <c r="E28" s="21"/>
      <c r="F28" s="21"/>
      <c r="G28" s="21"/>
      <c r="H28" s="21"/>
      <c r="I28" s="21"/>
      <c r="J28" s="201">
        <v>1</v>
      </c>
      <c r="K28" s="21"/>
      <c r="M28" s="284"/>
    </row>
    <row r="29" spans="1:13" ht="18" customHeight="1" x14ac:dyDescent="0.25">
      <c r="A29" s="35">
        <v>-15</v>
      </c>
      <c r="B29" s="36" t="s">
        <v>37</v>
      </c>
      <c r="C29" s="470" t="s">
        <v>72</v>
      </c>
      <c r="D29" s="128"/>
      <c r="E29" s="127"/>
      <c r="F29" s="127"/>
      <c r="G29" s="127"/>
      <c r="H29" s="127"/>
      <c r="I29" s="127">
        <v>0</v>
      </c>
      <c r="J29" s="21"/>
      <c r="K29" s="127"/>
      <c r="M29" s="283" t="str">
        <f>IF(AND(New_Program=TRUE,ISBLANK($K$29)),"← ERROR! Enter projected figure for new program, or deselect 'New Program' on Page '1.General'.","")</f>
        <v/>
      </c>
    </row>
    <row r="30" spans="1:13" ht="5.0999999999999996" customHeight="1" x14ac:dyDescent="0.25">
      <c r="A30" s="38"/>
      <c r="B30" s="39"/>
      <c r="C30" s="40"/>
      <c r="D30" s="641">
        <f>IF(COUNTBLANK(D15:D27)+COUNTBLANK(D29)=14,1,IF(COUNT(D15:D27)+COUNT(D29)=14,1,"D "))</f>
        <v>1</v>
      </c>
      <c r="E30" s="641">
        <f>IF(COUNTBLANK(E15:E27)+COUNTBLANK(E29)=14,1,IF(COUNT(E15:E27)+COUNT(E29)=14,1,"E "))</f>
        <v>1</v>
      </c>
      <c r="F30" s="641">
        <f>IF(COUNTBLANK(F15:F27)+COUNTBLANK(F29)=14,1,IF(COUNT(F15:F27)+COUNT(F29)=14,1,"F "))</f>
        <v>1</v>
      </c>
      <c r="G30" s="641">
        <f>IF(COUNTBLANK(G15:G27)+COUNTBLANK(G29)=14,1,IF(COUNT(G15:G27)+COUNT(G29)=14,1,"G "))</f>
        <v>1</v>
      </c>
      <c r="H30" s="641">
        <f>IF(COUNTBLANK(H15:H27)+COUNTBLANK(H29)=14,1,IF(COUNT(H15:H27)+COUNT(H29)=14,1,"H "))</f>
        <v>1</v>
      </c>
      <c r="I30" s="641">
        <f>IF(COUNTBLANK(I15:I27)+COUNTBLANK(I29)=14,1,IF(COUNT(I15:I27)+COUNT(I29)=14,1,"I "))</f>
        <v>1</v>
      </c>
      <c r="J30" s="642">
        <f>IF(COUNTBLANK(J15:J29)=15,1,IF(COUNT(J18,J25,J26,J28)=4,1,"J "))</f>
        <v>1</v>
      </c>
      <c r="K30" s="643">
        <f>IF(COUNTBLANK(K15)+COUNTBLANK(K17:K29)=14,1,IF(COUNT(K15,K19,K20,K21,K22,K29)=6,1,"K "))</f>
        <v>1</v>
      </c>
      <c r="M30" s="282"/>
    </row>
    <row r="31" spans="1:13" ht="15" customHeight="1" x14ac:dyDescent="0.25">
      <c r="A31" s="38"/>
      <c r="B31" s="20" t="s">
        <v>716</v>
      </c>
      <c r="C31" s="40"/>
      <c r="D31" s="14"/>
      <c r="E31" s="14"/>
      <c r="F31" s="14"/>
      <c r="G31" s="14"/>
      <c r="H31" s="14"/>
      <c r="I31" s="14"/>
      <c r="J31" s="26"/>
      <c r="K31" s="143"/>
      <c r="M31" s="283"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25">
      <c r="A32" s="38"/>
      <c r="B32" s="39"/>
      <c r="C32" s="40"/>
      <c r="D32" s="14"/>
      <c r="E32" s="14"/>
      <c r="F32" s="14"/>
      <c r="G32" s="14"/>
      <c r="H32" s="14"/>
      <c r="I32" s="14"/>
      <c r="J32" s="26"/>
      <c r="K32" s="143"/>
      <c r="M32" s="282"/>
    </row>
    <row r="33" spans="1:13" ht="18" customHeight="1" x14ac:dyDescent="0.25">
      <c r="A33" s="35">
        <v>-16</v>
      </c>
      <c r="B33" s="36" t="s">
        <v>162</v>
      </c>
      <c r="C33" s="470" t="s">
        <v>608</v>
      </c>
      <c r="D33" s="32"/>
      <c r="E33" s="21"/>
      <c r="F33" s="21"/>
      <c r="G33" s="21"/>
      <c r="H33" s="21"/>
      <c r="I33" s="21"/>
      <c r="J33" s="81">
        <f>IF(New_Program=FALSE,ExpRatio_Excluded,"")</f>
        <v>1.3597266477453115E-2</v>
      </c>
      <c r="K33" s="81" t="str">
        <f>IF(New_Program=TRUE,ExpRatio_Excluded,"")</f>
        <v/>
      </c>
      <c r="M33" s="282"/>
    </row>
    <row r="34" spans="1:13" ht="30" customHeight="1" x14ac:dyDescent="0.25">
      <c r="A34" s="35">
        <v>-17</v>
      </c>
      <c r="B34" s="36" t="s">
        <v>311</v>
      </c>
      <c r="C34" s="470" t="s">
        <v>609</v>
      </c>
      <c r="D34" s="32"/>
      <c r="E34" s="21"/>
      <c r="F34" s="21"/>
      <c r="G34" s="21"/>
      <c r="H34" s="21"/>
      <c r="I34" s="21"/>
      <c r="J34" s="81">
        <f>IF(New_Program=FALSE,FIT_Inv,"")</f>
        <v>0.18752087399665437</v>
      </c>
      <c r="K34" s="81" t="str">
        <f>IF(New_Program=TRUE,FIT_Inv,"")</f>
        <v/>
      </c>
      <c r="M34" s="282"/>
    </row>
    <row r="35" spans="1:13" ht="18" customHeight="1" x14ac:dyDescent="0.25">
      <c r="A35" s="35">
        <v>-18</v>
      </c>
      <c r="B35" s="31" t="s">
        <v>312</v>
      </c>
      <c r="C35" s="470" t="s">
        <v>609</v>
      </c>
      <c r="D35" s="32"/>
      <c r="E35" s="21"/>
      <c r="F35" s="21"/>
      <c r="G35" s="21"/>
      <c r="H35" s="21"/>
      <c r="I35" s="21"/>
      <c r="J35" s="81">
        <f>IF(New_Program=FALSE,Yield,"")</f>
        <v>8.8050065696007235E-2</v>
      </c>
      <c r="K35" s="81" t="str">
        <f>IF(New_Program=TRUE,Yield,"")</f>
        <v/>
      </c>
      <c r="M35" s="282"/>
    </row>
    <row r="36" spans="1:13" ht="5.0999999999999996" hidden="1" customHeight="1" x14ac:dyDescent="0.25">
      <c r="A36" s="38"/>
      <c r="B36" s="39"/>
      <c r="C36" s="40"/>
      <c r="D36" s="14"/>
      <c r="E36" s="14"/>
      <c r="F36" s="14"/>
      <c r="G36" s="14"/>
      <c r="H36" s="14"/>
      <c r="I36" s="14"/>
      <c r="J36" s="26"/>
      <c r="K36" s="143"/>
      <c r="M36" s="282"/>
    </row>
    <row r="37" spans="1:13" ht="15" hidden="1" customHeight="1" x14ac:dyDescent="0.25">
      <c r="A37" s="38"/>
      <c r="B37" s="20" t="s">
        <v>337</v>
      </c>
      <c r="C37" s="40"/>
      <c r="D37" s="45"/>
      <c r="E37" s="45"/>
      <c r="F37" s="45"/>
      <c r="G37" s="45"/>
      <c r="H37" s="45"/>
      <c r="I37" s="45"/>
      <c r="J37" s="45"/>
      <c r="K37" s="45"/>
      <c r="M37" s="282"/>
    </row>
    <row r="38" spans="1:13" ht="5.0999999999999996" hidden="1" customHeight="1" x14ac:dyDescent="0.25">
      <c r="A38" s="38"/>
      <c r="B38" s="39"/>
      <c r="C38" s="40"/>
      <c r="D38" s="45"/>
      <c r="E38" s="45"/>
      <c r="F38" s="45"/>
      <c r="G38" s="45"/>
      <c r="H38" s="45"/>
      <c r="I38" s="45"/>
      <c r="K38" s="46"/>
      <c r="M38" s="282"/>
    </row>
    <row r="39" spans="1:13" ht="18" hidden="1" customHeight="1" x14ac:dyDescent="0.25">
      <c r="A39" s="35">
        <v>-19</v>
      </c>
      <c r="B39" s="36" t="s">
        <v>112</v>
      </c>
      <c r="C39" s="470" t="s">
        <v>111</v>
      </c>
      <c r="D39" s="21"/>
      <c r="E39" s="21"/>
      <c r="F39" s="21"/>
      <c r="G39" s="21"/>
      <c r="H39" s="21"/>
      <c r="I39" s="21"/>
      <c r="J39" s="200"/>
      <c r="K39" s="21"/>
      <c r="M39" s="283" t="str">
        <f>IF(AND(ISBLANK($J$39)=FALSE,'1.General'!$I$47=2),"← ERROR! No efficiency standard variance will be applied unless 'Y' is selected in pull-down menu on Page '1.General'.","")</f>
        <v/>
      </c>
    </row>
    <row r="40" spans="1:13" ht="30" hidden="1" customHeight="1" x14ac:dyDescent="0.25">
      <c r="A40" s="35">
        <v>-20</v>
      </c>
      <c r="B40" s="36" t="s">
        <v>156</v>
      </c>
      <c r="C40" s="470" t="s">
        <v>111</v>
      </c>
      <c r="D40" s="21"/>
      <c r="E40" s="21"/>
      <c r="F40" s="21"/>
      <c r="G40" s="21"/>
      <c r="H40" s="21"/>
      <c r="I40" s="21"/>
      <c r="J40" s="200"/>
      <c r="K40" s="21"/>
      <c r="M40" s="284" t="str">
        <f>IF('1.General'!$I$47=2,"",IF(AND(ExpRatio_Actual03&lt;=EffStd_Wtd03,EffStd_VarReq03&gt;0),"← ERROR: Based on insurer's stated most recent year expense ratio, no relief from efficiency standard variances is allowed.  Insurer's stated most recent year expense ratio is already less than or equal to the efficiency standard.",IF(AND(ROUND(EffStd_Wtd03+EffStd_VarReq03,3)&gt;ExpRatio_Actual03,EffStd_VarReq03&gt;0),"← ERROR! Assuming the calculation of the insurer's most recent year expense ratio is justified, relief from the efficiency standard will be limited to the difference between that ratio and the efficiency standard, or, "&amp;ROUND(ExpRatio_Actual03-EffStd_Wtd03,3)*100&amp;"%, subject to CDI approval.","")))</f>
        <v/>
      </c>
    </row>
    <row r="41" spans="1:13" ht="4.5" customHeight="1" x14ac:dyDescent="0.25">
      <c r="A41" s="38"/>
      <c r="B41" s="39"/>
      <c r="C41" s="40"/>
      <c r="D41" s="45"/>
      <c r="E41" s="45"/>
      <c r="F41" s="45"/>
      <c r="G41" s="45"/>
      <c r="H41" s="45"/>
      <c r="I41" s="45"/>
      <c r="J41" s="45"/>
      <c r="K41" s="45"/>
      <c r="M41" s="284"/>
    </row>
    <row r="42" spans="1:13" ht="15" hidden="1" customHeight="1" x14ac:dyDescent="0.25">
      <c r="A42" s="19"/>
      <c r="B42" s="20" t="s">
        <v>711</v>
      </c>
      <c r="C42" s="16"/>
      <c r="D42" s="14"/>
      <c r="E42" s="14"/>
      <c r="F42" s="14"/>
      <c r="G42" s="14"/>
      <c r="H42" s="14"/>
      <c r="I42" s="14"/>
      <c r="J42" s="14"/>
      <c r="K42" s="14"/>
      <c r="M42" s="282"/>
    </row>
    <row r="43" spans="1:13" ht="4.5" hidden="1" customHeight="1" x14ac:dyDescent="0.25">
      <c r="A43" s="19"/>
      <c r="B43" s="20"/>
      <c r="C43" s="16"/>
      <c r="D43" s="14"/>
      <c r="E43" s="14"/>
      <c r="F43" s="14"/>
      <c r="G43" s="14"/>
      <c r="H43" s="14"/>
      <c r="I43" s="14"/>
      <c r="J43" s="14"/>
      <c r="K43" s="14"/>
      <c r="M43" s="282"/>
    </row>
    <row r="44" spans="1:13" ht="18" hidden="1" customHeight="1" x14ac:dyDescent="0.25">
      <c r="A44" s="278">
        <v>-19</v>
      </c>
      <c r="B44" s="36" t="s">
        <v>321</v>
      </c>
      <c r="C44" s="31"/>
      <c r="D44" s="21"/>
      <c r="E44" s="21"/>
      <c r="F44" s="21"/>
      <c r="G44" s="21"/>
      <c r="H44" s="21"/>
      <c r="I44" s="21"/>
      <c r="J44" s="201"/>
      <c r="K44" s="21"/>
      <c r="M44" s="283" t="str">
        <f>IF(AND(ISBLANK($J$44),OR(General_Line="Medical Malpractice",General_Line="Earthquake")),"← ERROR! Enter direct commission rate.","")</f>
        <v/>
      </c>
    </row>
    <row r="45" spans="1:13" ht="18" hidden="1" customHeight="1" x14ac:dyDescent="0.25">
      <c r="A45" s="278">
        <v>-20</v>
      </c>
      <c r="B45" s="36" t="s">
        <v>63</v>
      </c>
      <c r="C45" s="470" t="s">
        <v>73</v>
      </c>
      <c r="D45" s="127"/>
      <c r="E45" s="127"/>
      <c r="F45" s="127"/>
      <c r="G45" s="127"/>
      <c r="H45" s="127"/>
      <c r="I45" s="127"/>
      <c r="J45" s="23"/>
      <c r="K45" s="127"/>
      <c r="M45" s="283"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25">
      <c r="A46" s="278">
        <v>-21</v>
      </c>
      <c r="B46" s="36" t="s">
        <v>322</v>
      </c>
      <c r="C46" s="470" t="s">
        <v>73</v>
      </c>
      <c r="D46" s="127"/>
      <c r="E46" s="127"/>
      <c r="F46" s="127"/>
      <c r="G46" s="127"/>
      <c r="H46" s="127"/>
      <c r="I46" s="127"/>
      <c r="J46" s="23"/>
      <c r="K46" s="127"/>
      <c r="M46" s="283"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25">
      <c r="A47" s="14" t="s">
        <v>707</v>
      </c>
      <c r="M47" s="283"/>
    </row>
    <row r="48" spans="1:13" ht="17.25" customHeight="1" thickBot="1" x14ac:dyDescent="0.3">
      <c r="A48" s="14" t="s">
        <v>323</v>
      </c>
      <c r="M48" s="283"/>
    </row>
    <row r="49" spans="1:14" ht="17.25" hidden="1" customHeight="1" x14ac:dyDescent="0.25">
      <c r="A49" s="14" t="s">
        <v>338</v>
      </c>
      <c r="J49" s="187"/>
      <c r="M49" s="202"/>
    </row>
    <row r="50" spans="1:14" ht="17.25" hidden="1" customHeight="1" thickBot="1" x14ac:dyDescent="0.3">
      <c r="A50" s="14" t="s">
        <v>157</v>
      </c>
      <c r="J50" s="91"/>
      <c r="M50" s="88"/>
    </row>
    <row r="51" spans="1:14" ht="20.100000000000001" customHeight="1" x14ac:dyDescent="0.25">
      <c r="A51" s="14"/>
      <c r="H51" s="785" t="s">
        <v>668</v>
      </c>
      <c r="I51" s="785"/>
      <c r="J51" s="785"/>
      <c r="K51" s="785"/>
      <c r="M51" s="142"/>
    </row>
    <row r="52" spans="1:14" ht="17.25" customHeight="1" x14ac:dyDescent="0.25">
      <c r="A52" s="14"/>
      <c r="J52" s="92"/>
      <c r="M52" s="90"/>
    </row>
    <row r="53" spans="1:14" x14ac:dyDescent="0.25">
      <c r="A53" s="14"/>
      <c r="B53" s="14"/>
      <c r="C53" s="14"/>
      <c r="D53" s="14"/>
      <c r="E53" s="14"/>
      <c r="F53" s="14"/>
      <c r="G53" s="14"/>
      <c r="H53" s="14"/>
      <c r="I53" s="14"/>
      <c r="J53" s="14"/>
      <c r="K53" s="14"/>
      <c r="L53" s="14"/>
      <c r="M53" s="14"/>
      <c r="N53" s="14"/>
    </row>
    <row r="54" spans="1:14" x14ac:dyDescent="0.25">
      <c r="A54" s="14"/>
      <c r="B54" s="14"/>
      <c r="C54" s="14"/>
      <c r="D54" s="14"/>
      <c r="E54" s="14"/>
      <c r="F54" s="14"/>
      <c r="G54" s="14"/>
      <c r="H54" s="14"/>
      <c r="I54" s="14"/>
      <c r="J54" s="14"/>
      <c r="K54" s="14"/>
      <c r="L54" s="14"/>
      <c r="M54" s="14"/>
      <c r="N54" s="14"/>
    </row>
    <row r="55" spans="1:14" x14ac:dyDescent="0.25">
      <c r="A55" s="14"/>
      <c r="B55" s="14"/>
      <c r="C55" s="14"/>
      <c r="D55" s="14"/>
      <c r="E55" s="14"/>
      <c r="F55" s="14"/>
      <c r="G55" s="14"/>
      <c r="H55" s="14"/>
      <c r="I55" s="14"/>
      <c r="J55" s="14"/>
      <c r="K55" s="14"/>
      <c r="L55" s="14"/>
      <c r="M55" s="14"/>
      <c r="N55" s="14"/>
    </row>
    <row r="56" spans="1:14" x14ac:dyDescent="0.25">
      <c r="A56" s="14"/>
      <c r="B56" s="14"/>
      <c r="C56" s="14"/>
      <c r="D56" s="14"/>
      <c r="E56" s="14"/>
      <c r="F56" s="14"/>
      <c r="G56" s="14"/>
      <c r="H56" s="14"/>
      <c r="I56" s="14"/>
      <c r="J56" s="14"/>
      <c r="K56" s="14"/>
      <c r="L56" s="14"/>
      <c r="M56" s="14"/>
      <c r="N56" s="14"/>
    </row>
    <row r="57" spans="1:14" x14ac:dyDescent="0.25">
      <c r="A57" s="14"/>
      <c r="B57" s="14"/>
      <c r="C57" s="14"/>
      <c r="D57" s="14"/>
      <c r="E57" s="14"/>
      <c r="F57" s="14"/>
      <c r="G57" s="14"/>
      <c r="H57" s="14"/>
      <c r="I57" s="14"/>
      <c r="J57" s="14"/>
      <c r="K57" s="14"/>
      <c r="L57" s="14"/>
      <c r="M57" s="14"/>
      <c r="N57" s="14"/>
    </row>
    <row r="58" spans="1:14" x14ac:dyDescent="0.25">
      <c r="A58" s="14"/>
      <c r="B58" s="14"/>
      <c r="C58" s="14"/>
      <c r="D58" s="14"/>
      <c r="E58" s="14"/>
      <c r="F58" s="14"/>
      <c r="G58" s="14"/>
      <c r="H58" s="14"/>
      <c r="I58" s="14"/>
      <c r="J58" s="14"/>
      <c r="K58" s="14"/>
      <c r="L58" s="14"/>
      <c r="M58" s="14"/>
      <c r="N58" s="14"/>
    </row>
    <row r="59" spans="1:14" x14ac:dyDescent="0.25">
      <c r="A59" s="14"/>
      <c r="B59" s="14"/>
      <c r="C59" s="14"/>
      <c r="D59" s="14"/>
      <c r="E59" s="14"/>
      <c r="F59" s="14"/>
      <c r="G59" s="14"/>
      <c r="H59" s="14"/>
      <c r="I59" s="14"/>
      <c r="J59" s="14"/>
      <c r="K59" s="14"/>
      <c r="L59" s="14"/>
      <c r="M59" s="14"/>
      <c r="N59" s="14"/>
    </row>
    <row r="60" spans="1:14" x14ac:dyDescent="0.25">
      <c r="A60" s="14"/>
      <c r="B60" s="14"/>
      <c r="C60" s="14"/>
      <c r="D60" s="14"/>
      <c r="E60" s="14"/>
      <c r="F60" s="14"/>
      <c r="G60" s="14"/>
      <c r="H60" s="14"/>
      <c r="I60" s="14"/>
      <c r="J60" s="14"/>
      <c r="K60" s="14"/>
      <c r="L60" s="14"/>
      <c r="M60" s="14"/>
      <c r="N60" s="14"/>
    </row>
    <row r="61" spans="1:14" x14ac:dyDescent="0.25">
      <c r="A61" s="14"/>
      <c r="B61" s="14"/>
      <c r="C61" s="14"/>
      <c r="D61" s="14"/>
      <c r="E61" s="14"/>
      <c r="F61" s="14"/>
      <c r="G61" s="14"/>
      <c r="H61" s="14"/>
      <c r="I61" s="14"/>
      <c r="J61" s="14"/>
      <c r="K61" s="14"/>
      <c r="L61" s="14"/>
      <c r="M61" s="14"/>
      <c r="N61" s="14"/>
    </row>
    <row r="62" spans="1:14" x14ac:dyDescent="0.25">
      <c r="A62" s="14"/>
      <c r="B62" s="14"/>
      <c r="C62" s="14"/>
      <c r="D62" s="14"/>
      <c r="E62" s="14"/>
      <c r="F62" s="14"/>
      <c r="G62" s="14"/>
      <c r="H62" s="14"/>
      <c r="I62" s="14"/>
      <c r="J62" s="14"/>
      <c r="K62" s="14"/>
      <c r="L62" s="14"/>
      <c r="M62" s="14"/>
      <c r="N62" s="14"/>
    </row>
    <row r="63" spans="1:14" x14ac:dyDescent="0.25">
      <c r="A63" s="14"/>
      <c r="B63" s="14"/>
      <c r="C63" s="14"/>
      <c r="D63" s="14"/>
      <c r="E63" s="14"/>
      <c r="F63" s="14"/>
      <c r="G63" s="14"/>
      <c r="H63" s="14"/>
      <c r="I63" s="14"/>
      <c r="J63" s="14"/>
      <c r="K63" s="14"/>
      <c r="L63" s="14"/>
      <c r="M63" s="14"/>
      <c r="N63" s="14"/>
    </row>
    <row r="64" spans="1:14" x14ac:dyDescent="0.25">
      <c r="A64" s="14"/>
      <c r="B64" s="14"/>
      <c r="C64" s="14"/>
      <c r="D64" s="14"/>
      <c r="E64" s="14"/>
      <c r="F64" s="14"/>
      <c r="G64" s="14"/>
      <c r="H64" s="14"/>
      <c r="I64" s="14"/>
      <c r="J64" s="14"/>
      <c r="K64" s="14"/>
      <c r="L64" s="14"/>
      <c r="M64" s="14"/>
      <c r="N64" s="14"/>
    </row>
  </sheetData>
  <sheetProtection algorithmName="SHA-512" hashValue="IBLYlbcypD+9PzoD/fLLZisBIQPQeKUKNv0zNULLogMwCNFUUUZj9Y5m8VNcCoXUXKwZGwgETeJ3aZTpdc7XIQ==" saltValue="JavhrOjZbz47LcCFgWSrlg==" spinCount="100000" sheet="1" objects="1" scenarios="1" formatColumns="0" formatRows="0" sort="0"/>
  <mergeCells count="1">
    <mergeCell ref="H51:K51"/>
  </mergeCells>
  <hyperlinks>
    <hyperlink ref="H51" location="CHANGE_AT_MAX" display="BOOM!" xr:uid="{00000000-0004-0000-0C00-000000000000}"/>
    <hyperlink ref="H51:K51" location="'7.3Rate Change Calculation'!CHANGE_AT_MAX" display="Go to 7.3Rate Change Calculation" xr:uid="{00000000-0004-0000-0C00-000001000000}"/>
  </hyperlinks>
  <printOptions horizontalCentered="1"/>
  <pageMargins left="0.45" right="0.45" top="0.5" bottom="0.75" header="0.3" footer="0.3"/>
  <pageSetup scale="80" orientation="portrait" r:id="rId1"/>
  <headerFooter>
    <oddFooter>&amp;CPrior Approval Rate Template&amp;RPage 6.3&amp;L01/11/2022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9156" r:id="rId4" name="btnYears">
              <controlPr defaultSize="0" print="0" autoFill="0" autoPict="0" macro="[0]!ExpandContractColsData">
                <anchor moveWithCells="1">
                  <from>
                    <xdr:col>9</xdr:col>
                    <xdr:colOff>180975</xdr:colOff>
                    <xdr:row>9</xdr:row>
                    <xdr:rowOff>142875</xdr:rowOff>
                  </from>
                  <to>
                    <xdr:col>10</xdr:col>
                    <xdr:colOff>1009650</xdr:colOff>
                    <xdr:row>11</xdr:row>
                    <xdr:rowOff>66675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tabColor rgb="FF0000FF"/>
    <pageSetUpPr fitToPage="1"/>
  </sheetPr>
  <dimension ref="A1:M64"/>
  <sheetViews>
    <sheetView showGridLines="0" view="pageBreakPreview" topLeftCell="B7" zoomScaleNormal="100" zoomScaleSheetLayoutView="100" workbookViewId="0">
      <selection activeCell="K22" sqref="K22"/>
    </sheetView>
  </sheetViews>
  <sheetFormatPr defaultRowHeight="15" x14ac:dyDescent="0.25"/>
  <cols>
    <col min="1" max="1" width="5" customWidth="1"/>
    <col min="2" max="2" width="29.7109375" customWidth="1"/>
    <col min="3" max="3" width="7" bestFit="1" customWidth="1"/>
    <col min="4" max="6" width="15.7109375" hidden="1" customWidth="1"/>
    <col min="7" max="11" width="15.7109375" customWidth="1"/>
    <col min="12" max="12" width="0.85546875" customWidth="1"/>
    <col min="13" max="13" width="127.85546875" bestFit="1" customWidth="1"/>
  </cols>
  <sheetData>
    <row r="1" spans="1:13" ht="15.75" thickBot="1" x14ac:dyDescent="0.3">
      <c r="A1" s="10" t="s">
        <v>31</v>
      </c>
      <c r="B1" s="13"/>
      <c r="H1" s="13" t="s">
        <v>33</v>
      </c>
      <c r="K1" s="12" t="str">
        <f>Co_Name</f>
        <v>State Farm Mutual Automobile Insurance Company</v>
      </c>
      <c r="M1" s="279" t="s">
        <v>310</v>
      </c>
    </row>
    <row r="2" spans="1:13" x14ac:dyDescent="0.25">
      <c r="A2" s="10" t="s">
        <v>32</v>
      </c>
      <c r="B2" s="13"/>
      <c r="H2" s="13" t="s">
        <v>34</v>
      </c>
      <c r="K2" s="12" t="str">
        <f>General_Line</f>
        <v>Auto Liability and Physical Damage</v>
      </c>
      <c r="M2" s="280" t="s">
        <v>113</v>
      </c>
    </row>
    <row r="3" spans="1:13" x14ac:dyDescent="0.25">
      <c r="A3" s="10"/>
      <c r="B3" s="185"/>
      <c r="H3" s="83" t="s">
        <v>142</v>
      </c>
      <c r="I3" s="84"/>
      <c r="J3" s="84"/>
      <c r="K3" s="82" t="str">
        <f>CDI_FileNo</f>
        <v/>
      </c>
      <c r="M3" s="281"/>
    </row>
    <row r="4" spans="1:13" ht="18" customHeight="1" x14ac:dyDescent="0.25">
      <c r="M4" s="282"/>
    </row>
    <row r="5" spans="1:13" ht="23.25" x14ac:dyDescent="0.25">
      <c r="A5" s="4" t="s">
        <v>606</v>
      </c>
      <c r="B5" s="3"/>
      <c r="C5" s="3"/>
      <c r="D5" s="3"/>
      <c r="E5" s="3"/>
      <c r="F5" s="3"/>
      <c r="G5" s="3"/>
      <c r="H5" s="3"/>
      <c r="I5" s="3"/>
      <c r="J5" s="3"/>
      <c r="K5" s="3"/>
      <c r="L5" s="3"/>
      <c r="M5" s="282"/>
    </row>
    <row r="6" spans="1:13" ht="15.75" thickBot="1" x14ac:dyDescent="0.3">
      <c r="M6" s="282"/>
    </row>
    <row r="7" spans="1:13" ht="18" customHeight="1" thickBot="1" x14ac:dyDescent="0.3">
      <c r="B7" s="130" t="s">
        <v>1</v>
      </c>
      <c r="G7" s="14" t="str">
        <f>Completed_By</f>
        <v>Laura Campbell</v>
      </c>
      <c r="J7" s="130" t="s">
        <v>706</v>
      </c>
      <c r="K7" s="543"/>
      <c r="M7" s="282"/>
    </row>
    <row r="8" spans="1:13" ht="18" customHeight="1" x14ac:dyDescent="0.25">
      <c r="B8" s="130" t="s">
        <v>76</v>
      </c>
      <c r="G8" s="62">
        <f>Completed_Date</f>
        <v>44816</v>
      </c>
      <c r="M8" s="282"/>
    </row>
    <row r="9" spans="1:13" ht="5.0999999999999996" customHeight="1" x14ac:dyDescent="0.25">
      <c r="B9" s="130"/>
      <c r="M9" s="282"/>
    </row>
    <row r="10" spans="1:13" ht="18" customHeight="1" x14ac:dyDescent="0.25">
      <c r="B10" s="130" t="s">
        <v>77</v>
      </c>
      <c r="G10" s="298" t="str">
        <f>Detailed_LineDesc04</f>
        <v>Private Passenger Auto Physical Damage</v>
      </c>
      <c r="H10" s="298"/>
      <c r="I10" s="298"/>
      <c r="M10" s="283"/>
    </row>
    <row r="11" spans="1:13" ht="18" customHeight="1" x14ac:dyDescent="0.25">
      <c r="B11" s="130" t="s">
        <v>78</v>
      </c>
      <c r="G11" s="298" t="str">
        <f>Covg04</f>
        <v>COMP</v>
      </c>
      <c r="H11" s="298"/>
      <c r="I11" s="298"/>
      <c r="M11" s="282"/>
    </row>
    <row r="12" spans="1:13" ht="9.9499999999999993" customHeight="1" x14ac:dyDescent="0.25">
      <c r="B12" s="2"/>
      <c r="G12" s="27"/>
      <c r="I12" s="28"/>
      <c r="J12" s="29"/>
      <c r="M12" s="282"/>
    </row>
    <row r="13" spans="1:13" ht="30" x14ac:dyDescent="0.25">
      <c r="A13" s="33" t="s">
        <v>59</v>
      </c>
      <c r="B13" s="34" t="s">
        <v>64</v>
      </c>
      <c r="C13" s="33" t="s">
        <v>58</v>
      </c>
      <c r="D13" s="195" t="s">
        <v>226</v>
      </c>
      <c r="E13" s="195" t="s">
        <v>227</v>
      </c>
      <c r="F13" s="195" t="s">
        <v>228</v>
      </c>
      <c r="G13" s="195" t="s">
        <v>229</v>
      </c>
      <c r="H13" s="195" t="s">
        <v>230</v>
      </c>
      <c r="I13" s="195" t="s">
        <v>231</v>
      </c>
      <c r="J13" s="33" t="s">
        <v>109</v>
      </c>
      <c r="K13" s="33" t="s">
        <v>110</v>
      </c>
      <c r="M13" s="282"/>
    </row>
    <row r="14" spans="1:13" ht="18" customHeight="1" thickBot="1" x14ac:dyDescent="0.3">
      <c r="A14" s="49" t="s">
        <v>115</v>
      </c>
      <c r="B14" s="48" t="s">
        <v>114</v>
      </c>
      <c r="C14" s="44"/>
      <c r="D14" s="469" t="str">
        <f>LEFT(MstRcntDataYr,4)-5&amp;RIGHT(MstRcntDataYr,1)</f>
        <v>20171</v>
      </c>
      <c r="E14" s="469" t="str">
        <f>LEFT(MstRcntDataYr,4)-4&amp;RIGHT(MstRcntDataYr,1)</f>
        <v>20181</v>
      </c>
      <c r="F14" s="469" t="str">
        <f>LEFT(MstRcntDataYr,4)-3&amp;RIGHT(MstRcntDataYr,1)</f>
        <v>20191</v>
      </c>
      <c r="G14" s="469" t="str">
        <f>LEFT(MstRcntDataYr,4)-2&amp;RIGHT(MstRcntDataYr,1)</f>
        <v>20201</v>
      </c>
      <c r="H14" s="469" t="str">
        <f>LEFT(MstRcntDataYr,4)-1&amp;RIGHT(MstRcntDataYr,1)</f>
        <v>20211</v>
      </c>
      <c r="I14" s="469">
        <f>MstRcntDataYr</f>
        <v>20221</v>
      </c>
      <c r="J14" s="30"/>
      <c r="K14" s="22"/>
      <c r="M14" s="282"/>
    </row>
    <row r="15" spans="1:13" ht="30" customHeight="1" x14ac:dyDescent="0.25">
      <c r="A15" s="41">
        <v>-1</v>
      </c>
      <c r="B15" s="42" t="s">
        <v>54</v>
      </c>
      <c r="C15" s="43"/>
      <c r="D15" s="196"/>
      <c r="E15" s="197"/>
      <c r="F15" s="197"/>
      <c r="G15" s="127"/>
      <c r="H15" s="127"/>
      <c r="I15" s="127">
        <v>348901831.16000003</v>
      </c>
      <c r="J15" s="24"/>
      <c r="K15" s="127"/>
      <c r="M15" s="283" t="str">
        <f>IF(AND(New_Program=TRUE,ISBLANK($K$15)),"← ERROR! Enter projected figure for new program, or deselect 'New Program' on Page '1.General'.","")</f>
        <v/>
      </c>
    </row>
    <row r="16" spans="1:13" ht="30" customHeight="1" x14ac:dyDescent="0.25">
      <c r="A16" s="35">
        <v>-2</v>
      </c>
      <c r="B16" s="36" t="s">
        <v>55</v>
      </c>
      <c r="C16" s="470"/>
      <c r="D16" s="128"/>
      <c r="E16" s="127"/>
      <c r="F16" s="127"/>
      <c r="G16" s="127"/>
      <c r="H16" s="127"/>
      <c r="I16" s="127">
        <v>341127451.88999999</v>
      </c>
      <c r="J16" s="25"/>
      <c r="K16" s="85" t="str">
        <f>IF(ISBLANK($K$15),"",$K$15)</f>
        <v/>
      </c>
      <c r="M16" s="283" t="str">
        <f>IF(AND(New_Program=TRUE,$K$16&lt;&gt;$K$15),"← ERROR! For New Programs, Earned Premium must equal Written Premium. Refer to Section III.C. of Prior Approval Rate Filing Instructions.","")</f>
        <v/>
      </c>
    </row>
    <row r="17" spans="1:13" ht="18" customHeight="1" x14ac:dyDescent="0.25">
      <c r="A17" s="35">
        <v>-3</v>
      </c>
      <c r="B17" s="36" t="s">
        <v>36</v>
      </c>
      <c r="C17" s="470" t="s">
        <v>65</v>
      </c>
      <c r="D17" s="198"/>
      <c r="E17" s="199"/>
      <c r="F17" s="199"/>
      <c r="G17" s="199"/>
      <c r="H17" s="199"/>
      <c r="I17" s="199">
        <v>1</v>
      </c>
      <c r="J17" s="21"/>
      <c r="K17" s="21"/>
      <c r="M17" s="282"/>
    </row>
    <row r="18" spans="1:13" ht="18" customHeight="1" x14ac:dyDescent="0.25">
      <c r="A18" s="35">
        <v>-4</v>
      </c>
      <c r="B18" s="36" t="s">
        <v>130</v>
      </c>
      <c r="C18" s="470" t="s">
        <v>66</v>
      </c>
      <c r="D18" s="198"/>
      <c r="E18" s="199"/>
      <c r="F18" s="199"/>
      <c r="G18" s="199"/>
      <c r="H18" s="199"/>
      <c r="I18" s="199">
        <v>1.0684391902166306</v>
      </c>
      <c r="J18" s="200">
        <v>2.9858820828095E-2</v>
      </c>
      <c r="K18" s="21"/>
      <c r="M18" s="283" t="str">
        <f>IF(AND(New_Program=FALSE,ISBLANK($J$18)),"← ERROR! Enter Annual Premium Trend as a percentage in the 'Projected' column.","")</f>
        <v/>
      </c>
    </row>
    <row r="19" spans="1:13" ht="30" customHeight="1" x14ac:dyDescent="0.25">
      <c r="A19" s="35">
        <v>-5</v>
      </c>
      <c r="B19" s="36" t="s">
        <v>743</v>
      </c>
      <c r="C19" s="470" t="s">
        <v>67</v>
      </c>
      <c r="D19" s="128"/>
      <c r="E19" s="127"/>
      <c r="F19" s="127"/>
      <c r="G19" s="127"/>
      <c r="H19" s="127"/>
      <c r="I19" s="127">
        <v>0</v>
      </c>
      <c r="J19" s="21"/>
      <c r="K19" s="127"/>
      <c r="M19" s="283" t="str">
        <f>IF(AND(New_Program=TRUE,ISBLANK($K$19)),"← ERROR! Enter projected figure for new program, or deselect 'New Program' on Page '1.General'.","")</f>
        <v/>
      </c>
    </row>
    <row r="20" spans="1:13" ht="18" customHeight="1" x14ac:dyDescent="0.25">
      <c r="A20" s="35">
        <v>-6</v>
      </c>
      <c r="B20" s="36" t="s">
        <v>56</v>
      </c>
      <c r="C20" s="470"/>
      <c r="D20" s="128"/>
      <c r="E20" s="127"/>
      <c r="F20" s="127"/>
      <c r="G20" s="127"/>
      <c r="H20" s="127"/>
      <c r="I20" s="127">
        <v>3304840</v>
      </c>
      <c r="J20" s="21"/>
      <c r="K20" s="127"/>
      <c r="M20" s="283" t="str">
        <f>IF(AND(New_Program=TRUE,ISBLANK($K$20)),"← ERROR! Enter projected figure for new program, or deselect 'New Program' on Page '1.General'.","")</f>
        <v/>
      </c>
    </row>
    <row r="21" spans="1:13" ht="18" customHeight="1" x14ac:dyDescent="0.25">
      <c r="A21" s="35">
        <v>-7</v>
      </c>
      <c r="B21" s="36" t="s">
        <v>133</v>
      </c>
      <c r="C21" s="470"/>
      <c r="D21" s="128"/>
      <c r="E21" s="127"/>
      <c r="F21" s="127"/>
      <c r="G21" s="127"/>
      <c r="H21" s="127"/>
      <c r="I21" s="127">
        <v>326444067.16999996</v>
      </c>
      <c r="J21" s="21"/>
      <c r="K21" s="127"/>
      <c r="M21" s="283" t="str">
        <f>IF(AND(New_Program=TRUE,ISBLANK($K$21)),"← ERROR! Enter projected figure for new program, or deselect 'New Program' on Page '1.General'.","")</f>
        <v/>
      </c>
    </row>
    <row r="22" spans="1:13" ht="30" customHeight="1" x14ac:dyDescent="0.25">
      <c r="A22" s="35">
        <v>-8</v>
      </c>
      <c r="B22" s="36" t="s">
        <v>57</v>
      </c>
      <c r="C22" s="470"/>
      <c r="D22" s="128"/>
      <c r="E22" s="127"/>
      <c r="F22" s="127"/>
      <c r="G22" s="127"/>
      <c r="H22" s="127"/>
      <c r="I22" s="127">
        <v>1132828.3599999999</v>
      </c>
      <c r="J22" s="21"/>
      <c r="K22" s="127"/>
      <c r="M22" s="283" t="str">
        <f>IF(AND(New_Program=TRUE,ISBLANK($K$22)),"← ERROR! Enter projected figure for new program, or deselect 'New Program' on Page '1.General'.","")</f>
        <v/>
      </c>
    </row>
    <row r="23" spans="1:13" ht="18" customHeight="1" x14ac:dyDescent="0.25">
      <c r="A23" s="35">
        <v>-9</v>
      </c>
      <c r="B23" s="36" t="s">
        <v>60</v>
      </c>
      <c r="C23" s="470" t="s">
        <v>68</v>
      </c>
      <c r="D23" s="198"/>
      <c r="E23" s="199"/>
      <c r="F23" s="199"/>
      <c r="G23" s="199"/>
      <c r="H23" s="199"/>
      <c r="I23" s="199">
        <v>1.0041523171521765</v>
      </c>
      <c r="J23" s="21"/>
      <c r="K23" s="21"/>
      <c r="M23" s="282"/>
    </row>
    <row r="24" spans="1:13" ht="18" customHeight="1" x14ac:dyDescent="0.25">
      <c r="A24" s="35">
        <v>-10</v>
      </c>
      <c r="B24" s="36" t="s">
        <v>61</v>
      </c>
      <c r="C24" s="470" t="s">
        <v>68</v>
      </c>
      <c r="D24" s="198"/>
      <c r="E24" s="199"/>
      <c r="F24" s="199"/>
      <c r="G24" s="199"/>
      <c r="H24" s="199"/>
      <c r="I24" s="199">
        <v>1.8398599823177129</v>
      </c>
      <c r="J24" s="21"/>
      <c r="K24" s="21"/>
      <c r="M24" s="282"/>
    </row>
    <row r="25" spans="1:13" ht="18" customHeight="1" x14ac:dyDescent="0.25">
      <c r="A25" s="35">
        <v>-11</v>
      </c>
      <c r="B25" s="36" t="s">
        <v>132</v>
      </c>
      <c r="C25" s="470" t="s">
        <v>69</v>
      </c>
      <c r="D25" s="198"/>
      <c r="E25" s="199"/>
      <c r="F25" s="199"/>
      <c r="G25" s="199"/>
      <c r="H25" s="199"/>
      <c r="I25" s="199">
        <v>1.1494440501596113</v>
      </c>
      <c r="J25" s="200">
        <v>6.3857557087473538E-2</v>
      </c>
      <c r="K25" s="21"/>
      <c r="M25" s="283" t="str">
        <f>IF(AND(New_Program=FALSE,ISBLANK($J$25)),"← ERROR! Enter Annual Loss Trend as a percentage in the 'Projected' column","")</f>
        <v/>
      </c>
    </row>
    <row r="26" spans="1:13" ht="18" customHeight="1" x14ac:dyDescent="0.25">
      <c r="A26" s="35">
        <v>-12</v>
      </c>
      <c r="B26" s="36" t="s">
        <v>131</v>
      </c>
      <c r="C26" s="470" t="s">
        <v>69</v>
      </c>
      <c r="D26" s="198"/>
      <c r="E26" s="199"/>
      <c r="F26" s="199"/>
      <c r="G26" s="199"/>
      <c r="H26" s="199"/>
      <c r="I26" s="199">
        <v>1.1494440501596113</v>
      </c>
      <c r="J26" s="200">
        <v>6.3857557087473538E-2</v>
      </c>
      <c r="K26" s="21"/>
      <c r="M26" s="283" t="str">
        <f>IF(AND(New_Program=FALSE,ISBLANK($J$26)),"← ERROR! Enter Annual DCCE Trend as a percentage in the 'Projected' column","")</f>
        <v/>
      </c>
    </row>
    <row r="27" spans="1:13" ht="18" customHeight="1" x14ac:dyDescent="0.25">
      <c r="A27" s="35">
        <v>-13</v>
      </c>
      <c r="B27" s="36" t="s">
        <v>62</v>
      </c>
      <c r="C27" s="470" t="s">
        <v>70</v>
      </c>
      <c r="D27" s="198"/>
      <c r="E27" s="199"/>
      <c r="F27" s="199"/>
      <c r="G27" s="199"/>
      <c r="H27" s="199"/>
      <c r="I27" s="199">
        <v>1.0269999999999999</v>
      </c>
      <c r="J27" s="21"/>
      <c r="K27" s="21"/>
      <c r="M27" s="282"/>
    </row>
    <row r="28" spans="1:13" ht="18" customHeight="1" x14ac:dyDescent="0.25">
      <c r="A28" s="35">
        <v>-14</v>
      </c>
      <c r="B28" s="31" t="s">
        <v>728</v>
      </c>
      <c r="C28" s="470" t="s">
        <v>71</v>
      </c>
      <c r="D28" s="32"/>
      <c r="E28" s="21"/>
      <c r="F28" s="21"/>
      <c r="G28" s="21"/>
      <c r="H28" s="21"/>
      <c r="I28" s="21"/>
      <c r="J28" s="201">
        <v>1</v>
      </c>
      <c r="K28" s="21"/>
      <c r="M28" s="284"/>
    </row>
    <row r="29" spans="1:13" ht="18" customHeight="1" x14ac:dyDescent="0.25">
      <c r="A29" s="35">
        <v>-15</v>
      </c>
      <c r="B29" s="36" t="s">
        <v>37</v>
      </c>
      <c r="C29" s="470" t="s">
        <v>72</v>
      </c>
      <c r="D29" s="128"/>
      <c r="E29" s="127"/>
      <c r="F29" s="127"/>
      <c r="G29" s="127"/>
      <c r="H29" s="127"/>
      <c r="I29" s="127">
        <v>0</v>
      </c>
      <c r="J29" s="21"/>
      <c r="K29" s="127"/>
      <c r="M29" s="283" t="str">
        <f>IF(AND(New_Program=TRUE,ISBLANK($K$29)),"← ERROR! Enter projected figure for new program, or deselect 'New Program' on Page '1.General'.","")</f>
        <v/>
      </c>
    </row>
    <row r="30" spans="1:13" ht="5.0999999999999996" customHeight="1" x14ac:dyDescent="0.25">
      <c r="A30" s="38"/>
      <c r="B30" s="39"/>
      <c r="C30" s="40"/>
      <c r="D30" s="641">
        <f>IF(COUNTBLANK(D15:D27)+COUNTBLANK(D29)=14,1,IF(COUNT(D15:D27)+COUNT(D29)=14,1,"D "))</f>
        <v>1</v>
      </c>
      <c r="E30" s="641">
        <f>IF(COUNTBLANK(E15:E27)+COUNTBLANK(E29)=14,1,IF(COUNT(E15:E27)+COUNT(E29)=14,1,"E "))</f>
        <v>1</v>
      </c>
      <c r="F30" s="641">
        <f>IF(COUNTBLANK(F15:F27)+COUNTBLANK(F29)=14,1,IF(COUNT(F15:F27)+COUNT(F29)=14,1,"F "))</f>
        <v>1</v>
      </c>
      <c r="G30" s="641">
        <f>IF(COUNTBLANK(G15:G27)+COUNTBLANK(G29)=14,1,IF(COUNT(G15:G27)+COUNT(G29)=14,1,"G "))</f>
        <v>1</v>
      </c>
      <c r="H30" s="641">
        <f>IF(COUNTBLANK(H15:H27)+COUNTBLANK(H29)=14,1,IF(COUNT(H15:H27)+COUNT(H29)=14,1,"H "))</f>
        <v>1</v>
      </c>
      <c r="I30" s="641">
        <f>IF(COUNTBLANK(I15:I27)+COUNTBLANK(I29)=14,1,IF(COUNT(I15:I27)+COUNT(I29)=14,1,"I "))</f>
        <v>1</v>
      </c>
      <c r="J30" s="642">
        <f>IF(COUNTBLANK(J15:J29)=15,1,IF(COUNT(J18,J25,J26,J28)=4,1,"J "))</f>
        <v>1</v>
      </c>
      <c r="K30" s="643">
        <f>IF(COUNTBLANK(K15)+COUNTBLANK(K17:K29)=14,1,IF(COUNT(K15,K19,K20,K21,K22,K29)=6,1,"K "))</f>
        <v>1</v>
      </c>
      <c r="M30" s="282"/>
    </row>
    <row r="31" spans="1:13" ht="15" customHeight="1" x14ac:dyDescent="0.25">
      <c r="A31" s="38"/>
      <c r="B31" s="20" t="s">
        <v>716</v>
      </c>
      <c r="C31" s="40"/>
      <c r="D31" s="14"/>
      <c r="E31" s="14"/>
      <c r="F31" s="14"/>
      <c r="G31" s="14"/>
      <c r="H31" s="14"/>
      <c r="I31" s="14"/>
      <c r="J31" s="26"/>
      <c r="K31" s="143"/>
      <c r="M31" s="283"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25">
      <c r="A32" s="38"/>
      <c r="B32" s="39"/>
      <c r="C32" s="40"/>
      <c r="D32" s="14"/>
      <c r="E32" s="14"/>
      <c r="F32" s="14"/>
      <c r="G32" s="14"/>
      <c r="H32" s="14"/>
      <c r="I32" s="14"/>
      <c r="J32" s="26"/>
      <c r="K32" s="143"/>
      <c r="M32" s="282"/>
    </row>
    <row r="33" spans="1:13" ht="18" customHeight="1" x14ac:dyDescent="0.25">
      <c r="A33" s="35">
        <v>-16</v>
      </c>
      <c r="B33" s="36" t="s">
        <v>162</v>
      </c>
      <c r="C33" s="470" t="s">
        <v>608</v>
      </c>
      <c r="D33" s="32"/>
      <c r="E33" s="21"/>
      <c r="F33" s="21"/>
      <c r="G33" s="21"/>
      <c r="H33" s="21"/>
      <c r="I33" s="21"/>
      <c r="J33" s="81">
        <f>IF(New_Program=FALSE,ExpRatio_Excluded,"")</f>
        <v>1.3597266477453115E-2</v>
      </c>
      <c r="K33" s="81" t="str">
        <f>IF(New_Program=TRUE,ExpRatio_Excluded,"")</f>
        <v/>
      </c>
      <c r="M33" s="282"/>
    </row>
    <row r="34" spans="1:13" ht="30" customHeight="1" x14ac:dyDescent="0.25">
      <c r="A34" s="35">
        <v>-17</v>
      </c>
      <c r="B34" s="36" t="s">
        <v>311</v>
      </c>
      <c r="C34" s="470" t="s">
        <v>609</v>
      </c>
      <c r="D34" s="32"/>
      <c r="E34" s="21"/>
      <c r="F34" s="21"/>
      <c r="G34" s="21"/>
      <c r="H34" s="21"/>
      <c r="I34" s="21"/>
      <c r="J34" s="81">
        <f>IF(New_Program=FALSE,FIT_Inv,"")</f>
        <v>0.18752087399665437</v>
      </c>
      <c r="K34" s="81" t="str">
        <f>IF(New_Program=TRUE,FIT_Inv,"")</f>
        <v/>
      </c>
      <c r="M34" s="282"/>
    </row>
    <row r="35" spans="1:13" ht="18" customHeight="1" x14ac:dyDescent="0.25">
      <c r="A35" s="35">
        <v>-18</v>
      </c>
      <c r="B35" s="31" t="s">
        <v>312</v>
      </c>
      <c r="C35" s="470" t="s">
        <v>609</v>
      </c>
      <c r="D35" s="32"/>
      <c r="E35" s="21"/>
      <c r="F35" s="21"/>
      <c r="G35" s="21"/>
      <c r="H35" s="21"/>
      <c r="I35" s="21"/>
      <c r="J35" s="81">
        <f>IF(New_Program=FALSE,Yield,"")</f>
        <v>8.8050065696007235E-2</v>
      </c>
      <c r="K35" s="81" t="str">
        <f>IF(New_Program=TRUE,Yield,"")</f>
        <v/>
      </c>
      <c r="M35" s="282"/>
    </row>
    <row r="36" spans="1:13" ht="5.0999999999999996" hidden="1" customHeight="1" x14ac:dyDescent="0.25">
      <c r="A36" s="38"/>
      <c r="B36" s="39"/>
      <c r="C36" s="40"/>
      <c r="D36" s="14"/>
      <c r="E36" s="14"/>
      <c r="F36" s="14"/>
      <c r="G36" s="14"/>
      <c r="H36" s="14"/>
      <c r="I36" s="14"/>
      <c r="J36" s="26"/>
      <c r="K36" s="143"/>
      <c r="M36" s="282"/>
    </row>
    <row r="37" spans="1:13" ht="15" hidden="1" customHeight="1" x14ac:dyDescent="0.25">
      <c r="A37" s="38"/>
      <c r="B37" s="20" t="s">
        <v>337</v>
      </c>
      <c r="C37" s="40"/>
      <c r="D37" s="45"/>
      <c r="E37" s="45"/>
      <c r="F37" s="45"/>
      <c r="G37" s="45"/>
      <c r="H37" s="45"/>
      <c r="I37" s="45"/>
      <c r="J37" s="45"/>
      <c r="K37" s="45"/>
      <c r="M37" s="282"/>
    </row>
    <row r="38" spans="1:13" ht="5.0999999999999996" hidden="1" customHeight="1" x14ac:dyDescent="0.25">
      <c r="A38" s="38"/>
      <c r="B38" s="39"/>
      <c r="C38" s="40"/>
      <c r="D38" s="45"/>
      <c r="E38" s="45"/>
      <c r="F38" s="45"/>
      <c r="G38" s="45"/>
      <c r="H38" s="45"/>
      <c r="I38" s="45"/>
      <c r="K38" s="46"/>
      <c r="M38" s="282"/>
    </row>
    <row r="39" spans="1:13" ht="18" hidden="1" customHeight="1" x14ac:dyDescent="0.25">
      <c r="A39" s="35">
        <v>-19</v>
      </c>
      <c r="B39" s="36" t="s">
        <v>112</v>
      </c>
      <c r="C39" s="470" t="s">
        <v>111</v>
      </c>
      <c r="D39" s="21"/>
      <c r="E39" s="21"/>
      <c r="F39" s="21"/>
      <c r="G39" s="21"/>
      <c r="H39" s="21"/>
      <c r="I39" s="21"/>
      <c r="J39" s="200"/>
      <c r="K39" s="21"/>
      <c r="M39" s="283" t="str">
        <f>IF(AND(ISBLANK($J$39)=FALSE,'1.General'!$I$47=2),"← ERROR! No efficiency standard variance will be applied unless 'Y' is selected in pull-down menu on Page '1.General'.","")</f>
        <v/>
      </c>
    </row>
    <row r="40" spans="1:13" ht="30" hidden="1" customHeight="1" x14ac:dyDescent="0.25">
      <c r="A40" s="35">
        <v>-20</v>
      </c>
      <c r="B40" s="36" t="s">
        <v>156</v>
      </c>
      <c r="C40" s="470" t="s">
        <v>111</v>
      </c>
      <c r="D40" s="21"/>
      <c r="E40" s="21"/>
      <c r="F40" s="21"/>
      <c r="G40" s="21"/>
      <c r="H40" s="21"/>
      <c r="I40" s="21"/>
      <c r="J40" s="200"/>
      <c r="K40" s="21"/>
      <c r="M40" s="284" t="str">
        <f>IF('1.General'!$I$47=2,"",IF(AND(ExpRatio_Actual04&lt;=EffStd_Wtd04,EffStd_VarReq04&gt;0),"← ERROR: Based on insurer's stated most recent year expense ratio, no relief from efficiency standard variances is allowed.  Insurer's stated most recent year expense ratio is already less than or equal to the efficiency standard.",IF(AND(ROUND(EffStd_Wtd04+EffStd_VarReq04,3)&gt;ExpRatio_Actual04,EffStd_VarReq04&gt;0),"← ERROR! Assuming the calculation of the insurer's most recent year expense ratio is justified, relief from the efficiency standard will be limited to the difference between that ratio and the efficiency standard, or, "&amp;ROUND(ExpRatio_Actual04-EffStd_Wtd04,3)*100&amp;"%, subject to CDI approval.","")))</f>
        <v/>
      </c>
    </row>
    <row r="41" spans="1:13" ht="4.5" customHeight="1" x14ac:dyDescent="0.25">
      <c r="A41" s="38"/>
      <c r="B41" s="39"/>
      <c r="C41" s="40"/>
      <c r="D41" s="45"/>
      <c r="E41" s="45"/>
      <c r="F41" s="45"/>
      <c r="G41" s="45"/>
      <c r="H41" s="45"/>
      <c r="I41" s="45"/>
      <c r="J41" s="45"/>
      <c r="K41" s="45"/>
      <c r="M41" s="284"/>
    </row>
    <row r="42" spans="1:13" ht="15" hidden="1" customHeight="1" x14ac:dyDescent="0.25">
      <c r="A42" s="19"/>
      <c r="B42" s="20" t="s">
        <v>711</v>
      </c>
      <c r="C42" s="16"/>
      <c r="D42" s="14"/>
      <c r="E42" s="14"/>
      <c r="F42" s="14"/>
      <c r="G42" s="14"/>
      <c r="H42" s="14"/>
      <c r="I42" s="14"/>
      <c r="J42" s="14"/>
      <c r="K42" s="14"/>
      <c r="M42" s="282"/>
    </row>
    <row r="43" spans="1:13" ht="4.5" hidden="1" customHeight="1" x14ac:dyDescent="0.25">
      <c r="A43" s="19"/>
      <c r="B43" s="20"/>
      <c r="C43" s="16"/>
      <c r="D43" s="14"/>
      <c r="E43" s="14"/>
      <c r="F43" s="14"/>
      <c r="G43" s="14"/>
      <c r="H43" s="14"/>
      <c r="I43" s="14"/>
      <c r="J43" s="14"/>
      <c r="K43" s="14"/>
      <c r="M43" s="282"/>
    </row>
    <row r="44" spans="1:13" ht="18" hidden="1" customHeight="1" x14ac:dyDescent="0.25">
      <c r="A44" s="278">
        <v>-19</v>
      </c>
      <c r="B44" s="36" t="s">
        <v>321</v>
      </c>
      <c r="C44" s="31"/>
      <c r="D44" s="21"/>
      <c r="E44" s="21"/>
      <c r="F44" s="21"/>
      <c r="G44" s="21"/>
      <c r="H44" s="21"/>
      <c r="I44" s="21"/>
      <c r="J44" s="201"/>
      <c r="K44" s="21"/>
      <c r="M44" s="283" t="str">
        <f>IF(AND(ISBLANK($J$44),OR(General_Line="Medical Malpractice",General_Line="Earthquake")),"← ERROR! Enter direct commission rate.","")</f>
        <v/>
      </c>
    </row>
    <row r="45" spans="1:13" ht="18" hidden="1" customHeight="1" x14ac:dyDescent="0.25">
      <c r="A45" s="278">
        <v>-20</v>
      </c>
      <c r="B45" s="36" t="s">
        <v>63</v>
      </c>
      <c r="C45" s="470" t="s">
        <v>73</v>
      </c>
      <c r="D45" s="127"/>
      <c r="E45" s="127"/>
      <c r="F45" s="127"/>
      <c r="G45" s="127"/>
      <c r="H45" s="127"/>
      <c r="I45" s="127"/>
      <c r="J45" s="23"/>
      <c r="K45" s="127"/>
      <c r="M45" s="283"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25">
      <c r="A46" s="278">
        <v>-21</v>
      </c>
      <c r="B46" s="36" t="s">
        <v>322</v>
      </c>
      <c r="C46" s="470" t="s">
        <v>73</v>
      </c>
      <c r="D46" s="127"/>
      <c r="E46" s="127"/>
      <c r="F46" s="127"/>
      <c r="G46" s="127"/>
      <c r="H46" s="127"/>
      <c r="I46" s="127"/>
      <c r="J46" s="23"/>
      <c r="K46" s="127"/>
      <c r="M46" s="283"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25">
      <c r="A47" s="14" t="s">
        <v>707</v>
      </c>
      <c r="M47" s="283"/>
    </row>
    <row r="48" spans="1:13" ht="17.25" customHeight="1" thickBot="1" x14ac:dyDescent="0.3">
      <c r="A48" s="14" t="s">
        <v>323</v>
      </c>
      <c r="M48" s="283"/>
    </row>
    <row r="49" spans="1:13" ht="17.25" hidden="1" customHeight="1" x14ac:dyDescent="0.25">
      <c r="A49" s="14" t="s">
        <v>338</v>
      </c>
      <c r="J49" s="187"/>
      <c r="M49" s="202"/>
    </row>
    <row r="50" spans="1:13" ht="17.25" hidden="1" customHeight="1" thickBot="1" x14ac:dyDescent="0.3">
      <c r="A50" s="14" t="s">
        <v>157</v>
      </c>
      <c r="J50" s="91"/>
      <c r="M50" s="88"/>
    </row>
    <row r="51" spans="1:13" ht="20.100000000000001" customHeight="1" x14ac:dyDescent="0.25">
      <c r="A51" s="14"/>
      <c r="H51" s="785" t="s">
        <v>669</v>
      </c>
      <c r="I51" s="785"/>
      <c r="J51" s="785"/>
      <c r="K51" s="785"/>
      <c r="M51" s="142"/>
    </row>
    <row r="52" spans="1:13" ht="17.25" customHeight="1" x14ac:dyDescent="0.25">
      <c r="A52" s="14"/>
      <c r="J52" s="92"/>
      <c r="M52" s="90"/>
    </row>
    <row r="53" spans="1:13" x14ac:dyDescent="0.25">
      <c r="A53" s="14"/>
      <c r="B53" s="14"/>
      <c r="C53" s="14"/>
      <c r="D53" s="14"/>
      <c r="E53" s="14"/>
      <c r="F53" s="14"/>
      <c r="G53" s="14"/>
      <c r="H53" s="14"/>
      <c r="I53" s="14"/>
      <c r="J53" s="14"/>
      <c r="K53" s="14"/>
      <c r="L53" s="14"/>
      <c r="M53" s="14"/>
    </row>
    <row r="54" spans="1:13" x14ac:dyDescent="0.25">
      <c r="A54" s="14"/>
      <c r="B54" s="14"/>
      <c r="C54" s="14"/>
      <c r="D54" s="14"/>
      <c r="E54" s="14"/>
      <c r="F54" s="14"/>
      <c r="G54" s="14"/>
      <c r="H54" s="14"/>
      <c r="I54" s="14"/>
      <c r="J54" s="14"/>
      <c r="K54" s="14"/>
      <c r="L54" s="14"/>
      <c r="M54" s="14"/>
    </row>
    <row r="55" spans="1:13" x14ac:dyDescent="0.25">
      <c r="A55" s="14"/>
      <c r="B55" s="14"/>
      <c r="C55" s="14"/>
      <c r="D55" s="14"/>
      <c r="E55" s="14"/>
      <c r="F55" s="14"/>
      <c r="G55" s="14"/>
      <c r="H55" s="14"/>
      <c r="I55" s="14"/>
      <c r="J55" s="14"/>
      <c r="K55" s="14"/>
      <c r="L55" s="14"/>
      <c r="M55" s="14"/>
    </row>
    <row r="56" spans="1:13" x14ac:dyDescent="0.25">
      <c r="A56" s="14"/>
      <c r="B56" s="14"/>
      <c r="C56" s="14"/>
      <c r="D56" s="14"/>
      <c r="E56" s="14"/>
      <c r="F56" s="14"/>
      <c r="G56" s="14"/>
      <c r="H56" s="14"/>
      <c r="I56" s="14"/>
      <c r="J56" s="14"/>
      <c r="K56" s="14"/>
      <c r="L56" s="14"/>
      <c r="M56" s="14"/>
    </row>
    <row r="57" spans="1:13" x14ac:dyDescent="0.25">
      <c r="A57" s="14"/>
      <c r="B57" s="14"/>
      <c r="C57" s="14"/>
      <c r="D57" s="14"/>
      <c r="E57" s="14"/>
      <c r="F57" s="14"/>
      <c r="G57" s="14"/>
      <c r="H57" s="14"/>
      <c r="I57" s="14"/>
      <c r="J57" s="14"/>
      <c r="K57" s="14"/>
      <c r="L57" s="14"/>
      <c r="M57" s="14"/>
    </row>
    <row r="58" spans="1:13" x14ac:dyDescent="0.25">
      <c r="A58" s="14"/>
      <c r="B58" s="14"/>
      <c r="C58" s="14"/>
      <c r="D58" s="14"/>
      <c r="E58" s="14"/>
      <c r="F58" s="14"/>
      <c r="G58" s="14"/>
      <c r="H58" s="14"/>
      <c r="I58" s="14"/>
      <c r="J58" s="14"/>
      <c r="K58" s="14"/>
      <c r="L58" s="14"/>
      <c r="M58" s="14"/>
    </row>
    <row r="59" spans="1:13" x14ac:dyDescent="0.25">
      <c r="A59" s="14"/>
      <c r="B59" s="14"/>
      <c r="C59" s="14"/>
      <c r="D59" s="14"/>
      <c r="E59" s="14"/>
      <c r="F59" s="14"/>
      <c r="G59" s="14"/>
      <c r="H59" s="14"/>
      <c r="I59" s="14"/>
      <c r="J59" s="14"/>
      <c r="K59" s="14"/>
      <c r="L59" s="14"/>
      <c r="M59" s="14"/>
    </row>
    <row r="60" spans="1:13" x14ac:dyDescent="0.25">
      <c r="A60" s="14"/>
      <c r="B60" s="14"/>
      <c r="C60" s="14"/>
      <c r="D60" s="14"/>
      <c r="E60" s="14"/>
      <c r="F60" s="14"/>
      <c r="G60" s="14"/>
      <c r="H60" s="14"/>
      <c r="I60" s="14"/>
      <c r="J60" s="14"/>
      <c r="K60" s="14"/>
      <c r="L60" s="14"/>
      <c r="M60" s="14"/>
    </row>
    <row r="61" spans="1:13" x14ac:dyDescent="0.25">
      <c r="A61" s="14"/>
      <c r="B61" s="14"/>
      <c r="C61" s="14"/>
      <c r="D61" s="14"/>
      <c r="E61" s="14"/>
      <c r="F61" s="14"/>
      <c r="G61" s="14"/>
      <c r="H61" s="14"/>
      <c r="I61" s="14"/>
      <c r="J61" s="14"/>
      <c r="K61" s="14"/>
      <c r="L61" s="14"/>
      <c r="M61" s="14"/>
    </row>
    <row r="62" spans="1:13" x14ac:dyDescent="0.25">
      <c r="A62" s="14"/>
      <c r="B62" s="14"/>
      <c r="C62" s="14"/>
      <c r="D62" s="14"/>
      <c r="E62" s="14"/>
      <c r="F62" s="14"/>
      <c r="G62" s="14"/>
      <c r="H62" s="14"/>
      <c r="I62" s="14"/>
      <c r="J62" s="14"/>
      <c r="K62" s="14"/>
      <c r="L62" s="14"/>
      <c r="M62" s="14"/>
    </row>
    <row r="63" spans="1:13" x14ac:dyDescent="0.25">
      <c r="A63" s="14"/>
      <c r="B63" s="14"/>
      <c r="C63" s="14"/>
      <c r="D63" s="14"/>
      <c r="E63" s="14"/>
      <c r="F63" s="14"/>
      <c r="G63" s="14"/>
      <c r="H63" s="14"/>
      <c r="I63" s="14"/>
      <c r="J63" s="14"/>
      <c r="K63" s="14"/>
      <c r="L63" s="14"/>
      <c r="M63" s="14"/>
    </row>
    <row r="64" spans="1:13" x14ac:dyDescent="0.25">
      <c r="A64" s="14"/>
      <c r="B64" s="14"/>
      <c r="C64" s="14"/>
      <c r="D64" s="14"/>
      <c r="E64" s="14"/>
      <c r="F64" s="14"/>
      <c r="G64" s="14"/>
      <c r="H64" s="14"/>
      <c r="I64" s="14"/>
      <c r="J64" s="14"/>
      <c r="K64" s="14"/>
      <c r="L64" s="14"/>
      <c r="M64" s="14"/>
    </row>
  </sheetData>
  <sheetProtection algorithmName="SHA-512" hashValue="ZH8zskBkpFLL6nl1hs+yYJZzrpDjjLM/xbau8XLC6g3vv7knw3vOYZqE4CyVkPFCLOGA2ATIUt6S1/AlIcP4Dg==" saltValue="7VqCV+DQMmd0gMBjl6evdQ==" spinCount="100000" sheet="1" objects="1" scenarios="1" formatColumns="0" formatRows="0" sort="0"/>
  <mergeCells count="1">
    <mergeCell ref="H51:K51"/>
  </mergeCells>
  <hyperlinks>
    <hyperlink ref="H51" location="CHANGE_AT_MAX" display="BOOM!" xr:uid="{00000000-0004-0000-0D00-000000000000}"/>
    <hyperlink ref="H51:K51" location="'7.4Rate Change Calculation'!CHANGE_AT_MAX" display="Go to 7.4Rate Change Calculation" xr:uid="{00000000-0004-0000-0D00-000001000000}"/>
  </hyperlinks>
  <printOptions horizontalCentered="1"/>
  <pageMargins left="0.45" right="0.45" top="0.5" bottom="0.75" header="0.3" footer="0.3"/>
  <pageSetup scale="80" orientation="portrait" r:id="rId1"/>
  <headerFooter>
    <oddFooter>&amp;CPrior Approval Rate Template&amp;RPage 6.4&amp;L01/11/2022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0179" r:id="rId4" name="btnYears">
              <controlPr defaultSize="0" print="0" autoFill="0" autoPict="0" macro="[0]!ExpandContractColsData">
                <anchor moveWithCells="1">
                  <from>
                    <xdr:col>9</xdr:col>
                    <xdr:colOff>180975</xdr:colOff>
                    <xdr:row>9</xdr:row>
                    <xdr:rowOff>142875</xdr:rowOff>
                  </from>
                  <to>
                    <xdr:col>10</xdr:col>
                    <xdr:colOff>1009650</xdr:colOff>
                    <xdr:row>11</xdr:row>
                    <xdr:rowOff>66675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
    <tabColor rgb="FF0000FF"/>
    <pageSetUpPr fitToPage="1"/>
  </sheetPr>
  <dimension ref="A1:N64"/>
  <sheetViews>
    <sheetView showGridLines="0" view="pageBreakPreview" topLeftCell="A8" zoomScaleNormal="100" zoomScaleSheetLayoutView="100" workbookViewId="0">
      <selection activeCell="H35" sqref="H35"/>
    </sheetView>
  </sheetViews>
  <sheetFormatPr defaultRowHeight="15" x14ac:dyDescent="0.25"/>
  <cols>
    <col min="1" max="1" width="5" customWidth="1"/>
    <col min="2" max="2" width="29.7109375" customWidth="1"/>
    <col min="3" max="3" width="7" bestFit="1" customWidth="1"/>
    <col min="4" max="6" width="15.7109375" hidden="1" customWidth="1"/>
    <col min="7" max="11" width="15.7109375" customWidth="1"/>
    <col min="12" max="12" width="0.85546875" customWidth="1"/>
    <col min="13" max="13" width="127.85546875" bestFit="1" customWidth="1"/>
  </cols>
  <sheetData>
    <row r="1" spans="1:13" ht="15.75" thickBot="1" x14ac:dyDescent="0.3">
      <c r="A1" s="10" t="s">
        <v>31</v>
      </c>
      <c r="B1" s="13"/>
      <c r="H1" s="13" t="s">
        <v>33</v>
      </c>
      <c r="K1" s="12" t="str">
        <f>Co_Name</f>
        <v>State Farm Mutual Automobile Insurance Company</v>
      </c>
      <c r="M1" s="279" t="s">
        <v>310</v>
      </c>
    </row>
    <row r="2" spans="1:13" x14ac:dyDescent="0.25">
      <c r="A2" s="10" t="s">
        <v>32</v>
      </c>
      <c r="B2" s="13"/>
      <c r="H2" s="13" t="s">
        <v>34</v>
      </c>
      <c r="K2" s="12" t="str">
        <f>General_Line</f>
        <v>Auto Liability and Physical Damage</v>
      </c>
      <c r="M2" s="280" t="s">
        <v>113</v>
      </c>
    </row>
    <row r="3" spans="1:13" x14ac:dyDescent="0.25">
      <c r="A3" s="10"/>
      <c r="B3" s="185"/>
      <c r="H3" s="83" t="s">
        <v>142</v>
      </c>
      <c r="I3" s="84"/>
      <c r="J3" s="84"/>
      <c r="K3" s="82" t="str">
        <f>CDI_FileNo</f>
        <v/>
      </c>
      <c r="M3" s="281"/>
    </row>
    <row r="4" spans="1:13" ht="18" customHeight="1" x14ac:dyDescent="0.25">
      <c r="M4" s="282"/>
    </row>
    <row r="5" spans="1:13" ht="23.25" x14ac:dyDescent="0.25">
      <c r="A5" s="4" t="s">
        <v>606</v>
      </c>
      <c r="B5" s="3"/>
      <c r="C5" s="3"/>
      <c r="D5" s="3"/>
      <c r="E5" s="3"/>
      <c r="F5" s="3"/>
      <c r="G5" s="3"/>
      <c r="H5" s="3"/>
      <c r="I5" s="3"/>
      <c r="J5" s="3"/>
      <c r="K5" s="3"/>
      <c r="L5" s="3"/>
      <c r="M5" s="282"/>
    </row>
    <row r="6" spans="1:13" ht="15.75" thickBot="1" x14ac:dyDescent="0.3">
      <c r="M6" s="282"/>
    </row>
    <row r="7" spans="1:13" ht="18" customHeight="1" thickBot="1" x14ac:dyDescent="0.3">
      <c r="B7" s="130" t="s">
        <v>1</v>
      </c>
      <c r="G7" s="14" t="str">
        <f>Completed_By</f>
        <v>Laura Campbell</v>
      </c>
      <c r="J7" s="130" t="s">
        <v>706</v>
      </c>
      <c r="K7" s="543"/>
      <c r="M7" s="282"/>
    </row>
    <row r="8" spans="1:13" ht="18" customHeight="1" x14ac:dyDescent="0.25">
      <c r="B8" s="130" t="s">
        <v>76</v>
      </c>
      <c r="G8" s="62">
        <f>Completed_Date</f>
        <v>44816</v>
      </c>
      <c r="M8" s="282"/>
    </row>
    <row r="9" spans="1:13" ht="5.0999999999999996" customHeight="1" x14ac:dyDescent="0.25">
      <c r="B9" s="130"/>
      <c r="M9" s="282"/>
    </row>
    <row r="10" spans="1:13" ht="18" customHeight="1" x14ac:dyDescent="0.25">
      <c r="B10" s="130" t="s">
        <v>77</v>
      </c>
      <c r="G10" s="298" t="str">
        <f>Detailed_LineDesc05</f>
        <v>Private Passenger Auto Physical Damage</v>
      </c>
      <c r="H10" s="298"/>
      <c r="I10" s="298"/>
      <c r="M10" s="283"/>
    </row>
    <row r="11" spans="1:13" ht="18" customHeight="1" x14ac:dyDescent="0.25">
      <c r="B11" s="130" t="s">
        <v>78</v>
      </c>
      <c r="G11" s="298" t="str">
        <f>Covg05</f>
        <v>COLL</v>
      </c>
      <c r="H11" s="298"/>
      <c r="I11" s="298"/>
      <c r="M11" s="282"/>
    </row>
    <row r="12" spans="1:13" ht="9.9499999999999993" customHeight="1" x14ac:dyDescent="0.25">
      <c r="B12" s="2"/>
      <c r="G12" s="27"/>
      <c r="I12" s="28"/>
      <c r="J12" s="29"/>
      <c r="M12" s="282"/>
    </row>
    <row r="13" spans="1:13" ht="30" x14ac:dyDescent="0.25">
      <c r="A13" s="33" t="s">
        <v>59</v>
      </c>
      <c r="B13" s="34" t="s">
        <v>64</v>
      </c>
      <c r="C13" s="33" t="s">
        <v>58</v>
      </c>
      <c r="D13" s="195" t="s">
        <v>226</v>
      </c>
      <c r="E13" s="195" t="s">
        <v>227</v>
      </c>
      <c r="F13" s="195" t="s">
        <v>228</v>
      </c>
      <c r="G13" s="195" t="s">
        <v>229</v>
      </c>
      <c r="H13" s="195" t="s">
        <v>230</v>
      </c>
      <c r="I13" s="195" t="s">
        <v>231</v>
      </c>
      <c r="J13" s="33" t="s">
        <v>109</v>
      </c>
      <c r="K13" s="33" t="s">
        <v>110</v>
      </c>
      <c r="M13" s="282"/>
    </row>
    <row r="14" spans="1:13" ht="18" customHeight="1" thickBot="1" x14ac:dyDescent="0.3">
      <c r="A14" s="49" t="s">
        <v>115</v>
      </c>
      <c r="B14" s="48" t="s">
        <v>114</v>
      </c>
      <c r="C14" s="44"/>
      <c r="D14" s="469" t="str">
        <f>LEFT(MstRcntDataYr,4)-5&amp;RIGHT(MstRcntDataYr,1)</f>
        <v>20171</v>
      </c>
      <c r="E14" s="469" t="str">
        <f>LEFT(MstRcntDataYr,4)-4&amp;RIGHT(MstRcntDataYr,1)</f>
        <v>20181</v>
      </c>
      <c r="F14" s="469" t="str">
        <f>LEFT(MstRcntDataYr,4)-3&amp;RIGHT(MstRcntDataYr,1)</f>
        <v>20191</v>
      </c>
      <c r="G14" s="469" t="str">
        <f>LEFT(MstRcntDataYr,4)-2&amp;RIGHT(MstRcntDataYr,1)</f>
        <v>20201</v>
      </c>
      <c r="H14" s="469" t="str">
        <f>LEFT(MstRcntDataYr,4)-1&amp;RIGHT(MstRcntDataYr,1)</f>
        <v>20211</v>
      </c>
      <c r="I14" s="469">
        <f>MstRcntDataYr</f>
        <v>20221</v>
      </c>
      <c r="J14" s="30"/>
      <c r="K14" s="22"/>
      <c r="M14" s="282"/>
    </row>
    <row r="15" spans="1:13" ht="30" customHeight="1" x14ac:dyDescent="0.25">
      <c r="A15" s="41">
        <v>-1</v>
      </c>
      <c r="B15" s="42" t="s">
        <v>54</v>
      </c>
      <c r="C15" s="43"/>
      <c r="D15" s="196"/>
      <c r="E15" s="197"/>
      <c r="F15" s="197"/>
      <c r="G15" s="127"/>
      <c r="H15" s="127"/>
      <c r="I15" s="127">
        <v>1315820426.52</v>
      </c>
      <c r="J15" s="24"/>
      <c r="K15" s="127"/>
      <c r="M15" s="283" t="str">
        <f>IF(AND(New_Program=TRUE,ISBLANK($K$15)),"← ERROR! Enter projected figure for new program, or deselect 'New Program' on Page '1.General'.","")</f>
        <v/>
      </c>
    </row>
    <row r="16" spans="1:13" ht="30" customHeight="1" x14ac:dyDescent="0.25">
      <c r="A16" s="35">
        <v>-2</v>
      </c>
      <c r="B16" s="36" t="s">
        <v>55</v>
      </c>
      <c r="C16" s="470"/>
      <c r="D16" s="128"/>
      <c r="E16" s="127"/>
      <c r="F16" s="127"/>
      <c r="G16" s="127"/>
      <c r="H16" s="127"/>
      <c r="I16" s="127">
        <v>1286692108.6399999</v>
      </c>
      <c r="J16" s="25"/>
      <c r="K16" s="85" t="str">
        <f>IF(ISBLANK($K$15),"",$K$15)</f>
        <v/>
      </c>
      <c r="M16" s="283" t="str">
        <f>IF(AND(New_Program=TRUE,$K$16&lt;&gt;$K$15),"← ERROR! For New Programs, Earned Premium must equal Written Premium. Refer to Section III.C. of Prior Approval Rate Filing Instructions.","")</f>
        <v/>
      </c>
    </row>
    <row r="17" spans="1:13" ht="18" customHeight="1" x14ac:dyDescent="0.25">
      <c r="A17" s="35">
        <v>-3</v>
      </c>
      <c r="B17" s="36" t="s">
        <v>36</v>
      </c>
      <c r="C17" s="470" t="s">
        <v>65</v>
      </c>
      <c r="D17" s="198"/>
      <c r="E17" s="199"/>
      <c r="F17" s="199"/>
      <c r="G17" s="199"/>
      <c r="H17" s="199"/>
      <c r="I17" s="199">
        <v>1</v>
      </c>
      <c r="J17" s="21"/>
      <c r="K17" s="21"/>
      <c r="M17" s="282"/>
    </row>
    <row r="18" spans="1:13" ht="18" customHeight="1" x14ac:dyDescent="0.25">
      <c r="A18" s="35">
        <v>-4</v>
      </c>
      <c r="B18" s="36" t="s">
        <v>130</v>
      </c>
      <c r="C18" s="470" t="s">
        <v>66</v>
      </c>
      <c r="D18" s="198"/>
      <c r="E18" s="199"/>
      <c r="F18" s="199"/>
      <c r="G18" s="199"/>
      <c r="H18" s="199"/>
      <c r="I18" s="199">
        <v>1.0706385949623789</v>
      </c>
      <c r="J18" s="200">
        <v>3.0800498737642901E-2</v>
      </c>
      <c r="K18" s="21"/>
      <c r="M18" s="283" t="str">
        <f>IF(AND(New_Program=FALSE,ISBLANK($J$18)),"← ERROR! Enter Annual Premium Trend as a percentage in the 'Projected' column.","")</f>
        <v/>
      </c>
    </row>
    <row r="19" spans="1:13" ht="30" customHeight="1" x14ac:dyDescent="0.25">
      <c r="A19" s="35">
        <v>-5</v>
      </c>
      <c r="B19" s="36" t="s">
        <v>743</v>
      </c>
      <c r="C19" s="470" t="s">
        <v>67</v>
      </c>
      <c r="D19" s="128"/>
      <c r="E19" s="127"/>
      <c r="F19" s="127"/>
      <c r="G19" s="127"/>
      <c r="H19" s="127"/>
      <c r="I19" s="127">
        <v>0</v>
      </c>
      <c r="J19" s="21"/>
      <c r="K19" s="127"/>
      <c r="M19" s="283" t="str">
        <f>IF(AND(New_Program=TRUE,ISBLANK($K$19)),"← ERROR! Enter projected figure for new program, or deselect 'New Program' on Page '1.General'.","")</f>
        <v/>
      </c>
    </row>
    <row r="20" spans="1:13" ht="18" customHeight="1" x14ac:dyDescent="0.25">
      <c r="A20" s="35">
        <v>-6</v>
      </c>
      <c r="B20" s="36" t="s">
        <v>56</v>
      </c>
      <c r="C20" s="470"/>
      <c r="D20" s="128"/>
      <c r="E20" s="127"/>
      <c r="F20" s="127"/>
      <c r="G20" s="127"/>
      <c r="H20" s="127"/>
      <c r="I20" s="127">
        <v>3185496</v>
      </c>
      <c r="J20" s="21"/>
      <c r="K20" s="127"/>
      <c r="M20" s="283" t="str">
        <f>IF(AND(New_Program=TRUE,ISBLANK($K$20)),"← ERROR! Enter projected figure for new program, or deselect 'New Program' on Page '1.General'.","")</f>
        <v/>
      </c>
    </row>
    <row r="21" spans="1:13" ht="18" customHeight="1" x14ac:dyDescent="0.25">
      <c r="A21" s="35">
        <v>-7</v>
      </c>
      <c r="B21" s="36" t="s">
        <v>133</v>
      </c>
      <c r="C21" s="470"/>
      <c r="D21" s="128"/>
      <c r="E21" s="127"/>
      <c r="F21" s="127"/>
      <c r="G21" s="127"/>
      <c r="H21" s="127"/>
      <c r="I21" s="127">
        <v>1094978313.5099998</v>
      </c>
      <c r="J21" s="21"/>
      <c r="K21" s="127"/>
      <c r="M21" s="283" t="str">
        <f>IF(AND(New_Program=TRUE,ISBLANK($K$21)),"← ERROR! Enter projected figure for new program, or deselect 'New Program' on Page '1.General'.","")</f>
        <v/>
      </c>
    </row>
    <row r="22" spans="1:13" ht="30" customHeight="1" x14ac:dyDescent="0.25">
      <c r="A22" s="35">
        <v>-8</v>
      </c>
      <c r="B22" s="36" t="s">
        <v>57</v>
      </c>
      <c r="C22" s="470"/>
      <c r="D22" s="128"/>
      <c r="E22" s="127"/>
      <c r="F22" s="127"/>
      <c r="G22" s="127"/>
      <c r="H22" s="127"/>
      <c r="I22" s="127">
        <v>1451484.61</v>
      </c>
      <c r="J22" s="21"/>
      <c r="K22" s="127"/>
      <c r="M22" s="283" t="str">
        <f>IF(AND(New_Program=TRUE,ISBLANK($K$22)),"← ERROR! Enter projected figure for new program, or deselect 'New Program' on Page '1.General'.","")</f>
        <v/>
      </c>
    </row>
    <row r="23" spans="1:13" ht="18" customHeight="1" x14ac:dyDescent="0.25">
      <c r="A23" s="35">
        <v>-9</v>
      </c>
      <c r="B23" s="36" t="s">
        <v>60</v>
      </c>
      <c r="C23" s="470" t="s">
        <v>68</v>
      </c>
      <c r="D23" s="198"/>
      <c r="E23" s="199"/>
      <c r="F23" s="199"/>
      <c r="G23" s="199"/>
      <c r="H23" s="199"/>
      <c r="I23" s="199">
        <v>0.94317049895003446</v>
      </c>
      <c r="J23" s="21"/>
      <c r="K23" s="21"/>
      <c r="M23" s="282"/>
    </row>
    <row r="24" spans="1:13" ht="18" customHeight="1" x14ac:dyDescent="0.25">
      <c r="A24" s="35">
        <v>-10</v>
      </c>
      <c r="B24" s="36" t="s">
        <v>61</v>
      </c>
      <c r="C24" s="470" t="s">
        <v>68</v>
      </c>
      <c r="D24" s="198"/>
      <c r="E24" s="199"/>
      <c r="F24" s="199"/>
      <c r="G24" s="199"/>
      <c r="H24" s="199"/>
      <c r="I24" s="199">
        <v>2.188049468812554</v>
      </c>
      <c r="J24" s="21"/>
      <c r="K24" s="21"/>
      <c r="M24" s="282"/>
    </row>
    <row r="25" spans="1:13" ht="18" customHeight="1" x14ac:dyDescent="0.25">
      <c r="A25" s="35">
        <v>-11</v>
      </c>
      <c r="B25" s="36" t="s">
        <v>132</v>
      </c>
      <c r="C25" s="470" t="s">
        <v>69</v>
      </c>
      <c r="D25" s="198"/>
      <c r="E25" s="199"/>
      <c r="F25" s="199"/>
      <c r="G25" s="199"/>
      <c r="H25" s="199"/>
      <c r="I25" s="199">
        <v>1.1722882305573497</v>
      </c>
      <c r="J25" s="200">
        <v>7.3203196899454204E-2</v>
      </c>
      <c r="K25" s="21"/>
      <c r="M25" s="283" t="str">
        <f>IF(AND(New_Program=FALSE,ISBLANK($J$25)),"← ERROR! Enter Annual Loss Trend as a percentage in the 'Projected' column","")</f>
        <v/>
      </c>
    </row>
    <row r="26" spans="1:13" ht="18" customHeight="1" x14ac:dyDescent="0.25">
      <c r="A26" s="35">
        <v>-12</v>
      </c>
      <c r="B26" s="36" t="s">
        <v>131</v>
      </c>
      <c r="C26" s="470" t="s">
        <v>69</v>
      </c>
      <c r="D26" s="198"/>
      <c r="E26" s="199"/>
      <c r="F26" s="199"/>
      <c r="G26" s="199"/>
      <c r="H26" s="199"/>
      <c r="I26" s="199">
        <v>1.1722882305573497</v>
      </c>
      <c r="J26" s="200">
        <v>7.3203196899454204E-2</v>
      </c>
      <c r="K26" s="21"/>
      <c r="M26" s="283" t="str">
        <f>IF(AND(New_Program=FALSE,ISBLANK($J$26)),"← ERROR! Enter Annual DCCE Trend as a percentage in the 'Projected' column","")</f>
        <v/>
      </c>
    </row>
    <row r="27" spans="1:13" ht="18" customHeight="1" x14ac:dyDescent="0.25">
      <c r="A27" s="35">
        <v>-13</v>
      </c>
      <c r="B27" s="36" t="s">
        <v>62</v>
      </c>
      <c r="C27" s="470" t="s">
        <v>70</v>
      </c>
      <c r="D27" s="198"/>
      <c r="E27" s="199"/>
      <c r="F27" s="199"/>
      <c r="G27" s="199"/>
      <c r="H27" s="199"/>
      <c r="I27" s="199">
        <v>1</v>
      </c>
      <c r="J27" s="21"/>
      <c r="K27" s="21"/>
      <c r="M27" s="282"/>
    </row>
    <row r="28" spans="1:13" ht="18" customHeight="1" x14ac:dyDescent="0.25">
      <c r="A28" s="35">
        <v>-14</v>
      </c>
      <c r="B28" s="31" t="s">
        <v>728</v>
      </c>
      <c r="C28" s="470" t="s">
        <v>71</v>
      </c>
      <c r="D28" s="32"/>
      <c r="E28" s="21"/>
      <c r="F28" s="21"/>
      <c r="G28" s="21"/>
      <c r="H28" s="21"/>
      <c r="I28" s="21"/>
      <c r="J28" s="201">
        <v>1</v>
      </c>
      <c r="K28" s="21"/>
      <c r="M28" s="284"/>
    </row>
    <row r="29" spans="1:13" ht="18" customHeight="1" x14ac:dyDescent="0.25">
      <c r="A29" s="35">
        <v>-15</v>
      </c>
      <c r="B29" s="36" t="s">
        <v>37</v>
      </c>
      <c r="C29" s="470" t="s">
        <v>72</v>
      </c>
      <c r="D29" s="128"/>
      <c r="E29" s="127"/>
      <c r="F29" s="127"/>
      <c r="G29" s="127"/>
      <c r="H29" s="127"/>
      <c r="I29" s="127">
        <v>0</v>
      </c>
      <c r="J29" s="21"/>
      <c r="K29" s="127"/>
      <c r="M29" s="283" t="str">
        <f>IF(AND(New_Program=TRUE,ISBLANK($K$29)),"← ERROR! Enter projected figure for new program, or deselect 'New Program' on Page '1.General'.","")</f>
        <v/>
      </c>
    </row>
    <row r="30" spans="1:13" ht="5.0999999999999996" customHeight="1" x14ac:dyDescent="0.25">
      <c r="A30" s="38"/>
      <c r="B30" s="39"/>
      <c r="C30" s="40"/>
      <c r="D30" s="641">
        <f>IF(COUNTBLANK(D15:D27)+COUNTBLANK(D29)=14,1,IF(COUNT(D15:D27)+COUNT(D29)=14,1,"D "))</f>
        <v>1</v>
      </c>
      <c r="E30" s="641">
        <f>IF(COUNTBLANK(E15:E27)+COUNTBLANK(E29)=14,1,IF(COUNT(E15:E27)+COUNT(E29)=14,1,"E "))</f>
        <v>1</v>
      </c>
      <c r="F30" s="641">
        <f>IF(COUNTBLANK(F15:F27)+COUNTBLANK(F29)=14,1,IF(COUNT(F15:F27)+COUNT(F29)=14,1,"F "))</f>
        <v>1</v>
      </c>
      <c r="G30" s="641">
        <f>IF(COUNTBLANK(G15:G27)+COUNTBLANK(G29)=14,1,IF(COUNT(G15:G27)+COUNT(G29)=14,1,"G "))</f>
        <v>1</v>
      </c>
      <c r="H30" s="641">
        <f>IF(COUNTBLANK(H15:H27)+COUNTBLANK(H29)=14,1,IF(COUNT(H15:H27)+COUNT(H29)=14,1,"H "))</f>
        <v>1</v>
      </c>
      <c r="I30" s="641">
        <f>IF(COUNTBLANK(I15:I27)+COUNTBLANK(I29)=14,1,IF(COUNT(I15:I27)+COUNT(I29)=14,1,"I "))</f>
        <v>1</v>
      </c>
      <c r="J30" s="642">
        <f>IF(COUNTBLANK(J15:J29)=15,1,IF(COUNT(J18,J25,J26,J28)=4,1,"J "))</f>
        <v>1</v>
      </c>
      <c r="K30" s="643">
        <f>IF(COUNTBLANK(K15)+COUNTBLANK(K17:K29)=14,1,IF(COUNT(K15,K19,K20,K21,K22,K29)=6,1,"K "))</f>
        <v>1</v>
      </c>
      <c r="M30" s="282"/>
    </row>
    <row r="31" spans="1:13" ht="15" customHeight="1" x14ac:dyDescent="0.25">
      <c r="A31" s="38"/>
      <c r="B31" s="20" t="s">
        <v>716</v>
      </c>
      <c r="C31" s="40"/>
      <c r="D31" s="14"/>
      <c r="E31" s="14"/>
      <c r="F31" s="14"/>
      <c r="G31" s="14"/>
      <c r="H31" s="14"/>
      <c r="I31" s="14"/>
      <c r="J31" s="26"/>
      <c r="K31" s="143"/>
      <c r="M31" s="283"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25">
      <c r="A32" s="38"/>
      <c r="B32" s="39"/>
      <c r="C32" s="40"/>
      <c r="D32" s="14"/>
      <c r="E32" s="14"/>
      <c r="F32" s="14"/>
      <c r="G32" s="14"/>
      <c r="H32" s="14"/>
      <c r="I32" s="14"/>
      <c r="J32" s="26"/>
      <c r="K32" s="143"/>
      <c r="M32" s="282"/>
    </row>
    <row r="33" spans="1:13" ht="18" customHeight="1" x14ac:dyDescent="0.25">
      <c r="A33" s="35">
        <v>-16</v>
      </c>
      <c r="B33" s="36" t="s">
        <v>162</v>
      </c>
      <c r="C33" s="470" t="s">
        <v>608</v>
      </c>
      <c r="D33" s="32"/>
      <c r="E33" s="21"/>
      <c r="F33" s="21"/>
      <c r="G33" s="21"/>
      <c r="H33" s="21"/>
      <c r="I33" s="21"/>
      <c r="J33" s="81">
        <f>IF(New_Program=FALSE,ExpRatio_Excluded,"")</f>
        <v>1.3597266477453115E-2</v>
      </c>
      <c r="K33" s="81" t="str">
        <f>IF(New_Program=TRUE,ExpRatio_Excluded,"")</f>
        <v/>
      </c>
      <c r="M33" s="282"/>
    </row>
    <row r="34" spans="1:13" ht="30" customHeight="1" x14ac:dyDescent="0.25">
      <c r="A34" s="35">
        <v>-17</v>
      </c>
      <c r="B34" s="36" t="s">
        <v>311</v>
      </c>
      <c r="C34" s="470" t="s">
        <v>609</v>
      </c>
      <c r="D34" s="32"/>
      <c r="E34" s="21"/>
      <c r="F34" s="21"/>
      <c r="G34" s="21"/>
      <c r="H34" s="21"/>
      <c r="I34" s="21"/>
      <c r="J34" s="81">
        <f>IF(New_Program=FALSE,FIT_Inv,"")</f>
        <v>0.18752087399665437</v>
      </c>
      <c r="K34" s="81" t="str">
        <f>IF(New_Program=TRUE,FIT_Inv,"")</f>
        <v/>
      </c>
      <c r="M34" s="282"/>
    </row>
    <row r="35" spans="1:13" ht="18" customHeight="1" x14ac:dyDescent="0.25">
      <c r="A35" s="35">
        <v>-18</v>
      </c>
      <c r="B35" s="31" t="s">
        <v>312</v>
      </c>
      <c r="C35" s="470" t="s">
        <v>609</v>
      </c>
      <c r="D35" s="32"/>
      <c r="E35" s="21"/>
      <c r="F35" s="21"/>
      <c r="G35" s="21"/>
      <c r="H35" s="21"/>
      <c r="I35" s="21"/>
      <c r="J35" s="81">
        <f>IF(New_Program=FALSE,Yield,"")</f>
        <v>8.8050065696007235E-2</v>
      </c>
      <c r="K35" s="81" t="str">
        <f>IF(New_Program=TRUE,Yield,"")</f>
        <v/>
      </c>
      <c r="M35" s="282"/>
    </row>
    <row r="36" spans="1:13" ht="5.0999999999999996" hidden="1" customHeight="1" x14ac:dyDescent="0.25">
      <c r="A36" s="38"/>
      <c r="B36" s="39"/>
      <c r="C36" s="40"/>
      <c r="D36" s="14"/>
      <c r="E36" s="14"/>
      <c r="F36" s="14"/>
      <c r="G36" s="14"/>
      <c r="H36" s="14"/>
      <c r="I36" s="14"/>
      <c r="J36" s="26"/>
      <c r="K36" s="143"/>
      <c r="M36" s="282"/>
    </row>
    <row r="37" spans="1:13" ht="15" hidden="1" customHeight="1" x14ac:dyDescent="0.25">
      <c r="A37" s="38"/>
      <c r="B37" s="20" t="s">
        <v>337</v>
      </c>
      <c r="C37" s="40"/>
      <c r="D37" s="45"/>
      <c r="E37" s="45"/>
      <c r="F37" s="45"/>
      <c r="G37" s="45"/>
      <c r="H37" s="45"/>
      <c r="I37" s="45"/>
      <c r="J37" s="45"/>
      <c r="K37" s="45"/>
      <c r="M37" s="282"/>
    </row>
    <row r="38" spans="1:13" ht="5.0999999999999996" hidden="1" customHeight="1" x14ac:dyDescent="0.25">
      <c r="A38" s="38"/>
      <c r="B38" s="39"/>
      <c r="C38" s="40"/>
      <c r="D38" s="45"/>
      <c r="E38" s="45"/>
      <c r="F38" s="45"/>
      <c r="G38" s="45"/>
      <c r="H38" s="45"/>
      <c r="I38" s="45"/>
      <c r="K38" s="46"/>
      <c r="M38" s="282"/>
    </row>
    <row r="39" spans="1:13" ht="18" hidden="1" customHeight="1" x14ac:dyDescent="0.25">
      <c r="A39" s="35">
        <v>-19</v>
      </c>
      <c r="B39" s="36" t="s">
        <v>112</v>
      </c>
      <c r="C39" s="470" t="s">
        <v>111</v>
      </c>
      <c r="D39" s="21"/>
      <c r="E39" s="21"/>
      <c r="F39" s="21"/>
      <c r="G39" s="21"/>
      <c r="H39" s="21"/>
      <c r="I39" s="21"/>
      <c r="J39" s="200"/>
      <c r="K39" s="21"/>
      <c r="M39" s="283" t="str">
        <f>IF(AND(ISBLANK($J$39)=FALSE,'1.General'!$I$47=2),"← ERROR! No efficiency standard variance will be applied unless 'Y' is selected in pull-down menu on Page '1.General'.","")</f>
        <v/>
      </c>
    </row>
    <row r="40" spans="1:13" ht="30" hidden="1" customHeight="1" x14ac:dyDescent="0.25">
      <c r="A40" s="35">
        <v>-20</v>
      </c>
      <c r="B40" s="36" t="s">
        <v>156</v>
      </c>
      <c r="C40" s="470" t="s">
        <v>111</v>
      </c>
      <c r="D40" s="21"/>
      <c r="E40" s="21"/>
      <c r="F40" s="21"/>
      <c r="G40" s="21"/>
      <c r="H40" s="21"/>
      <c r="I40" s="21"/>
      <c r="J40" s="200"/>
      <c r="K40" s="21"/>
      <c r="M40" s="284" t="str">
        <f>IF('1.General'!$I$47=2,"",IF(AND(ExpRatio_Actual05&lt;=EffStd_Wtd05,EffStd_VarReq05&gt;0),"← ERROR: Based on insurer's stated most recent year expense ratio, no relief from efficiency standard variances is allowed.  Insurer's stated most recent year expense ratio is already less than or equal to the efficiency standard.",IF(AND(ROUND(EffStd_Wtd05+EffStd_VarReq05,3)&gt;ExpRatio_Actual05,EffStd_VarReq05&gt;0),"← ERROR! Assuming the calculation of the insurer's most recent year expense ratio is justified, relief from the efficiency standard will be limited to the difference between that ratio and the efficiency standard, or, "&amp;ROUND(ExpRatio_Actual05-EffStd_Wtd05,3)*100&amp;"%, subject to CDI approval.","")))</f>
        <v/>
      </c>
    </row>
    <row r="41" spans="1:13" ht="4.5" customHeight="1" x14ac:dyDescent="0.25">
      <c r="A41" s="38"/>
      <c r="B41" s="39"/>
      <c r="C41" s="40"/>
      <c r="D41" s="45"/>
      <c r="E41" s="45"/>
      <c r="F41" s="45"/>
      <c r="G41" s="45"/>
      <c r="H41" s="45"/>
      <c r="I41" s="45"/>
      <c r="J41" s="45"/>
      <c r="K41" s="45"/>
      <c r="M41" s="284"/>
    </row>
    <row r="42" spans="1:13" ht="15" hidden="1" customHeight="1" x14ac:dyDescent="0.25">
      <c r="A42" s="19"/>
      <c r="B42" s="20" t="s">
        <v>711</v>
      </c>
      <c r="C42" s="16"/>
      <c r="D42" s="14"/>
      <c r="E42" s="14"/>
      <c r="F42" s="14"/>
      <c r="G42" s="14"/>
      <c r="H42" s="14"/>
      <c r="I42" s="14"/>
      <c r="J42" s="14"/>
      <c r="K42" s="14"/>
      <c r="M42" s="282"/>
    </row>
    <row r="43" spans="1:13" ht="4.5" hidden="1" customHeight="1" x14ac:dyDescent="0.25">
      <c r="A43" s="19"/>
      <c r="B43" s="20"/>
      <c r="C43" s="16"/>
      <c r="D43" s="14"/>
      <c r="E43" s="14"/>
      <c r="F43" s="14"/>
      <c r="G43" s="14"/>
      <c r="H43" s="14"/>
      <c r="I43" s="14"/>
      <c r="J43" s="14"/>
      <c r="K43" s="14"/>
      <c r="M43" s="282"/>
    </row>
    <row r="44" spans="1:13" ht="18" hidden="1" customHeight="1" x14ac:dyDescent="0.25">
      <c r="A44" s="278">
        <v>-19</v>
      </c>
      <c r="B44" s="36" t="s">
        <v>321</v>
      </c>
      <c r="C44" s="31"/>
      <c r="D44" s="21"/>
      <c r="E44" s="21"/>
      <c r="F44" s="21"/>
      <c r="G44" s="21"/>
      <c r="H44" s="21"/>
      <c r="I44" s="21"/>
      <c r="J44" s="201"/>
      <c r="K44" s="21"/>
      <c r="M44" s="283" t="str">
        <f>IF(AND(ISBLANK($J$44),OR(General_Line="Medical Malpractice",General_Line="Earthquake")),"← ERROR! Enter direct commission rate.","")</f>
        <v/>
      </c>
    </row>
    <row r="45" spans="1:13" ht="18" hidden="1" customHeight="1" x14ac:dyDescent="0.25">
      <c r="A45" s="278">
        <v>-20</v>
      </c>
      <c r="B45" s="36" t="s">
        <v>63</v>
      </c>
      <c r="C45" s="470" t="s">
        <v>73</v>
      </c>
      <c r="D45" s="127"/>
      <c r="E45" s="127"/>
      <c r="F45" s="127"/>
      <c r="G45" s="127"/>
      <c r="H45" s="127"/>
      <c r="I45" s="127"/>
      <c r="J45" s="23"/>
      <c r="K45" s="127"/>
      <c r="M45" s="283"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25">
      <c r="A46" s="278">
        <v>-21</v>
      </c>
      <c r="B46" s="36" t="s">
        <v>322</v>
      </c>
      <c r="C46" s="470" t="s">
        <v>73</v>
      </c>
      <c r="D46" s="127"/>
      <c r="E46" s="127"/>
      <c r="F46" s="127"/>
      <c r="G46" s="127"/>
      <c r="H46" s="127"/>
      <c r="I46" s="127"/>
      <c r="J46" s="23"/>
      <c r="K46" s="127"/>
      <c r="M46" s="283"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25">
      <c r="A47" s="14" t="s">
        <v>707</v>
      </c>
      <c r="M47" s="283"/>
    </row>
    <row r="48" spans="1:13" ht="17.25" customHeight="1" thickBot="1" x14ac:dyDescent="0.3">
      <c r="A48" s="14" t="s">
        <v>323</v>
      </c>
      <c r="M48" s="283"/>
    </row>
    <row r="49" spans="1:14" ht="17.25" hidden="1" customHeight="1" x14ac:dyDescent="0.25">
      <c r="A49" s="14" t="s">
        <v>338</v>
      </c>
      <c r="J49" s="187"/>
      <c r="M49" s="202"/>
    </row>
    <row r="50" spans="1:14" ht="17.25" hidden="1" customHeight="1" thickBot="1" x14ac:dyDescent="0.3">
      <c r="A50" s="14" t="s">
        <v>157</v>
      </c>
      <c r="J50" s="91"/>
      <c r="M50" s="88"/>
    </row>
    <row r="51" spans="1:14" ht="20.100000000000001" customHeight="1" x14ac:dyDescent="0.25">
      <c r="A51" s="14"/>
      <c r="H51" s="785" t="s">
        <v>670</v>
      </c>
      <c r="I51" s="785"/>
      <c r="J51" s="785"/>
      <c r="K51" s="785"/>
      <c r="M51" s="142"/>
    </row>
    <row r="52" spans="1:14" ht="17.25" customHeight="1" x14ac:dyDescent="0.25">
      <c r="A52" s="14"/>
      <c r="J52" s="92"/>
      <c r="M52" s="90"/>
    </row>
    <row r="53" spans="1:14" x14ac:dyDescent="0.25">
      <c r="A53" s="14"/>
      <c r="B53" s="14"/>
      <c r="C53" s="14"/>
      <c r="D53" s="14"/>
      <c r="E53" s="14"/>
      <c r="F53" s="14"/>
      <c r="G53" s="14"/>
      <c r="H53" s="14"/>
      <c r="I53" s="14"/>
      <c r="J53" s="14"/>
      <c r="K53" s="14"/>
      <c r="L53" s="14"/>
      <c r="M53" s="14"/>
      <c r="N53" s="14"/>
    </row>
    <row r="54" spans="1:14" x14ac:dyDescent="0.25">
      <c r="A54" s="14"/>
      <c r="B54" s="14"/>
      <c r="C54" s="14"/>
      <c r="D54" s="14"/>
      <c r="E54" s="14"/>
      <c r="F54" s="14"/>
      <c r="G54" s="14"/>
      <c r="H54" s="14"/>
      <c r="I54" s="14"/>
      <c r="J54" s="14"/>
      <c r="K54" s="14"/>
      <c r="L54" s="14"/>
      <c r="M54" s="14"/>
      <c r="N54" s="14"/>
    </row>
    <row r="55" spans="1:14" x14ac:dyDescent="0.25">
      <c r="A55" s="14"/>
      <c r="B55" s="14"/>
      <c r="C55" s="14"/>
      <c r="D55" s="14"/>
      <c r="E55" s="14"/>
      <c r="F55" s="14"/>
      <c r="G55" s="14"/>
      <c r="H55" s="14"/>
      <c r="I55" s="14"/>
      <c r="J55" s="14"/>
      <c r="K55" s="14"/>
      <c r="L55" s="14"/>
      <c r="M55" s="14"/>
      <c r="N55" s="14"/>
    </row>
    <row r="56" spans="1:14" x14ac:dyDescent="0.25">
      <c r="A56" s="14"/>
      <c r="B56" s="14"/>
      <c r="C56" s="14"/>
      <c r="D56" s="14"/>
      <c r="E56" s="14"/>
      <c r="F56" s="14"/>
      <c r="G56" s="14"/>
      <c r="H56" s="14"/>
      <c r="I56" s="14"/>
      <c r="J56" s="14"/>
      <c r="K56" s="14"/>
      <c r="L56" s="14"/>
      <c r="M56" s="14"/>
      <c r="N56" s="14"/>
    </row>
    <row r="57" spans="1:14" x14ac:dyDescent="0.25">
      <c r="A57" s="14"/>
      <c r="B57" s="14"/>
      <c r="C57" s="14"/>
      <c r="D57" s="14"/>
      <c r="E57" s="14"/>
      <c r="F57" s="14"/>
      <c r="G57" s="14"/>
      <c r="H57" s="14"/>
      <c r="I57" s="14"/>
      <c r="J57" s="14"/>
      <c r="K57" s="14"/>
      <c r="L57" s="14"/>
      <c r="M57" s="14"/>
      <c r="N57" s="14"/>
    </row>
    <row r="58" spans="1:14" x14ac:dyDescent="0.25">
      <c r="A58" s="14"/>
      <c r="B58" s="14"/>
      <c r="C58" s="14"/>
      <c r="D58" s="14"/>
      <c r="E58" s="14"/>
      <c r="F58" s="14"/>
      <c r="G58" s="14"/>
      <c r="H58" s="14"/>
      <c r="I58" s="14"/>
      <c r="J58" s="14"/>
      <c r="K58" s="14"/>
      <c r="L58" s="14"/>
      <c r="M58" s="14"/>
      <c r="N58" s="14"/>
    </row>
    <row r="59" spans="1:14" x14ac:dyDescent="0.25">
      <c r="A59" s="14"/>
      <c r="B59" s="14"/>
      <c r="C59" s="14"/>
      <c r="D59" s="14"/>
      <c r="E59" s="14"/>
      <c r="F59" s="14"/>
      <c r="G59" s="14"/>
      <c r="H59" s="14"/>
      <c r="I59" s="14"/>
      <c r="J59" s="14"/>
      <c r="K59" s="14"/>
      <c r="L59" s="14"/>
      <c r="M59" s="14"/>
      <c r="N59" s="14"/>
    </row>
    <row r="60" spans="1:14" x14ac:dyDescent="0.25">
      <c r="A60" s="14"/>
      <c r="B60" s="14"/>
      <c r="C60" s="14"/>
      <c r="D60" s="14"/>
      <c r="E60" s="14"/>
      <c r="F60" s="14"/>
      <c r="G60" s="14"/>
      <c r="H60" s="14"/>
      <c r="I60" s="14"/>
      <c r="J60" s="14"/>
      <c r="K60" s="14"/>
      <c r="L60" s="14"/>
      <c r="M60" s="14"/>
      <c r="N60" s="14"/>
    </row>
    <row r="61" spans="1:14" x14ac:dyDescent="0.25">
      <c r="A61" s="14"/>
      <c r="B61" s="14"/>
      <c r="C61" s="14"/>
      <c r="D61" s="14"/>
      <c r="E61" s="14"/>
      <c r="F61" s="14"/>
      <c r="G61" s="14"/>
      <c r="H61" s="14"/>
      <c r="I61" s="14"/>
      <c r="J61" s="14"/>
      <c r="K61" s="14"/>
      <c r="L61" s="14"/>
      <c r="M61" s="14"/>
      <c r="N61" s="14"/>
    </row>
    <row r="62" spans="1:14" x14ac:dyDescent="0.25">
      <c r="A62" s="14"/>
      <c r="B62" s="14"/>
      <c r="C62" s="14"/>
      <c r="D62" s="14"/>
      <c r="E62" s="14"/>
      <c r="F62" s="14"/>
      <c r="G62" s="14"/>
      <c r="H62" s="14"/>
      <c r="I62" s="14"/>
      <c r="J62" s="14"/>
      <c r="K62" s="14"/>
      <c r="L62" s="14"/>
      <c r="M62" s="14"/>
      <c r="N62" s="14"/>
    </row>
    <row r="63" spans="1:14" x14ac:dyDescent="0.25">
      <c r="A63" s="14"/>
      <c r="B63" s="14"/>
      <c r="C63" s="14"/>
      <c r="D63" s="14"/>
      <c r="E63" s="14"/>
      <c r="F63" s="14"/>
      <c r="G63" s="14"/>
      <c r="H63" s="14"/>
      <c r="I63" s="14"/>
      <c r="J63" s="14"/>
      <c r="K63" s="14"/>
      <c r="L63" s="14"/>
      <c r="M63" s="14"/>
      <c r="N63" s="14"/>
    </row>
    <row r="64" spans="1:14" x14ac:dyDescent="0.25">
      <c r="A64" s="14"/>
      <c r="B64" s="14"/>
      <c r="C64" s="14"/>
      <c r="D64" s="14"/>
      <c r="E64" s="14"/>
      <c r="F64" s="14"/>
      <c r="G64" s="14"/>
      <c r="H64" s="14"/>
      <c r="I64" s="14"/>
      <c r="J64" s="14"/>
      <c r="K64" s="14"/>
      <c r="L64" s="14"/>
      <c r="M64" s="14"/>
      <c r="N64" s="14"/>
    </row>
  </sheetData>
  <sheetProtection algorithmName="SHA-512" hashValue="Aniy+gkfulht0kUIW7lo+k4KZxs30zffjIrHwpQ2W+/ZPlEveUPxoCZuRDUj9vZs11vx6U/grSyp72J+gtVtog==" saltValue="ZbYTF6bSck4FNkZtidAuhA==" spinCount="100000" sheet="1" objects="1" scenarios="1" formatColumns="0" formatRows="0" sort="0"/>
  <mergeCells count="1">
    <mergeCell ref="H51:K51"/>
  </mergeCells>
  <hyperlinks>
    <hyperlink ref="H51" location="CHANGE_AT_MAX" display="BOOM!" xr:uid="{00000000-0004-0000-0E00-000000000000}"/>
    <hyperlink ref="H51:K51" location="'7.5Rate Change Calculation'!CHANGE_AT_MAX" display="Go to 7.5Rate Change Calculation" xr:uid="{00000000-0004-0000-0E00-000001000000}"/>
  </hyperlinks>
  <printOptions horizontalCentered="1"/>
  <pageMargins left="0.45" right="0.45" top="0.5" bottom="0.75" header="0.3" footer="0.3"/>
  <pageSetup scale="80" orientation="portrait" r:id="rId1"/>
  <headerFooter>
    <oddFooter>&amp;CPrior Approval Rate Template&amp;RPage 6.5&amp;L01/11/2022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03" r:id="rId4" name="btnYears">
              <controlPr defaultSize="0" print="0" autoFill="0" autoPict="0" macro="[0]!ExpandContractColsData">
                <anchor moveWithCells="1">
                  <from>
                    <xdr:col>9</xdr:col>
                    <xdr:colOff>180975</xdr:colOff>
                    <xdr:row>9</xdr:row>
                    <xdr:rowOff>142875</xdr:rowOff>
                  </from>
                  <to>
                    <xdr:col>10</xdr:col>
                    <xdr:colOff>1009650</xdr:colOff>
                    <xdr:row>11</xdr:row>
                    <xdr:rowOff>66675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5">
    <tabColor rgb="FF0000FF"/>
    <pageSetUpPr fitToPage="1"/>
  </sheetPr>
  <dimension ref="A1:N64"/>
  <sheetViews>
    <sheetView showGridLines="0" view="pageBreakPreview" topLeftCell="A10" zoomScaleNormal="100" zoomScaleSheetLayoutView="100" workbookViewId="0">
      <selection activeCell="J18" sqref="J18"/>
    </sheetView>
  </sheetViews>
  <sheetFormatPr defaultRowHeight="15" x14ac:dyDescent="0.25"/>
  <cols>
    <col min="1" max="1" width="5" customWidth="1"/>
    <col min="2" max="2" width="29.7109375" customWidth="1"/>
    <col min="3" max="3" width="7" bestFit="1" customWidth="1"/>
    <col min="4" max="6" width="15.7109375" hidden="1" customWidth="1"/>
    <col min="7" max="11" width="15.7109375" customWidth="1"/>
    <col min="12" max="12" width="0.85546875" customWidth="1"/>
    <col min="13" max="13" width="127.85546875" bestFit="1" customWidth="1"/>
  </cols>
  <sheetData>
    <row r="1" spans="1:13" ht="15.75" thickBot="1" x14ac:dyDescent="0.3">
      <c r="A1" s="10" t="s">
        <v>31</v>
      </c>
      <c r="B1" s="13"/>
      <c r="H1" s="13" t="s">
        <v>33</v>
      </c>
      <c r="K1" s="12" t="str">
        <f>Co_Name</f>
        <v>State Farm Mutual Automobile Insurance Company</v>
      </c>
      <c r="M1" s="279" t="s">
        <v>310</v>
      </c>
    </row>
    <row r="2" spans="1:13" x14ac:dyDescent="0.25">
      <c r="A2" s="10" t="s">
        <v>32</v>
      </c>
      <c r="B2" s="13"/>
      <c r="H2" s="13" t="s">
        <v>34</v>
      </c>
      <c r="K2" s="12" t="str">
        <f>General_Line</f>
        <v>Auto Liability and Physical Damage</v>
      </c>
      <c r="M2" s="280" t="s">
        <v>113</v>
      </c>
    </row>
    <row r="3" spans="1:13" x14ac:dyDescent="0.25">
      <c r="A3" s="10"/>
      <c r="B3" s="185"/>
      <c r="H3" s="83" t="s">
        <v>142</v>
      </c>
      <c r="I3" s="84"/>
      <c r="J3" s="84"/>
      <c r="K3" s="82" t="str">
        <f>CDI_FileNo</f>
        <v/>
      </c>
      <c r="M3" s="281"/>
    </row>
    <row r="4" spans="1:13" ht="18" customHeight="1" x14ac:dyDescent="0.25">
      <c r="M4" s="282"/>
    </row>
    <row r="5" spans="1:13" ht="23.25" x14ac:dyDescent="0.25">
      <c r="A5" s="4" t="s">
        <v>606</v>
      </c>
      <c r="B5" s="3"/>
      <c r="C5" s="3"/>
      <c r="D5" s="3"/>
      <c r="E5" s="3"/>
      <c r="F5" s="3"/>
      <c r="G5" s="3"/>
      <c r="H5" s="3"/>
      <c r="I5" s="3"/>
      <c r="J5" s="3"/>
      <c r="K5" s="3"/>
      <c r="L5" s="3"/>
      <c r="M5" s="282"/>
    </row>
    <row r="6" spans="1:13" ht="15.75" thickBot="1" x14ac:dyDescent="0.3">
      <c r="M6" s="282"/>
    </row>
    <row r="7" spans="1:13" ht="18" customHeight="1" thickBot="1" x14ac:dyDescent="0.3">
      <c r="B7" s="130" t="s">
        <v>1</v>
      </c>
      <c r="G7" s="14" t="str">
        <f>Completed_By</f>
        <v>Laura Campbell</v>
      </c>
      <c r="J7" s="130" t="s">
        <v>706</v>
      </c>
      <c r="K7" s="543"/>
      <c r="M7" s="282"/>
    </row>
    <row r="8" spans="1:13" ht="18" customHeight="1" x14ac:dyDescent="0.25">
      <c r="B8" s="130" t="s">
        <v>76</v>
      </c>
      <c r="G8" s="62">
        <f>Completed_Date</f>
        <v>44816</v>
      </c>
      <c r="M8" s="282"/>
    </row>
    <row r="9" spans="1:13" ht="5.0999999999999996" customHeight="1" x14ac:dyDescent="0.25">
      <c r="B9" s="130"/>
      <c r="M9" s="282"/>
    </row>
    <row r="10" spans="1:13" ht="18" customHeight="1" x14ac:dyDescent="0.25">
      <c r="B10" s="130" t="s">
        <v>77</v>
      </c>
      <c r="G10" s="298" t="str">
        <f>Detailed_LineDesc06</f>
        <v>Private Passenger Auto Physical Damage</v>
      </c>
      <c r="H10" s="298"/>
      <c r="I10" s="298"/>
      <c r="M10" s="283"/>
    </row>
    <row r="11" spans="1:13" ht="18" customHeight="1" x14ac:dyDescent="0.25">
      <c r="B11" s="130" t="s">
        <v>78</v>
      </c>
      <c r="G11" s="298" t="str">
        <f>Covg06</f>
        <v>Misc. Damage</v>
      </c>
      <c r="H11" s="298"/>
      <c r="I11" s="298"/>
      <c r="M11" s="282"/>
    </row>
    <row r="12" spans="1:13" ht="9.9499999999999993" customHeight="1" x14ac:dyDescent="0.25">
      <c r="B12" s="2"/>
      <c r="G12" s="27"/>
      <c r="I12" s="28"/>
      <c r="J12" s="29"/>
      <c r="M12" s="282"/>
    </row>
    <row r="13" spans="1:13" ht="30" x14ac:dyDescent="0.25">
      <c r="A13" s="33" t="s">
        <v>59</v>
      </c>
      <c r="B13" s="34" t="s">
        <v>64</v>
      </c>
      <c r="C13" s="33" t="s">
        <v>58</v>
      </c>
      <c r="D13" s="195" t="s">
        <v>226</v>
      </c>
      <c r="E13" s="195" t="s">
        <v>227</v>
      </c>
      <c r="F13" s="195" t="s">
        <v>228</v>
      </c>
      <c r="G13" s="195" t="s">
        <v>229</v>
      </c>
      <c r="H13" s="195" t="s">
        <v>230</v>
      </c>
      <c r="I13" s="195" t="s">
        <v>231</v>
      </c>
      <c r="J13" s="33" t="s">
        <v>109</v>
      </c>
      <c r="K13" s="33" t="s">
        <v>110</v>
      </c>
      <c r="M13" s="282"/>
    </row>
    <row r="14" spans="1:13" ht="18" customHeight="1" thickBot="1" x14ac:dyDescent="0.3">
      <c r="A14" s="49" t="s">
        <v>115</v>
      </c>
      <c r="B14" s="48" t="s">
        <v>114</v>
      </c>
      <c r="C14" s="44"/>
      <c r="D14" s="469" t="str">
        <f>LEFT(MstRcntDataYr,4)-5&amp;RIGHT(MstRcntDataYr,1)</f>
        <v>20171</v>
      </c>
      <c r="E14" s="469" t="str">
        <f>LEFT(MstRcntDataYr,4)-4&amp;RIGHT(MstRcntDataYr,1)</f>
        <v>20181</v>
      </c>
      <c r="F14" s="469" t="str">
        <f>LEFT(MstRcntDataYr,4)-3&amp;RIGHT(MstRcntDataYr,1)</f>
        <v>20191</v>
      </c>
      <c r="G14" s="469" t="str">
        <f>LEFT(MstRcntDataYr,4)-2&amp;RIGHT(MstRcntDataYr,1)</f>
        <v>20201</v>
      </c>
      <c r="H14" s="469" t="str">
        <f>LEFT(MstRcntDataYr,4)-1&amp;RIGHT(MstRcntDataYr,1)</f>
        <v>20211</v>
      </c>
      <c r="I14" s="469">
        <f>MstRcntDataYr</f>
        <v>20221</v>
      </c>
      <c r="J14" s="30"/>
      <c r="K14" s="22"/>
      <c r="M14" s="282"/>
    </row>
    <row r="15" spans="1:13" ht="30" customHeight="1" x14ac:dyDescent="0.25">
      <c r="A15" s="41">
        <v>-1</v>
      </c>
      <c r="B15" s="42" t="s">
        <v>54</v>
      </c>
      <c r="C15" s="43"/>
      <c r="D15" s="196"/>
      <c r="E15" s="197"/>
      <c r="F15" s="197"/>
      <c r="G15" s="127"/>
      <c r="H15" s="127"/>
      <c r="I15" s="127">
        <v>85339279.650000006</v>
      </c>
      <c r="J15" s="24"/>
      <c r="K15" s="127"/>
      <c r="M15" s="283" t="str">
        <f>IF(AND(New_Program=TRUE,ISBLANK($K$15)),"← ERROR! Enter projected figure for new program, or deselect 'New Program' on Page '1.General'.","")</f>
        <v/>
      </c>
    </row>
    <row r="16" spans="1:13" ht="30" customHeight="1" x14ac:dyDescent="0.25">
      <c r="A16" s="35">
        <v>-2</v>
      </c>
      <c r="B16" s="36" t="s">
        <v>55</v>
      </c>
      <c r="C16" s="470"/>
      <c r="D16" s="128"/>
      <c r="E16" s="127"/>
      <c r="F16" s="127"/>
      <c r="G16" s="127"/>
      <c r="H16" s="127"/>
      <c r="I16" s="127">
        <v>83607719.680000007</v>
      </c>
      <c r="J16" s="25"/>
      <c r="K16" s="85" t="str">
        <f>IF(ISBLANK($K$15),"",$K$15)</f>
        <v/>
      </c>
      <c r="M16" s="283" t="str">
        <f>IF(AND(New_Program=TRUE,$K$16&lt;&gt;$K$15),"← ERROR! For New Programs, Earned Premium must equal Written Premium. Refer to Section III.C. of Prior Approval Rate Filing Instructions.","")</f>
        <v/>
      </c>
    </row>
    <row r="17" spans="1:13" ht="18" customHeight="1" x14ac:dyDescent="0.25">
      <c r="A17" s="35">
        <v>-3</v>
      </c>
      <c r="B17" s="36" t="s">
        <v>36</v>
      </c>
      <c r="C17" s="470" t="s">
        <v>65</v>
      </c>
      <c r="D17" s="198"/>
      <c r="E17" s="199"/>
      <c r="F17" s="199"/>
      <c r="G17" s="199"/>
      <c r="H17" s="199"/>
      <c r="I17" s="199">
        <v>1</v>
      </c>
      <c r="J17" s="21"/>
      <c r="K17" s="21"/>
      <c r="M17" s="282"/>
    </row>
    <row r="18" spans="1:13" ht="18" customHeight="1" x14ac:dyDescent="0.25">
      <c r="A18" s="35">
        <v>-4</v>
      </c>
      <c r="B18" s="36" t="s">
        <v>130</v>
      </c>
      <c r="C18" s="470" t="s">
        <v>66</v>
      </c>
      <c r="D18" s="198"/>
      <c r="E18" s="199"/>
      <c r="F18" s="199"/>
      <c r="G18" s="199"/>
      <c r="H18" s="199"/>
      <c r="I18" s="199">
        <v>1.0485796494237267</v>
      </c>
      <c r="J18" s="200">
        <v>2.1306718354071798E-2</v>
      </c>
      <c r="K18" s="21"/>
      <c r="M18" s="283" t="str">
        <f>IF(AND(New_Program=FALSE,ISBLANK($J$18)),"← ERROR! Enter Annual Premium Trend as a percentage in the 'Projected' column.","")</f>
        <v/>
      </c>
    </row>
    <row r="19" spans="1:13" ht="30" customHeight="1" x14ac:dyDescent="0.25">
      <c r="A19" s="35">
        <v>-5</v>
      </c>
      <c r="B19" s="36" t="s">
        <v>743</v>
      </c>
      <c r="C19" s="470" t="s">
        <v>67</v>
      </c>
      <c r="D19" s="128"/>
      <c r="E19" s="127"/>
      <c r="F19" s="127"/>
      <c r="G19" s="127"/>
      <c r="H19" s="127"/>
      <c r="I19" s="127">
        <v>0</v>
      </c>
      <c r="J19" s="21"/>
      <c r="K19" s="127"/>
      <c r="M19" s="283" t="str">
        <f>IF(AND(New_Program=TRUE,ISBLANK($K$19)),"← ERROR! Enter projected figure for new program, or deselect 'New Program' on Page '1.General'.","")</f>
        <v/>
      </c>
    </row>
    <row r="20" spans="1:13" ht="18" customHeight="1" x14ac:dyDescent="0.25">
      <c r="A20" s="35">
        <v>-6</v>
      </c>
      <c r="B20" s="36" t="s">
        <v>56</v>
      </c>
      <c r="C20" s="470"/>
      <c r="D20" s="128"/>
      <c r="E20" s="127"/>
      <c r="F20" s="127"/>
      <c r="G20" s="127"/>
      <c r="H20" s="127"/>
      <c r="I20" s="127">
        <v>4038771</v>
      </c>
      <c r="J20" s="21"/>
      <c r="K20" s="127"/>
      <c r="M20" s="283" t="str">
        <f>IF(AND(New_Program=TRUE,ISBLANK($K$20)),"← ERROR! Enter projected figure for new program, or deselect 'New Program' on Page '1.General'.","")</f>
        <v/>
      </c>
    </row>
    <row r="21" spans="1:13" ht="18" customHeight="1" x14ac:dyDescent="0.25">
      <c r="A21" s="35">
        <v>-7</v>
      </c>
      <c r="B21" s="36" t="s">
        <v>133</v>
      </c>
      <c r="C21" s="470"/>
      <c r="D21" s="128"/>
      <c r="E21" s="127"/>
      <c r="F21" s="127"/>
      <c r="G21" s="127"/>
      <c r="H21" s="127"/>
      <c r="I21" s="127">
        <v>63053601.339999989</v>
      </c>
      <c r="J21" s="21"/>
      <c r="K21" s="127"/>
      <c r="M21" s="283" t="str">
        <f>IF(AND(New_Program=TRUE,ISBLANK($K$21)),"← ERROR! Enter projected figure for new program, or deselect 'New Program' on Page '1.General'.","")</f>
        <v/>
      </c>
    </row>
    <row r="22" spans="1:13" ht="30" customHeight="1" x14ac:dyDescent="0.25">
      <c r="A22" s="35">
        <v>-8</v>
      </c>
      <c r="B22" s="36" t="s">
        <v>57</v>
      </c>
      <c r="C22" s="470"/>
      <c r="D22" s="128"/>
      <c r="E22" s="127"/>
      <c r="F22" s="127"/>
      <c r="G22" s="127"/>
      <c r="H22" s="127"/>
      <c r="I22" s="127">
        <v>12372</v>
      </c>
      <c r="J22" s="21"/>
      <c r="K22" s="127"/>
      <c r="M22" s="283" t="str">
        <f>IF(AND(New_Program=TRUE,ISBLANK($K$22)),"← ERROR! Enter projected figure for new program, or deselect 'New Program' on Page '1.General'.","")</f>
        <v/>
      </c>
    </row>
    <row r="23" spans="1:13" ht="18" customHeight="1" x14ac:dyDescent="0.25">
      <c r="A23" s="35">
        <v>-9</v>
      </c>
      <c r="B23" s="36" t="s">
        <v>60</v>
      </c>
      <c r="C23" s="470" t="s">
        <v>68</v>
      </c>
      <c r="D23" s="198"/>
      <c r="E23" s="199"/>
      <c r="F23" s="199"/>
      <c r="G23" s="199"/>
      <c r="H23" s="199"/>
      <c r="I23" s="199">
        <v>0.99028777583956307</v>
      </c>
      <c r="J23" s="21"/>
      <c r="K23" s="21"/>
      <c r="M23" s="282"/>
    </row>
    <row r="24" spans="1:13" ht="18" customHeight="1" x14ac:dyDescent="0.25">
      <c r="A24" s="35">
        <v>-10</v>
      </c>
      <c r="B24" s="36" t="s">
        <v>61</v>
      </c>
      <c r="C24" s="470" t="s">
        <v>68</v>
      </c>
      <c r="D24" s="198"/>
      <c r="E24" s="199"/>
      <c r="F24" s="199"/>
      <c r="G24" s="199"/>
      <c r="H24" s="199"/>
      <c r="I24" s="199">
        <v>1.1432961126885726</v>
      </c>
      <c r="J24" s="21"/>
      <c r="K24" s="21"/>
      <c r="M24" s="282"/>
    </row>
    <row r="25" spans="1:13" ht="18" customHeight="1" x14ac:dyDescent="0.25">
      <c r="A25" s="35">
        <v>-11</v>
      </c>
      <c r="B25" s="36" t="s">
        <v>132</v>
      </c>
      <c r="C25" s="470" t="s">
        <v>69</v>
      </c>
      <c r="D25" s="198"/>
      <c r="E25" s="199"/>
      <c r="F25" s="199"/>
      <c r="G25" s="199"/>
      <c r="H25" s="199"/>
      <c r="I25" s="199">
        <v>1.1185277608041473</v>
      </c>
      <c r="J25" s="200">
        <v>5.104372930599399E-2</v>
      </c>
      <c r="K25" s="21"/>
      <c r="M25" s="283" t="str">
        <f>IF(AND(New_Program=FALSE,ISBLANK($J$25)),"← ERROR! Enter Annual Loss Trend as a percentage in the 'Projected' column","")</f>
        <v/>
      </c>
    </row>
    <row r="26" spans="1:13" ht="18" customHeight="1" x14ac:dyDescent="0.25">
      <c r="A26" s="35">
        <v>-12</v>
      </c>
      <c r="B26" s="36" t="s">
        <v>131</v>
      </c>
      <c r="C26" s="470" t="s">
        <v>69</v>
      </c>
      <c r="D26" s="198"/>
      <c r="E26" s="199"/>
      <c r="F26" s="199"/>
      <c r="G26" s="199"/>
      <c r="H26" s="199"/>
      <c r="I26" s="199">
        <v>1.1185277608041473</v>
      </c>
      <c r="J26" s="200">
        <v>5.104372930599399E-2</v>
      </c>
      <c r="K26" s="21"/>
      <c r="M26" s="283" t="str">
        <f>IF(AND(New_Program=FALSE,ISBLANK($J$26)),"← ERROR! Enter Annual DCCE Trend as a percentage in the 'Projected' column","")</f>
        <v/>
      </c>
    </row>
    <row r="27" spans="1:13" ht="18" customHeight="1" x14ac:dyDescent="0.25">
      <c r="A27" s="35">
        <v>-13</v>
      </c>
      <c r="B27" s="36" t="s">
        <v>62</v>
      </c>
      <c r="C27" s="470" t="s">
        <v>70</v>
      </c>
      <c r="D27" s="198"/>
      <c r="E27" s="199"/>
      <c r="F27" s="199"/>
      <c r="G27" s="199"/>
      <c r="H27" s="199"/>
      <c r="I27" s="199">
        <v>1</v>
      </c>
      <c r="J27" s="21"/>
      <c r="K27" s="21"/>
      <c r="M27" s="282"/>
    </row>
    <row r="28" spans="1:13" ht="18" customHeight="1" x14ac:dyDescent="0.25">
      <c r="A28" s="35">
        <v>-14</v>
      </c>
      <c r="B28" s="31" t="s">
        <v>728</v>
      </c>
      <c r="C28" s="470" t="s">
        <v>71</v>
      </c>
      <c r="D28" s="32"/>
      <c r="E28" s="21"/>
      <c r="F28" s="21"/>
      <c r="G28" s="21"/>
      <c r="H28" s="21"/>
      <c r="I28" s="21"/>
      <c r="J28" s="201">
        <v>1</v>
      </c>
      <c r="K28" s="21"/>
      <c r="M28" s="284"/>
    </row>
    <row r="29" spans="1:13" ht="18" customHeight="1" x14ac:dyDescent="0.25">
      <c r="A29" s="35">
        <v>-15</v>
      </c>
      <c r="B29" s="36" t="s">
        <v>37</v>
      </c>
      <c r="C29" s="470" t="s">
        <v>72</v>
      </c>
      <c r="D29" s="128"/>
      <c r="E29" s="127"/>
      <c r="F29" s="127"/>
      <c r="G29" s="127"/>
      <c r="H29" s="127"/>
      <c r="I29" s="127">
        <v>0</v>
      </c>
      <c r="J29" s="21"/>
      <c r="K29" s="127"/>
      <c r="M29" s="283" t="str">
        <f>IF(AND(New_Program=TRUE,ISBLANK($K$29)),"← ERROR! Enter projected figure for new program, or deselect 'New Program' on Page '1.General'.","")</f>
        <v/>
      </c>
    </row>
    <row r="30" spans="1:13" ht="5.0999999999999996" customHeight="1" x14ac:dyDescent="0.25">
      <c r="A30" s="38"/>
      <c r="B30" s="39"/>
      <c r="C30" s="40"/>
      <c r="D30" s="641">
        <f>IF(COUNTBLANK(D15:D27)+COUNTBLANK(D29)=14,1,IF(COUNT(D15:D27)+COUNT(D29)=14,1,"D "))</f>
        <v>1</v>
      </c>
      <c r="E30" s="641">
        <f>IF(COUNTBLANK(E15:E27)+COUNTBLANK(E29)=14,1,IF(COUNT(E15:E27)+COUNT(E29)=14,1,"E "))</f>
        <v>1</v>
      </c>
      <c r="F30" s="641">
        <f>IF(COUNTBLANK(F15:F27)+COUNTBLANK(F29)=14,1,IF(COUNT(F15:F27)+COUNT(F29)=14,1,"F "))</f>
        <v>1</v>
      </c>
      <c r="G30" s="641">
        <f>IF(COUNTBLANK(G15:G27)+COUNTBLANK(G29)=14,1,IF(COUNT(G15:G27)+COUNT(G29)=14,1,"G "))</f>
        <v>1</v>
      </c>
      <c r="H30" s="641">
        <f>IF(COUNTBLANK(H15:H27)+COUNTBLANK(H29)=14,1,IF(COUNT(H15:H27)+COUNT(H29)=14,1,"H "))</f>
        <v>1</v>
      </c>
      <c r="I30" s="641">
        <f>IF(COUNTBLANK(I15:I27)+COUNTBLANK(I29)=14,1,IF(COUNT(I15:I27)+COUNT(I29)=14,1,"I "))</f>
        <v>1</v>
      </c>
      <c r="J30" s="642">
        <f>IF(COUNTBLANK(J15:J29)=15,1,IF(COUNT(J18,J25,J26,J28)=4,1,"J "))</f>
        <v>1</v>
      </c>
      <c r="K30" s="643">
        <f>IF(COUNTBLANK(K15)+COUNTBLANK(K17:K29)=14,1,IF(COUNT(K15,K19,K20,K21,K22,K29)=6,1,"K "))</f>
        <v>1</v>
      </c>
      <c r="M30" s="282"/>
    </row>
    <row r="31" spans="1:13" ht="15" customHeight="1" x14ac:dyDescent="0.25">
      <c r="A31" s="38"/>
      <c r="B31" s="20" t="s">
        <v>716</v>
      </c>
      <c r="C31" s="40"/>
      <c r="D31" s="14"/>
      <c r="E31" s="14"/>
      <c r="F31" s="14"/>
      <c r="G31" s="14"/>
      <c r="H31" s="14"/>
      <c r="I31" s="14"/>
      <c r="J31" s="26"/>
      <c r="K31" s="143"/>
      <c r="M31" s="283"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25">
      <c r="A32" s="38"/>
      <c r="B32" s="39"/>
      <c r="C32" s="40"/>
      <c r="D32" s="14"/>
      <c r="E32" s="14"/>
      <c r="F32" s="14"/>
      <c r="G32" s="14"/>
      <c r="H32" s="14"/>
      <c r="I32" s="14"/>
      <c r="J32" s="26"/>
      <c r="K32" s="143"/>
      <c r="M32" s="282"/>
    </row>
    <row r="33" spans="1:13" ht="18" customHeight="1" x14ac:dyDescent="0.25">
      <c r="A33" s="35">
        <v>-16</v>
      </c>
      <c r="B33" s="36" t="s">
        <v>162</v>
      </c>
      <c r="C33" s="470" t="s">
        <v>608</v>
      </c>
      <c r="D33" s="32"/>
      <c r="E33" s="21"/>
      <c r="F33" s="21"/>
      <c r="G33" s="21"/>
      <c r="H33" s="21"/>
      <c r="I33" s="21"/>
      <c r="J33" s="81">
        <f>IF(New_Program=FALSE,ExpRatio_Excluded,"")</f>
        <v>1.3597266477453115E-2</v>
      </c>
      <c r="K33" s="81" t="str">
        <f>IF(New_Program=TRUE,ExpRatio_Excluded,"")</f>
        <v/>
      </c>
      <c r="M33" s="282"/>
    </row>
    <row r="34" spans="1:13" ht="30" customHeight="1" x14ac:dyDescent="0.25">
      <c r="A34" s="35">
        <v>-17</v>
      </c>
      <c r="B34" s="36" t="s">
        <v>311</v>
      </c>
      <c r="C34" s="470" t="s">
        <v>609</v>
      </c>
      <c r="D34" s="32"/>
      <c r="E34" s="21"/>
      <c r="F34" s="21"/>
      <c r="G34" s="21"/>
      <c r="H34" s="21"/>
      <c r="I34" s="21"/>
      <c r="J34" s="81">
        <f>IF(New_Program=FALSE,FIT_Inv,"")</f>
        <v>0.18752087399665437</v>
      </c>
      <c r="K34" s="81" t="str">
        <f>IF(New_Program=TRUE,FIT_Inv,"")</f>
        <v/>
      </c>
      <c r="M34" s="282"/>
    </row>
    <row r="35" spans="1:13" ht="18" customHeight="1" x14ac:dyDescent="0.25">
      <c r="A35" s="35">
        <v>-18</v>
      </c>
      <c r="B35" s="31" t="s">
        <v>312</v>
      </c>
      <c r="C35" s="470" t="s">
        <v>609</v>
      </c>
      <c r="D35" s="32"/>
      <c r="E35" s="21"/>
      <c r="F35" s="21"/>
      <c r="G35" s="21"/>
      <c r="H35" s="21"/>
      <c r="I35" s="21"/>
      <c r="J35" s="81">
        <f>IF(New_Program=FALSE,Yield,"")</f>
        <v>8.8050065696007235E-2</v>
      </c>
      <c r="K35" s="81" t="str">
        <f>IF(New_Program=TRUE,Yield,"")</f>
        <v/>
      </c>
      <c r="M35" s="282"/>
    </row>
    <row r="36" spans="1:13" ht="5.0999999999999996" hidden="1" customHeight="1" x14ac:dyDescent="0.25">
      <c r="A36" s="38"/>
      <c r="B36" s="39"/>
      <c r="C36" s="40"/>
      <c r="D36" s="14"/>
      <c r="E36" s="14"/>
      <c r="F36" s="14"/>
      <c r="G36" s="14"/>
      <c r="H36" s="14"/>
      <c r="I36" s="14"/>
      <c r="J36" s="26"/>
      <c r="K36" s="143"/>
      <c r="M36" s="282"/>
    </row>
    <row r="37" spans="1:13" ht="15" hidden="1" customHeight="1" x14ac:dyDescent="0.25">
      <c r="A37" s="38"/>
      <c r="B37" s="20" t="s">
        <v>337</v>
      </c>
      <c r="C37" s="40"/>
      <c r="D37" s="45"/>
      <c r="E37" s="45"/>
      <c r="F37" s="45"/>
      <c r="G37" s="45"/>
      <c r="H37" s="45"/>
      <c r="I37" s="45"/>
      <c r="J37" s="45"/>
      <c r="K37" s="45"/>
      <c r="M37" s="282"/>
    </row>
    <row r="38" spans="1:13" ht="5.0999999999999996" hidden="1" customHeight="1" x14ac:dyDescent="0.25">
      <c r="A38" s="38"/>
      <c r="B38" s="39"/>
      <c r="C38" s="40"/>
      <c r="D38" s="45"/>
      <c r="E38" s="45"/>
      <c r="F38" s="45"/>
      <c r="G38" s="45"/>
      <c r="H38" s="45"/>
      <c r="I38" s="45"/>
      <c r="K38" s="46"/>
      <c r="M38" s="282"/>
    </row>
    <row r="39" spans="1:13" ht="18" hidden="1" customHeight="1" x14ac:dyDescent="0.25">
      <c r="A39" s="35">
        <v>-19</v>
      </c>
      <c r="B39" s="36" t="s">
        <v>112</v>
      </c>
      <c r="C39" s="470" t="s">
        <v>111</v>
      </c>
      <c r="D39" s="21"/>
      <c r="E39" s="21"/>
      <c r="F39" s="21"/>
      <c r="G39" s="21"/>
      <c r="H39" s="21"/>
      <c r="I39" s="21"/>
      <c r="J39" s="200"/>
      <c r="K39" s="21"/>
      <c r="M39" s="283" t="str">
        <f>IF(AND(ISBLANK($J$39)=FALSE,'1.General'!$I$47=2),"← ERROR! No efficiency standard variance will be applied unless 'Y' is selected in pull-down menu on Page '1.General'.","")</f>
        <v/>
      </c>
    </row>
    <row r="40" spans="1:13" ht="30" hidden="1" customHeight="1" x14ac:dyDescent="0.25">
      <c r="A40" s="35">
        <v>-20</v>
      </c>
      <c r="B40" s="36" t="s">
        <v>156</v>
      </c>
      <c r="C40" s="470" t="s">
        <v>111</v>
      </c>
      <c r="D40" s="21"/>
      <c r="E40" s="21"/>
      <c r="F40" s="21"/>
      <c r="G40" s="21"/>
      <c r="H40" s="21"/>
      <c r="I40" s="21"/>
      <c r="J40" s="200"/>
      <c r="K40" s="21"/>
      <c r="M40" s="284" t="str">
        <f>IF('1.General'!$I$47=2,"",IF(AND(ExpRatio_Actual06&lt;=EffStd_Wtd06,EffStd_VarReq06&gt;0),"← ERROR: Based on insurer's stated most recent year expense ratio, no relief from efficiency standard variances is allowed.  Insurer's stated most recent year expense ratio is already less than or equal to the efficiency standard.",IF(AND(ROUND(EffStd_Wtd06+EffStd_VarReq06,3)&gt;ExpRatio_Actual06,EffStd_VarReq06&gt;0),"← ERROR! Assuming the calculation of the insurer's most recent year expense ratio is justified, relief from the efficiency standard will be limited to the difference between that ratio and the efficiency standard, or, "&amp;ROUND(ExpRatio_Actual06-EffStd_Wtd06,3)*100&amp;"%, subject to CDI approval.","")))</f>
        <v/>
      </c>
    </row>
    <row r="41" spans="1:13" ht="4.5" customHeight="1" x14ac:dyDescent="0.25">
      <c r="A41" s="38"/>
      <c r="B41" s="39"/>
      <c r="C41" s="40"/>
      <c r="D41" s="45"/>
      <c r="E41" s="45"/>
      <c r="F41" s="45"/>
      <c r="G41" s="45"/>
      <c r="H41" s="45"/>
      <c r="I41" s="45"/>
      <c r="J41" s="45"/>
      <c r="K41" s="45"/>
      <c r="M41" s="284"/>
    </row>
    <row r="42" spans="1:13" ht="15" hidden="1" customHeight="1" x14ac:dyDescent="0.25">
      <c r="A42" s="19"/>
      <c r="B42" s="20" t="s">
        <v>711</v>
      </c>
      <c r="C42" s="16"/>
      <c r="D42" s="14"/>
      <c r="E42" s="14"/>
      <c r="F42" s="14"/>
      <c r="G42" s="14"/>
      <c r="H42" s="14"/>
      <c r="I42" s="14"/>
      <c r="J42" s="14"/>
      <c r="K42" s="14"/>
      <c r="M42" s="282"/>
    </row>
    <row r="43" spans="1:13" ht="4.5" hidden="1" customHeight="1" x14ac:dyDescent="0.25">
      <c r="A43" s="19"/>
      <c r="B43" s="20"/>
      <c r="C43" s="16"/>
      <c r="D43" s="14"/>
      <c r="E43" s="14"/>
      <c r="F43" s="14"/>
      <c r="G43" s="14"/>
      <c r="H43" s="14"/>
      <c r="I43" s="14"/>
      <c r="J43" s="14"/>
      <c r="K43" s="14"/>
      <c r="M43" s="282"/>
    </row>
    <row r="44" spans="1:13" ht="18" hidden="1" customHeight="1" x14ac:dyDescent="0.25">
      <c r="A44" s="278">
        <v>-19</v>
      </c>
      <c r="B44" s="36" t="s">
        <v>321</v>
      </c>
      <c r="C44" s="31"/>
      <c r="D44" s="21"/>
      <c r="E44" s="21"/>
      <c r="F44" s="21"/>
      <c r="G44" s="21"/>
      <c r="H44" s="21"/>
      <c r="I44" s="21"/>
      <c r="J44" s="201"/>
      <c r="K44" s="21"/>
      <c r="M44" s="283" t="str">
        <f>IF(AND(ISBLANK($J$44),OR(General_Line="Medical Malpractice",General_Line="Earthquake")),"← ERROR! Enter direct commission rate.","")</f>
        <v/>
      </c>
    </row>
    <row r="45" spans="1:13" ht="18" hidden="1" customHeight="1" x14ac:dyDescent="0.25">
      <c r="A45" s="278">
        <v>-20</v>
      </c>
      <c r="B45" s="36" t="s">
        <v>63</v>
      </c>
      <c r="C45" s="470" t="s">
        <v>73</v>
      </c>
      <c r="D45" s="127"/>
      <c r="E45" s="127"/>
      <c r="F45" s="127"/>
      <c r="G45" s="127"/>
      <c r="H45" s="127"/>
      <c r="I45" s="127"/>
      <c r="J45" s="23"/>
      <c r="K45" s="127"/>
      <c r="M45" s="283"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25">
      <c r="A46" s="278">
        <v>-21</v>
      </c>
      <c r="B46" s="36" t="s">
        <v>322</v>
      </c>
      <c r="C46" s="470" t="s">
        <v>73</v>
      </c>
      <c r="D46" s="127"/>
      <c r="E46" s="127"/>
      <c r="F46" s="127"/>
      <c r="G46" s="127"/>
      <c r="H46" s="127"/>
      <c r="I46" s="127"/>
      <c r="J46" s="23"/>
      <c r="K46" s="127"/>
      <c r="M46" s="283"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25">
      <c r="A47" s="14" t="s">
        <v>707</v>
      </c>
      <c r="M47" s="283"/>
    </row>
    <row r="48" spans="1:13" ht="17.25" customHeight="1" thickBot="1" x14ac:dyDescent="0.3">
      <c r="A48" s="14" t="s">
        <v>323</v>
      </c>
      <c r="M48" s="283"/>
    </row>
    <row r="49" spans="1:14" ht="17.25" hidden="1" customHeight="1" x14ac:dyDescent="0.25">
      <c r="A49" s="14" t="s">
        <v>338</v>
      </c>
      <c r="J49" s="187"/>
      <c r="M49" s="202"/>
    </row>
    <row r="50" spans="1:14" ht="17.25" hidden="1" customHeight="1" thickBot="1" x14ac:dyDescent="0.3">
      <c r="A50" s="14" t="s">
        <v>157</v>
      </c>
      <c r="J50" s="91"/>
      <c r="M50" s="88"/>
    </row>
    <row r="51" spans="1:14" ht="20.100000000000001" customHeight="1" x14ac:dyDescent="0.25">
      <c r="A51" s="14"/>
      <c r="H51" s="785" t="s">
        <v>671</v>
      </c>
      <c r="I51" s="785"/>
      <c r="J51" s="785"/>
      <c r="K51" s="785"/>
      <c r="M51" s="142"/>
    </row>
    <row r="52" spans="1:14" ht="17.25" customHeight="1" x14ac:dyDescent="0.25">
      <c r="A52" s="14"/>
      <c r="J52" s="92"/>
      <c r="M52" s="90"/>
    </row>
    <row r="53" spans="1:14" x14ac:dyDescent="0.25">
      <c r="A53" s="14"/>
      <c r="B53" s="14"/>
      <c r="C53" s="14"/>
      <c r="D53" s="14"/>
      <c r="E53" s="14"/>
      <c r="F53" s="14"/>
      <c r="G53" s="14"/>
      <c r="H53" s="14"/>
      <c r="I53" s="14"/>
      <c r="J53" s="14"/>
      <c r="K53" s="14"/>
      <c r="L53" s="14"/>
      <c r="M53" s="14"/>
      <c r="N53" s="14"/>
    </row>
    <row r="54" spans="1:14" x14ac:dyDescent="0.25">
      <c r="A54" s="14"/>
      <c r="B54" s="14"/>
      <c r="C54" s="14"/>
      <c r="D54" s="14"/>
      <c r="E54" s="14"/>
      <c r="F54" s="14"/>
      <c r="G54" s="14"/>
      <c r="H54" s="14"/>
      <c r="I54" s="14"/>
      <c r="J54" s="14"/>
      <c r="K54" s="14"/>
      <c r="L54" s="14"/>
      <c r="M54" s="14"/>
      <c r="N54" s="14"/>
    </row>
    <row r="55" spans="1:14" x14ac:dyDescent="0.25">
      <c r="A55" s="14"/>
      <c r="B55" s="14"/>
      <c r="C55" s="14"/>
      <c r="D55" s="14"/>
      <c r="E55" s="14"/>
      <c r="F55" s="14"/>
      <c r="G55" s="14"/>
      <c r="H55" s="14"/>
      <c r="I55" s="14"/>
      <c r="J55" s="14"/>
      <c r="K55" s="14"/>
      <c r="L55" s="14"/>
      <c r="M55" s="14"/>
      <c r="N55" s="14"/>
    </row>
    <row r="56" spans="1:14" x14ac:dyDescent="0.25">
      <c r="A56" s="14"/>
      <c r="B56" s="14"/>
      <c r="C56" s="14"/>
      <c r="D56" s="14"/>
      <c r="E56" s="14"/>
      <c r="F56" s="14"/>
      <c r="G56" s="14"/>
      <c r="H56" s="14"/>
      <c r="I56" s="14"/>
      <c r="J56" s="14"/>
      <c r="K56" s="14"/>
      <c r="L56" s="14"/>
      <c r="M56" s="14"/>
      <c r="N56" s="14"/>
    </row>
    <row r="57" spans="1:14" x14ac:dyDescent="0.25">
      <c r="A57" s="14"/>
      <c r="B57" s="14"/>
      <c r="C57" s="14"/>
      <c r="D57" s="14"/>
      <c r="E57" s="14"/>
      <c r="F57" s="14"/>
      <c r="G57" s="14"/>
      <c r="H57" s="14"/>
      <c r="I57" s="14"/>
      <c r="J57" s="14"/>
      <c r="K57" s="14"/>
      <c r="L57" s="14"/>
      <c r="M57" s="14"/>
      <c r="N57" s="14"/>
    </row>
    <row r="58" spans="1:14" x14ac:dyDescent="0.25">
      <c r="A58" s="14"/>
      <c r="B58" s="14"/>
      <c r="C58" s="14"/>
      <c r="D58" s="14"/>
      <c r="E58" s="14"/>
      <c r="F58" s="14"/>
      <c r="G58" s="14"/>
      <c r="H58" s="14"/>
      <c r="I58" s="14"/>
      <c r="J58" s="14"/>
      <c r="K58" s="14"/>
      <c r="L58" s="14"/>
      <c r="M58" s="14"/>
      <c r="N58" s="14"/>
    </row>
    <row r="59" spans="1:14" x14ac:dyDescent="0.25">
      <c r="A59" s="14"/>
      <c r="B59" s="14"/>
      <c r="C59" s="14"/>
      <c r="D59" s="14"/>
      <c r="E59" s="14"/>
      <c r="F59" s="14"/>
      <c r="G59" s="14"/>
      <c r="H59" s="14"/>
      <c r="I59" s="14"/>
      <c r="J59" s="14"/>
      <c r="K59" s="14"/>
      <c r="L59" s="14"/>
      <c r="M59" s="14"/>
      <c r="N59" s="14"/>
    </row>
    <row r="60" spans="1:14" x14ac:dyDescent="0.25">
      <c r="A60" s="14"/>
      <c r="B60" s="14"/>
      <c r="C60" s="14"/>
      <c r="D60" s="14"/>
      <c r="E60" s="14"/>
      <c r="F60" s="14"/>
      <c r="G60" s="14"/>
      <c r="H60" s="14"/>
      <c r="I60" s="14"/>
      <c r="J60" s="14"/>
      <c r="K60" s="14"/>
      <c r="L60" s="14"/>
      <c r="M60" s="14"/>
      <c r="N60" s="14"/>
    </row>
    <row r="61" spans="1:14" x14ac:dyDescent="0.25">
      <c r="A61" s="14"/>
      <c r="B61" s="14"/>
      <c r="C61" s="14"/>
      <c r="D61" s="14"/>
      <c r="E61" s="14"/>
      <c r="F61" s="14"/>
      <c r="G61" s="14"/>
      <c r="H61" s="14"/>
      <c r="I61" s="14"/>
      <c r="J61" s="14"/>
      <c r="K61" s="14"/>
      <c r="L61" s="14"/>
      <c r="M61" s="14"/>
      <c r="N61" s="14"/>
    </row>
    <row r="62" spans="1:14" x14ac:dyDescent="0.25">
      <c r="A62" s="14"/>
      <c r="B62" s="14"/>
      <c r="C62" s="14"/>
      <c r="D62" s="14"/>
      <c r="E62" s="14"/>
      <c r="F62" s="14"/>
      <c r="G62" s="14"/>
      <c r="H62" s="14"/>
      <c r="I62" s="14"/>
      <c r="J62" s="14"/>
      <c r="K62" s="14"/>
      <c r="L62" s="14"/>
      <c r="M62" s="14"/>
      <c r="N62" s="14"/>
    </row>
    <row r="63" spans="1:14" x14ac:dyDescent="0.25">
      <c r="A63" s="14"/>
      <c r="B63" s="14"/>
      <c r="C63" s="14"/>
      <c r="D63" s="14"/>
      <c r="E63" s="14"/>
      <c r="F63" s="14"/>
      <c r="G63" s="14"/>
      <c r="H63" s="14"/>
      <c r="I63" s="14"/>
      <c r="J63" s="14"/>
      <c r="K63" s="14"/>
      <c r="L63" s="14"/>
      <c r="M63" s="14"/>
      <c r="N63" s="14"/>
    </row>
    <row r="64" spans="1:14" x14ac:dyDescent="0.25">
      <c r="A64" s="14"/>
      <c r="B64" s="14"/>
      <c r="C64" s="14"/>
      <c r="D64" s="14"/>
      <c r="E64" s="14"/>
      <c r="F64" s="14"/>
      <c r="G64" s="14"/>
      <c r="H64" s="14"/>
      <c r="I64" s="14"/>
      <c r="J64" s="14"/>
      <c r="K64" s="14"/>
      <c r="L64" s="14"/>
      <c r="M64" s="14"/>
      <c r="N64" s="14"/>
    </row>
  </sheetData>
  <sheetProtection algorithmName="SHA-512" hashValue="uks1ATsc5dPb6VVnwTelzagiTKrS3S8DsfcBhTUra6Fh843Eg/jboCt5mKdb1NEsnHn9Or4eoaPfwALlouriDg==" saltValue="KE7NhsPSMR6/qM62YHbsFQ==" spinCount="100000" sheet="1" objects="1" scenarios="1" formatColumns="0" formatRows="0" sort="0"/>
  <mergeCells count="1">
    <mergeCell ref="H51:K51"/>
  </mergeCells>
  <hyperlinks>
    <hyperlink ref="H51" location="CHANGE_AT_MAX" display="BOOM!" xr:uid="{00000000-0004-0000-0F00-000000000000}"/>
    <hyperlink ref="H51:K51" location="'7.6Rate Change Calculation'!CHANGE_AT_MAX" display="Go to 7.6Rate Change Calculation" xr:uid="{00000000-0004-0000-0F00-000001000000}"/>
  </hyperlinks>
  <printOptions horizontalCentered="1"/>
  <pageMargins left="0.45" right="0.45" top="0.5" bottom="0.75" header="0.3" footer="0.3"/>
  <pageSetup scale="80" orientation="portrait" r:id="rId1"/>
  <headerFooter>
    <oddFooter>&amp;CPrior Approval Rate Template&amp;RPage 6.6&amp;L01/11/2022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2227" r:id="rId4" name="btnYears">
              <controlPr defaultSize="0" print="0" autoFill="0" autoPict="0" macro="[0]!ExpandContractColsData">
                <anchor moveWithCells="1">
                  <from>
                    <xdr:col>9</xdr:col>
                    <xdr:colOff>180975</xdr:colOff>
                    <xdr:row>9</xdr:row>
                    <xdr:rowOff>142875</xdr:rowOff>
                  </from>
                  <to>
                    <xdr:col>10</xdr:col>
                    <xdr:colOff>1009650</xdr:colOff>
                    <xdr:row>11</xdr:row>
                    <xdr:rowOff>66675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6">
    <tabColor rgb="FF0000FF"/>
    <pageSetUpPr fitToPage="1"/>
  </sheetPr>
  <dimension ref="A1:N64"/>
  <sheetViews>
    <sheetView showGridLines="0" view="pageBreakPreview" topLeftCell="A13" zoomScaleNormal="100" zoomScaleSheetLayoutView="100" workbookViewId="0">
      <selection activeCell="D30" sqref="D30"/>
    </sheetView>
  </sheetViews>
  <sheetFormatPr defaultRowHeight="15" x14ac:dyDescent="0.25"/>
  <cols>
    <col min="1" max="1" width="5" customWidth="1"/>
    <col min="2" max="2" width="29.7109375" customWidth="1"/>
    <col min="3" max="3" width="7" bestFit="1" customWidth="1"/>
    <col min="4" max="11" width="15.7109375" customWidth="1"/>
    <col min="12" max="12" width="0.85546875" customWidth="1"/>
    <col min="13" max="13" width="127.85546875" bestFit="1" customWidth="1"/>
  </cols>
  <sheetData>
    <row r="1" spans="1:13" ht="15.75" thickBot="1" x14ac:dyDescent="0.3">
      <c r="A1" s="10" t="s">
        <v>31</v>
      </c>
      <c r="B1" s="13"/>
      <c r="H1" s="13" t="s">
        <v>33</v>
      </c>
      <c r="K1" s="12" t="str">
        <f>Co_Name</f>
        <v>State Farm Mutual Automobile Insurance Company</v>
      </c>
      <c r="M1" s="279" t="s">
        <v>310</v>
      </c>
    </row>
    <row r="2" spans="1:13" x14ac:dyDescent="0.25">
      <c r="A2" s="10" t="s">
        <v>32</v>
      </c>
      <c r="B2" s="13"/>
      <c r="H2" s="13" t="s">
        <v>34</v>
      </c>
      <c r="K2" s="12" t="str">
        <f>General_Line</f>
        <v>Auto Liability and Physical Damage</v>
      </c>
      <c r="M2" s="280" t="s">
        <v>113</v>
      </c>
    </row>
    <row r="3" spans="1:13" x14ac:dyDescent="0.25">
      <c r="A3" s="10"/>
      <c r="B3" s="185"/>
      <c r="H3" s="83" t="s">
        <v>142</v>
      </c>
      <c r="I3" s="84"/>
      <c r="J3" s="84"/>
      <c r="K3" s="82" t="str">
        <f>CDI_FileNo</f>
        <v/>
      </c>
      <c r="M3" s="281"/>
    </row>
    <row r="4" spans="1:13" ht="18" customHeight="1" x14ac:dyDescent="0.25">
      <c r="M4" s="282"/>
    </row>
    <row r="5" spans="1:13" ht="23.25" x14ac:dyDescent="0.25">
      <c r="A5" s="4" t="s">
        <v>606</v>
      </c>
      <c r="B5" s="3"/>
      <c r="C5" s="3"/>
      <c r="D5" s="3"/>
      <c r="E5" s="3"/>
      <c r="F5" s="3"/>
      <c r="G5" s="3"/>
      <c r="H5" s="3"/>
      <c r="I5" s="3"/>
      <c r="J5" s="3"/>
      <c r="K5" s="3"/>
      <c r="L5" s="3"/>
      <c r="M5" s="282"/>
    </row>
    <row r="6" spans="1:13" ht="15.75" thickBot="1" x14ac:dyDescent="0.3">
      <c r="M6" s="282"/>
    </row>
    <row r="7" spans="1:13" ht="18" customHeight="1" thickBot="1" x14ac:dyDescent="0.3">
      <c r="B7" s="130" t="s">
        <v>1</v>
      </c>
      <c r="G7" s="14" t="str">
        <f>Completed_By</f>
        <v>Laura Campbell</v>
      </c>
      <c r="J7" s="130" t="s">
        <v>706</v>
      </c>
      <c r="K7" s="543"/>
      <c r="M7" s="282"/>
    </row>
    <row r="8" spans="1:13" ht="18" customHeight="1" x14ac:dyDescent="0.25">
      <c r="B8" s="130" t="s">
        <v>76</v>
      </c>
      <c r="G8" s="62">
        <f>Completed_Date</f>
        <v>44816</v>
      </c>
      <c r="M8" s="282"/>
    </row>
    <row r="9" spans="1:13" ht="5.0999999999999996" customHeight="1" x14ac:dyDescent="0.25">
      <c r="B9" s="130"/>
      <c r="M9" s="282"/>
    </row>
    <row r="10" spans="1:13" ht="18" customHeight="1" x14ac:dyDescent="0.25">
      <c r="B10" s="130" t="s">
        <v>77</v>
      </c>
      <c r="G10" s="298" t="str">
        <f>Detailed_LineDesc07</f>
        <v>Private Passenger Auto Liability</v>
      </c>
      <c r="H10" s="298"/>
      <c r="I10" s="298"/>
      <c r="M10" s="283"/>
    </row>
    <row r="11" spans="1:13" ht="18" customHeight="1" x14ac:dyDescent="0.25">
      <c r="B11" s="130" t="s">
        <v>78</v>
      </c>
      <c r="G11" s="298" t="str">
        <f>Covg07</f>
        <v>Misc. Liability</v>
      </c>
      <c r="H11" s="298"/>
      <c r="I11" s="298"/>
      <c r="M11" s="282"/>
    </row>
    <row r="12" spans="1:13" ht="9.9499999999999993" customHeight="1" x14ac:dyDescent="0.25">
      <c r="B12" s="2"/>
      <c r="G12" s="27"/>
      <c r="I12" s="28"/>
      <c r="J12" s="29"/>
      <c r="M12" s="282"/>
    </row>
    <row r="13" spans="1:13" ht="30" x14ac:dyDescent="0.25">
      <c r="A13" s="33" t="s">
        <v>59</v>
      </c>
      <c r="B13" s="34" t="s">
        <v>64</v>
      </c>
      <c r="C13" s="33" t="s">
        <v>58</v>
      </c>
      <c r="D13" s="195" t="s">
        <v>226</v>
      </c>
      <c r="E13" s="195" t="s">
        <v>227</v>
      </c>
      <c r="F13" s="195" t="s">
        <v>228</v>
      </c>
      <c r="G13" s="195" t="s">
        <v>229</v>
      </c>
      <c r="H13" s="195" t="s">
        <v>230</v>
      </c>
      <c r="I13" s="195" t="s">
        <v>231</v>
      </c>
      <c r="J13" s="33" t="s">
        <v>109</v>
      </c>
      <c r="K13" s="33" t="s">
        <v>110</v>
      </c>
      <c r="M13" s="282"/>
    </row>
    <row r="14" spans="1:13" ht="18" customHeight="1" thickBot="1" x14ac:dyDescent="0.3">
      <c r="A14" s="49" t="s">
        <v>115</v>
      </c>
      <c r="B14" s="48" t="s">
        <v>114</v>
      </c>
      <c r="C14" s="44"/>
      <c r="D14" s="469" t="str">
        <f>LEFT(MstRcntDataYr,4)-5&amp;RIGHT(MstRcntDataYr,1)</f>
        <v>20171</v>
      </c>
      <c r="E14" s="469" t="str">
        <f>LEFT(MstRcntDataYr,4)-4&amp;RIGHT(MstRcntDataYr,1)</f>
        <v>20181</v>
      </c>
      <c r="F14" s="469" t="str">
        <f>LEFT(MstRcntDataYr,4)-3&amp;RIGHT(MstRcntDataYr,1)</f>
        <v>20191</v>
      </c>
      <c r="G14" s="469" t="str">
        <f>LEFT(MstRcntDataYr,4)-2&amp;RIGHT(MstRcntDataYr,1)</f>
        <v>20201</v>
      </c>
      <c r="H14" s="469" t="str">
        <f>LEFT(MstRcntDataYr,4)-1&amp;RIGHT(MstRcntDataYr,1)</f>
        <v>20211</v>
      </c>
      <c r="I14" s="469">
        <f>MstRcntDataYr</f>
        <v>20221</v>
      </c>
      <c r="J14" s="30"/>
      <c r="K14" s="22"/>
      <c r="M14" s="282"/>
    </row>
    <row r="15" spans="1:13" ht="30" customHeight="1" x14ac:dyDescent="0.25">
      <c r="A15" s="41">
        <v>-1</v>
      </c>
      <c r="B15" s="42" t="s">
        <v>54</v>
      </c>
      <c r="C15" s="43"/>
      <c r="D15" s="196">
        <v>1076407.5899999999</v>
      </c>
      <c r="E15" s="742">
        <v>924937.36</v>
      </c>
      <c r="F15" s="742">
        <v>812748.6399999999</v>
      </c>
      <c r="G15" s="742">
        <v>798511.04</v>
      </c>
      <c r="H15" s="742">
        <v>745187.75</v>
      </c>
      <c r="I15" s="742">
        <v>701871.88000000012</v>
      </c>
      <c r="J15" s="24"/>
      <c r="K15" s="127"/>
      <c r="M15" s="283" t="str">
        <f>IF(AND(New_Program=TRUE,ISBLANK($K$15)),"← ERROR! Enter projected figure for new program, or deselect 'New Program' on Page '1.General'.","")</f>
        <v/>
      </c>
    </row>
    <row r="16" spans="1:13" ht="30" customHeight="1" x14ac:dyDescent="0.25">
      <c r="A16" s="35">
        <v>-2</v>
      </c>
      <c r="B16" s="36" t="s">
        <v>55</v>
      </c>
      <c r="C16" s="470"/>
      <c r="D16" s="128">
        <v>1105311.5300000003</v>
      </c>
      <c r="E16" s="743">
        <v>983067.04</v>
      </c>
      <c r="F16" s="743">
        <v>822968.33</v>
      </c>
      <c r="G16" s="743">
        <v>799640.84000000008</v>
      </c>
      <c r="H16" s="743">
        <v>771394.87</v>
      </c>
      <c r="I16" s="743">
        <v>699842.82000000007</v>
      </c>
      <c r="J16" s="25"/>
      <c r="K16" s="85" t="str">
        <f>IF(ISBLANK($K$15),"",$K$15)</f>
        <v/>
      </c>
      <c r="M16" s="283" t="str">
        <f>IF(AND(New_Program=TRUE,$K$16&lt;&gt;$K$15),"← ERROR! For New Programs, Earned Premium must equal Written Premium. Refer to Section III.C. of Prior Approval Rate Filing Instructions.","")</f>
        <v/>
      </c>
    </row>
    <row r="17" spans="1:13" ht="18" customHeight="1" x14ac:dyDescent="0.25">
      <c r="A17" s="35">
        <v>-3</v>
      </c>
      <c r="B17" s="36" t="s">
        <v>36</v>
      </c>
      <c r="C17" s="470" t="s">
        <v>65</v>
      </c>
      <c r="D17" s="198">
        <v>0.64128465844580385</v>
      </c>
      <c r="E17" s="744">
        <v>0.71780748714105225</v>
      </c>
      <c r="F17" s="744">
        <v>0.83815609297115579</v>
      </c>
      <c r="G17" s="744">
        <v>0.85634838408445069</v>
      </c>
      <c r="H17" s="744">
        <v>0.8953035105503131</v>
      </c>
      <c r="I17" s="744">
        <v>1</v>
      </c>
      <c r="J17" s="21"/>
      <c r="K17" s="21"/>
      <c r="M17" s="282"/>
    </row>
    <row r="18" spans="1:13" ht="18" customHeight="1" x14ac:dyDescent="0.25">
      <c r="A18" s="35">
        <v>-4</v>
      </c>
      <c r="B18" s="36" t="s">
        <v>130</v>
      </c>
      <c r="C18" s="470" t="s">
        <v>66</v>
      </c>
      <c r="D18" s="198">
        <v>1.0524243420645187</v>
      </c>
      <c r="E18" s="744">
        <v>1.0450331638561283</v>
      </c>
      <c r="F18" s="744">
        <v>1.0376938939067211</v>
      </c>
      <c r="G18" s="744">
        <v>1.0304061676644931</v>
      </c>
      <c r="H18" s="744">
        <v>1.023169623137888</v>
      </c>
      <c r="I18" s="744">
        <v>1.0159839008776173</v>
      </c>
      <c r="J18" s="200">
        <v>7.0726733504966601E-3</v>
      </c>
      <c r="K18" s="21"/>
      <c r="M18" s="283" t="str">
        <f>IF(AND(New_Program=FALSE,ISBLANK($J$18)),"← ERROR! Enter Annual Premium Trend as a percentage in the 'Projected' column.","")</f>
        <v/>
      </c>
    </row>
    <row r="19" spans="1:13" ht="30" customHeight="1" x14ac:dyDescent="0.25">
      <c r="A19" s="35">
        <v>-5</v>
      </c>
      <c r="B19" s="36" t="s">
        <v>743</v>
      </c>
      <c r="C19" s="470" t="s">
        <v>67</v>
      </c>
      <c r="D19" s="128">
        <v>0</v>
      </c>
      <c r="E19" s="743">
        <v>0</v>
      </c>
      <c r="F19" s="743">
        <v>0</v>
      </c>
      <c r="G19" s="743">
        <v>0</v>
      </c>
      <c r="H19" s="743">
        <v>0</v>
      </c>
      <c r="I19" s="743">
        <v>0</v>
      </c>
      <c r="J19" s="21"/>
      <c r="K19" s="127"/>
      <c r="M19" s="283" t="str">
        <f>IF(AND(New_Program=TRUE,ISBLANK($K$19)),"← ERROR! Enter projected figure for new program, or deselect 'New Program' on Page '1.General'.","")</f>
        <v/>
      </c>
    </row>
    <row r="20" spans="1:13" ht="18" customHeight="1" x14ac:dyDescent="0.25">
      <c r="A20" s="35">
        <v>-6</v>
      </c>
      <c r="B20" s="36" t="s">
        <v>56</v>
      </c>
      <c r="C20" s="470"/>
      <c r="D20" s="128">
        <v>234041</v>
      </c>
      <c r="E20" s="743">
        <v>231421</v>
      </c>
      <c r="F20" s="743">
        <v>224715</v>
      </c>
      <c r="G20" s="743">
        <v>220896</v>
      </c>
      <c r="H20" s="743">
        <v>221150</v>
      </c>
      <c r="I20" s="743">
        <v>223752</v>
      </c>
      <c r="J20" s="21"/>
      <c r="K20" s="127"/>
      <c r="M20" s="283" t="str">
        <f>IF(AND(New_Program=TRUE,ISBLANK($K$20)),"← ERROR! Enter projected figure for new program, or deselect 'New Program' on Page '1.General'.","")</f>
        <v/>
      </c>
    </row>
    <row r="21" spans="1:13" ht="18" customHeight="1" x14ac:dyDescent="0.25">
      <c r="A21" s="35">
        <v>-7</v>
      </c>
      <c r="B21" s="36" t="s">
        <v>133</v>
      </c>
      <c r="C21" s="470"/>
      <c r="D21" s="128">
        <v>353150</v>
      </c>
      <c r="E21" s="743">
        <v>409684.12</v>
      </c>
      <c r="F21" s="743">
        <v>469221.42</v>
      </c>
      <c r="G21" s="743">
        <v>382200</v>
      </c>
      <c r="H21" s="743">
        <v>210500</v>
      </c>
      <c r="I21" s="743">
        <v>184435</v>
      </c>
      <c r="J21" s="21"/>
      <c r="K21" s="127"/>
      <c r="M21" s="283" t="str">
        <f>IF(AND(New_Program=TRUE,ISBLANK($K$21)),"← ERROR! Enter projected figure for new program, or deselect 'New Program' on Page '1.General'.","")</f>
        <v/>
      </c>
    </row>
    <row r="22" spans="1:13" ht="30" customHeight="1" x14ac:dyDescent="0.25">
      <c r="A22" s="35">
        <v>-8</v>
      </c>
      <c r="B22" s="36" t="s">
        <v>57</v>
      </c>
      <c r="C22" s="470"/>
      <c r="D22" s="128">
        <v>0</v>
      </c>
      <c r="E22" s="743">
        <v>8</v>
      </c>
      <c r="F22" s="743">
        <v>7973.9999999999991</v>
      </c>
      <c r="G22" s="743">
        <v>24.9</v>
      </c>
      <c r="H22" s="743">
        <v>0</v>
      </c>
      <c r="I22" s="743">
        <v>35</v>
      </c>
      <c r="J22" s="21"/>
      <c r="K22" s="127"/>
      <c r="M22" s="283" t="str">
        <f>IF(AND(New_Program=TRUE,ISBLANK($K$22)),"← ERROR! Enter projected figure for new program, or deselect 'New Program' on Page '1.General'.","")</f>
        <v/>
      </c>
    </row>
    <row r="23" spans="1:13" ht="18" customHeight="1" x14ac:dyDescent="0.25">
      <c r="A23" s="35">
        <v>-9</v>
      </c>
      <c r="B23" s="36" t="s">
        <v>60</v>
      </c>
      <c r="C23" s="470" t="s">
        <v>68</v>
      </c>
      <c r="D23" s="198">
        <v>1</v>
      </c>
      <c r="E23" s="745">
        <v>1</v>
      </c>
      <c r="F23" s="745">
        <v>1.0151333229240529</v>
      </c>
      <c r="G23" s="745">
        <v>1.0151333229240529</v>
      </c>
      <c r="H23" s="745">
        <v>1.0390046358676026</v>
      </c>
      <c r="I23" s="745">
        <v>1.0695732887503766</v>
      </c>
      <c r="J23" s="21"/>
      <c r="K23" s="21"/>
      <c r="M23" s="282"/>
    </row>
    <row r="24" spans="1:13" ht="18" customHeight="1" x14ac:dyDescent="0.25">
      <c r="A24" s="35">
        <v>-10</v>
      </c>
      <c r="B24" s="36" t="s">
        <v>61</v>
      </c>
      <c r="C24" s="470" t="s">
        <v>68</v>
      </c>
      <c r="D24" s="198">
        <v>1</v>
      </c>
      <c r="E24" s="745">
        <v>1</v>
      </c>
      <c r="F24" s="745">
        <v>1</v>
      </c>
      <c r="G24" s="745">
        <v>1</v>
      </c>
      <c r="H24" s="745">
        <v>1.0010001375189088</v>
      </c>
      <c r="I24" s="745">
        <v>1.0846518558656189</v>
      </c>
      <c r="J24" s="21"/>
      <c r="K24" s="21"/>
      <c r="M24" s="282"/>
    </row>
    <row r="25" spans="1:13" ht="18" customHeight="1" x14ac:dyDescent="0.25">
      <c r="A25" s="35">
        <v>-11</v>
      </c>
      <c r="B25" s="36" t="s">
        <v>132</v>
      </c>
      <c r="C25" s="470" t="s">
        <v>69</v>
      </c>
      <c r="D25" s="198">
        <v>0.84069682437807203</v>
      </c>
      <c r="E25" s="745">
        <v>0.8610611036867204</v>
      </c>
      <c r="F25" s="745">
        <v>0.88191866887410097</v>
      </c>
      <c r="G25" s="745">
        <v>0.90328146885107219</v>
      </c>
      <c r="H25" s="745">
        <v>0.92516174196809908</v>
      </c>
      <c r="I25" s="745">
        <v>0.94757202302637678</v>
      </c>
      <c r="J25" s="200">
        <v>-2.3650213929600001E-2</v>
      </c>
      <c r="K25" s="21"/>
      <c r="M25" s="283" t="str">
        <f>IF(AND(New_Program=FALSE,ISBLANK($J$25)),"← ERROR! Enter Annual Loss Trend as a percentage in the 'Projected' column","")</f>
        <v/>
      </c>
    </row>
    <row r="26" spans="1:13" ht="18" customHeight="1" x14ac:dyDescent="0.25">
      <c r="A26" s="35">
        <v>-12</v>
      </c>
      <c r="B26" s="36" t="s">
        <v>131</v>
      </c>
      <c r="C26" s="470" t="s">
        <v>69</v>
      </c>
      <c r="D26" s="198">
        <v>0.84069682437807203</v>
      </c>
      <c r="E26" s="745">
        <v>0.8610611036867204</v>
      </c>
      <c r="F26" s="745">
        <v>0.88191866887410097</v>
      </c>
      <c r="G26" s="745">
        <v>0.90328146885107219</v>
      </c>
      <c r="H26" s="745">
        <v>0.92516174196809908</v>
      </c>
      <c r="I26" s="745">
        <v>0.94757202302637678</v>
      </c>
      <c r="J26" s="200">
        <v>-2.3650213929600001E-2</v>
      </c>
      <c r="K26" s="21"/>
      <c r="M26" s="283" t="str">
        <f>IF(AND(New_Program=FALSE,ISBLANK($J$26)),"← ERROR! Enter Annual DCCE Trend as a percentage in the 'Projected' column","")</f>
        <v/>
      </c>
    </row>
    <row r="27" spans="1:13" ht="18" customHeight="1" x14ac:dyDescent="0.25">
      <c r="A27" s="35">
        <v>-13</v>
      </c>
      <c r="B27" s="36" t="s">
        <v>62</v>
      </c>
      <c r="C27" s="470" t="s">
        <v>70</v>
      </c>
      <c r="D27" s="198">
        <v>1</v>
      </c>
      <c r="E27" s="745">
        <v>1</v>
      </c>
      <c r="F27" s="745">
        <v>1</v>
      </c>
      <c r="G27" s="745">
        <v>1</v>
      </c>
      <c r="H27" s="745">
        <v>1</v>
      </c>
      <c r="I27" s="745">
        <v>1</v>
      </c>
      <c r="J27" s="21"/>
      <c r="K27" s="21"/>
      <c r="M27" s="282"/>
    </row>
    <row r="28" spans="1:13" ht="18" customHeight="1" x14ac:dyDescent="0.25">
      <c r="A28" s="35">
        <v>-14</v>
      </c>
      <c r="B28" s="31" t="s">
        <v>728</v>
      </c>
      <c r="C28" s="470" t="s">
        <v>71</v>
      </c>
      <c r="D28" s="32"/>
      <c r="E28" s="21"/>
      <c r="F28" s="21"/>
      <c r="G28" s="21"/>
      <c r="H28" s="21"/>
      <c r="I28" s="21"/>
      <c r="J28" s="201">
        <v>0.23452078799117149</v>
      </c>
      <c r="K28" s="21"/>
      <c r="M28" s="284"/>
    </row>
    <row r="29" spans="1:13" ht="18" customHeight="1" x14ac:dyDescent="0.25">
      <c r="A29" s="35">
        <v>-15</v>
      </c>
      <c r="B29" s="36" t="s">
        <v>37</v>
      </c>
      <c r="C29" s="470" t="s">
        <v>72</v>
      </c>
      <c r="D29" s="128">
        <v>0</v>
      </c>
      <c r="E29" s="127">
        <v>0</v>
      </c>
      <c r="F29" s="127">
        <v>0</v>
      </c>
      <c r="G29" s="127">
        <v>0</v>
      </c>
      <c r="H29" s="127">
        <v>0</v>
      </c>
      <c r="I29" s="127">
        <v>0</v>
      </c>
      <c r="J29" s="21"/>
      <c r="K29" s="127"/>
      <c r="M29" s="283" t="str">
        <f>IF(AND(New_Program=TRUE,ISBLANK($K$29)),"← ERROR! Enter projected figure for new program, or deselect 'New Program' on Page '1.General'.","")</f>
        <v/>
      </c>
    </row>
    <row r="30" spans="1:13" ht="5.0999999999999996" customHeight="1" x14ac:dyDescent="0.25">
      <c r="A30" s="38"/>
      <c r="B30" s="39"/>
      <c r="C30" s="40"/>
      <c r="D30" s="641">
        <f>IF(COUNTBLANK(D15:D27)+COUNTBLANK(D29)=14,1,IF(COUNT(D15:D27)+COUNT(D29)=14,1,"D "))</f>
        <v>1</v>
      </c>
      <c r="E30" s="641">
        <f>IF(COUNTBLANK(E15:E27)+COUNTBLANK(E29)=14,1,IF(COUNT(E15:E27)+COUNT(E29)=14,1,"E "))</f>
        <v>1</v>
      </c>
      <c r="F30" s="641">
        <f>IF(COUNTBLANK(F15:F27)+COUNTBLANK(F29)=14,1,IF(COUNT(F15:F27)+COUNT(F29)=14,1,"F "))</f>
        <v>1</v>
      </c>
      <c r="G30" s="641">
        <f>IF(COUNTBLANK(G15:G27)+COUNTBLANK(G29)=14,1,IF(COUNT(G15:G27)+COUNT(G29)=14,1,"G "))</f>
        <v>1</v>
      </c>
      <c r="H30" s="641">
        <f>IF(COUNTBLANK(H15:H27)+COUNTBLANK(H29)=14,1,IF(COUNT(H15:H27)+COUNT(H29)=14,1,"H "))</f>
        <v>1</v>
      </c>
      <c r="I30" s="641">
        <f>IF(COUNTBLANK(I15:I27)+COUNTBLANK(I29)=14,1,IF(COUNT(I15:I27)+COUNT(I29)=14,1,"I "))</f>
        <v>1</v>
      </c>
      <c r="J30" s="642">
        <f>IF(COUNTBLANK(J15:J29)=15,1,IF(COUNT(J18,J25,J26,J28)=4,1,"J "))</f>
        <v>1</v>
      </c>
      <c r="K30" s="643">
        <f>IF(COUNTBLANK(K15)+COUNTBLANK(K17:K29)=14,1,IF(COUNT(K15,K19,K20,K21,K22,K29)=6,1,"K "))</f>
        <v>1</v>
      </c>
      <c r="M30" s="282"/>
    </row>
    <row r="31" spans="1:13" ht="15" customHeight="1" x14ac:dyDescent="0.25">
      <c r="A31" s="38"/>
      <c r="B31" s="20" t="s">
        <v>716</v>
      </c>
      <c r="C31" s="40"/>
      <c r="D31" s="14"/>
      <c r="E31" s="14"/>
      <c r="F31" s="14"/>
      <c r="G31" s="14"/>
      <c r="H31" s="14"/>
      <c r="I31" s="14"/>
      <c r="J31" s="26"/>
      <c r="K31" s="143"/>
      <c r="M31" s="283"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25">
      <c r="A32" s="38"/>
      <c r="B32" s="39"/>
      <c r="C32" s="40"/>
      <c r="D32" s="14"/>
      <c r="E32" s="14"/>
      <c r="F32" s="14"/>
      <c r="G32" s="14"/>
      <c r="H32" s="14"/>
      <c r="I32" s="14"/>
      <c r="J32" s="26"/>
      <c r="K32" s="143"/>
      <c r="M32" s="282"/>
    </row>
    <row r="33" spans="1:13" ht="18" customHeight="1" x14ac:dyDescent="0.25">
      <c r="A33" s="35">
        <v>-16</v>
      </c>
      <c r="B33" s="36" t="s">
        <v>162</v>
      </c>
      <c r="C33" s="470" t="s">
        <v>608</v>
      </c>
      <c r="D33" s="32"/>
      <c r="E33" s="21"/>
      <c r="F33" s="21"/>
      <c r="G33" s="21"/>
      <c r="H33" s="21"/>
      <c r="I33" s="21"/>
      <c r="J33" s="81">
        <f>IF(New_Program=FALSE,ExpRatio_Excluded,"")</f>
        <v>1.3597266477453115E-2</v>
      </c>
      <c r="K33" s="81" t="str">
        <f>IF(New_Program=TRUE,ExpRatio_Excluded,"")</f>
        <v/>
      </c>
      <c r="M33" s="282"/>
    </row>
    <row r="34" spans="1:13" ht="30" customHeight="1" x14ac:dyDescent="0.25">
      <c r="A34" s="35">
        <v>-17</v>
      </c>
      <c r="B34" s="36" t="s">
        <v>311</v>
      </c>
      <c r="C34" s="470" t="s">
        <v>609</v>
      </c>
      <c r="D34" s="32"/>
      <c r="E34" s="21"/>
      <c r="F34" s="21"/>
      <c r="G34" s="21"/>
      <c r="H34" s="21"/>
      <c r="I34" s="21"/>
      <c r="J34" s="81">
        <f>IF(New_Program=FALSE,FIT_Inv,"")</f>
        <v>0.18752087399665437</v>
      </c>
      <c r="K34" s="81" t="str">
        <f>IF(New_Program=TRUE,FIT_Inv,"")</f>
        <v/>
      </c>
      <c r="M34" s="282"/>
    </row>
    <row r="35" spans="1:13" ht="18" customHeight="1" x14ac:dyDescent="0.25">
      <c r="A35" s="35">
        <v>-18</v>
      </c>
      <c r="B35" s="31" t="s">
        <v>312</v>
      </c>
      <c r="C35" s="470" t="s">
        <v>609</v>
      </c>
      <c r="D35" s="32"/>
      <c r="E35" s="21"/>
      <c r="F35" s="21"/>
      <c r="G35" s="21"/>
      <c r="H35" s="21"/>
      <c r="I35" s="21"/>
      <c r="J35" s="81">
        <f>IF(New_Program=FALSE,Yield,"")</f>
        <v>8.8050065696007235E-2</v>
      </c>
      <c r="K35" s="81" t="str">
        <f>IF(New_Program=TRUE,Yield,"")</f>
        <v/>
      </c>
      <c r="M35" s="282"/>
    </row>
    <row r="36" spans="1:13" ht="5.0999999999999996" hidden="1" customHeight="1" x14ac:dyDescent="0.25">
      <c r="A36" s="38"/>
      <c r="B36" s="39"/>
      <c r="C36" s="40"/>
      <c r="D36" s="14"/>
      <c r="E36" s="14"/>
      <c r="F36" s="14"/>
      <c r="G36" s="14"/>
      <c r="H36" s="14"/>
      <c r="I36" s="14"/>
      <c r="J36" s="26"/>
      <c r="K36" s="143"/>
      <c r="M36" s="282"/>
    </row>
    <row r="37" spans="1:13" ht="15" hidden="1" customHeight="1" x14ac:dyDescent="0.25">
      <c r="A37" s="38"/>
      <c r="B37" s="20" t="s">
        <v>337</v>
      </c>
      <c r="C37" s="40"/>
      <c r="D37" s="45"/>
      <c r="E37" s="45"/>
      <c r="F37" s="45"/>
      <c r="G37" s="45"/>
      <c r="H37" s="45"/>
      <c r="I37" s="45"/>
      <c r="J37" s="45"/>
      <c r="K37" s="45"/>
      <c r="M37" s="282"/>
    </row>
    <row r="38" spans="1:13" ht="5.0999999999999996" hidden="1" customHeight="1" x14ac:dyDescent="0.25">
      <c r="A38" s="38"/>
      <c r="B38" s="39"/>
      <c r="C38" s="40"/>
      <c r="D38" s="45"/>
      <c r="E38" s="45"/>
      <c r="F38" s="45"/>
      <c r="G38" s="45"/>
      <c r="H38" s="45"/>
      <c r="I38" s="45"/>
      <c r="K38" s="46"/>
      <c r="M38" s="282"/>
    </row>
    <row r="39" spans="1:13" ht="18" hidden="1" customHeight="1" x14ac:dyDescent="0.25">
      <c r="A39" s="35">
        <v>-19</v>
      </c>
      <c r="B39" s="36" t="s">
        <v>112</v>
      </c>
      <c r="C39" s="470" t="s">
        <v>111</v>
      </c>
      <c r="D39" s="21"/>
      <c r="E39" s="21"/>
      <c r="F39" s="21"/>
      <c r="G39" s="21"/>
      <c r="H39" s="21"/>
      <c r="I39" s="21"/>
      <c r="J39" s="200"/>
      <c r="K39" s="21"/>
      <c r="M39" s="283" t="str">
        <f>IF(AND(ISBLANK($J$39)=FALSE,'1.General'!$I$47=2),"← ERROR! No efficiency standard variance will be applied unless 'Y' is selected in pull-down menu on Page '1.General'.","")</f>
        <v/>
      </c>
    </row>
    <row r="40" spans="1:13" ht="30" hidden="1" customHeight="1" x14ac:dyDescent="0.25">
      <c r="A40" s="35">
        <v>-20</v>
      </c>
      <c r="B40" s="36" t="s">
        <v>156</v>
      </c>
      <c r="C40" s="470" t="s">
        <v>111</v>
      </c>
      <c r="D40" s="21"/>
      <c r="E40" s="21"/>
      <c r="F40" s="21"/>
      <c r="G40" s="21"/>
      <c r="H40" s="21"/>
      <c r="I40" s="21"/>
      <c r="J40" s="200"/>
      <c r="K40" s="21"/>
      <c r="M40" s="284" t="str">
        <f>IF('1.General'!$I$47=2,"",IF(AND(ExpRatio_Actual07&lt;=EffStd_Wtd07,EffStd_VarReq07&gt;0),"← ERROR: Based on insurer's stated most recent year expense ratio, no relief from efficiency standard variances is allowed.  Insurer's stated most recent year expense ratio is already less than or equal to the efficiency standard.",IF(AND(ROUND(EffStd_Wtd07+EffStd_VarReq07,3)&gt;ExpRatio_Actual07,EffStd_VarReq07&gt;0),"← ERROR! Assuming the calculation of the insurer's most recent year expense ratio is justified, relief from the efficiency standard will be limited to the difference between that ratio and the efficiency standard, or, "&amp;ROUND(ExpRatio_Actual07-EffStd_Wtd07,3)*100&amp;"%, subject to CDI approval.","")))</f>
        <v/>
      </c>
    </row>
    <row r="41" spans="1:13" ht="4.5" customHeight="1" x14ac:dyDescent="0.25">
      <c r="A41" s="38"/>
      <c r="B41" s="39"/>
      <c r="C41" s="40"/>
      <c r="D41" s="45"/>
      <c r="E41" s="45"/>
      <c r="F41" s="45"/>
      <c r="G41" s="45"/>
      <c r="H41" s="45"/>
      <c r="I41" s="45"/>
      <c r="J41" s="45"/>
      <c r="K41" s="45"/>
      <c r="M41" s="284"/>
    </row>
    <row r="42" spans="1:13" ht="15" hidden="1" customHeight="1" x14ac:dyDescent="0.25">
      <c r="A42" s="19"/>
      <c r="B42" s="20" t="s">
        <v>711</v>
      </c>
      <c r="C42" s="16"/>
      <c r="D42" s="14"/>
      <c r="E42" s="14"/>
      <c r="F42" s="14"/>
      <c r="G42" s="14"/>
      <c r="H42" s="14"/>
      <c r="I42" s="14"/>
      <c r="J42" s="14"/>
      <c r="K42" s="14"/>
      <c r="M42" s="282"/>
    </row>
    <row r="43" spans="1:13" ht="4.5" hidden="1" customHeight="1" x14ac:dyDescent="0.25">
      <c r="A43" s="19"/>
      <c r="B43" s="20"/>
      <c r="C43" s="16"/>
      <c r="D43" s="14"/>
      <c r="E43" s="14"/>
      <c r="F43" s="14"/>
      <c r="G43" s="14"/>
      <c r="H43" s="14"/>
      <c r="I43" s="14"/>
      <c r="J43" s="14"/>
      <c r="K43" s="14"/>
      <c r="M43" s="282"/>
    </row>
    <row r="44" spans="1:13" ht="18" hidden="1" customHeight="1" x14ac:dyDescent="0.25">
      <c r="A44" s="278">
        <v>-19</v>
      </c>
      <c r="B44" s="36" t="s">
        <v>321</v>
      </c>
      <c r="C44" s="31"/>
      <c r="D44" s="21"/>
      <c r="E44" s="21"/>
      <c r="F44" s="21"/>
      <c r="G44" s="21"/>
      <c r="H44" s="21"/>
      <c r="I44" s="21"/>
      <c r="J44" s="201"/>
      <c r="K44" s="21"/>
      <c r="M44" s="283" t="str">
        <f>IF(AND(ISBLANK($J$44),OR(General_Line="Medical Malpractice",General_Line="Earthquake")),"← ERROR! Enter direct commission rate.","")</f>
        <v/>
      </c>
    </row>
    <row r="45" spans="1:13" ht="18" hidden="1" customHeight="1" x14ac:dyDescent="0.25">
      <c r="A45" s="278">
        <v>-20</v>
      </c>
      <c r="B45" s="36" t="s">
        <v>63</v>
      </c>
      <c r="C45" s="470" t="s">
        <v>73</v>
      </c>
      <c r="D45" s="127"/>
      <c r="E45" s="127"/>
      <c r="F45" s="127"/>
      <c r="G45" s="127"/>
      <c r="H45" s="127"/>
      <c r="I45" s="127"/>
      <c r="J45" s="23"/>
      <c r="K45" s="127"/>
      <c r="M45" s="283"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25">
      <c r="A46" s="278">
        <v>-21</v>
      </c>
      <c r="B46" s="36" t="s">
        <v>322</v>
      </c>
      <c r="C46" s="470" t="s">
        <v>73</v>
      </c>
      <c r="D46" s="127"/>
      <c r="E46" s="127"/>
      <c r="F46" s="127"/>
      <c r="G46" s="127"/>
      <c r="H46" s="127"/>
      <c r="I46" s="127"/>
      <c r="J46" s="23"/>
      <c r="K46" s="127"/>
      <c r="M46" s="283"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25">
      <c r="A47" s="14" t="s">
        <v>707</v>
      </c>
      <c r="M47" s="283"/>
    </row>
    <row r="48" spans="1:13" ht="17.25" customHeight="1" thickBot="1" x14ac:dyDescent="0.3">
      <c r="A48" s="14" t="s">
        <v>323</v>
      </c>
      <c r="M48" s="283"/>
    </row>
    <row r="49" spans="1:14" ht="17.25" hidden="1" customHeight="1" x14ac:dyDescent="0.25">
      <c r="A49" s="14" t="s">
        <v>338</v>
      </c>
      <c r="J49" s="187"/>
      <c r="M49" s="202"/>
    </row>
    <row r="50" spans="1:14" ht="17.25" hidden="1" customHeight="1" thickBot="1" x14ac:dyDescent="0.3">
      <c r="A50" s="14" t="s">
        <v>157</v>
      </c>
      <c r="J50" s="91"/>
      <c r="M50" s="88"/>
    </row>
    <row r="51" spans="1:14" ht="20.100000000000001" customHeight="1" x14ac:dyDescent="0.25">
      <c r="A51" s="14"/>
      <c r="H51" s="785" t="s">
        <v>672</v>
      </c>
      <c r="I51" s="785"/>
      <c r="J51" s="785"/>
      <c r="K51" s="785"/>
      <c r="M51" s="142"/>
    </row>
    <row r="52" spans="1:14" ht="17.25" customHeight="1" x14ac:dyDescent="0.25">
      <c r="A52" s="14"/>
      <c r="J52" s="92"/>
      <c r="M52" s="90"/>
    </row>
    <row r="53" spans="1:14" x14ac:dyDescent="0.25">
      <c r="A53" s="14"/>
      <c r="B53" s="14"/>
      <c r="C53" s="14"/>
      <c r="D53" s="14"/>
      <c r="E53" s="14"/>
      <c r="F53" s="14"/>
      <c r="G53" s="14"/>
      <c r="H53" s="14"/>
      <c r="I53" s="14"/>
      <c r="J53" s="14"/>
      <c r="K53" s="14"/>
      <c r="L53" s="14"/>
      <c r="M53" s="14"/>
      <c r="N53" s="14"/>
    </row>
    <row r="54" spans="1:14" x14ac:dyDescent="0.25">
      <c r="A54" s="14"/>
      <c r="B54" s="14"/>
      <c r="C54" s="14"/>
      <c r="D54" s="14"/>
      <c r="E54" s="14"/>
      <c r="F54" s="14"/>
      <c r="G54" s="14"/>
      <c r="H54" s="14"/>
      <c r="I54" s="14"/>
      <c r="J54" s="14"/>
      <c r="K54" s="14"/>
      <c r="L54" s="14"/>
      <c r="M54" s="14"/>
      <c r="N54" s="14"/>
    </row>
    <row r="55" spans="1:14" x14ac:dyDescent="0.25">
      <c r="A55" s="14"/>
      <c r="B55" s="14"/>
      <c r="C55" s="14"/>
      <c r="D55" s="14"/>
      <c r="E55" s="14"/>
      <c r="F55" s="14"/>
      <c r="G55" s="14"/>
      <c r="H55" s="14"/>
      <c r="I55" s="14"/>
      <c r="J55" s="14"/>
      <c r="K55" s="14"/>
      <c r="L55" s="14"/>
      <c r="M55" s="14"/>
      <c r="N55" s="14"/>
    </row>
    <row r="56" spans="1:14" x14ac:dyDescent="0.25">
      <c r="A56" s="14"/>
      <c r="B56" s="14"/>
      <c r="C56" s="14"/>
      <c r="D56" s="14"/>
      <c r="E56" s="14"/>
      <c r="F56" s="14"/>
      <c r="G56" s="14"/>
      <c r="H56" s="14"/>
      <c r="I56" s="14"/>
      <c r="J56" s="14"/>
      <c r="K56" s="14"/>
      <c r="L56" s="14"/>
      <c r="M56" s="14"/>
      <c r="N56" s="14"/>
    </row>
    <row r="57" spans="1:14" x14ac:dyDescent="0.25">
      <c r="A57" s="14"/>
      <c r="B57" s="14"/>
      <c r="C57" s="14"/>
      <c r="D57" s="14"/>
      <c r="E57" s="14"/>
      <c r="F57" s="14"/>
      <c r="G57" s="14"/>
      <c r="H57" s="14"/>
      <c r="I57" s="14"/>
      <c r="J57" s="14"/>
      <c r="K57" s="14"/>
      <c r="L57" s="14"/>
      <c r="M57" s="14"/>
      <c r="N57" s="14"/>
    </row>
    <row r="58" spans="1:14" x14ac:dyDescent="0.25">
      <c r="A58" s="14"/>
      <c r="B58" s="14"/>
      <c r="C58" s="14"/>
      <c r="D58" s="14"/>
      <c r="E58" s="14"/>
      <c r="F58" s="14"/>
      <c r="G58" s="14"/>
      <c r="H58" s="14"/>
      <c r="I58" s="14"/>
      <c r="J58" s="14"/>
      <c r="K58" s="14"/>
      <c r="L58" s="14"/>
      <c r="M58" s="14"/>
      <c r="N58" s="14"/>
    </row>
    <row r="59" spans="1:14" x14ac:dyDescent="0.25">
      <c r="A59" s="14"/>
      <c r="B59" s="14"/>
      <c r="C59" s="14"/>
      <c r="D59" s="14"/>
      <c r="E59" s="14"/>
      <c r="F59" s="14"/>
      <c r="G59" s="14"/>
      <c r="H59" s="14"/>
      <c r="I59" s="14"/>
      <c r="J59" s="14"/>
      <c r="K59" s="14"/>
      <c r="L59" s="14"/>
      <c r="M59" s="14"/>
      <c r="N59" s="14"/>
    </row>
    <row r="60" spans="1:14" x14ac:dyDescent="0.25">
      <c r="A60" s="14"/>
      <c r="B60" s="14"/>
      <c r="C60" s="14"/>
      <c r="D60" s="14"/>
      <c r="E60" s="14"/>
      <c r="F60" s="14"/>
      <c r="G60" s="14"/>
      <c r="H60" s="14"/>
      <c r="I60" s="14"/>
      <c r="J60" s="14"/>
      <c r="K60" s="14"/>
      <c r="L60" s="14"/>
      <c r="M60" s="14"/>
      <c r="N60" s="14"/>
    </row>
    <row r="61" spans="1:14" x14ac:dyDescent="0.25">
      <c r="A61" s="14"/>
      <c r="B61" s="14"/>
      <c r="C61" s="14"/>
      <c r="D61" s="14"/>
      <c r="E61" s="14"/>
      <c r="F61" s="14"/>
      <c r="G61" s="14"/>
      <c r="H61" s="14"/>
      <c r="I61" s="14"/>
      <c r="J61" s="14"/>
      <c r="K61" s="14"/>
      <c r="L61" s="14"/>
      <c r="M61" s="14"/>
      <c r="N61" s="14"/>
    </row>
    <row r="62" spans="1:14" x14ac:dyDescent="0.25">
      <c r="A62" s="14"/>
      <c r="B62" s="14"/>
      <c r="C62" s="14"/>
      <c r="D62" s="14"/>
      <c r="E62" s="14"/>
      <c r="F62" s="14"/>
      <c r="G62" s="14"/>
      <c r="H62" s="14"/>
      <c r="I62" s="14"/>
      <c r="J62" s="14"/>
      <c r="K62" s="14"/>
      <c r="L62" s="14"/>
      <c r="M62" s="14"/>
      <c r="N62" s="14"/>
    </row>
    <row r="63" spans="1:14" x14ac:dyDescent="0.25">
      <c r="A63" s="14"/>
      <c r="B63" s="14"/>
      <c r="C63" s="14"/>
      <c r="D63" s="14"/>
      <c r="E63" s="14"/>
      <c r="F63" s="14"/>
      <c r="G63" s="14"/>
      <c r="H63" s="14"/>
      <c r="I63" s="14"/>
      <c r="J63" s="14"/>
      <c r="K63" s="14"/>
      <c r="L63" s="14"/>
      <c r="M63" s="14"/>
      <c r="N63" s="14"/>
    </row>
    <row r="64" spans="1:14" x14ac:dyDescent="0.25">
      <c r="A64" s="14"/>
      <c r="B64" s="14"/>
      <c r="C64" s="14"/>
      <c r="D64" s="14"/>
      <c r="E64" s="14"/>
      <c r="F64" s="14"/>
      <c r="G64" s="14"/>
      <c r="H64" s="14"/>
      <c r="I64" s="14"/>
      <c r="J64" s="14"/>
      <c r="K64" s="14"/>
      <c r="L64" s="14"/>
      <c r="M64" s="14"/>
      <c r="N64" s="14"/>
    </row>
  </sheetData>
  <sheetProtection algorithmName="SHA-512" hashValue="iVXgNN7UJLDXbcUSac+g3lvhXOO31p66ud2h1ATDTfQ1/qFAMCniXOkj/8w8lG2uo6X7cmqy+xH7B0VSTpBcdg==" saltValue="J7jKr1aLMlcGbwtXbrYroQ==" spinCount="100000" sheet="1" objects="1" scenarios="1" formatColumns="0" formatRows="0" sort="0"/>
  <mergeCells count="1">
    <mergeCell ref="H51:K51"/>
  </mergeCells>
  <hyperlinks>
    <hyperlink ref="H51" location="CHANGE_AT_MAX" display="BOOM!" xr:uid="{00000000-0004-0000-1000-000000000000}"/>
    <hyperlink ref="H51:K51" location="'7.7Rate Change Calculation'!CHANGE_AT_MAX" display="Go to 7.7Rate Change Calculation" xr:uid="{00000000-0004-0000-1000-000001000000}"/>
  </hyperlinks>
  <printOptions horizontalCentered="1"/>
  <pageMargins left="0.45" right="0.45" top="0.5" bottom="0.75" header="0.3" footer="0.3"/>
  <pageSetup scale="58" orientation="portrait" r:id="rId1"/>
  <headerFooter>
    <oddFooter>&amp;CPrior Approval Rate Template&amp;RPage 6.7&amp;L01/11/2022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3251" r:id="rId4" name="btnYears">
              <controlPr defaultSize="0" print="0" autoFill="0" autoPict="0" macro="[0]!ExpandContractColsData">
                <anchor moveWithCells="1">
                  <from>
                    <xdr:col>9</xdr:col>
                    <xdr:colOff>180975</xdr:colOff>
                    <xdr:row>9</xdr:row>
                    <xdr:rowOff>142875</xdr:rowOff>
                  </from>
                  <to>
                    <xdr:col>10</xdr:col>
                    <xdr:colOff>1009650</xdr:colOff>
                    <xdr:row>11</xdr:row>
                    <xdr:rowOff>66675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 id="{9F10E9B3-ABD9-4C70-B644-DB83BAABFD36}">
            <xm:f>'\\Opr.statefarm.org\dfs\PCACT\00\WORKGROUP\P-C ACTUARIAL\AUTO\STATE FILES\California\CDI Indications\2021\[Template Updater 2021-4Q.xlsm]Ind. Calc.'!#REF!=""</xm:f>
            <x14:dxf>
              <font>
                <color theme="0" tint="-0.14996795556505021"/>
              </font>
              <fill>
                <patternFill>
                  <bgColor theme="0" tint="-0.14996795556505021"/>
                </patternFill>
              </fill>
            </x14:dxf>
          </x14:cfRule>
          <xm:sqref>E15:E27</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1">
    <tabColor rgb="FF0000FF"/>
    <pageSetUpPr fitToPage="1"/>
  </sheetPr>
  <dimension ref="A1:N64"/>
  <sheetViews>
    <sheetView showGridLines="0" view="pageBreakPreview" zoomScaleNormal="100" zoomScaleSheetLayoutView="100" workbookViewId="0"/>
  </sheetViews>
  <sheetFormatPr defaultRowHeight="15" x14ac:dyDescent="0.25"/>
  <cols>
    <col min="1" max="1" width="5" customWidth="1"/>
    <col min="2" max="2" width="29.7109375" customWidth="1"/>
    <col min="3" max="3" width="7" bestFit="1" customWidth="1"/>
    <col min="4" max="6" width="15.7109375" hidden="1" customWidth="1"/>
    <col min="7" max="11" width="15.7109375" customWidth="1"/>
    <col min="12" max="12" width="0.85546875" customWidth="1"/>
    <col min="13" max="13" width="127.85546875" bestFit="1" customWidth="1"/>
  </cols>
  <sheetData>
    <row r="1" spans="1:13" ht="15.75" thickBot="1" x14ac:dyDescent="0.3">
      <c r="A1" s="10" t="s">
        <v>31</v>
      </c>
      <c r="B1" s="13"/>
      <c r="H1" s="13" t="s">
        <v>33</v>
      </c>
      <c r="K1" s="12" t="str">
        <f>Co_Name</f>
        <v>State Farm Mutual Automobile Insurance Company</v>
      </c>
      <c r="M1" s="279" t="s">
        <v>310</v>
      </c>
    </row>
    <row r="2" spans="1:13" x14ac:dyDescent="0.25">
      <c r="A2" s="10" t="s">
        <v>32</v>
      </c>
      <c r="B2" s="13"/>
      <c r="H2" s="13" t="s">
        <v>34</v>
      </c>
      <c r="K2" s="12" t="str">
        <f>General_Line</f>
        <v>Auto Liability and Physical Damage</v>
      </c>
      <c r="M2" s="280" t="s">
        <v>113</v>
      </c>
    </row>
    <row r="3" spans="1:13" x14ac:dyDescent="0.25">
      <c r="A3" s="10"/>
      <c r="B3" s="185"/>
      <c r="H3" s="83" t="s">
        <v>142</v>
      </c>
      <c r="I3" s="84"/>
      <c r="J3" s="84"/>
      <c r="K3" s="82" t="str">
        <f>CDI_FileNo</f>
        <v/>
      </c>
      <c r="M3" s="281"/>
    </row>
    <row r="4" spans="1:13" ht="18" customHeight="1" x14ac:dyDescent="0.25">
      <c r="M4" s="282"/>
    </row>
    <row r="5" spans="1:13" ht="23.25" x14ac:dyDescent="0.25">
      <c r="A5" s="4" t="s">
        <v>606</v>
      </c>
      <c r="B5" s="3"/>
      <c r="C5" s="3"/>
      <c r="D5" s="3"/>
      <c r="E5" s="3"/>
      <c r="F5" s="3"/>
      <c r="G5" s="3"/>
      <c r="H5" s="3"/>
      <c r="I5" s="3"/>
      <c r="J5" s="3"/>
      <c r="K5" s="3"/>
      <c r="L5" s="3"/>
      <c r="M5" s="282"/>
    </row>
    <row r="6" spans="1:13" ht="15.75" thickBot="1" x14ac:dyDescent="0.3">
      <c r="M6" s="282"/>
    </row>
    <row r="7" spans="1:13" ht="18" customHeight="1" thickBot="1" x14ac:dyDescent="0.3">
      <c r="B7" s="130" t="s">
        <v>1</v>
      </c>
      <c r="G7" s="14" t="str">
        <f>Completed_By</f>
        <v>Laura Campbell</v>
      </c>
      <c r="J7" s="130" t="s">
        <v>706</v>
      </c>
      <c r="K7" s="543"/>
      <c r="M7" s="282"/>
    </row>
    <row r="8" spans="1:13" ht="18" customHeight="1" x14ac:dyDescent="0.25">
      <c r="B8" s="130" t="s">
        <v>76</v>
      </c>
      <c r="G8" s="62">
        <f>Completed_Date</f>
        <v>44816</v>
      </c>
      <c r="M8" s="282"/>
    </row>
    <row r="9" spans="1:13" ht="5.0999999999999996" customHeight="1" x14ac:dyDescent="0.25">
      <c r="B9" s="130"/>
      <c r="M9" s="282"/>
    </row>
    <row r="10" spans="1:13" ht="18" customHeight="1" x14ac:dyDescent="0.25">
      <c r="B10" s="130" t="s">
        <v>77</v>
      </c>
      <c r="G10" s="298" t="str">
        <f>Detailed_LineDesc08</f>
        <v/>
      </c>
      <c r="H10" s="298"/>
      <c r="I10" s="298"/>
      <c r="M10" s="283"/>
    </row>
    <row r="11" spans="1:13" ht="18" customHeight="1" x14ac:dyDescent="0.25">
      <c r="B11" s="130" t="s">
        <v>78</v>
      </c>
      <c r="G11" s="298" t="str">
        <f>Covg08</f>
        <v/>
      </c>
      <c r="H11" s="298"/>
      <c r="I11" s="298"/>
      <c r="M11" s="282"/>
    </row>
    <row r="12" spans="1:13" ht="9.9499999999999993" customHeight="1" x14ac:dyDescent="0.25">
      <c r="B12" s="2"/>
      <c r="G12" s="27"/>
      <c r="I12" s="28"/>
      <c r="J12" s="29"/>
      <c r="M12" s="282"/>
    </row>
    <row r="13" spans="1:13" ht="30" x14ac:dyDescent="0.25">
      <c r="A13" s="33" t="s">
        <v>59</v>
      </c>
      <c r="B13" s="34" t="s">
        <v>64</v>
      </c>
      <c r="C13" s="33" t="s">
        <v>58</v>
      </c>
      <c r="D13" s="195" t="s">
        <v>226</v>
      </c>
      <c r="E13" s="195" t="s">
        <v>227</v>
      </c>
      <c r="F13" s="195" t="s">
        <v>228</v>
      </c>
      <c r="G13" s="195" t="s">
        <v>229</v>
      </c>
      <c r="H13" s="195" t="s">
        <v>230</v>
      </c>
      <c r="I13" s="195" t="s">
        <v>231</v>
      </c>
      <c r="J13" s="33" t="s">
        <v>109</v>
      </c>
      <c r="K13" s="33" t="s">
        <v>110</v>
      </c>
      <c r="M13" s="282"/>
    </row>
    <row r="14" spans="1:13" ht="18" customHeight="1" thickBot="1" x14ac:dyDescent="0.3">
      <c r="A14" s="49" t="s">
        <v>115</v>
      </c>
      <c r="B14" s="48" t="s">
        <v>114</v>
      </c>
      <c r="C14" s="44"/>
      <c r="D14" s="469" t="str">
        <f>LEFT(MstRcntDataYr,4)-5&amp;RIGHT(MstRcntDataYr,1)</f>
        <v>20171</v>
      </c>
      <c r="E14" s="469" t="str">
        <f>LEFT(MstRcntDataYr,4)-4&amp;RIGHT(MstRcntDataYr,1)</f>
        <v>20181</v>
      </c>
      <c r="F14" s="469" t="str">
        <f>LEFT(MstRcntDataYr,4)-3&amp;RIGHT(MstRcntDataYr,1)</f>
        <v>20191</v>
      </c>
      <c r="G14" s="469" t="str">
        <f>LEFT(MstRcntDataYr,4)-2&amp;RIGHT(MstRcntDataYr,1)</f>
        <v>20201</v>
      </c>
      <c r="H14" s="469" t="str">
        <f>LEFT(MstRcntDataYr,4)-1&amp;RIGHT(MstRcntDataYr,1)</f>
        <v>20211</v>
      </c>
      <c r="I14" s="469">
        <f>MstRcntDataYr</f>
        <v>20221</v>
      </c>
      <c r="J14" s="30"/>
      <c r="K14" s="22"/>
      <c r="M14" s="282"/>
    </row>
    <row r="15" spans="1:13" ht="30" customHeight="1" x14ac:dyDescent="0.25">
      <c r="A15" s="41">
        <v>-1</v>
      </c>
      <c r="B15" s="42" t="s">
        <v>54</v>
      </c>
      <c r="C15" s="43"/>
      <c r="D15" s="196"/>
      <c r="E15" s="197"/>
      <c r="F15" s="197"/>
      <c r="G15" s="127"/>
      <c r="H15" s="127"/>
      <c r="I15" s="127"/>
      <c r="J15" s="24"/>
      <c r="K15" s="127"/>
      <c r="M15" s="283" t="str">
        <f>IF(AND(New_Program=TRUE,ISBLANK($K$15)),"← ERROR! Enter projected figure for new program, or deselect 'New Program' on Page '1.General'.","")</f>
        <v/>
      </c>
    </row>
    <row r="16" spans="1:13" ht="30" customHeight="1" x14ac:dyDescent="0.25">
      <c r="A16" s="35">
        <v>-2</v>
      </c>
      <c r="B16" s="36" t="s">
        <v>55</v>
      </c>
      <c r="C16" s="470"/>
      <c r="D16" s="128"/>
      <c r="E16" s="127"/>
      <c r="F16" s="127"/>
      <c r="G16" s="127"/>
      <c r="H16" s="127"/>
      <c r="I16" s="127"/>
      <c r="J16" s="25"/>
      <c r="K16" s="85" t="str">
        <f>IF(ISBLANK($K$15),"",$K$15)</f>
        <v/>
      </c>
      <c r="M16" s="283" t="str">
        <f>IF(AND(New_Program=TRUE,$K$16&lt;&gt;$K$15),"← ERROR! For New Programs, Earned Premium must equal Written Premium. Refer to Section III.C. of Prior Approval Rate Filing Instructions.","")</f>
        <v/>
      </c>
    </row>
    <row r="17" spans="1:13" ht="18" customHeight="1" x14ac:dyDescent="0.25">
      <c r="A17" s="35">
        <v>-3</v>
      </c>
      <c r="B17" s="36" t="s">
        <v>36</v>
      </c>
      <c r="C17" s="470" t="s">
        <v>65</v>
      </c>
      <c r="D17" s="198"/>
      <c r="E17" s="199"/>
      <c r="F17" s="199"/>
      <c r="G17" s="199"/>
      <c r="H17" s="199"/>
      <c r="I17" s="199"/>
      <c r="J17" s="21"/>
      <c r="K17" s="21"/>
      <c r="M17" s="282"/>
    </row>
    <row r="18" spans="1:13" ht="18" customHeight="1" x14ac:dyDescent="0.25">
      <c r="A18" s="35">
        <v>-4</v>
      </c>
      <c r="B18" s="36" t="s">
        <v>130</v>
      </c>
      <c r="C18" s="470" t="s">
        <v>66</v>
      </c>
      <c r="D18" s="198"/>
      <c r="E18" s="199"/>
      <c r="F18" s="199"/>
      <c r="G18" s="199"/>
      <c r="H18" s="199"/>
      <c r="I18" s="199"/>
      <c r="J18" s="200"/>
      <c r="K18" s="21"/>
      <c r="M18" s="283" t="str">
        <f>IF(AND(New_Program=FALSE,ISBLANK($J$18)),"← ERROR! Enter Annual Premium Trend as a percentage in the 'Projected' column.","")</f>
        <v>← ERROR! Enter Annual Premium Trend as a percentage in the 'Projected' column.</v>
      </c>
    </row>
    <row r="19" spans="1:13" ht="30" customHeight="1" x14ac:dyDescent="0.25">
      <c r="A19" s="35">
        <v>-5</v>
      </c>
      <c r="B19" s="36" t="s">
        <v>743</v>
      </c>
      <c r="C19" s="470" t="s">
        <v>67</v>
      </c>
      <c r="D19" s="128"/>
      <c r="E19" s="127"/>
      <c r="F19" s="127"/>
      <c r="G19" s="127"/>
      <c r="H19" s="127"/>
      <c r="I19" s="127"/>
      <c r="J19" s="21"/>
      <c r="K19" s="127"/>
      <c r="M19" s="283" t="str">
        <f>IF(AND(New_Program=TRUE,ISBLANK($K$19)),"← ERROR! Enter projected figure for new program, or deselect 'New Program' on Page '1.General'.","")</f>
        <v/>
      </c>
    </row>
    <row r="20" spans="1:13" ht="18" customHeight="1" x14ac:dyDescent="0.25">
      <c r="A20" s="35">
        <v>-6</v>
      </c>
      <c r="B20" s="36" t="s">
        <v>56</v>
      </c>
      <c r="C20" s="470"/>
      <c r="D20" s="128"/>
      <c r="E20" s="127"/>
      <c r="F20" s="127"/>
      <c r="G20" s="127"/>
      <c r="H20" s="127"/>
      <c r="I20" s="127"/>
      <c r="J20" s="21"/>
      <c r="K20" s="127"/>
      <c r="M20" s="283" t="str">
        <f>IF(AND(New_Program=TRUE,ISBLANK($K$20)),"← ERROR! Enter projected figure for new program, or deselect 'New Program' on Page '1.General'.","")</f>
        <v/>
      </c>
    </row>
    <row r="21" spans="1:13" ht="18" customHeight="1" x14ac:dyDescent="0.25">
      <c r="A21" s="35">
        <v>-7</v>
      </c>
      <c r="B21" s="36" t="s">
        <v>133</v>
      </c>
      <c r="C21" s="470"/>
      <c r="D21" s="128"/>
      <c r="E21" s="127"/>
      <c r="F21" s="127"/>
      <c r="G21" s="127"/>
      <c r="H21" s="127"/>
      <c r="I21" s="127"/>
      <c r="J21" s="21"/>
      <c r="K21" s="127"/>
      <c r="M21" s="283" t="str">
        <f>IF(AND(New_Program=TRUE,ISBLANK($K$21)),"← ERROR! Enter projected figure for new program, or deselect 'New Program' on Page '1.General'.","")</f>
        <v/>
      </c>
    </row>
    <row r="22" spans="1:13" ht="30" customHeight="1" x14ac:dyDescent="0.25">
      <c r="A22" s="35">
        <v>-8</v>
      </c>
      <c r="B22" s="36" t="s">
        <v>57</v>
      </c>
      <c r="C22" s="470"/>
      <c r="D22" s="128"/>
      <c r="E22" s="127"/>
      <c r="F22" s="127"/>
      <c r="G22" s="127"/>
      <c r="H22" s="127"/>
      <c r="I22" s="127"/>
      <c r="J22" s="21"/>
      <c r="K22" s="127"/>
      <c r="M22" s="283" t="str">
        <f>IF(AND(New_Program=TRUE,ISBLANK($K$22)),"← ERROR! Enter projected figure for new program, or deselect 'New Program' on Page '1.General'.","")</f>
        <v/>
      </c>
    </row>
    <row r="23" spans="1:13" ht="18" customHeight="1" x14ac:dyDescent="0.25">
      <c r="A23" s="35">
        <v>-9</v>
      </c>
      <c r="B23" s="36" t="s">
        <v>60</v>
      </c>
      <c r="C23" s="470" t="s">
        <v>68</v>
      </c>
      <c r="D23" s="198"/>
      <c r="E23" s="199"/>
      <c r="F23" s="199"/>
      <c r="G23" s="199"/>
      <c r="H23" s="199"/>
      <c r="I23" s="199"/>
      <c r="J23" s="21"/>
      <c r="K23" s="21"/>
      <c r="M23" s="282"/>
    </row>
    <row r="24" spans="1:13" ht="18" customHeight="1" x14ac:dyDescent="0.25">
      <c r="A24" s="35">
        <v>-10</v>
      </c>
      <c r="B24" s="36" t="s">
        <v>61</v>
      </c>
      <c r="C24" s="470" t="s">
        <v>68</v>
      </c>
      <c r="D24" s="198"/>
      <c r="E24" s="199"/>
      <c r="F24" s="199"/>
      <c r="G24" s="199"/>
      <c r="H24" s="199"/>
      <c r="I24" s="199"/>
      <c r="J24" s="21"/>
      <c r="K24" s="21"/>
      <c r="M24" s="282"/>
    </row>
    <row r="25" spans="1:13" ht="18" customHeight="1" x14ac:dyDescent="0.25">
      <c r="A25" s="35">
        <v>-11</v>
      </c>
      <c r="B25" s="36" t="s">
        <v>132</v>
      </c>
      <c r="C25" s="470" t="s">
        <v>69</v>
      </c>
      <c r="D25" s="198"/>
      <c r="E25" s="199"/>
      <c r="F25" s="199"/>
      <c r="G25" s="199"/>
      <c r="H25" s="199"/>
      <c r="I25" s="199"/>
      <c r="J25" s="200"/>
      <c r="K25" s="21"/>
      <c r="M25" s="283" t="str">
        <f>IF(AND(New_Program=FALSE,ISBLANK($J$25)),"← ERROR! Enter Annual Loss Trend as a percentage in the 'Projected' column","")</f>
        <v>← ERROR! Enter Annual Loss Trend as a percentage in the 'Projected' column</v>
      </c>
    </row>
    <row r="26" spans="1:13" ht="18" customHeight="1" x14ac:dyDescent="0.25">
      <c r="A26" s="35">
        <v>-12</v>
      </c>
      <c r="B26" s="36" t="s">
        <v>131</v>
      </c>
      <c r="C26" s="470" t="s">
        <v>69</v>
      </c>
      <c r="D26" s="198"/>
      <c r="E26" s="199"/>
      <c r="F26" s="199"/>
      <c r="G26" s="199"/>
      <c r="H26" s="199"/>
      <c r="I26" s="199"/>
      <c r="J26" s="200"/>
      <c r="K26" s="21"/>
      <c r="M26" s="283" t="str">
        <f>IF(AND(New_Program=FALSE,ISBLANK($J$26)),"← ERROR! Enter Annual DCCE Trend as a percentage in the 'Projected' column","")</f>
        <v>← ERROR! Enter Annual DCCE Trend as a percentage in the 'Projected' column</v>
      </c>
    </row>
    <row r="27" spans="1:13" ht="18" customHeight="1" x14ac:dyDescent="0.25">
      <c r="A27" s="35">
        <v>-13</v>
      </c>
      <c r="B27" s="36" t="s">
        <v>62</v>
      </c>
      <c r="C27" s="470" t="s">
        <v>70</v>
      </c>
      <c r="D27" s="198"/>
      <c r="E27" s="199"/>
      <c r="F27" s="199"/>
      <c r="G27" s="199"/>
      <c r="H27" s="199"/>
      <c r="I27" s="199"/>
      <c r="J27" s="21"/>
      <c r="K27" s="21"/>
      <c r="M27" s="282"/>
    </row>
    <row r="28" spans="1:13" ht="18" customHeight="1" x14ac:dyDescent="0.25">
      <c r="A28" s="35">
        <v>-14</v>
      </c>
      <c r="B28" s="31" t="s">
        <v>728</v>
      </c>
      <c r="C28" s="470" t="s">
        <v>71</v>
      </c>
      <c r="D28" s="32"/>
      <c r="E28" s="21"/>
      <c r="F28" s="21"/>
      <c r="G28" s="21"/>
      <c r="H28" s="21"/>
      <c r="I28" s="21"/>
      <c r="J28" s="201"/>
      <c r="K28" s="21"/>
      <c r="M28" s="284"/>
    </row>
    <row r="29" spans="1:13" ht="18" customHeight="1" x14ac:dyDescent="0.25">
      <c r="A29" s="35">
        <v>-15</v>
      </c>
      <c r="B29" s="36" t="s">
        <v>37</v>
      </c>
      <c r="C29" s="470" t="s">
        <v>72</v>
      </c>
      <c r="D29" s="128"/>
      <c r="E29" s="127"/>
      <c r="F29" s="127"/>
      <c r="G29" s="127"/>
      <c r="H29" s="127"/>
      <c r="I29" s="127"/>
      <c r="J29" s="21"/>
      <c r="K29" s="127"/>
      <c r="M29" s="283" t="str">
        <f>IF(AND(New_Program=TRUE,ISBLANK($K$29)),"← ERROR! Enter projected figure for new program, or deselect 'New Program' on Page '1.General'.","")</f>
        <v/>
      </c>
    </row>
    <row r="30" spans="1:13" ht="5.0999999999999996" customHeight="1" x14ac:dyDescent="0.25">
      <c r="A30" s="38"/>
      <c r="B30" s="39"/>
      <c r="C30" s="40"/>
      <c r="D30" s="641">
        <f>IF(COUNTBLANK(D15:D27)+COUNTBLANK(D29)=14,1,IF(COUNT(D15:D27)+COUNT(D29)=14,1,"D "))</f>
        <v>1</v>
      </c>
      <c r="E30" s="641">
        <f>IF(COUNTBLANK(E15:E27)+COUNTBLANK(E29)=14,1,IF(COUNT(E15:E27)+COUNT(E29)=14,1,"E "))</f>
        <v>1</v>
      </c>
      <c r="F30" s="641">
        <f>IF(COUNTBLANK(F15:F27)+COUNTBLANK(F29)=14,1,IF(COUNT(F15:F27)+COUNT(F29)=14,1,"F "))</f>
        <v>1</v>
      </c>
      <c r="G30" s="641">
        <f>IF(COUNTBLANK(G15:G27)+COUNTBLANK(G29)=14,1,IF(COUNT(G15:G27)+COUNT(G29)=14,1,"G "))</f>
        <v>1</v>
      </c>
      <c r="H30" s="641">
        <f>IF(COUNTBLANK(H15:H27)+COUNTBLANK(H29)=14,1,IF(COUNT(H15:H27)+COUNT(H29)=14,1,"H "))</f>
        <v>1</v>
      </c>
      <c r="I30" s="641">
        <f>IF(COUNTBLANK(I15:I27)+COUNTBLANK(I29)=14,1,IF(COUNT(I15:I27)+COUNT(I29)=14,1,"I "))</f>
        <v>1</v>
      </c>
      <c r="J30" s="642">
        <f>IF(COUNTBLANK(J15:J29)=15,1,IF(COUNT(J18,J25,J26,J28)=4,1,"J "))</f>
        <v>1</v>
      </c>
      <c r="K30" s="643">
        <f>IF(COUNTBLANK(K15)+COUNTBLANK(K17:K29)=14,1,IF(COUNT(K15,K19,K20,K21,K22,K29)=6,1,"K "))</f>
        <v>1</v>
      </c>
      <c r="M30" s="282"/>
    </row>
    <row r="31" spans="1:13" ht="15" customHeight="1" x14ac:dyDescent="0.25">
      <c r="A31" s="38"/>
      <c r="B31" s="20" t="s">
        <v>716</v>
      </c>
      <c r="C31" s="40"/>
      <c r="D31" s="14"/>
      <c r="E31" s="14"/>
      <c r="F31" s="14"/>
      <c r="G31" s="14"/>
      <c r="H31" s="14"/>
      <c r="I31" s="14"/>
      <c r="J31" s="26"/>
      <c r="K31" s="143"/>
      <c r="M31" s="283"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25">
      <c r="A32" s="38"/>
      <c r="B32" s="39"/>
      <c r="C32" s="40"/>
      <c r="D32" s="14"/>
      <c r="E32" s="14"/>
      <c r="F32" s="14"/>
      <c r="G32" s="14"/>
      <c r="H32" s="14"/>
      <c r="I32" s="14"/>
      <c r="J32" s="26"/>
      <c r="K32" s="143"/>
      <c r="M32" s="282"/>
    </row>
    <row r="33" spans="1:13" ht="18" customHeight="1" x14ac:dyDescent="0.25">
      <c r="A33" s="35">
        <v>-16</v>
      </c>
      <c r="B33" s="36" t="s">
        <v>162</v>
      </c>
      <c r="C33" s="470" t="s">
        <v>608</v>
      </c>
      <c r="D33" s="32"/>
      <c r="E33" s="21"/>
      <c r="F33" s="21"/>
      <c r="G33" s="21"/>
      <c r="H33" s="21"/>
      <c r="I33" s="21"/>
      <c r="J33" s="81">
        <f>IF(New_Program=FALSE,ExpRatio_Excluded,"")</f>
        <v>1.3597266477453115E-2</v>
      </c>
      <c r="K33" s="81" t="str">
        <f>IF(New_Program=TRUE,ExpRatio_Excluded,"")</f>
        <v/>
      </c>
      <c r="M33" s="282"/>
    </row>
    <row r="34" spans="1:13" ht="30" customHeight="1" x14ac:dyDescent="0.25">
      <c r="A34" s="35">
        <v>-17</v>
      </c>
      <c r="B34" s="36" t="s">
        <v>311</v>
      </c>
      <c r="C34" s="470" t="s">
        <v>609</v>
      </c>
      <c r="D34" s="32"/>
      <c r="E34" s="21"/>
      <c r="F34" s="21"/>
      <c r="G34" s="21"/>
      <c r="H34" s="21"/>
      <c r="I34" s="21"/>
      <c r="J34" s="81">
        <f>IF(New_Program=FALSE,FIT_Inv,"")</f>
        <v>0.18752087399665437</v>
      </c>
      <c r="K34" s="81" t="str">
        <f>IF(New_Program=TRUE,FIT_Inv,"")</f>
        <v/>
      </c>
      <c r="M34" s="282"/>
    </row>
    <row r="35" spans="1:13" ht="18" customHeight="1" x14ac:dyDescent="0.25">
      <c r="A35" s="35">
        <v>-18</v>
      </c>
      <c r="B35" s="31" t="s">
        <v>312</v>
      </c>
      <c r="C35" s="470" t="s">
        <v>609</v>
      </c>
      <c r="D35" s="32"/>
      <c r="E35" s="21"/>
      <c r="F35" s="21"/>
      <c r="G35" s="21"/>
      <c r="H35" s="21"/>
      <c r="I35" s="21"/>
      <c r="J35" s="81">
        <f>IF(New_Program=FALSE,Yield,"")</f>
        <v>8.8050065696007235E-2</v>
      </c>
      <c r="K35" s="81" t="str">
        <f>IF(New_Program=TRUE,Yield,"")</f>
        <v/>
      </c>
      <c r="M35" s="282"/>
    </row>
    <row r="36" spans="1:13" ht="5.0999999999999996" hidden="1" customHeight="1" x14ac:dyDescent="0.25">
      <c r="A36" s="38"/>
      <c r="B36" s="39"/>
      <c r="C36" s="40"/>
      <c r="D36" s="14"/>
      <c r="E36" s="14"/>
      <c r="F36" s="14"/>
      <c r="G36" s="14"/>
      <c r="H36" s="14"/>
      <c r="I36" s="14"/>
      <c r="J36" s="26"/>
      <c r="K36" s="143"/>
      <c r="M36" s="282"/>
    </row>
    <row r="37" spans="1:13" ht="15" hidden="1" customHeight="1" x14ac:dyDescent="0.25">
      <c r="A37" s="38"/>
      <c r="B37" s="20" t="s">
        <v>337</v>
      </c>
      <c r="C37" s="40"/>
      <c r="D37" s="45"/>
      <c r="E37" s="45"/>
      <c r="F37" s="45"/>
      <c r="G37" s="45"/>
      <c r="H37" s="45"/>
      <c r="I37" s="45"/>
      <c r="J37" s="45"/>
      <c r="K37" s="45"/>
      <c r="M37" s="282"/>
    </row>
    <row r="38" spans="1:13" ht="5.0999999999999996" hidden="1" customHeight="1" x14ac:dyDescent="0.25">
      <c r="A38" s="38"/>
      <c r="B38" s="39"/>
      <c r="C38" s="40"/>
      <c r="D38" s="45"/>
      <c r="E38" s="45"/>
      <c r="F38" s="45"/>
      <c r="G38" s="45"/>
      <c r="H38" s="45"/>
      <c r="I38" s="45"/>
      <c r="K38" s="46"/>
      <c r="M38" s="282"/>
    </row>
    <row r="39" spans="1:13" ht="18" hidden="1" customHeight="1" x14ac:dyDescent="0.25">
      <c r="A39" s="35">
        <v>-19</v>
      </c>
      <c r="B39" s="36" t="s">
        <v>112</v>
      </c>
      <c r="C39" s="470" t="s">
        <v>111</v>
      </c>
      <c r="D39" s="21"/>
      <c r="E39" s="21"/>
      <c r="F39" s="21"/>
      <c r="G39" s="21"/>
      <c r="H39" s="21"/>
      <c r="I39" s="21"/>
      <c r="J39" s="200"/>
      <c r="K39" s="21"/>
      <c r="M39" s="283" t="str">
        <f>IF(AND(ISBLANK($J$39)=FALSE,'1.General'!$I$47=2),"← ERROR! No efficiency standard variance will be applied unless 'Y' is selected in pull-down menu on Page '1.General'.","")</f>
        <v/>
      </c>
    </row>
    <row r="40" spans="1:13" ht="30" hidden="1" customHeight="1" x14ac:dyDescent="0.25">
      <c r="A40" s="35">
        <v>-20</v>
      </c>
      <c r="B40" s="36" t="s">
        <v>156</v>
      </c>
      <c r="C40" s="470" t="s">
        <v>111</v>
      </c>
      <c r="D40" s="21"/>
      <c r="E40" s="21"/>
      <c r="F40" s="21"/>
      <c r="G40" s="21"/>
      <c r="H40" s="21"/>
      <c r="I40" s="21"/>
      <c r="J40" s="200"/>
      <c r="K40" s="21"/>
      <c r="M40" s="284" t="str">
        <f>IF('1.General'!$I$47=2,"",IF(AND(ExpRatio_Actual08&lt;=EffStd_Wtd08,EffStd_VarReq08&gt;0),"← ERROR: Based on insurer's stated most recent year expense ratio, no relief from efficiency standard variances is allowed.  Insurer's stated most recent year expense ratio is already less than or equal to the efficiency standard.",IF(AND(ROUND(EffStd_Wtd08+EffStd_VarReq08,3)&gt;ExpRatio_Actual08,EffStd_VarReq08&gt;0),"← ERROR! Assuming the calculation of the insurer's most recent year expense ratio is justified, relief from the efficiency standard will be limited to the difference between that ratio and the efficiency standard, or, "&amp;ROUND(ExpRatio_Actual08-EffStd_Wtd08,3)*100&amp;"%, subject to CDI approval.","")))</f>
        <v/>
      </c>
    </row>
    <row r="41" spans="1:13" ht="4.5" customHeight="1" x14ac:dyDescent="0.25">
      <c r="A41" s="38"/>
      <c r="B41" s="39"/>
      <c r="C41" s="40"/>
      <c r="D41" s="45"/>
      <c r="E41" s="45"/>
      <c r="F41" s="45"/>
      <c r="G41" s="45"/>
      <c r="H41" s="45"/>
      <c r="I41" s="45"/>
      <c r="J41" s="45"/>
      <c r="K41" s="45"/>
      <c r="M41" s="284"/>
    </row>
    <row r="42" spans="1:13" ht="15" hidden="1" customHeight="1" x14ac:dyDescent="0.25">
      <c r="A42" s="19"/>
      <c r="B42" s="20" t="s">
        <v>711</v>
      </c>
      <c r="C42" s="16"/>
      <c r="D42" s="14"/>
      <c r="E42" s="14"/>
      <c r="F42" s="14"/>
      <c r="G42" s="14"/>
      <c r="H42" s="14"/>
      <c r="I42" s="14"/>
      <c r="J42" s="14"/>
      <c r="K42" s="14"/>
      <c r="M42" s="282"/>
    </row>
    <row r="43" spans="1:13" ht="4.5" hidden="1" customHeight="1" x14ac:dyDescent="0.25">
      <c r="A43" s="19"/>
      <c r="B43" s="20"/>
      <c r="C43" s="16"/>
      <c r="D43" s="14"/>
      <c r="E43" s="14"/>
      <c r="F43" s="14"/>
      <c r="G43" s="14"/>
      <c r="H43" s="14"/>
      <c r="I43" s="14"/>
      <c r="J43" s="14"/>
      <c r="K43" s="14"/>
      <c r="M43" s="282"/>
    </row>
    <row r="44" spans="1:13" ht="18" hidden="1" customHeight="1" x14ac:dyDescent="0.25">
      <c r="A44" s="278">
        <v>-19</v>
      </c>
      <c r="B44" s="36" t="s">
        <v>321</v>
      </c>
      <c r="C44" s="31"/>
      <c r="D44" s="21"/>
      <c r="E44" s="21"/>
      <c r="F44" s="21"/>
      <c r="G44" s="21"/>
      <c r="H44" s="21"/>
      <c r="I44" s="21"/>
      <c r="J44" s="201"/>
      <c r="K44" s="21"/>
      <c r="M44" s="283" t="str">
        <f>IF(AND(ISBLANK($J$44),OR(General_Line="Medical Malpractice",General_Line="Earthquake")),"← ERROR! Enter direct commission rate.","")</f>
        <v/>
      </c>
    </row>
    <row r="45" spans="1:13" ht="18" hidden="1" customHeight="1" x14ac:dyDescent="0.25">
      <c r="A45" s="278">
        <v>-20</v>
      </c>
      <c r="B45" s="36" t="s">
        <v>63</v>
      </c>
      <c r="C45" s="470" t="s">
        <v>73</v>
      </c>
      <c r="D45" s="127"/>
      <c r="E45" s="127"/>
      <c r="F45" s="127"/>
      <c r="G45" s="127"/>
      <c r="H45" s="127"/>
      <c r="I45" s="127"/>
      <c r="J45" s="23"/>
      <c r="K45" s="127"/>
      <c r="M45" s="283"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25">
      <c r="A46" s="278">
        <v>-21</v>
      </c>
      <c r="B46" s="36" t="s">
        <v>322</v>
      </c>
      <c r="C46" s="470" t="s">
        <v>73</v>
      </c>
      <c r="D46" s="127"/>
      <c r="E46" s="127"/>
      <c r="F46" s="127"/>
      <c r="G46" s="127"/>
      <c r="H46" s="127"/>
      <c r="I46" s="127"/>
      <c r="J46" s="23"/>
      <c r="K46" s="127"/>
      <c r="M46" s="283"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25">
      <c r="A47" s="14" t="s">
        <v>707</v>
      </c>
      <c r="M47" s="283"/>
    </row>
    <row r="48" spans="1:13" ht="17.25" customHeight="1" thickBot="1" x14ac:dyDescent="0.3">
      <c r="A48" s="14" t="s">
        <v>323</v>
      </c>
      <c r="M48" s="283"/>
    </row>
    <row r="49" spans="1:14" ht="17.25" hidden="1" customHeight="1" x14ac:dyDescent="0.25">
      <c r="A49" s="14" t="s">
        <v>338</v>
      </c>
      <c r="J49" s="187"/>
      <c r="M49" s="202"/>
    </row>
    <row r="50" spans="1:14" ht="17.25" hidden="1" customHeight="1" thickBot="1" x14ac:dyDescent="0.3">
      <c r="A50" s="14" t="s">
        <v>157</v>
      </c>
      <c r="J50" s="91"/>
      <c r="M50" s="88"/>
    </row>
    <row r="51" spans="1:14" ht="20.100000000000001" customHeight="1" x14ac:dyDescent="0.25">
      <c r="A51" s="14"/>
      <c r="H51" s="785" t="s">
        <v>673</v>
      </c>
      <c r="I51" s="785"/>
      <c r="J51" s="785"/>
      <c r="K51" s="785"/>
      <c r="M51" s="142"/>
    </row>
    <row r="52" spans="1:14" ht="17.25" customHeight="1" x14ac:dyDescent="0.25">
      <c r="A52" s="14"/>
      <c r="J52" s="92"/>
      <c r="M52" s="90"/>
    </row>
    <row r="53" spans="1:14" x14ac:dyDescent="0.25">
      <c r="A53" s="14"/>
      <c r="B53" s="14"/>
      <c r="C53" s="14"/>
      <c r="D53" s="14"/>
      <c r="E53" s="14"/>
      <c r="F53" s="14"/>
      <c r="G53" s="14"/>
      <c r="H53" s="14"/>
      <c r="I53" s="14"/>
      <c r="J53" s="14"/>
      <c r="K53" s="14"/>
      <c r="L53" s="14"/>
      <c r="M53" s="14"/>
      <c r="N53" s="14"/>
    </row>
    <row r="54" spans="1:14" x14ac:dyDescent="0.25">
      <c r="A54" s="14"/>
      <c r="B54" s="14"/>
      <c r="C54" s="14"/>
      <c r="D54" s="14"/>
      <c r="E54" s="14"/>
      <c r="F54" s="14"/>
      <c r="G54" s="14"/>
      <c r="H54" s="14"/>
      <c r="I54" s="14"/>
      <c r="J54" s="14"/>
      <c r="K54" s="14"/>
      <c r="L54" s="14"/>
      <c r="M54" s="14"/>
      <c r="N54" s="14"/>
    </row>
    <row r="55" spans="1:14" x14ac:dyDescent="0.25">
      <c r="A55" s="14"/>
      <c r="B55" s="14"/>
      <c r="C55" s="14"/>
      <c r="D55" s="14"/>
      <c r="E55" s="14"/>
      <c r="F55" s="14"/>
      <c r="G55" s="14"/>
      <c r="H55" s="14"/>
      <c r="I55" s="14"/>
      <c r="J55" s="14"/>
      <c r="K55" s="14"/>
      <c r="L55" s="14"/>
      <c r="M55" s="14"/>
      <c r="N55" s="14"/>
    </row>
    <row r="56" spans="1:14" x14ac:dyDescent="0.25">
      <c r="A56" s="14"/>
      <c r="B56" s="14"/>
      <c r="C56" s="14"/>
      <c r="D56" s="14"/>
      <c r="E56" s="14"/>
      <c r="F56" s="14"/>
      <c r="G56" s="14"/>
      <c r="H56" s="14"/>
      <c r="I56" s="14"/>
      <c r="J56" s="14"/>
      <c r="K56" s="14"/>
      <c r="L56" s="14"/>
      <c r="M56" s="14"/>
      <c r="N56" s="14"/>
    </row>
    <row r="57" spans="1:14" x14ac:dyDescent="0.25">
      <c r="A57" s="14"/>
      <c r="B57" s="14"/>
      <c r="C57" s="14"/>
      <c r="D57" s="14"/>
      <c r="E57" s="14"/>
      <c r="F57" s="14"/>
      <c r="G57" s="14"/>
      <c r="H57" s="14"/>
      <c r="I57" s="14"/>
      <c r="J57" s="14"/>
      <c r="K57" s="14"/>
      <c r="L57" s="14"/>
      <c r="M57" s="14"/>
      <c r="N57" s="14"/>
    </row>
    <row r="58" spans="1:14" x14ac:dyDescent="0.25">
      <c r="A58" s="14"/>
      <c r="B58" s="14"/>
      <c r="C58" s="14"/>
      <c r="D58" s="14"/>
      <c r="E58" s="14"/>
      <c r="F58" s="14"/>
      <c r="G58" s="14"/>
      <c r="H58" s="14"/>
      <c r="I58" s="14"/>
      <c r="J58" s="14"/>
      <c r="K58" s="14"/>
      <c r="L58" s="14"/>
      <c r="M58" s="14"/>
      <c r="N58" s="14"/>
    </row>
    <row r="59" spans="1:14" x14ac:dyDescent="0.25">
      <c r="A59" s="14"/>
      <c r="B59" s="14"/>
      <c r="C59" s="14"/>
      <c r="D59" s="14"/>
      <c r="E59" s="14"/>
      <c r="F59" s="14"/>
      <c r="G59" s="14"/>
      <c r="H59" s="14"/>
      <c r="I59" s="14"/>
      <c r="J59" s="14"/>
      <c r="K59" s="14"/>
      <c r="L59" s="14"/>
      <c r="M59" s="14"/>
      <c r="N59" s="14"/>
    </row>
    <row r="60" spans="1:14" x14ac:dyDescent="0.25">
      <c r="A60" s="14"/>
      <c r="B60" s="14"/>
      <c r="C60" s="14"/>
      <c r="D60" s="14"/>
      <c r="E60" s="14"/>
      <c r="F60" s="14"/>
      <c r="G60" s="14"/>
      <c r="H60" s="14"/>
      <c r="I60" s="14"/>
      <c r="J60" s="14"/>
      <c r="K60" s="14"/>
      <c r="L60" s="14"/>
      <c r="M60" s="14"/>
      <c r="N60" s="14"/>
    </row>
    <row r="61" spans="1:14" x14ac:dyDescent="0.25">
      <c r="A61" s="14"/>
      <c r="B61" s="14"/>
      <c r="C61" s="14"/>
      <c r="D61" s="14"/>
      <c r="E61" s="14"/>
      <c r="F61" s="14"/>
      <c r="G61" s="14"/>
      <c r="H61" s="14"/>
      <c r="I61" s="14"/>
      <c r="J61" s="14"/>
      <c r="K61" s="14"/>
      <c r="L61" s="14"/>
      <c r="M61" s="14"/>
      <c r="N61" s="14"/>
    </row>
    <row r="62" spans="1:14" x14ac:dyDescent="0.25">
      <c r="A62" s="14"/>
      <c r="B62" s="14"/>
      <c r="C62" s="14"/>
      <c r="D62" s="14"/>
      <c r="E62" s="14"/>
      <c r="F62" s="14"/>
      <c r="G62" s="14"/>
      <c r="H62" s="14"/>
      <c r="I62" s="14"/>
      <c r="J62" s="14"/>
      <c r="K62" s="14"/>
      <c r="L62" s="14"/>
      <c r="M62" s="14"/>
      <c r="N62" s="14"/>
    </row>
    <row r="63" spans="1:14" x14ac:dyDescent="0.25">
      <c r="A63" s="14"/>
      <c r="B63" s="14"/>
      <c r="C63" s="14"/>
      <c r="D63" s="14"/>
      <c r="E63" s="14"/>
      <c r="F63" s="14"/>
      <c r="G63" s="14"/>
      <c r="H63" s="14"/>
      <c r="I63" s="14"/>
      <c r="J63" s="14"/>
      <c r="K63" s="14"/>
      <c r="L63" s="14"/>
      <c r="M63" s="14"/>
      <c r="N63" s="14"/>
    </row>
    <row r="64" spans="1:14" x14ac:dyDescent="0.25">
      <c r="A64" s="14"/>
      <c r="B64" s="14"/>
      <c r="C64" s="14"/>
      <c r="D64" s="14"/>
      <c r="E64" s="14"/>
      <c r="F64" s="14"/>
      <c r="G64" s="14"/>
      <c r="H64" s="14"/>
      <c r="I64" s="14"/>
      <c r="J64" s="14"/>
      <c r="K64" s="14"/>
      <c r="L64" s="14"/>
      <c r="M64" s="14"/>
      <c r="N64" s="14"/>
    </row>
  </sheetData>
  <sheetProtection algorithmName="SHA-512" hashValue="UJZoJs+aiTcbQywJRkwc9oyRBwphEbPuPXIgfpHRCO2RhpOg0bQc2Ki5T88l7jDO6w8c39QB/qfQLycfen2a9w==" saltValue="Z+fpwyY9itJDe6U8vujHSA==" spinCount="100000" sheet="1" objects="1" scenarios="1" formatColumns="0" formatRows="0" sort="0"/>
  <mergeCells count="1">
    <mergeCell ref="H51:K51"/>
  </mergeCells>
  <hyperlinks>
    <hyperlink ref="H51" location="CHANGE_AT_MAX" display="BOOM!" xr:uid="{00000000-0004-0000-1100-000000000000}"/>
    <hyperlink ref="H51:K51" location="'7.8Rate Change Calculation'!CHANGE_AT_MAX" display="Go to 7.8Rate Change Calculation" xr:uid="{00000000-0004-0000-1100-000001000000}"/>
  </hyperlinks>
  <printOptions horizontalCentered="1"/>
  <pageMargins left="0.45" right="0.45" top="0.5" bottom="0.75" header="0.3" footer="0.3"/>
  <pageSetup scale="80" orientation="portrait" r:id="rId1"/>
  <headerFooter>
    <oddFooter>&amp;CPrior Approval Rate Template&amp;RPage 6.8&amp;L01/11/2022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4275" r:id="rId4" name="btnYears">
              <controlPr defaultSize="0" print="0" autoFill="0" autoPict="0" macro="[0]!ExpandContractColsData">
                <anchor moveWithCells="1">
                  <from>
                    <xdr:col>9</xdr:col>
                    <xdr:colOff>180975</xdr:colOff>
                    <xdr:row>9</xdr:row>
                    <xdr:rowOff>142875</xdr:rowOff>
                  </from>
                  <to>
                    <xdr:col>10</xdr:col>
                    <xdr:colOff>1009650</xdr:colOff>
                    <xdr:row>11</xdr:row>
                    <xdr:rowOff>66675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2">
    <tabColor rgb="FF0000FF"/>
    <pageSetUpPr fitToPage="1"/>
  </sheetPr>
  <dimension ref="A1:N64"/>
  <sheetViews>
    <sheetView showGridLines="0" view="pageBreakPreview" zoomScaleNormal="100" zoomScaleSheetLayoutView="100" workbookViewId="0"/>
  </sheetViews>
  <sheetFormatPr defaultRowHeight="15" x14ac:dyDescent="0.25"/>
  <cols>
    <col min="1" max="1" width="5" customWidth="1"/>
    <col min="2" max="2" width="29.7109375" customWidth="1"/>
    <col min="3" max="3" width="7" bestFit="1" customWidth="1"/>
    <col min="4" max="6" width="15.7109375" hidden="1" customWidth="1"/>
    <col min="7" max="11" width="15.7109375" customWidth="1"/>
    <col min="12" max="12" width="0.85546875" customWidth="1"/>
    <col min="13" max="13" width="127.85546875" bestFit="1" customWidth="1"/>
  </cols>
  <sheetData>
    <row r="1" spans="1:13" ht="15.75" thickBot="1" x14ac:dyDescent="0.3">
      <c r="A1" s="10" t="s">
        <v>31</v>
      </c>
      <c r="B1" s="13"/>
      <c r="H1" s="13" t="s">
        <v>33</v>
      </c>
      <c r="K1" s="12" t="str">
        <f>Co_Name</f>
        <v>State Farm Mutual Automobile Insurance Company</v>
      </c>
      <c r="M1" s="279" t="s">
        <v>310</v>
      </c>
    </row>
    <row r="2" spans="1:13" x14ac:dyDescent="0.25">
      <c r="A2" s="10" t="s">
        <v>32</v>
      </c>
      <c r="B2" s="13"/>
      <c r="H2" s="13" t="s">
        <v>34</v>
      </c>
      <c r="K2" s="12" t="str">
        <f>General_Line</f>
        <v>Auto Liability and Physical Damage</v>
      </c>
      <c r="M2" s="280" t="s">
        <v>113</v>
      </c>
    </row>
    <row r="3" spans="1:13" x14ac:dyDescent="0.25">
      <c r="A3" s="10"/>
      <c r="B3" s="185"/>
      <c r="H3" s="83" t="s">
        <v>142</v>
      </c>
      <c r="I3" s="84"/>
      <c r="J3" s="84"/>
      <c r="K3" s="82" t="str">
        <f>CDI_FileNo</f>
        <v/>
      </c>
      <c r="M3" s="281"/>
    </row>
    <row r="4" spans="1:13" ht="18" customHeight="1" x14ac:dyDescent="0.25">
      <c r="M4" s="282"/>
    </row>
    <row r="5" spans="1:13" ht="23.25" x14ac:dyDescent="0.25">
      <c r="A5" s="4" t="s">
        <v>606</v>
      </c>
      <c r="B5" s="3"/>
      <c r="C5" s="3"/>
      <c r="D5" s="3"/>
      <c r="E5" s="3"/>
      <c r="F5" s="3"/>
      <c r="G5" s="3"/>
      <c r="H5" s="3"/>
      <c r="I5" s="3"/>
      <c r="J5" s="3"/>
      <c r="K5" s="3"/>
      <c r="L5" s="3"/>
      <c r="M5" s="282"/>
    </row>
    <row r="6" spans="1:13" ht="15.75" thickBot="1" x14ac:dyDescent="0.3">
      <c r="M6" s="282"/>
    </row>
    <row r="7" spans="1:13" ht="18" customHeight="1" thickBot="1" x14ac:dyDescent="0.3">
      <c r="B7" s="130" t="s">
        <v>1</v>
      </c>
      <c r="G7" s="14" t="str">
        <f>Completed_By</f>
        <v>Laura Campbell</v>
      </c>
      <c r="J7" s="130" t="s">
        <v>706</v>
      </c>
      <c r="K7" s="543"/>
      <c r="M7" s="282"/>
    </row>
    <row r="8" spans="1:13" ht="18" customHeight="1" x14ac:dyDescent="0.25">
      <c r="B8" s="130" t="s">
        <v>76</v>
      </c>
      <c r="G8" s="62">
        <f>Completed_Date</f>
        <v>44816</v>
      </c>
      <c r="M8" s="282"/>
    </row>
    <row r="9" spans="1:13" ht="5.0999999999999996" customHeight="1" x14ac:dyDescent="0.25">
      <c r="B9" s="130"/>
      <c r="M9" s="282"/>
    </row>
    <row r="10" spans="1:13" ht="18" customHeight="1" x14ac:dyDescent="0.25">
      <c r="B10" s="130" t="s">
        <v>77</v>
      </c>
      <c r="G10" s="298" t="str">
        <f>Detailed_LineDesc09</f>
        <v/>
      </c>
      <c r="H10" s="298"/>
      <c r="I10" s="298"/>
      <c r="M10" s="283"/>
    </row>
    <row r="11" spans="1:13" ht="18" customHeight="1" x14ac:dyDescent="0.25">
      <c r="B11" s="130" t="s">
        <v>78</v>
      </c>
      <c r="G11" s="298" t="str">
        <f>Covg09</f>
        <v/>
      </c>
      <c r="H11" s="298"/>
      <c r="I11" s="298"/>
      <c r="M11" s="282"/>
    </row>
    <row r="12" spans="1:13" ht="9.9499999999999993" customHeight="1" x14ac:dyDescent="0.25">
      <c r="B12" s="2"/>
      <c r="G12" s="27"/>
      <c r="I12" s="28"/>
      <c r="J12" s="29"/>
      <c r="M12" s="282"/>
    </row>
    <row r="13" spans="1:13" ht="30" x14ac:dyDescent="0.25">
      <c r="A13" s="33" t="s">
        <v>59</v>
      </c>
      <c r="B13" s="34" t="s">
        <v>64</v>
      </c>
      <c r="C13" s="33" t="s">
        <v>58</v>
      </c>
      <c r="D13" s="195" t="s">
        <v>226</v>
      </c>
      <c r="E13" s="195" t="s">
        <v>227</v>
      </c>
      <c r="F13" s="195" t="s">
        <v>228</v>
      </c>
      <c r="G13" s="195" t="s">
        <v>229</v>
      </c>
      <c r="H13" s="195" t="s">
        <v>230</v>
      </c>
      <c r="I13" s="195" t="s">
        <v>231</v>
      </c>
      <c r="J13" s="33" t="s">
        <v>109</v>
      </c>
      <c r="K13" s="33" t="s">
        <v>110</v>
      </c>
      <c r="M13" s="282"/>
    </row>
    <row r="14" spans="1:13" ht="18" customHeight="1" thickBot="1" x14ac:dyDescent="0.3">
      <c r="A14" s="49" t="s">
        <v>115</v>
      </c>
      <c r="B14" s="48" t="s">
        <v>114</v>
      </c>
      <c r="C14" s="44"/>
      <c r="D14" s="469" t="str">
        <f>LEFT(MstRcntDataYr,4)-5&amp;RIGHT(MstRcntDataYr,1)</f>
        <v>20171</v>
      </c>
      <c r="E14" s="469" t="str">
        <f>LEFT(MstRcntDataYr,4)-4&amp;RIGHT(MstRcntDataYr,1)</f>
        <v>20181</v>
      </c>
      <c r="F14" s="469" t="str">
        <f>LEFT(MstRcntDataYr,4)-3&amp;RIGHT(MstRcntDataYr,1)</f>
        <v>20191</v>
      </c>
      <c r="G14" s="469" t="str">
        <f>LEFT(MstRcntDataYr,4)-2&amp;RIGHT(MstRcntDataYr,1)</f>
        <v>20201</v>
      </c>
      <c r="H14" s="469" t="str">
        <f>LEFT(MstRcntDataYr,4)-1&amp;RIGHT(MstRcntDataYr,1)</f>
        <v>20211</v>
      </c>
      <c r="I14" s="469">
        <f>MstRcntDataYr</f>
        <v>20221</v>
      </c>
      <c r="J14" s="30"/>
      <c r="K14" s="22"/>
      <c r="M14" s="282"/>
    </row>
    <row r="15" spans="1:13" ht="30" customHeight="1" x14ac:dyDescent="0.25">
      <c r="A15" s="41">
        <v>-1</v>
      </c>
      <c r="B15" s="42" t="s">
        <v>54</v>
      </c>
      <c r="C15" s="43"/>
      <c r="D15" s="196"/>
      <c r="E15" s="197"/>
      <c r="F15" s="197"/>
      <c r="G15" s="127"/>
      <c r="H15" s="127"/>
      <c r="I15" s="127"/>
      <c r="J15" s="24"/>
      <c r="K15" s="127"/>
      <c r="M15" s="283" t="str">
        <f>IF(AND(New_Program=TRUE,ISBLANK($K$15)),"← ERROR! Enter projected figure for new program, or deselect 'New Program' on Page '1.General'.","")</f>
        <v/>
      </c>
    </row>
    <row r="16" spans="1:13" ht="30" customHeight="1" x14ac:dyDescent="0.25">
      <c r="A16" s="35">
        <v>-2</v>
      </c>
      <c r="B16" s="36" t="s">
        <v>55</v>
      </c>
      <c r="C16" s="470"/>
      <c r="D16" s="128"/>
      <c r="E16" s="127"/>
      <c r="F16" s="127"/>
      <c r="G16" s="127"/>
      <c r="H16" s="127"/>
      <c r="I16" s="127"/>
      <c r="J16" s="25"/>
      <c r="K16" s="85" t="str">
        <f>IF(ISBLANK($K$15),"",$K$15)</f>
        <v/>
      </c>
      <c r="M16" s="283" t="str">
        <f>IF(AND(New_Program=TRUE,$K$16&lt;&gt;$K$15),"← ERROR! For New Programs, Earned Premium must equal Written Premium. Refer to Section III.C. of Prior Approval Rate Filing Instructions.","")</f>
        <v/>
      </c>
    </row>
    <row r="17" spans="1:13" ht="18" customHeight="1" x14ac:dyDescent="0.25">
      <c r="A17" s="35">
        <v>-3</v>
      </c>
      <c r="B17" s="36" t="s">
        <v>36</v>
      </c>
      <c r="C17" s="470" t="s">
        <v>65</v>
      </c>
      <c r="D17" s="198"/>
      <c r="E17" s="199"/>
      <c r="F17" s="199"/>
      <c r="G17" s="199"/>
      <c r="H17" s="199"/>
      <c r="I17" s="199"/>
      <c r="J17" s="21"/>
      <c r="K17" s="21"/>
      <c r="M17" s="282"/>
    </row>
    <row r="18" spans="1:13" ht="18" customHeight="1" x14ac:dyDescent="0.25">
      <c r="A18" s="35">
        <v>-4</v>
      </c>
      <c r="B18" s="36" t="s">
        <v>130</v>
      </c>
      <c r="C18" s="470" t="s">
        <v>66</v>
      </c>
      <c r="D18" s="198"/>
      <c r="E18" s="199"/>
      <c r="F18" s="199"/>
      <c r="G18" s="199"/>
      <c r="H18" s="199"/>
      <c r="I18" s="199"/>
      <c r="J18" s="200"/>
      <c r="K18" s="21"/>
      <c r="M18" s="283" t="str">
        <f>IF(AND(New_Program=FALSE,ISBLANK($J$18)),"← ERROR! Enter Annual Premium Trend as a percentage in the 'Projected' column.","")</f>
        <v>← ERROR! Enter Annual Premium Trend as a percentage in the 'Projected' column.</v>
      </c>
    </row>
    <row r="19" spans="1:13" ht="30" customHeight="1" x14ac:dyDescent="0.25">
      <c r="A19" s="35">
        <v>-5</v>
      </c>
      <c r="B19" s="36" t="s">
        <v>743</v>
      </c>
      <c r="C19" s="470" t="s">
        <v>67</v>
      </c>
      <c r="D19" s="128"/>
      <c r="E19" s="127"/>
      <c r="F19" s="127"/>
      <c r="G19" s="127"/>
      <c r="H19" s="127"/>
      <c r="I19" s="127"/>
      <c r="J19" s="21"/>
      <c r="K19" s="127"/>
      <c r="M19" s="283" t="str">
        <f>IF(AND(New_Program=TRUE,ISBLANK($K$19)),"← ERROR! Enter projected figure for new program, or deselect 'New Program' on Page '1.General'.","")</f>
        <v/>
      </c>
    </row>
    <row r="20" spans="1:13" ht="18" customHeight="1" x14ac:dyDescent="0.25">
      <c r="A20" s="35">
        <v>-6</v>
      </c>
      <c r="B20" s="36" t="s">
        <v>56</v>
      </c>
      <c r="C20" s="470"/>
      <c r="D20" s="128"/>
      <c r="E20" s="127"/>
      <c r="F20" s="127"/>
      <c r="G20" s="127"/>
      <c r="H20" s="127"/>
      <c r="I20" s="127"/>
      <c r="J20" s="21"/>
      <c r="K20" s="127"/>
      <c r="M20" s="283" t="str">
        <f>IF(AND(New_Program=TRUE,ISBLANK($K$20)),"← ERROR! Enter projected figure for new program, or deselect 'New Program' on Page '1.General'.","")</f>
        <v/>
      </c>
    </row>
    <row r="21" spans="1:13" ht="18" customHeight="1" x14ac:dyDescent="0.25">
      <c r="A21" s="35">
        <v>-7</v>
      </c>
      <c r="B21" s="36" t="s">
        <v>133</v>
      </c>
      <c r="C21" s="470"/>
      <c r="D21" s="128"/>
      <c r="E21" s="127"/>
      <c r="F21" s="127"/>
      <c r="G21" s="127"/>
      <c r="H21" s="127"/>
      <c r="I21" s="127"/>
      <c r="J21" s="21"/>
      <c r="K21" s="127"/>
      <c r="M21" s="283" t="str">
        <f>IF(AND(New_Program=TRUE,ISBLANK($K$21)),"← ERROR! Enter projected figure for new program, or deselect 'New Program' on Page '1.General'.","")</f>
        <v/>
      </c>
    </row>
    <row r="22" spans="1:13" ht="30" customHeight="1" x14ac:dyDescent="0.25">
      <c r="A22" s="35">
        <v>-8</v>
      </c>
      <c r="B22" s="36" t="s">
        <v>57</v>
      </c>
      <c r="C22" s="470"/>
      <c r="D22" s="128"/>
      <c r="E22" s="127"/>
      <c r="F22" s="127"/>
      <c r="G22" s="127"/>
      <c r="H22" s="127"/>
      <c r="I22" s="127"/>
      <c r="J22" s="21"/>
      <c r="K22" s="127"/>
      <c r="M22" s="283" t="str">
        <f>IF(AND(New_Program=TRUE,ISBLANK($K$22)),"← ERROR! Enter projected figure for new program, or deselect 'New Program' on Page '1.General'.","")</f>
        <v/>
      </c>
    </row>
    <row r="23" spans="1:13" ht="18" customHeight="1" x14ac:dyDescent="0.25">
      <c r="A23" s="35">
        <v>-9</v>
      </c>
      <c r="B23" s="36" t="s">
        <v>60</v>
      </c>
      <c r="C23" s="470" t="s">
        <v>68</v>
      </c>
      <c r="D23" s="198"/>
      <c r="E23" s="199"/>
      <c r="F23" s="199"/>
      <c r="G23" s="199"/>
      <c r="H23" s="199"/>
      <c r="I23" s="199"/>
      <c r="J23" s="21"/>
      <c r="K23" s="21"/>
      <c r="M23" s="282"/>
    </row>
    <row r="24" spans="1:13" ht="18" customHeight="1" x14ac:dyDescent="0.25">
      <c r="A24" s="35">
        <v>-10</v>
      </c>
      <c r="B24" s="36" t="s">
        <v>61</v>
      </c>
      <c r="C24" s="470" t="s">
        <v>68</v>
      </c>
      <c r="D24" s="198"/>
      <c r="E24" s="199"/>
      <c r="F24" s="199"/>
      <c r="G24" s="199"/>
      <c r="H24" s="199"/>
      <c r="I24" s="199"/>
      <c r="J24" s="21"/>
      <c r="K24" s="21"/>
      <c r="M24" s="282"/>
    </row>
    <row r="25" spans="1:13" ht="18" customHeight="1" x14ac:dyDescent="0.25">
      <c r="A25" s="35">
        <v>-11</v>
      </c>
      <c r="B25" s="36" t="s">
        <v>132</v>
      </c>
      <c r="C25" s="470" t="s">
        <v>69</v>
      </c>
      <c r="D25" s="198"/>
      <c r="E25" s="199"/>
      <c r="F25" s="199"/>
      <c r="G25" s="199"/>
      <c r="H25" s="199"/>
      <c r="I25" s="199"/>
      <c r="J25" s="200"/>
      <c r="K25" s="21"/>
      <c r="M25" s="283" t="str">
        <f>IF(AND(New_Program=FALSE,ISBLANK($J$25)),"← ERROR! Enter Annual Loss Trend as a percentage in the 'Projected' column","")</f>
        <v>← ERROR! Enter Annual Loss Trend as a percentage in the 'Projected' column</v>
      </c>
    </row>
    <row r="26" spans="1:13" ht="18" customHeight="1" x14ac:dyDescent="0.25">
      <c r="A26" s="35">
        <v>-12</v>
      </c>
      <c r="B26" s="36" t="s">
        <v>131</v>
      </c>
      <c r="C26" s="470" t="s">
        <v>69</v>
      </c>
      <c r="D26" s="198"/>
      <c r="E26" s="199"/>
      <c r="F26" s="199"/>
      <c r="G26" s="199"/>
      <c r="H26" s="199"/>
      <c r="I26" s="199"/>
      <c r="J26" s="200"/>
      <c r="K26" s="21"/>
      <c r="M26" s="283" t="str">
        <f>IF(AND(New_Program=FALSE,ISBLANK($J$26)),"← ERROR! Enter Annual DCCE Trend as a percentage in the 'Projected' column","")</f>
        <v>← ERROR! Enter Annual DCCE Trend as a percentage in the 'Projected' column</v>
      </c>
    </row>
    <row r="27" spans="1:13" ht="18" customHeight="1" x14ac:dyDescent="0.25">
      <c r="A27" s="35">
        <v>-13</v>
      </c>
      <c r="B27" s="36" t="s">
        <v>62</v>
      </c>
      <c r="C27" s="470" t="s">
        <v>70</v>
      </c>
      <c r="D27" s="198"/>
      <c r="E27" s="199"/>
      <c r="F27" s="199"/>
      <c r="G27" s="199"/>
      <c r="H27" s="199"/>
      <c r="I27" s="199"/>
      <c r="J27" s="21"/>
      <c r="K27" s="21"/>
      <c r="M27" s="282"/>
    </row>
    <row r="28" spans="1:13" ht="18" customHeight="1" x14ac:dyDescent="0.25">
      <c r="A28" s="35">
        <v>-14</v>
      </c>
      <c r="B28" s="31" t="s">
        <v>728</v>
      </c>
      <c r="C28" s="470" t="s">
        <v>71</v>
      </c>
      <c r="D28" s="32"/>
      <c r="E28" s="21"/>
      <c r="F28" s="21"/>
      <c r="G28" s="21"/>
      <c r="H28" s="21"/>
      <c r="I28" s="21"/>
      <c r="J28" s="201"/>
      <c r="K28" s="21"/>
      <c r="M28" s="284"/>
    </row>
    <row r="29" spans="1:13" ht="18" customHeight="1" x14ac:dyDescent="0.25">
      <c r="A29" s="35">
        <v>-15</v>
      </c>
      <c r="B29" s="36" t="s">
        <v>37</v>
      </c>
      <c r="C29" s="470" t="s">
        <v>72</v>
      </c>
      <c r="D29" s="128"/>
      <c r="E29" s="127"/>
      <c r="F29" s="127"/>
      <c r="G29" s="127"/>
      <c r="H29" s="127"/>
      <c r="I29" s="127"/>
      <c r="J29" s="21"/>
      <c r="K29" s="127"/>
      <c r="M29" s="283" t="str">
        <f>IF(AND(New_Program=TRUE,ISBLANK($K$29)),"← ERROR! Enter projected figure for new program, or deselect 'New Program' on Page '1.General'.","")</f>
        <v/>
      </c>
    </row>
    <row r="30" spans="1:13" ht="5.0999999999999996" customHeight="1" x14ac:dyDescent="0.25">
      <c r="A30" s="38"/>
      <c r="B30" s="39"/>
      <c r="C30" s="40"/>
      <c r="D30" s="641">
        <f>IF(COUNTBLANK(D15:D27)+COUNTBLANK(D29)=14,1,IF(COUNT(D15:D27)+COUNT(D29)=14,1,"D "))</f>
        <v>1</v>
      </c>
      <c r="E30" s="641">
        <f>IF(COUNTBLANK(E15:E27)+COUNTBLANK(E29)=14,1,IF(COUNT(E15:E27)+COUNT(E29)=14,1,"E "))</f>
        <v>1</v>
      </c>
      <c r="F30" s="641">
        <f>IF(COUNTBLANK(F15:F27)+COUNTBLANK(F29)=14,1,IF(COUNT(F15:F27)+COUNT(F29)=14,1,"F "))</f>
        <v>1</v>
      </c>
      <c r="G30" s="641">
        <f>IF(COUNTBLANK(G15:G27)+COUNTBLANK(G29)=14,1,IF(COUNT(G15:G27)+COUNT(G29)=14,1,"G "))</f>
        <v>1</v>
      </c>
      <c r="H30" s="641">
        <f>IF(COUNTBLANK(H15:H27)+COUNTBLANK(H29)=14,1,IF(COUNT(H15:H27)+COUNT(H29)=14,1,"H "))</f>
        <v>1</v>
      </c>
      <c r="I30" s="641">
        <f>IF(COUNTBLANK(I15:I27)+COUNTBLANK(I29)=14,1,IF(COUNT(I15:I27)+COUNT(I29)=14,1,"I "))</f>
        <v>1</v>
      </c>
      <c r="J30" s="642">
        <f>IF(COUNTBLANK(J15:J29)=15,1,IF(COUNT(J18,J25,J26,J28)=4,1,"J "))</f>
        <v>1</v>
      </c>
      <c r="K30" s="643">
        <f>IF(COUNTBLANK(K15)+COUNTBLANK(K17:K29)=14,1,IF(COUNT(K15,K19,K20,K21,K22,K29)=6,1,"K "))</f>
        <v>1</v>
      </c>
      <c r="M30" s="282"/>
    </row>
    <row r="31" spans="1:13" ht="15" customHeight="1" x14ac:dyDescent="0.25">
      <c r="A31" s="38"/>
      <c r="B31" s="20" t="s">
        <v>716</v>
      </c>
      <c r="C31" s="40"/>
      <c r="D31" s="14"/>
      <c r="E31" s="14"/>
      <c r="F31" s="14"/>
      <c r="G31" s="14"/>
      <c r="H31" s="14"/>
      <c r="I31" s="14"/>
      <c r="J31" s="26"/>
      <c r="K31" s="143"/>
      <c r="M31" s="283"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25">
      <c r="A32" s="38"/>
      <c r="B32" s="39"/>
      <c r="C32" s="40"/>
      <c r="D32" s="14"/>
      <c r="E32" s="14"/>
      <c r="F32" s="14"/>
      <c r="G32" s="14"/>
      <c r="H32" s="14"/>
      <c r="I32" s="14"/>
      <c r="J32" s="26"/>
      <c r="K32" s="143"/>
      <c r="M32" s="282"/>
    </row>
    <row r="33" spans="1:13" ht="18" customHeight="1" x14ac:dyDescent="0.25">
      <c r="A33" s="35">
        <v>-16</v>
      </c>
      <c r="B33" s="36" t="s">
        <v>162</v>
      </c>
      <c r="C33" s="470" t="s">
        <v>608</v>
      </c>
      <c r="D33" s="32"/>
      <c r="E33" s="21"/>
      <c r="F33" s="21"/>
      <c r="G33" s="21"/>
      <c r="H33" s="21"/>
      <c r="I33" s="21"/>
      <c r="J33" s="81">
        <f>IF(New_Program=FALSE,ExpRatio_Excluded,"")</f>
        <v>1.3597266477453115E-2</v>
      </c>
      <c r="K33" s="81" t="str">
        <f>IF(New_Program=TRUE,ExpRatio_Excluded,"")</f>
        <v/>
      </c>
      <c r="M33" s="282"/>
    </row>
    <row r="34" spans="1:13" ht="30" customHeight="1" x14ac:dyDescent="0.25">
      <c r="A34" s="35">
        <v>-17</v>
      </c>
      <c r="B34" s="36" t="s">
        <v>311</v>
      </c>
      <c r="C34" s="470" t="s">
        <v>609</v>
      </c>
      <c r="D34" s="32"/>
      <c r="E34" s="21"/>
      <c r="F34" s="21"/>
      <c r="G34" s="21"/>
      <c r="H34" s="21"/>
      <c r="I34" s="21"/>
      <c r="J34" s="81">
        <f>IF(New_Program=FALSE,FIT_Inv,"")</f>
        <v>0.18752087399665437</v>
      </c>
      <c r="K34" s="81" t="str">
        <f>IF(New_Program=TRUE,FIT_Inv,"")</f>
        <v/>
      </c>
      <c r="M34" s="282"/>
    </row>
    <row r="35" spans="1:13" ht="18" customHeight="1" x14ac:dyDescent="0.25">
      <c r="A35" s="35">
        <v>-18</v>
      </c>
      <c r="B35" s="31" t="s">
        <v>312</v>
      </c>
      <c r="C35" s="470" t="s">
        <v>609</v>
      </c>
      <c r="D35" s="32"/>
      <c r="E35" s="21"/>
      <c r="F35" s="21"/>
      <c r="G35" s="21"/>
      <c r="H35" s="21"/>
      <c r="I35" s="21"/>
      <c r="J35" s="81">
        <f>IF(New_Program=FALSE,Yield,"")</f>
        <v>8.8050065696007235E-2</v>
      </c>
      <c r="K35" s="81" t="str">
        <f>IF(New_Program=TRUE,Yield,"")</f>
        <v/>
      </c>
      <c r="M35" s="282"/>
    </row>
    <row r="36" spans="1:13" ht="5.0999999999999996" hidden="1" customHeight="1" x14ac:dyDescent="0.25">
      <c r="A36" s="38"/>
      <c r="B36" s="39"/>
      <c r="C36" s="40"/>
      <c r="D36" s="14"/>
      <c r="E36" s="14"/>
      <c r="F36" s="14"/>
      <c r="G36" s="14"/>
      <c r="H36" s="14"/>
      <c r="I36" s="14"/>
      <c r="J36" s="26"/>
      <c r="K36" s="143"/>
      <c r="M36" s="282"/>
    </row>
    <row r="37" spans="1:13" ht="15" hidden="1" customHeight="1" x14ac:dyDescent="0.25">
      <c r="A37" s="38"/>
      <c r="B37" s="20" t="s">
        <v>337</v>
      </c>
      <c r="C37" s="40"/>
      <c r="D37" s="45"/>
      <c r="E37" s="45"/>
      <c r="F37" s="45"/>
      <c r="G37" s="45"/>
      <c r="H37" s="45"/>
      <c r="I37" s="45"/>
      <c r="J37" s="45"/>
      <c r="K37" s="45"/>
      <c r="M37" s="282"/>
    </row>
    <row r="38" spans="1:13" ht="5.0999999999999996" hidden="1" customHeight="1" x14ac:dyDescent="0.25">
      <c r="A38" s="38"/>
      <c r="B38" s="39"/>
      <c r="C38" s="40"/>
      <c r="D38" s="45"/>
      <c r="E38" s="45"/>
      <c r="F38" s="45"/>
      <c r="G38" s="45"/>
      <c r="H38" s="45"/>
      <c r="I38" s="45"/>
      <c r="K38" s="46"/>
      <c r="M38" s="282"/>
    </row>
    <row r="39" spans="1:13" ht="18" hidden="1" customHeight="1" x14ac:dyDescent="0.25">
      <c r="A39" s="35">
        <v>-19</v>
      </c>
      <c r="B39" s="36" t="s">
        <v>112</v>
      </c>
      <c r="C39" s="470" t="s">
        <v>111</v>
      </c>
      <c r="D39" s="21"/>
      <c r="E39" s="21"/>
      <c r="F39" s="21"/>
      <c r="G39" s="21"/>
      <c r="H39" s="21"/>
      <c r="I39" s="21"/>
      <c r="J39" s="200"/>
      <c r="K39" s="21"/>
      <c r="M39" s="283" t="str">
        <f>IF(AND(ISBLANK($J$39)=FALSE,'1.General'!$I$47=2),"← ERROR! No efficiency standard variance will be applied unless 'Y' is selected in pull-down menu on Page '1.General'.","")</f>
        <v/>
      </c>
    </row>
    <row r="40" spans="1:13" ht="30" hidden="1" customHeight="1" x14ac:dyDescent="0.25">
      <c r="A40" s="35">
        <v>-20</v>
      </c>
      <c r="B40" s="36" t="s">
        <v>156</v>
      </c>
      <c r="C40" s="470" t="s">
        <v>111</v>
      </c>
      <c r="D40" s="21"/>
      <c r="E40" s="21"/>
      <c r="F40" s="21"/>
      <c r="G40" s="21"/>
      <c r="H40" s="21"/>
      <c r="I40" s="21"/>
      <c r="J40" s="200"/>
      <c r="K40" s="21"/>
      <c r="M40" s="284" t="str">
        <f>IF('1.General'!$I$47=2,"",IF(AND(ExpRatio_Actual09&lt;=EffStd_Wtd09,EffStd_VarReq09&gt;0),"← ERROR: Based on insurer's stated most recent year expense ratio, no relief from efficiency standard variances is allowed.  Insurer's stated most recent year expense ratio is already less than or equal to the efficiency standard.",IF(AND(ROUND(EffStd_Wtd09+EffStd_VarReq09,3)&gt;ExpRatio_Actual09,EffStd_VarReq09&gt;0),"← ERROR! Assuming the calculation of the insurer's most recent year expense ratio is justified, relief from the efficiency standard will be limited to the difference between that ratio and the efficiency standard, or, "&amp;ROUND(ExpRatio_Actual09-EffStd_Wtd09,3)*100&amp;"%, subject to CDI approval.","")))</f>
        <v/>
      </c>
    </row>
    <row r="41" spans="1:13" ht="4.5" customHeight="1" x14ac:dyDescent="0.25">
      <c r="A41" s="38"/>
      <c r="B41" s="39"/>
      <c r="C41" s="40"/>
      <c r="D41" s="45"/>
      <c r="E41" s="45"/>
      <c r="F41" s="45"/>
      <c r="G41" s="45"/>
      <c r="H41" s="45"/>
      <c r="I41" s="45"/>
      <c r="J41" s="45"/>
      <c r="K41" s="45"/>
      <c r="M41" s="284"/>
    </row>
    <row r="42" spans="1:13" ht="15" hidden="1" customHeight="1" x14ac:dyDescent="0.25">
      <c r="A42" s="19"/>
      <c r="B42" s="20" t="s">
        <v>711</v>
      </c>
      <c r="C42" s="16"/>
      <c r="D42" s="14"/>
      <c r="E42" s="14"/>
      <c r="F42" s="14"/>
      <c r="G42" s="14"/>
      <c r="H42" s="14"/>
      <c r="I42" s="14"/>
      <c r="J42" s="14"/>
      <c r="K42" s="14"/>
      <c r="M42" s="282"/>
    </row>
    <row r="43" spans="1:13" ht="4.5" hidden="1" customHeight="1" x14ac:dyDescent="0.25">
      <c r="A43" s="19"/>
      <c r="B43" s="20"/>
      <c r="C43" s="16"/>
      <c r="D43" s="14"/>
      <c r="E43" s="14"/>
      <c r="F43" s="14"/>
      <c r="G43" s="14"/>
      <c r="H43" s="14"/>
      <c r="I43" s="14"/>
      <c r="J43" s="14"/>
      <c r="K43" s="14"/>
      <c r="M43" s="282"/>
    </row>
    <row r="44" spans="1:13" ht="18" hidden="1" customHeight="1" x14ac:dyDescent="0.25">
      <c r="A44" s="278">
        <v>-19</v>
      </c>
      <c r="B44" s="36" t="s">
        <v>321</v>
      </c>
      <c r="C44" s="31"/>
      <c r="D44" s="21"/>
      <c r="E44" s="21"/>
      <c r="F44" s="21"/>
      <c r="G44" s="21"/>
      <c r="H44" s="21"/>
      <c r="I44" s="21"/>
      <c r="J44" s="201"/>
      <c r="K44" s="21"/>
      <c r="M44" s="283" t="str">
        <f>IF(AND(ISBLANK($J$44),OR(General_Line="Medical Malpractice",General_Line="Earthquake")),"← ERROR! Enter direct commission rate.","")</f>
        <v/>
      </c>
    </row>
    <row r="45" spans="1:13" ht="18" hidden="1" customHeight="1" x14ac:dyDescent="0.25">
      <c r="A45" s="278">
        <v>-20</v>
      </c>
      <c r="B45" s="36" t="s">
        <v>63</v>
      </c>
      <c r="C45" s="470" t="s">
        <v>73</v>
      </c>
      <c r="D45" s="127"/>
      <c r="E45" s="127"/>
      <c r="F45" s="127"/>
      <c r="G45" s="127"/>
      <c r="H45" s="127"/>
      <c r="I45" s="127"/>
      <c r="J45" s="23"/>
      <c r="K45" s="127"/>
      <c r="M45" s="283"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25">
      <c r="A46" s="278">
        <v>-21</v>
      </c>
      <c r="B46" s="36" t="s">
        <v>322</v>
      </c>
      <c r="C46" s="470" t="s">
        <v>73</v>
      </c>
      <c r="D46" s="127"/>
      <c r="E46" s="127"/>
      <c r="F46" s="127"/>
      <c r="G46" s="127"/>
      <c r="H46" s="127"/>
      <c r="I46" s="127"/>
      <c r="J46" s="23"/>
      <c r="K46" s="127"/>
      <c r="M46" s="283"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25">
      <c r="A47" s="14" t="s">
        <v>707</v>
      </c>
      <c r="M47" s="283"/>
    </row>
    <row r="48" spans="1:13" ht="17.25" customHeight="1" thickBot="1" x14ac:dyDescent="0.3">
      <c r="A48" s="14" t="s">
        <v>323</v>
      </c>
      <c r="M48" s="283"/>
    </row>
    <row r="49" spans="1:14" ht="17.25" hidden="1" customHeight="1" x14ac:dyDescent="0.25">
      <c r="A49" s="14" t="s">
        <v>338</v>
      </c>
      <c r="J49" s="187"/>
      <c r="M49" s="202"/>
    </row>
    <row r="50" spans="1:14" ht="17.25" hidden="1" customHeight="1" thickBot="1" x14ac:dyDescent="0.3">
      <c r="A50" s="14" t="s">
        <v>157</v>
      </c>
      <c r="J50" s="91"/>
      <c r="M50" s="88"/>
    </row>
    <row r="51" spans="1:14" ht="20.100000000000001" customHeight="1" x14ac:dyDescent="0.25">
      <c r="A51" s="14"/>
      <c r="H51" s="785" t="s">
        <v>674</v>
      </c>
      <c r="I51" s="785"/>
      <c r="J51" s="785"/>
      <c r="K51" s="785"/>
      <c r="M51" s="142"/>
    </row>
    <row r="52" spans="1:14" ht="17.25" customHeight="1" x14ac:dyDescent="0.25">
      <c r="A52" s="14"/>
      <c r="J52" s="92"/>
      <c r="M52" s="90"/>
    </row>
    <row r="53" spans="1:14" x14ac:dyDescent="0.25">
      <c r="A53" s="14"/>
      <c r="B53" s="14"/>
      <c r="C53" s="14"/>
      <c r="D53" s="14"/>
      <c r="E53" s="14"/>
      <c r="F53" s="14"/>
      <c r="G53" s="14"/>
      <c r="H53" s="14"/>
      <c r="I53" s="14"/>
      <c r="J53" s="14"/>
      <c r="K53" s="14"/>
      <c r="L53" s="14"/>
      <c r="M53" s="14"/>
      <c r="N53" s="14"/>
    </row>
    <row r="54" spans="1:14" x14ac:dyDescent="0.25">
      <c r="A54" s="14"/>
      <c r="B54" s="14"/>
      <c r="C54" s="14"/>
      <c r="D54" s="14"/>
      <c r="E54" s="14"/>
      <c r="F54" s="14"/>
      <c r="G54" s="14"/>
      <c r="H54" s="14"/>
      <c r="I54" s="14"/>
      <c r="J54" s="14"/>
      <c r="K54" s="14"/>
      <c r="L54" s="14"/>
      <c r="M54" s="14"/>
      <c r="N54" s="14"/>
    </row>
    <row r="55" spans="1:14" x14ac:dyDescent="0.25">
      <c r="A55" s="14"/>
      <c r="B55" s="14"/>
      <c r="C55" s="14"/>
      <c r="D55" s="14"/>
      <c r="E55" s="14"/>
      <c r="F55" s="14"/>
      <c r="G55" s="14"/>
      <c r="H55" s="14"/>
      <c r="I55" s="14"/>
      <c r="J55" s="14"/>
      <c r="K55" s="14"/>
      <c r="L55" s="14"/>
      <c r="M55" s="14"/>
      <c r="N55" s="14"/>
    </row>
    <row r="56" spans="1:14" x14ac:dyDescent="0.25">
      <c r="A56" s="14"/>
      <c r="B56" s="14"/>
      <c r="C56" s="14"/>
      <c r="D56" s="14"/>
      <c r="E56" s="14"/>
      <c r="F56" s="14"/>
      <c r="G56" s="14"/>
      <c r="H56" s="14"/>
      <c r="I56" s="14"/>
      <c r="J56" s="14"/>
      <c r="K56" s="14"/>
      <c r="L56" s="14"/>
      <c r="M56" s="14"/>
      <c r="N56" s="14"/>
    </row>
    <row r="57" spans="1:14" x14ac:dyDescent="0.25">
      <c r="A57" s="14"/>
      <c r="B57" s="14"/>
      <c r="C57" s="14"/>
      <c r="D57" s="14"/>
      <c r="E57" s="14"/>
      <c r="F57" s="14"/>
      <c r="G57" s="14"/>
      <c r="H57" s="14"/>
      <c r="I57" s="14"/>
      <c r="J57" s="14"/>
      <c r="K57" s="14"/>
      <c r="L57" s="14"/>
      <c r="M57" s="14"/>
      <c r="N57" s="14"/>
    </row>
    <row r="58" spans="1:14" x14ac:dyDescent="0.25">
      <c r="A58" s="14"/>
      <c r="B58" s="14"/>
      <c r="C58" s="14"/>
      <c r="D58" s="14"/>
      <c r="E58" s="14"/>
      <c r="F58" s="14"/>
      <c r="G58" s="14"/>
      <c r="H58" s="14"/>
      <c r="I58" s="14"/>
      <c r="J58" s="14"/>
      <c r="K58" s="14"/>
      <c r="L58" s="14"/>
      <c r="M58" s="14"/>
      <c r="N58" s="14"/>
    </row>
    <row r="59" spans="1:14" x14ac:dyDescent="0.25">
      <c r="A59" s="14"/>
      <c r="B59" s="14"/>
      <c r="C59" s="14"/>
      <c r="D59" s="14"/>
      <c r="E59" s="14"/>
      <c r="F59" s="14"/>
      <c r="G59" s="14"/>
      <c r="H59" s="14"/>
      <c r="I59" s="14"/>
      <c r="J59" s="14"/>
      <c r="K59" s="14"/>
      <c r="L59" s="14"/>
      <c r="M59" s="14"/>
      <c r="N59" s="14"/>
    </row>
    <row r="60" spans="1:14" x14ac:dyDescent="0.25">
      <c r="A60" s="14"/>
      <c r="B60" s="14"/>
      <c r="C60" s="14"/>
      <c r="D60" s="14"/>
      <c r="E60" s="14"/>
      <c r="F60" s="14"/>
      <c r="G60" s="14"/>
      <c r="H60" s="14"/>
      <c r="I60" s="14"/>
      <c r="J60" s="14"/>
      <c r="K60" s="14"/>
      <c r="L60" s="14"/>
      <c r="M60" s="14"/>
      <c r="N60" s="14"/>
    </row>
    <row r="61" spans="1:14" x14ac:dyDescent="0.25">
      <c r="A61" s="14"/>
      <c r="B61" s="14"/>
      <c r="C61" s="14"/>
      <c r="D61" s="14"/>
      <c r="E61" s="14"/>
      <c r="F61" s="14"/>
      <c r="G61" s="14"/>
      <c r="H61" s="14"/>
      <c r="I61" s="14"/>
      <c r="J61" s="14"/>
      <c r="K61" s="14"/>
      <c r="L61" s="14"/>
      <c r="M61" s="14"/>
      <c r="N61" s="14"/>
    </row>
    <row r="62" spans="1:14" x14ac:dyDescent="0.25">
      <c r="A62" s="14"/>
      <c r="B62" s="14"/>
      <c r="C62" s="14"/>
      <c r="D62" s="14"/>
      <c r="E62" s="14"/>
      <c r="F62" s="14"/>
      <c r="G62" s="14"/>
      <c r="H62" s="14"/>
      <c r="I62" s="14"/>
      <c r="J62" s="14"/>
      <c r="K62" s="14"/>
      <c r="L62" s="14"/>
      <c r="M62" s="14"/>
      <c r="N62" s="14"/>
    </row>
    <row r="63" spans="1:14" x14ac:dyDescent="0.25">
      <c r="A63" s="14"/>
      <c r="B63" s="14"/>
      <c r="C63" s="14"/>
      <c r="D63" s="14"/>
      <c r="E63" s="14"/>
      <c r="F63" s="14"/>
      <c r="G63" s="14"/>
      <c r="H63" s="14"/>
      <c r="I63" s="14"/>
      <c r="J63" s="14"/>
      <c r="K63" s="14"/>
      <c r="L63" s="14"/>
      <c r="M63" s="14"/>
      <c r="N63" s="14"/>
    </row>
    <row r="64" spans="1:14" x14ac:dyDescent="0.25">
      <c r="A64" s="14"/>
      <c r="B64" s="14"/>
      <c r="C64" s="14"/>
      <c r="D64" s="14"/>
      <c r="E64" s="14"/>
      <c r="F64" s="14"/>
      <c r="G64" s="14"/>
      <c r="H64" s="14"/>
      <c r="I64" s="14"/>
      <c r="J64" s="14"/>
      <c r="K64" s="14"/>
      <c r="L64" s="14"/>
      <c r="M64" s="14"/>
      <c r="N64" s="14"/>
    </row>
  </sheetData>
  <sheetProtection algorithmName="SHA-512" hashValue="wwgs1a+29xug477/tpAsgnVZ5MjAY9GNPGCPdxLIA6dht4RBBKqvAcHn8113GM3sQdo1u5YawNS588iqog9xvA==" saltValue="IQqk78YT6BhRtdDhoM0Atg==" spinCount="100000" sheet="1" objects="1" scenarios="1" formatColumns="0" formatRows="0" sort="0"/>
  <mergeCells count="1">
    <mergeCell ref="H51:K51"/>
  </mergeCells>
  <hyperlinks>
    <hyperlink ref="H51" location="CHANGE_AT_MAX" display="BOOM!" xr:uid="{00000000-0004-0000-1200-000000000000}"/>
    <hyperlink ref="H51:K51" location="'7.9Rate Change Calculation'!CHANGE_AT_MAX" display="Go to 7.9Rate Change Calculation" xr:uid="{00000000-0004-0000-1200-000001000000}"/>
  </hyperlinks>
  <printOptions horizontalCentered="1"/>
  <pageMargins left="0.45" right="0.45" top="0.5" bottom="0.75" header="0.3" footer="0.3"/>
  <pageSetup scale="80" orientation="portrait" r:id="rId1"/>
  <headerFooter>
    <oddFooter>&amp;CPrior Approval Rate Template&amp;RPage 6.9&amp;L01/11/2022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5299" r:id="rId4" name="btnYears">
              <controlPr defaultSize="0" print="0" autoFill="0" autoPict="0" macro="[0]!ExpandContractColsData">
                <anchor moveWithCells="1">
                  <from>
                    <xdr:col>9</xdr:col>
                    <xdr:colOff>180975</xdr:colOff>
                    <xdr:row>9</xdr:row>
                    <xdr:rowOff>142875</xdr:rowOff>
                  </from>
                  <to>
                    <xdr:col>10</xdr:col>
                    <xdr:colOff>1009650</xdr:colOff>
                    <xdr:row>11</xdr:row>
                    <xdr:rowOff>66675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0">
    <tabColor rgb="FF0000FF"/>
    <pageSetUpPr fitToPage="1"/>
  </sheetPr>
  <dimension ref="A1:N64"/>
  <sheetViews>
    <sheetView showGridLines="0" view="pageBreakPreview" zoomScaleNormal="100" zoomScaleSheetLayoutView="100" workbookViewId="0"/>
  </sheetViews>
  <sheetFormatPr defaultRowHeight="15" x14ac:dyDescent="0.25"/>
  <cols>
    <col min="1" max="1" width="5" customWidth="1"/>
    <col min="2" max="2" width="29.7109375" customWidth="1"/>
    <col min="3" max="3" width="7" bestFit="1" customWidth="1"/>
    <col min="4" max="6" width="15.7109375" hidden="1" customWidth="1"/>
    <col min="7" max="11" width="15.7109375" customWidth="1"/>
    <col min="12" max="12" width="0.85546875" customWidth="1"/>
    <col min="13" max="13" width="127.85546875" bestFit="1" customWidth="1"/>
  </cols>
  <sheetData>
    <row r="1" spans="1:13" ht="15.75" thickBot="1" x14ac:dyDescent="0.3">
      <c r="A1" s="10" t="s">
        <v>31</v>
      </c>
      <c r="B1" s="13"/>
      <c r="H1" s="13" t="s">
        <v>33</v>
      </c>
      <c r="K1" s="12" t="str">
        <f>Co_Name</f>
        <v>State Farm Mutual Automobile Insurance Company</v>
      </c>
      <c r="M1" s="279" t="s">
        <v>310</v>
      </c>
    </row>
    <row r="2" spans="1:13" x14ac:dyDescent="0.25">
      <c r="A2" s="10" t="s">
        <v>32</v>
      </c>
      <c r="B2" s="13"/>
      <c r="H2" s="13" t="s">
        <v>34</v>
      </c>
      <c r="K2" s="12" t="str">
        <f>General_Line</f>
        <v>Auto Liability and Physical Damage</v>
      </c>
      <c r="M2" s="280" t="s">
        <v>113</v>
      </c>
    </row>
    <row r="3" spans="1:13" x14ac:dyDescent="0.25">
      <c r="A3" s="10"/>
      <c r="B3" s="185"/>
      <c r="H3" s="83" t="s">
        <v>142</v>
      </c>
      <c r="I3" s="84"/>
      <c r="J3" s="84"/>
      <c r="K3" s="82" t="str">
        <f>CDI_FileNo</f>
        <v/>
      </c>
      <c r="M3" s="281"/>
    </row>
    <row r="4" spans="1:13" ht="18" customHeight="1" x14ac:dyDescent="0.25">
      <c r="M4" s="282"/>
    </row>
    <row r="5" spans="1:13" ht="23.25" x14ac:dyDescent="0.25">
      <c r="A5" s="4" t="s">
        <v>606</v>
      </c>
      <c r="B5" s="3"/>
      <c r="C5" s="3"/>
      <c r="D5" s="3"/>
      <c r="E5" s="3"/>
      <c r="F5" s="3"/>
      <c r="G5" s="3"/>
      <c r="H5" s="3"/>
      <c r="I5" s="3"/>
      <c r="J5" s="3"/>
      <c r="K5" s="3"/>
      <c r="L5" s="3"/>
      <c r="M5" s="282"/>
    </row>
    <row r="6" spans="1:13" ht="15.75" thickBot="1" x14ac:dyDescent="0.3">
      <c r="M6" s="282"/>
    </row>
    <row r="7" spans="1:13" ht="18" customHeight="1" thickBot="1" x14ac:dyDescent="0.3">
      <c r="B7" s="130" t="s">
        <v>1</v>
      </c>
      <c r="G7" s="14" t="str">
        <f>Completed_By</f>
        <v>Laura Campbell</v>
      </c>
      <c r="J7" s="130" t="s">
        <v>706</v>
      </c>
      <c r="K7" s="543"/>
      <c r="M7" s="282"/>
    </row>
    <row r="8" spans="1:13" ht="18" customHeight="1" x14ac:dyDescent="0.25">
      <c r="B8" s="130" t="s">
        <v>76</v>
      </c>
      <c r="G8" s="62">
        <f>Completed_Date</f>
        <v>44816</v>
      </c>
      <c r="M8" s="282"/>
    </row>
    <row r="9" spans="1:13" ht="5.0999999999999996" customHeight="1" x14ac:dyDescent="0.25">
      <c r="B9" s="130"/>
      <c r="M9" s="282"/>
    </row>
    <row r="10" spans="1:13" ht="18" customHeight="1" x14ac:dyDescent="0.25">
      <c r="B10" s="130" t="s">
        <v>77</v>
      </c>
      <c r="G10" s="298" t="str">
        <f>Detailed_LineDesc10</f>
        <v/>
      </c>
      <c r="H10" s="298"/>
      <c r="I10" s="298"/>
      <c r="M10" s="283"/>
    </row>
    <row r="11" spans="1:13" ht="18" customHeight="1" x14ac:dyDescent="0.25">
      <c r="B11" s="130" t="s">
        <v>78</v>
      </c>
      <c r="G11" s="298" t="str">
        <f>Covg10</f>
        <v/>
      </c>
      <c r="H11" s="298"/>
      <c r="I11" s="298"/>
      <c r="M11" s="282"/>
    </row>
    <row r="12" spans="1:13" ht="9.9499999999999993" customHeight="1" x14ac:dyDescent="0.25">
      <c r="B12" s="2"/>
      <c r="G12" s="27"/>
      <c r="I12" s="28"/>
      <c r="J12" s="29"/>
      <c r="M12" s="282"/>
    </row>
    <row r="13" spans="1:13" ht="30" x14ac:dyDescent="0.25">
      <c r="A13" s="33" t="s">
        <v>59</v>
      </c>
      <c r="B13" s="34" t="s">
        <v>64</v>
      </c>
      <c r="C13" s="33" t="s">
        <v>58</v>
      </c>
      <c r="D13" s="195" t="s">
        <v>226</v>
      </c>
      <c r="E13" s="195" t="s">
        <v>227</v>
      </c>
      <c r="F13" s="195" t="s">
        <v>228</v>
      </c>
      <c r="G13" s="195" t="s">
        <v>229</v>
      </c>
      <c r="H13" s="195" t="s">
        <v>230</v>
      </c>
      <c r="I13" s="195" t="s">
        <v>231</v>
      </c>
      <c r="J13" s="33" t="s">
        <v>109</v>
      </c>
      <c r="K13" s="33" t="s">
        <v>110</v>
      </c>
      <c r="M13" s="282"/>
    </row>
    <row r="14" spans="1:13" ht="18" customHeight="1" thickBot="1" x14ac:dyDescent="0.3">
      <c r="A14" s="49" t="s">
        <v>115</v>
      </c>
      <c r="B14" s="48" t="s">
        <v>114</v>
      </c>
      <c r="C14" s="44"/>
      <c r="D14" s="469" t="str">
        <f>LEFT(MstRcntDataYr,4)-5&amp;RIGHT(MstRcntDataYr,1)</f>
        <v>20171</v>
      </c>
      <c r="E14" s="469" t="str">
        <f>LEFT(MstRcntDataYr,4)-4&amp;RIGHT(MstRcntDataYr,1)</f>
        <v>20181</v>
      </c>
      <c r="F14" s="469" t="str">
        <f>LEFT(MstRcntDataYr,4)-3&amp;RIGHT(MstRcntDataYr,1)</f>
        <v>20191</v>
      </c>
      <c r="G14" s="469" t="str">
        <f>LEFT(MstRcntDataYr,4)-2&amp;RIGHT(MstRcntDataYr,1)</f>
        <v>20201</v>
      </c>
      <c r="H14" s="469" t="str">
        <f>LEFT(MstRcntDataYr,4)-1&amp;RIGHT(MstRcntDataYr,1)</f>
        <v>20211</v>
      </c>
      <c r="I14" s="469">
        <f>MstRcntDataYr</f>
        <v>20221</v>
      </c>
      <c r="J14" s="30"/>
      <c r="K14" s="22"/>
      <c r="M14" s="282"/>
    </row>
    <row r="15" spans="1:13" ht="30" customHeight="1" x14ac:dyDescent="0.25">
      <c r="A15" s="41">
        <v>-1</v>
      </c>
      <c r="B15" s="42" t="s">
        <v>54</v>
      </c>
      <c r="C15" s="43"/>
      <c r="D15" s="196"/>
      <c r="E15" s="197"/>
      <c r="F15" s="197"/>
      <c r="G15" s="127"/>
      <c r="H15" s="127"/>
      <c r="I15" s="127"/>
      <c r="J15" s="24"/>
      <c r="K15" s="127"/>
      <c r="M15" s="283" t="str">
        <f>IF(AND(New_Program=TRUE,ISBLANK($K$15)),"← ERROR! Enter projected figure for new program, or deselect 'New Program' on Page '1.General'.","")</f>
        <v/>
      </c>
    </row>
    <row r="16" spans="1:13" ht="30" customHeight="1" x14ac:dyDescent="0.25">
      <c r="A16" s="35">
        <v>-2</v>
      </c>
      <c r="B16" s="36" t="s">
        <v>55</v>
      </c>
      <c r="C16" s="470"/>
      <c r="D16" s="128"/>
      <c r="E16" s="127"/>
      <c r="F16" s="127"/>
      <c r="G16" s="127"/>
      <c r="H16" s="127"/>
      <c r="I16" s="127"/>
      <c r="J16" s="25"/>
      <c r="K16" s="85" t="str">
        <f>IF(ISBLANK($K$15),"",$K$15)</f>
        <v/>
      </c>
      <c r="M16" s="283" t="str">
        <f>IF(AND(New_Program=TRUE,$K$16&lt;&gt;$K$15),"← ERROR! For New Programs, Earned Premium must equal Written Premium. Refer to Section III.C. of Prior Approval Rate Filing Instructions.","")</f>
        <v/>
      </c>
    </row>
    <row r="17" spans="1:13" ht="18" customHeight="1" x14ac:dyDescent="0.25">
      <c r="A17" s="35">
        <v>-3</v>
      </c>
      <c r="B17" s="36" t="s">
        <v>36</v>
      </c>
      <c r="C17" s="470" t="s">
        <v>65</v>
      </c>
      <c r="D17" s="198"/>
      <c r="E17" s="199"/>
      <c r="F17" s="199"/>
      <c r="G17" s="199"/>
      <c r="H17" s="199"/>
      <c r="I17" s="199"/>
      <c r="J17" s="21"/>
      <c r="K17" s="21"/>
      <c r="M17" s="282"/>
    </row>
    <row r="18" spans="1:13" ht="18" customHeight="1" x14ac:dyDescent="0.25">
      <c r="A18" s="35">
        <v>-4</v>
      </c>
      <c r="B18" s="36" t="s">
        <v>130</v>
      </c>
      <c r="C18" s="470" t="s">
        <v>66</v>
      </c>
      <c r="D18" s="198"/>
      <c r="E18" s="199"/>
      <c r="F18" s="199"/>
      <c r="G18" s="199"/>
      <c r="H18" s="199"/>
      <c r="I18" s="199"/>
      <c r="J18" s="200"/>
      <c r="K18" s="21"/>
      <c r="M18" s="283" t="str">
        <f>IF(AND(New_Program=FALSE,ISBLANK($J$18)),"← ERROR! Enter Annual Premium Trend as a percentage in the 'Projected' column.","")</f>
        <v>← ERROR! Enter Annual Premium Trend as a percentage in the 'Projected' column.</v>
      </c>
    </row>
    <row r="19" spans="1:13" ht="30" customHeight="1" x14ac:dyDescent="0.25">
      <c r="A19" s="35">
        <v>-5</v>
      </c>
      <c r="B19" s="36" t="s">
        <v>743</v>
      </c>
      <c r="C19" s="470" t="s">
        <v>67</v>
      </c>
      <c r="D19" s="128"/>
      <c r="E19" s="127"/>
      <c r="F19" s="127"/>
      <c r="G19" s="127"/>
      <c r="H19" s="127"/>
      <c r="I19" s="127"/>
      <c r="J19" s="21"/>
      <c r="K19" s="127"/>
      <c r="M19" s="283" t="str">
        <f>IF(AND(New_Program=TRUE,ISBLANK($K$19)),"← ERROR! Enter projected figure for new program, or deselect 'New Program' on Page '1.General'.","")</f>
        <v/>
      </c>
    </row>
    <row r="20" spans="1:13" ht="18" customHeight="1" x14ac:dyDescent="0.25">
      <c r="A20" s="35">
        <v>-6</v>
      </c>
      <c r="B20" s="36" t="s">
        <v>56</v>
      </c>
      <c r="C20" s="470"/>
      <c r="D20" s="128"/>
      <c r="E20" s="127"/>
      <c r="F20" s="127"/>
      <c r="G20" s="127"/>
      <c r="H20" s="127"/>
      <c r="I20" s="127"/>
      <c r="J20" s="21"/>
      <c r="K20" s="127"/>
      <c r="M20" s="283" t="str">
        <f>IF(AND(New_Program=TRUE,ISBLANK($K$20)),"← ERROR! Enter projected figure for new program, or deselect 'New Program' on Page '1.General'.","")</f>
        <v/>
      </c>
    </row>
    <row r="21" spans="1:13" ht="18" customHeight="1" x14ac:dyDescent="0.25">
      <c r="A21" s="35">
        <v>-7</v>
      </c>
      <c r="B21" s="36" t="s">
        <v>133</v>
      </c>
      <c r="C21" s="470"/>
      <c r="D21" s="128"/>
      <c r="E21" s="127"/>
      <c r="F21" s="127"/>
      <c r="G21" s="127"/>
      <c r="H21" s="127"/>
      <c r="I21" s="127"/>
      <c r="J21" s="21"/>
      <c r="K21" s="127"/>
      <c r="M21" s="283" t="str">
        <f>IF(AND(New_Program=TRUE,ISBLANK($K$21)),"← ERROR! Enter projected figure for new program, or deselect 'New Program' on Page '1.General'.","")</f>
        <v/>
      </c>
    </row>
    <row r="22" spans="1:13" ht="30" customHeight="1" x14ac:dyDescent="0.25">
      <c r="A22" s="35">
        <v>-8</v>
      </c>
      <c r="B22" s="36" t="s">
        <v>57</v>
      </c>
      <c r="C22" s="470"/>
      <c r="D22" s="128"/>
      <c r="E22" s="127"/>
      <c r="F22" s="127"/>
      <c r="G22" s="127"/>
      <c r="H22" s="127"/>
      <c r="I22" s="127"/>
      <c r="J22" s="21"/>
      <c r="K22" s="127"/>
      <c r="M22" s="283" t="str">
        <f>IF(AND(New_Program=TRUE,ISBLANK($K$22)),"← ERROR! Enter projected figure for new program, or deselect 'New Program' on Page '1.General'.","")</f>
        <v/>
      </c>
    </row>
    <row r="23" spans="1:13" ht="18" customHeight="1" x14ac:dyDescent="0.25">
      <c r="A23" s="35">
        <v>-9</v>
      </c>
      <c r="B23" s="36" t="s">
        <v>60</v>
      </c>
      <c r="C23" s="470" t="s">
        <v>68</v>
      </c>
      <c r="D23" s="198"/>
      <c r="E23" s="199"/>
      <c r="F23" s="199"/>
      <c r="G23" s="199"/>
      <c r="H23" s="199"/>
      <c r="I23" s="199"/>
      <c r="J23" s="21"/>
      <c r="K23" s="21"/>
      <c r="M23" s="282"/>
    </row>
    <row r="24" spans="1:13" ht="18" customHeight="1" x14ac:dyDescent="0.25">
      <c r="A24" s="35">
        <v>-10</v>
      </c>
      <c r="B24" s="36" t="s">
        <v>61</v>
      </c>
      <c r="C24" s="470" t="s">
        <v>68</v>
      </c>
      <c r="D24" s="198"/>
      <c r="E24" s="199"/>
      <c r="F24" s="199"/>
      <c r="G24" s="199"/>
      <c r="H24" s="199"/>
      <c r="I24" s="199"/>
      <c r="J24" s="21"/>
      <c r="K24" s="21"/>
      <c r="M24" s="282"/>
    </row>
    <row r="25" spans="1:13" ht="18" customHeight="1" x14ac:dyDescent="0.25">
      <c r="A25" s="35">
        <v>-11</v>
      </c>
      <c r="B25" s="36" t="s">
        <v>132</v>
      </c>
      <c r="C25" s="470" t="s">
        <v>69</v>
      </c>
      <c r="D25" s="198"/>
      <c r="E25" s="199"/>
      <c r="F25" s="199"/>
      <c r="G25" s="199"/>
      <c r="H25" s="199"/>
      <c r="I25" s="199"/>
      <c r="J25" s="200"/>
      <c r="K25" s="21"/>
      <c r="M25" s="283" t="str">
        <f>IF(AND(New_Program=FALSE,ISBLANK($J$25)),"← ERROR! Enter Annual Loss Trend as a percentage in the 'Projected' column","")</f>
        <v>← ERROR! Enter Annual Loss Trend as a percentage in the 'Projected' column</v>
      </c>
    </row>
    <row r="26" spans="1:13" ht="18" customHeight="1" x14ac:dyDescent="0.25">
      <c r="A26" s="35">
        <v>-12</v>
      </c>
      <c r="B26" s="36" t="s">
        <v>131</v>
      </c>
      <c r="C26" s="470" t="s">
        <v>69</v>
      </c>
      <c r="D26" s="198"/>
      <c r="E26" s="199"/>
      <c r="F26" s="199"/>
      <c r="G26" s="199"/>
      <c r="H26" s="199"/>
      <c r="I26" s="199"/>
      <c r="J26" s="200"/>
      <c r="K26" s="21"/>
      <c r="M26" s="283" t="str">
        <f>IF(AND(New_Program=FALSE,ISBLANK($J$26)),"← ERROR! Enter Annual DCCE Trend as a percentage in the 'Projected' column","")</f>
        <v>← ERROR! Enter Annual DCCE Trend as a percentage in the 'Projected' column</v>
      </c>
    </row>
    <row r="27" spans="1:13" ht="18" customHeight="1" x14ac:dyDescent="0.25">
      <c r="A27" s="35">
        <v>-13</v>
      </c>
      <c r="B27" s="36" t="s">
        <v>62</v>
      </c>
      <c r="C27" s="470" t="s">
        <v>70</v>
      </c>
      <c r="D27" s="198"/>
      <c r="E27" s="199"/>
      <c r="F27" s="199"/>
      <c r="G27" s="199"/>
      <c r="H27" s="199"/>
      <c r="I27" s="199"/>
      <c r="J27" s="21"/>
      <c r="K27" s="21"/>
      <c r="M27" s="282"/>
    </row>
    <row r="28" spans="1:13" ht="18" customHeight="1" x14ac:dyDescent="0.25">
      <c r="A28" s="35">
        <v>-14</v>
      </c>
      <c r="B28" s="31" t="s">
        <v>728</v>
      </c>
      <c r="C28" s="470" t="s">
        <v>71</v>
      </c>
      <c r="D28" s="32"/>
      <c r="E28" s="21"/>
      <c r="F28" s="21"/>
      <c r="G28" s="21"/>
      <c r="H28" s="21"/>
      <c r="I28" s="21"/>
      <c r="J28" s="201"/>
      <c r="K28" s="21"/>
      <c r="M28" s="284"/>
    </row>
    <row r="29" spans="1:13" ht="18" customHeight="1" x14ac:dyDescent="0.25">
      <c r="A29" s="35">
        <v>-15</v>
      </c>
      <c r="B29" s="36" t="s">
        <v>37</v>
      </c>
      <c r="C29" s="470" t="s">
        <v>72</v>
      </c>
      <c r="D29" s="128"/>
      <c r="E29" s="127"/>
      <c r="F29" s="127"/>
      <c r="G29" s="127"/>
      <c r="H29" s="127"/>
      <c r="I29" s="127"/>
      <c r="J29" s="21"/>
      <c r="K29" s="127"/>
      <c r="M29" s="283" t="str">
        <f>IF(AND(New_Program=TRUE,ISBLANK($K$29)),"← ERROR! Enter projected figure for new program, or deselect 'New Program' on Page '1.General'.","")</f>
        <v/>
      </c>
    </row>
    <row r="30" spans="1:13" ht="5.0999999999999996" customHeight="1" x14ac:dyDescent="0.25">
      <c r="A30" s="38"/>
      <c r="B30" s="39"/>
      <c r="C30" s="40"/>
      <c r="D30" s="641">
        <f>IF(COUNTBLANK(D15:D27)+COUNTBLANK(D29)=14,1,IF(COUNT(D15:D27)+COUNT(D29)=14,1,"D "))</f>
        <v>1</v>
      </c>
      <c r="E30" s="641">
        <f>IF(COUNTBLANK(E15:E27)+COUNTBLANK(E29)=14,1,IF(COUNT(E15:E27)+COUNT(E29)=14,1,"E "))</f>
        <v>1</v>
      </c>
      <c r="F30" s="641">
        <f>IF(COUNTBLANK(F15:F27)+COUNTBLANK(F29)=14,1,IF(COUNT(F15:F27)+COUNT(F29)=14,1,"F "))</f>
        <v>1</v>
      </c>
      <c r="G30" s="641">
        <f>IF(COUNTBLANK(G15:G27)+COUNTBLANK(G29)=14,1,IF(COUNT(G15:G27)+COUNT(G29)=14,1,"G "))</f>
        <v>1</v>
      </c>
      <c r="H30" s="641">
        <f>IF(COUNTBLANK(H15:H27)+COUNTBLANK(H29)=14,1,IF(COUNT(H15:H27)+COUNT(H29)=14,1,"H "))</f>
        <v>1</v>
      </c>
      <c r="I30" s="641">
        <f>IF(COUNTBLANK(I15:I27)+COUNTBLANK(I29)=14,1,IF(COUNT(I15:I27)+COUNT(I29)=14,1,"I "))</f>
        <v>1</v>
      </c>
      <c r="J30" s="642">
        <f>IF(COUNTBLANK(J15:J29)=15,1,IF(COUNT(J18,J25,J26,J28)=4,1,"J "))</f>
        <v>1</v>
      </c>
      <c r="K30" s="643">
        <f>IF(COUNTBLANK(K15)+COUNTBLANK(K17:K29)=14,1,IF(COUNT(K15,K19,K20,K21,K22,K29)=6,1,"K "))</f>
        <v>1</v>
      </c>
      <c r="M30" s="282"/>
    </row>
    <row r="31" spans="1:13" ht="15" customHeight="1" x14ac:dyDescent="0.25">
      <c r="A31" s="38"/>
      <c r="B31" s="20" t="s">
        <v>716</v>
      </c>
      <c r="C31" s="40"/>
      <c r="D31" s="14"/>
      <c r="E31" s="14"/>
      <c r="F31" s="14"/>
      <c r="G31" s="14"/>
      <c r="H31" s="14"/>
      <c r="I31" s="14"/>
      <c r="J31" s="26"/>
      <c r="K31" s="143"/>
      <c r="M31" s="283"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25">
      <c r="A32" s="38"/>
      <c r="B32" s="39"/>
      <c r="C32" s="40"/>
      <c r="D32" s="14"/>
      <c r="E32" s="14"/>
      <c r="F32" s="14"/>
      <c r="G32" s="14"/>
      <c r="H32" s="14"/>
      <c r="I32" s="14"/>
      <c r="J32" s="26"/>
      <c r="K32" s="143"/>
      <c r="M32" s="282"/>
    </row>
    <row r="33" spans="1:13" ht="18" customHeight="1" x14ac:dyDescent="0.25">
      <c r="A33" s="35">
        <v>-16</v>
      </c>
      <c r="B33" s="36" t="s">
        <v>162</v>
      </c>
      <c r="C33" s="470" t="s">
        <v>608</v>
      </c>
      <c r="D33" s="32"/>
      <c r="E33" s="21"/>
      <c r="F33" s="21"/>
      <c r="G33" s="21"/>
      <c r="H33" s="21"/>
      <c r="I33" s="21"/>
      <c r="J33" s="81">
        <f>IF(New_Program=FALSE,ExpRatio_Excluded,"")</f>
        <v>1.3597266477453115E-2</v>
      </c>
      <c r="K33" s="81" t="str">
        <f>IF(New_Program=TRUE,ExpRatio_Excluded,"")</f>
        <v/>
      </c>
      <c r="M33" s="282"/>
    </row>
    <row r="34" spans="1:13" ht="30" customHeight="1" x14ac:dyDescent="0.25">
      <c r="A34" s="35">
        <v>-17</v>
      </c>
      <c r="B34" s="36" t="s">
        <v>311</v>
      </c>
      <c r="C34" s="470" t="s">
        <v>609</v>
      </c>
      <c r="D34" s="32"/>
      <c r="E34" s="21"/>
      <c r="F34" s="21"/>
      <c r="G34" s="21"/>
      <c r="H34" s="21"/>
      <c r="I34" s="21"/>
      <c r="J34" s="81">
        <f>IF(New_Program=FALSE,FIT_Inv,"")</f>
        <v>0.18752087399665437</v>
      </c>
      <c r="K34" s="81" t="str">
        <f>IF(New_Program=TRUE,FIT_Inv,"")</f>
        <v/>
      </c>
      <c r="M34" s="282"/>
    </row>
    <row r="35" spans="1:13" ht="18" customHeight="1" x14ac:dyDescent="0.25">
      <c r="A35" s="35">
        <v>-18</v>
      </c>
      <c r="B35" s="31" t="s">
        <v>312</v>
      </c>
      <c r="C35" s="470" t="s">
        <v>609</v>
      </c>
      <c r="D35" s="32"/>
      <c r="E35" s="21"/>
      <c r="F35" s="21"/>
      <c r="G35" s="21"/>
      <c r="H35" s="21"/>
      <c r="I35" s="21"/>
      <c r="J35" s="81">
        <f>IF(New_Program=FALSE,Yield,"")</f>
        <v>8.8050065696007235E-2</v>
      </c>
      <c r="K35" s="81" t="str">
        <f>IF(New_Program=TRUE,Yield,"")</f>
        <v/>
      </c>
      <c r="M35" s="282"/>
    </row>
    <row r="36" spans="1:13" ht="5.0999999999999996" hidden="1" customHeight="1" x14ac:dyDescent="0.25">
      <c r="A36" s="38"/>
      <c r="B36" s="39"/>
      <c r="C36" s="40"/>
      <c r="D36" s="14"/>
      <c r="E36" s="14"/>
      <c r="F36" s="14"/>
      <c r="G36" s="14"/>
      <c r="H36" s="14"/>
      <c r="I36" s="14"/>
      <c r="J36" s="26"/>
      <c r="K36" s="143"/>
      <c r="M36" s="282"/>
    </row>
    <row r="37" spans="1:13" ht="15" hidden="1" customHeight="1" x14ac:dyDescent="0.25">
      <c r="A37" s="38"/>
      <c r="B37" s="20" t="s">
        <v>337</v>
      </c>
      <c r="C37" s="40"/>
      <c r="D37" s="45"/>
      <c r="E37" s="45"/>
      <c r="F37" s="45"/>
      <c r="G37" s="45"/>
      <c r="H37" s="45"/>
      <c r="I37" s="45"/>
      <c r="J37" s="45"/>
      <c r="K37" s="45"/>
      <c r="M37" s="282"/>
    </row>
    <row r="38" spans="1:13" ht="5.0999999999999996" hidden="1" customHeight="1" x14ac:dyDescent="0.25">
      <c r="A38" s="38"/>
      <c r="B38" s="39"/>
      <c r="C38" s="40"/>
      <c r="D38" s="45"/>
      <c r="E38" s="45"/>
      <c r="F38" s="45"/>
      <c r="G38" s="45"/>
      <c r="H38" s="45"/>
      <c r="I38" s="45"/>
      <c r="K38" s="46"/>
      <c r="M38" s="282"/>
    </row>
    <row r="39" spans="1:13" ht="18" hidden="1" customHeight="1" x14ac:dyDescent="0.25">
      <c r="A39" s="35">
        <v>-19</v>
      </c>
      <c r="B39" s="36" t="s">
        <v>112</v>
      </c>
      <c r="C39" s="470" t="s">
        <v>111</v>
      </c>
      <c r="D39" s="21"/>
      <c r="E39" s="21"/>
      <c r="F39" s="21"/>
      <c r="G39" s="21"/>
      <c r="H39" s="21"/>
      <c r="I39" s="21"/>
      <c r="J39" s="200"/>
      <c r="K39" s="21"/>
      <c r="M39" s="283" t="str">
        <f>IF(AND(ISBLANK($J$39)=FALSE,'1.General'!$I$47=2),"← ERROR! No efficiency standard variance will be applied unless 'Y' is selected in pull-down menu on Page '1.General'.","")</f>
        <v/>
      </c>
    </row>
    <row r="40" spans="1:13" ht="30" hidden="1" customHeight="1" x14ac:dyDescent="0.25">
      <c r="A40" s="35">
        <v>-20</v>
      </c>
      <c r="B40" s="36" t="s">
        <v>156</v>
      </c>
      <c r="C40" s="470" t="s">
        <v>111</v>
      </c>
      <c r="D40" s="21"/>
      <c r="E40" s="21"/>
      <c r="F40" s="21"/>
      <c r="G40" s="21"/>
      <c r="H40" s="21"/>
      <c r="I40" s="21"/>
      <c r="J40" s="200"/>
      <c r="K40" s="21"/>
      <c r="M40" s="284" t="str">
        <f>IF('1.General'!$I$47=2,"",IF(AND(ExpRatio_Actual10&lt;=EffStd_Wtd10,EffStd_VarReq10&gt;0),"← ERROR: Based on insurer's stated most recent year expense ratio, no relief from efficiency standard variances is allowed.  Insurer's stated most recent year expense ratio is already less than or equal to the efficiency standard.",IF(AND(ROUND(EffStd_Wtd10+EffStd_VarReq10,3)&gt;ExpRatio_Actual10,EffStd_VarReq10&gt;0),"← ERROR! Assuming the calculation of the insurer's most recent year expense ratio is justified, relief from the efficiency standard will be limited to the difference between that ratio and the efficiency standard, or, "&amp;ROUND(ExpRatio_Actual10-EffStd_Wtd10,3)*100&amp;"%, subject to CDI approval.","")))</f>
        <v/>
      </c>
    </row>
    <row r="41" spans="1:13" ht="4.5" customHeight="1" x14ac:dyDescent="0.25">
      <c r="A41" s="38"/>
      <c r="B41" s="39"/>
      <c r="C41" s="40"/>
      <c r="D41" s="45"/>
      <c r="E41" s="45"/>
      <c r="F41" s="45"/>
      <c r="G41" s="45"/>
      <c r="H41" s="45"/>
      <c r="I41" s="45"/>
      <c r="J41" s="45"/>
      <c r="K41" s="45"/>
      <c r="M41" s="284"/>
    </row>
    <row r="42" spans="1:13" ht="15" hidden="1" customHeight="1" x14ac:dyDescent="0.25">
      <c r="A42" s="19"/>
      <c r="B42" s="20" t="s">
        <v>711</v>
      </c>
      <c r="C42" s="16"/>
      <c r="D42" s="14"/>
      <c r="E42" s="14"/>
      <c r="F42" s="14"/>
      <c r="G42" s="14"/>
      <c r="H42" s="14"/>
      <c r="I42" s="14"/>
      <c r="J42" s="14"/>
      <c r="K42" s="14"/>
      <c r="M42" s="282"/>
    </row>
    <row r="43" spans="1:13" ht="4.5" hidden="1" customHeight="1" x14ac:dyDescent="0.25">
      <c r="A43" s="19"/>
      <c r="B43" s="20"/>
      <c r="C43" s="16"/>
      <c r="D43" s="14"/>
      <c r="E43" s="14"/>
      <c r="F43" s="14"/>
      <c r="G43" s="14"/>
      <c r="H43" s="14"/>
      <c r="I43" s="14"/>
      <c r="J43" s="14"/>
      <c r="K43" s="14"/>
      <c r="M43" s="282"/>
    </row>
    <row r="44" spans="1:13" ht="18" hidden="1" customHeight="1" x14ac:dyDescent="0.25">
      <c r="A44" s="278">
        <v>-19</v>
      </c>
      <c r="B44" s="36" t="s">
        <v>321</v>
      </c>
      <c r="C44" s="31"/>
      <c r="D44" s="21"/>
      <c r="E44" s="21"/>
      <c r="F44" s="21"/>
      <c r="G44" s="21"/>
      <c r="H44" s="21"/>
      <c r="I44" s="21"/>
      <c r="J44" s="201"/>
      <c r="K44" s="21"/>
      <c r="M44" s="283" t="str">
        <f>IF(AND(ISBLANK($J$44),OR(General_Line="Medical Malpractice",General_Line="Earthquake")),"← ERROR! Enter direct commission rate.","")</f>
        <v/>
      </c>
    </row>
    <row r="45" spans="1:13" ht="18" hidden="1" customHeight="1" x14ac:dyDescent="0.25">
      <c r="A45" s="278">
        <v>-20</v>
      </c>
      <c r="B45" s="36" t="s">
        <v>63</v>
      </c>
      <c r="C45" s="470" t="s">
        <v>73</v>
      </c>
      <c r="D45" s="127"/>
      <c r="E45" s="127"/>
      <c r="F45" s="127"/>
      <c r="G45" s="127"/>
      <c r="H45" s="127"/>
      <c r="I45" s="127"/>
      <c r="J45" s="23"/>
      <c r="K45" s="127"/>
      <c r="M45" s="283"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25">
      <c r="A46" s="278">
        <v>-21</v>
      </c>
      <c r="B46" s="36" t="s">
        <v>322</v>
      </c>
      <c r="C46" s="470" t="s">
        <v>73</v>
      </c>
      <c r="D46" s="127"/>
      <c r="E46" s="127"/>
      <c r="F46" s="127"/>
      <c r="G46" s="127"/>
      <c r="H46" s="127"/>
      <c r="I46" s="127"/>
      <c r="J46" s="23"/>
      <c r="K46" s="127"/>
      <c r="M46" s="283"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25">
      <c r="A47" s="14" t="s">
        <v>707</v>
      </c>
      <c r="M47" s="283"/>
    </row>
    <row r="48" spans="1:13" ht="17.25" customHeight="1" thickBot="1" x14ac:dyDescent="0.3">
      <c r="A48" s="14" t="s">
        <v>323</v>
      </c>
      <c r="M48" s="283"/>
    </row>
    <row r="49" spans="1:14" ht="17.25" hidden="1" customHeight="1" x14ac:dyDescent="0.25">
      <c r="A49" s="14" t="s">
        <v>338</v>
      </c>
      <c r="J49" s="187"/>
      <c r="M49" s="202"/>
    </row>
    <row r="50" spans="1:14" ht="17.25" hidden="1" customHeight="1" thickBot="1" x14ac:dyDescent="0.3">
      <c r="A50" s="14" t="s">
        <v>157</v>
      </c>
      <c r="J50" s="91"/>
      <c r="M50" s="88"/>
    </row>
    <row r="51" spans="1:14" ht="20.100000000000001" customHeight="1" x14ac:dyDescent="0.25">
      <c r="A51" s="14"/>
      <c r="H51" s="785" t="s">
        <v>675</v>
      </c>
      <c r="I51" s="785"/>
      <c r="J51" s="785"/>
      <c r="K51" s="785"/>
      <c r="M51" s="142"/>
    </row>
    <row r="52" spans="1:14" ht="17.25" customHeight="1" x14ac:dyDescent="0.25">
      <c r="A52" s="14"/>
      <c r="J52" s="92"/>
      <c r="M52" s="90"/>
    </row>
    <row r="53" spans="1:14" x14ac:dyDescent="0.25">
      <c r="A53" s="14"/>
      <c r="B53" s="14"/>
      <c r="C53" s="14"/>
      <c r="D53" s="14"/>
      <c r="E53" s="14"/>
      <c r="F53" s="14"/>
      <c r="G53" s="14"/>
      <c r="H53" s="14"/>
      <c r="I53" s="14"/>
      <c r="J53" s="14"/>
      <c r="K53" s="14"/>
      <c r="L53" s="14"/>
      <c r="M53" s="14"/>
      <c r="N53" s="14"/>
    </row>
    <row r="54" spans="1:14" x14ac:dyDescent="0.25">
      <c r="A54" s="14"/>
      <c r="B54" s="14"/>
      <c r="C54" s="14"/>
      <c r="D54" s="14"/>
      <c r="E54" s="14"/>
      <c r="F54" s="14"/>
      <c r="G54" s="14"/>
      <c r="H54" s="14"/>
      <c r="I54" s="14"/>
      <c r="J54" s="14"/>
      <c r="K54" s="14"/>
      <c r="L54" s="14"/>
      <c r="M54" s="14"/>
      <c r="N54" s="14"/>
    </row>
    <row r="55" spans="1:14" x14ac:dyDescent="0.25">
      <c r="A55" s="14"/>
      <c r="B55" s="14"/>
      <c r="C55" s="14"/>
      <c r="D55" s="14"/>
      <c r="E55" s="14"/>
      <c r="F55" s="14"/>
      <c r="G55" s="14"/>
      <c r="H55" s="14"/>
      <c r="I55" s="14"/>
      <c r="J55" s="14"/>
      <c r="K55" s="14"/>
      <c r="L55" s="14"/>
      <c r="M55" s="14"/>
      <c r="N55" s="14"/>
    </row>
    <row r="56" spans="1:14" x14ac:dyDescent="0.25">
      <c r="A56" s="14"/>
      <c r="B56" s="14"/>
      <c r="C56" s="14"/>
      <c r="D56" s="14"/>
      <c r="E56" s="14"/>
      <c r="F56" s="14"/>
      <c r="G56" s="14"/>
      <c r="H56" s="14"/>
      <c r="I56" s="14"/>
      <c r="J56" s="14"/>
      <c r="K56" s="14"/>
      <c r="L56" s="14"/>
      <c r="M56" s="14"/>
      <c r="N56" s="14"/>
    </row>
    <row r="57" spans="1:14" x14ac:dyDescent="0.25">
      <c r="A57" s="14"/>
      <c r="B57" s="14"/>
      <c r="C57" s="14"/>
      <c r="D57" s="14"/>
      <c r="E57" s="14"/>
      <c r="F57" s="14"/>
      <c r="G57" s="14"/>
      <c r="H57" s="14"/>
      <c r="I57" s="14"/>
      <c r="J57" s="14"/>
      <c r="K57" s="14"/>
      <c r="L57" s="14"/>
      <c r="M57" s="14"/>
      <c r="N57" s="14"/>
    </row>
    <row r="58" spans="1:14" x14ac:dyDescent="0.25">
      <c r="A58" s="14"/>
      <c r="B58" s="14"/>
      <c r="C58" s="14"/>
      <c r="D58" s="14"/>
      <c r="E58" s="14"/>
      <c r="F58" s="14"/>
      <c r="G58" s="14"/>
      <c r="H58" s="14"/>
      <c r="I58" s="14"/>
      <c r="J58" s="14"/>
      <c r="K58" s="14"/>
      <c r="L58" s="14"/>
      <c r="M58" s="14"/>
      <c r="N58" s="14"/>
    </row>
    <row r="59" spans="1:14" x14ac:dyDescent="0.25">
      <c r="A59" s="14"/>
      <c r="B59" s="14"/>
      <c r="C59" s="14"/>
      <c r="D59" s="14"/>
      <c r="E59" s="14"/>
      <c r="F59" s="14"/>
      <c r="G59" s="14"/>
      <c r="H59" s="14"/>
      <c r="I59" s="14"/>
      <c r="J59" s="14"/>
      <c r="K59" s="14"/>
      <c r="L59" s="14"/>
      <c r="M59" s="14"/>
      <c r="N59" s="14"/>
    </row>
    <row r="60" spans="1:14" x14ac:dyDescent="0.25">
      <c r="A60" s="14"/>
      <c r="B60" s="14"/>
      <c r="C60" s="14"/>
      <c r="D60" s="14"/>
      <c r="E60" s="14"/>
      <c r="F60" s="14"/>
      <c r="G60" s="14"/>
      <c r="H60" s="14"/>
      <c r="I60" s="14"/>
      <c r="J60" s="14"/>
      <c r="K60" s="14"/>
      <c r="L60" s="14"/>
      <c r="M60" s="14"/>
      <c r="N60" s="14"/>
    </row>
    <row r="61" spans="1:14" x14ac:dyDescent="0.25">
      <c r="A61" s="14"/>
      <c r="B61" s="14"/>
      <c r="C61" s="14"/>
      <c r="D61" s="14"/>
      <c r="E61" s="14"/>
      <c r="F61" s="14"/>
      <c r="G61" s="14"/>
      <c r="H61" s="14"/>
      <c r="I61" s="14"/>
      <c r="J61" s="14"/>
      <c r="K61" s="14"/>
      <c r="L61" s="14"/>
      <c r="M61" s="14"/>
      <c r="N61" s="14"/>
    </row>
    <row r="62" spans="1:14" x14ac:dyDescent="0.25">
      <c r="A62" s="14"/>
      <c r="B62" s="14"/>
      <c r="C62" s="14"/>
      <c r="D62" s="14"/>
      <c r="E62" s="14"/>
      <c r="F62" s="14"/>
      <c r="G62" s="14"/>
      <c r="H62" s="14"/>
      <c r="I62" s="14"/>
      <c r="J62" s="14"/>
      <c r="K62" s="14"/>
      <c r="L62" s="14"/>
      <c r="M62" s="14"/>
      <c r="N62" s="14"/>
    </row>
    <row r="63" spans="1:14" x14ac:dyDescent="0.25">
      <c r="A63" s="14"/>
      <c r="B63" s="14"/>
      <c r="C63" s="14"/>
      <c r="D63" s="14"/>
      <c r="E63" s="14"/>
      <c r="F63" s="14"/>
      <c r="G63" s="14"/>
      <c r="H63" s="14"/>
      <c r="I63" s="14"/>
      <c r="J63" s="14"/>
      <c r="K63" s="14"/>
      <c r="L63" s="14"/>
      <c r="M63" s="14"/>
      <c r="N63" s="14"/>
    </row>
    <row r="64" spans="1:14" x14ac:dyDescent="0.25">
      <c r="A64" s="14"/>
      <c r="B64" s="14"/>
      <c r="C64" s="14"/>
      <c r="D64" s="14"/>
      <c r="E64" s="14"/>
      <c r="F64" s="14"/>
      <c r="G64" s="14"/>
      <c r="H64" s="14"/>
      <c r="I64" s="14"/>
      <c r="J64" s="14"/>
      <c r="K64" s="14"/>
      <c r="L64" s="14"/>
      <c r="M64" s="14"/>
      <c r="N64" s="14"/>
    </row>
  </sheetData>
  <sheetProtection algorithmName="SHA-512" hashValue="QbsmEy2MWYMDmirWv8p4etbffp/Pt1CMG+pOs/7zZTrHNA9V0r9pwU7x0yqZhQeedmFVRwqxJkmghaZZIo2zHQ==" saltValue="OcVnQzf1q98Zbn5RrtSLoQ==" spinCount="100000" sheet="1" objects="1" scenarios="1" formatColumns="0" formatRows="0" sort="0"/>
  <mergeCells count="1">
    <mergeCell ref="H51:K51"/>
  </mergeCells>
  <hyperlinks>
    <hyperlink ref="H51" location="CHANGE_AT_MAX" display="BOOM!" xr:uid="{00000000-0004-0000-1300-000000000000}"/>
    <hyperlink ref="H51:K51" location="'7.10Rate Change Calculation'!CHANGE_AT_MAX" display="Go to 7.10Rate Change Calculation" xr:uid="{00000000-0004-0000-1300-000001000000}"/>
  </hyperlinks>
  <printOptions horizontalCentered="1"/>
  <pageMargins left="0.45" right="0.45" top="0.5" bottom="0.75" header="0.3" footer="0.3"/>
  <pageSetup scale="80" orientation="portrait" r:id="rId1"/>
  <headerFooter>
    <oddFooter>&amp;CPrior Approval Rate Template&amp;RPage 6.10&amp;L01/11/2022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9329" r:id="rId4" name="btnYears">
              <controlPr defaultSize="0" print="0" autoFill="0" autoPict="0" macro="[0]!ExpandContractColsData">
                <anchor moveWithCells="1">
                  <from>
                    <xdr:col>9</xdr:col>
                    <xdr:colOff>200025</xdr:colOff>
                    <xdr:row>9</xdr:row>
                    <xdr:rowOff>152400</xdr:rowOff>
                  </from>
                  <to>
                    <xdr:col>10</xdr:col>
                    <xdr:colOff>1028700</xdr:colOff>
                    <xdr:row>11</xdr:row>
                    <xdr:rowOff>76200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7">
    <tabColor theme="0" tint="-0.14999847407452621"/>
    <pageSetUpPr fitToPage="1"/>
  </sheetPr>
  <dimension ref="A1:J81"/>
  <sheetViews>
    <sheetView view="pageBreakPreview" topLeftCell="A13" zoomScaleNormal="100" zoomScaleSheetLayoutView="100" workbookViewId="0">
      <selection activeCell="H43" sqref="H43"/>
    </sheetView>
  </sheetViews>
  <sheetFormatPr defaultRowHeight="15" x14ac:dyDescent="0.25"/>
  <cols>
    <col min="1" max="1" width="28.28515625" style="14" customWidth="1"/>
    <col min="2" max="4" width="15.7109375" style="14" hidden="1" customWidth="1"/>
    <col min="5" max="8" width="17.42578125" style="14" customWidth="1"/>
    <col min="9" max="9" width="22.5703125" style="14" bestFit="1" customWidth="1"/>
    <col min="10" max="16384" width="9.140625" style="14"/>
  </cols>
  <sheetData>
    <row r="1" spans="1:8" x14ac:dyDescent="0.25">
      <c r="A1" s="10" t="s">
        <v>31</v>
      </c>
      <c r="E1" s="124" t="s">
        <v>33</v>
      </c>
      <c r="H1" s="125" t="str">
        <f>Co_Name</f>
        <v>State Farm Mutual Automobile Insurance Company</v>
      </c>
    </row>
    <row r="2" spans="1:8" x14ac:dyDescent="0.25">
      <c r="A2" s="8" t="s">
        <v>32</v>
      </c>
      <c r="E2" s="124" t="s">
        <v>34</v>
      </c>
      <c r="H2" s="125" t="str">
        <f>General_Line</f>
        <v>Auto Liability and Physical Damage</v>
      </c>
    </row>
    <row r="3" spans="1:8" x14ac:dyDescent="0.25">
      <c r="E3" s="181" t="s">
        <v>142</v>
      </c>
      <c r="F3" s="182"/>
      <c r="G3" s="182"/>
      <c r="H3" s="188" t="str">
        <f>CDI_FileNo</f>
        <v/>
      </c>
    </row>
    <row r="4" spans="1:8" ht="18" customHeight="1" x14ac:dyDescent="0.25">
      <c r="A4" s="607" t="str">
        <f>IF('6.1Ratemaking Data'!$K$7="","VARIANCE - NONE","VARIANCE "&amp;'6.1Ratemaking Data'!$K$7)</f>
        <v>VARIANCE - NONE</v>
      </c>
    </row>
    <row r="5" spans="1:8" ht="23.25" x14ac:dyDescent="0.25">
      <c r="A5" s="4" t="s">
        <v>665</v>
      </c>
      <c r="B5" s="123"/>
      <c r="C5" s="123"/>
      <c r="D5" s="123"/>
      <c r="E5" s="123"/>
      <c r="F5" s="123"/>
      <c r="G5" s="123"/>
      <c r="H5" s="123"/>
    </row>
    <row r="6" spans="1:8" ht="9.9499999999999993" customHeight="1" x14ac:dyDescent="0.25"/>
    <row r="7" spans="1:8" ht="15" customHeight="1" x14ac:dyDescent="0.25">
      <c r="A7" s="14" t="s">
        <v>1</v>
      </c>
      <c r="H7" s="28" t="str">
        <f>Completed_By</f>
        <v>Laura Campbell</v>
      </c>
    </row>
    <row r="8" spans="1:8" ht="15" customHeight="1" x14ac:dyDescent="0.25">
      <c r="A8" s="14" t="s">
        <v>76</v>
      </c>
      <c r="H8" s="189">
        <f>Completed_Date</f>
        <v>44816</v>
      </c>
    </row>
    <row r="9" spans="1:8" ht="15" customHeight="1" x14ac:dyDescent="0.25">
      <c r="A9" s="14" t="s">
        <v>169</v>
      </c>
      <c r="H9" s="189">
        <f>EffDate_Prior01</f>
        <v>44088</v>
      </c>
    </row>
    <row r="10" spans="1:8" ht="15" customHeight="1" x14ac:dyDescent="0.25">
      <c r="A10" s="14" t="s">
        <v>170</v>
      </c>
      <c r="B10" s="62"/>
      <c r="H10" s="189">
        <f>EffDate_Proposed</f>
        <v>45061</v>
      </c>
    </row>
    <row r="11" spans="1:8" ht="15" customHeight="1" x14ac:dyDescent="0.25">
      <c r="A11" s="14" t="s">
        <v>77</v>
      </c>
      <c r="B11" s="62"/>
      <c r="H11" s="28" t="str">
        <f>Detailed_LineDesc01</f>
        <v>Private Passenger Auto Liability</v>
      </c>
    </row>
    <row r="12" spans="1:8" ht="15" customHeight="1" x14ac:dyDescent="0.25">
      <c r="A12" s="14" t="s">
        <v>78</v>
      </c>
      <c r="B12" s="62"/>
      <c r="H12" s="28" t="str">
        <f>Covg01</f>
        <v>BIPD</v>
      </c>
    </row>
    <row r="13" spans="1:8" ht="15" customHeight="1" x14ac:dyDescent="0.25">
      <c r="H13" s="608"/>
    </row>
    <row r="14" spans="1:8" ht="9.9499999999999993" customHeight="1" x14ac:dyDescent="0.25"/>
    <row r="15" spans="1:8" ht="15.75" thickBot="1" x14ac:dyDescent="0.3">
      <c r="A15" s="130" t="s">
        <v>171</v>
      </c>
      <c r="B15" s="285" t="str">
        <f>'6.1Ratemaking Data'!D$14</f>
        <v>20171</v>
      </c>
      <c r="C15" s="285" t="str">
        <f>'6.1Ratemaking Data'!E$14</f>
        <v>20181</v>
      </c>
      <c r="D15" s="285" t="str">
        <f>'6.1Ratemaking Data'!F$14</f>
        <v>20191</v>
      </c>
      <c r="E15" s="285" t="str">
        <f>'6.1Ratemaking Data'!G$14</f>
        <v>20201</v>
      </c>
      <c r="F15" s="285" t="str">
        <f>'6.1Ratemaking Data'!H$14</f>
        <v>20211</v>
      </c>
      <c r="G15" s="285">
        <f>'6.1Ratemaking Data'!I$14</f>
        <v>20221</v>
      </c>
      <c r="H15" s="105" t="s">
        <v>306</v>
      </c>
    </row>
    <row r="16" spans="1:8" x14ac:dyDescent="0.25">
      <c r="A16" s="131" t="s">
        <v>173</v>
      </c>
      <c r="B16" s="132" t="str">
        <f>IF(ISBLANK('6.1Ratemaking Data'!D15),"",'6.1Ratemaking Data'!D15)</f>
        <v/>
      </c>
      <c r="C16" s="132" t="str">
        <f>IF(ISBLANK('6.1Ratemaking Data'!E15),"",'6.1Ratemaking Data'!E15)</f>
        <v/>
      </c>
      <c r="D16" s="132" t="str">
        <f>IF(ISBLANK('6.1Ratemaking Data'!F15),"",'6.1Ratemaking Data'!F15)</f>
        <v/>
      </c>
      <c r="E16" s="132" t="str">
        <f>IF(ISBLANK('6.1Ratemaking Data'!G15),"",'6.1Ratemaking Data'!G15)</f>
        <v/>
      </c>
      <c r="F16" s="132" t="str">
        <f>IF(ISBLANK('6.1Ratemaking Data'!H15),"",'6.1Ratemaking Data'!H15)</f>
        <v/>
      </c>
      <c r="G16" s="132">
        <f>IF(ISBLANK('6.1Ratemaking Data'!I15),"",'6.1Ratemaking Data'!I15)</f>
        <v>1723371698.98</v>
      </c>
      <c r="H16" s="133">
        <f>IF(New_Program=TRUE,'6.1Ratemaking Data'!$K$15,SUM($B16:$G16))</f>
        <v>1723371698.98</v>
      </c>
    </row>
    <row r="17" spans="1:10" x14ac:dyDescent="0.25">
      <c r="A17" s="134" t="s">
        <v>172</v>
      </c>
      <c r="B17" s="135" t="str">
        <f>IF(ISBLANK('6.1Ratemaking Data'!D16),"",'6.1Ratemaking Data'!D16)</f>
        <v/>
      </c>
      <c r="C17" s="135" t="str">
        <f>IF(ISBLANK('6.1Ratemaking Data'!E16),"",'6.1Ratemaking Data'!E16)</f>
        <v/>
      </c>
      <c r="D17" s="135" t="str">
        <f>IF(ISBLANK('6.1Ratemaking Data'!F16),"",'6.1Ratemaking Data'!F16)</f>
        <v/>
      </c>
      <c r="E17" s="135" t="str">
        <f>IF(ISBLANK('6.1Ratemaking Data'!G16),"",'6.1Ratemaking Data'!G16)</f>
        <v/>
      </c>
      <c r="F17" s="135" t="str">
        <f>IF(ISBLANK('6.1Ratemaking Data'!H16),"",'6.1Ratemaking Data'!H16)</f>
        <v/>
      </c>
      <c r="G17" s="135">
        <f>IF(ISBLANK('6.1Ratemaking Data'!I16),"",'6.1Ratemaking Data'!I16)</f>
        <v>1715344604.9300001</v>
      </c>
      <c r="H17" s="136">
        <f>IF(New_Program=TRUE,'6.1Ratemaking Data'!$K$16,SUM($B17:$G17))</f>
        <v>1715344604.9300001</v>
      </c>
    </row>
    <row r="18" spans="1:10" x14ac:dyDescent="0.25">
      <c r="A18" s="134" t="s">
        <v>174</v>
      </c>
      <c r="B18" s="137" t="str">
        <f>IF(ISBLANK('6.1Ratemaking Data'!D17),"",'6.1Ratemaking Data'!D17)</f>
        <v/>
      </c>
      <c r="C18" s="137" t="str">
        <f>IF(ISBLANK('6.1Ratemaking Data'!E17),"",'6.1Ratemaking Data'!E17)</f>
        <v/>
      </c>
      <c r="D18" s="137" t="str">
        <f>IF(ISBLANK('6.1Ratemaking Data'!F17),"",'6.1Ratemaking Data'!F17)</f>
        <v/>
      </c>
      <c r="E18" s="137" t="str">
        <f>IF(ISBLANK('6.1Ratemaking Data'!G17),"",'6.1Ratemaking Data'!G17)</f>
        <v/>
      </c>
      <c r="F18" s="137" t="str">
        <f>IF(ISBLANK('6.1Ratemaking Data'!H17),"",'6.1Ratemaking Data'!H17)</f>
        <v/>
      </c>
      <c r="G18" s="137">
        <f>IF(ISBLANK('6.1Ratemaking Data'!I17),"",'6.1Ratemaking Data'!I17)</f>
        <v>1</v>
      </c>
      <c r="H18" s="138"/>
    </row>
    <row r="19" spans="1:10" x14ac:dyDescent="0.25">
      <c r="A19" s="134" t="s">
        <v>175</v>
      </c>
      <c r="B19" s="137" t="str">
        <f>IF(ISBLANK('6.1Ratemaking Data'!D18),"",'6.1Ratemaking Data'!D18)</f>
        <v/>
      </c>
      <c r="C19" s="137" t="str">
        <f>IF(ISBLANK('6.1Ratemaking Data'!E18),"",'6.1Ratemaking Data'!E18)</f>
        <v/>
      </c>
      <c r="D19" s="137" t="str">
        <f>IF(ISBLANK('6.1Ratemaking Data'!F18),"",'6.1Ratemaking Data'!F18)</f>
        <v/>
      </c>
      <c r="E19" s="137" t="str">
        <f>IF(ISBLANK('6.1Ratemaking Data'!G18),"",'6.1Ratemaking Data'!G18)</f>
        <v/>
      </c>
      <c r="F19" s="137" t="str">
        <f>IF(ISBLANK('6.1Ratemaking Data'!H18),"",'6.1Ratemaking Data'!H18)</f>
        <v/>
      </c>
      <c r="G19" s="137">
        <f>IF(ISBLANK('6.1Ratemaking Data'!I18),"",'6.1Ratemaking Data'!I18)</f>
        <v>0.95406481068522975</v>
      </c>
      <c r="H19" s="144">
        <f>IF(New_Program=TRUE,0,'6.1Ratemaking Data'!$J$18)</f>
        <v>-2.0682531542587802E-2</v>
      </c>
    </row>
    <row r="20" spans="1:10" x14ac:dyDescent="0.25">
      <c r="A20" s="134" t="s">
        <v>176</v>
      </c>
      <c r="B20" s="135" t="str">
        <f>IF(ISBLANK('6.1Ratemaking Data'!D19),"",'6.1Ratemaking Data'!D19)</f>
        <v/>
      </c>
      <c r="C20" s="135" t="str">
        <f>IF(ISBLANK('6.1Ratemaking Data'!E19),"",'6.1Ratemaking Data'!E19)</f>
        <v/>
      </c>
      <c r="D20" s="135" t="str">
        <f>IF(ISBLANK('6.1Ratemaking Data'!F19),"",'6.1Ratemaking Data'!F19)</f>
        <v/>
      </c>
      <c r="E20" s="135" t="str">
        <f>IF(ISBLANK('6.1Ratemaking Data'!G19),"",'6.1Ratemaking Data'!G19)</f>
        <v/>
      </c>
      <c r="F20" s="135" t="str">
        <f>IF(ISBLANK('6.1Ratemaking Data'!H19),"",'6.1Ratemaking Data'!H19)</f>
        <v/>
      </c>
      <c r="G20" s="135">
        <f>IF(ISBLANK('6.1Ratemaking Data'!I19),"",'6.1Ratemaking Data'!I19)</f>
        <v>0</v>
      </c>
      <c r="H20" s="136">
        <f>IF(New_Program=TRUE,'6.1Ratemaking Data'!$K$19,SUM($B20:$G20))</f>
        <v>0</v>
      </c>
    </row>
    <row r="21" spans="1:10" x14ac:dyDescent="0.25">
      <c r="A21" s="134" t="s">
        <v>177</v>
      </c>
      <c r="B21" s="135" t="str">
        <f>IF(ISBLANK('6.1Ratemaking Data'!D20),"",'6.1Ratemaking Data'!D20)</f>
        <v/>
      </c>
      <c r="C21" s="135" t="str">
        <f>IF(ISBLANK('6.1Ratemaking Data'!E20),"",'6.1Ratemaking Data'!E20)</f>
        <v/>
      </c>
      <c r="D21" s="135" t="str">
        <f>IF(ISBLANK('6.1Ratemaking Data'!F20),"",'6.1Ratemaking Data'!F20)</f>
        <v/>
      </c>
      <c r="E21" s="135" t="str">
        <f>IF(ISBLANK('6.1Ratemaking Data'!G20),"",'6.1Ratemaking Data'!G20)</f>
        <v/>
      </c>
      <c r="F21" s="135" t="str">
        <f>IF(ISBLANK('6.1Ratemaking Data'!H20),"",'6.1Ratemaking Data'!H20)</f>
        <v/>
      </c>
      <c r="G21" s="135">
        <f>IF(ISBLANK('6.1Ratemaking Data'!I20),"",'6.1Ratemaking Data'!I20)</f>
        <v>3643679</v>
      </c>
      <c r="H21" s="136">
        <f>IF(New_Program=TRUE,'6.1Ratemaking Data'!$K$20,SUM($B21:$G21))</f>
        <v>3643679</v>
      </c>
      <c r="J21" s="126"/>
    </row>
    <row r="22" spans="1:10" x14ac:dyDescent="0.25">
      <c r="A22" s="134" t="s">
        <v>178</v>
      </c>
      <c r="B22" s="135" t="str">
        <f>IF(ISBLANK('6.1Ratemaking Data'!D21),"",'6.1Ratemaking Data'!D21)</f>
        <v/>
      </c>
      <c r="C22" s="135" t="str">
        <f>IF(ISBLANK('6.1Ratemaking Data'!E21),"",'6.1Ratemaking Data'!E21)</f>
        <v/>
      </c>
      <c r="D22" s="135" t="str">
        <f>IF(ISBLANK('6.1Ratemaking Data'!F21),"",'6.1Ratemaking Data'!F21)</f>
        <v/>
      </c>
      <c r="E22" s="135" t="str">
        <f>IF(ISBLANK('6.1Ratemaking Data'!G21),"",'6.1Ratemaking Data'!G21)</f>
        <v/>
      </c>
      <c r="F22" s="135" t="str">
        <f>IF(ISBLANK('6.1Ratemaking Data'!H21),"",'6.1Ratemaking Data'!H21)</f>
        <v/>
      </c>
      <c r="G22" s="135">
        <f>IF(ISBLANK('6.1Ratemaking Data'!I21),"",'6.1Ratemaking Data'!I21)</f>
        <v>813559162</v>
      </c>
      <c r="H22" s="136">
        <f>IF(New_Program=TRUE,'6.1Ratemaking Data'!$K$21,SUM($B22:$G22))</f>
        <v>813559162</v>
      </c>
      <c r="J22" s="126"/>
    </row>
    <row r="23" spans="1:10" x14ac:dyDescent="0.25">
      <c r="A23" s="134" t="s">
        <v>144</v>
      </c>
      <c r="B23" s="135" t="str">
        <f>IF(ISBLANK('6.1Ratemaking Data'!D22),"",'6.1Ratemaking Data'!D22)</f>
        <v/>
      </c>
      <c r="C23" s="135" t="str">
        <f>IF(ISBLANK('6.1Ratemaking Data'!E22),"",'6.1Ratemaking Data'!E22)</f>
        <v/>
      </c>
      <c r="D23" s="135" t="str">
        <f>IF(ISBLANK('6.1Ratemaking Data'!F22),"",'6.1Ratemaking Data'!F22)</f>
        <v/>
      </c>
      <c r="E23" s="135" t="str">
        <f>IF(ISBLANK('6.1Ratemaking Data'!G22),"",'6.1Ratemaking Data'!G22)</f>
        <v/>
      </c>
      <c r="F23" s="135" t="str">
        <f>IF(ISBLANK('6.1Ratemaking Data'!H22),"",'6.1Ratemaking Data'!H22)</f>
        <v/>
      </c>
      <c r="G23" s="135">
        <f>IF(ISBLANK('6.1Ratemaking Data'!I22),"",'6.1Ratemaking Data'!I22)</f>
        <v>2765790</v>
      </c>
      <c r="H23" s="136">
        <f>IF(New_Program=TRUE,'6.1Ratemaking Data'!$K$22,SUM($B23:$G23))</f>
        <v>2765790</v>
      </c>
      <c r="J23" s="126"/>
    </row>
    <row r="24" spans="1:10" x14ac:dyDescent="0.25">
      <c r="A24" s="134" t="s">
        <v>181</v>
      </c>
      <c r="B24" s="137" t="str">
        <f>IF(ISBLANK('6.1Ratemaking Data'!D23),"",'6.1Ratemaking Data'!D23)</f>
        <v/>
      </c>
      <c r="C24" s="137" t="str">
        <f>IF(ISBLANK('6.1Ratemaking Data'!E23),"",'6.1Ratemaking Data'!E23)</f>
        <v/>
      </c>
      <c r="D24" s="137" t="str">
        <f>IF(ISBLANK('6.1Ratemaking Data'!F23),"",'6.1Ratemaking Data'!F23)</f>
        <v/>
      </c>
      <c r="E24" s="137" t="str">
        <f>IF(ISBLANK('6.1Ratemaking Data'!G23),"",'6.1Ratemaking Data'!G23)</f>
        <v/>
      </c>
      <c r="F24" s="137" t="str">
        <f>IF(ISBLANK('6.1Ratemaking Data'!H23),"",'6.1Ratemaking Data'!H23)</f>
        <v/>
      </c>
      <c r="G24" s="137">
        <f>IF(ISBLANK('6.1Ratemaking Data'!I23),"",'6.1Ratemaking Data'!I23)</f>
        <v>1.3715913022235746</v>
      </c>
      <c r="H24" s="138"/>
    </row>
    <row r="25" spans="1:10" x14ac:dyDescent="0.25">
      <c r="A25" s="134" t="s">
        <v>182</v>
      </c>
      <c r="B25" s="137" t="str">
        <f>IF(ISBLANK('6.1Ratemaking Data'!D24),"",'6.1Ratemaking Data'!D24)</f>
        <v/>
      </c>
      <c r="C25" s="137" t="str">
        <f>IF(ISBLANK('6.1Ratemaking Data'!E24),"",'6.1Ratemaking Data'!E24)</f>
        <v/>
      </c>
      <c r="D25" s="137" t="str">
        <f>IF(ISBLANK('6.1Ratemaking Data'!F24),"",'6.1Ratemaking Data'!F24)</f>
        <v/>
      </c>
      <c r="E25" s="137" t="str">
        <f>IF(ISBLANK('6.1Ratemaking Data'!G24),"",'6.1Ratemaking Data'!G24)</f>
        <v/>
      </c>
      <c r="F25" s="137" t="str">
        <f>IF(ISBLANK('6.1Ratemaking Data'!H24),"",'6.1Ratemaking Data'!H24)</f>
        <v/>
      </c>
      <c r="G25" s="137">
        <f>IF(ISBLANK('6.1Ratemaking Data'!I24),"",'6.1Ratemaking Data'!I24)</f>
        <v>37.418300257053922</v>
      </c>
      <c r="H25" s="138"/>
    </row>
    <row r="26" spans="1:10" x14ac:dyDescent="0.25">
      <c r="A26" s="134" t="s">
        <v>179</v>
      </c>
      <c r="B26" s="137" t="str">
        <f>IF(ISBLANK('6.1Ratemaking Data'!D25),"",'6.1Ratemaking Data'!D25)</f>
        <v/>
      </c>
      <c r="C26" s="137" t="str">
        <f>IF(ISBLANK('6.1Ratemaking Data'!E25),"",'6.1Ratemaking Data'!E25)</f>
        <v/>
      </c>
      <c r="D26" s="137" t="str">
        <f>IF(ISBLANK('6.1Ratemaking Data'!F25),"",'6.1Ratemaking Data'!F25)</f>
        <v/>
      </c>
      <c r="E26" s="137" t="str">
        <f>IF(ISBLANK('6.1Ratemaking Data'!G25),"",'6.1Ratemaking Data'!G25)</f>
        <v/>
      </c>
      <c r="F26" s="137" t="str">
        <f>IF(ISBLANK('6.1Ratemaking Data'!H25),"",'6.1Ratemaking Data'!H25)</f>
        <v/>
      </c>
      <c r="G26" s="137">
        <f>IF(ISBLANK('6.1Ratemaking Data'!I25),"",'6.1Ratemaking Data'!I25)</f>
        <v>1.0628117980829981</v>
      </c>
      <c r="H26" s="144">
        <f>IF(New_Program=TRUE,0,'6.1Ratemaking Data'!$J$25)</f>
        <v>2.7444532097904206E-2</v>
      </c>
    </row>
    <row r="27" spans="1:10" x14ac:dyDescent="0.25">
      <c r="A27" s="134" t="s">
        <v>180</v>
      </c>
      <c r="B27" s="137" t="str">
        <f>IF(ISBLANK('6.1Ratemaking Data'!D26),"",'6.1Ratemaking Data'!D26)</f>
        <v/>
      </c>
      <c r="C27" s="137" t="str">
        <f>IF(ISBLANK('6.1Ratemaking Data'!E26),"",'6.1Ratemaking Data'!E26)</f>
        <v/>
      </c>
      <c r="D27" s="137" t="str">
        <f>IF(ISBLANK('6.1Ratemaking Data'!F26),"",'6.1Ratemaking Data'!F26)</f>
        <v/>
      </c>
      <c r="E27" s="137" t="str">
        <f>IF(ISBLANK('6.1Ratemaking Data'!G26),"",'6.1Ratemaking Data'!G26)</f>
        <v/>
      </c>
      <c r="F27" s="137" t="str">
        <f>IF(ISBLANK('6.1Ratemaking Data'!H26),"",'6.1Ratemaking Data'!H26)</f>
        <v/>
      </c>
      <c r="G27" s="137">
        <f>IF(ISBLANK('6.1Ratemaking Data'!I26),"",'6.1Ratemaking Data'!I26)</f>
        <v>1.0454581418517594</v>
      </c>
      <c r="H27" s="144">
        <f>IF(New_Program=TRUE,0,'6.1Ratemaking Data'!$J$26)</f>
        <v>2.7444532097904206E-2</v>
      </c>
    </row>
    <row r="28" spans="1:10" x14ac:dyDescent="0.25">
      <c r="A28" s="134" t="s">
        <v>183</v>
      </c>
      <c r="B28" s="137" t="str">
        <f>IF(ISBLANK('6.1Ratemaking Data'!D27),"",'6.1Ratemaking Data'!D27)</f>
        <v/>
      </c>
      <c r="C28" s="137" t="str">
        <f>IF(ISBLANK('6.1Ratemaking Data'!E27),"",'6.1Ratemaking Data'!E27)</f>
        <v/>
      </c>
      <c r="D28" s="137" t="str">
        <f>IF(ISBLANK('6.1Ratemaking Data'!F27),"",'6.1Ratemaking Data'!F27)</f>
        <v/>
      </c>
      <c r="E28" s="137" t="str">
        <f>IF(ISBLANK('6.1Ratemaking Data'!G27),"",'6.1Ratemaking Data'!G27)</f>
        <v/>
      </c>
      <c r="F28" s="137" t="str">
        <f>IF(ISBLANK('6.1Ratemaking Data'!H27),"",'6.1Ratemaking Data'!H27)</f>
        <v/>
      </c>
      <c r="G28" s="137">
        <f>IF(ISBLANK('6.1Ratemaking Data'!I27),"",'6.1Ratemaking Data'!I27)</f>
        <v>1</v>
      </c>
      <c r="H28" s="138"/>
    </row>
    <row r="29" spans="1:10" ht="15.75" thickBot="1" x14ac:dyDescent="0.3">
      <c r="A29" s="153" t="s">
        <v>188</v>
      </c>
      <c r="B29" s="154" t="str">
        <f>IF(ISBLANK('6.1Ratemaking Data'!D29),"",'6.1Ratemaking Data'!D29)</f>
        <v/>
      </c>
      <c r="C29" s="154" t="str">
        <f>IF(ISBLANK('6.1Ratemaking Data'!E29),"",'6.1Ratemaking Data'!E29)</f>
        <v/>
      </c>
      <c r="D29" s="154" t="str">
        <f>IF(ISBLANK('6.1Ratemaking Data'!F29),"",'6.1Ratemaking Data'!F29)</f>
        <v/>
      </c>
      <c r="E29" s="154" t="str">
        <f>IF(ISBLANK('6.1Ratemaking Data'!G29),"",'6.1Ratemaking Data'!G29)</f>
        <v/>
      </c>
      <c r="F29" s="154" t="str">
        <f>IF(ISBLANK('6.1Ratemaking Data'!H29),"",'6.1Ratemaking Data'!H29)</f>
        <v/>
      </c>
      <c r="G29" s="154">
        <f>IF(ISBLANK('6.1Ratemaking Data'!I29),"",'6.1Ratemaking Data'!I29)</f>
        <v>0</v>
      </c>
      <c r="H29" s="155">
        <f>IF(New_Program=TRUE,'6.1Ratemaking Data'!$K$29,SUM($B29:$G29))</f>
        <v>0</v>
      </c>
    </row>
    <row r="30" spans="1:10" ht="15.75" thickTop="1" x14ac:dyDescent="0.25">
      <c r="A30" s="134" t="s">
        <v>184</v>
      </c>
      <c r="B30" s="139"/>
      <c r="C30" s="139"/>
      <c r="D30" s="139"/>
      <c r="E30" s="139"/>
      <c r="F30" s="139"/>
      <c r="G30" s="139"/>
      <c r="H30" s="144">
        <f>IF(New_Program=TRUE,100%,'6.1Ratemaking Data'!$J$28)</f>
        <v>1</v>
      </c>
    </row>
    <row r="31" spans="1:10" x14ac:dyDescent="0.25">
      <c r="A31" s="134" t="s">
        <v>185</v>
      </c>
      <c r="B31" s="139"/>
      <c r="C31" s="139"/>
      <c r="D31" s="139"/>
      <c r="E31" s="139"/>
      <c r="F31" s="139"/>
      <c r="G31" s="139"/>
      <c r="H31" s="144">
        <f>ExpRatio_Excluded</f>
        <v>1.3597266477453115E-2</v>
      </c>
    </row>
    <row r="32" spans="1:10" x14ac:dyDescent="0.25">
      <c r="A32" s="134" t="s">
        <v>166</v>
      </c>
      <c r="B32" s="139"/>
      <c r="C32" s="139"/>
      <c r="D32" s="139"/>
      <c r="E32" s="139"/>
      <c r="F32" s="139"/>
      <c r="G32" s="139"/>
      <c r="H32" s="144">
        <f>FIT_Inv</f>
        <v>0.18752087399665437</v>
      </c>
    </row>
    <row r="33" spans="1:9" ht="15.75" thickBot="1" x14ac:dyDescent="0.3">
      <c r="A33" s="98" t="s">
        <v>165</v>
      </c>
      <c r="B33" s="140"/>
      <c r="C33" s="140"/>
      <c r="D33" s="140"/>
      <c r="E33" s="140"/>
      <c r="F33" s="140"/>
      <c r="G33" s="140"/>
      <c r="H33" s="141">
        <f>Yield</f>
        <v>8.8050065696007235E-2</v>
      </c>
    </row>
    <row r="34" spans="1:9" ht="5.0999999999999996" customHeight="1" x14ac:dyDescent="0.25"/>
    <row r="35" spans="1:9" ht="15.75" thickBot="1" x14ac:dyDescent="0.3">
      <c r="A35" s="130" t="s">
        <v>189</v>
      </c>
      <c r="E35" s="93"/>
      <c r="F35" s="93"/>
      <c r="G35" s="93"/>
    </row>
    <row r="36" spans="1:9" x14ac:dyDescent="0.25">
      <c r="A36" s="131" t="s">
        <v>167</v>
      </c>
      <c r="B36" s="142"/>
      <c r="C36" s="142"/>
      <c r="D36" s="142"/>
      <c r="E36" s="142"/>
      <c r="F36" s="142"/>
      <c r="G36" s="142"/>
      <c r="H36" s="149">
        <f>FIT_UW</f>
        <v>0.21</v>
      </c>
      <c r="I36" s="90"/>
    </row>
    <row r="37" spans="1:9" x14ac:dyDescent="0.25">
      <c r="A37" s="134" t="s">
        <v>190</v>
      </c>
      <c r="B37" s="90"/>
      <c r="C37" s="90"/>
      <c r="D37" s="90"/>
      <c r="E37" s="90"/>
      <c r="F37" s="693" t="s">
        <v>317</v>
      </c>
      <c r="G37" s="694">
        <f>update_effstd</f>
        <v>2020</v>
      </c>
      <c r="H37" s="144">
        <f ca="1">EffStd_Final01</f>
        <v>0.29732485720293622</v>
      </c>
    </row>
    <row r="38" spans="1:9" x14ac:dyDescent="0.25">
      <c r="A38" s="134" t="s">
        <v>191</v>
      </c>
      <c r="B38" s="90"/>
      <c r="C38" s="90"/>
      <c r="D38" s="90"/>
      <c r="E38" s="90"/>
      <c r="F38" s="693" t="s">
        <v>317</v>
      </c>
      <c r="G38" s="694">
        <f>update_leverage</f>
        <v>2020</v>
      </c>
      <c r="H38" s="190">
        <f ca="1">LevFact_Final01</f>
        <v>0.79714001147810298</v>
      </c>
    </row>
    <row r="39" spans="1:9" x14ac:dyDescent="0.25">
      <c r="A39" s="134" t="s">
        <v>192</v>
      </c>
      <c r="B39" s="90"/>
      <c r="C39" s="90"/>
      <c r="D39" s="90"/>
      <c r="E39" s="90"/>
      <c r="F39" s="693"/>
      <c r="G39" s="693"/>
      <c r="H39" s="144">
        <f>PremTaxRate</f>
        <v>2.35E-2</v>
      </c>
    </row>
    <row r="40" spans="1:9" x14ac:dyDescent="0.25">
      <c r="A40" s="134" t="s">
        <v>193</v>
      </c>
      <c r="B40" s="90"/>
      <c r="C40" s="90"/>
      <c r="D40" s="90"/>
      <c r="E40" s="90"/>
      <c r="F40" s="693"/>
      <c r="G40" s="695"/>
      <c r="H40" s="191">
        <f ca="1">1/LevFact_Final01</f>
        <v>1.2544847650361224</v>
      </c>
    </row>
    <row r="41" spans="1:9" x14ac:dyDescent="0.25">
      <c r="A41" s="134" t="s">
        <v>198</v>
      </c>
      <c r="B41" s="90"/>
      <c r="C41" s="90"/>
      <c r="D41" s="90"/>
      <c r="E41" s="90"/>
      <c r="F41" s="693" t="s">
        <v>317</v>
      </c>
      <c r="G41" s="694">
        <f>update_reserveratios</f>
        <v>2020</v>
      </c>
      <c r="H41" s="191">
        <f ca="1">ResRatio_UPR01</f>
        <v>0.32984149635237803</v>
      </c>
    </row>
    <row r="42" spans="1:9" x14ac:dyDescent="0.25">
      <c r="A42" s="192" t="s">
        <v>194</v>
      </c>
      <c r="B42" s="90"/>
      <c r="C42" s="90"/>
      <c r="D42" s="90"/>
      <c r="E42" s="90"/>
      <c r="F42" s="693" t="s">
        <v>317</v>
      </c>
      <c r="G42" s="694">
        <f>update_reserveratios</f>
        <v>2020</v>
      </c>
      <c r="H42" s="191">
        <f ca="1">ResRatio_Loss01</f>
        <v>1.2289421602119517</v>
      </c>
    </row>
    <row r="43" spans="1:9" x14ac:dyDescent="0.25">
      <c r="A43" s="192" t="s">
        <v>195</v>
      </c>
      <c r="B43" s="90"/>
      <c r="C43" s="90"/>
      <c r="D43" s="90"/>
      <c r="E43" s="90"/>
      <c r="F43" s="690" t="s">
        <v>317</v>
      </c>
      <c r="G43" s="690" t="str">
        <f>ROR_RiskFree_Date</f>
        <v>June 2022</v>
      </c>
      <c r="H43" s="692">
        <f>ROR_RiskFree</f>
        <v>2.2799999999999997E-2</v>
      </c>
      <c r="I43" s="20" t="s">
        <v>732</v>
      </c>
    </row>
    <row r="44" spans="1:9" x14ac:dyDescent="0.25">
      <c r="A44" s="192" t="s">
        <v>197</v>
      </c>
      <c r="B44" s="90"/>
      <c r="C44" s="90"/>
      <c r="D44" s="90"/>
      <c r="E44" s="90"/>
      <c r="F44" s="90"/>
      <c r="G44" s="90"/>
      <c r="H44" s="286">
        <f>ROR_Min</f>
        <v>-0.06</v>
      </c>
      <c r="I44" s="20"/>
    </row>
    <row r="45" spans="1:9" ht="15.75" thickBot="1" x14ac:dyDescent="0.3">
      <c r="A45" s="193" t="s">
        <v>196</v>
      </c>
      <c r="B45" s="140"/>
      <c r="C45" s="140"/>
      <c r="D45" s="140"/>
      <c r="E45" s="140"/>
      <c r="F45" s="140"/>
      <c r="G45" s="140"/>
      <c r="H45" s="287">
        <f>ROR_Max</f>
        <v>8.2799999999999999E-2</v>
      </c>
    </row>
    <row r="46" spans="1:9" ht="5.0999999999999996" customHeight="1" x14ac:dyDescent="0.25"/>
    <row r="47" spans="1:9" ht="15.75" thickBot="1" x14ac:dyDescent="0.3">
      <c r="A47" s="130" t="s">
        <v>234</v>
      </c>
      <c r="B47" s="285" t="str">
        <f>'6.1Ratemaking Data'!D$14</f>
        <v>20171</v>
      </c>
      <c r="C47" s="285" t="str">
        <f>'6.1Ratemaking Data'!E$14</f>
        <v>20181</v>
      </c>
      <c r="D47" s="285" t="str">
        <f>'6.1Ratemaking Data'!F$14</f>
        <v>20191</v>
      </c>
      <c r="E47" s="285" t="str">
        <f>'6.1Ratemaking Data'!G$14</f>
        <v>20201</v>
      </c>
      <c r="F47" s="285" t="str">
        <f>'6.1Ratemaking Data'!H$14</f>
        <v>20211</v>
      </c>
      <c r="G47" s="285">
        <f>'6.1Ratemaking Data'!I$14</f>
        <v>20221</v>
      </c>
    </row>
    <row r="48" spans="1:9" x14ac:dyDescent="0.25">
      <c r="A48" s="131" t="s">
        <v>199</v>
      </c>
      <c r="B48" s="132" t="str">
        <f t="shared" ref="B48:G48" si="0">IF(ISERROR(Prem_Earned*Prem_Adj*Prem_Trend+Misc_Fees),"",Prem_Earned*Prem_Adj*Prem_Trend+Misc_Fees)</f>
        <v/>
      </c>
      <c r="C48" s="132" t="str">
        <f t="shared" si="0"/>
        <v/>
      </c>
      <c r="D48" s="132" t="str">
        <f t="shared" si="0"/>
        <v/>
      </c>
      <c r="E48" s="132" t="str">
        <f t="shared" si="0"/>
        <v/>
      </c>
      <c r="F48" s="132" t="str">
        <f t="shared" si="0"/>
        <v/>
      </c>
      <c r="G48" s="132">
        <f t="shared" si="0"/>
        <v>1636549925.7624707</v>
      </c>
      <c r="H48" s="133">
        <f>IF(New_Program=TRUE,(Prem_Earned+Misc_Fees),SUM($B48:$G48))</f>
        <v>1636549925.7624707</v>
      </c>
    </row>
    <row r="49" spans="1:9" x14ac:dyDescent="0.25">
      <c r="A49" s="134" t="s">
        <v>200</v>
      </c>
      <c r="B49" s="135" t="str">
        <f t="shared" ref="B49:G49" si="1">IF(ISERROR(Losses*Loss_Devt*CAT_Adj*Loss_Trend),"",Losses*Loss_Devt*CAT_Adj*Loss_Trend)</f>
        <v/>
      </c>
      <c r="C49" s="135" t="str">
        <f t="shared" si="1"/>
        <v/>
      </c>
      <c r="D49" s="135" t="str">
        <f t="shared" si="1"/>
        <v/>
      </c>
      <c r="E49" s="135" t="str">
        <f t="shared" si="1"/>
        <v/>
      </c>
      <c r="F49" s="135" t="str">
        <f t="shared" si="1"/>
        <v/>
      </c>
      <c r="G49" s="135">
        <f t="shared" si="1"/>
        <v>1185960513.6821368</v>
      </c>
      <c r="H49" s="136">
        <f>IF(New_Program=TRUE,Losses,SUM($B49:$G49))</f>
        <v>1185960513.6821368</v>
      </c>
    </row>
    <row r="50" spans="1:9" x14ac:dyDescent="0.25">
      <c r="A50" s="134" t="s">
        <v>201</v>
      </c>
      <c r="B50" s="135" t="str">
        <f t="shared" ref="B50:G50" si="2">IF(ISERROR(DCCE*DCCE_Devt*CAT_Adj*DCCE_Trend),"",DCCE*DCCE_Devt*CAT_Adj*DCCE_Trend)</f>
        <v/>
      </c>
      <c r="C50" s="135" t="str">
        <f t="shared" si="2"/>
        <v/>
      </c>
      <c r="D50" s="135" t="str">
        <f t="shared" si="2"/>
        <v/>
      </c>
      <c r="E50" s="135" t="str">
        <f t="shared" si="2"/>
        <v/>
      </c>
      <c r="F50" s="135" t="str">
        <f t="shared" si="2"/>
        <v/>
      </c>
      <c r="G50" s="135">
        <f t="shared" si="2"/>
        <v>108195676.5300044</v>
      </c>
      <c r="H50" s="136">
        <f>IF(New_Program=TRUE,DCCE,SUM($B50:$G50))</f>
        <v>108195676.5300044</v>
      </c>
    </row>
    <row r="51" spans="1:9" x14ac:dyDescent="0.25">
      <c r="A51" s="134" t="s">
        <v>202</v>
      </c>
      <c r="B51" s="143" t="str">
        <f t="shared" ref="B51" si="3">IF(ISERROR((B49+B50)/B48),"",(B49+B50)/B48)</f>
        <v/>
      </c>
      <c r="C51" s="143" t="str">
        <f t="shared" ref="C51" si="4">IF(ISERROR((C49+C50)/C48),"",(C49+C50)/C48)</f>
        <v/>
      </c>
      <c r="D51" s="143" t="str">
        <f t="shared" ref="D51" si="5">IF(ISERROR((D49+D50)/D48),"",(D49+D50)/D48)</f>
        <v/>
      </c>
      <c r="E51" s="143" t="str">
        <f t="shared" ref="E51:H51" si="6">IF(ISERROR((E49+E50)/E48),"",(E49+E50)/E48)</f>
        <v/>
      </c>
      <c r="F51" s="143" t="str">
        <f t="shared" si="6"/>
        <v/>
      </c>
      <c r="G51" s="143">
        <f t="shared" si="6"/>
        <v>0.79078320180741946</v>
      </c>
      <c r="H51" s="144">
        <f t="shared" si="6"/>
        <v>0.79078320180741946</v>
      </c>
    </row>
    <row r="52" spans="1:9" x14ac:dyDescent="0.25">
      <c r="A52" s="134" t="s">
        <v>215</v>
      </c>
      <c r="B52" s="576" t="str">
        <f t="shared" ref="B52:H52" si="7">IF(ISERROR(Prem_Adjusted/Exposures_Earned),"",Prem_Adjusted/Exposures_Earned)</f>
        <v/>
      </c>
      <c r="C52" s="576" t="str">
        <f t="shared" si="7"/>
        <v/>
      </c>
      <c r="D52" s="576" t="str">
        <f t="shared" si="7"/>
        <v/>
      </c>
      <c r="E52" s="576" t="str">
        <f t="shared" si="7"/>
        <v/>
      </c>
      <c r="F52" s="576" t="str">
        <f t="shared" si="7"/>
        <v/>
      </c>
      <c r="G52" s="576">
        <f t="shared" si="7"/>
        <v>449.14766799228767</v>
      </c>
      <c r="H52" s="147">
        <f t="shared" si="7"/>
        <v>449.14766799228767</v>
      </c>
    </row>
    <row r="53" spans="1:9" x14ac:dyDescent="0.25">
      <c r="A53" s="134" t="s">
        <v>203</v>
      </c>
      <c r="B53" s="576" t="str">
        <f t="shared" ref="B53:H53" si="8">IF(ISERROR((Losses_Adjusted+DCCE_Adjusted)/Exposures_Earned),"",(Losses_Adjusted+DCCE_Adjusted)/Exposures_Earned)</f>
        <v/>
      </c>
      <c r="C53" s="576" t="str">
        <f t="shared" si="8"/>
        <v/>
      </c>
      <c r="D53" s="576" t="str">
        <f t="shared" si="8"/>
        <v/>
      </c>
      <c r="E53" s="576" t="str">
        <f t="shared" si="8"/>
        <v/>
      </c>
      <c r="F53" s="576" t="str">
        <f t="shared" si="8"/>
        <v/>
      </c>
      <c r="G53" s="576">
        <f t="shared" si="8"/>
        <v>355.17843097927704</v>
      </c>
      <c r="H53" s="147">
        <f t="shared" si="8"/>
        <v>355.17843097927704</v>
      </c>
    </row>
    <row r="54" spans="1:9" x14ac:dyDescent="0.25">
      <c r="A54" s="134" t="s">
        <v>204</v>
      </c>
      <c r="B54" s="576" t="str">
        <f t="shared" ref="B54:H54" ca="1" si="9">IF(ISERROR((TCRLP_perExp*(1+Comp_Trend)*Max_Denom+Anc_Inc_perExp)/(1-InvInc_Fixed)),"",(TCRLP_perExp*(1+Comp_Trend)*Max_Denom+Anc_Inc_perExp)/(1-InvInc_Fixed))</f>
        <v/>
      </c>
      <c r="C54" s="576" t="str">
        <f t="shared" ca="1" si="9"/>
        <v/>
      </c>
      <c r="D54" s="576" t="str">
        <f t="shared" ca="1" si="9"/>
        <v/>
      </c>
      <c r="E54" s="576" t="str">
        <f t="shared" ca="1" si="9"/>
        <v/>
      </c>
      <c r="F54" s="576" t="str">
        <f t="shared" ca="1" si="9"/>
        <v/>
      </c>
      <c r="G54" s="576">
        <f t="shared" ca="1" si="9"/>
        <v>410.42245188687264</v>
      </c>
      <c r="H54" s="147">
        <f t="shared" ca="1" si="9"/>
        <v>410.42245188687264</v>
      </c>
    </row>
    <row r="55" spans="1:9" x14ac:dyDescent="0.25">
      <c r="A55" s="134" t="s">
        <v>214</v>
      </c>
      <c r="B55" s="576" t="str">
        <f t="shared" ref="B55:H55" ca="1" si="10">IF(ISERROR(Credibility*LossDCCE_perExp+(1-Credibility)*CompLossDCCE_perExp),"",Credibility*LossDCCE_perExp+(1-Credibility)*CompLossDCCE_perExp)</f>
        <v/>
      </c>
      <c r="C55" s="576" t="str">
        <f t="shared" ca="1" si="10"/>
        <v/>
      </c>
      <c r="D55" s="576" t="str">
        <f t="shared" ca="1" si="10"/>
        <v/>
      </c>
      <c r="E55" s="576" t="str">
        <f t="shared" ca="1" si="10"/>
        <v/>
      </c>
      <c r="F55" s="576" t="str">
        <f t="shared" ca="1" si="10"/>
        <v/>
      </c>
      <c r="G55" s="576">
        <f t="shared" ca="1" si="10"/>
        <v>355.17843097927704</v>
      </c>
      <c r="H55" s="147">
        <f t="shared" ca="1" si="10"/>
        <v>355.17843097927704</v>
      </c>
    </row>
    <row r="56" spans="1:9" ht="15.75" thickBot="1" x14ac:dyDescent="0.3">
      <c r="A56" s="153" t="s">
        <v>216</v>
      </c>
      <c r="B56" s="250" t="str">
        <f t="shared" ref="B56:H56" si="11">IF(ISERROR(Anc_Income/Exposures_Earned),"",Anc_Income/Exposures_Earned)</f>
        <v/>
      </c>
      <c r="C56" s="250" t="str">
        <f t="shared" si="11"/>
        <v/>
      </c>
      <c r="D56" s="250" t="str">
        <f t="shared" si="11"/>
        <v/>
      </c>
      <c r="E56" s="250" t="str">
        <f t="shared" si="11"/>
        <v/>
      </c>
      <c r="F56" s="250" t="str">
        <f t="shared" si="11"/>
        <v/>
      </c>
      <c r="G56" s="250">
        <f t="shared" si="11"/>
        <v>0</v>
      </c>
      <c r="H56" s="251">
        <f t="shared" si="11"/>
        <v>0</v>
      </c>
    </row>
    <row r="57" spans="1:9" ht="15.75" thickTop="1" x14ac:dyDescent="0.25">
      <c r="A57" s="134" t="s">
        <v>217</v>
      </c>
      <c r="B57" s="90"/>
      <c r="C57" s="90"/>
      <c r="D57" s="90"/>
      <c r="E57" s="90"/>
      <c r="F57" s="90"/>
      <c r="G57" s="90"/>
      <c r="H57" s="144">
        <f ca="1">Yield*((1-FIT_Inv)/(1-FIT_UW))*ResRatio_Loss01</f>
        <v>0.11128746466623216</v>
      </c>
    </row>
    <row r="58" spans="1:9" x14ac:dyDescent="0.25">
      <c r="A58" s="134" t="s">
        <v>218</v>
      </c>
      <c r="B58" s="90"/>
      <c r="C58" s="90"/>
      <c r="D58" s="90"/>
      <c r="E58" s="90"/>
      <c r="F58" s="90"/>
      <c r="G58" s="90"/>
      <c r="H58" s="144">
        <f ca="1">Yield*((1-FIT_Inv)/(1-FIT_UW))*(ResRatio_UPR01+SurplusRatio)</f>
        <v>0.14346944758054997</v>
      </c>
    </row>
    <row r="59" spans="1:9" x14ac:dyDescent="0.25">
      <c r="A59" s="134" t="s">
        <v>206</v>
      </c>
      <c r="B59" s="145"/>
      <c r="C59" s="145"/>
      <c r="D59" s="145"/>
      <c r="E59" s="145"/>
      <c r="F59" s="145"/>
      <c r="G59" s="145"/>
      <c r="H59" s="144">
        <f>(1+Loss_AnnualTrend)/(1+Prem_AnnualTrend)-1</f>
        <v>4.9143475114663326E-2</v>
      </c>
    </row>
    <row r="60" spans="1:9" x14ac:dyDescent="0.25">
      <c r="A60" s="134" t="s">
        <v>205</v>
      </c>
      <c r="B60" s="145"/>
      <c r="C60" s="145"/>
      <c r="D60" s="145"/>
      <c r="E60" s="145"/>
      <c r="F60" s="145"/>
      <c r="G60" s="145"/>
      <c r="H60" s="144">
        <f>IF(New_Program=TRUE,0,(1+Net_AnnualTrend)^MIN(4,((EffDate_Proposed-EffDate_Prior01)/365.25))-1)</f>
        <v>0.13632522566739036</v>
      </c>
    </row>
    <row r="61" spans="1:9" x14ac:dyDescent="0.25">
      <c r="A61" s="134" t="s">
        <v>207</v>
      </c>
      <c r="B61" s="145"/>
      <c r="C61" s="145"/>
      <c r="D61" s="145"/>
      <c r="E61" s="145"/>
      <c r="F61" s="145"/>
      <c r="G61" s="145"/>
      <c r="H61" s="144">
        <f ca="1">(ROR_Max)/(LevFact_Final01*(1-FIT_UW))</f>
        <v>0.13148270701897588</v>
      </c>
    </row>
    <row r="62" spans="1:9" x14ac:dyDescent="0.25">
      <c r="A62" s="134" t="s">
        <v>208</v>
      </c>
      <c r="B62" s="90"/>
      <c r="C62" s="90"/>
      <c r="D62" s="90"/>
      <c r="E62" s="90"/>
      <c r="F62" s="90"/>
      <c r="G62" s="90"/>
      <c r="H62" s="144">
        <f ca="1">(ROR_Min)/(LevFact_Final01*(1-FIT_UW))</f>
        <v>-9.5277323926794111E-2</v>
      </c>
    </row>
    <row r="63" spans="1:9" x14ac:dyDescent="0.25">
      <c r="A63" s="134" t="s">
        <v>209</v>
      </c>
      <c r="B63" s="90"/>
      <c r="C63" s="90"/>
      <c r="D63" s="90"/>
      <c r="E63" s="90"/>
      <c r="F63" s="90"/>
      <c r="G63" s="90"/>
      <c r="H63" s="144">
        <f ca="1">1-CredLossDCCE_perExp/Max_Premium-EffStd_Final01</f>
        <v>-0.10147901835723683</v>
      </c>
      <c r="I63" s="252"/>
    </row>
    <row r="64" spans="1:9" x14ac:dyDescent="0.25">
      <c r="A64" s="134" t="s">
        <v>211</v>
      </c>
      <c r="B64" s="90"/>
      <c r="C64" s="90"/>
      <c r="D64" s="90"/>
      <c r="E64" s="90"/>
      <c r="F64" s="90"/>
      <c r="G64" s="90"/>
      <c r="H64" s="146">
        <f ca="1">1-EffStd_Final01-Min_Profit+InvInc_Variable</f>
        <v>0.9414219143044078</v>
      </c>
      <c r="I64" s="252"/>
    </row>
    <row r="65" spans="1:9" x14ac:dyDescent="0.25">
      <c r="A65" s="134" t="s">
        <v>210</v>
      </c>
      <c r="B65" s="90"/>
      <c r="C65" s="90"/>
      <c r="D65" s="90"/>
      <c r="E65" s="90"/>
      <c r="F65" s="90"/>
      <c r="G65" s="90"/>
      <c r="H65" s="146">
        <f ca="1">1-EffStd_Final01-Max_Profit+InvInc_Variable</f>
        <v>0.71466188335863778</v>
      </c>
      <c r="I65" s="473" t="str">
        <f>IF(AND(Error35="",Error36=""),"","See Column H of Page '3.2YieldFIT' for errors that must be corrected.")</f>
        <v/>
      </c>
    </row>
    <row r="66" spans="1:9" x14ac:dyDescent="0.25">
      <c r="A66" s="134" t="s">
        <v>213</v>
      </c>
      <c r="B66" s="90"/>
      <c r="C66" s="90"/>
      <c r="D66" s="90"/>
      <c r="E66" s="90"/>
      <c r="F66" s="90"/>
      <c r="G66" s="90"/>
      <c r="H66" s="577">
        <f ca="1">(CredLossDCCE_perExp*(1-InvInc_Fixed)-Anc_Inc_perExp)/Min_Denom</f>
        <v>335.29230528342828</v>
      </c>
      <c r="I66" s="473" t="str">
        <f>IF(Error38="","","See Column F of Page '4.2Excluded Exp' for errors that must be corrected.")</f>
        <v/>
      </c>
    </row>
    <row r="67" spans="1:9" ht="15.75" thickBot="1" x14ac:dyDescent="0.3">
      <c r="A67" s="134" t="s">
        <v>212</v>
      </c>
      <c r="B67" s="90"/>
      <c r="C67" s="90"/>
      <c r="D67" s="90"/>
      <c r="E67" s="90"/>
      <c r="F67" s="90"/>
      <c r="G67" s="90"/>
      <c r="H67" s="577">
        <f ca="1">(CredLossDCCE_perExp*(1-InvInc_Fixed)-Anc_Inc_perExp)/Max_Denom</f>
        <v>441.67952879762021</v>
      </c>
      <c r="I67" s="471" t="str">
        <f>IF(Error34="","","See Column I of Page '2.Summary' for errors that must be corrected.")</f>
        <v/>
      </c>
    </row>
    <row r="68" spans="1:9" x14ac:dyDescent="0.25">
      <c r="A68" s="95" t="s">
        <v>235</v>
      </c>
      <c r="B68" s="90"/>
      <c r="C68" s="90"/>
      <c r="D68" s="90"/>
      <c r="E68" s="90"/>
      <c r="F68" s="90"/>
      <c r="G68" s="90"/>
      <c r="H68" s="289">
        <f ca="1">IF(AND(I65="",I66="",I67="",I68="",I69=""),(Min_Premium-Prem_Current)/Prem_Current,"Error")</f>
        <v>-0.25349204910224404</v>
      </c>
      <c r="I68" s="473" t="str">
        <f>IF(AND(Error00="",Error01="",Error02="",Error03="",Error04="",Error05="",Error06="",Error07="",Error08="",Error09="",Error10="",Error11="",Error12="",Error13="",Error14="",Error15="",Error16="",Error37=""),"","See Column J of Page '1.General' for errors that must be corrected.")</f>
        <v/>
      </c>
    </row>
    <row r="69" spans="1:9" ht="19.5" thickBot="1" x14ac:dyDescent="0.3">
      <c r="A69" s="96" t="s">
        <v>236</v>
      </c>
      <c r="B69" s="140"/>
      <c r="C69" s="140"/>
      <c r="D69" s="140"/>
      <c r="E69" s="140"/>
      <c r="F69" s="140"/>
      <c r="G69" s="140"/>
      <c r="H69" s="288">
        <f ca="1">IF(AND(I65="",I66="",I67="",I68="",I69=""),(Max_Premium-Prem_Current)/Prem_Current, "Error")</f>
        <v>-1.6627358276288976E-2</v>
      </c>
      <c r="I69" s="471" t="str">
        <f>IF(AND('6.1Ratemaking Data'!Error17="",'6.1Ratemaking Data'!Error18="",'6.1Ratemaking Data'!Error19="",'6.1Ratemaking Data'!Error20="",'6.1Ratemaking Data'!Error21="",'6.1Ratemaking Data'!Error22="",'6.1Ratemaking Data'!Error23="",'6.1Ratemaking Data'!Error24="",'6.1Ratemaking Data'!Error25="",'6.1Ratemaking Data'!Error26="",'6.1Ratemaking Data'!Error27="",'6.1Ratemaking Data'!Error28="",'6.1Ratemaking Data'!Error29=""),"","See Column M of Page '6.1Ratemaking Data' for errors that must be corrected.")</f>
        <v/>
      </c>
    </row>
    <row r="70" spans="1:9" ht="5.0999999999999996" hidden="1" customHeight="1" x14ac:dyDescent="0.25"/>
    <row r="71" spans="1:9" ht="15.75" hidden="1" thickBot="1" x14ac:dyDescent="0.3">
      <c r="A71" s="130" t="s">
        <v>233</v>
      </c>
      <c r="B71" s="285" t="str">
        <f>'6.1Ratemaking Data'!D$14</f>
        <v>20171</v>
      </c>
      <c r="C71" s="285" t="str">
        <f>'6.1Ratemaking Data'!E$14</f>
        <v>20181</v>
      </c>
      <c r="D71" s="285" t="str">
        <f>'6.1Ratemaking Data'!F$14</f>
        <v>20191</v>
      </c>
      <c r="E71" s="285" t="str">
        <f>'6.1Ratemaking Data'!G$14</f>
        <v>20201</v>
      </c>
      <c r="F71" s="285" t="str">
        <f>'6.1Ratemaking Data'!H$14</f>
        <v>20211</v>
      </c>
      <c r="G71" s="285">
        <f>'6.1Ratemaking Data'!I$14</f>
        <v>20221</v>
      </c>
    </row>
    <row r="72" spans="1:9" hidden="1" x14ac:dyDescent="0.25">
      <c r="A72" s="148" t="s">
        <v>232</v>
      </c>
      <c r="B72" s="142"/>
      <c r="C72" s="142"/>
      <c r="D72" s="142"/>
      <c r="E72" s="142"/>
      <c r="F72" s="142"/>
      <c r="G72" s="142"/>
      <c r="H72" s="149" t="str">
        <f>IF(ISBLANK('6.1Ratemaking Data'!J44),"",'6.1Ratemaking Data'!J44)</f>
        <v/>
      </c>
    </row>
    <row r="73" spans="1:9" hidden="1" x14ac:dyDescent="0.25">
      <c r="A73" s="150" t="s">
        <v>219</v>
      </c>
      <c r="B73" s="135" t="str">
        <f>IF(ISBLANK('6.1Ratemaking Data'!D45),"",'6.1Ratemaking Data'!D45)</f>
        <v/>
      </c>
      <c r="C73" s="135" t="str">
        <f>IF(ISBLANK('6.1Ratemaking Data'!E45),"",'6.1Ratemaking Data'!E45)</f>
        <v/>
      </c>
      <c r="D73" s="135" t="str">
        <f>IF(ISBLANK('6.1Ratemaking Data'!F45),"",'6.1Ratemaking Data'!F45)</f>
        <v/>
      </c>
      <c r="E73" s="135" t="str">
        <f>IF(ISBLANK('6.1Ratemaking Data'!G45),"",'6.1Ratemaking Data'!G45)</f>
        <v/>
      </c>
      <c r="F73" s="135" t="str">
        <f>IF(ISBLANK('6.1Ratemaking Data'!H45),"",'6.1Ratemaking Data'!H45)</f>
        <v/>
      </c>
      <c r="G73" s="135" t="str">
        <f>IF(ISBLANK('6.1Ratemaking Data'!I45),"",'6.1Ratemaking Data'!I45)</f>
        <v/>
      </c>
      <c r="H73" s="136" t="str">
        <f ca="1">IF(RIGHT(Detailed_LineCode01,1)="R",IF(New_Program=TRUE,'6.1Ratemaking Data'!$K$45,SUM($B73:$G73)),"")</f>
        <v/>
      </c>
    </row>
    <row r="74" spans="1:9" hidden="1" x14ac:dyDescent="0.25">
      <c r="A74" s="150" t="s">
        <v>220</v>
      </c>
      <c r="B74" s="135" t="str">
        <f>IF(ISBLANK('6.1Ratemaking Data'!D46),"",'6.1Ratemaking Data'!D46)</f>
        <v/>
      </c>
      <c r="C74" s="135" t="str">
        <f>IF(ISBLANK('6.1Ratemaking Data'!E46),"",'6.1Ratemaking Data'!E46)</f>
        <v/>
      </c>
      <c r="D74" s="135" t="str">
        <f>IF(ISBLANK('6.1Ratemaking Data'!F46),"",'6.1Ratemaking Data'!F46)</f>
        <v/>
      </c>
      <c r="E74" s="135" t="str">
        <f>IF(ISBLANK('6.1Ratemaking Data'!G46),"",'6.1Ratemaking Data'!G46)</f>
        <v/>
      </c>
      <c r="F74" s="135" t="str">
        <f>IF(ISBLANK('6.1Ratemaking Data'!H46),"",'6.1Ratemaking Data'!H46)</f>
        <v/>
      </c>
      <c r="G74" s="135" t="str">
        <f>IF(ISBLANK('6.1Ratemaking Data'!I46),"",'6.1Ratemaking Data'!I46)</f>
        <v/>
      </c>
      <c r="H74" s="136">
        <f>IF(New_Program=TRUE,'6.1Ratemaking Data'!$K$46,SUM($B74:$G74))</f>
        <v>0</v>
      </c>
    </row>
    <row r="75" spans="1:9" hidden="1" x14ac:dyDescent="0.25">
      <c r="A75" s="150" t="s">
        <v>221</v>
      </c>
      <c r="B75" s="578" t="str">
        <f t="shared" ref="B75:H75" si="12">IF(ISERROR(Rein_Prem/Exposures_Earned),"",Rein_Prem/Exposures_Earned)</f>
        <v/>
      </c>
      <c r="C75" s="578" t="str">
        <f t="shared" si="12"/>
        <v/>
      </c>
      <c r="D75" s="578" t="str">
        <f t="shared" si="12"/>
        <v/>
      </c>
      <c r="E75" s="578" t="str">
        <f t="shared" si="12"/>
        <v/>
      </c>
      <c r="F75" s="578" t="str">
        <f t="shared" si="12"/>
        <v/>
      </c>
      <c r="G75" s="578" t="str">
        <f t="shared" si="12"/>
        <v/>
      </c>
      <c r="H75" s="577" t="str">
        <f t="shared" ca="1" si="12"/>
        <v/>
      </c>
    </row>
    <row r="76" spans="1:9" hidden="1" x14ac:dyDescent="0.25">
      <c r="A76" s="150" t="s">
        <v>222</v>
      </c>
      <c r="B76" s="578" t="str">
        <f t="shared" ref="B76:H76" si="13">IF(ISERROR(Rein_Recov/Exposures_Earned),"",Rein_Recov/Exposures_Earned)</f>
        <v/>
      </c>
      <c r="C76" s="578" t="str">
        <f t="shared" si="13"/>
        <v/>
      </c>
      <c r="D76" s="578" t="str">
        <f t="shared" si="13"/>
        <v/>
      </c>
      <c r="E76" s="578" t="str">
        <f t="shared" si="13"/>
        <v/>
      </c>
      <c r="F76" s="578" t="str">
        <f t="shared" si="13"/>
        <v/>
      </c>
      <c r="G76" s="578" t="str">
        <f t="shared" si="13"/>
        <v/>
      </c>
      <c r="H76" s="577">
        <f t="shared" si="13"/>
        <v>0</v>
      </c>
    </row>
    <row r="77" spans="1:9" hidden="1" x14ac:dyDescent="0.25">
      <c r="A77" s="150" t="s">
        <v>223</v>
      </c>
      <c r="B77" s="578" t="str">
        <f t="shared" ref="B77:H77" ca="1" si="14">IF(ISERROR((TCRLP_perExp*(1+Comp_Trend)*Max_Denom+Anc_Inc_perExp-ReinPrem_perExp*Max_Denom/(1-Comm_Rate-PremTaxRate))/(1-InvInc_Fixed)),"",(TCRLP_perExp*(1+Comp_Trend)*Max_Denom+Anc_Inc_perExp-ReinPrem_perExp*Max_Denom/(1-Comm_Rate-PremTaxRate))/(1-InvInc_Fixed))</f>
        <v/>
      </c>
      <c r="C77" s="578" t="str">
        <f t="shared" ca="1" si="14"/>
        <v/>
      </c>
      <c r="D77" s="578" t="str">
        <f t="shared" ca="1" si="14"/>
        <v/>
      </c>
      <c r="E77" s="578" t="str">
        <f t="shared" ca="1" si="14"/>
        <v/>
      </c>
      <c r="F77" s="578" t="str">
        <f t="shared" ca="1" si="14"/>
        <v/>
      </c>
      <c r="G77" s="578" t="str">
        <f t="shared" ca="1" si="14"/>
        <v/>
      </c>
      <c r="H77" s="577" t="str">
        <f t="shared" ca="1" si="14"/>
        <v/>
      </c>
    </row>
    <row r="78" spans="1:9" ht="15.75" hidden="1" thickBot="1" x14ac:dyDescent="0.3">
      <c r="A78" s="150" t="s">
        <v>224</v>
      </c>
      <c r="B78" s="90"/>
      <c r="C78" s="90"/>
      <c r="D78" s="90"/>
      <c r="E78" s="90"/>
      <c r="F78" s="90"/>
      <c r="G78" s="90"/>
      <c r="H78" s="577" t="e">
        <f ca="1">IF(H73=0,NA(),((((Credibility*(LossDCCE_perExp-ReinRec_perExp))+(1-Credibility)*CompLoss_Rein)*(1-InvInc_Fixed)-Anc_Inc_perExp)/Max_Denom)+ReinPrem_perExp/(1-Comm_Rate-PremTaxRate))</f>
        <v>#VALUE!</v>
      </c>
      <c r="I78" s="473"/>
    </row>
    <row r="79" spans="1:9" ht="19.5" hidden="1" thickBot="1" x14ac:dyDescent="0.3">
      <c r="A79" s="151" t="s">
        <v>225</v>
      </c>
      <c r="B79" s="140"/>
      <c r="C79" s="140"/>
      <c r="D79" s="140"/>
      <c r="E79" s="140"/>
      <c r="F79" s="140"/>
      <c r="G79" s="140"/>
      <c r="H79" s="485" t="e">
        <f ca="1">IF(I79="",IF($H$73=0,NA(),(ReinMax_Premium-Prem_Current)/Prem_Current),"Error")</f>
        <v>#VALUE!</v>
      </c>
      <c r="I79" s="471" t="str">
        <f>IF(AND('6.1Ratemaking Data'!Error30="",'6.1Ratemaking Data'!Error31="",'6.1Ratemaking Data'!Error32=""),"","See Column M of Page '6.1Ratemaking Data' for errors that must be corrected.")</f>
        <v/>
      </c>
    </row>
    <row r="80" spans="1:9" ht="26.25" x14ac:dyDescent="0.25">
      <c r="F80" s="786" t="s">
        <v>601</v>
      </c>
      <c r="G80" s="786"/>
      <c r="H80" s="786"/>
    </row>
    <row r="81" spans="1:1" x14ac:dyDescent="0.25">
      <c r="A81" s="152"/>
    </row>
  </sheetData>
  <sheetProtection algorithmName="SHA-512" hashValue="7YPJB7MLvBMvOb97MyvpBm13u+OP4L5t+w5uMUiu3FlyZb11RwyboK8PMSjleLUnAKBSpN5JRY/2uzzZ19+4Yw==" saltValue="NDyJW1mSoRMCu//i2tGZ0w==" spinCount="100000" sheet="1" objects="1" scenarios="1" formatColumns="0" formatRows="0" sort="0"/>
  <mergeCells count="1">
    <mergeCell ref="F80:H80"/>
  </mergeCells>
  <conditionalFormatting sqref="H68:H69">
    <cfRule type="cellIs" dxfId="19" priority="2" operator="equal">
      <formula>"Error"</formula>
    </cfRule>
  </conditionalFormatting>
  <conditionalFormatting sqref="H79">
    <cfRule type="cellIs" dxfId="18" priority="1" operator="equal">
      <formula>"Error"</formula>
    </cfRule>
  </conditionalFormatting>
  <hyperlinks>
    <hyperlink ref="F80" location="'Ratemaking Data (7)'!A1" display="Go to Ratemaking Data (7)" xr:uid="{00000000-0004-0000-1400-000000000000}"/>
    <hyperlink ref="F80:H80" location="'6.1Ratemaking Data'!A1" display="Go to 6.1Ratemaking Data" xr:uid="{00000000-0004-0000-1400-000001000000}"/>
  </hyperlinks>
  <printOptions horizontalCentered="1"/>
  <pageMargins left="0.45" right="0.45" top="0.5" bottom="0.5" header="0.3" footer="0.3"/>
  <pageSetup scale="72" orientation="portrait" r:id="rId1"/>
  <headerFooter>
    <oddFooter>&amp;CPrior Approval Rate Template&amp;RPage 7.1&amp;L01/11/2022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7675" r:id="rId4" name="btnYears">
              <controlPr defaultSize="0" print="0" autoFill="0" autoPict="0" macro="[0]!ExpandContractColsData">
                <anchor moveWithCells="1">
                  <from>
                    <xdr:col>5</xdr:col>
                    <xdr:colOff>19050</xdr:colOff>
                    <xdr:row>6</xdr:row>
                    <xdr:rowOff>0</xdr:rowOff>
                  </from>
                  <to>
                    <xdr:col>6</xdr:col>
                    <xdr:colOff>733425</xdr:colOff>
                    <xdr:row>8</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1">
    <tabColor theme="0" tint="-0.14999847407452621"/>
    <pageSetUpPr fitToPage="1"/>
  </sheetPr>
  <dimension ref="A1:J81"/>
  <sheetViews>
    <sheetView view="pageBreakPreview" topLeftCell="A16" zoomScaleNormal="100" zoomScaleSheetLayoutView="100" workbookViewId="0"/>
  </sheetViews>
  <sheetFormatPr defaultRowHeight="15" x14ac:dyDescent="0.25"/>
  <cols>
    <col min="1" max="1" width="28.28515625" style="14" customWidth="1"/>
    <col min="2" max="4" width="15.7109375" style="14" hidden="1" customWidth="1"/>
    <col min="5" max="8" width="17.42578125" style="14" customWidth="1"/>
    <col min="9" max="9" width="22.5703125" style="14" bestFit="1" customWidth="1"/>
    <col min="10" max="16384" width="9.140625" style="14"/>
  </cols>
  <sheetData>
    <row r="1" spans="1:8" x14ac:dyDescent="0.25">
      <c r="A1" s="10" t="s">
        <v>31</v>
      </c>
      <c r="E1" s="124" t="s">
        <v>33</v>
      </c>
      <c r="H1" s="125" t="str">
        <f>Co_Name</f>
        <v>State Farm Mutual Automobile Insurance Company</v>
      </c>
    </row>
    <row r="2" spans="1:8" x14ac:dyDescent="0.25">
      <c r="A2" s="8" t="s">
        <v>32</v>
      </c>
      <c r="E2" s="124" t="s">
        <v>34</v>
      </c>
      <c r="H2" s="125" t="str">
        <f>General_Line</f>
        <v>Auto Liability and Physical Damage</v>
      </c>
    </row>
    <row r="3" spans="1:8" x14ac:dyDescent="0.25">
      <c r="E3" s="181" t="s">
        <v>142</v>
      </c>
      <c r="F3" s="182"/>
      <c r="G3" s="182"/>
      <c r="H3" s="188" t="str">
        <f>CDI_FileNo</f>
        <v/>
      </c>
    </row>
    <row r="4" spans="1:8" ht="18" customHeight="1" x14ac:dyDescent="0.25">
      <c r="A4" s="607" t="str">
        <f>IF('6.2Ratemaking Data'!$K$7="","VARIANCE - NONE","VARIANCE "&amp;'6.2Ratemaking Data'!$K$7)</f>
        <v>VARIANCE - NONE</v>
      </c>
    </row>
    <row r="5" spans="1:8" ht="23.25" x14ac:dyDescent="0.25">
      <c r="A5" s="4" t="s">
        <v>665</v>
      </c>
      <c r="B5" s="123"/>
      <c r="C5" s="123"/>
      <c r="D5" s="123"/>
      <c r="E5" s="123"/>
      <c r="F5" s="123"/>
      <c r="G5" s="123"/>
      <c r="H5" s="123"/>
    </row>
    <row r="6" spans="1:8" ht="9.9499999999999993" customHeight="1" x14ac:dyDescent="0.25"/>
    <row r="7" spans="1:8" ht="15" customHeight="1" x14ac:dyDescent="0.25">
      <c r="A7" s="14" t="s">
        <v>1</v>
      </c>
      <c r="H7" s="28" t="str">
        <f>Completed_By</f>
        <v>Laura Campbell</v>
      </c>
    </row>
    <row r="8" spans="1:8" ht="15" customHeight="1" x14ac:dyDescent="0.25">
      <c r="A8" s="14" t="s">
        <v>76</v>
      </c>
      <c r="H8" s="189">
        <f>Completed_Date</f>
        <v>44816</v>
      </c>
    </row>
    <row r="9" spans="1:8" ht="15" customHeight="1" x14ac:dyDescent="0.25">
      <c r="A9" s="14" t="s">
        <v>169</v>
      </c>
      <c r="H9" s="189">
        <f>EffDate_Prior02</f>
        <v>44088</v>
      </c>
    </row>
    <row r="10" spans="1:8" ht="15" customHeight="1" x14ac:dyDescent="0.25">
      <c r="A10" s="14" t="s">
        <v>170</v>
      </c>
      <c r="B10" s="62"/>
      <c r="H10" s="189">
        <f>EffDate_Proposed</f>
        <v>45061</v>
      </c>
    </row>
    <row r="11" spans="1:8" ht="15" customHeight="1" x14ac:dyDescent="0.25">
      <c r="A11" s="14" t="s">
        <v>77</v>
      </c>
      <c r="B11" s="62"/>
      <c r="H11" s="28" t="str">
        <f>Detailed_LineDesc02</f>
        <v>Private Passenger Auto Liability</v>
      </c>
    </row>
    <row r="12" spans="1:8" ht="15" customHeight="1" x14ac:dyDescent="0.25">
      <c r="A12" s="14" t="s">
        <v>78</v>
      </c>
      <c r="B12" s="62"/>
      <c r="H12" s="28" t="str">
        <f>Covg02</f>
        <v>MPC</v>
      </c>
    </row>
    <row r="13" spans="1:8" ht="15" customHeight="1" x14ac:dyDescent="0.25">
      <c r="H13" s="608"/>
    </row>
    <row r="14" spans="1:8" ht="9.9499999999999993" customHeight="1" x14ac:dyDescent="0.25"/>
    <row r="15" spans="1:8" ht="15.75" thickBot="1" x14ac:dyDescent="0.3">
      <c r="A15" s="130" t="s">
        <v>171</v>
      </c>
      <c r="B15" s="285" t="str">
        <f>'6.2Ratemaking Data'!D$14</f>
        <v>20171</v>
      </c>
      <c r="C15" s="285" t="str">
        <f>'6.2Ratemaking Data'!E$14</f>
        <v>20181</v>
      </c>
      <c r="D15" s="285" t="str">
        <f>'6.2Ratemaking Data'!F$14</f>
        <v>20191</v>
      </c>
      <c r="E15" s="285" t="str">
        <f>'6.2Ratemaking Data'!G$14</f>
        <v>20201</v>
      </c>
      <c r="F15" s="285" t="str">
        <f>'6.2Ratemaking Data'!H$14</f>
        <v>20211</v>
      </c>
      <c r="G15" s="285">
        <f>'6.2Ratemaking Data'!I$14</f>
        <v>20221</v>
      </c>
      <c r="H15" s="105" t="s">
        <v>306</v>
      </c>
    </row>
    <row r="16" spans="1:8" x14ac:dyDescent="0.25">
      <c r="A16" s="131" t="s">
        <v>173</v>
      </c>
      <c r="B16" s="132" t="str">
        <f>IF(ISBLANK('6.2Ratemaking Data'!D15),"",'6.2Ratemaking Data'!D15)</f>
        <v/>
      </c>
      <c r="C16" s="132" t="str">
        <f>IF(ISBLANK('6.2Ratemaking Data'!E15),"",'6.2Ratemaking Data'!E15)</f>
        <v/>
      </c>
      <c r="D16" s="132" t="str">
        <f>IF(ISBLANK('6.2Ratemaking Data'!F15),"",'6.2Ratemaking Data'!F15)</f>
        <v/>
      </c>
      <c r="E16" s="132" t="str">
        <f>IF(ISBLANK('6.2Ratemaking Data'!G15),"",'6.2Ratemaking Data'!G15)</f>
        <v/>
      </c>
      <c r="F16" s="132" t="str">
        <f>IF(ISBLANK('6.2Ratemaking Data'!H15),"",'6.2Ratemaking Data'!H15)</f>
        <v/>
      </c>
      <c r="G16" s="132">
        <f>IF(ISBLANK('6.2Ratemaking Data'!I15),"",'6.2Ratemaking Data'!I15)</f>
        <v>70072158.75999999</v>
      </c>
      <c r="H16" s="133">
        <f>IF(New_Program=TRUE,'6.2Ratemaking Data'!$K$15,SUM($B16:$G16))</f>
        <v>70072158.75999999</v>
      </c>
    </row>
    <row r="17" spans="1:10" x14ac:dyDescent="0.25">
      <c r="A17" s="134" t="s">
        <v>172</v>
      </c>
      <c r="B17" s="135" t="str">
        <f>IF(ISBLANK('6.2Ratemaking Data'!D16),"",'6.2Ratemaking Data'!D16)</f>
        <v/>
      </c>
      <c r="C17" s="135" t="str">
        <f>IF(ISBLANK('6.2Ratemaking Data'!E16),"",'6.2Ratemaking Data'!E16)</f>
        <v/>
      </c>
      <c r="D17" s="135" t="str">
        <f>IF(ISBLANK('6.2Ratemaking Data'!F16),"",'6.2Ratemaking Data'!F16)</f>
        <v/>
      </c>
      <c r="E17" s="135" t="str">
        <f>IF(ISBLANK('6.2Ratemaking Data'!G16),"",'6.2Ratemaking Data'!G16)</f>
        <v/>
      </c>
      <c r="F17" s="135" t="str">
        <f>IF(ISBLANK('6.2Ratemaking Data'!H16),"",'6.2Ratemaking Data'!H16)</f>
        <v/>
      </c>
      <c r="G17" s="135">
        <f>IF(ISBLANK('6.2Ratemaking Data'!I16),"",'6.2Ratemaking Data'!I16)</f>
        <v>69751182.780000001</v>
      </c>
      <c r="H17" s="136">
        <f>IF(New_Program=TRUE,'6.2Ratemaking Data'!$K$16,SUM($B17:$G17))</f>
        <v>69751182.780000001</v>
      </c>
    </row>
    <row r="18" spans="1:10" x14ac:dyDescent="0.25">
      <c r="A18" s="134" t="s">
        <v>174</v>
      </c>
      <c r="B18" s="137" t="str">
        <f>IF(ISBLANK('6.2Ratemaking Data'!D17),"",'6.2Ratemaking Data'!D17)</f>
        <v/>
      </c>
      <c r="C18" s="137" t="str">
        <f>IF(ISBLANK('6.2Ratemaking Data'!E17),"",'6.2Ratemaking Data'!E17)</f>
        <v/>
      </c>
      <c r="D18" s="137" t="str">
        <f>IF(ISBLANK('6.2Ratemaking Data'!F17),"",'6.2Ratemaking Data'!F17)</f>
        <v/>
      </c>
      <c r="E18" s="137" t="str">
        <f>IF(ISBLANK('6.2Ratemaking Data'!G17),"",'6.2Ratemaking Data'!G17)</f>
        <v/>
      </c>
      <c r="F18" s="137" t="str">
        <f>IF(ISBLANK('6.2Ratemaking Data'!H17),"",'6.2Ratemaking Data'!H17)</f>
        <v/>
      </c>
      <c r="G18" s="137">
        <f>IF(ISBLANK('6.2Ratemaking Data'!I17),"",'6.2Ratemaking Data'!I17)</f>
        <v>1</v>
      </c>
      <c r="H18" s="138"/>
    </row>
    <row r="19" spans="1:10" x14ac:dyDescent="0.25">
      <c r="A19" s="134" t="s">
        <v>175</v>
      </c>
      <c r="B19" s="137" t="str">
        <f>IF(ISBLANK('6.2Ratemaking Data'!D18),"",'6.2Ratemaking Data'!D18)</f>
        <v/>
      </c>
      <c r="C19" s="137" t="str">
        <f>IF(ISBLANK('6.2Ratemaking Data'!E18),"",'6.2Ratemaking Data'!E18)</f>
        <v/>
      </c>
      <c r="D19" s="137" t="str">
        <f>IF(ISBLANK('6.2Ratemaking Data'!F18),"",'6.2Ratemaking Data'!F18)</f>
        <v/>
      </c>
      <c r="E19" s="137" t="str">
        <f>IF(ISBLANK('6.2Ratemaking Data'!G18),"",'6.2Ratemaking Data'!G18)</f>
        <v/>
      </c>
      <c r="F19" s="137" t="str">
        <f>IF(ISBLANK('6.2Ratemaking Data'!H18),"",'6.2Ratemaking Data'!H18)</f>
        <v/>
      </c>
      <c r="G19" s="137">
        <f>IF(ISBLANK('6.2Ratemaking Data'!I18),"",'6.2Ratemaking Data'!I18)</f>
        <v>0.94426702865741596</v>
      </c>
      <c r="H19" s="144">
        <f>IF(New_Program=TRUE,0,'6.2Ratemaking Data'!$J$18)</f>
        <v>-2.5165179403483E-2</v>
      </c>
    </row>
    <row r="20" spans="1:10" x14ac:dyDescent="0.25">
      <c r="A20" s="134" t="s">
        <v>176</v>
      </c>
      <c r="B20" s="135" t="str">
        <f>IF(ISBLANK('6.2Ratemaking Data'!D19),"",'6.2Ratemaking Data'!D19)</f>
        <v/>
      </c>
      <c r="C20" s="135" t="str">
        <f>IF(ISBLANK('6.2Ratemaking Data'!E19),"",'6.2Ratemaking Data'!E19)</f>
        <v/>
      </c>
      <c r="D20" s="135" t="str">
        <f>IF(ISBLANK('6.2Ratemaking Data'!F19),"",'6.2Ratemaking Data'!F19)</f>
        <v/>
      </c>
      <c r="E20" s="135" t="str">
        <f>IF(ISBLANK('6.2Ratemaking Data'!G19),"",'6.2Ratemaking Data'!G19)</f>
        <v/>
      </c>
      <c r="F20" s="135" t="str">
        <f>IF(ISBLANK('6.2Ratemaking Data'!H19),"",'6.2Ratemaking Data'!H19)</f>
        <v/>
      </c>
      <c r="G20" s="135">
        <f>IF(ISBLANK('6.2Ratemaking Data'!I19),"",'6.2Ratemaking Data'!I19)</f>
        <v>0</v>
      </c>
      <c r="H20" s="136">
        <f>IF(New_Program=TRUE,'6.2Ratemaking Data'!$K$19,SUM($B20:$G20))</f>
        <v>0</v>
      </c>
    </row>
    <row r="21" spans="1:10" x14ac:dyDescent="0.25">
      <c r="A21" s="134" t="s">
        <v>177</v>
      </c>
      <c r="B21" s="135" t="str">
        <f>IF(ISBLANK('6.2Ratemaking Data'!D20),"",'6.2Ratemaking Data'!D20)</f>
        <v/>
      </c>
      <c r="C21" s="135" t="str">
        <f>IF(ISBLANK('6.2Ratemaking Data'!E20),"",'6.2Ratemaking Data'!E20)</f>
        <v/>
      </c>
      <c r="D21" s="135" t="str">
        <f>IF(ISBLANK('6.2Ratemaking Data'!F20),"",'6.2Ratemaking Data'!F20)</f>
        <v/>
      </c>
      <c r="E21" s="135" t="str">
        <f>IF(ISBLANK('6.2Ratemaking Data'!G20),"",'6.2Ratemaking Data'!G20)</f>
        <v/>
      </c>
      <c r="F21" s="135" t="str">
        <f>IF(ISBLANK('6.2Ratemaking Data'!H20),"",'6.2Ratemaking Data'!H20)</f>
        <v/>
      </c>
      <c r="G21" s="135">
        <f>IF(ISBLANK('6.2Ratemaking Data'!I20),"",'6.2Ratemaking Data'!I20)</f>
        <v>2055428</v>
      </c>
      <c r="H21" s="136">
        <f>IF(New_Program=TRUE,'6.2Ratemaking Data'!$K$20,SUM($B21:$G21))</f>
        <v>2055428</v>
      </c>
      <c r="J21" s="126"/>
    </row>
    <row r="22" spans="1:10" x14ac:dyDescent="0.25">
      <c r="A22" s="134" t="s">
        <v>178</v>
      </c>
      <c r="B22" s="135" t="str">
        <f>IF(ISBLANK('6.2Ratemaking Data'!D21),"",'6.2Ratemaking Data'!D21)</f>
        <v/>
      </c>
      <c r="C22" s="135" t="str">
        <f>IF(ISBLANK('6.2Ratemaking Data'!E21),"",'6.2Ratemaking Data'!E21)</f>
        <v/>
      </c>
      <c r="D22" s="135" t="str">
        <f>IF(ISBLANK('6.2Ratemaking Data'!F21),"",'6.2Ratemaking Data'!F21)</f>
        <v/>
      </c>
      <c r="E22" s="135" t="str">
        <f>IF(ISBLANK('6.2Ratemaking Data'!G21),"",'6.2Ratemaking Data'!G21)</f>
        <v/>
      </c>
      <c r="F22" s="135" t="str">
        <f>IF(ISBLANK('6.2Ratemaking Data'!H21),"",'6.2Ratemaking Data'!H21)</f>
        <v/>
      </c>
      <c r="G22" s="135">
        <f>IF(ISBLANK('6.2Ratemaking Data'!I21),"",'6.2Ratemaking Data'!I21)</f>
        <v>40123760.140000008</v>
      </c>
      <c r="H22" s="136">
        <f>IF(New_Program=TRUE,'6.2Ratemaking Data'!$K$21,SUM($B22:$G22))</f>
        <v>40123760.140000008</v>
      </c>
      <c r="J22" s="126"/>
    </row>
    <row r="23" spans="1:10" x14ac:dyDescent="0.25">
      <c r="A23" s="134" t="s">
        <v>144</v>
      </c>
      <c r="B23" s="135" t="str">
        <f>IF(ISBLANK('6.2Ratemaking Data'!D22),"",'6.2Ratemaking Data'!D22)</f>
        <v/>
      </c>
      <c r="C23" s="135" t="str">
        <f>IF(ISBLANK('6.2Ratemaking Data'!E22),"",'6.2Ratemaking Data'!E22)</f>
        <v/>
      </c>
      <c r="D23" s="135" t="str">
        <f>IF(ISBLANK('6.2Ratemaking Data'!F22),"",'6.2Ratemaking Data'!F22)</f>
        <v/>
      </c>
      <c r="E23" s="135" t="str">
        <f>IF(ISBLANK('6.2Ratemaking Data'!G22),"",'6.2Ratemaking Data'!G22)</f>
        <v/>
      </c>
      <c r="F23" s="135" t="str">
        <f>IF(ISBLANK('6.2Ratemaking Data'!H22),"",'6.2Ratemaking Data'!H22)</f>
        <v/>
      </c>
      <c r="G23" s="135">
        <f>IF(ISBLANK('6.2Ratemaking Data'!I22),"",'6.2Ratemaking Data'!I22)</f>
        <v>41393.03</v>
      </c>
      <c r="H23" s="136">
        <f>IF(New_Program=TRUE,'6.2Ratemaking Data'!$K$22,SUM($B23:$G23))</f>
        <v>41393.03</v>
      </c>
      <c r="J23" s="126"/>
    </row>
    <row r="24" spans="1:10" x14ac:dyDescent="0.25">
      <c r="A24" s="134" t="s">
        <v>181</v>
      </c>
      <c r="B24" s="137" t="str">
        <f>IF(ISBLANK('6.2Ratemaking Data'!D23),"",'6.2Ratemaking Data'!D23)</f>
        <v/>
      </c>
      <c r="C24" s="137" t="str">
        <f>IF(ISBLANK('6.2Ratemaking Data'!E23),"",'6.2Ratemaking Data'!E23)</f>
        <v/>
      </c>
      <c r="D24" s="137" t="str">
        <f>IF(ISBLANK('6.2Ratemaking Data'!F23),"",'6.2Ratemaking Data'!F23)</f>
        <v/>
      </c>
      <c r="E24" s="137" t="str">
        <f>IF(ISBLANK('6.2Ratemaking Data'!G23),"",'6.2Ratemaking Data'!G23)</f>
        <v/>
      </c>
      <c r="F24" s="137" t="str">
        <f>IF(ISBLANK('6.2Ratemaking Data'!H23),"",'6.2Ratemaking Data'!H23)</f>
        <v/>
      </c>
      <c r="G24" s="137">
        <f>IF(ISBLANK('6.2Ratemaking Data'!I23),"",'6.2Ratemaking Data'!I23)</f>
        <v>1.3599309540670388</v>
      </c>
      <c r="H24" s="138"/>
    </row>
    <row r="25" spans="1:10" x14ac:dyDescent="0.25">
      <c r="A25" s="134" t="s">
        <v>182</v>
      </c>
      <c r="B25" s="137" t="str">
        <f>IF(ISBLANK('6.2Ratemaking Data'!D24),"",'6.2Ratemaking Data'!D24)</f>
        <v/>
      </c>
      <c r="C25" s="137" t="str">
        <f>IF(ISBLANK('6.2Ratemaking Data'!E24),"",'6.2Ratemaking Data'!E24)</f>
        <v/>
      </c>
      <c r="D25" s="137" t="str">
        <f>IF(ISBLANK('6.2Ratemaking Data'!F24),"",'6.2Ratemaking Data'!F24)</f>
        <v/>
      </c>
      <c r="E25" s="137" t="str">
        <f>IF(ISBLANK('6.2Ratemaking Data'!G24),"",'6.2Ratemaking Data'!G24)</f>
        <v/>
      </c>
      <c r="F25" s="137" t="str">
        <f>IF(ISBLANK('6.2Ratemaking Data'!H24),"",'6.2Ratemaking Data'!H24)</f>
        <v/>
      </c>
      <c r="G25" s="137">
        <f>IF(ISBLANK('6.2Ratemaking Data'!I24),"",'6.2Ratemaking Data'!I24)</f>
        <v>3.746179698721134</v>
      </c>
      <c r="H25" s="138"/>
    </row>
    <row r="26" spans="1:10" x14ac:dyDescent="0.25">
      <c r="A26" s="134" t="s">
        <v>179</v>
      </c>
      <c r="B26" s="137" t="str">
        <f>IF(ISBLANK('6.2Ratemaking Data'!D25),"",'6.2Ratemaking Data'!D25)</f>
        <v/>
      </c>
      <c r="C26" s="137" t="str">
        <f>IF(ISBLANK('6.2Ratemaking Data'!E25),"",'6.2Ratemaking Data'!E25)</f>
        <v/>
      </c>
      <c r="D26" s="137" t="str">
        <f>IF(ISBLANK('6.2Ratemaking Data'!F25),"",'6.2Ratemaking Data'!F25)</f>
        <v/>
      </c>
      <c r="E26" s="137" t="str">
        <f>IF(ISBLANK('6.2Ratemaking Data'!G25),"",'6.2Ratemaking Data'!G25)</f>
        <v/>
      </c>
      <c r="F26" s="137" t="str">
        <f>IF(ISBLANK('6.2Ratemaking Data'!H25),"",'6.2Ratemaking Data'!H25)</f>
        <v/>
      </c>
      <c r="G26" s="137">
        <f>IF(ISBLANK('6.2Ratemaking Data'!I25),"",'6.2Ratemaking Data'!I25)</f>
        <v>0.96196357263846621</v>
      </c>
      <c r="H26" s="144">
        <f>IF(New_Program=TRUE,0,'6.2Ratemaking Data'!$J$25)</f>
        <v>-1.708730309627382E-2</v>
      </c>
    </row>
    <row r="27" spans="1:10" x14ac:dyDescent="0.25">
      <c r="A27" s="134" t="s">
        <v>180</v>
      </c>
      <c r="B27" s="137" t="str">
        <f>IF(ISBLANK('6.2Ratemaking Data'!D26),"",'6.2Ratemaking Data'!D26)</f>
        <v/>
      </c>
      <c r="C27" s="137" t="str">
        <f>IF(ISBLANK('6.2Ratemaking Data'!E26),"",'6.2Ratemaking Data'!E26)</f>
        <v/>
      </c>
      <c r="D27" s="137" t="str">
        <f>IF(ISBLANK('6.2Ratemaking Data'!F26),"",'6.2Ratemaking Data'!F26)</f>
        <v/>
      </c>
      <c r="E27" s="137" t="str">
        <f>IF(ISBLANK('6.2Ratemaking Data'!G26),"",'6.2Ratemaking Data'!G26)</f>
        <v/>
      </c>
      <c r="F27" s="137" t="str">
        <f>IF(ISBLANK('6.2Ratemaking Data'!H26),"",'6.2Ratemaking Data'!H26)</f>
        <v/>
      </c>
      <c r="G27" s="137">
        <f>IF(ISBLANK('6.2Ratemaking Data'!I26),"",'6.2Ratemaking Data'!I26)</f>
        <v>0.96196357263846621</v>
      </c>
      <c r="H27" s="144">
        <f>IF(New_Program=TRUE,0,'6.2Ratemaking Data'!$J$26)</f>
        <v>-1.708730309627382E-2</v>
      </c>
    </row>
    <row r="28" spans="1:10" x14ac:dyDescent="0.25">
      <c r="A28" s="134" t="s">
        <v>183</v>
      </c>
      <c r="B28" s="137" t="str">
        <f>IF(ISBLANK('6.2Ratemaking Data'!D27),"",'6.2Ratemaking Data'!D27)</f>
        <v/>
      </c>
      <c r="C28" s="137" t="str">
        <f>IF(ISBLANK('6.2Ratemaking Data'!E27),"",'6.2Ratemaking Data'!E27)</f>
        <v/>
      </c>
      <c r="D28" s="137" t="str">
        <f>IF(ISBLANK('6.2Ratemaking Data'!F27),"",'6.2Ratemaking Data'!F27)</f>
        <v/>
      </c>
      <c r="E28" s="137" t="str">
        <f>IF(ISBLANK('6.2Ratemaking Data'!G27),"",'6.2Ratemaking Data'!G27)</f>
        <v/>
      </c>
      <c r="F28" s="137" t="str">
        <f>IF(ISBLANK('6.2Ratemaking Data'!H27),"",'6.2Ratemaking Data'!H27)</f>
        <v/>
      </c>
      <c r="G28" s="137">
        <f>IF(ISBLANK('6.2Ratemaking Data'!I27),"",'6.2Ratemaking Data'!I27)</f>
        <v>1</v>
      </c>
      <c r="H28" s="138"/>
    </row>
    <row r="29" spans="1:10" ht="15.75" thickBot="1" x14ac:dyDescent="0.3">
      <c r="A29" s="153" t="s">
        <v>188</v>
      </c>
      <c r="B29" s="154" t="str">
        <f>IF(ISBLANK('6.2Ratemaking Data'!D29),"",'6.2Ratemaking Data'!D29)</f>
        <v/>
      </c>
      <c r="C29" s="154" t="str">
        <f>IF(ISBLANK('6.2Ratemaking Data'!E29),"",'6.2Ratemaking Data'!E29)</f>
        <v/>
      </c>
      <c r="D29" s="154" t="str">
        <f>IF(ISBLANK('6.2Ratemaking Data'!F29),"",'6.2Ratemaking Data'!F29)</f>
        <v/>
      </c>
      <c r="E29" s="154" t="str">
        <f>IF(ISBLANK('6.2Ratemaking Data'!G29),"",'6.2Ratemaking Data'!G29)</f>
        <v/>
      </c>
      <c r="F29" s="154" t="str">
        <f>IF(ISBLANK('6.2Ratemaking Data'!H29),"",'6.2Ratemaking Data'!H29)</f>
        <v/>
      </c>
      <c r="G29" s="154">
        <f>IF(ISBLANK('6.2Ratemaking Data'!I29),"",'6.2Ratemaking Data'!I29)</f>
        <v>0</v>
      </c>
      <c r="H29" s="155">
        <f>IF(New_Program=TRUE,'6.2Ratemaking Data'!$K$29,SUM($B29:$G29))</f>
        <v>0</v>
      </c>
    </row>
    <row r="30" spans="1:10" ht="15.75" thickTop="1" x14ac:dyDescent="0.25">
      <c r="A30" s="134" t="s">
        <v>184</v>
      </c>
      <c r="B30" s="139"/>
      <c r="C30" s="139"/>
      <c r="D30" s="139"/>
      <c r="E30" s="139"/>
      <c r="F30" s="139"/>
      <c r="G30" s="139"/>
      <c r="H30" s="144">
        <f>IF(New_Program=TRUE,100%,'6.2Ratemaking Data'!$J$28)</f>
        <v>1</v>
      </c>
    </row>
    <row r="31" spans="1:10" x14ac:dyDescent="0.25">
      <c r="A31" s="134" t="s">
        <v>185</v>
      </c>
      <c r="B31" s="139"/>
      <c r="C31" s="139"/>
      <c r="D31" s="139"/>
      <c r="E31" s="139"/>
      <c r="F31" s="139"/>
      <c r="G31" s="139"/>
      <c r="H31" s="144">
        <f>ExpRatio_Excluded</f>
        <v>1.3597266477453115E-2</v>
      </c>
    </row>
    <row r="32" spans="1:10" x14ac:dyDescent="0.25">
      <c r="A32" s="134" t="s">
        <v>166</v>
      </c>
      <c r="B32" s="139"/>
      <c r="C32" s="139"/>
      <c r="D32" s="139"/>
      <c r="E32" s="139"/>
      <c r="F32" s="139"/>
      <c r="G32" s="139"/>
      <c r="H32" s="144">
        <f>FIT_Inv</f>
        <v>0.18752087399665437</v>
      </c>
    </row>
    <row r="33" spans="1:9" ht="15.75" thickBot="1" x14ac:dyDescent="0.3">
      <c r="A33" s="98" t="s">
        <v>165</v>
      </c>
      <c r="B33" s="140"/>
      <c r="C33" s="140"/>
      <c r="D33" s="140"/>
      <c r="E33" s="140"/>
      <c r="F33" s="140"/>
      <c r="G33" s="140"/>
      <c r="H33" s="141">
        <f>Yield</f>
        <v>8.8050065696007235E-2</v>
      </c>
    </row>
    <row r="34" spans="1:9" ht="5.0999999999999996" customHeight="1" x14ac:dyDescent="0.25"/>
    <row r="35" spans="1:9" ht="15.75" thickBot="1" x14ac:dyDescent="0.3">
      <c r="A35" s="130" t="s">
        <v>189</v>
      </c>
      <c r="E35" s="93"/>
      <c r="F35" s="93"/>
      <c r="G35" s="93"/>
    </row>
    <row r="36" spans="1:9" x14ac:dyDescent="0.25">
      <c r="A36" s="131" t="s">
        <v>167</v>
      </c>
      <c r="B36" s="142"/>
      <c r="C36" s="142"/>
      <c r="D36" s="142"/>
      <c r="E36" s="142"/>
      <c r="F36" s="142"/>
      <c r="G36" s="142"/>
      <c r="H36" s="149">
        <f>FIT_UW</f>
        <v>0.21</v>
      </c>
      <c r="I36" s="90"/>
    </row>
    <row r="37" spans="1:9" x14ac:dyDescent="0.25">
      <c r="A37" s="134" t="s">
        <v>190</v>
      </c>
      <c r="B37" s="90"/>
      <c r="C37" s="90"/>
      <c r="D37" s="90"/>
      <c r="E37" s="90"/>
      <c r="F37" s="693" t="s">
        <v>317</v>
      </c>
      <c r="G37" s="694">
        <f>update_effstd</f>
        <v>2020</v>
      </c>
      <c r="H37" s="144">
        <f ca="1">EffStd_Final02</f>
        <v>0.29732485720293622</v>
      </c>
    </row>
    <row r="38" spans="1:9" x14ac:dyDescent="0.25">
      <c r="A38" s="134" t="s">
        <v>191</v>
      </c>
      <c r="B38" s="90"/>
      <c r="C38" s="90"/>
      <c r="D38" s="90"/>
      <c r="E38" s="90"/>
      <c r="F38" s="693" t="s">
        <v>317</v>
      </c>
      <c r="G38" s="694">
        <f>update_leverage</f>
        <v>2020</v>
      </c>
      <c r="H38" s="190">
        <f ca="1">LevFact_Final02</f>
        <v>0.79714001147810298</v>
      </c>
    </row>
    <row r="39" spans="1:9" x14ac:dyDescent="0.25">
      <c r="A39" s="134" t="s">
        <v>192</v>
      </c>
      <c r="B39" s="90"/>
      <c r="C39" s="90"/>
      <c r="D39" s="90"/>
      <c r="E39" s="90"/>
      <c r="F39" s="693"/>
      <c r="G39" s="693"/>
      <c r="H39" s="144">
        <f>PremTaxRate</f>
        <v>2.35E-2</v>
      </c>
    </row>
    <row r="40" spans="1:9" x14ac:dyDescent="0.25">
      <c r="A40" s="134" t="s">
        <v>193</v>
      </c>
      <c r="B40" s="90"/>
      <c r="C40" s="90"/>
      <c r="D40" s="90"/>
      <c r="E40" s="90"/>
      <c r="F40" s="693"/>
      <c r="G40" s="695"/>
      <c r="H40" s="191">
        <f ca="1">1/LevFact_Final02</f>
        <v>1.2544847650361224</v>
      </c>
    </row>
    <row r="41" spans="1:9" x14ac:dyDescent="0.25">
      <c r="A41" s="134" t="s">
        <v>198</v>
      </c>
      <c r="B41" s="90"/>
      <c r="C41" s="90"/>
      <c r="D41" s="90"/>
      <c r="E41" s="90"/>
      <c r="F41" s="693" t="s">
        <v>317</v>
      </c>
      <c r="G41" s="694">
        <f>update_reserveratios</f>
        <v>2020</v>
      </c>
      <c r="H41" s="191">
        <f ca="1">ResRatio_UPR02</f>
        <v>0.32984149635237803</v>
      </c>
    </row>
    <row r="42" spans="1:9" x14ac:dyDescent="0.25">
      <c r="A42" s="192" t="s">
        <v>194</v>
      </c>
      <c r="B42" s="90"/>
      <c r="C42" s="90"/>
      <c r="D42" s="90"/>
      <c r="E42" s="90"/>
      <c r="F42" s="693" t="s">
        <v>317</v>
      </c>
      <c r="G42" s="694">
        <f>update_reserveratios</f>
        <v>2020</v>
      </c>
      <c r="H42" s="191">
        <f ca="1">ResRatio_Loss02</f>
        <v>1.2289421602119517</v>
      </c>
    </row>
    <row r="43" spans="1:9" x14ac:dyDescent="0.25">
      <c r="A43" s="192" t="s">
        <v>195</v>
      </c>
      <c r="B43" s="90"/>
      <c r="C43" s="90"/>
      <c r="D43" s="90"/>
      <c r="E43" s="90"/>
      <c r="F43" s="691" t="s">
        <v>317</v>
      </c>
      <c r="G43" s="691" t="str">
        <f>ROR_RiskFree_Date</f>
        <v>June 2022</v>
      </c>
      <c r="H43" s="692">
        <f>ROR_RiskFree</f>
        <v>2.2799999999999997E-2</v>
      </c>
      <c r="I43" s="20" t="s">
        <v>732</v>
      </c>
    </row>
    <row r="44" spans="1:9" x14ac:dyDescent="0.25">
      <c r="A44" s="192" t="s">
        <v>197</v>
      </c>
      <c r="B44" s="90"/>
      <c r="C44" s="90"/>
      <c r="D44" s="90"/>
      <c r="E44" s="90"/>
      <c r="F44" s="90"/>
      <c r="G44" s="90"/>
      <c r="H44" s="286">
        <f>ROR_Min</f>
        <v>-0.06</v>
      </c>
      <c r="I44" s="20"/>
    </row>
    <row r="45" spans="1:9" ht="15.75" thickBot="1" x14ac:dyDescent="0.3">
      <c r="A45" s="193" t="s">
        <v>196</v>
      </c>
      <c r="B45" s="140"/>
      <c r="C45" s="140"/>
      <c r="D45" s="140"/>
      <c r="E45" s="140"/>
      <c r="F45" s="140"/>
      <c r="G45" s="140"/>
      <c r="H45" s="287">
        <f>ROR_Max</f>
        <v>8.2799999999999999E-2</v>
      </c>
    </row>
    <row r="46" spans="1:9" ht="5.0999999999999996" customHeight="1" x14ac:dyDescent="0.25"/>
    <row r="47" spans="1:9" ht="15.75" thickBot="1" x14ac:dyDescent="0.3">
      <c r="A47" s="130" t="s">
        <v>234</v>
      </c>
      <c r="B47" s="285" t="str">
        <f>'6.2Ratemaking Data'!D$14</f>
        <v>20171</v>
      </c>
      <c r="C47" s="285" t="str">
        <f>'6.2Ratemaking Data'!E$14</f>
        <v>20181</v>
      </c>
      <c r="D47" s="285" t="str">
        <f>'6.2Ratemaking Data'!F$14</f>
        <v>20191</v>
      </c>
      <c r="E47" s="285" t="str">
        <f>'6.2Ratemaking Data'!G$14</f>
        <v>20201</v>
      </c>
      <c r="F47" s="285" t="str">
        <f>'6.2Ratemaking Data'!H$14</f>
        <v>20211</v>
      </c>
      <c r="G47" s="285">
        <f>'6.2Ratemaking Data'!I$14</f>
        <v>20221</v>
      </c>
    </row>
    <row r="48" spans="1:9" x14ac:dyDescent="0.25">
      <c r="A48" s="131" t="s">
        <v>199</v>
      </c>
      <c r="B48" s="132" t="str">
        <f t="shared" ref="B48:G48" si="0">IF(ISERROR(Prem_Earned*Prem_Adj*Prem_Trend+Misc_Fees),"",Prem_Earned*Prem_Adj*Prem_Trend+Misc_Fees)</f>
        <v/>
      </c>
      <c r="C48" s="132" t="str">
        <f t="shared" si="0"/>
        <v/>
      </c>
      <c r="D48" s="132" t="str">
        <f t="shared" si="0"/>
        <v/>
      </c>
      <c r="E48" s="132" t="str">
        <f t="shared" si="0"/>
        <v/>
      </c>
      <c r="F48" s="132" t="str">
        <f t="shared" si="0"/>
        <v/>
      </c>
      <c r="G48" s="132">
        <f t="shared" si="0"/>
        <v>65863742.10901092</v>
      </c>
      <c r="H48" s="133">
        <f>IF(New_Program=TRUE,(Prem_Earned+Misc_Fees),SUM($B48:$G48))</f>
        <v>65863742.10901092</v>
      </c>
    </row>
    <row r="49" spans="1:9" x14ac:dyDescent="0.25">
      <c r="A49" s="134" t="s">
        <v>200</v>
      </c>
      <c r="B49" s="135" t="str">
        <f t="shared" ref="B49:G49" si="1">IF(ISERROR(Losses*Loss_Devt*CAT_Adj*Loss_Trend),"",Losses*Loss_Devt*CAT_Adj*Loss_Trend)</f>
        <v/>
      </c>
      <c r="C49" s="135" t="str">
        <f t="shared" si="1"/>
        <v/>
      </c>
      <c r="D49" s="135" t="str">
        <f t="shared" si="1"/>
        <v/>
      </c>
      <c r="E49" s="135" t="str">
        <f t="shared" si="1"/>
        <v/>
      </c>
      <c r="F49" s="135" t="str">
        <f t="shared" si="1"/>
        <v/>
      </c>
      <c r="G49" s="135">
        <f t="shared" si="1"/>
        <v>52490065.079668231</v>
      </c>
      <c r="H49" s="136">
        <f>IF(New_Program=TRUE,Losses,SUM($B49:$G49))</f>
        <v>52490065.079668231</v>
      </c>
    </row>
    <row r="50" spans="1:9" x14ac:dyDescent="0.25">
      <c r="A50" s="134" t="s">
        <v>201</v>
      </c>
      <c r="B50" s="135" t="str">
        <f t="shared" ref="B50:G50" si="2">IF(ISERROR(DCCE*DCCE_Devt*CAT_Adj*DCCE_Trend),"",DCCE*DCCE_Devt*CAT_Adj*DCCE_Trend)</f>
        <v/>
      </c>
      <c r="C50" s="135" t="str">
        <f t="shared" si="2"/>
        <v/>
      </c>
      <c r="D50" s="135" t="str">
        <f t="shared" si="2"/>
        <v/>
      </c>
      <c r="E50" s="135" t="str">
        <f t="shared" si="2"/>
        <v/>
      </c>
      <c r="F50" s="135" t="str">
        <f t="shared" si="2"/>
        <v/>
      </c>
      <c r="G50" s="135">
        <f t="shared" si="2"/>
        <v>149167.58233032259</v>
      </c>
      <c r="H50" s="136">
        <f>IF(New_Program=TRUE,DCCE,SUM($B50:$G50))</f>
        <v>149167.58233032259</v>
      </c>
    </row>
    <row r="51" spans="1:9" x14ac:dyDescent="0.25">
      <c r="A51" s="134" t="s">
        <v>202</v>
      </c>
      <c r="B51" s="143" t="str">
        <f t="shared" ref="B51:H51" si="3">IF(ISERROR((B49+B50)/B48),"",(B49+B50)/B48)</f>
        <v/>
      </c>
      <c r="C51" s="143" t="str">
        <f t="shared" si="3"/>
        <v/>
      </c>
      <c r="D51" s="143" t="str">
        <f t="shared" si="3"/>
        <v/>
      </c>
      <c r="E51" s="143" t="str">
        <f t="shared" si="3"/>
        <v/>
      </c>
      <c r="F51" s="143" t="str">
        <f t="shared" si="3"/>
        <v/>
      </c>
      <c r="G51" s="143">
        <f t="shared" si="3"/>
        <v>0.79921411958153676</v>
      </c>
      <c r="H51" s="144">
        <f t="shared" si="3"/>
        <v>0.79921411958153676</v>
      </c>
    </row>
    <row r="52" spans="1:9" x14ac:dyDescent="0.25">
      <c r="A52" s="134" t="s">
        <v>215</v>
      </c>
      <c r="B52" s="576" t="str">
        <f t="shared" ref="B52:H52" si="4">IF(ISERROR(Prem_Adjusted/Exposures_Earned),"",Prem_Adjusted/Exposures_Earned)</f>
        <v/>
      </c>
      <c r="C52" s="576" t="str">
        <f t="shared" si="4"/>
        <v/>
      </c>
      <c r="D52" s="576" t="str">
        <f t="shared" si="4"/>
        <v/>
      </c>
      <c r="E52" s="576" t="str">
        <f t="shared" si="4"/>
        <v/>
      </c>
      <c r="F52" s="576" t="str">
        <f t="shared" si="4"/>
        <v/>
      </c>
      <c r="G52" s="576">
        <f t="shared" si="4"/>
        <v>32.043808933716441</v>
      </c>
      <c r="H52" s="147">
        <f t="shared" si="4"/>
        <v>32.043808933716441</v>
      </c>
    </row>
    <row r="53" spans="1:9" x14ac:dyDescent="0.25">
      <c r="A53" s="134" t="s">
        <v>203</v>
      </c>
      <c r="B53" s="576" t="str">
        <f t="shared" ref="B53:H53" si="5">IF(ISERROR((Losses_Adjusted+DCCE_Adjusted)/Exposures_Earned),"",(Losses_Adjusted+DCCE_Adjusted)/Exposures_Earned)</f>
        <v/>
      </c>
      <c r="C53" s="576" t="str">
        <f t="shared" si="5"/>
        <v/>
      </c>
      <c r="D53" s="576" t="str">
        <f t="shared" si="5"/>
        <v/>
      </c>
      <c r="E53" s="576" t="str">
        <f t="shared" si="5"/>
        <v/>
      </c>
      <c r="F53" s="576" t="str">
        <f t="shared" si="5"/>
        <v/>
      </c>
      <c r="G53" s="576">
        <f t="shared" si="5"/>
        <v>25.609864544999169</v>
      </c>
      <c r="H53" s="147">
        <f t="shared" si="5"/>
        <v>25.609864544999169</v>
      </c>
    </row>
    <row r="54" spans="1:9" x14ac:dyDescent="0.25">
      <c r="A54" s="134" t="s">
        <v>204</v>
      </c>
      <c r="B54" s="576" t="str">
        <f t="shared" ref="B54:H54" ca="1" si="6">IF(ISERROR((TCRLP_perExp*(1+Comp_Trend)*Max_Denom+Anc_Inc_perExp)/(1-InvInc_Fixed)),"",(TCRLP_perExp*(1+Comp_Trend)*Max_Denom+Anc_Inc_perExp)/(1-InvInc_Fixed))</f>
        <v/>
      </c>
      <c r="C54" s="576" t="str">
        <f t="shared" ca="1" si="6"/>
        <v/>
      </c>
      <c r="D54" s="576" t="str">
        <f t="shared" ca="1" si="6"/>
        <v/>
      </c>
      <c r="E54" s="576" t="str">
        <f t="shared" ca="1" si="6"/>
        <v/>
      </c>
      <c r="F54" s="576" t="str">
        <f t="shared" ca="1" si="6"/>
        <v/>
      </c>
      <c r="G54" s="576">
        <f t="shared" ca="1" si="6"/>
        <v>26.340907452895234</v>
      </c>
      <c r="H54" s="147">
        <f t="shared" ca="1" si="6"/>
        <v>26.340907452895234</v>
      </c>
    </row>
    <row r="55" spans="1:9" x14ac:dyDescent="0.25">
      <c r="A55" s="134" t="s">
        <v>214</v>
      </c>
      <c r="B55" s="576" t="str">
        <f t="shared" ref="B55:H55" ca="1" si="7">IF(ISERROR(Credibility*LossDCCE_perExp+(1-Credibility)*CompLossDCCE_perExp),"",Credibility*LossDCCE_perExp+(1-Credibility)*CompLossDCCE_perExp)</f>
        <v/>
      </c>
      <c r="C55" s="576" t="str">
        <f t="shared" ca="1" si="7"/>
        <v/>
      </c>
      <c r="D55" s="576" t="str">
        <f t="shared" ca="1" si="7"/>
        <v/>
      </c>
      <c r="E55" s="576" t="str">
        <f t="shared" ca="1" si="7"/>
        <v/>
      </c>
      <c r="F55" s="576" t="str">
        <f t="shared" ca="1" si="7"/>
        <v/>
      </c>
      <c r="G55" s="576">
        <f t="shared" ca="1" si="7"/>
        <v>25.609864544999169</v>
      </c>
      <c r="H55" s="147">
        <f t="shared" ca="1" si="7"/>
        <v>25.609864544999169</v>
      </c>
    </row>
    <row r="56" spans="1:9" ht="15.75" thickBot="1" x14ac:dyDescent="0.3">
      <c r="A56" s="153" t="s">
        <v>216</v>
      </c>
      <c r="B56" s="250" t="str">
        <f t="shared" ref="B56:H56" si="8">IF(ISERROR(Anc_Income/Exposures_Earned),"",Anc_Income/Exposures_Earned)</f>
        <v/>
      </c>
      <c r="C56" s="250" t="str">
        <f t="shared" si="8"/>
        <v/>
      </c>
      <c r="D56" s="250" t="str">
        <f t="shared" si="8"/>
        <v/>
      </c>
      <c r="E56" s="250" t="str">
        <f t="shared" si="8"/>
        <v/>
      </c>
      <c r="F56" s="250" t="str">
        <f t="shared" si="8"/>
        <v/>
      </c>
      <c r="G56" s="250">
        <f t="shared" si="8"/>
        <v>0</v>
      </c>
      <c r="H56" s="251">
        <f t="shared" si="8"/>
        <v>0</v>
      </c>
    </row>
    <row r="57" spans="1:9" ht="15.75" thickTop="1" x14ac:dyDescent="0.25">
      <c r="A57" s="134" t="s">
        <v>217</v>
      </c>
      <c r="B57" s="90"/>
      <c r="C57" s="90"/>
      <c r="D57" s="90"/>
      <c r="E57" s="90"/>
      <c r="F57" s="90"/>
      <c r="G57" s="90"/>
      <c r="H57" s="144">
        <f ca="1">Yield*((1-FIT_Inv)/(1-FIT_UW))*ResRatio_Loss02</f>
        <v>0.11128746466623216</v>
      </c>
    </row>
    <row r="58" spans="1:9" x14ac:dyDescent="0.25">
      <c r="A58" s="134" t="s">
        <v>218</v>
      </c>
      <c r="B58" s="90"/>
      <c r="C58" s="90"/>
      <c r="D58" s="90"/>
      <c r="E58" s="90"/>
      <c r="F58" s="90"/>
      <c r="G58" s="90"/>
      <c r="H58" s="144">
        <f ca="1">Yield*((1-FIT_Inv)/(1-FIT_UW))*(ResRatio_UPR02+SurplusRatio)</f>
        <v>0.14346944758054997</v>
      </c>
    </row>
    <row r="59" spans="1:9" x14ac:dyDescent="0.25">
      <c r="A59" s="134" t="s">
        <v>206</v>
      </c>
      <c r="B59" s="145"/>
      <c r="C59" s="145"/>
      <c r="D59" s="145"/>
      <c r="E59" s="145"/>
      <c r="F59" s="145"/>
      <c r="G59" s="145"/>
      <c r="H59" s="144">
        <f>(1+Loss_AnnualTrend)/(1+Prem_AnnualTrend)-1</f>
        <v>8.2864051801783134E-3</v>
      </c>
    </row>
    <row r="60" spans="1:9" x14ac:dyDescent="0.25">
      <c r="A60" s="134" t="s">
        <v>205</v>
      </c>
      <c r="B60" s="145"/>
      <c r="C60" s="145"/>
      <c r="D60" s="145"/>
      <c r="E60" s="145"/>
      <c r="F60" s="145"/>
      <c r="G60" s="145"/>
      <c r="H60" s="144">
        <f>IF(New_Program=TRUE,0,(1+Net_AnnualTrend)^MIN(4,((EffDate_Proposed-EffDate_Prior02)/365.25))-1)</f>
        <v>2.2226853164579063E-2</v>
      </c>
    </row>
    <row r="61" spans="1:9" x14ac:dyDescent="0.25">
      <c r="A61" s="134" t="s">
        <v>207</v>
      </c>
      <c r="B61" s="145"/>
      <c r="C61" s="145"/>
      <c r="D61" s="145"/>
      <c r="E61" s="145"/>
      <c r="F61" s="145"/>
      <c r="G61" s="145"/>
      <c r="H61" s="144">
        <f ca="1">(ROR_Max)/(LevFact_Final02*(1-FIT_UW))</f>
        <v>0.13148270701897588</v>
      </c>
    </row>
    <row r="62" spans="1:9" x14ac:dyDescent="0.25">
      <c r="A62" s="134" t="s">
        <v>208</v>
      </c>
      <c r="B62" s="90"/>
      <c r="C62" s="90"/>
      <c r="D62" s="90"/>
      <c r="E62" s="90"/>
      <c r="F62" s="90"/>
      <c r="G62" s="90"/>
      <c r="H62" s="144">
        <f ca="1">(ROR_Min)/(LevFact_Final02*(1-FIT_UW))</f>
        <v>-9.5277323926794111E-2</v>
      </c>
    </row>
    <row r="63" spans="1:9" x14ac:dyDescent="0.25">
      <c r="A63" s="134" t="s">
        <v>209</v>
      </c>
      <c r="B63" s="90"/>
      <c r="C63" s="90"/>
      <c r="D63" s="90"/>
      <c r="E63" s="90"/>
      <c r="F63" s="90"/>
      <c r="G63" s="90"/>
      <c r="H63" s="144">
        <f ca="1">1-CredLossDCCE_perExp/Max_Premium-EffStd_Final02</f>
        <v>-0.10147901835723683</v>
      </c>
      <c r="I63" s="252"/>
    </row>
    <row r="64" spans="1:9" x14ac:dyDescent="0.25">
      <c r="A64" s="134" t="s">
        <v>211</v>
      </c>
      <c r="B64" s="90"/>
      <c r="C64" s="90"/>
      <c r="D64" s="90"/>
      <c r="E64" s="90"/>
      <c r="F64" s="90"/>
      <c r="G64" s="90"/>
      <c r="H64" s="146">
        <f ca="1">1-EffStd_Final02-Min_Profit+InvInc_Variable</f>
        <v>0.9414219143044078</v>
      </c>
      <c r="I64" s="252"/>
    </row>
    <row r="65" spans="1:9" x14ac:dyDescent="0.25">
      <c r="A65" s="134" t="s">
        <v>210</v>
      </c>
      <c r="B65" s="90"/>
      <c r="C65" s="90"/>
      <c r="D65" s="90"/>
      <c r="E65" s="90"/>
      <c r="F65" s="90"/>
      <c r="G65" s="90"/>
      <c r="H65" s="146">
        <f ca="1">1-EffStd_Final02-Max_Profit+InvInc_Variable</f>
        <v>0.71466188335863778</v>
      </c>
      <c r="I65" s="473" t="str">
        <f>IF(AND(Error35="",Error36=""),"","See Column H of Page '3.2YieldFIT' for errors that must be corrected.")</f>
        <v/>
      </c>
    </row>
    <row r="66" spans="1:9" x14ac:dyDescent="0.25">
      <c r="A66" s="134" t="s">
        <v>213</v>
      </c>
      <c r="B66" s="90"/>
      <c r="C66" s="90"/>
      <c r="D66" s="90"/>
      <c r="E66" s="90"/>
      <c r="F66" s="90"/>
      <c r="G66" s="90"/>
      <c r="H66" s="577">
        <f ca="1">(CredLossDCCE_perExp*(1-InvInc_Fixed)-Anc_Inc_perExp)/Min_Denom</f>
        <v>24.175990917055731</v>
      </c>
      <c r="I66" s="473" t="str">
        <f>IF(Error38="","","See Column F of Page '4.2Excluded Exp' for errors that must be corrected.")</f>
        <v/>
      </c>
    </row>
    <row r="67" spans="1:9" ht="15.75" thickBot="1" x14ac:dyDescent="0.3">
      <c r="A67" s="134" t="s">
        <v>212</v>
      </c>
      <c r="B67" s="90"/>
      <c r="C67" s="90"/>
      <c r="D67" s="90"/>
      <c r="E67" s="90"/>
      <c r="F67" s="90"/>
      <c r="G67" s="90"/>
      <c r="H67" s="577">
        <f ca="1">(CredLossDCCE_perExp*(1-InvInc_Fixed)-Anc_Inc_perExp)/Max_Denom</f>
        <v>31.846958931653361</v>
      </c>
      <c r="I67" s="471" t="str">
        <f>IF(Error34="","","See Column I of Page '2.Summary' for errors that must be corrected.")</f>
        <v/>
      </c>
    </row>
    <row r="68" spans="1:9" x14ac:dyDescent="0.25">
      <c r="A68" s="95" t="s">
        <v>235</v>
      </c>
      <c r="B68" s="90"/>
      <c r="C68" s="90"/>
      <c r="D68" s="90"/>
      <c r="E68" s="90"/>
      <c r="F68" s="90"/>
      <c r="G68" s="90"/>
      <c r="H68" s="289">
        <f ca="1">IF(AND(I65="",I66="",I67="",I68="",I69=""),(Min_Premium-Prem_Current)/Prem_Current,"Error")</f>
        <v>-0.24553317094529936</v>
      </c>
      <c r="I68" s="473" t="str">
        <f>IF(AND(Error00="",Error01="",Error02="",Error03="",Error04="",Error05="",Error06="",Error07="",Error08="",Error09="",Error10="",Error11="",Error12="",Error13="",Error14="",Error15="",Error16="",Error37=""),"","See Column J of Page '1.General' for errors that must be corrected.")</f>
        <v/>
      </c>
    </row>
    <row r="69" spans="1:9" ht="19.5" thickBot="1" x14ac:dyDescent="0.3">
      <c r="A69" s="96" t="s">
        <v>236</v>
      </c>
      <c r="B69" s="140"/>
      <c r="C69" s="140"/>
      <c r="D69" s="140"/>
      <c r="E69" s="140"/>
      <c r="F69" s="140"/>
      <c r="G69" s="140"/>
      <c r="H69" s="288">
        <f ca="1">IF(AND(I65="",I66="",I67="",I68="",I69=""),(Max_Premium-Prem_Current)/Prem_Current, "Error")</f>
        <v>-6.143152409573715E-3</v>
      </c>
      <c r="I69" s="471" t="str">
        <f>IF(AND('6.2Ratemaking Data'!Error17="",'6.2Ratemaking Data'!Error18="",'6.2Ratemaking Data'!Error19="",'6.2Ratemaking Data'!Error20="",'6.2Ratemaking Data'!Error21="",'6.2Ratemaking Data'!Error22="",'6.2Ratemaking Data'!Error23="",'6.2Ratemaking Data'!Error24="",'6.2Ratemaking Data'!Error25="",'6.2Ratemaking Data'!Error26="",'6.2Ratemaking Data'!Error27="",'6.2Ratemaking Data'!Error28="",'6.2Ratemaking Data'!Error29=""),"","See Column M of Page '6.2Ratemaking Data' for errors that must be corrected.")</f>
        <v/>
      </c>
    </row>
    <row r="70" spans="1:9" ht="5.0999999999999996" hidden="1" customHeight="1" x14ac:dyDescent="0.25"/>
    <row r="71" spans="1:9" ht="15.75" hidden="1" thickBot="1" x14ac:dyDescent="0.3">
      <c r="A71" s="130" t="s">
        <v>233</v>
      </c>
      <c r="B71" s="285" t="str">
        <f>'6.2Ratemaking Data'!D$14</f>
        <v>20171</v>
      </c>
      <c r="C71" s="285" t="str">
        <f>'6.2Ratemaking Data'!E$14</f>
        <v>20181</v>
      </c>
      <c r="D71" s="285" t="str">
        <f>'6.2Ratemaking Data'!F$14</f>
        <v>20191</v>
      </c>
      <c r="E71" s="285" t="str">
        <f>'6.2Ratemaking Data'!G$14</f>
        <v>20201</v>
      </c>
      <c r="F71" s="285" t="str">
        <f>'6.2Ratemaking Data'!H$14</f>
        <v>20211</v>
      </c>
      <c r="G71" s="285">
        <f>'6.2Ratemaking Data'!I$14</f>
        <v>20221</v>
      </c>
    </row>
    <row r="72" spans="1:9" hidden="1" x14ac:dyDescent="0.25">
      <c r="A72" s="148" t="s">
        <v>232</v>
      </c>
      <c r="B72" s="142"/>
      <c r="C72" s="142"/>
      <c r="D72" s="142"/>
      <c r="E72" s="142"/>
      <c r="F72" s="142"/>
      <c r="G72" s="142"/>
      <c r="H72" s="149" t="str">
        <f>IF(ISBLANK('6.2Ratemaking Data'!J44),"",'6.2Ratemaking Data'!J44)</f>
        <v/>
      </c>
    </row>
    <row r="73" spans="1:9" hidden="1" x14ac:dyDescent="0.25">
      <c r="A73" s="150" t="s">
        <v>219</v>
      </c>
      <c r="B73" s="135" t="str">
        <f>IF(ISBLANK('6.2Ratemaking Data'!D45),"",'6.2Ratemaking Data'!D45)</f>
        <v/>
      </c>
      <c r="C73" s="135" t="str">
        <f>IF(ISBLANK('6.2Ratemaking Data'!E45),"",'6.2Ratemaking Data'!E45)</f>
        <v/>
      </c>
      <c r="D73" s="135" t="str">
        <f>IF(ISBLANK('6.2Ratemaking Data'!F45),"",'6.2Ratemaking Data'!F45)</f>
        <v/>
      </c>
      <c r="E73" s="135" t="str">
        <f>IF(ISBLANK('6.2Ratemaking Data'!G45),"",'6.2Ratemaking Data'!G45)</f>
        <v/>
      </c>
      <c r="F73" s="135" t="str">
        <f>IF(ISBLANK('6.2Ratemaking Data'!H45),"",'6.2Ratemaking Data'!H45)</f>
        <v/>
      </c>
      <c r="G73" s="135" t="str">
        <f>IF(ISBLANK('6.2Ratemaking Data'!I45),"",'6.2Ratemaking Data'!I45)</f>
        <v/>
      </c>
      <c r="H73" s="136" t="str">
        <f ca="1">IF(RIGHT(Detailed_LineCode02,1)="R",IF(New_Program=TRUE,'6.2Ratemaking Data'!$K$45,SUM($B73:$G73)),"")</f>
        <v/>
      </c>
    </row>
    <row r="74" spans="1:9" hidden="1" x14ac:dyDescent="0.25">
      <c r="A74" s="150" t="s">
        <v>220</v>
      </c>
      <c r="B74" s="135" t="str">
        <f>IF(ISBLANK('6.2Ratemaking Data'!D46),"",'6.2Ratemaking Data'!D46)</f>
        <v/>
      </c>
      <c r="C74" s="135" t="str">
        <f>IF(ISBLANK('6.2Ratemaking Data'!E46),"",'6.2Ratemaking Data'!E46)</f>
        <v/>
      </c>
      <c r="D74" s="135" t="str">
        <f>IF(ISBLANK('6.2Ratemaking Data'!F46),"",'6.2Ratemaking Data'!F46)</f>
        <v/>
      </c>
      <c r="E74" s="135" t="str">
        <f>IF(ISBLANK('6.2Ratemaking Data'!G46),"",'6.2Ratemaking Data'!G46)</f>
        <v/>
      </c>
      <c r="F74" s="135" t="str">
        <f>IF(ISBLANK('6.2Ratemaking Data'!H46),"",'6.2Ratemaking Data'!H46)</f>
        <v/>
      </c>
      <c r="G74" s="135" t="str">
        <f>IF(ISBLANK('6.2Ratemaking Data'!I46),"",'6.2Ratemaking Data'!I46)</f>
        <v/>
      </c>
      <c r="H74" s="136">
        <f>IF(New_Program=TRUE,'6.2Ratemaking Data'!$K$46,SUM($B74:$G74))</f>
        <v>0</v>
      </c>
    </row>
    <row r="75" spans="1:9" hidden="1" x14ac:dyDescent="0.25">
      <c r="A75" s="150" t="s">
        <v>221</v>
      </c>
      <c r="B75" s="578" t="str">
        <f t="shared" ref="B75:H75" si="9">IF(ISERROR(Rein_Prem/Exposures_Earned),"",Rein_Prem/Exposures_Earned)</f>
        <v/>
      </c>
      <c r="C75" s="578" t="str">
        <f t="shared" si="9"/>
        <v/>
      </c>
      <c r="D75" s="578" t="str">
        <f t="shared" si="9"/>
        <v/>
      </c>
      <c r="E75" s="578" t="str">
        <f t="shared" si="9"/>
        <v/>
      </c>
      <c r="F75" s="578" t="str">
        <f t="shared" si="9"/>
        <v/>
      </c>
      <c r="G75" s="578" t="str">
        <f t="shared" si="9"/>
        <v/>
      </c>
      <c r="H75" s="577" t="str">
        <f t="shared" ca="1" si="9"/>
        <v/>
      </c>
    </row>
    <row r="76" spans="1:9" hidden="1" x14ac:dyDescent="0.25">
      <c r="A76" s="150" t="s">
        <v>222</v>
      </c>
      <c r="B76" s="578" t="str">
        <f t="shared" ref="B76:H76" si="10">IF(ISERROR(Rein_Recov/Exposures_Earned),"",Rein_Recov/Exposures_Earned)</f>
        <v/>
      </c>
      <c r="C76" s="578" t="str">
        <f t="shared" si="10"/>
        <v/>
      </c>
      <c r="D76" s="578" t="str">
        <f t="shared" si="10"/>
        <v/>
      </c>
      <c r="E76" s="578" t="str">
        <f t="shared" si="10"/>
        <v/>
      </c>
      <c r="F76" s="578" t="str">
        <f t="shared" si="10"/>
        <v/>
      </c>
      <c r="G76" s="578" t="str">
        <f t="shared" si="10"/>
        <v/>
      </c>
      <c r="H76" s="577">
        <f t="shared" si="10"/>
        <v>0</v>
      </c>
    </row>
    <row r="77" spans="1:9" hidden="1" x14ac:dyDescent="0.25">
      <c r="A77" s="150" t="s">
        <v>223</v>
      </c>
      <c r="B77" s="578" t="str">
        <f t="shared" ref="B77:H77" ca="1" si="11">IF(ISERROR((TCRLP_perExp*(1+Comp_Trend)*Max_Denom+Anc_Inc_perExp-ReinPrem_perExp*Max_Denom/(1-Comm_Rate-PremTaxRate))/(1-InvInc_Fixed)),"",(TCRLP_perExp*(1+Comp_Trend)*Max_Denom+Anc_Inc_perExp-ReinPrem_perExp*Max_Denom/(1-Comm_Rate-PremTaxRate))/(1-InvInc_Fixed))</f>
        <v/>
      </c>
      <c r="C77" s="578" t="str">
        <f t="shared" ca="1" si="11"/>
        <v/>
      </c>
      <c r="D77" s="578" t="str">
        <f t="shared" ca="1" si="11"/>
        <v/>
      </c>
      <c r="E77" s="578" t="str">
        <f t="shared" ca="1" si="11"/>
        <v/>
      </c>
      <c r="F77" s="578" t="str">
        <f t="shared" ca="1" si="11"/>
        <v/>
      </c>
      <c r="G77" s="578" t="str">
        <f t="shared" ca="1" si="11"/>
        <v/>
      </c>
      <c r="H77" s="577" t="str">
        <f t="shared" ca="1" si="11"/>
        <v/>
      </c>
    </row>
    <row r="78" spans="1:9" ht="15.75" hidden="1" thickBot="1" x14ac:dyDescent="0.3">
      <c r="A78" s="150" t="s">
        <v>224</v>
      </c>
      <c r="B78" s="90"/>
      <c r="C78" s="90"/>
      <c r="D78" s="90"/>
      <c r="E78" s="90"/>
      <c r="F78" s="90"/>
      <c r="G78" s="90"/>
      <c r="H78" s="577" t="e">
        <f ca="1">IF(H73=0,NA(),((((Credibility*(LossDCCE_perExp-ReinRec_perExp))+(1-Credibility)*CompLoss_Rein)*(1-InvInc_Fixed)-Anc_Inc_perExp)/Max_Denom)+ReinPrem_perExp/(1-Comm_Rate-PremTaxRate))</f>
        <v>#VALUE!</v>
      </c>
      <c r="I78" s="473"/>
    </row>
    <row r="79" spans="1:9" ht="19.5" hidden="1" thickBot="1" x14ac:dyDescent="0.3">
      <c r="A79" s="151" t="s">
        <v>225</v>
      </c>
      <c r="B79" s="140"/>
      <c r="C79" s="140"/>
      <c r="D79" s="140"/>
      <c r="E79" s="140"/>
      <c r="F79" s="140"/>
      <c r="G79" s="140"/>
      <c r="H79" s="485" t="e">
        <f ca="1">IF(I79="",IF($H$73=0,NA(),(ReinMax_Premium-Prem_Current)/Prem_Current),"Error")</f>
        <v>#VALUE!</v>
      </c>
      <c r="I79" s="471" t="str">
        <f>IF(AND('6.2Ratemaking Data'!Error30="",'6.2Ratemaking Data'!Error31="",'6.2Ratemaking Data'!Error32=""),"","See Column M of Page '6.2Ratemaking Data' for errors that must be corrected.")</f>
        <v/>
      </c>
    </row>
    <row r="80" spans="1:9" ht="26.25" x14ac:dyDescent="0.25">
      <c r="F80" s="787" t="s">
        <v>612</v>
      </c>
      <c r="G80" s="787"/>
      <c r="H80" s="787"/>
    </row>
    <row r="81" spans="1:1" x14ac:dyDescent="0.25">
      <c r="A81" s="152"/>
    </row>
  </sheetData>
  <sheetProtection algorithmName="SHA-512" hashValue="Ci2kwQtcbkiZXtCjEOYA7++OerCTzvetS5T7JWQ/3WHSmdYeklR5qUwQDo4vZxXH3811TXIfvaGHUPjmGM8FVA==" saltValue="VtPbsJelj7VRhDB+0CUhWQ==" spinCount="100000" sheet="1" objects="1" scenarios="1" formatColumns="0" formatRows="0" sort="0"/>
  <mergeCells count="1">
    <mergeCell ref="F80:H80"/>
  </mergeCells>
  <conditionalFormatting sqref="H79">
    <cfRule type="cellIs" dxfId="17" priority="3" operator="equal">
      <formula>"Error"</formula>
    </cfRule>
  </conditionalFormatting>
  <conditionalFormatting sqref="H68:H69">
    <cfRule type="cellIs" dxfId="16" priority="1" operator="equal">
      <formula>"Error"</formula>
    </cfRule>
  </conditionalFormatting>
  <hyperlinks>
    <hyperlink ref="F80" location="'Ratemaking Data (7)'!A1" display="Go to Ratemaking Data (7)" xr:uid="{00000000-0004-0000-1500-000000000000}"/>
    <hyperlink ref="F80:H80" location="'6.2Ratemaking Data'!A1" display="Go to 6.2Ratemaking Data" xr:uid="{00000000-0004-0000-1500-000001000000}"/>
  </hyperlinks>
  <printOptions horizontalCentered="1"/>
  <pageMargins left="0.45" right="0.45" top="0.5" bottom="0.5" header="0.3" footer="0.3"/>
  <pageSetup scale="72" orientation="portrait" r:id="rId1"/>
  <headerFooter>
    <oddFooter>&amp;CPrior Approval Rate Template&amp;RPage 7.2&amp;L01/11/2022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7349" r:id="rId4" name="btnYears">
              <controlPr defaultSize="0" print="0" autoFill="0" autoPict="0" macro="[0]!ExpandContractColsData">
                <anchor moveWithCells="1">
                  <from>
                    <xdr:col>5</xdr:col>
                    <xdr:colOff>19050</xdr:colOff>
                    <xdr:row>6</xdr:row>
                    <xdr:rowOff>0</xdr:rowOff>
                  </from>
                  <to>
                    <xdr:col>6</xdr:col>
                    <xdr:colOff>733425</xdr:colOff>
                    <xdr:row>8</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32">
    <tabColor theme="0" tint="-0.14999847407452621"/>
    <pageSetUpPr fitToPage="1"/>
  </sheetPr>
  <dimension ref="A1:J81"/>
  <sheetViews>
    <sheetView view="pageBreakPreview" topLeftCell="A18" zoomScaleNormal="100" zoomScaleSheetLayoutView="100" workbookViewId="0">
      <selection activeCell="H48" sqref="H48"/>
    </sheetView>
  </sheetViews>
  <sheetFormatPr defaultRowHeight="15" x14ac:dyDescent="0.25"/>
  <cols>
    <col min="1" max="1" width="28.28515625" style="14" customWidth="1"/>
    <col min="2" max="4" width="15.7109375" style="14" hidden="1" customWidth="1"/>
    <col min="5" max="8" width="17.42578125" style="14" customWidth="1"/>
    <col min="9" max="9" width="22.5703125" style="14" bestFit="1" customWidth="1"/>
    <col min="10" max="16384" width="9.140625" style="14"/>
  </cols>
  <sheetData>
    <row r="1" spans="1:8" x14ac:dyDescent="0.25">
      <c r="A1" s="10" t="s">
        <v>31</v>
      </c>
      <c r="E1" s="124" t="s">
        <v>33</v>
      </c>
      <c r="H1" s="125" t="str">
        <f>Co_Name</f>
        <v>State Farm Mutual Automobile Insurance Company</v>
      </c>
    </row>
    <row r="2" spans="1:8" x14ac:dyDescent="0.25">
      <c r="A2" s="8" t="s">
        <v>32</v>
      </c>
      <c r="E2" s="124" t="s">
        <v>34</v>
      </c>
      <c r="H2" s="125" t="str">
        <f>General_Line</f>
        <v>Auto Liability and Physical Damage</v>
      </c>
    </row>
    <row r="3" spans="1:8" x14ac:dyDescent="0.25">
      <c r="E3" s="181" t="s">
        <v>142</v>
      </c>
      <c r="F3" s="182"/>
      <c r="G3" s="182"/>
      <c r="H3" s="188" t="str">
        <f>CDI_FileNo</f>
        <v/>
      </c>
    </row>
    <row r="4" spans="1:8" ht="18" customHeight="1" x14ac:dyDescent="0.25">
      <c r="A4" s="607" t="str">
        <f>IF('6.3Ratemaking Data'!$K$7="","VARIANCE - NONE","VARIANCE "&amp;'6.3Ratemaking Data'!$K$7)</f>
        <v>VARIANCE - NONE</v>
      </c>
    </row>
    <row r="5" spans="1:8" ht="23.25" x14ac:dyDescent="0.25">
      <c r="A5" s="4" t="s">
        <v>665</v>
      </c>
      <c r="B5" s="123"/>
      <c r="C5" s="123"/>
      <c r="D5" s="123"/>
      <c r="E5" s="123"/>
      <c r="F5" s="123"/>
      <c r="G5" s="123"/>
      <c r="H5" s="123"/>
    </row>
    <row r="6" spans="1:8" ht="9.9499999999999993" customHeight="1" x14ac:dyDescent="0.25"/>
    <row r="7" spans="1:8" ht="15" customHeight="1" x14ac:dyDescent="0.25">
      <c r="A7" s="14" t="s">
        <v>1</v>
      </c>
      <c r="H7" s="28" t="str">
        <f>Completed_By</f>
        <v>Laura Campbell</v>
      </c>
    </row>
    <row r="8" spans="1:8" ht="15" customHeight="1" x14ac:dyDescent="0.25">
      <c r="A8" s="14" t="s">
        <v>76</v>
      </c>
      <c r="H8" s="189">
        <f>Completed_Date</f>
        <v>44816</v>
      </c>
    </row>
    <row r="9" spans="1:8" ht="15" customHeight="1" x14ac:dyDescent="0.25">
      <c r="A9" s="14" t="s">
        <v>169</v>
      </c>
      <c r="H9" s="189">
        <f>EffDate_Prior03</f>
        <v>44088</v>
      </c>
    </row>
    <row r="10" spans="1:8" ht="15" customHeight="1" x14ac:dyDescent="0.25">
      <c r="A10" s="14" t="s">
        <v>170</v>
      </c>
      <c r="B10" s="62"/>
      <c r="H10" s="189">
        <f>EffDate_Proposed</f>
        <v>45061</v>
      </c>
    </row>
    <row r="11" spans="1:8" ht="15" customHeight="1" x14ac:dyDescent="0.25">
      <c r="A11" s="14" t="s">
        <v>77</v>
      </c>
      <c r="B11" s="62"/>
      <c r="H11" s="28" t="str">
        <f>Detailed_LineDesc03</f>
        <v>Private Passenger Auto Liability</v>
      </c>
    </row>
    <row r="12" spans="1:8" ht="15" customHeight="1" x14ac:dyDescent="0.25">
      <c r="A12" s="14" t="s">
        <v>78</v>
      </c>
      <c r="B12" s="62"/>
      <c r="H12" s="28" t="str">
        <f>Covg03</f>
        <v>UM</v>
      </c>
    </row>
    <row r="13" spans="1:8" ht="15" customHeight="1" x14ac:dyDescent="0.25">
      <c r="H13" s="608"/>
    </row>
    <row r="14" spans="1:8" ht="9.9499999999999993" customHeight="1" x14ac:dyDescent="0.25"/>
    <row r="15" spans="1:8" ht="15.75" thickBot="1" x14ac:dyDescent="0.3">
      <c r="A15" s="130" t="s">
        <v>171</v>
      </c>
      <c r="B15" s="285" t="str">
        <f>'6.3Ratemaking Data'!D$14</f>
        <v>20171</v>
      </c>
      <c r="C15" s="285" t="str">
        <f>'6.3Ratemaking Data'!E$14</f>
        <v>20181</v>
      </c>
      <c r="D15" s="285" t="str">
        <f>'6.3Ratemaking Data'!F$14</f>
        <v>20191</v>
      </c>
      <c r="E15" s="285" t="str">
        <f>'6.3Ratemaking Data'!G$14</f>
        <v>20201</v>
      </c>
      <c r="F15" s="285" t="str">
        <f>'6.3Ratemaking Data'!H$14</f>
        <v>20211</v>
      </c>
      <c r="G15" s="285">
        <f>'6.3Ratemaking Data'!I$14</f>
        <v>20221</v>
      </c>
      <c r="H15" s="105" t="s">
        <v>306</v>
      </c>
    </row>
    <row r="16" spans="1:8" x14ac:dyDescent="0.25">
      <c r="A16" s="131" t="s">
        <v>173</v>
      </c>
      <c r="B16" s="132" t="str">
        <f>IF(ISBLANK('6.3Ratemaking Data'!D15),"",'6.3Ratemaking Data'!D15)</f>
        <v/>
      </c>
      <c r="C16" s="132" t="str">
        <f>IF(ISBLANK('6.3Ratemaking Data'!E15),"",'6.3Ratemaking Data'!E15)</f>
        <v/>
      </c>
      <c r="D16" s="132" t="str">
        <f>IF(ISBLANK('6.3Ratemaking Data'!F15),"",'6.3Ratemaking Data'!F15)</f>
        <v/>
      </c>
      <c r="E16" s="132" t="str">
        <f>IF(ISBLANK('6.3Ratemaking Data'!G15),"",'6.3Ratemaking Data'!G15)</f>
        <v/>
      </c>
      <c r="F16" s="132" t="str">
        <f>IF(ISBLANK('6.3Ratemaking Data'!H15),"",'6.3Ratemaking Data'!H15)</f>
        <v/>
      </c>
      <c r="G16" s="132">
        <f>IF(ISBLANK('6.3Ratemaking Data'!I15),"",'6.3Ratemaking Data'!I15)</f>
        <v>324692996.63999999</v>
      </c>
      <c r="H16" s="133">
        <f>IF(New_Program=TRUE,'6.3Ratemaking Data'!$K$15,SUM($B16:$G16))</f>
        <v>324692996.63999999</v>
      </c>
    </row>
    <row r="17" spans="1:10" x14ac:dyDescent="0.25">
      <c r="A17" s="134" t="s">
        <v>172</v>
      </c>
      <c r="B17" s="135" t="str">
        <f>IF(ISBLANK('6.3Ratemaking Data'!D16),"",'6.3Ratemaking Data'!D16)</f>
        <v/>
      </c>
      <c r="C17" s="135" t="str">
        <f>IF(ISBLANK('6.3Ratemaking Data'!E16),"",'6.3Ratemaking Data'!E16)</f>
        <v/>
      </c>
      <c r="D17" s="135" t="str">
        <f>IF(ISBLANK('6.3Ratemaking Data'!F16),"",'6.3Ratemaking Data'!F16)</f>
        <v/>
      </c>
      <c r="E17" s="135" t="str">
        <f>IF(ISBLANK('6.3Ratemaking Data'!G16),"",'6.3Ratemaking Data'!G16)</f>
        <v/>
      </c>
      <c r="F17" s="135" t="str">
        <f>IF(ISBLANK('6.3Ratemaking Data'!H16),"",'6.3Ratemaking Data'!H16)</f>
        <v/>
      </c>
      <c r="G17" s="135">
        <f>IF(ISBLANK('6.3Ratemaking Data'!I16),"",'6.3Ratemaking Data'!I16)</f>
        <v>322120624.92999995</v>
      </c>
      <c r="H17" s="136">
        <f>IF(New_Program=TRUE,'6.3Ratemaking Data'!$K$16,SUM($B17:$G17))</f>
        <v>322120624.92999995</v>
      </c>
    </row>
    <row r="18" spans="1:10" x14ac:dyDescent="0.25">
      <c r="A18" s="134" t="s">
        <v>174</v>
      </c>
      <c r="B18" s="137" t="str">
        <f>IF(ISBLANK('6.3Ratemaking Data'!D17),"",'6.3Ratemaking Data'!D17)</f>
        <v/>
      </c>
      <c r="C18" s="137" t="str">
        <f>IF(ISBLANK('6.3Ratemaking Data'!E17),"",'6.3Ratemaking Data'!E17)</f>
        <v/>
      </c>
      <c r="D18" s="137" t="str">
        <f>IF(ISBLANK('6.3Ratemaking Data'!F17),"",'6.3Ratemaking Data'!F17)</f>
        <v/>
      </c>
      <c r="E18" s="137" t="str">
        <f>IF(ISBLANK('6.3Ratemaking Data'!G17),"",'6.3Ratemaking Data'!G17)</f>
        <v/>
      </c>
      <c r="F18" s="137" t="str">
        <f>IF(ISBLANK('6.3Ratemaking Data'!H17),"",'6.3Ratemaking Data'!H17)</f>
        <v/>
      </c>
      <c r="G18" s="137">
        <f>IF(ISBLANK('6.3Ratemaking Data'!I17),"",'6.3Ratemaking Data'!I17)</f>
        <v>1</v>
      </c>
      <c r="H18" s="138"/>
    </row>
    <row r="19" spans="1:10" x14ac:dyDescent="0.25">
      <c r="A19" s="134" t="s">
        <v>175</v>
      </c>
      <c r="B19" s="137" t="str">
        <f>IF(ISBLANK('6.3Ratemaking Data'!D18),"",'6.3Ratemaking Data'!D18)</f>
        <v/>
      </c>
      <c r="C19" s="137" t="str">
        <f>IF(ISBLANK('6.3Ratemaking Data'!E18),"",'6.3Ratemaking Data'!E18)</f>
        <v/>
      </c>
      <c r="D19" s="137" t="str">
        <f>IF(ISBLANK('6.3Ratemaking Data'!F18),"",'6.3Ratemaking Data'!F18)</f>
        <v/>
      </c>
      <c r="E19" s="137" t="str">
        <f>IF(ISBLANK('6.3Ratemaking Data'!G18),"",'6.3Ratemaking Data'!G18)</f>
        <v/>
      </c>
      <c r="F19" s="137" t="str">
        <f>IF(ISBLANK('6.3Ratemaking Data'!H18),"",'6.3Ratemaking Data'!H18)</f>
        <v/>
      </c>
      <c r="G19" s="137">
        <f>IF(ISBLANK('6.3Ratemaking Data'!I18),"",'6.3Ratemaking Data'!I18)</f>
        <v>0.96117750198619201</v>
      </c>
      <c r="H19" s="144">
        <f>IF(New_Program=TRUE,0,'6.3Ratemaking Data'!$J$18)</f>
        <v>-1.74443571700077E-2</v>
      </c>
    </row>
    <row r="20" spans="1:10" x14ac:dyDescent="0.25">
      <c r="A20" s="134" t="s">
        <v>176</v>
      </c>
      <c r="B20" s="135" t="str">
        <f>IF(ISBLANK('6.3Ratemaking Data'!D19),"",'6.3Ratemaking Data'!D19)</f>
        <v/>
      </c>
      <c r="C20" s="135" t="str">
        <f>IF(ISBLANK('6.3Ratemaking Data'!E19),"",'6.3Ratemaking Data'!E19)</f>
        <v/>
      </c>
      <c r="D20" s="135" t="str">
        <f>IF(ISBLANK('6.3Ratemaking Data'!F19),"",'6.3Ratemaking Data'!F19)</f>
        <v/>
      </c>
      <c r="E20" s="135" t="str">
        <f>IF(ISBLANK('6.3Ratemaking Data'!G19),"",'6.3Ratemaking Data'!G19)</f>
        <v/>
      </c>
      <c r="F20" s="135" t="str">
        <f>IF(ISBLANK('6.3Ratemaking Data'!H19),"",'6.3Ratemaking Data'!H19)</f>
        <v/>
      </c>
      <c r="G20" s="135">
        <f>IF(ISBLANK('6.3Ratemaking Data'!I19),"",'6.3Ratemaking Data'!I19)</f>
        <v>0</v>
      </c>
      <c r="H20" s="136">
        <f>IF(New_Program=TRUE,'6.3Ratemaking Data'!$K$19,SUM($B20:$G20))</f>
        <v>0</v>
      </c>
    </row>
    <row r="21" spans="1:10" x14ac:dyDescent="0.25">
      <c r="A21" s="134" t="s">
        <v>177</v>
      </c>
      <c r="B21" s="135" t="str">
        <f>IF(ISBLANK('6.3Ratemaking Data'!D20),"",'6.3Ratemaking Data'!D20)</f>
        <v/>
      </c>
      <c r="C21" s="135" t="str">
        <f>IF(ISBLANK('6.3Ratemaking Data'!E20),"",'6.3Ratemaking Data'!E20)</f>
        <v/>
      </c>
      <c r="D21" s="135" t="str">
        <f>IF(ISBLANK('6.3Ratemaking Data'!F20),"",'6.3Ratemaking Data'!F20)</f>
        <v/>
      </c>
      <c r="E21" s="135" t="str">
        <f>IF(ISBLANK('6.3Ratemaking Data'!G20),"",'6.3Ratemaking Data'!G20)</f>
        <v/>
      </c>
      <c r="F21" s="135" t="str">
        <f>IF(ISBLANK('6.3Ratemaking Data'!H20),"",'6.3Ratemaking Data'!H20)</f>
        <v/>
      </c>
      <c r="G21" s="135">
        <f>IF(ISBLANK('6.3Ratemaking Data'!I20),"",'6.3Ratemaking Data'!I20)</f>
        <v>3578818</v>
      </c>
      <c r="H21" s="136">
        <f>IF(New_Program=TRUE,'6.3Ratemaking Data'!$K$20,SUM($B21:$G21))</f>
        <v>3578818</v>
      </c>
      <c r="J21" s="126"/>
    </row>
    <row r="22" spans="1:10" x14ac:dyDescent="0.25">
      <c r="A22" s="134" t="s">
        <v>178</v>
      </c>
      <c r="B22" s="135" t="str">
        <f>IF(ISBLANK('6.3Ratemaking Data'!D21),"",'6.3Ratemaking Data'!D21)</f>
        <v/>
      </c>
      <c r="C22" s="135" t="str">
        <f>IF(ISBLANK('6.3Ratemaking Data'!E21),"",'6.3Ratemaking Data'!E21)</f>
        <v/>
      </c>
      <c r="D22" s="135" t="str">
        <f>IF(ISBLANK('6.3Ratemaking Data'!F21),"",'6.3Ratemaking Data'!F21)</f>
        <v/>
      </c>
      <c r="E22" s="135" t="str">
        <f>IF(ISBLANK('6.3Ratemaking Data'!G21),"",'6.3Ratemaking Data'!G21)</f>
        <v/>
      </c>
      <c r="F22" s="135" t="str">
        <f>IF(ISBLANK('6.3Ratemaking Data'!H21),"",'6.3Ratemaking Data'!H21)</f>
        <v/>
      </c>
      <c r="G22" s="135">
        <f>IF(ISBLANK('6.3Ratemaking Data'!I21),"",'6.3Ratemaking Data'!I21)</f>
        <v>124290124.25</v>
      </c>
      <c r="H22" s="136">
        <f>IF(New_Program=TRUE,'6.3Ratemaking Data'!$K$21,SUM($B22:$G22))</f>
        <v>124290124.25</v>
      </c>
      <c r="J22" s="126"/>
    </row>
    <row r="23" spans="1:10" x14ac:dyDescent="0.25">
      <c r="A23" s="134" t="s">
        <v>144</v>
      </c>
      <c r="B23" s="135" t="str">
        <f>IF(ISBLANK('6.3Ratemaking Data'!D22),"",'6.3Ratemaking Data'!D22)</f>
        <v/>
      </c>
      <c r="C23" s="135" t="str">
        <f>IF(ISBLANK('6.3Ratemaking Data'!E22),"",'6.3Ratemaking Data'!E22)</f>
        <v/>
      </c>
      <c r="D23" s="135" t="str">
        <f>IF(ISBLANK('6.3Ratemaking Data'!F22),"",'6.3Ratemaking Data'!F22)</f>
        <v/>
      </c>
      <c r="E23" s="135" t="str">
        <f>IF(ISBLANK('6.3Ratemaking Data'!G22),"",'6.3Ratemaking Data'!G22)</f>
        <v/>
      </c>
      <c r="F23" s="135" t="str">
        <f>IF(ISBLANK('6.3Ratemaking Data'!H22),"",'6.3Ratemaking Data'!H22)</f>
        <v/>
      </c>
      <c r="G23" s="135">
        <f>IF(ISBLANK('6.3Ratemaking Data'!I22),"",'6.3Ratemaking Data'!I22)</f>
        <v>551258.88</v>
      </c>
      <c r="H23" s="136">
        <f>IF(New_Program=TRUE,'6.3Ratemaking Data'!$K$22,SUM($B23:$G23))</f>
        <v>551258.88</v>
      </c>
      <c r="J23" s="126"/>
    </row>
    <row r="24" spans="1:10" x14ac:dyDescent="0.25">
      <c r="A24" s="134" t="s">
        <v>181</v>
      </c>
      <c r="B24" s="137" t="str">
        <f>IF(ISBLANK('6.3Ratemaking Data'!D23),"",'6.3Ratemaking Data'!D23)</f>
        <v/>
      </c>
      <c r="C24" s="137" t="str">
        <f>IF(ISBLANK('6.3Ratemaking Data'!E23),"",'6.3Ratemaking Data'!E23)</f>
        <v/>
      </c>
      <c r="D24" s="137" t="str">
        <f>IF(ISBLANK('6.3Ratemaking Data'!F23),"",'6.3Ratemaking Data'!F23)</f>
        <v/>
      </c>
      <c r="E24" s="137" t="str">
        <f>IF(ISBLANK('6.3Ratemaking Data'!G23),"",'6.3Ratemaking Data'!G23)</f>
        <v/>
      </c>
      <c r="F24" s="137" t="str">
        <f>IF(ISBLANK('6.3Ratemaking Data'!H23),"",'6.3Ratemaking Data'!H23)</f>
        <v/>
      </c>
      <c r="G24" s="137">
        <f>IF(ISBLANK('6.3Ratemaking Data'!I23),"",'6.3Ratemaking Data'!I23)</f>
        <v>1.9692030731391408</v>
      </c>
      <c r="H24" s="138"/>
    </row>
    <row r="25" spans="1:10" x14ac:dyDescent="0.25">
      <c r="A25" s="134" t="s">
        <v>182</v>
      </c>
      <c r="B25" s="137" t="str">
        <f>IF(ISBLANK('6.3Ratemaking Data'!D24),"",'6.3Ratemaking Data'!D24)</f>
        <v/>
      </c>
      <c r="C25" s="137" t="str">
        <f>IF(ISBLANK('6.3Ratemaking Data'!E24),"",'6.3Ratemaking Data'!E24)</f>
        <v/>
      </c>
      <c r="D25" s="137" t="str">
        <f>IF(ISBLANK('6.3Ratemaking Data'!F24),"",'6.3Ratemaking Data'!F24)</f>
        <v/>
      </c>
      <c r="E25" s="137" t="str">
        <f>IF(ISBLANK('6.3Ratemaking Data'!G24),"",'6.3Ratemaking Data'!G24)</f>
        <v/>
      </c>
      <c r="F25" s="137" t="str">
        <f>IF(ISBLANK('6.3Ratemaking Data'!H24),"",'6.3Ratemaking Data'!H24)</f>
        <v/>
      </c>
      <c r="G25" s="137">
        <f>IF(ISBLANK('6.3Ratemaking Data'!I24),"",'6.3Ratemaking Data'!I24)</f>
        <v>50.099203618735487</v>
      </c>
      <c r="H25" s="138"/>
    </row>
    <row r="26" spans="1:10" x14ac:dyDescent="0.25">
      <c r="A26" s="134" t="s">
        <v>179</v>
      </c>
      <c r="B26" s="137" t="str">
        <f>IF(ISBLANK('6.3Ratemaking Data'!D25),"",'6.3Ratemaking Data'!D25)</f>
        <v/>
      </c>
      <c r="C26" s="137" t="str">
        <f>IF(ISBLANK('6.3Ratemaking Data'!E25),"",'6.3Ratemaking Data'!E25)</f>
        <v/>
      </c>
      <c r="D26" s="137" t="str">
        <f>IF(ISBLANK('6.3Ratemaking Data'!F25),"",'6.3Ratemaking Data'!F25)</f>
        <v/>
      </c>
      <c r="E26" s="137" t="str">
        <f>IF(ISBLANK('6.3Ratemaking Data'!G25),"",'6.3Ratemaking Data'!G25)</f>
        <v/>
      </c>
      <c r="F26" s="137" t="str">
        <f>IF(ISBLANK('6.3Ratemaking Data'!H25),"",'6.3Ratemaking Data'!H25)</f>
        <v/>
      </c>
      <c r="G26" s="137">
        <f>IF(ISBLANK('6.3Ratemaking Data'!I25),"",'6.3Ratemaking Data'!I25)</f>
        <v>1.0621094423780115</v>
      </c>
      <c r="H26" s="144">
        <f>IF(New_Program=TRUE,0,'6.3Ratemaking Data'!$J$25)</f>
        <v>2.7142706299903896E-2</v>
      </c>
    </row>
    <row r="27" spans="1:10" x14ac:dyDescent="0.25">
      <c r="A27" s="134" t="s">
        <v>180</v>
      </c>
      <c r="B27" s="137" t="str">
        <f>IF(ISBLANK('6.3Ratemaking Data'!D26),"",'6.3Ratemaking Data'!D26)</f>
        <v/>
      </c>
      <c r="C27" s="137" t="str">
        <f>IF(ISBLANK('6.3Ratemaking Data'!E26),"",'6.3Ratemaking Data'!E26)</f>
        <v/>
      </c>
      <c r="D27" s="137" t="str">
        <f>IF(ISBLANK('6.3Ratemaking Data'!F26),"",'6.3Ratemaking Data'!F26)</f>
        <v/>
      </c>
      <c r="E27" s="137" t="str">
        <f>IF(ISBLANK('6.3Ratemaking Data'!G26),"",'6.3Ratemaking Data'!G26)</f>
        <v/>
      </c>
      <c r="F27" s="137" t="str">
        <f>IF(ISBLANK('6.3Ratemaking Data'!H26),"",'6.3Ratemaking Data'!H26)</f>
        <v/>
      </c>
      <c r="G27" s="137">
        <f>IF(ISBLANK('6.3Ratemaking Data'!I26),"",'6.3Ratemaking Data'!I26)</f>
        <v>1.0621094423780115</v>
      </c>
      <c r="H27" s="144">
        <f>IF(New_Program=TRUE,0,'6.3Ratemaking Data'!$J$26)</f>
        <v>2.7142706299903896E-2</v>
      </c>
    </row>
    <row r="28" spans="1:10" x14ac:dyDescent="0.25">
      <c r="A28" s="134" t="s">
        <v>183</v>
      </c>
      <c r="B28" s="137" t="str">
        <f>IF(ISBLANK('6.3Ratemaking Data'!D27),"",'6.3Ratemaking Data'!D27)</f>
        <v/>
      </c>
      <c r="C28" s="137" t="str">
        <f>IF(ISBLANK('6.3Ratemaking Data'!E27),"",'6.3Ratemaking Data'!E27)</f>
        <v/>
      </c>
      <c r="D28" s="137" t="str">
        <f>IF(ISBLANK('6.3Ratemaking Data'!F27),"",'6.3Ratemaking Data'!F27)</f>
        <v/>
      </c>
      <c r="E28" s="137" t="str">
        <f>IF(ISBLANK('6.3Ratemaking Data'!G27),"",'6.3Ratemaking Data'!G27)</f>
        <v/>
      </c>
      <c r="F28" s="137" t="str">
        <f>IF(ISBLANK('6.3Ratemaking Data'!H27),"",'6.3Ratemaking Data'!H27)</f>
        <v/>
      </c>
      <c r="G28" s="137">
        <f>IF(ISBLANK('6.3Ratemaking Data'!I27),"",'6.3Ratemaking Data'!I27)</f>
        <v>1</v>
      </c>
      <c r="H28" s="138"/>
    </row>
    <row r="29" spans="1:10" ht="15.75" thickBot="1" x14ac:dyDescent="0.3">
      <c r="A29" s="153" t="s">
        <v>188</v>
      </c>
      <c r="B29" s="154" t="str">
        <f>IF(ISBLANK('6.3Ratemaking Data'!D29),"",'6.3Ratemaking Data'!D29)</f>
        <v/>
      </c>
      <c r="C29" s="154" t="str">
        <f>IF(ISBLANK('6.3Ratemaking Data'!E29),"",'6.3Ratemaking Data'!E29)</f>
        <v/>
      </c>
      <c r="D29" s="154" t="str">
        <f>IF(ISBLANK('6.3Ratemaking Data'!F29),"",'6.3Ratemaking Data'!F29)</f>
        <v/>
      </c>
      <c r="E29" s="154" t="str">
        <f>IF(ISBLANK('6.3Ratemaking Data'!G29),"",'6.3Ratemaking Data'!G29)</f>
        <v/>
      </c>
      <c r="F29" s="154" t="str">
        <f>IF(ISBLANK('6.3Ratemaking Data'!H29),"",'6.3Ratemaking Data'!H29)</f>
        <v/>
      </c>
      <c r="G29" s="154">
        <f>IF(ISBLANK('6.3Ratemaking Data'!I29),"",'6.3Ratemaking Data'!I29)</f>
        <v>0</v>
      </c>
      <c r="H29" s="155">
        <f>IF(New_Program=TRUE,'6.3Ratemaking Data'!$K$29,SUM($B29:$G29))</f>
        <v>0</v>
      </c>
    </row>
    <row r="30" spans="1:10" ht="15.75" thickTop="1" x14ac:dyDescent="0.25">
      <c r="A30" s="134" t="s">
        <v>184</v>
      </c>
      <c r="B30" s="139"/>
      <c r="C30" s="139"/>
      <c r="D30" s="139"/>
      <c r="E30" s="139"/>
      <c r="F30" s="139"/>
      <c r="G30" s="139"/>
      <c r="H30" s="144">
        <f>IF(New_Program=TRUE,100%,'6.3Ratemaking Data'!$J$28)</f>
        <v>1</v>
      </c>
    </row>
    <row r="31" spans="1:10" x14ac:dyDescent="0.25">
      <c r="A31" s="134" t="s">
        <v>185</v>
      </c>
      <c r="B31" s="139"/>
      <c r="C31" s="139"/>
      <c r="D31" s="139"/>
      <c r="E31" s="139"/>
      <c r="F31" s="139"/>
      <c r="G31" s="139"/>
      <c r="H31" s="144">
        <f>ExpRatio_Excluded</f>
        <v>1.3597266477453115E-2</v>
      </c>
    </row>
    <row r="32" spans="1:10" x14ac:dyDescent="0.25">
      <c r="A32" s="134" t="s">
        <v>166</v>
      </c>
      <c r="B32" s="139"/>
      <c r="C32" s="139"/>
      <c r="D32" s="139"/>
      <c r="E32" s="139"/>
      <c r="F32" s="139"/>
      <c r="G32" s="139"/>
      <c r="H32" s="144">
        <f>FIT_Inv</f>
        <v>0.18752087399665437</v>
      </c>
    </row>
    <row r="33" spans="1:9" ht="15.75" thickBot="1" x14ac:dyDescent="0.3">
      <c r="A33" s="98" t="s">
        <v>165</v>
      </c>
      <c r="B33" s="140"/>
      <c r="C33" s="140"/>
      <c r="D33" s="140"/>
      <c r="E33" s="140"/>
      <c r="F33" s="140"/>
      <c r="G33" s="140"/>
      <c r="H33" s="141">
        <f>Yield</f>
        <v>8.8050065696007235E-2</v>
      </c>
    </row>
    <row r="34" spans="1:9" ht="5.0999999999999996" customHeight="1" x14ac:dyDescent="0.25"/>
    <row r="35" spans="1:9" ht="15.75" thickBot="1" x14ac:dyDescent="0.3">
      <c r="A35" s="130" t="s">
        <v>189</v>
      </c>
      <c r="E35" s="93"/>
      <c r="F35" s="93"/>
      <c r="G35" s="93"/>
    </row>
    <row r="36" spans="1:9" x14ac:dyDescent="0.25">
      <c r="A36" s="131" t="s">
        <v>167</v>
      </c>
      <c r="B36" s="142"/>
      <c r="C36" s="142"/>
      <c r="D36" s="142"/>
      <c r="E36" s="142"/>
      <c r="F36" s="142"/>
      <c r="G36" s="142"/>
      <c r="H36" s="149">
        <f>FIT_UW</f>
        <v>0.21</v>
      </c>
      <c r="I36" s="90"/>
    </row>
    <row r="37" spans="1:9" x14ac:dyDescent="0.25">
      <c r="A37" s="134" t="s">
        <v>190</v>
      </c>
      <c r="B37" s="90"/>
      <c r="C37" s="90"/>
      <c r="D37" s="90"/>
      <c r="E37" s="90"/>
      <c r="F37" s="693" t="s">
        <v>317</v>
      </c>
      <c r="G37" s="694">
        <f>update_effstd</f>
        <v>2020</v>
      </c>
      <c r="H37" s="144">
        <f ca="1">EffStd_Final03</f>
        <v>0.29732485720293622</v>
      </c>
    </row>
    <row r="38" spans="1:9" x14ac:dyDescent="0.25">
      <c r="A38" s="134" t="s">
        <v>191</v>
      </c>
      <c r="B38" s="90"/>
      <c r="C38" s="90"/>
      <c r="D38" s="90"/>
      <c r="E38" s="90"/>
      <c r="F38" s="693" t="s">
        <v>317</v>
      </c>
      <c r="G38" s="694">
        <f>update_leverage</f>
        <v>2020</v>
      </c>
      <c r="H38" s="190">
        <f ca="1">LevFact_Final03</f>
        <v>0.79714001147810298</v>
      </c>
    </row>
    <row r="39" spans="1:9" x14ac:dyDescent="0.25">
      <c r="A39" s="134" t="s">
        <v>192</v>
      </c>
      <c r="B39" s="90"/>
      <c r="C39" s="90"/>
      <c r="D39" s="90"/>
      <c r="E39" s="90"/>
      <c r="F39" s="693"/>
      <c r="G39" s="693"/>
      <c r="H39" s="144">
        <f>PremTaxRate</f>
        <v>2.35E-2</v>
      </c>
    </row>
    <row r="40" spans="1:9" x14ac:dyDescent="0.25">
      <c r="A40" s="134" t="s">
        <v>193</v>
      </c>
      <c r="B40" s="90"/>
      <c r="C40" s="90"/>
      <c r="D40" s="90"/>
      <c r="E40" s="90"/>
      <c r="F40" s="693"/>
      <c r="G40" s="695"/>
      <c r="H40" s="191">
        <f ca="1">1/LevFact_Final03</f>
        <v>1.2544847650361224</v>
      </c>
    </row>
    <row r="41" spans="1:9" x14ac:dyDescent="0.25">
      <c r="A41" s="134" t="s">
        <v>198</v>
      </c>
      <c r="B41" s="90"/>
      <c r="C41" s="90"/>
      <c r="D41" s="90"/>
      <c r="E41" s="90"/>
      <c r="F41" s="693" t="s">
        <v>317</v>
      </c>
      <c r="G41" s="694">
        <f>update_reserveratios</f>
        <v>2020</v>
      </c>
      <c r="H41" s="191">
        <f ca="1">ResRatio_UPR03</f>
        <v>0.32984149635237803</v>
      </c>
    </row>
    <row r="42" spans="1:9" x14ac:dyDescent="0.25">
      <c r="A42" s="192" t="s">
        <v>194</v>
      </c>
      <c r="B42" s="90"/>
      <c r="C42" s="90"/>
      <c r="D42" s="90"/>
      <c r="E42" s="90"/>
      <c r="F42" s="693" t="s">
        <v>317</v>
      </c>
      <c r="G42" s="694">
        <f>update_reserveratios</f>
        <v>2020</v>
      </c>
      <c r="H42" s="191">
        <f ca="1">ResRatio_Loss03</f>
        <v>1.2289421602119517</v>
      </c>
    </row>
    <row r="43" spans="1:9" x14ac:dyDescent="0.25">
      <c r="A43" s="192" t="s">
        <v>195</v>
      </c>
      <c r="B43" s="90"/>
      <c r="C43" s="90"/>
      <c r="D43" s="90"/>
      <c r="E43" s="90"/>
      <c r="F43" s="691" t="s">
        <v>317</v>
      </c>
      <c r="G43" s="691" t="str">
        <f>ROR_RiskFree_Date</f>
        <v>June 2022</v>
      </c>
      <c r="H43" s="692">
        <f>ROR_RiskFree</f>
        <v>2.2799999999999997E-2</v>
      </c>
      <c r="I43" s="20" t="s">
        <v>732</v>
      </c>
    </row>
    <row r="44" spans="1:9" x14ac:dyDescent="0.25">
      <c r="A44" s="192" t="s">
        <v>197</v>
      </c>
      <c r="B44" s="90"/>
      <c r="C44" s="90"/>
      <c r="D44" s="90"/>
      <c r="E44" s="90"/>
      <c r="F44" s="90"/>
      <c r="G44" s="90"/>
      <c r="H44" s="286">
        <f>ROR_Min</f>
        <v>-0.06</v>
      </c>
      <c r="I44" s="20"/>
    </row>
    <row r="45" spans="1:9" ht="15.75" thickBot="1" x14ac:dyDescent="0.3">
      <c r="A45" s="193" t="s">
        <v>196</v>
      </c>
      <c r="B45" s="140"/>
      <c r="C45" s="140"/>
      <c r="D45" s="140"/>
      <c r="E45" s="140"/>
      <c r="F45" s="140"/>
      <c r="G45" s="140"/>
      <c r="H45" s="287">
        <f>ROR_Max</f>
        <v>8.2799999999999999E-2</v>
      </c>
    </row>
    <row r="46" spans="1:9" ht="5.0999999999999996" customHeight="1" x14ac:dyDescent="0.25"/>
    <row r="47" spans="1:9" ht="15.75" thickBot="1" x14ac:dyDescent="0.3">
      <c r="A47" s="130" t="s">
        <v>234</v>
      </c>
      <c r="B47" s="285" t="str">
        <f>'6.3Ratemaking Data'!D$14</f>
        <v>20171</v>
      </c>
      <c r="C47" s="285" t="str">
        <f>'6.3Ratemaking Data'!E$14</f>
        <v>20181</v>
      </c>
      <c r="D47" s="285" t="str">
        <f>'6.3Ratemaking Data'!F$14</f>
        <v>20191</v>
      </c>
      <c r="E47" s="285" t="str">
        <f>'6.3Ratemaking Data'!G$14</f>
        <v>20201</v>
      </c>
      <c r="F47" s="285" t="str">
        <f>'6.3Ratemaking Data'!H$14</f>
        <v>20211</v>
      </c>
      <c r="G47" s="285">
        <f>'6.3Ratemaking Data'!I$14</f>
        <v>20221</v>
      </c>
    </row>
    <row r="48" spans="1:9" x14ac:dyDescent="0.25">
      <c r="A48" s="131" t="s">
        <v>199</v>
      </c>
      <c r="B48" s="132" t="str">
        <f t="shared" ref="B48:G48" si="0">IF(ISERROR(Prem_Earned*Prem_Adj*Prem_Trend+Misc_Fees),"",Prem_Earned*Prem_Adj*Prem_Trend+Misc_Fees)</f>
        <v/>
      </c>
      <c r="C48" s="132" t="str">
        <f t="shared" si="0"/>
        <v/>
      </c>
      <c r="D48" s="132" t="str">
        <f t="shared" si="0"/>
        <v/>
      </c>
      <c r="E48" s="132" t="str">
        <f t="shared" si="0"/>
        <v/>
      </c>
      <c r="F48" s="132" t="str">
        <f t="shared" si="0"/>
        <v/>
      </c>
      <c r="G48" s="132">
        <f t="shared" si="0"/>
        <v>309615097.60844845</v>
      </c>
      <c r="H48" s="133">
        <f>IF(New_Program=TRUE,(Prem_Earned+Misc_Fees),SUM($B48:$G48))</f>
        <v>309615097.60844845</v>
      </c>
    </row>
    <row r="49" spans="1:9" x14ac:dyDescent="0.25">
      <c r="A49" s="134" t="s">
        <v>200</v>
      </c>
      <c r="B49" s="135" t="str">
        <f t="shared" ref="B49:G49" si="1">IF(ISERROR(Losses*Loss_Devt*CAT_Adj*Loss_Trend),"",Losses*Loss_Devt*CAT_Adj*Loss_Trend)</f>
        <v/>
      </c>
      <c r="C49" s="135" t="str">
        <f t="shared" si="1"/>
        <v/>
      </c>
      <c r="D49" s="135" t="str">
        <f t="shared" si="1"/>
        <v/>
      </c>
      <c r="E49" s="135" t="str">
        <f t="shared" si="1"/>
        <v/>
      </c>
      <c r="F49" s="135" t="str">
        <f t="shared" si="1"/>
        <v/>
      </c>
      <c r="G49" s="135">
        <f t="shared" si="1"/>
        <v>259953935.59628728</v>
      </c>
      <c r="H49" s="136">
        <f>IF(New_Program=TRUE,Losses,SUM($B49:$G49))</f>
        <v>259953935.59628728</v>
      </c>
    </row>
    <row r="50" spans="1:9" x14ac:dyDescent="0.25">
      <c r="A50" s="134" t="s">
        <v>201</v>
      </c>
      <c r="B50" s="135" t="str">
        <f t="shared" ref="B50:G50" si="2">IF(ISERROR(DCCE*DCCE_Devt*CAT_Adj*DCCE_Trend),"",DCCE*DCCE_Devt*CAT_Adj*DCCE_Trend)</f>
        <v/>
      </c>
      <c r="C50" s="135" t="str">
        <f t="shared" si="2"/>
        <v/>
      </c>
      <c r="D50" s="135" t="str">
        <f t="shared" si="2"/>
        <v/>
      </c>
      <c r="E50" s="135" t="str">
        <f t="shared" si="2"/>
        <v/>
      </c>
      <c r="F50" s="135" t="str">
        <f t="shared" si="2"/>
        <v/>
      </c>
      <c r="G50" s="135">
        <f t="shared" si="2"/>
        <v>29332946.529251035</v>
      </c>
      <c r="H50" s="136">
        <f>IF(New_Program=TRUE,DCCE,SUM($B50:$G50))</f>
        <v>29332946.529251035</v>
      </c>
    </row>
    <row r="51" spans="1:9" x14ac:dyDescent="0.25">
      <c r="A51" s="134" t="s">
        <v>202</v>
      </c>
      <c r="B51" s="143" t="str">
        <f t="shared" ref="B51:H51" si="3">IF(ISERROR((B49+B50)/B48),"",(B49+B50)/B48)</f>
        <v/>
      </c>
      <c r="C51" s="143" t="str">
        <f t="shared" si="3"/>
        <v/>
      </c>
      <c r="D51" s="143" t="str">
        <f t="shared" si="3"/>
        <v/>
      </c>
      <c r="E51" s="143" t="str">
        <f t="shared" si="3"/>
        <v/>
      </c>
      <c r="F51" s="143" t="str">
        <f t="shared" si="3"/>
        <v/>
      </c>
      <c r="G51" s="143">
        <f t="shared" si="3"/>
        <v>0.93434359099433184</v>
      </c>
      <c r="H51" s="144">
        <f t="shared" si="3"/>
        <v>0.93434359099433184</v>
      </c>
    </row>
    <row r="52" spans="1:9" x14ac:dyDescent="0.25">
      <c r="A52" s="134" t="s">
        <v>215</v>
      </c>
      <c r="B52" s="576" t="str">
        <f t="shared" ref="B52:H52" si="4">IF(ISERROR(Prem_Adjusted/Exposures_Earned),"",Prem_Adjusted/Exposures_Earned)</f>
        <v/>
      </c>
      <c r="C52" s="576" t="str">
        <f t="shared" si="4"/>
        <v/>
      </c>
      <c r="D52" s="576" t="str">
        <f t="shared" si="4"/>
        <v/>
      </c>
      <c r="E52" s="576" t="str">
        <f t="shared" si="4"/>
        <v/>
      </c>
      <c r="F52" s="576" t="str">
        <f t="shared" si="4"/>
        <v/>
      </c>
      <c r="G52" s="576">
        <f t="shared" si="4"/>
        <v>86.513228001102163</v>
      </c>
      <c r="H52" s="147">
        <f t="shared" si="4"/>
        <v>86.513228001102163</v>
      </c>
    </row>
    <row r="53" spans="1:9" x14ac:dyDescent="0.25">
      <c r="A53" s="134" t="s">
        <v>203</v>
      </c>
      <c r="B53" s="576" t="str">
        <f t="shared" ref="B53:H53" si="5">IF(ISERROR((Losses_Adjusted+DCCE_Adjusted)/Exposures_Earned),"",(Losses_Adjusted+DCCE_Adjusted)/Exposures_Earned)</f>
        <v/>
      </c>
      <c r="C53" s="576" t="str">
        <f t="shared" si="5"/>
        <v/>
      </c>
      <c r="D53" s="576" t="str">
        <f t="shared" si="5"/>
        <v/>
      </c>
      <c r="E53" s="576" t="str">
        <f t="shared" si="5"/>
        <v/>
      </c>
      <c r="F53" s="576" t="str">
        <f t="shared" si="5"/>
        <v/>
      </c>
      <c r="G53" s="576">
        <f t="shared" si="5"/>
        <v>80.833080119061179</v>
      </c>
      <c r="H53" s="147">
        <f t="shared" si="5"/>
        <v>80.833080119061179</v>
      </c>
    </row>
    <row r="54" spans="1:9" x14ac:dyDescent="0.25">
      <c r="A54" s="134" t="s">
        <v>204</v>
      </c>
      <c r="B54" s="576" t="str">
        <f t="shared" ref="B54:H54" ca="1" si="6">IF(ISERROR((TCRLP_perExp*(1+Comp_Trend)*Max_Denom+Anc_Inc_perExp)/(1-InvInc_Fixed)),"",(TCRLP_perExp*(1+Comp_Trend)*Max_Denom+Anc_Inc_perExp)/(1-InvInc_Fixed))</f>
        <v/>
      </c>
      <c r="C54" s="576" t="str">
        <f t="shared" ca="1" si="6"/>
        <v/>
      </c>
      <c r="D54" s="576" t="str">
        <f t="shared" ca="1" si="6"/>
        <v/>
      </c>
      <c r="E54" s="576" t="str">
        <f t="shared" ca="1" si="6"/>
        <v/>
      </c>
      <c r="F54" s="576" t="str">
        <f t="shared" ca="1" si="6"/>
        <v/>
      </c>
      <c r="G54" s="576">
        <f t="shared" ca="1" si="6"/>
        <v>78.300658641423226</v>
      </c>
      <c r="H54" s="147">
        <f t="shared" ca="1" si="6"/>
        <v>78.300658641423226</v>
      </c>
    </row>
    <row r="55" spans="1:9" x14ac:dyDescent="0.25">
      <c r="A55" s="134" t="s">
        <v>214</v>
      </c>
      <c r="B55" s="576" t="str">
        <f t="shared" ref="B55:H55" ca="1" si="7">IF(ISERROR(Credibility*LossDCCE_perExp+(1-Credibility)*CompLossDCCE_perExp),"",Credibility*LossDCCE_perExp+(1-Credibility)*CompLossDCCE_perExp)</f>
        <v/>
      </c>
      <c r="C55" s="576" t="str">
        <f t="shared" ca="1" si="7"/>
        <v/>
      </c>
      <c r="D55" s="576" t="str">
        <f t="shared" ca="1" si="7"/>
        <v/>
      </c>
      <c r="E55" s="576" t="str">
        <f t="shared" ca="1" si="7"/>
        <v/>
      </c>
      <c r="F55" s="576" t="str">
        <f t="shared" ca="1" si="7"/>
        <v/>
      </c>
      <c r="G55" s="576">
        <f t="shared" ca="1" si="7"/>
        <v>80.833080119061179</v>
      </c>
      <c r="H55" s="147">
        <f t="shared" ca="1" si="7"/>
        <v>80.833080119061179</v>
      </c>
    </row>
    <row r="56" spans="1:9" ht="15.75" thickBot="1" x14ac:dyDescent="0.3">
      <c r="A56" s="153" t="s">
        <v>216</v>
      </c>
      <c r="B56" s="250" t="str">
        <f t="shared" ref="B56:H56" si="8">IF(ISERROR(Anc_Income/Exposures_Earned),"",Anc_Income/Exposures_Earned)</f>
        <v/>
      </c>
      <c r="C56" s="250" t="str">
        <f t="shared" si="8"/>
        <v/>
      </c>
      <c r="D56" s="250" t="str">
        <f t="shared" si="8"/>
        <v/>
      </c>
      <c r="E56" s="250" t="str">
        <f t="shared" si="8"/>
        <v/>
      </c>
      <c r="F56" s="250" t="str">
        <f t="shared" si="8"/>
        <v/>
      </c>
      <c r="G56" s="250">
        <f t="shared" si="8"/>
        <v>0</v>
      </c>
      <c r="H56" s="251">
        <f t="shared" si="8"/>
        <v>0</v>
      </c>
    </row>
    <row r="57" spans="1:9" ht="15.75" thickTop="1" x14ac:dyDescent="0.25">
      <c r="A57" s="134" t="s">
        <v>217</v>
      </c>
      <c r="B57" s="90"/>
      <c r="C57" s="90"/>
      <c r="D57" s="90"/>
      <c r="E57" s="90"/>
      <c r="F57" s="90"/>
      <c r="G57" s="90"/>
      <c r="H57" s="144">
        <f ca="1">Yield*((1-FIT_Inv)/(1-FIT_UW))*ResRatio_Loss03</f>
        <v>0.11128746466623216</v>
      </c>
    </row>
    <row r="58" spans="1:9" x14ac:dyDescent="0.25">
      <c r="A58" s="134" t="s">
        <v>218</v>
      </c>
      <c r="B58" s="90"/>
      <c r="C58" s="90"/>
      <c r="D58" s="90"/>
      <c r="E58" s="90"/>
      <c r="F58" s="90"/>
      <c r="G58" s="90"/>
      <c r="H58" s="144">
        <f ca="1">Yield*((1-FIT_Inv)/(1-FIT_UW))*(ResRatio_UPR03+SurplusRatio)</f>
        <v>0.14346944758054997</v>
      </c>
    </row>
    <row r="59" spans="1:9" x14ac:dyDescent="0.25">
      <c r="A59" s="134" t="s">
        <v>206</v>
      </c>
      <c r="B59" s="145"/>
      <c r="C59" s="145"/>
      <c r="D59" s="145"/>
      <c r="E59" s="145"/>
      <c r="F59" s="145"/>
      <c r="G59" s="145"/>
      <c r="H59" s="144">
        <f>(1+Loss_AnnualTrend)/(1+Prem_AnnualTrend)-1</f>
        <v>4.5378665112023819E-2</v>
      </c>
    </row>
    <row r="60" spans="1:9" x14ac:dyDescent="0.25">
      <c r="A60" s="134" t="s">
        <v>205</v>
      </c>
      <c r="B60" s="145"/>
      <c r="C60" s="145"/>
      <c r="D60" s="145"/>
      <c r="E60" s="145"/>
      <c r="F60" s="145"/>
      <c r="G60" s="145"/>
      <c r="H60" s="144">
        <f>IF(New_Program=TRUE,0,(1+Net_AnnualTrend)^MIN(4,((EffDate_Proposed-EffDate_Prior03)/365.25))-1)</f>
        <v>0.12549503847442245</v>
      </c>
    </row>
    <row r="61" spans="1:9" x14ac:dyDescent="0.25">
      <c r="A61" s="134" t="s">
        <v>207</v>
      </c>
      <c r="B61" s="145"/>
      <c r="C61" s="145"/>
      <c r="D61" s="145"/>
      <c r="E61" s="145"/>
      <c r="F61" s="145"/>
      <c r="G61" s="145"/>
      <c r="H61" s="144">
        <f ca="1">(ROR_Max)/(LevFact_Final03*(1-FIT_UW))</f>
        <v>0.13148270701897588</v>
      </c>
    </row>
    <row r="62" spans="1:9" x14ac:dyDescent="0.25">
      <c r="A62" s="134" t="s">
        <v>208</v>
      </c>
      <c r="B62" s="90"/>
      <c r="C62" s="90"/>
      <c r="D62" s="90"/>
      <c r="E62" s="90"/>
      <c r="F62" s="90"/>
      <c r="G62" s="90"/>
      <c r="H62" s="144">
        <f ca="1">(ROR_Min)/(LevFact_Final03*(1-FIT_UW))</f>
        <v>-9.5277323926794111E-2</v>
      </c>
    </row>
    <row r="63" spans="1:9" x14ac:dyDescent="0.25">
      <c r="A63" s="134" t="s">
        <v>209</v>
      </c>
      <c r="B63" s="90"/>
      <c r="C63" s="90"/>
      <c r="D63" s="90"/>
      <c r="E63" s="90"/>
      <c r="F63" s="90"/>
      <c r="G63" s="90"/>
      <c r="H63" s="144">
        <f ca="1">1-CredLossDCCE_perExp/Max_Premium-EffStd_Final03</f>
        <v>-0.10147901835723672</v>
      </c>
      <c r="I63" s="252"/>
    </row>
    <row r="64" spans="1:9" x14ac:dyDescent="0.25">
      <c r="A64" s="134" t="s">
        <v>211</v>
      </c>
      <c r="B64" s="90"/>
      <c r="C64" s="90"/>
      <c r="D64" s="90"/>
      <c r="E64" s="90"/>
      <c r="F64" s="90"/>
      <c r="G64" s="90"/>
      <c r="H64" s="146">
        <f ca="1">1-EffStd_Final03-Min_Profit+InvInc_Variable</f>
        <v>0.9414219143044078</v>
      </c>
      <c r="I64" s="252"/>
    </row>
    <row r="65" spans="1:9" x14ac:dyDescent="0.25">
      <c r="A65" s="134" t="s">
        <v>210</v>
      </c>
      <c r="B65" s="90"/>
      <c r="C65" s="90"/>
      <c r="D65" s="90"/>
      <c r="E65" s="90"/>
      <c r="F65" s="90"/>
      <c r="G65" s="90"/>
      <c r="H65" s="146">
        <f ca="1">1-EffStd_Final03-Max_Profit+InvInc_Variable</f>
        <v>0.71466188335863778</v>
      </c>
      <c r="I65" s="473" t="str">
        <f>IF(AND(Error35="",Error36=""),"","See Column H of Page '3.2YieldFIT' for errors that must be corrected.")</f>
        <v/>
      </c>
    </row>
    <row r="66" spans="1:9" x14ac:dyDescent="0.25">
      <c r="A66" s="134" t="s">
        <v>213</v>
      </c>
      <c r="B66" s="90"/>
      <c r="C66" s="90"/>
      <c r="D66" s="90"/>
      <c r="E66" s="90"/>
      <c r="F66" s="90"/>
      <c r="G66" s="90"/>
      <c r="H66" s="577">
        <f ca="1">(CredLossDCCE_perExp*(1-InvInc_Fixed)-Anc_Inc_perExp)/Min_Denom</f>
        <v>76.307307573700584</v>
      </c>
      <c r="I66" s="473" t="str">
        <f>IF(Error38="","","See Column F of Page '4.2Excluded Exp' for errors that must be corrected.")</f>
        <v/>
      </c>
    </row>
    <row r="67" spans="1:9" ht="15.75" thickBot="1" x14ac:dyDescent="0.3">
      <c r="A67" s="134" t="s">
        <v>212</v>
      </c>
      <c r="B67" s="90"/>
      <c r="C67" s="90"/>
      <c r="D67" s="90"/>
      <c r="E67" s="90"/>
      <c r="F67" s="90"/>
      <c r="G67" s="90"/>
      <c r="H67" s="577">
        <f ca="1">(CredLossDCCE_perExp*(1-InvInc_Fixed)-Anc_Inc_perExp)/Max_Denom</f>
        <v>100.51938300366636</v>
      </c>
      <c r="I67" s="471" t="str">
        <f>IF(Error34="","","See Column I of Page '2.Summary' for errors that must be corrected.")</f>
        <v/>
      </c>
    </row>
    <row r="68" spans="1:9" x14ac:dyDescent="0.25">
      <c r="A68" s="95" t="s">
        <v>235</v>
      </c>
      <c r="B68" s="90"/>
      <c r="C68" s="90"/>
      <c r="D68" s="90"/>
      <c r="E68" s="90"/>
      <c r="F68" s="90"/>
      <c r="G68" s="90"/>
      <c r="H68" s="289">
        <f ca="1">IF(AND(I65="",I66="",I67="",I68="",I69=""),(Min_Premium-Prem_Current)/Prem_Current,"Error")</f>
        <v>-0.11796947892490565</v>
      </c>
      <c r="I68" s="473" t="str">
        <f>IF(AND(Error00="",Error01="",Error02="",Error03="",Error04="",Error05="",Error06="",Error07="",Error08="",Error09="",Error10="",Error11="",Error12="",Error13="",Error14="",Error15="",Error16="",Error37=""),"","See Column J of Page '1.General' for errors that must be corrected.")</f>
        <v/>
      </c>
    </row>
    <row r="69" spans="1:9" ht="19.5" thickBot="1" x14ac:dyDescent="0.3">
      <c r="A69" s="96" t="s">
        <v>236</v>
      </c>
      <c r="B69" s="140"/>
      <c r="C69" s="140"/>
      <c r="D69" s="140"/>
      <c r="E69" s="140"/>
      <c r="F69" s="140"/>
      <c r="G69" s="140"/>
      <c r="H69" s="288">
        <f ca="1">IF(AND(I65="",I66="",I67="",I68="",I69=""),(Max_Premium-Prem_Current)/Prem_Current, "Error")</f>
        <v>0.16189610914050928</v>
      </c>
      <c r="I69" s="471" t="str">
        <f>IF(AND('6.3Ratemaking Data'!Error17="",'6.3Ratemaking Data'!Error18="",'6.3Ratemaking Data'!Error19="",'6.3Ratemaking Data'!Error20="",'6.3Ratemaking Data'!Error21="",'6.3Ratemaking Data'!Error22="",'6.3Ratemaking Data'!Error23="",'6.3Ratemaking Data'!Error24="",'6.3Ratemaking Data'!Error25="",'6.3Ratemaking Data'!Error26="",'6.3Ratemaking Data'!Error27="",'6.3Ratemaking Data'!Error28="",'6.3Ratemaking Data'!Error29=""),"","See Column M of Page '6.3Ratemaking Data' for errors that must be corrected.")</f>
        <v/>
      </c>
    </row>
    <row r="70" spans="1:9" ht="5.0999999999999996" hidden="1" customHeight="1" x14ac:dyDescent="0.25"/>
    <row r="71" spans="1:9" ht="15.75" hidden="1" thickBot="1" x14ac:dyDescent="0.3">
      <c r="A71" s="130" t="s">
        <v>233</v>
      </c>
      <c r="B71" s="285" t="str">
        <f>'6.3Ratemaking Data'!D$14</f>
        <v>20171</v>
      </c>
      <c r="C71" s="285" t="str">
        <f>'6.3Ratemaking Data'!E$14</f>
        <v>20181</v>
      </c>
      <c r="D71" s="285" t="str">
        <f>'6.3Ratemaking Data'!F$14</f>
        <v>20191</v>
      </c>
      <c r="E71" s="285" t="str">
        <f>'6.3Ratemaking Data'!G$14</f>
        <v>20201</v>
      </c>
      <c r="F71" s="285" t="str">
        <f>'6.3Ratemaking Data'!H$14</f>
        <v>20211</v>
      </c>
      <c r="G71" s="285">
        <f>'6.3Ratemaking Data'!I$14</f>
        <v>20221</v>
      </c>
    </row>
    <row r="72" spans="1:9" hidden="1" x14ac:dyDescent="0.25">
      <c r="A72" s="148" t="s">
        <v>232</v>
      </c>
      <c r="B72" s="142"/>
      <c r="C72" s="142"/>
      <c r="D72" s="142"/>
      <c r="E72" s="142"/>
      <c r="F72" s="142"/>
      <c r="G72" s="142"/>
      <c r="H72" s="149" t="str">
        <f>IF(ISBLANK('6.3Ratemaking Data'!J44),"",'6.3Ratemaking Data'!J44)</f>
        <v/>
      </c>
    </row>
    <row r="73" spans="1:9" hidden="1" x14ac:dyDescent="0.25">
      <c r="A73" s="150" t="s">
        <v>219</v>
      </c>
      <c r="B73" s="135" t="str">
        <f>IF(ISBLANK('6.3Ratemaking Data'!D45),"",'6.3Ratemaking Data'!D45)</f>
        <v/>
      </c>
      <c r="C73" s="135" t="str">
        <f>IF(ISBLANK('6.3Ratemaking Data'!E45),"",'6.3Ratemaking Data'!E45)</f>
        <v/>
      </c>
      <c r="D73" s="135" t="str">
        <f>IF(ISBLANK('6.3Ratemaking Data'!F45),"",'6.3Ratemaking Data'!F45)</f>
        <v/>
      </c>
      <c r="E73" s="135" t="str">
        <f>IF(ISBLANK('6.3Ratemaking Data'!G45),"",'6.3Ratemaking Data'!G45)</f>
        <v/>
      </c>
      <c r="F73" s="135" t="str">
        <f>IF(ISBLANK('6.3Ratemaking Data'!H45),"",'6.3Ratemaking Data'!H45)</f>
        <v/>
      </c>
      <c r="G73" s="135" t="str">
        <f>IF(ISBLANK('6.3Ratemaking Data'!I45),"",'6.3Ratemaking Data'!I45)</f>
        <v/>
      </c>
      <c r="H73" s="136" t="str">
        <f ca="1">IF(RIGHT(Detailed_LineCode03,1)="R",IF(New_Program=TRUE,'6.3Ratemaking Data'!$K$45,SUM($B73:$G73)),"")</f>
        <v/>
      </c>
    </row>
    <row r="74" spans="1:9" hidden="1" x14ac:dyDescent="0.25">
      <c r="A74" s="150" t="s">
        <v>220</v>
      </c>
      <c r="B74" s="135" t="str">
        <f>IF(ISBLANK('6.3Ratemaking Data'!D46),"",'6.3Ratemaking Data'!D46)</f>
        <v/>
      </c>
      <c r="C74" s="135" t="str">
        <f>IF(ISBLANK('6.3Ratemaking Data'!E46),"",'6.3Ratemaking Data'!E46)</f>
        <v/>
      </c>
      <c r="D74" s="135" t="str">
        <f>IF(ISBLANK('6.3Ratemaking Data'!F46),"",'6.3Ratemaking Data'!F46)</f>
        <v/>
      </c>
      <c r="E74" s="135" t="str">
        <f>IF(ISBLANK('6.3Ratemaking Data'!G46),"",'6.3Ratemaking Data'!G46)</f>
        <v/>
      </c>
      <c r="F74" s="135" t="str">
        <f>IF(ISBLANK('6.3Ratemaking Data'!H46),"",'6.3Ratemaking Data'!H46)</f>
        <v/>
      </c>
      <c r="G74" s="135" t="str">
        <f>IF(ISBLANK('6.3Ratemaking Data'!I46),"",'6.3Ratemaking Data'!I46)</f>
        <v/>
      </c>
      <c r="H74" s="136">
        <f>IF(New_Program=TRUE,'6.3Ratemaking Data'!$K$46,SUM($B74:$G74))</f>
        <v>0</v>
      </c>
    </row>
    <row r="75" spans="1:9" hidden="1" x14ac:dyDescent="0.25">
      <c r="A75" s="150" t="s">
        <v>221</v>
      </c>
      <c r="B75" s="578" t="str">
        <f t="shared" ref="B75:H75" si="9">IF(ISERROR(Rein_Prem/Exposures_Earned),"",Rein_Prem/Exposures_Earned)</f>
        <v/>
      </c>
      <c r="C75" s="578" t="str">
        <f t="shared" si="9"/>
        <v/>
      </c>
      <c r="D75" s="578" t="str">
        <f t="shared" si="9"/>
        <v/>
      </c>
      <c r="E75" s="578" t="str">
        <f t="shared" si="9"/>
        <v/>
      </c>
      <c r="F75" s="578" t="str">
        <f t="shared" si="9"/>
        <v/>
      </c>
      <c r="G75" s="578" t="str">
        <f t="shared" si="9"/>
        <v/>
      </c>
      <c r="H75" s="577" t="str">
        <f t="shared" ca="1" si="9"/>
        <v/>
      </c>
    </row>
    <row r="76" spans="1:9" hidden="1" x14ac:dyDescent="0.25">
      <c r="A76" s="150" t="s">
        <v>222</v>
      </c>
      <c r="B76" s="578" t="str">
        <f t="shared" ref="B76:H76" si="10">IF(ISERROR(Rein_Recov/Exposures_Earned),"",Rein_Recov/Exposures_Earned)</f>
        <v/>
      </c>
      <c r="C76" s="578" t="str">
        <f t="shared" si="10"/>
        <v/>
      </c>
      <c r="D76" s="578" t="str">
        <f t="shared" si="10"/>
        <v/>
      </c>
      <c r="E76" s="578" t="str">
        <f t="shared" si="10"/>
        <v/>
      </c>
      <c r="F76" s="578" t="str">
        <f t="shared" si="10"/>
        <v/>
      </c>
      <c r="G76" s="578" t="str">
        <f t="shared" si="10"/>
        <v/>
      </c>
      <c r="H76" s="577">
        <f t="shared" si="10"/>
        <v>0</v>
      </c>
    </row>
    <row r="77" spans="1:9" hidden="1" x14ac:dyDescent="0.25">
      <c r="A77" s="150" t="s">
        <v>223</v>
      </c>
      <c r="B77" s="578" t="str">
        <f t="shared" ref="B77:H77" ca="1" si="11">IF(ISERROR((TCRLP_perExp*(1+Comp_Trend)*Max_Denom+Anc_Inc_perExp-ReinPrem_perExp*Max_Denom/(1-Comm_Rate-PremTaxRate))/(1-InvInc_Fixed)),"",(TCRLP_perExp*(1+Comp_Trend)*Max_Denom+Anc_Inc_perExp-ReinPrem_perExp*Max_Denom/(1-Comm_Rate-PremTaxRate))/(1-InvInc_Fixed))</f>
        <v/>
      </c>
      <c r="C77" s="578" t="str">
        <f t="shared" ca="1" si="11"/>
        <v/>
      </c>
      <c r="D77" s="578" t="str">
        <f t="shared" ca="1" si="11"/>
        <v/>
      </c>
      <c r="E77" s="578" t="str">
        <f t="shared" ca="1" si="11"/>
        <v/>
      </c>
      <c r="F77" s="578" t="str">
        <f t="shared" ca="1" si="11"/>
        <v/>
      </c>
      <c r="G77" s="578" t="str">
        <f t="shared" ca="1" si="11"/>
        <v/>
      </c>
      <c r="H77" s="577" t="str">
        <f t="shared" ca="1" si="11"/>
        <v/>
      </c>
    </row>
    <row r="78" spans="1:9" ht="15.75" hidden="1" thickBot="1" x14ac:dyDescent="0.3">
      <c r="A78" s="150" t="s">
        <v>224</v>
      </c>
      <c r="B78" s="90"/>
      <c r="C78" s="90"/>
      <c r="D78" s="90"/>
      <c r="E78" s="90"/>
      <c r="F78" s="90"/>
      <c r="G78" s="90"/>
      <c r="H78" s="577" t="e">
        <f ca="1">IF(H73=0,NA(),((((Credibility*(LossDCCE_perExp-ReinRec_perExp))+(1-Credibility)*CompLoss_Rein)*(1-InvInc_Fixed)-Anc_Inc_perExp)/Max_Denom)+ReinPrem_perExp/(1-Comm_Rate-PremTaxRate))</f>
        <v>#VALUE!</v>
      </c>
      <c r="I78" s="473"/>
    </row>
    <row r="79" spans="1:9" ht="19.5" hidden="1" thickBot="1" x14ac:dyDescent="0.3">
      <c r="A79" s="151" t="s">
        <v>225</v>
      </c>
      <c r="B79" s="140"/>
      <c r="C79" s="140"/>
      <c r="D79" s="140"/>
      <c r="E79" s="140"/>
      <c r="F79" s="140"/>
      <c r="G79" s="140"/>
      <c r="H79" s="485" t="e">
        <f ca="1">IF(I79="",IF($H$73=0,NA(),(ReinMax_Premium-Prem_Current)/Prem_Current),"Error")</f>
        <v>#VALUE!</v>
      </c>
      <c r="I79" s="471" t="str">
        <f>IF(AND('6.3Ratemaking Data'!Error30="",'6.3Ratemaking Data'!Error31="",'6.3Ratemaking Data'!Error32=""),"","See Column M of Page '6.3Ratemaking Data' for errors that must be corrected.")</f>
        <v/>
      </c>
    </row>
    <row r="80" spans="1:9" ht="26.25" x14ac:dyDescent="0.25">
      <c r="F80" s="787" t="s">
        <v>622</v>
      </c>
      <c r="G80" s="787"/>
      <c r="H80" s="787"/>
    </row>
    <row r="81" spans="1:1" x14ac:dyDescent="0.25">
      <c r="A81" s="152"/>
    </row>
  </sheetData>
  <sheetProtection algorithmName="SHA-512" hashValue="QQhsAeDfCJvoPS6La59LOJW8HxhdTBUh5awmjSURDVXCyziiiXTqiEGSHLG8YmYdq+MSwqawvVr/QZUSqSqDIw==" saltValue="Af6wvGDSQndaJyB70kbnsg==" spinCount="100000" sheet="1" objects="1" scenarios="1" formatColumns="0" formatRows="0" sort="0"/>
  <mergeCells count="1">
    <mergeCell ref="F80:H80"/>
  </mergeCells>
  <conditionalFormatting sqref="H79">
    <cfRule type="cellIs" dxfId="15" priority="2" operator="equal">
      <formula>"Error"</formula>
    </cfRule>
  </conditionalFormatting>
  <conditionalFormatting sqref="H68:H69">
    <cfRule type="cellIs" dxfId="14" priority="1" operator="equal">
      <formula>"Error"</formula>
    </cfRule>
  </conditionalFormatting>
  <hyperlinks>
    <hyperlink ref="F80" location="'Ratemaking Data (7)'!A1" display="Go to Ratemaking Data (7)" xr:uid="{00000000-0004-0000-1600-000000000000}"/>
    <hyperlink ref="F80:H80" location="'6.3Ratemaking Data'!A1" display="Go to 6.3Ratemaking Data" xr:uid="{00000000-0004-0000-1600-000001000000}"/>
  </hyperlinks>
  <printOptions horizontalCentered="1"/>
  <pageMargins left="0.45" right="0.45" top="0.5" bottom="0.5" header="0.3" footer="0.3"/>
  <pageSetup scale="72" orientation="portrait" r:id="rId1"/>
  <headerFooter>
    <oddFooter>&amp;CPrior Approval Rate Template&amp;RPage 7.3&amp;L01/11/2022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0419" r:id="rId4" name="btnYears">
              <controlPr defaultSize="0" print="0" autoFill="0" autoPict="0" macro="[0]!ExpandContractColsData">
                <anchor moveWithCells="1">
                  <from>
                    <xdr:col>5</xdr:col>
                    <xdr:colOff>19050</xdr:colOff>
                    <xdr:row>6</xdr:row>
                    <xdr:rowOff>0</xdr:rowOff>
                  </from>
                  <to>
                    <xdr:col>6</xdr:col>
                    <xdr:colOff>733425</xdr:colOff>
                    <xdr:row>8</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33">
    <tabColor theme="0" tint="-0.14999847407452621"/>
    <pageSetUpPr fitToPage="1"/>
  </sheetPr>
  <dimension ref="A1:J81"/>
  <sheetViews>
    <sheetView view="pageBreakPreview" topLeftCell="A46" zoomScaleNormal="100" zoomScaleSheetLayoutView="100" workbookViewId="0">
      <selection activeCell="I58" sqref="I58"/>
    </sheetView>
  </sheetViews>
  <sheetFormatPr defaultRowHeight="15" x14ac:dyDescent="0.25"/>
  <cols>
    <col min="1" max="1" width="28.28515625" style="14" customWidth="1"/>
    <col min="2" max="4" width="15.7109375" style="14" hidden="1" customWidth="1"/>
    <col min="5" max="8" width="17.42578125" style="14" customWidth="1"/>
    <col min="9" max="9" width="22.5703125" style="14" bestFit="1" customWidth="1"/>
    <col min="10" max="16384" width="9.140625" style="14"/>
  </cols>
  <sheetData>
    <row r="1" spans="1:8" x14ac:dyDescent="0.25">
      <c r="A1" s="10" t="s">
        <v>31</v>
      </c>
      <c r="E1" s="124" t="s">
        <v>33</v>
      </c>
      <c r="H1" s="125" t="str">
        <f>Co_Name</f>
        <v>State Farm Mutual Automobile Insurance Company</v>
      </c>
    </row>
    <row r="2" spans="1:8" x14ac:dyDescent="0.25">
      <c r="A2" s="8" t="s">
        <v>32</v>
      </c>
      <c r="E2" s="124" t="s">
        <v>34</v>
      </c>
      <c r="H2" s="125" t="str">
        <f>General_Line</f>
        <v>Auto Liability and Physical Damage</v>
      </c>
    </row>
    <row r="3" spans="1:8" x14ac:dyDescent="0.25">
      <c r="E3" s="181" t="s">
        <v>142</v>
      </c>
      <c r="F3" s="182"/>
      <c r="G3" s="182"/>
      <c r="H3" s="188" t="str">
        <f>CDI_FileNo</f>
        <v/>
      </c>
    </row>
    <row r="4" spans="1:8" ht="18" customHeight="1" x14ac:dyDescent="0.25">
      <c r="A4" s="607" t="str">
        <f>IF('6.4Ratemaking Data'!$K$7="","VARIANCE - NONE","VARIANCE "&amp;'6.4Ratemaking Data'!$K$7)</f>
        <v>VARIANCE - NONE</v>
      </c>
    </row>
    <row r="5" spans="1:8" ht="23.25" x14ac:dyDescent="0.25">
      <c r="A5" s="4" t="s">
        <v>665</v>
      </c>
      <c r="B5" s="123"/>
      <c r="C5" s="123"/>
      <c r="D5" s="123"/>
      <c r="E5" s="123"/>
      <c r="F5" s="123"/>
      <c r="G5" s="123"/>
      <c r="H5" s="123"/>
    </row>
    <row r="6" spans="1:8" ht="9.9499999999999993" customHeight="1" x14ac:dyDescent="0.25"/>
    <row r="7" spans="1:8" ht="15" customHeight="1" x14ac:dyDescent="0.25">
      <c r="A7" s="14" t="s">
        <v>1</v>
      </c>
      <c r="H7" s="28" t="str">
        <f>Completed_By</f>
        <v>Laura Campbell</v>
      </c>
    </row>
    <row r="8" spans="1:8" ht="15" customHeight="1" x14ac:dyDescent="0.25">
      <c r="A8" s="14" t="s">
        <v>76</v>
      </c>
      <c r="H8" s="189">
        <f>Completed_Date</f>
        <v>44816</v>
      </c>
    </row>
    <row r="9" spans="1:8" ht="15" customHeight="1" x14ac:dyDescent="0.25">
      <c r="A9" s="14" t="s">
        <v>169</v>
      </c>
      <c r="H9" s="189">
        <f>EffDate_Prior04</f>
        <v>44088</v>
      </c>
    </row>
    <row r="10" spans="1:8" ht="15" customHeight="1" x14ac:dyDescent="0.25">
      <c r="A10" s="14" t="s">
        <v>170</v>
      </c>
      <c r="B10" s="62"/>
      <c r="H10" s="189">
        <f>EffDate_Proposed</f>
        <v>45061</v>
      </c>
    </row>
    <row r="11" spans="1:8" ht="15" customHeight="1" x14ac:dyDescent="0.25">
      <c r="A11" s="14" t="s">
        <v>77</v>
      </c>
      <c r="B11" s="62"/>
      <c r="H11" s="28" t="str">
        <f>Detailed_LineDesc04</f>
        <v>Private Passenger Auto Physical Damage</v>
      </c>
    </row>
    <row r="12" spans="1:8" ht="15" customHeight="1" x14ac:dyDescent="0.25">
      <c r="A12" s="14" t="s">
        <v>78</v>
      </c>
      <c r="B12" s="62"/>
      <c r="H12" s="28" t="str">
        <f>Covg04</f>
        <v>COMP</v>
      </c>
    </row>
    <row r="13" spans="1:8" ht="15" customHeight="1" x14ac:dyDescent="0.25">
      <c r="H13" s="608"/>
    </row>
    <row r="14" spans="1:8" ht="9.9499999999999993" customHeight="1" x14ac:dyDescent="0.25"/>
    <row r="15" spans="1:8" ht="15.75" thickBot="1" x14ac:dyDescent="0.3">
      <c r="A15" s="130" t="s">
        <v>171</v>
      </c>
      <c r="B15" s="285" t="str">
        <f>'6.4Ratemaking Data'!D$14</f>
        <v>20171</v>
      </c>
      <c r="C15" s="285" t="str">
        <f>'6.4Ratemaking Data'!E$14</f>
        <v>20181</v>
      </c>
      <c r="D15" s="285" t="str">
        <f>'6.4Ratemaking Data'!F$14</f>
        <v>20191</v>
      </c>
      <c r="E15" s="285" t="str">
        <f>'6.4Ratemaking Data'!G$14</f>
        <v>20201</v>
      </c>
      <c r="F15" s="285" t="str">
        <f>'6.4Ratemaking Data'!H$14</f>
        <v>20211</v>
      </c>
      <c r="G15" s="285">
        <f>'6.4Ratemaking Data'!I$14</f>
        <v>20221</v>
      </c>
      <c r="H15" s="105" t="s">
        <v>306</v>
      </c>
    </row>
    <row r="16" spans="1:8" x14ac:dyDescent="0.25">
      <c r="A16" s="131" t="s">
        <v>173</v>
      </c>
      <c r="B16" s="132" t="str">
        <f>IF(ISBLANK('6.4Ratemaking Data'!D15),"",'6.4Ratemaking Data'!D15)</f>
        <v/>
      </c>
      <c r="C16" s="132" t="str">
        <f>IF(ISBLANK('6.4Ratemaking Data'!E15),"",'6.4Ratemaking Data'!E15)</f>
        <v/>
      </c>
      <c r="D16" s="132" t="str">
        <f>IF(ISBLANK('6.4Ratemaking Data'!F15),"",'6.4Ratemaking Data'!F15)</f>
        <v/>
      </c>
      <c r="E16" s="132" t="str">
        <f>IF(ISBLANK('6.4Ratemaking Data'!G15),"",'6.4Ratemaking Data'!G15)</f>
        <v/>
      </c>
      <c r="F16" s="132" t="str">
        <f>IF(ISBLANK('6.4Ratemaking Data'!H15),"",'6.4Ratemaking Data'!H15)</f>
        <v/>
      </c>
      <c r="G16" s="132">
        <f>IF(ISBLANK('6.4Ratemaking Data'!I15),"",'6.4Ratemaking Data'!I15)</f>
        <v>348901831.16000003</v>
      </c>
      <c r="H16" s="133">
        <f>IF(New_Program=TRUE,'6.4Ratemaking Data'!$K$15,SUM($B16:$G16))</f>
        <v>348901831.16000003</v>
      </c>
    </row>
    <row r="17" spans="1:10" x14ac:dyDescent="0.25">
      <c r="A17" s="134" t="s">
        <v>172</v>
      </c>
      <c r="B17" s="135" t="str">
        <f>IF(ISBLANK('6.4Ratemaking Data'!D16),"",'6.4Ratemaking Data'!D16)</f>
        <v/>
      </c>
      <c r="C17" s="135" t="str">
        <f>IF(ISBLANK('6.4Ratemaking Data'!E16),"",'6.4Ratemaking Data'!E16)</f>
        <v/>
      </c>
      <c r="D17" s="135" t="str">
        <f>IF(ISBLANK('6.4Ratemaking Data'!F16),"",'6.4Ratemaking Data'!F16)</f>
        <v/>
      </c>
      <c r="E17" s="135" t="str">
        <f>IF(ISBLANK('6.4Ratemaking Data'!G16),"",'6.4Ratemaking Data'!G16)</f>
        <v/>
      </c>
      <c r="F17" s="135" t="str">
        <f>IF(ISBLANK('6.4Ratemaking Data'!H16),"",'6.4Ratemaking Data'!H16)</f>
        <v/>
      </c>
      <c r="G17" s="135">
        <f>IF(ISBLANK('6.4Ratemaking Data'!I16),"",'6.4Ratemaking Data'!I16)</f>
        <v>341127451.88999999</v>
      </c>
      <c r="H17" s="136">
        <f>IF(New_Program=TRUE,'6.4Ratemaking Data'!$K$16,SUM($B17:$G17))</f>
        <v>341127451.88999999</v>
      </c>
    </row>
    <row r="18" spans="1:10" x14ac:dyDescent="0.25">
      <c r="A18" s="134" t="s">
        <v>174</v>
      </c>
      <c r="B18" s="137" t="str">
        <f>IF(ISBLANK('6.4Ratemaking Data'!D17),"",'6.4Ratemaking Data'!D17)</f>
        <v/>
      </c>
      <c r="C18" s="137" t="str">
        <f>IF(ISBLANK('6.4Ratemaking Data'!E17),"",'6.4Ratemaking Data'!E17)</f>
        <v/>
      </c>
      <c r="D18" s="137" t="str">
        <f>IF(ISBLANK('6.4Ratemaking Data'!F17),"",'6.4Ratemaking Data'!F17)</f>
        <v/>
      </c>
      <c r="E18" s="137" t="str">
        <f>IF(ISBLANK('6.4Ratemaking Data'!G17),"",'6.4Ratemaking Data'!G17)</f>
        <v/>
      </c>
      <c r="F18" s="137" t="str">
        <f>IF(ISBLANK('6.4Ratemaking Data'!H17),"",'6.4Ratemaking Data'!H17)</f>
        <v/>
      </c>
      <c r="G18" s="137">
        <f>IF(ISBLANK('6.4Ratemaking Data'!I17),"",'6.4Ratemaking Data'!I17)</f>
        <v>1</v>
      </c>
      <c r="H18" s="138"/>
    </row>
    <row r="19" spans="1:10" x14ac:dyDescent="0.25">
      <c r="A19" s="134" t="s">
        <v>175</v>
      </c>
      <c r="B19" s="137" t="str">
        <f>IF(ISBLANK('6.4Ratemaking Data'!D18),"",'6.4Ratemaking Data'!D18)</f>
        <v/>
      </c>
      <c r="C19" s="137" t="str">
        <f>IF(ISBLANK('6.4Ratemaking Data'!E18),"",'6.4Ratemaking Data'!E18)</f>
        <v/>
      </c>
      <c r="D19" s="137" t="str">
        <f>IF(ISBLANK('6.4Ratemaking Data'!F18),"",'6.4Ratemaking Data'!F18)</f>
        <v/>
      </c>
      <c r="E19" s="137" t="str">
        <f>IF(ISBLANK('6.4Ratemaking Data'!G18),"",'6.4Ratemaking Data'!G18)</f>
        <v/>
      </c>
      <c r="F19" s="137" t="str">
        <f>IF(ISBLANK('6.4Ratemaking Data'!H18),"",'6.4Ratemaking Data'!H18)</f>
        <v/>
      </c>
      <c r="G19" s="137">
        <f>IF(ISBLANK('6.4Ratemaking Data'!I18),"",'6.4Ratemaking Data'!I18)</f>
        <v>1.0684391902166306</v>
      </c>
      <c r="H19" s="144">
        <f>IF(New_Program=TRUE,0,'6.4Ratemaking Data'!$J$18)</f>
        <v>2.9858820828095E-2</v>
      </c>
    </row>
    <row r="20" spans="1:10" x14ac:dyDescent="0.25">
      <c r="A20" s="134" t="s">
        <v>176</v>
      </c>
      <c r="B20" s="135" t="str">
        <f>IF(ISBLANK('6.4Ratemaking Data'!D19),"",'6.4Ratemaking Data'!D19)</f>
        <v/>
      </c>
      <c r="C20" s="135" t="str">
        <f>IF(ISBLANK('6.4Ratemaking Data'!E19),"",'6.4Ratemaking Data'!E19)</f>
        <v/>
      </c>
      <c r="D20" s="135" t="str">
        <f>IF(ISBLANK('6.4Ratemaking Data'!F19),"",'6.4Ratemaking Data'!F19)</f>
        <v/>
      </c>
      <c r="E20" s="135" t="str">
        <f>IF(ISBLANK('6.4Ratemaking Data'!G19),"",'6.4Ratemaking Data'!G19)</f>
        <v/>
      </c>
      <c r="F20" s="135" t="str">
        <f>IF(ISBLANK('6.4Ratemaking Data'!H19),"",'6.4Ratemaking Data'!H19)</f>
        <v/>
      </c>
      <c r="G20" s="135">
        <f>IF(ISBLANK('6.4Ratemaking Data'!I19),"",'6.4Ratemaking Data'!I19)</f>
        <v>0</v>
      </c>
      <c r="H20" s="136">
        <f>IF(New_Program=TRUE,'6.4Ratemaking Data'!$K$19,SUM($B20:$G20))</f>
        <v>0</v>
      </c>
    </row>
    <row r="21" spans="1:10" x14ac:dyDescent="0.25">
      <c r="A21" s="134" t="s">
        <v>177</v>
      </c>
      <c r="B21" s="135" t="str">
        <f>IF(ISBLANK('6.4Ratemaking Data'!D20),"",'6.4Ratemaking Data'!D20)</f>
        <v/>
      </c>
      <c r="C21" s="135" t="str">
        <f>IF(ISBLANK('6.4Ratemaking Data'!E20),"",'6.4Ratemaking Data'!E20)</f>
        <v/>
      </c>
      <c r="D21" s="135" t="str">
        <f>IF(ISBLANK('6.4Ratemaking Data'!F20),"",'6.4Ratemaking Data'!F20)</f>
        <v/>
      </c>
      <c r="E21" s="135" t="str">
        <f>IF(ISBLANK('6.4Ratemaking Data'!G20),"",'6.4Ratemaking Data'!G20)</f>
        <v/>
      </c>
      <c r="F21" s="135" t="str">
        <f>IF(ISBLANK('6.4Ratemaking Data'!H20),"",'6.4Ratemaking Data'!H20)</f>
        <v/>
      </c>
      <c r="G21" s="135">
        <f>IF(ISBLANK('6.4Ratemaking Data'!I20),"",'6.4Ratemaking Data'!I20)</f>
        <v>3304840</v>
      </c>
      <c r="H21" s="136">
        <f>IF(New_Program=TRUE,'6.4Ratemaking Data'!$K$20,SUM($B21:$G21))</f>
        <v>3304840</v>
      </c>
      <c r="J21" s="126"/>
    </row>
    <row r="22" spans="1:10" x14ac:dyDescent="0.25">
      <c r="A22" s="134" t="s">
        <v>178</v>
      </c>
      <c r="B22" s="135" t="str">
        <f>IF(ISBLANK('6.4Ratemaking Data'!D21),"",'6.4Ratemaking Data'!D21)</f>
        <v/>
      </c>
      <c r="C22" s="135" t="str">
        <f>IF(ISBLANK('6.4Ratemaking Data'!E21),"",'6.4Ratemaking Data'!E21)</f>
        <v/>
      </c>
      <c r="D22" s="135" t="str">
        <f>IF(ISBLANK('6.4Ratemaking Data'!F21),"",'6.4Ratemaking Data'!F21)</f>
        <v/>
      </c>
      <c r="E22" s="135" t="str">
        <f>IF(ISBLANK('6.4Ratemaking Data'!G21),"",'6.4Ratemaking Data'!G21)</f>
        <v/>
      </c>
      <c r="F22" s="135" t="str">
        <f>IF(ISBLANK('6.4Ratemaking Data'!H21),"",'6.4Ratemaking Data'!H21)</f>
        <v/>
      </c>
      <c r="G22" s="135">
        <f>IF(ISBLANK('6.4Ratemaking Data'!I21),"",'6.4Ratemaking Data'!I21)</f>
        <v>326444067.16999996</v>
      </c>
      <c r="H22" s="136">
        <f>IF(New_Program=TRUE,'6.4Ratemaking Data'!$K$21,SUM($B22:$G22))</f>
        <v>326444067.16999996</v>
      </c>
      <c r="J22" s="126"/>
    </row>
    <row r="23" spans="1:10" x14ac:dyDescent="0.25">
      <c r="A23" s="134" t="s">
        <v>144</v>
      </c>
      <c r="B23" s="135" t="str">
        <f>IF(ISBLANK('6.4Ratemaking Data'!D22),"",'6.4Ratemaking Data'!D22)</f>
        <v/>
      </c>
      <c r="C23" s="135" t="str">
        <f>IF(ISBLANK('6.4Ratemaking Data'!E22),"",'6.4Ratemaking Data'!E22)</f>
        <v/>
      </c>
      <c r="D23" s="135" t="str">
        <f>IF(ISBLANK('6.4Ratemaking Data'!F22),"",'6.4Ratemaking Data'!F22)</f>
        <v/>
      </c>
      <c r="E23" s="135" t="str">
        <f>IF(ISBLANK('6.4Ratemaking Data'!G22),"",'6.4Ratemaking Data'!G22)</f>
        <v/>
      </c>
      <c r="F23" s="135" t="str">
        <f>IF(ISBLANK('6.4Ratemaking Data'!H22),"",'6.4Ratemaking Data'!H22)</f>
        <v/>
      </c>
      <c r="G23" s="135">
        <f>IF(ISBLANK('6.4Ratemaking Data'!I22),"",'6.4Ratemaking Data'!I22)</f>
        <v>1132828.3599999999</v>
      </c>
      <c r="H23" s="136">
        <f>IF(New_Program=TRUE,'6.4Ratemaking Data'!$K$22,SUM($B23:$G23))</f>
        <v>1132828.3599999999</v>
      </c>
      <c r="J23" s="126"/>
    </row>
    <row r="24" spans="1:10" x14ac:dyDescent="0.25">
      <c r="A24" s="134" t="s">
        <v>181</v>
      </c>
      <c r="B24" s="137" t="str">
        <f>IF(ISBLANK('6.4Ratemaking Data'!D23),"",'6.4Ratemaking Data'!D23)</f>
        <v/>
      </c>
      <c r="C24" s="137" t="str">
        <f>IF(ISBLANK('6.4Ratemaking Data'!E23),"",'6.4Ratemaking Data'!E23)</f>
        <v/>
      </c>
      <c r="D24" s="137" t="str">
        <f>IF(ISBLANK('6.4Ratemaking Data'!F23),"",'6.4Ratemaking Data'!F23)</f>
        <v/>
      </c>
      <c r="E24" s="137" t="str">
        <f>IF(ISBLANK('6.4Ratemaking Data'!G23),"",'6.4Ratemaking Data'!G23)</f>
        <v/>
      </c>
      <c r="F24" s="137" t="str">
        <f>IF(ISBLANK('6.4Ratemaking Data'!H23),"",'6.4Ratemaking Data'!H23)</f>
        <v/>
      </c>
      <c r="G24" s="137">
        <f>IF(ISBLANK('6.4Ratemaking Data'!I23),"",'6.4Ratemaking Data'!I23)</f>
        <v>1.0041523171521765</v>
      </c>
      <c r="H24" s="138"/>
    </row>
    <row r="25" spans="1:10" x14ac:dyDescent="0.25">
      <c r="A25" s="134" t="s">
        <v>182</v>
      </c>
      <c r="B25" s="137" t="str">
        <f>IF(ISBLANK('6.4Ratemaking Data'!D24),"",'6.4Ratemaking Data'!D24)</f>
        <v/>
      </c>
      <c r="C25" s="137" t="str">
        <f>IF(ISBLANK('6.4Ratemaking Data'!E24),"",'6.4Ratemaking Data'!E24)</f>
        <v/>
      </c>
      <c r="D25" s="137" t="str">
        <f>IF(ISBLANK('6.4Ratemaking Data'!F24),"",'6.4Ratemaking Data'!F24)</f>
        <v/>
      </c>
      <c r="E25" s="137" t="str">
        <f>IF(ISBLANK('6.4Ratemaking Data'!G24),"",'6.4Ratemaking Data'!G24)</f>
        <v/>
      </c>
      <c r="F25" s="137" t="str">
        <f>IF(ISBLANK('6.4Ratemaking Data'!H24),"",'6.4Ratemaking Data'!H24)</f>
        <v/>
      </c>
      <c r="G25" s="137">
        <f>IF(ISBLANK('6.4Ratemaking Data'!I24),"",'6.4Ratemaking Data'!I24)</f>
        <v>1.8398599823177129</v>
      </c>
      <c r="H25" s="138"/>
    </row>
    <row r="26" spans="1:10" x14ac:dyDescent="0.25">
      <c r="A26" s="134" t="s">
        <v>179</v>
      </c>
      <c r="B26" s="137" t="str">
        <f>IF(ISBLANK('6.4Ratemaking Data'!D25),"",'6.4Ratemaking Data'!D25)</f>
        <v/>
      </c>
      <c r="C26" s="137" t="str">
        <f>IF(ISBLANK('6.4Ratemaking Data'!E25),"",'6.4Ratemaking Data'!E25)</f>
        <v/>
      </c>
      <c r="D26" s="137" t="str">
        <f>IF(ISBLANK('6.4Ratemaking Data'!F25),"",'6.4Ratemaking Data'!F25)</f>
        <v/>
      </c>
      <c r="E26" s="137" t="str">
        <f>IF(ISBLANK('6.4Ratemaking Data'!G25),"",'6.4Ratemaking Data'!G25)</f>
        <v/>
      </c>
      <c r="F26" s="137" t="str">
        <f>IF(ISBLANK('6.4Ratemaking Data'!H25),"",'6.4Ratemaking Data'!H25)</f>
        <v/>
      </c>
      <c r="G26" s="137">
        <f>IF(ISBLANK('6.4Ratemaking Data'!I25),"",'6.4Ratemaking Data'!I25)</f>
        <v>1.1494440501596113</v>
      </c>
      <c r="H26" s="144">
        <f>IF(New_Program=TRUE,0,'6.4Ratemaking Data'!$J$25)</f>
        <v>6.3857557087473538E-2</v>
      </c>
    </row>
    <row r="27" spans="1:10" x14ac:dyDescent="0.25">
      <c r="A27" s="134" t="s">
        <v>180</v>
      </c>
      <c r="B27" s="137" t="str">
        <f>IF(ISBLANK('6.4Ratemaking Data'!D26),"",'6.4Ratemaking Data'!D26)</f>
        <v/>
      </c>
      <c r="C27" s="137" t="str">
        <f>IF(ISBLANK('6.4Ratemaking Data'!E26),"",'6.4Ratemaking Data'!E26)</f>
        <v/>
      </c>
      <c r="D27" s="137" t="str">
        <f>IF(ISBLANK('6.4Ratemaking Data'!F26),"",'6.4Ratemaking Data'!F26)</f>
        <v/>
      </c>
      <c r="E27" s="137" t="str">
        <f>IF(ISBLANK('6.4Ratemaking Data'!G26),"",'6.4Ratemaking Data'!G26)</f>
        <v/>
      </c>
      <c r="F27" s="137" t="str">
        <f>IF(ISBLANK('6.4Ratemaking Data'!H26),"",'6.4Ratemaking Data'!H26)</f>
        <v/>
      </c>
      <c r="G27" s="137">
        <f>IF(ISBLANK('6.4Ratemaking Data'!I26),"",'6.4Ratemaking Data'!I26)</f>
        <v>1.1494440501596113</v>
      </c>
      <c r="H27" s="144">
        <f>IF(New_Program=TRUE,0,'6.4Ratemaking Data'!$J$26)</f>
        <v>6.3857557087473538E-2</v>
      </c>
    </row>
    <row r="28" spans="1:10" x14ac:dyDescent="0.25">
      <c r="A28" s="134" t="s">
        <v>183</v>
      </c>
      <c r="B28" s="137" t="str">
        <f>IF(ISBLANK('6.4Ratemaking Data'!D27),"",'6.4Ratemaking Data'!D27)</f>
        <v/>
      </c>
      <c r="C28" s="137" t="str">
        <f>IF(ISBLANK('6.4Ratemaking Data'!E27),"",'6.4Ratemaking Data'!E27)</f>
        <v/>
      </c>
      <c r="D28" s="137" t="str">
        <f>IF(ISBLANK('6.4Ratemaking Data'!F27),"",'6.4Ratemaking Data'!F27)</f>
        <v/>
      </c>
      <c r="E28" s="137" t="str">
        <f>IF(ISBLANK('6.4Ratemaking Data'!G27),"",'6.4Ratemaking Data'!G27)</f>
        <v/>
      </c>
      <c r="F28" s="137" t="str">
        <f>IF(ISBLANK('6.4Ratemaking Data'!H27),"",'6.4Ratemaking Data'!H27)</f>
        <v/>
      </c>
      <c r="G28" s="137">
        <f>IF(ISBLANK('6.4Ratemaking Data'!I27),"",'6.4Ratemaking Data'!I27)</f>
        <v>1.0269999999999999</v>
      </c>
      <c r="H28" s="138"/>
    </row>
    <row r="29" spans="1:10" ht="15.75" thickBot="1" x14ac:dyDescent="0.3">
      <c r="A29" s="153" t="s">
        <v>188</v>
      </c>
      <c r="B29" s="154" t="str">
        <f>IF(ISBLANK('6.4Ratemaking Data'!D29),"",'6.4Ratemaking Data'!D29)</f>
        <v/>
      </c>
      <c r="C29" s="154" t="str">
        <f>IF(ISBLANK('6.4Ratemaking Data'!E29),"",'6.4Ratemaking Data'!E29)</f>
        <v/>
      </c>
      <c r="D29" s="154" t="str">
        <f>IF(ISBLANK('6.4Ratemaking Data'!F29),"",'6.4Ratemaking Data'!F29)</f>
        <v/>
      </c>
      <c r="E29" s="154" t="str">
        <f>IF(ISBLANK('6.4Ratemaking Data'!G29),"",'6.4Ratemaking Data'!G29)</f>
        <v/>
      </c>
      <c r="F29" s="154" t="str">
        <f>IF(ISBLANK('6.4Ratemaking Data'!H29),"",'6.4Ratemaking Data'!H29)</f>
        <v/>
      </c>
      <c r="G29" s="154">
        <f>IF(ISBLANK('6.4Ratemaking Data'!I29),"",'6.4Ratemaking Data'!I29)</f>
        <v>0</v>
      </c>
      <c r="H29" s="155">
        <f>IF(New_Program=TRUE,'6.4Ratemaking Data'!$K$29,SUM($B29:$G29))</f>
        <v>0</v>
      </c>
    </row>
    <row r="30" spans="1:10" ht="15.75" thickTop="1" x14ac:dyDescent="0.25">
      <c r="A30" s="134" t="s">
        <v>184</v>
      </c>
      <c r="B30" s="139"/>
      <c r="C30" s="139"/>
      <c r="D30" s="139"/>
      <c r="E30" s="139"/>
      <c r="F30" s="139"/>
      <c r="G30" s="139"/>
      <c r="H30" s="144">
        <f>IF(New_Program=TRUE,100%,'6.4Ratemaking Data'!$J$28)</f>
        <v>1</v>
      </c>
    </row>
    <row r="31" spans="1:10" x14ac:dyDescent="0.25">
      <c r="A31" s="134" t="s">
        <v>185</v>
      </c>
      <c r="B31" s="139"/>
      <c r="C31" s="139"/>
      <c r="D31" s="139"/>
      <c r="E31" s="139"/>
      <c r="F31" s="139"/>
      <c r="G31" s="139"/>
      <c r="H31" s="144">
        <f>ExpRatio_Excluded</f>
        <v>1.3597266477453115E-2</v>
      </c>
    </row>
    <row r="32" spans="1:10" x14ac:dyDescent="0.25">
      <c r="A32" s="134" t="s">
        <v>166</v>
      </c>
      <c r="B32" s="139"/>
      <c r="C32" s="139"/>
      <c r="D32" s="139"/>
      <c r="E32" s="139"/>
      <c r="F32" s="139"/>
      <c r="G32" s="139"/>
      <c r="H32" s="144">
        <f>FIT_Inv</f>
        <v>0.18752087399665437</v>
      </c>
    </row>
    <row r="33" spans="1:9" ht="15.75" thickBot="1" x14ac:dyDescent="0.3">
      <c r="A33" s="98" t="s">
        <v>165</v>
      </c>
      <c r="B33" s="140"/>
      <c r="C33" s="140"/>
      <c r="D33" s="140"/>
      <c r="E33" s="140"/>
      <c r="F33" s="140"/>
      <c r="G33" s="140"/>
      <c r="H33" s="141">
        <f>Yield</f>
        <v>8.8050065696007235E-2</v>
      </c>
    </row>
    <row r="34" spans="1:9" ht="5.0999999999999996" customHeight="1" x14ac:dyDescent="0.25"/>
    <row r="35" spans="1:9" ht="15.75" thickBot="1" x14ac:dyDescent="0.3">
      <c r="A35" s="130" t="s">
        <v>189</v>
      </c>
      <c r="E35" s="93"/>
      <c r="F35" s="93"/>
      <c r="G35" s="93"/>
    </row>
    <row r="36" spans="1:9" x14ac:dyDescent="0.25">
      <c r="A36" s="131" t="s">
        <v>167</v>
      </c>
      <c r="B36" s="142"/>
      <c r="C36" s="142"/>
      <c r="D36" s="142"/>
      <c r="E36" s="142"/>
      <c r="F36" s="142"/>
      <c r="G36" s="142"/>
      <c r="H36" s="149">
        <f>FIT_UW</f>
        <v>0.21</v>
      </c>
      <c r="I36" s="90"/>
    </row>
    <row r="37" spans="1:9" x14ac:dyDescent="0.25">
      <c r="A37" s="134" t="s">
        <v>190</v>
      </c>
      <c r="B37" s="90"/>
      <c r="C37" s="90"/>
      <c r="D37" s="90"/>
      <c r="E37" s="90"/>
      <c r="F37" s="693" t="s">
        <v>317</v>
      </c>
      <c r="G37" s="694">
        <f>update_effstd</f>
        <v>2020</v>
      </c>
      <c r="H37" s="144">
        <f ca="1">EffStd_Final04</f>
        <v>0.29866055104631506</v>
      </c>
    </row>
    <row r="38" spans="1:9" x14ac:dyDescent="0.25">
      <c r="A38" s="134" t="s">
        <v>191</v>
      </c>
      <c r="B38" s="90"/>
      <c r="C38" s="90"/>
      <c r="D38" s="90"/>
      <c r="E38" s="90"/>
      <c r="F38" s="693" t="s">
        <v>317</v>
      </c>
      <c r="G38" s="694">
        <f>update_leverage</f>
        <v>2020</v>
      </c>
      <c r="H38" s="190">
        <f ca="1">LevFact_Final04</f>
        <v>1.2893927100650311</v>
      </c>
    </row>
    <row r="39" spans="1:9" x14ac:dyDescent="0.25">
      <c r="A39" s="134" t="s">
        <v>192</v>
      </c>
      <c r="B39" s="90"/>
      <c r="C39" s="90"/>
      <c r="D39" s="90"/>
      <c r="E39" s="90"/>
      <c r="F39" s="693"/>
      <c r="G39" s="693"/>
      <c r="H39" s="144">
        <f>PremTaxRate</f>
        <v>2.35E-2</v>
      </c>
    </row>
    <row r="40" spans="1:9" x14ac:dyDescent="0.25">
      <c r="A40" s="134" t="s">
        <v>193</v>
      </c>
      <c r="B40" s="90"/>
      <c r="C40" s="90"/>
      <c r="D40" s="90"/>
      <c r="E40" s="90"/>
      <c r="F40" s="693"/>
      <c r="G40" s="695"/>
      <c r="H40" s="191">
        <f ca="1">1/LevFact_Final04</f>
        <v>0.77555890629284274</v>
      </c>
    </row>
    <row r="41" spans="1:9" x14ac:dyDescent="0.25">
      <c r="A41" s="134" t="s">
        <v>198</v>
      </c>
      <c r="B41" s="90"/>
      <c r="C41" s="90"/>
      <c r="D41" s="90"/>
      <c r="E41" s="90"/>
      <c r="F41" s="693" t="s">
        <v>317</v>
      </c>
      <c r="G41" s="694">
        <f>update_reserveratios</f>
        <v>2020</v>
      </c>
      <c r="H41" s="191">
        <f ca="1">ResRatio_UPR04</f>
        <v>0.33549281014277643</v>
      </c>
    </row>
    <row r="42" spans="1:9" x14ac:dyDescent="0.25">
      <c r="A42" s="192" t="s">
        <v>194</v>
      </c>
      <c r="B42" s="90"/>
      <c r="C42" s="90"/>
      <c r="D42" s="90"/>
      <c r="E42" s="90"/>
      <c r="F42" s="693" t="s">
        <v>317</v>
      </c>
      <c r="G42" s="694">
        <f>update_reserveratios</f>
        <v>2020</v>
      </c>
      <c r="H42" s="191">
        <f ca="1">ResRatio_Loss04</f>
        <v>7.309859769299859E-2</v>
      </c>
    </row>
    <row r="43" spans="1:9" x14ac:dyDescent="0.25">
      <c r="A43" s="192" t="s">
        <v>195</v>
      </c>
      <c r="B43" s="90"/>
      <c r="C43" s="90"/>
      <c r="D43" s="90"/>
      <c r="E43" s="90"/>
      <c r="F43" s="691" t="s">
        <v>317</v>
      </c>
      <c r="G43" s="691" t="str">
        <f>ROR_RiskFree_Date</f>
        <v>June 2022</v>
      </c>
      <c r="H43" s="692">
        <f>ROR_RiskFree</f>
        <v>2.2799999999999997E-2</v>
      </c>
      <c r="I43" s="20" t="s">
        <v>732</v>
      </c>
    </row>
    <row r="44" spans="1:9" x14ac:dyDescent="0.25">
      <c r="A44" s="192" t="s">
        <v>197</v>
      </c>
      <c r="B44" s="90"/>
      <c r="C44" s="90"/>
      <c r="D44" s="90"/>
      <c r="E44" s="90"/>
      <c r="F44" s="90"/>
      <c r="G44" s="90"/>
      <c r="H44" s="286">
        <f>ROR_Min</f>
        <v>-0.06</v>
      </c>
      <c r="I44" s="20"/>
    </row>
    <row r="45" spans="1:9" ht="15.75" thickBot="1" x14ac:dyDescent="0.3">
      <c r="A45" s="193" t="s">
        <v>196</v>
      </c>
      <c r="B45" s="140"/>
      <c r="C45" s="140"/>
      <c r="D45" s="140"/>
      <c r="E45" s="140"/>
      <c r="F45" s="140"/>
      <c r="G45" s="140"/>
      <c r="H45" s="287">
        <f>ROR_Max</f>
        <v>8.2799999999999999E-2</v>
      </c>
    </row>
    <row r="46" spans="1:9" ht="5.0999999999999996" customHeight="1" x14ac:dyDescent="0.25"/>
    <row r="47" spans="1:9" ht="15.75" thickBot="1" x14ac:dyDescent="0.3">
      <c r="A47" s="130" t="s">
        <v>234</v>
      </c>
      <c r="B47" s="285" t="str">
        <f>'6.4Ratemaking Data'!D$14</f>
        <v>20171</v>
      </c>
      <c r="C47" s="285" t="str">
        <f>'6.4Ratemaking Data'!E$14</f>
        <v>20181</v>
      </c>
      <c r="D47" s="285" t="str">
        <f>'6.4Ratemaking Data'!F$14</f>
        <v>20191</v>
      </c>
      <c r="E47" s="285" t="str">
        <f>'6.4Ratemaking Data'!G$14</f>
        <v>20201</v>
      </c>
      <c r="F47" s="285" t="str">
        <f>'6.4Ratemaking Data'!H$14</f>
        <v>20211</v>
      </c>
      <c r="G47" s="285">
        <f>'6.4Ratemaking Data'!I$14</f>
        <v>20221</v>
      </c>
    </row>
    <row r="48" spans="1:9" x14ac:dyDescent="0.25">
      <c r="A48" s="131" t="s">
        <v>199</v>
      </c>
      <c r="B48" s="132" t="str">
        <f t="shared" ref="B48:G48" si="0">IF(ISERROR(Prem_Earned*Prem_Adj*Prem_Trend+Misc_Fees),"",Prem_Earned*Prem_Adj*Prem_Trend+Misc_Fees)</f>
        <v/>
      </c>
      <c r="C48" s="132" t="str">
        <f t="shared" si="0"/>
        <v/>
      </c>
      <c r="D48" s="132" t="str">
        <f t="shared" si="0"/>
        <v/>
      </c>
      <c r="E48" s="132" t="str">
        <f t="shared" si="0"/>
        <v/>
      </c>
      <c r="F48" s="132" t="str">
        <f t="shared" si="0"/>
        <v/>
      </c>
      <c r="G48" s="132">
        <f t="shared" si="0"/>
        <v>364473938.45801419</v>
      </c>
      <c r="H48" s="133">
        <f>IF(New_Program=TRUE,(Prem_Earned+Misc_Fees),SUM($B48:$G48))</f>
        <v>364473938.45801419</v>
      </c>
    </row>
    <row r="49" spans="1:9" x14ac:dyDescent="0.25">
      <c r="A49" s="134" t="s">
        <v>200</v>
      </c>
      <c r="B49" s="135" t="str">
        <f t="shared" ref="B49:G49" si="1">IF(ISERROR(Losses*Loss_Devt*CAT_Adj*Loss_Trend),"",Losses*Loss_Devt*CAT_Adj*Loss_Trend)</f>
        <v/>
      </c>
      <c r="C49" s="135" t="str">
        <f t="shared" si="1"/>
        <v/>
      </c>
      <c r="D49" s="135" t="str">
        <f t="shared" si="1"/>
        <v/>
      </c>
      <c r="E49" s="135" t="str">
        <f t="shared" si="1"/>
        <v/>
      </c>
      <c r="F49" s="135" t="str">
        <f t="shared" si="1"/>
        <v/>
      </c>
      <c r="G49" s="135">
        <f t="shared" si="1"/>
        <v>386960517.37880164</v>
      </c>
      <c r="H49" s="136">
        <f>IF(New_Program=TRUE,Losses,SUM($B49:$G49))</f>
        <v>386960517.37880164</v>
      </c>
    </row>
    <row r="50" spans="1:9" x14ac:dyDescent="0.25">
      <c r="A50" s="134" t="s">
        <v>201</v>
      </c>
      <c r="B50" s="135" t="str">
        <f t="shared" ref="B50:G50" si="2">IF(ISERROR(DCCE*DCCE_Devt*CAT_Adj*DCCE_Trend),"",DCCE*DCCE_Devt*CAT_Adj*DCCE_Trend)</f>
        <v/>
      </c>
      <c r="C50" s="135" t="str">
        <f t="shared" si="2"/>
        <v/>
      </c>
      <c r="D50" s="135" t="str">
        <f t="shared" si="2"/>
        <v/>
      </c>
      <c r="E50" s="135" t="str">
        <f t="shared" si="2"/>
        <v/>
      </c>
      <c r="F50" s="135" t="str">
        <f t="shared" si="2"/>
        <v/>
      </c>
      <c r="G50" s="135">
        <f t="shared" si="2"/>
        <v>2460408.204333371</v>
      </c>
      <c r="H50" s="136">
        <f>IF(New_Program=TRUE,DCCE,SUM($B50:$G50))</f>
        <v>2460408.204333371</v>
      </c>
    </row>
    <row r="51" spans="1:9" x14ac:dyDescent="0.25">
      <c r="A51" s="134" t="s">
        <v>202</v>
      </c>
      <c r="B51" s="143" t="str">
        <f t="shared" ref="B51:H51" si="3">IF(ISERROR((B49+B50)/B48),"",(B49+B50)/B48)</f>
        <v/>
      </c>
      <c r="C51" s="143" t="str">
        <f t="shared" si="3"/>
        <v/>
      </c>
      <c r="D51" s="143" t="str">
        <f t="shared" si="3"/>
        <v/>
      </c>
      <c r="E51" s="143" t="str">
        <f t="shared" si="3"/>
        <v/>
      </c>
      <c r="F51" s="143" t="str">
        <f t="shared" si="3"/>
        <v/>
      </c>
      <c r="G51" s="143">
        <f t="shared" si="3"/>
        <v>1.0684465595281365</v>
      </c>
      <c r="H51" s="144">
        <f t="shared" si="3"/>
        <v>1.0684465595281365</v>
      </c>
    </row>
    <row r="52" spans="1:9" x14ac:dyDescent="0.25">
      <c r="A52" s="134" t="s">
        <v>215</v>
      </c>
      <c r="B52" s="576" t="str">
        <f t="shared" ref="B52:H52" si="4">IF(ISERROR(Prem_Adjusted/Exposures_Earned),"",Prem_Adjusted/Exposures_Earned)</f>
        <v/>
      </c>
      <c r="C52" s="576" t="str">
        <f t="shared" si="4"/>
        <v/>
      </c>
      <c r="D52" s="576" t="str">
        <f t="shared" si="4"/>
        <v/>
      </c>
      <c r="E52" s="576" t="str">
        <f t="shared" si="4"/>
        <v/>
      </c>
      <c r="F52" s="576" t="str">
        <f t="shared" si="4"/>
        <v/>
      </c>
      <c r="G52" s="576">
        <f t="shared" si="4"/>
        <v>110.28489683555458</v>
      </c>
      <c r="H52" s="147">
        <f t="shared" si="4"/>
        <v>110.28489683555458</v>
      </c>
    </row>
    <row r="53" spans="1:9" x14ac:dyDescent="0.25">
      <c r="A53" s="134" t="s">
        <v>203</v>
      </c>
      <c r="B53" s="576" t="str">
        <f t="shared" ref="B53:H53" si="5">IF(ISERROR((Losses_Adjusted+DCCE_Adjusted)/Exposures_Earned),"",(Losses_Adjusted+DCCE_Adjusted)/Exposures_Earned)</f>
        <v/>
      </c>
      <c r="C53" s="576" t="str">
        <f t="shared" si="5"/>
        <v/>
      </c>
      <c r="D53" s="576" t="str">
        <f t="shared" si="5"/>
        <v/>
      </c>
      <c r="E53" s="576" t="str">
        <f t="shared" si="5"/>
        <v/>
      </c>
      <c r="F53" s="576" t="str">
        <f t="shared" si="5"/>
        <v/>
      </c>
      <c r="G53" s="576">
        <f t="shared" si="5"/>
        <v>117.83351859186375</v>
      </c>
      <c r="H53" s="147">
        <f t="shared" si="5"/>
        <v>117.83351859186375</v>
      </c>
    </row>
    <row r="54" spans="1:9" x14ac:dyDescent="0.25">
      <c r="A54" s="134" t="s">
        <v>204</v>
      </c>
      <c r="B54" s="576" t="str">
        <f t="shared" ref="B54:H54" ca="1" si="6">IF(ISERROR((TCRLP_perExp*(1+Comp_Trend)*Max_Denom+Anc_Inc_perExp)/(1-InvInc_Fixed)),"",(TCRLP_perExp*(1+Comp_Trend)*Max_Denom+Anc_Inc_perExp)/(1-InvInc_Fixed))</f>
        <v/>
      </c>
      <c r="C54" s="576" t="str">
        <f t="shared" ca="1" si="6"/>
        <v/>
      </c>
      <c r="D54" s="576" t="str">
        <f t="shared" ca="1" si="6"/>
        <v/>
      </c>
      <c r="E54" s="576" t="str">
        <f t="shared" ca="1" si="6"/>
        <v/>
      </c>
      <c r="F54" s="576" t="str">
        <f t="shared" ca="1" si="6"/>
        <v/>
      </c>
      <c r="G54" s="576">
        <f t="shared" ca="1" si="6"/>
        <v>87.238977628261495</v>
      </c>
      <c r="H54" s="147">
        <f t="shared" ca="1" si="6"/>
        <v>87.238977628261495</v>
      </c>
    </row>
    <row r="55" spans="1:9" x14ac:dyDescent="0.25">
      <c r="A55" s="134" t="s">
        <v>214</v>
      </c>
      <c r="B55" s="576" t="str">
        <f t="shared" ref="B55:H55" ca="1" si="7">IF(ISERROR(Credibility*LossDCCE_perExp+(1-Credibility)*CompLossDCCE_perExp),"",Credibility*LossDCCE_perExp+(1-Credibility)*CompLossDCCE_perExp)</f>
        <v/>
      </c>
      <c r="C55" s="576" t="str">
        <f t="shared" ca="1" si="7"/>
        <v/>
      </c>
      <c r="D55" s="576" t="str">
        <f t="shared" ca="1" si="7"/>
        <v/>
      </c>
      <c r="E55" s="576" t="str">
        <f t="shared" ca="1" si="7"/>
        <v/>
      </c>
      <c r="F55" s="576" t="str">
        <f t="shared" ca="1" si="7"/>
        <v/>
      </c>
      <c r="G55" s="576">
        <f t="shared" ca="1" si="7"/>
        <v>117.83351859186375</v>
      </c>
      <c r="H55" s="147">
        <f t="shared" ca="1" si="7"/>
        <v>117.83351859186375</v>
      </c>
    </row>
    <row r="56" spans="1:9" ht="15.75" thickBot="1" x14ac:dyDescent="0.3">
      <c r="A56" s="153" t="s">
        <v>216</v>
      </c>
      <c r="B56" s="250" t="str">
        <f t="shared" ref="B56:H56" si="8">IF(ISERROR(Anc_Income/Exposures_Earned),"",Anc_Income/Exposures_Earned)</f>
        <v/>
      </c>
      <c r="C56" s="250" t="str">
        <f t="shared" si="8"/>
        <v/>
      </c>
      <c r="D56" s="250" t="str">
        <f t="shared" si="8"/>
        <v/>
      </c>
      <c r="E56" s="250" t="str">
        <f t="shared" si="8"/>
        <v/>
      </c>
      <c r="F56" s="250" t="str">
        <f t="shared" si="8"/>
        <v/>
      </c>
      <c r="G56" s="250">
        <f t="shared" si="8"/>
        <v>0</v>
      </c>
      <c r="H56" s="251">
        <f t="shared" si="8"/>
        <v>0</v>
      </c>
    </row>
    <row r="57" spans="1:9" ht="15.75" thickTop="1" x14ac:dyDescent="0.25">
      <c r="A57" s="134" t="s">
        <v>217</v>
      </c>
      <c r="B57" s="90"/>
      <c r="C57" s="90"/>
      <c r="D57" s="90"/>
      <c r="E57" s="90"/>
      <c r="F57" s="90"/>
      <c r="G57" s="90"/>
      <c r="H57" s="144">
        <f ca="1">Yield*((1-FIT_Inv)/(1-FIT_UW))*ResRatio_Loss04</f>
        <v>6.6194796397152575E-3</v>
      </c>
    </row>
    <row r="58" spans="1:9" x14ac:dyDescent="0.25">
      <c r="A58" s="134" t="s">
        <v>218</v>
      </c>
      <c r="B58" s="90"/>
      <c r="C58" s="90"/>
      <c r="D58" s="90"/>
      <c r="E58" s="90"/>
      <c r="F58" s="90"/>
      <c r="G58" s="90"/>
      <c r="H58" s="144">
        <f ca="1">Yield*((1-FIT_Inv)/(1-FIT_UW))*(ResRatio_UPR04+SurplusRatio)</f>
        <v>0.10061183726812717</v>
      </c>
    </row>
    <row r="59" spans="1:9" x14ac:dyDescent="0.25">
      <c r="A59" s="134" t="s">
        <v>206</v>
      </c>
      <c r="B59" s="145"/>
      <c r="C59" s="145"/>
      <c r="D59" s="145"/>
      <c r="E59" s="145"/>
      <c r="F59" s="145"/>
      <c r="G59" s="145"/>
      <c r="H59" s="144">
        <f>(1+Loss_AnnualTrend)/(1+Prem_AnnualTrend)-1</f>
        <v>3.3013006804214706E-2</v>
      </c>
    </row>
    <row r="60" spans="1:9" x14ac:dyDescent="0.25">
      <c r="A60" s="134" t="s">
        <v>205</v>
      </c>
      <c r="B60" s="145"/>
      <c r="C60" s="145"/>
      <c r="D60" s="145"/>
      <c r="E60" s="145"/>
      <c r="F60" s="145"/>
      <c r="G60" s="145"/>
      <c r="H60" s="144">
        <f>IF(New_Program=TRUE,0,(1+Net_AnnualTrend)^MIN(4,((EffDate_Proposed-EffDate_Prior04)/365.25))-1)</f>
        <v>9.0377346162430428E-2</v>
      </c>
    </row>
    <row r="61" spans="1:9" x14ac:dyDescent="0.25">
      <c r="A61" s="134" t="s">
        <v>207</v>
      </c>
      <c r="B61" s="145"/>
      <c r="C61" s="145"/>
      <c r="D61" s="145"/>
      <c r="E61" s="145"/>
      <c r="F61" s="145"/>
      <c r="G61" s="145"/>
      <c r="H61" s="144">
        <f ca="1">(ROR_Max)/(LevFact_Final04*(1-FIT_UW))</f>
        <v>8.1286427140566289E-2</v>
      </c>
    </row>
    <row r="62" spans="1:9" x14ac:dyDescent="0.25">
      <c r="A62" s="134" t="s">
        <v>208</v>
      </c>
      <c r="B62" s="90"/>
      <c r="C62" s="90"/>
      <c r="D62" s="90"/>
      <c r="E62" s="90"/>
      <c r="F62" s="90"/>
      <c r="G62" s="90"/>
      <c r="H62" s="144">
        <f ca="1">(ROR_Min)/(LevFact_Final04*(1-FIT_UW))</f>
        <v>-5.8903208072874122E-2</v>
      </c>
    </row>
    <row r="63" spans="1:9" x14ac:dyDescent="0.25">
      <c r="A63" s="134" t="s">
        <v>209</v>
      </c>
      <c r="B63" s="90"/>
      <c r="C63" s="90"/>
      <c r="D63" s="90"/>
      <c r="E63" s="90"/>
      <c r="F63" s="90"/>
      <c r="G63" s="90"/>
      <c r="H63" s="144">
        <f ca="1">1-CredLossDCCE_perExp/Max_Premium-EffStd_Final04</f>
        <v>-2.4127624650568058E-2</v>
      </c>
      <c r="I63" s="252"/>
    </row>
    <row r="64" spans="1:9" x14ac:dyDescent="0.25">
      <c r="A64" s="134" t="s">
        <v>211</v>
      </c>
      <c r="B64" s="90"/>
      <c r="C64" s="90"/>
      <c r="D64" s="90"/>
      <c r="E64" s="90"/>
      <c r="F64" s="90"/>
      <c r="G64" s="90"/>
      <c r="H64" s="146">
        <f ca="1">1-EffStd_Final04-Min_Profit+InvInc_Variable</f>
        <v>0.86085449429468619</v>
      </c>
      <c r="I64" s="252"/>
    </row>
    <row r="65" spans="1:9" x14ac:dyDescent="0.25">
      <c r="A65" s="134" t="s">
        <v>210</v>
      </c>
      <c r="B65" s="90"/>
      <c r="C65" s="90"/>
      <c r="D65" s="90"/>
      <c r="E65" s="90"/>
      <c r="F65" s="90"/>
      <c r="G65" s="90"/>
      <c r="H65" s="146">
        <f ca="1">1-EffStd_Final04-Max_Profit+InvInc_Variable</f>
        <v>0.72066485908124578</v>
      </c>
      <c r="I65" s="473" t="str">
        <f>IF(AND(Error35="",Error36=""),"","See Column H of Page '3.2YieldFIT' for errors that must be corrected.")</f>
        <v/>
      </c>
    </row>
    <row r="66" spans="1:9" x14ac:dyDescent="0.25">
      <c r="A66" s="134" t="s">
        <v>213</v>
      </c>
      <c r="B66" s="90"/>
      <c r="C66" s="90"/>
      <c r="D66" s="90"/>
      <c r="E66" s="90"/>
      <c r="F66" s="90"/>
      <c r="G66" s="90"/>
      <c r="H66" s="577">
        <f ca="1">(CredLossDCCE_perExp*(1-InvInc_Fixed)-Anc_Inc_perExp)/Min_Denom</f>
        <v>135.97364338624146</v>
      </c>
      <c r="I66" s="473" t="str">
        <f>IF(Error38="","","See Column F of Page '4.2Excluded Exp' for errors that must be corrected.")</f>
        <v/>
      </c>
    </row>
    <row r="67" spans="1:9" ht="15.75" thickBot="1" x14ac:dyDescent="0.3">
      <c r="A67" s="134" t="s">
        <v>212</v>
      </c>
      <c r="B67" s="90"/>
      <c r="C67" s="90"/>
      <c r="D67" s="90"/>
      <c r="E67" s="90"/>
      <c r="F67" s="90"/>
      <c r="G67" s="90"/>
      <c r="H67" s="577">
        <f ca="1">(CredLossDCCE_perExp*(1-InvInc_Fixed)-Anc_Inc_perExp)/Max_Denom</f>
        <v>162.42435098597281</v>
      </c>
      <c r="I67" s="471" t="str">
        <f>IF(Error34="","","See Column I of Page '2.Summary' for errors that must be corrected.")</f>
        <v/>
      </c>
    </row>
    <row r="68" spans="1:9" x14ac:dyDescent="0.25">
      <c r="A68" s="95" t="s">
        <v>235</v>
      </c>
      <c r="B68" s="90"/>
      <c r="C68" s="90"/>
      <c r="D68" s="90"/>
      <c r="E68" s="90"/>
      <c r="F68" s="90"/>
      <c r="G68" s="90"/>
      <c r="H68" s="289">
        <f ca="1">IF(AND(I65="",I66="",I67="",I68="",I69=""),(Min_Premium-Prem_Current)/Prem_Current,"Error")</f>
        <v>0.23293077554391955</v>
      </c>
      <c r="I68" s="473" t="str">
        <f>IF(AND(Error00="",Error01="",Error02="",Error03="",Error04="",Error05="",Error06="",Error07="",Error08="",Error09="",Error10="",Error11="",Error12="",Error13="",Error14="",Error15="",Error16="",Error37=""),"","See Column J of Page '1.General' for errors that must be corrected.")</f>
        <v/>
      </c>
    </row>
    <row r="69" spans="1:9" ht="19.5" thickBot="1" x14ac:dyDescent="0.3">
      <c r="A69" s="96" t="s">
        <v>236</v>
      </c>
      <c r="B69" s="140"/>
      <c r="C69" s="140"/>
      <c r="D69" s="140"/>
      <c r="E69" s="140"/>
      <c r="F69" s="140"/>
      <c r="G69" s="140"/>
      <c r="H69" s="288">
        <f ca="1">IF(AND(I65="",I66="",I67="",I68="",I69=""),(Max_Premium-Prem_Current)/Prem_Current, "Error")</f>
        <v>0.4727705755409391</v>
      </c>
      <c r="I69" s="471" t="str">
        <f>IF(AND('6.4Ratemaking Data'!Error17="",'6.4Ratemaking Data'!Error18="",'6.4Ratemaking Data'!Error19="",'6.4Ratemaking Data'!Error20="",'6.4Ratemaking Data'!Error21="",'6.4Ratemaking Data'!Error22="",'6.4Ratemaking Data'!Error23="",'6.4Ratemaking Data'!Error24="",'6.4Ratemaking Data'!Error25="",'6.4Ratemaking Data'!Error26="",'6.4Ratemaking Data'!Error27="",'6.4Ratemaking Data'!Error28="",'6.4Ratemaking Data'!Error29=""),"","See Column M of Page '6.4Ratemaking Data' for errors that must be corrected.")</f>
        <v/>
      </c>
    </row>
    <row r="70" spans="1:9" ht="5.0999999999999996" hidden="1" customHeight="1" x14ac:dyDescent="0.25"/>
    <row r="71" spans="1:9" ht="15.75" hidden="1" thickBot="1" x14ac:dyDescent="0.3">
      <c r="A71" s="130" t="s">
        <v>233</v>
      </c>
      <c r="B71" s="285" t="str">
        <f>'6.4Ratemaking Data'!D$14</f>
        <v>20171</v>
      </c>
      <c r="C71" s="285" t="str">
        <f>'6.4Ratemaking Data'!E$14</f>
        <v>20181</v>
      </c>
      <c r="D71" s="285" t="str">
        <f>'6.4Ratemaking Data'!F$14</f>
        <v>20191</v>
      </c>
      <c r="E71" s="285" t="str">
        <f>'6.4Ratemaking Data'!G$14</f>
        <v>20201</v>
      </c>
      <c r="F71" s="285" t="str">
        <f>'6.4Ratemaking Data'!H$14</f>
        <v>20211</v>
      </c>
      <c r="G71" s="285">
        <f>'6.4Ratemaking Data'!I$14</f>
        <v>20221</v>
      </c>
    </row>
    <row r="72" spans="1:9" hidden="1" x14ac:dyDescent="0.25">
      <c r="A72" s="148" t="s">
        <v>232</v>
      </c>
      <c r="B72" s="142"/>
      <c r="C72" s="142"/>
      <c r="D72" s="142"/>
      <c r="E72" s="142"/>
      <c r="F72" s="142"/>
      <c r="G72" s="142"/>
      <c r="H72" s="149" t="str">
        <f>IF(ISBLANK('6.4Ratemaking Data'!J44),"",'6.4Ratemaking Data'!J44)</f>
        <v/>
      </c>
    </row>
    <row r="73" spans="1:9" hidden="1" x14ac:dyDescent="0.25">
      <c r="A73" s="150" t="s">
        <v>219</v>
      </c>
      <c r="B73" s="135" t="str">
        <f>IF(ISBLANK('6.4Ratemaking Data'!D45),"",'6.4Ratemaking Data'!D45)</f>
        <v/>
      </c>
      <c r="C73" s="135" t="str">
        <f>IF(ISBLANK('6.4Ratemaking Data'!E45),"",'6.4Ratemaking Data'!E45)</f>
        <v/>
      </c>
      <c r="D73" s="135" t="str">
        <f>IF(ISBLANK('6.4Ratemaking Data'!F45),"",'6.4Ratemaking Data'!F45)</f>
        <v/>
      </c>
      <c r="E73" s="135" t="str">
        <f>IF(ISBLANK('6.4Ratemaking Data'!G45),"",'6.4Ratemaking Data'!G45)</f>
        <v/>
      </c>
      <c r="F73" s="135" t="str">
        <f>IF(ISBLANK('6.4Ratemaking Data'!H45),"",'6.4Ratemaking Data'!H45)</f>
        <v/>
      </c>
      <c r="G73" s="135" t="str">
        <f>IF(ISBLANK('6.4Ratemaking Data'!I45),"",'6.4Ratemaking Data'!I45)</f>
        <v/>
      </c>
      <c r="H73" s="136" t="str">
        <f ca="1">IF(RIGHT(Detailed_LineCode04,1)="R",IF(New_Program=TRUE,'6.4Ratemaking Data'!$K$45,SUM($B73:$G73)),"")</f>
        <v/>
      </c>
    </row>
    <row r="74" spans="1:9" hidden="1" x14ac:dyDescent="0.25">
      <c r="A74" s="150" t="s">
        <v>220</v>
      </c>
      <c r="B74" s="135" t="str">
        <f>IF(ISBLANK('6.4Ratemaking Data'!D46),"",'6.4Ratemaking Data'!D46)</f>
        <v/>
      </c>
      <c r="C74" s="135" t="str">
        <f>IF(ISBLANK('6.4Ratemaking Data'!E46),"",'6.4Ratemaking Data'!E46)</f>
        <v/>
      </c>
      <c r="D74" s="135" t="str">
        <f>IF(ISBLANK('6.4Ratemaking Data'!F46),"",'6.4Ratemaking Data'!F46)</f>
        <v/>
      </c>
      <c r="E74" s="135" t="str">
        <f>IF(ISBLANK('6.4Ratemaking Data'!G46),"",'6.4Ratemaking Data'!G46)</f>
        <v/>
      </c>
      <c r="F74" s="135" t="str">
        <f>IF(ISBLANK('6.4Ratemaking Data'!H46),"",'6.4Ratemaking Data'!H46)</f>
        <v/>
      </c>
      <c r="G74" s="135" t="str">
        <f>IF(ISBLANK('6.4Ratemaking Data'!I46),"",'6.4Ratemaking Data'!I46)</f>
        <v/>
      </c>
      <c r="H74" s="136">
        <f>IF(New_Program=TRUE,'6.4Ratemaking Data'!$K$46,SUM($B74:$G74))</f>
        <v>0</v>
      </c>
    </row>
    <row r="75" spans="1:9" hidden="1" x14ac:dyDescent="0.25">
      <c r="A75" s="150" t="s">
        <v>221</v>
      </c>
      <c r="B75" s="578" t="str">
        <f t="shared" ref="B75:H75" si="9">IF(ISERROR(Rein_Prem/Exposures_Earned),"",Rein_Prem/Exposures_Earned)</f>
        <v/>
      </c>
      <c r="C75" s="578" t="str">
        <f t="shared" si="9"/>
        <v/>
      </c>
      <c r="D75" s="578" t="str">
        <f t="shared" si="9"/>
        <v/>
      </c>
      <c r="E75" s="578" t="str">
        <f t="shared" si="9"/>
        <v/>
      </c>
      <c r="F75" s="578" t="str">
        <f t="shared" si="9"/>
        <v/>
      </c>
      <c r="G75" s="578" t="str">
        <f t="shared" si="9"/>
        <v/>
      </c>
      <c r="H75" s="577" t="str">
        <f t="shared" ca="1" si="9"/>
        <v/>
      </c>
    </row>
    <row r="76" spans="1:9" hidden="1" x14ac:dyDescent="0.25">
      <c r="A76" s="150" t="s">
        <v>222</v>
      </c>
      <c r="B76" s="578" t="str">
        <f t="shared" ref="B76:H76" si="10">IF(ISERROR(Rein_Recov/Exposures_Earned),"",Rein_Recov/Exposures_Earned)</f>
        <v/>
      </c>
      <c r="C76" s="578" t="str">
        <f t="shared" si="10"/>
        <v/>
      </c>
      <c r="D76" s="578" t="str">
        <f t="shared" si="10"/>
        <v/>
      </c>
      <c r="E76" s="578" t="str">
        <f t="shared" si="10"/>
        <v/>
      </c>
      <c r="F76" s="578" t="str">
        <f t="shared" si="10"/>
        <v/>
      </c>
      <c r="G76" s="578" t="str">
        <f t="shared" si="10"/>
        <v/>
      </c>
      <c r="H76" s="577">
        <f t="shared" si="10"/>
        <v>0</v>
      </c>
    </row>
    <row r="77" spans="1:9" hidden="1" x14ac:dyDescent="0.25">
      <c r="A77" s="150" t="s">
        <v>223</v>
      </c>
      <c r="B77" s="578" t="str">
        <f t="shared" ref="B77:H77" ca="1" si="11">IF(ISERROR((TCRLP_perExp*(1+Comp_Trend)*Max_Denom+Anc_Inc_perExp-ReinPrem_perExp*Max_Denom/(1-Comm_Rate-PremTaxRate))/(1-InvInc_Fixed)),"",(TCRLP_perExp*(1+Comp_Trend)*Max_Denom+Anc_Inc_perExp-ReinPrem_perExp*Max_Denom/(1-Comm_Rate-PremTaxRate))/(1-InvInc_Fixed))</f>
        <v/>
      </c>
      <c r="C77" s="578" t="str">
        <f t="shared" ca="1" si="11"/>
        <v/>
      </c>
      <c r="D77" s="578" t="str">
        <f t="shared" ca="1" si="11"/>
        <v/>
      </c>
      <c r="E77" s="578" t="str">
        <f t="shared" ca="1" si="11"/>
        <v/>
      </c>
      <c r="F77" s="578" t="str">
        <f t="shared" ca="1" si="11"/>
        <v/>
      </c>
      <c r="G77" s="578" t="str">
        <f t="shared" ca="1" si="11"/>
        <v/>
      </c>
      <c r="H77" s="577" t="str">
        <f t="shared" ca="1" si="11"/>
        <v/>
      </c>
    </row>
    <row r="78" spans="1:9" ht="15.75" hidden="1" thickBot="1" x14ac:dyDescent="0.3">
      <c r="A78" s="150" t="s">
        <v>224</v>
      </c>
      <c r="B78" s="90"/>
      <c r="C78" s="90"/>
      <c r="D78" s="90"/>
      <c r="E78" s="90"/>
      <c r="F78" s="90"/>
      <c r="G78" s="90"/>
      <c r="H78" s="577" t="e">
        <f ca="1">IF(H73=0,NA(),((((Credibility*(LossDCCE_perExp-ReinRec_perExp))+(1-Credibility)*CompLoss_Rein)*(1-InvInc_Fixed)-Anc_Inc_perExp)/Max_Denom)+ReinPrem_perExp/(1-Comm_Rate-PremTaxRate))</f>
        <v>#VALUE!</v>
      </c>
      <c r="I78" s="473"/>
    </row>
    <row r="79" spans="1:9" ht="19.5" hidden="1" thickBot="1" x14ac:dyDescent="0.3">
      <c r="A79" s="151" t="s">
        <v>225</v>
      </c>
      <c r="B79" s="140"/>
      <c r="C79" s="140"/>
      <c r="D79" s="140"/>
      <c r="E79" s="140"/>
      <c r="F79" s="140"/>
      <c r="G79" s="140"/>
      <c r="H79" s="485" t="e">
        <f ca="1">IF(I79="",IF($H$73=0,NA(),(ReinMax_Premium-Prem_Current)/Prem_Current),"Error")</f>
        <v>#VALUE!</v>
      </c>
      <c r="I79" s="471" t="str">
        <f>IF(AND('6.4Ratemaking Data'!Error30="",'6.4Ratemaking Data'!Error31="",'6.4Ratemaking Data'!Error32=""),"","See Column M of Page '6.4Ratemaking Data' for errors that must be corrected.")</f>
        <v/>
      </c>
    </row>
    <row r="80" spans="1:9" ht="26.25" x14ac:dyDescent="0.25">
      <c r="F80" s="787" t="s">
        <v>621</v>
      </c>
      <c r="G80" s="787"/>
      <c r="H80" s="787"/>
    </row>
    <row r="81" spans="1:1" x14ac:dyDescent="0.25">
      <c r="A81" s="152"/>
    </row>
  </sheetData>
  <sheetProtection algorithmName="SHA-512" hashValue="8BU3ChAM2R3QyZeH5dj+/hOKjcqr089rk51pgMEOtMFBcpapPtyW2iCPiKJBFQ5w69kz7L8EkNX1HCVNDAVrmQ==" saltValue="U3oecTRvFFCa53WDbeS2ig==" spinCount="100000" sheet="1" objects="1" scenarios="1" formatColumns="0" formatRows="0" sort="0"/>
  <mergeCells count="1">
    <mergeCell ref="F80:H80"/>
  </mergeCells>
  <conditionalFormatting sqref="H79">
    <cfRule type="cellIs" dxfId="13" priority="2" operator="equal">
      <formula>"Error"</formula>
    </cfRule>
  </conditionalFormatting>
  <conditionalFormatting sqref="H68:H69">
    <cfRule type="cellIs" dxfId="12" priority="1" operator="equal">
      <formula>"Error"</formula>
    </cfRule>
  </conditionalFormatting>
  <hyperlinks>
    <hyperlink ref="F80" location="'Ratemaking Data (7)'!A1" display="Go to Ratemaking Data (7)" xr:uid="{00000000-0004-0000-1700-000000000000}"/>
    <hyperlink ref="F80:H80" location="'6.4Ratemaking Data'!A1" display="Go to 6.4Ratemaking Data" xr:uid="{00000000-0004-0000-1700-000001000000}"/>
  </hyperlinks>
  <printOptions horizontalCentered="1"/>
  <pageMargins left="0.45" right="0.45" top="0.5" bottom="0.5" header="0.3" footer="0.3"/>
  <pageSetup scale="72" orientation="portrait" r:id="rId1"/>
  <headerFooter>
    <oddFooter>&amp;CPrior Approval Rate Template&amp;RPage 7.4&amp;L01/11/2022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443" r:id="rId4" name="btnYears">
              <controlPr defaultSize="0" print="0" autoFill="0" autoPict="0" macro="[0]!ExpandContractColsData">
                <anchor moveWithCells="1">
                  <from>
                    <xdr:col>5</xdr:col>
                    <xdr:colOff>19050</xdr:colOff>
                    <xdr:row>6</xdr:row>
                    <xdr:rowOff>0</xdr:rowOff>
                  </from>
                  <to>
                    <xdr:col>6</xdr:col>
                    <xdr:colOff>733425</xdr:colOff>
                    <xdr:row>8</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4">
    <tabColor theme="0" tint="-0.14999847407452621"/>
    <pageSetUpPr fitToPage="1"/>
  </sheetPr>
  <dimension ref="A1:J81"/>
  <sheetViews>
    <sheetView view="pageBreakPreview" topLeftCell="A19" zoomScaleNormal="100" zoomScaleSheetLayoutView="100" workbookViewId="0"/>
  </sheetViews>
  <sheetFormatPr defaultRowHeight="15" x14ac:dyDescent="0.25"/>
  <cols>
    <col min="1" max="1" width="28.28515625" style="14" customWidth="1"/>
    <col min="2" max="4" width="15.7109375" style="14" hidden="1" customWidth="1"/>
    <col min="5" max="8" width="17.42578125" style="14" customWidth="1"/>
    <col min="9" max="9" width="22.5703125" style="14" bestFit="1" customWidth="1"/>
    <col min="10" max="16384" width="9.140625" style="14"/>
  </cols>
  <sheetData>
    <row r="1" spans="1:8" x14ac:dyDescent="0.25">
      <c r="A1" s="10" t="s">
        <v>31</v>
      </c>
      <c r="E1" s="124" t="s">
        <v>33</v>
      </c>
      <c r="H1" s="125" t="str">
        <f>Co_Name</f>
        <v>State Farm Mutual Automobile Insurance Company</v>
      </c>
    </row>
    <row r="2" spans="1:8" x14ac:dyDescent="0.25">
      <c r="A2" s="8" t="s">
        <v>32</v>
      </c>
      <c r="E2" s="124" t="s">
        <v>34</v>
      </c>
      <c r="H2" s="125" t="str">
        <f>General_Line</f>
        <v>Auto Liability and Physical Damage</v>
      </c>
    </row>
    <row r="3" spans="1:8" x14ac:dyDescent="0.25">
      <c r="E3" s="181" t="s">
        <v>142</v>
      </c>
      <c r="F3" s="182"/>
      <c r="G3" s="182"/>
      <c r="H3" s="188" t="str">
        <f>CDI_FileNo</f>
        <v/>
      </c>
    </row>
    <row r="4" spans="1:8" ht="18" customHeight="1" x14ac:dyDescent="0.25">
      <c r="A4" s="607" t="str">
        <f>IF('6.5Ratemaking Data'!$K$7="","VARIANCE - NONE","VARIANCE "&amp;'6.5Ratemaking Data'!$K$7)</f>
        <v>VARIANCE - NONE</v>
      </c>
    </row>
    <row r="5" spans="1:8" ht="23.25" x14ac:dyDescent="0.25">
      <c r="A5" s="4" t="s">
        <v>665</v>
      </c>
      <c r="B5" s="123"/>
      <c r="C5" s="123"/>
      <c r="D5" s="123"/>
      <c r="E5" s="123"/>
      <c r="F5" s="123"/>
      <c r="G5" s="123"/>
      <c r="H5" s="123"/>
    </row>
    <row r="6" spans="1:8" ht="9.9499999999999993" customHeight="1" x14ac:dyDescent="0.25"/>
    <row r="7" spans="1:8" ht="15" customHeight="1" x14ac:dyDescent="0.25">
      <c r="A7" s="14" t="s">
        <v>1</v>
      </c>
      <c r="H7" s="28" t="str">
        <f>Completed_By</f>
        <v>Laura Campbell</v>
      </c>
    </row>
    <row r="8" spans="1:8" ht="15" customHeight="1" x14ac:dyDescent="0.25">
      <c r="A8" s="14" t="s">
        <v>76</v>
      </c>
      <c r="H8" s="189">
        <f>Completed_Date</f>
        <v>44816</v>
      </c>
    </row>
    <row r="9" spans="1:8" ht="15" customHeight="1" x14ac:dyDescent="0.25">
      <c r="A9" s="14" t="s">
        <v>169</v>
      </c>
      <c r="H9" s="189">
        <f>EffDate_Prior05</f>
        <v>44088</v>
      </c>
    </row>
    <row r="10" spans="1:8" ht="15" customHeight="1" x14ac:dyDescent="0.25">
      <c r="A10" s="14" t="s">
        <v>170</v>
      </c>
      <c r="B10" s="62"/>
      <c r="H10" s="189">
        <f>EffDate_Proposed</f>
        <v>45061</v>
      </c>
    </row>
    <row r="11" spans="1:8" ht="15" customHeight="1" x14ac:dyDescent="0.25">
      <c r="A11" s="14" t="s">
        <v>77</v>
      </c>
      <c r="B11" s="62"/>
      <c r="H11" s="28" t="str">
        <f>Detailed_LineDesc05</f>
        <v>Private Passenger Auto Physical Damage</v>
      </c>
    </row>
    <row r="12" spans="1:8" ht="15" customHeight="1" x14ac:dyDescent="0.25">
      <c r="A12" s="14" t="s">
        <v>78</v>
      </c>
      <c r="B12" s="62"/>
      <c r="H12" s="28" t="str">
        <f>Covg05</f>
        <v>COLL</v>
      </c>
    </row>
    <row r="13" spans="1:8" ht="15" customHeight="1" x14ac:dyDescent="0.25">
      <c r="H13" s="608"/>
    </row>
    <row r="14" spans="1:8" ht="9.9499999999999993" customHeight="1" x14ac:dyDescent="0.25"/>
    <row r="15" spans="1:8" ht="15.75" thickBot="1" x14ac:dyDescent="0.3">
      <c r="A15" s="130" t="s">
        <v>171</v>
      </c>
      <c r="B15" s="285" t="str">
        <f>'6.5Ratemaking Data'!D$14</f>
        <v>20171</v>
      </c>
      <c r="C15" s="285" t="str">
        <f>'6.5Ratemaking Data'!E$14</f>
        <v>20181</v>
      </c>
      <c r="D15" s="285" t="str">
        <f>'6.5Ratemaking Data'!F$14</f>
        <v>20191</v>
      </c>
      <c r="E15" s="285" t="str">
        <f>'6.5Ratemaking Data'!G$14</f>
        <v>20201</v>
      </c>
      <c r="F15" s="285" t="str">
        <f>'6.5Ratemaking Data'!H$14</f>
        <v>20211</v>
      </c>
      <c r="G15" s="285">
        <f>'6.5Ratemaking Data'!I$14</f>
        <v>20221</v>
      </c>
      <c r="H15" s="105" t="s">
        <v>306</v>
      </c>
    </row>
    <row r="16" spans="1:8" x14ac:dyDescent="0.25">
      <c r="A16" s="131" t="s">
        <v>173</v>
      </c>
      <c r="B16" s="132" t="str">
        <f>IF(ISBLANK('6.5Ratemaking Data'!D15),"",'6.5Ratemaking Data'!D15)</f>
        <v/>
      </c>
      <c r="C16" s="132" t="str">
        <f>IF(ISBLANK('6.5Ratemaking Data'!E15),"",'6.5Ratemaking Data'!E15)</f>
        <v/>
      </c>
      <c r="D16" s="132" t="str">
        <f>IF(ISBLANK('6.5Ratemaking Data'!F15),"",'6.5Ratemaking Data'!F15)</f>
        <v/>
      </c>
      <c r="E16" s="132" t="str">
        <f>IF(ISBLANK('6.5Ratemaking Data'!G15),"",'6.5Ratemaking Data'!G15)</f>
        <v/>
      </c>
      <c r="F16" s="132" t="str">
        <f>IF(ISBLANK('6.5Ratemaking Data'!H15),"",'6.5Ratemaking Data'!H15)</f>
        <v/>
      </c>
      <c r="G16" s="132">
        <f>IF(ISBLANK('6.5Ratemaking Data'!I15),"",'6.5Ratemaking Data'!I15)</f>
        <v>1315820426.52</v>
      </c>
      <c r="H16" s="133">
        <f>IF(New_Program=TRUE,'6.5Ratemaking Data'!$K$15,SUM($B16:$G16))</f>
        <v>1315820426.52</v>
      </c>
    </row>
    <row r="17" spans="1:10" x14ac:dyDescent="0.25">
      <c r="A17" s="134" t="s">
        <v>172</v>
      </c>
      <c r="B17" s="135" t="str">
        <f>IF(ISBLANK('6.5Ratemaking Data'!D16),"",'6.5Ratemaking Data'!D16)</f>
        <v/>
      </c>
      <c r="C17" s="135" t="str">
        <f>IF(ISBLANK('6.5Ratemaking Data'!E16),"",'6.5Ratemaking Data'!E16)</f>
        <v/>
      </c>
      <c r="D17" s="135" t="str">
        <f>IF(ISBLANK('6.5Ratemaking Data'!F16),"",'6.5Ratemaking Data'!F16)</f>
        <v/>
      </c>
      <c r="E17" s="135" t="str">
        <f>IF(ISBLANK('6.5Ratemaking Data'!G16),"",'6.5Ratemaking Data'!G16)</f>
        <v/>
      </c>
      <c r="F17" s="135" t="str">
        <f>IF(ISBLANK('6.5Ratemaking Data'!H16),"",'6.5Ratemaking Data'!H16)</f>
        <v/>
      </c>
      <c r="G17" s="135">
        <f>IF(ISBLANK('6.5Ratemaking Data'!I16),"",'6.5Ratemaking Data'!I16)</f>
        <v>1286692108.6399999</v>
      </c>
      <c r="H17" s="136">
        <f>IF(New_Program=TRUE,'6.5Ratemaking Data'!$K$16,SUM($B17:$G17))</f>
        <v>1286692108.6399999</v>
      </c>
    </row>
    <row r="18" spans="1:10" x14ac:dyDescent="0.25">
      <c r="A18" s="134" t="s">
        <v>174</v>
      </c>
      <c r="B18" s="137" t="str">
        <f>IF(ISBLANK('6.5Ratemaking Data'!D17),"",'6.5Ratemaking Data'!D17)</f>
        <v/>
      </c>
      <c r="C18" s="137" t="str">
        <f>IF(ISBLANK('6.5Ratemaking Data'!E17),"",'6.5Ratemaking Data'!E17)</f>
        <v/>
      </c>
      <c r="D18" s="137" t="str">
        <f>IF(ISBLANK('6.5Ratemaking Data'!F17),"",'6.5Ratemaking Data'!F17)</f>
        <v/>
      </c>
      <c r="E18" s="137" t="str">
        <f>IF(ISBLANK('6.5Ratemaking Data'!G17),"",'6.5Ratemaking Data'!G17)</f>
        <v/>
      </c>
      <c r="F18" s="137" t="str">
        <f>IF(ISBLANK('6.5Ratemaking Data'!H17),"",'6.5Ratemaking Data'!H17)</f>
        <v/>
      </c>
      <c r="G18" s="137">
        <f>IF(ISBLANK('6.5Ratemaking Data'!I17),"",'6.5Ratemaking Data'!I17)</f>
        <v>1</v>
      </c>
      <c r="H18" s="138"/>
    </row>
    <row r="19" spans="1:10" x14ac:dyDescent="0.25">
      <c r="A19" s="134" t="s">
        <v>175</v>
      </c>
      <c r="B19" s="137" t="str">
        <f>IF(ISBLANK('6.5Ratemaking Data'!D18),"",'6.5Ratemaking Data'!D18)</f>
        <v/>
      </c>
      <c r="C19" s="137" t="str">
        <f>IF(ISBLANK('6.5Ratemaking Data'!E18),"",'6.5Ratemaking Data'!E18)</f>
        <v/>
      </c>
      <c r="D19" s="137" t="str">
        <f>IF(ISBLANK('6.5Ratemaking Data'!F18),"",'6.5Ratemaking Data'!F18)</f>
        <v/>
      </c>
      <c r="E19" s="137" t="str">
        <f>IF(ISBLANK('6.5Ratemaking Data'!G18),"",'6.5Ratemaking Data'!G18)</f>
        <v/>
      </c>
      <c r="F19" s="137" t="str">
        <f>IF(ISBLANK('6.5Ratemaking Data'!H18),"",'6.5Ratemaking Data'!H18)</f>
        <v/>
      </c>
      <c r="G19" s="137">
        <f>IF(ISBLANK('6.5Ratemaking Data'!I18),"",'6.5Ratemaking Data'!I18)</f>
        <v>1.0706385949623789</v>
      </c>
      <c r="H19" s="144">
        <f>IF(New_Program=TRUE,0,'6.5Ratemaking Data'!$J$18)</f>
        <v>3.0800498737642901E-2</v>
      </c>
    </row>
    <row r="20" spans="1:10" x14ac:dyDescent="0.25">
      <c r="A20" s="134" t="s">
        <v>176</v>
      </c>
      <c r="B20" s="135" t="str">
        <f>IF(ISBLANK('6.5Ratemaking Data'!D19),"",'6.5Ratemaking Data'!D19)</f>
        <v/>
      </c>
      <c r="C20" s="135" t="str">
        <f>IF(ISBLANK('6.5Ratemaking Data'!E19),"",'6.5Ratemaking Data'!E19)</f>
        <v/>
      </c>
      <c r="D20" s="135" t="str">
        <f>IF(ISBLANK('6.5Ratemaking Data'!F19),"",'6.5Ratemaking Data'!F19)</f>
        <v/>
      </c>
      <c r="E20" s="135" t="str">
        <f>IF(ISBLANK('6.5Ratemaking Data'!G19),"",'6.5Ratemaking Data'!G19)</f>
        <v/>
      </c>
      <c r="F20" s="135" t="str">
        <f>IF(ISBLANK('6.5Ratemaking Data'!H19),"",'6.5Ratemaking Data'!H19)</f>
        <v/>
      </c>
      <c r="G20" s="135">
        <f>IF(ISBLANK('6.5Ratemaking Data'!I19),"",'6.5Ratemaking Data'!I19)</f>
        <v>0</v>
      </c>
      <c r="H20" s="136">
        <f>IF(New_Program=TRUE,'6.5Ratemaking Data'!$K$19,SUM($B20:$G20))</f>
        <v>0</v>
      </c>
    </row>
    <row r="21" spans="1:10" x14ac:dyDescent="0.25">
      <c r="A21" s="134" t="s">
        <v>177</v>
      </c>
      <c r="B21" s="135" t="str">
        <f>IF(ISBLANK('6.5Ratemaking Data'!D20),"",'6.5Ratemaking Data'!D20)</f>
        <v/>
      </c>
      <c r="C21" s="135" t="str">
        <f>IF(ISBLANK('6.5Ratemaking Data'!E20),"",'6.5Ratemaking Data'!E20)</f>
        <v/>
      </c>
      <c r="D21" s="135" t="str">
        <f>IF(ISBLANK('6.5Ratemaking Data'!F20),"",'6.5Ratemaking Data'!F20)</f>
        <v/>
      </c>
      <c r="E21" s="135" t="str">
        <f>IF(ISBLANK('6.5Ratemaking Data'!G20),"",'6.5Ratemaking Data'!G20)</f>
        <v/>
      </c>
      <c r="F21" s="135" t="str">
        <f>IF(ISBLANK('6.5Ratemaking Data'!H20),"",'6.5Ratemaking Data'!H20)</f>
        <v/>
      </c>
      <c r="G21" s="135">
        <f>IF(ISBLANK('6.5Ratemaking Data'!I20),"",'6.5Ratemaking Data'!I20)</f>
        <v>3185496</v>
      </c>
      <c r="H21" s="136">
        <f>IF(New_Program=TRUE,'6.5Ratemaking Data'!$K$20,SUM($B21:$G21))</f>
        <v>3185496</v>
      </c>
      <c r="J21" s="126"/>
    </row>
    <row r="22" spans="1:10" x14ac:dyDescent="0.25">
      <c r="A22" s="134" t="s">
        <v>178</v>
      </c>
      <c r="B22" s="135" t="str">
        <f>IF(ISBLANK('6.5Ratemaking Data'!D21),"",'6.5Ratemaking Data'!D21)</f>
        <v/>
      </c>
      <c r="C22" s="135" t="str">
        <f>IF(ISBLANK('6.5Ratemaking Data'!E21),"",'6.5Ratemaking Data'!E21)</f>
        <v/>
      </c>
      <c r="D22" s="135" t="str">
        <f>IF(ISBLANK('6.5Ratemaking Data'!F21),"",'6.5Ratemaking Data'!F21)</f>
        <v/>
      </c>
      <c r="E22" s="135" t="str">
        <f>IF(ISBLANK('6.5Ratemaking Data'!G21),"",'6.5Ratemaking Data'!G21)</f>
        <v/>
      </c>
      <c r="F22" s="135" t="str">
        <f>IF(ISBLANK('6.5Ratemaking Data'!H21),"",'6.5Ratemaking Data'!H21)</f>
        <v/>
      </c>
      <c r="G22" s="135">
        <f>IF(ISBLANK('6.5Ratemaking Data'!I21),"",'6.5Ratemaking Data'!I21)</f>
        <v>1094978313.5099998</v>
      </c>
      <c r="H22" s="136">
        <f>IF(New_Program=TRUE,'6.5Ratemaking Data'!$K$21,SUM($B22:$G22))</f>
        <v>1094978313.5099998</v>
      </c>
      <c r="J22" s="126"/>
    </row>
    <row r="23" spans="1:10" x14ac:dyDescent="0.25">
      <c r="A23" s="134" t="s">
        <v>144</v>
      </c>
      <c r="B23" s="135" t="str">
        <f>IF(ISBLANK('6.5Ratemaking Data'!D22),"",'6.5Ratemaking Data'!D22)</f>
        <v/>
      </c>
      <c r="C23" s="135" t="str">
        <f>IF(ISBLANK('6.5Ratemaking Data'!E22),"",'6.5Ratemaking Data'!E22)</f>
        <v/>
      </c>
      <c r="D23" s="135" t="str">
        <f>IF(ISBLANK('6.5Ratemaking Data'!F22),"",'6.5Ratemaking Data'!F22)</f>
        <v/>
      </c>
      <c r="E23" s="135" t="str">
        <f>IF(ISBLANK('6.5Ratemaking Data'!G22),"",'6.5Ratemaking Data'!G22)</f>
        <v/>
      </c>
      <c r="F23" s="135" t="str">
        <f>IF(ISBLANK('6.5Ratemaking Data'!H22),"",'6.5Ratemaking Data'!H22)</f>
        <v/>
      </c>
      <c r="G23" s="135">
        <f>IF(ISBLANK('6.5Ratemaking Data'!I22),"",'6.5Ratemaking Data'!I22)</f>
        <v>1451484.61</v>
      </c>
      <c r="H23" s="136">
        <f>IF(New_Program=TRUE,'6.5Ratemaking Data'!$K$22,SUM($B23:$G23))</f>
        <v>1451484.61</v>
      </c>
      <c r="J23" s="126"/>
    </row>
    <row r="24" spans="1:10" x14ac:dyDescent="0.25">
      <c r="A24" s="134" t="s">
        <v>181</v>
      </c>
      <c r="B24" s="137" t="str">
        <f>IF(ISBLANK('6.5Ratemaking Data'!D23),"",'6.5Ratemaking Data'!D23)</f>
        <v/>
      </c>
      <c r="C24" s="137" t="str">
        <f>IF(ISBLANK('6.5Ratemaking Data'!E23),"",'6.5Ratemaking Data'!E23)</f>
        <v/>
      </c>
      <c r="D24" s="137" t="str">
        <f>IF(ISBLANK('6.5Ratemaking Data'!F23),"",'6.5Ratemaking Data'!F23)</f>
        <v/>
      </c>
      <c r="E24" s="137" t="str">
        <f>IF(ISBLANK('6.5Ratemaking Data'!G23),"",'6.5Ratemaking Data'!G23)</f>
        <v/>
      </c>
      <c r="F24" s="137" t="str">
        <f>IF(ISBLANK('6.5Ratemaking Data'!H23),"",'6.5Ratemaking Data'!H23)</f>
        <v/>
      </c>
      <c r="G24" s="137">
        <f>IF(ISBLANK('6.5Ratemaking Data'!I23),"",'6.5Ratemaking Data'!I23)</f>
        <v>0.94317049895003446</v>
      </c>
      <c r="H24" s="138"/>
    </row>
    <row r="25" spans="1:10" x14ac:dyDescent="0.25">
      <c r="A25" s="134" t="s">
        <v>182</v>
      </c>
      <c r="B25" s="137" t="str">
        <f>IF(ISBLANK('6.5Ratemaking Data'!D24),"",'6.5Ratemaking Data'!D24)</f>
        <v/>
      </c>
      <c r="C25" s="137" t="str">
        <f>IF(ISBLANK('6.5Ratemaking Data'!E24),"",'6.5Ratemaking Data'!E24)</f>
        <v/>
      </c>
      <c r="D25" s="137" t="str">
        <f>IF(ISBLANK('6.5Ratemaking Data'!F24),"",'6.5Ratemaking Data'!F24)</f>
        <v/>
      </c>
      <c r="E25" s="137" t="str">
        <f>IF(ISBLANK('6.5Ratemaking Data'!G24),"",'6.5Ratemaking Data'!G24)</f>
        <v/>
      </c>
      <c r="F25" s="137" t="str">
        <f>IF(ISBLANK('6.5Ratemaking Data'!H24),"",'6.5Ratemaking Data'!H24)</f>
        <v/>
      </c>
      <c r="G25" s="137">
        <f>IF(ISBLANK('6.5Ratemaking Data'!I24),"",'6.5Ratemaking Data'!I24)</f>
        <v>2.188049468812554</v>
      </c>
      <c r="H25" s="138"/>
    </row>
    <row r="26" spans="1:10" x14ac:dyDescent="0.25">
      <c r="A26" s="134" t="s">
        <v>179</v>
      </c>
      <c r="B26" s="137" t="str">
        <f>IF(ISBLANK('6.5Ratemaking Data'!D25),"",'6.5Ratemaking Data'!D25)</f>
        <v/>
      </c>
      <c r="C26" s="137" t="str">
        <f>IF(ISBLANK('6.5Ratemaking Data'!E25),"",'6.5Ratemaking Data'!E25)</f>
        <v/>
      </c>
      <c r="D26" s="137" t="str">
        <f>IF(ISBLANK('6.5Ratemaking Data'!F25),"",'6.5Ratemaking Data'!F25)</f>
        <v/>
      </c>
      <c r="E26" s="137" t="str">
        <f>IF(ISBLANK('6.5Ratemaking Data'!G25),"",'6.5Ratemaking Data'!G25)</f>
        <v/>
      </c>
      <c r="F26" s="137" t="str">
        <f>IF(ISBLANK('6.5Ratemaking Data'!H25),"",'6.5Ratemaking Data'!H25)</f>
        <v/>
      </c>
      <c r="G26" s="137">
        <f>IF(ISBLANK('6.5Ratemaking Data'!I25),"",'6.5Ratemaking Data'!I25)</f>
        <v>1.1722882305573497</v>
      </c>
      <c r="H26" s="144">
        <f>IF(New_Program=TRUE,0,'6.5Ratemaking Data'!$J$25)</f>
        <v>7.3203196899454204E-2</v>
      </c>
    </row>
    <row r="27" spans="1:10" x14ac:dyDescent="0.25">
      <c r="A27" s="134" t="s">
        <v>180</v>
      </c>
      <c r="B27" s="137" t="str">
        <f>IF(ISBLANK('6.5Ratemaking Data'!D26),"",'6.5Ratemaking Data'!D26)</f>
        <v/>
      </c>
      <c r="C27" s="137" t="str">
        <f>IF(ISBLANK('6.5Ratemaking Data'!E26),"",'6.5Ratemaking Data'!E26)</f>
        <v/>
      </c>
      <c r="D27" s="137" t="str">
        <f>IF(ISBLANK('6.5Ratemaking Data'!F26),"",'6.5Ratemaking Data'!F26)</f>
        <v/>
      </c>
      <c r="E27" s="137" t="str">
        <f>IF(ISBLANK('6.5Ratemaking Data'!G26),"",'6.5Ratemaking Data'!G26)</f>
        <v/>
      </c>
      <c r="F27" s="137" t="str">
        <f>IF(ISBLANK('6.5Ratemaking Data'!H26),"",'6.5Ratemaking Data'!H26)</f>
        <v/>
      </c>
      <c r="G27" s="137">
        <f>IF(ISBLANK('6.5Ratemaking Data'!I26),"",'6.5Ratemaking Data'!I26)</f>
        <v>1.1722882305573497</v>
      </c>
      <c r="H27" s="144">
        <f>IF(New_Program=TRUE,0,'6.5Ratemaking Data'!$J$26)</f>
        <v>7.3203196899454204E-2</v>
      </c>
    </row>
    <row r="28" spans="1:10" x14ac:dyDescent="0.25">
      <c r="A28" s="134" t="s">
        <v>183</v>
      </c>
      <c r="B28" s="137" t="str">
        <f>IF(ISBLANK('6.5Ratemaking Data'!D27),"",'6.5Ratemaking Data'!D27)</f>
        <v/>
      </c>
      <c r="C28" s="137" t="str">
        <f>IF(ISBLANK('6.5Ratemaking Data'!E27),"",'6.5Ratemaking Data'!E27)</f>
        <v/>
      </c>
      <c r="D28" s="137" t="str">
        <f>IF(ISBLANK('6.5Ratemaking Data'!F27),"",'6.5Ratemaking Data'!F27)</f>
        <v/>
      </c>
      <c r="E28" s="137" t="str">
        <f>IF(ISBLANK('6.5Ratemaking Data'!G27),"",'6.5Ratemaking Data'!G27)</f>
        <v/>
      </c>
      <c r="F28" s="137" t="str">
        <f>IF(ISBLANK('6.5Ratemaking Data'!H27),"",'6.5Ratemaking Data'!H27)</f>
        <v/>
      </c>
      <c r="G28" s="137">
        <f>IF(ISBLANK('6.5Ratemaking Data'!I27),"",'6.5Ratemaking Data'!I27)</f>
        <v>1</v>
      </c>
      <c r="H28" s="138"/>
    </row>
    <row r="29" spans="1:10" ht="15.75" thickBot="1" x14ac:dyDescent="0.3">
      <c r="A29" s="153" t="s">
        <v>188</v>
      </c>
      <c r="B29" s="154" t="str">
        <f>IF(ISBLANK('6.5Ratemaking Data'!D29),"",'6.5Ratemaking Data'!D29)</f>
        <v/>
      </c>
      <c r="C29" s="154" t="str">
        <f>IF(ISBLANK('6.5Ratemaking Data'!E29),"",'6.5Ratemaking Data'!E29)</f>
        <v/>
      </c>
      <c r="D29" s="154" t="str">
        <f>IF(ISBLANK('6.5Ratemaking Data'!F29),"",'6.5Ratemaking Data'!F29)</f>
        <v/>
      </c>
      <c r="E29" s="154" t="str">
        <f>IF(ISBLANK('6.5Ratemaking Data'!G29),"",'6.5Ratemaking Data'!G29)</f>
        <v/>
      </c>
      <c r="F29" s="154" t="str">
        <f>IF(ISBLANK('6.5Ratemaking Data'!H29),"",'6.5Ratemaking Data'!H29)</f>
        <v/>
      </c>
      <c r="G29" s="154">
        <f>IF(ISBLANK('6.5Ratemaking Data'!I29),"",'6.5Ratemaking Data'!I29)</f>
        <v>0</v>
      </c>
      <c r="H29" s="155">
        <f>IF(New_Program=TRUE,'6.5Ratemaking Data'!$K$29,SUM($B29:$G29))</f>
        <v>0</v>
      </c>
    </row>
    <row r="30" spans="1:10" ht="15.75" thickTop="1" x14ac:dyDescent="0.25">
      <c r="A30" s="134" t="s">
        <v>184</v>
      </c>
      <c r="B30" s="139"/>
      <c r="C30" s="139"/>
      <c r="D30" s="139"/>
      <c r="E30" s="139"/>
      <c r="F30" s="139"/>
      <c r="G30" s="139"/>
      <c r="H30" s="144">
        <f>IF(New_Program=TRUE,100%,'6.5Ratemaking Data'!$J$28)</f>
        <v>1</v>
      </c>
    </row>
    <row r="31" spans="1:10" x14ac:dyDescent="0.25">
      <c r="A31" s="134" t="s">
        <v>185</v>
      </c>
      <c r="B31" s="139"/>
      <c r="C31" s="139"/>
      <c r="D31" s="139"/>
      <c r="E31" s="139"/>
      <c r="F31" s="139"/>
      <c r="G31" s="139"/>
      <c r="H31" s="144">
        <f>ExpRatio_Excluded</f>
        <v>1.3597266477453115E-2</v>
      </c>
    </row>
    <row r="32" spans="1:10" x14ac:dyDescent="0.25">
      <c r="A32" s="134" t="s">
        <v>166</v>
      </c>
      <c r="B32" s="139"/>
      <c r="C32" s="139"/>
      <c r="D32" s="139"/>
      <c r="E32" s="139"/>
      <c r="F32" s="139"/>
      <c r="G32" s="139"/>
      <c r="H32" s="144">
        <f>FIT_Inv</f>
        <v>0.18752087399665437</v>
      </c>
    </row>
    <row r="33" spans="1:9" ht="15.75" thickBot="1" x14ac:dyDescent="0.3">
      <c r="A33" s="98" t="s">
        <v>165</v>
      </c>
      <c r="B33" s="140"/>
      <c r="C33" s="140"/>
      <c r="D33" s="140"/>
      <c r="E33" s="140"/>
      <c r="F33" s="140"/>
      <c r="G33" s="140"/>
      <c r="H33" s="141">
        <f>Yield</f>
        <v>8.8050065696007235E-2</v>
      </c>
    </row>
    <row r="34" spans="1:9" ht="5.0999999999999996" customHeight="1" x14ac:dyDescent="0.25"/>
    <row r="35" spans="1:9" ht="15.75" thickBot="1" x14ac:dyDescent="0.3">
      <c r="A35" s="130" t="s">
        <v>189</v>
      </c>
      <c r="E35" s="93"/>
      <c r="F35" s="93"/>
      <c r="G35" s="93"/>
    </row>
    <row r="36" spans="1:9" x14ac:dyDescent="0.25">
      <c r="A36" s="131" t="s">
        <v>167</v>
      </c>
      <c r="B36" s="142"/>
      <c r="C36" s="142"/>
      <c r="D36" s="142"/>
      <c r="E36" s="142"/>
      <c r="F36" s="142"/>
      <c r="G36" s="142"/>
      <c r="H36" s="149">
        <f>FIT_UW</f>
        <v>0.21</v>
      </c>
      <c r="I36" s="90"/>
    </row>
    <row r="37" spans="1:9" x14ac:dyDescent="0.25">
      <c r="A37" s="134" t="s">
        <v>190</v>
      </c>
      <c r="B37" s="90"/>
      <c r="C37" s="90"/>
      <c r="D37" s="90"/>
      <c r="E37" s="90"/>
      <c r="F37" s="693" t="s">
        <v>317</v>
      </c>
      <c r="G37" s="694">
        <f>update_effstd</f>
        <v>2020</v>
      </c>
      <c r="H37" s="144">
        <f ca="1">EffStd_Final05</f>
        <v>0.29866055104631506</v>
      </c>
    </row>
    <row r="38" spans="1:9" x14ac:dyDescent="0.25">
      <c r="A38" s="134" t="s">
        <v>191</v>
      </c>
      <c r="B38" s="90"/>
      <c r="C38" s="90"/>
      <c r="D38" s="90"/>
      <c r="E38" s="90"/>
      <c r="F38" s="693" t="s">
        <v>317</v>
      </c>
      <c r="G38" s="694">
        <f>update_leverage</f>
        <v>2020</v>
      </c>
      <c r="H38" s="190">
        <f ca="1">LevFact_Final05</f>
        <v>1.2893927100650311</v>
      </c>
    </row>
    <row r="39" spans="1:9" x14ac:dyDescent="0.25">
      <c r="A39" s="134" t="s">
        <v>192</v>
      </c>
      <c r="B39" s="90"/>
      <c r="C39" s="90"/>
      <c r="D39" s="90"/>
      <c r="E39" s="90"/>
      <c r="F39" s="693"/>
      <c r="G39" s="693"/>
      <c r="H39" s="144">
        <f>PremTaxRate</f>
        <v>2.35E-2</v>
      </c>
    </row>
    <row r="40" spans="1:9" x14ac:dyDescent="0.25">
      <c r="A40" s="134" t="s">
        <v>193</v>
      </c>
      <c r="B40" s="90"/>
      <c r="C40" s="90"/>
      <c r="D40" s="90"/>
      <c r="E40" s="90"/>
      <c r="F40" s="693"/>
      <c r="G40" s="695"/>
      <c r="H40" s="191">
        <f ca="1">1/LevFact_Final05</f>
        <v>0.77555890629284274</v>
      </c>
    </row>
    <row r="41" spans="1:9" x14ac:dyDescent="0.25">
      <c r="A41" s="134" t="s">
        <v>198</v>
      </c>
      <c r="B41" s="90"/>
      <c r="C41" s="90"/>
      <c r="D41" s="90"/>
      <c r="E41" s="90"/>
      <c r="F41" s="693" t="s">
        <v>317</v>
      </c>
      <c r="G41" s="694">
        <f>update_reserveratios</f>
        <v>2020</v>
      </c>
      <c r="H41" s="191">
        <f ca="1">ResRatio_UPR05</f>
        <v>0.33549281014277643</v>
      </c>
    </row>
    <row r="42" spans="1:9" x14ac:dyDescent="0.25">
      <c r="A42" s="192" t="s">
        <v>194</v>
      </c>
      <c r="B42" s="90"/>
      <c r="C42" s="90"/>
      <c r="D42" s="90"/>
      <c r="E42" s="90"/>
      <c r="F42" s="693" t="s">
        <v>317</v>
      </c>
      <c r="G42" s="694">
        <f>update_reserveratios</f>
        <v>2020</v>
      </c>
      <c r="H42" s="191">
        <f ca="1">ResRatio_Loss05</f>
        <v>7.309859769299859E-2</v>
      </c>
    </row>
    <row r="43" spans="1:9" x14ac:dyDescent="0.25">
      <c r="A43" s="192" t="s">
        <v>195</v>
      </c>
      <c r="B43" s="90"/>
      <c r="C43" s="90"/>
      <c r="D43" s="90"/>
      <c r="E43" s="90"/>
      <c r="F43" s="691" t="s">
        <v>317</v>
      </c>
      <c r="G43" s="691" t="str">
        <f>ROR_RiskFree_Date</f>
        <v>June 2022</v>
      </c>
      <c r="H43" s="692">
        <f>ROR_RiskFree</f>
        <v>2.2799999999999997E-2</v>
      </c>
      <c r="I43" s="20" t="s">
        <v>732</v>
      </c>
    </row>
    <row r="44" spans="1:9" x14ac:dyDescent="0.25">
      <c r="A44" s="192" t="s">
        <v>197</v>
      </c>
      <c r="B44" s="90"/>
      <c r="C44" s="90"/>
      <c r="D44" s="90"/>
      <c r="E44" s="90"/>
      <c r="F44" s="90"/>
      <c r="G44" s="90"/>
      <c r="H44" s="286">
        <f>ROR_Min</f>
        <v>-0.06</v>
      </c>
      <c r="I44" s="20"/>
    </row>
    <row r="45" spans="1:9" ht="15.75" thickBot="1" x14ac:dyDescent="0.3">
      <c r="A45" s="193" t="s">
        <v>196</v>
      </c>
      <c r="B45" s="140"/>
      <c r="C45" s="140"/>
      <c r="D45" s="140"/>
      <c r="E45" s="140"/>
      <c r="F45" s="140"/>
      <c r="G45" s="140"/>
      <c r="H45" s="287">
        <f>ROR_Max</f>
        <v>8.2799999999999999E-2</v>
      </c>
    </row>
    <row r="46" spans="1:9" ht="5.0999999999999996" customHeight="1" x14ac:dyDescent="0.25"/>
    <row r="47" spans="1:9" ht="15.75" thickBot="1" x14ac:dyDescent="0.3">
      <c r="A47" s="130" t="s">
        <v>234</v>
      </c>
      <c r="B47" s="285" t="str">
        <f>'6.5Ratemaking Data'!D$14</f>
        <v>20171</v>
      </c>
      <c r="C47" s="285" t="str">
        <f>'6.5Ratemaking Data'!E$14</f>
        <v>20181</v>
      </c>
      <c r="D47" s="285" t="str">
        <f>'6.5Ratemaking Data'!F$14</f>
        <v>20191</v>
      </c>
      <c r="E47" s="285" t="str">
        <f>'6.5Ratemaking Data'!G$14</f>
        <v>20201</v>
      </c>
      <c r="F47" s="285" t="str">
        <f>'6.5Ratemaking Data'!H$14</f>
        <v>20211</v>
      </c>
      <c r="G47" s="285">
        <f>'6.5Ratemaking Data'!I$14</f>
        <v>20221</v>
      </c>
    </row>
    <row r="48" spans="1:9" x14ac:dyDescent="0.25">
      <c r="A48" s="131" t="s">
        <v>199</v>
      </c>
      <c r="B48" s="132" t="str">
        <f t="shared" ref="B48:G48" si="0">IF(ISERROR(Prem_Earned*Prem_Adj*Prem_Trend+Misc_Fees),"",Prem_Earned*Prem_Adj*Prem_Trend+Misc_Fees)</f>
        <v/>
      </c>
      <c r="C48" s="132" t="str">
        <f t="shared" si="0"/>
        <v/>
      </c>
      <c r="D48" s="132" t="str">
        <f t="shared" si="0"/>
        <v/>
      </c>
      <c r="E48" s="132" t="str">
        <f t="shared" si="0"/>
        <v/>
      </c>
      <c r="F48" s="132" t="str">
        <f t="shared" si="0"/>
        <v/>
      </c>
      <c r="G48" s="132">
        <f t="shared" si="0"/>
        <v>1377582231.3435102</v>
      </c>
      <c r="H48" s="133">
        <f>IF(New_Program=TRUE,(Prem_Earned+Misc_Fees),SUM($B48:$G48))</f>
        <v>1377582231.3435102</v>
      </c>
    </row>
    <row r="49" spans="1:9" x14ac:dyDescent="0.25">
      <c r="A49" s="134" t="s">
        <v>200</v>
      </c>
      <c r="B49" s="135" t="str">
        <f t="shared" ref="B49:G49" si="1">IF(ISERROR(Losses*Loss_Devt*CAT_Adj*Loss_Trend),"",Losses*Loss_Devt*CAT_Adj*Loss_Trend)</f>
        <v/>
      </c>
      <c r="C49" s="135" t="str">
        <f t="shared" si="1"/>
        <v/>
      </c>
      <c r="D49" s="135" t="str">
        <f t="shared" si="1"/>
        <v/>
      </c>
      <c r="E49" s="135" t="str">
        <f t="shared" si="1"/>
        <v/>
      </c>
      <c r="F49" s="135" t="str">
        <f t="shared" si="1"/>
        <v/>
      </c>
      <c r="G49" s="135">
        <f t="shared" si="1"/>
        <v>1210682126.4332066</v>
      </c>
      <c r="H49" s="136">
        <f>IF(New_Program=TRUE,Losses,SUM($B49:$G49))</f>
        <v>1210682126.4332066</v>
      </c>
    </row>
    <row r="50" spans="1:9" x14ac:dyDescent="0.25">
      <c r="A50" s="134" t="s">
        <v>201</v>
      </c>
      <c r="B50" s="135" t="str">
        <f t="shared" ref="B50:G50" si="2">IF(ISERROR(DCCE*DCCE_Devt*CAT_Adj*DCCE_Trend),"",DCCE*DCCE_Devt*CAT_Adj*DCCE_Trend)</f>
        <v/>
      </c>
      <c r="C50" s="135" t="str">
        <f t="shared" si="2"/>
        <v/>
      </c>
      <c r="D50" s="135" t="str">
        <f t="shared" si="2"/>
        <v/>
      </c>
      <c r="E50" s="135" t="str">
        <f t="shared" si="2"/>
        <v/>
      </c>
      <c r="F50" s="135" t="str">
        <f t="shared" si="2"/>
        <v/>
      </c>
      <c r="G50" s="135">
        <f t="shared" si="2"/>
        <v>3723093.7894720533</v>
      </c>
      <c r="H50" s="136">
        <f>IF(New_Program=TRUE,DCCE,SUM($B50:$G50))</f>
        <v>3723093.7894720533</v>
      </c>
    </row>
    <row r="51" spans="1:9" x14ac:dyDescent="0.25">
      <c r="A51" s="134" t="s">
        <v>202</v>
      </c>
      <c r="B51" s="143" t="str">
        <f t="shared" ref="B51:H51" si="3">IF(ISERROR((B49+B50)/B48),"",(B49+B50)/B48)</f>
        <v/>
      </c>
      <c r="C51" s="143" t="str">
        <f t="shared" si="3"/>
        <v/>
      </c>
      <c r="D51" s="143" t="str">
        <f t="shared" si="3"/>
        <v/>
      </c>
      <c r="E51" s="143" t="str">
        <f t="shared" si="3"/>
        <v/>
      </c>
      <c r="F51" s="143" t="str">
        <f t="shared" si="3"/>
        <v/>
      </c>
      <c r="G51" s="143">
        <f t="shared" si="3"/>
        <v>0.88154826085286364</v>
      </c>
      <c r="H51" s="144">
        <f t="shared" si="3"/>
        <v>0.88154826085286364</v>
      </c>
    </row>
    <row r="52" spans="1:9" x14ac:dyDescent="0.25">
      <c r="A52" s="134" t="s">
        <v>215</v>
      </c>
      <c r="B52" s="576" t="str">
        <f t="shared" ref="B52:H52" si="4">IF(ISERROR(Prem_Adjusted/Exposures_Earned),"",Prem_Adjusted/Exposures_Earned)</f>
        <v/>
      </c>
      <c r="C52" s="576" t="str">
        <f t="shared" si="4"/>
        <v/>
      </c>
      <c r="D52" s="576" t="str">
        <f t="shared" si="4"/>
        <v/>
      </c>
      <c r="E52" s="576" t="str">
        <f t="shared" si="4"/>
        <v/>
      </c>
      <c r="F52" s="576" t="str">
        <f t="shared" si="4"/>
        <v/>
      </c>
      <c r="G52" s="576">
        <f t="shared" si="4"/>
        <v>432.45454753153359</v>
      </c>
      <c r="H52" s="147">
        <f t="shared" si="4"/>
        <v>432.45454753153359</v>
      </c>
    </row>
    <row r="53" spans="1:9" x14ac:dyDescent="0.25">
      <c r="A53" s="134" t="s">
        <v>203</v>
      </c>
      <c r="B53" s="576" t="str">
        <f t="shared" ref="B53:H53" si="5">IF(ISERROR((Losses_Adjusted+DCCE_Adjusted)/Exposures_Earned),"",(Losses_Adjusted+DCCE_Adjusted)/Exposures_Earned)</f>
        <v/>
      </c>
      <c r="C53" s="576" t="str">
        <f t="shared" si="5"/>
        <v/>
      </c>
      <c r="D53" s="576" t="str">
        <f t="shared" si="5"/>
        <v/>
      </c>
      <c r="E53" s="576" t="str">
        <f t="shared" si="5"/>
        <v/>
      </c>
      <c r="F53" s="576" t="str">
        <f t="shared" si="5"/>
        <v/>
      </c>
      <c r="G53" s="576">
        <f t="shared" si="5"/>
        <v>381.2295542743355</v>
      </c>
      <c r="H53" s="147">
        <f t="shared" si="5"/>
        <v>381.2295542743355</v>
      </c>
    </row>
    <row r="54" spans="1:9" x14ac:dyDescent="0.25">
      <c r="A54" s="134" t="s">
        <v>204</v>
      </c>
      <c r="B54" s="576" t="str">
        <f t="shared" ref="B54:H54" ca="1" si="6">IF(ISERROR((TCRLP_perExp*(1+Comp_Trend)*Max_Denom+Anc_Inc_perExp)/(1-InvInc_Fixed)),"",(TCRLP_perExp*(1+Comp_Trend)*Max_Denom+Anc_Inc_perExp)/(1-InvInc_Fixed))</f>
        <v/>
      </c>
      <c r="C54" s="576" t="str">
        <f t="shared" ca="1" si="6"/>
        <v/>
      </c>
      <c r="D54" s="576" t="str">
        <f t="shared" ca="1" si="6"/>
        <v/>
      </c>
      <c r="E54" s="576" t="str">
        <f t="shared" ca="1" si="6"/>
        <v/>
      </c>
      <c r="F54" s="576" t="str">
        <f t="shared" ca="1" si="6"/>
        <v/>
      </c>
      <c r="G54" s="576">
        <f t="shared" ca="1" si="6"/>
        <v>349.29830310149771</v>
      </c>
      <c r="H54" s="147">
        <f t="shared" ca="1" si="6"/>
        <v>349.29830310149771</v>
      </c>
    </row>
    <row r="55" spans="1:9" x14ac:dyDescent="0.25">
      <c r="A55" s="134" t="s">
        <v>214</v>
      </c>
      <c r="B55" s="576" t="str">
        <f t="shared" ref="B55:H55" ca="1" si="7">IF(ISERROR(Credibility*LossDCCE_perExp+(1-Credibility)*CompLossDCCE_perExp),"",Credibility*LossDCCE_perExp+(1-Credibility)*CompLossDCCE_perExp)</f>
        <v/>
      </c>
      <c r="C55" s="576" t="str">
        <f t="shared" ca="1" si="7"/>
        <v/>
      </c>
      <c r="D55" s="576" t="str">
        <f t="shared" ca="1" si="7"/>
        <v/>
      </c>
      <c r="E55" s="576" t="str">
        <f t="shared" ca="1" si="7"/>
        <v/>
      </c>
      <c r="F55" s="576" t="str">
        <f t="shared" ca="1" si="7"/>
        <v/>
      </c>
      <c r="G55" s="576">
        <f t="shared" ca="1" si="7"/>
        <v>381.2295542743355</v>
      </c>
      <c r="H55" s="147">
        <f t="shared" ca="1" si="7"/>
        <v>381.2295542743355</v>
      </c>
    </row>
    <row r="56" spans="1:9" ht="15.75" thickBot="1" x14ac:dyDescent="0.3">
      <c r="A56" s="153" t="s">
        <v>216</v>
      </c>
      <c r="B56" s="250" t="str">
        <f t="shared" ref="B56:H56" si="8">IF(ISERROR(Anc_Income/Exposures_Earned),"",Anc_Income/Exposures_Earned)</f>
        <v/>
      </c>
      <c r="C56" s="250" t="str">
        <f t="shared" si="8"/>
        <v/>
      </c>
      <c r="D56" s="250" t="str">
        <f t="shared" si="8"/>
        <v/>
      </c>
      <c r="E56" s="250" t="str">
        <f t="shared" si="8"/>
        <v/>
      </c>
      <c r="F56" s="250" t="str">
        <f t="shared" si="8"/>
        <v/>
      </c>
      <c r="G56" s="250">
        <f t="shared" si="8"/>
        <v>0</v>
      </c>
      <c r="H56" s="251">
        <f t="shared" si="8"/>
        <v>0</v>
      </c>
    </row>
    <row r="57" spans="1:9" ht="15.75" thickTop="1" x14ac:dyDescent="0.25">
      <c r="A57" s="134" t="s">
        <v>217</v>
      </c>
      <c r="B57" s="90"/>
      <c r="C57" s="90"/>
      <c r="D57" s="90"/>
      <c r="E57" s="90"/>
      <c r="F57" s="90"/>
      <c r="G57" s="90"/>
      <c r="H57" s="144">
        <f ca="1">Yield*((1-FIT_Inv)/(1-FIT_UW))*ResRatio_Loss05</f>
        <v>6.6194796397152575E-3</v>
      </c>
    </row>
    <row r="58" spans="1:9" x14ac:dyDescent="0.25">
      <c r="A58" s="134" t="s">
        <v>218</v>
      </c>
      <c r="B58" s="90"/>
      <c r="C58" s="90"/>
      <c r="D58" s="90"/>
      <c r="E58" s="90"/>
      <c r="F58" s="90"/>
      <c r="G58" s="90"/>
      <c r="H58" s="144">
        <f ca="1">Yield*((1-FIT_Inv)/(1-FIT_UW))*(ResRatio_UPR05+SurplusRatio)</f>
        <v>0.10061183726812717</v>
      </c>
    </row>
    <row r="59" spans="1:9" x14ac:dyDescent="0.25">
      <c r="A59" s="134" t="s">
        <v>206</v>
      </c>
      <c r="B59" s="145"/>
      <c r="C59" s="145"/>
      <c r="D59" s="145"/>
      <c r="E59" s="145"/>
      <c r="F59" s="145"/>
      <c r="G59" s="145"/>
      <c r="H59" s="144">
        <f>(1+Loss_AnnualTrend)/(1+Prem_AnnualTrend)-1</f>
        <v>4.1135698143083266E-2</v>
      </c>
    </row>
    <row r="60" spans="1:9" x14ac:dyDescent="0.25">
      <c r="A60" s="134" t="s">
        <v>205</v>
      </c>
      <c r="B60" s="145"/>
      <c r="C60" s="145"/>
      <c r="D60" s="145"/>
      <c r="E60" s="145"/>
      <c r="F60" s="145"/>
      <c r="G60" s="145"/>
      <c r="H60" s="144">
        <f>IF(New_Program=TRUE,0,(1+Net_AnnualTrend)^MIN(4,((EffDate_Proposed-EffDate_Prior05)/365.25))-1)</f>
        <v>0.11336688876247836</v>
      </c>
    </row>
    <row r="61" spans="1:9" x14ac:dyDescent="0.25">
      <c r="A61" s="134" t="s">
        <v>207</v>
      </c>
      <c r="B61" s="145"/>
      <c r="C61" s="145"/>
      <c r="D61" s="145"/>
      <c r="E61" s="145"/>
      <c r="F61" s="145"/>
      <c r="G61" s="145"/>
      <c r="H61" s="144">
        <f ca="1">(ROR_Max)/(LevFact_Final05*(1-FIT_UW))</f>
        <v>8.1286427140566289E-2</v>
      </c>
    </row>
    <row r="62" spans="1:9" x14ac:dyDescent="0.25">
      <c r="A62" s="134" t="s">
        <v>208</v>
      </c>
      <c r="B62" s="90"/>
      <c r="C62" s="90"/>
      <c r="D62" s="90"/>
      <c r="E62" s="90"/>
      <c r="F62" s="90"/>
      <c r="G62" s="90"/>
      <c r="H62" s="144">
        <f ca="1">(ROR_Min)/(LevFact_Final05*(1-FIT_UW))</f>
        <v>-5.8903208072874122E-2</v>
      </c>
    </row>
    <row r="63" spans="1:9" x14ac:dyDescent="0.25">
      <c r="A63" s="134" t="s">
        <v>209</v>
      </c>
      <c r="B63" s="90"/>
      <c r="C63" s="90"/>
      <c r="D63" s="90"/>
      <c r="E63" s="90"/>
      <c r="F63" s="90"/>
      <c r="G63" s="90"/>
      <c r="H63" s="144">
        <f ca="1">1-CredLossDCCE_perExp/Max_Premium-EffStd_Final05</f>
        <v>-2.4127624650567836E-2</v>
      </c>
      <c r="I63" s="252"/>
    </row>
    <row r="64" spans="1:9" x14ac:dyDescent="0.25">
      <c r="A64" s="134" t="s">
        <v>211</v>
      </c>
      <c r="B64" s="90"/>
      <c r="C64" s="90"/>
      <c r="D64" s="90"/>
      <c r="E64" s="90"/>
      <c r="F64" s="90"/>
      <c r="G64" s="90"/>
      <c r="H64" s="146">
        <f ca="1">1-EffStd_Final05-Min_Profit+InvInc_Variable</f>
        <v>0.86085449429468619</v>
      </c>
      <c r="I64" s="252"/>
    </row>
    <row r="65" spans="1:9" x14ac:dyDescent="0.25">
      <c r="A65" s="134" t="s">
        <v>210</v>
      </c>
      <c r="B65" s="90"/>
      <c r="C65" s="90"/>
      <c r="D65" s="90"/>
      <c r="E65" s="90"/>
      <c r="F65" s="90"/>
      <c r="G65" s="90"/>
      <c r="H65" s="146">
        <f ca="1">1-EffStd_Final05-Max_Profit+InvInc_Variable</f>
        <v>0.72066485908124578</v>
      </c>
      <c r="I65" s="473" t="str">
        <f>IF(AND(Error35="",Error36=""),"","See Column H of Page '3.2YieldFIT' for errors that must be corrected.")</f>
        <v/>
      </c>
    </row>
    <row r="66" spans="1:9" x14ac:dyDescent="0.25">
      <c r="A66" s="134" t="s">
        <v>213</v>
      </c>
      <c r="B66" s="90"/>
      <c r="C66" s="90"/>
      <c r="D66" s="90"/>
      <c r="E66" s="90"/>
      <c r="F66" s="90"/>
      <c r="G66" s="90"/>
      <c r="H66" s="577">
        <f ca="1">(CredLossDCCE_perExp*(1-InvInc_Fixed)-Anc_Inc_perExp)/Min_Denom</f>
        <v>439.91872669729116</v>
      </c>
      <c r="I66" s="473" t="str">
        <f>IF(Error38="","","See Column F of Page '4.2Excluded Exp' for errors that must be corrected.")</f>
        <v/>
      </c>
    </row>
    <row r="67" spans="1:9" ht="15.75" thickBot="1" x14ac:dyDescent="0.3">
      <c r="A67" s="134" t="s">
        <v>212</v>
      </c>
      <c r="B67" s="90"/>
      <c r="C67" s="90"/>
      <c r="D67" s="90"/>
      <c r="E67" s="90"/>
      <c r="F67" s="90"/>
      <c r="G67" s="90"/>
      <c r="H67" s="577">
        <f ca="1">(CredLossDCCE_perExp*(1-InvInc_Fixed)-Anc_Inc_perExp)/Max_Denom</f>
        <v>525.49532314446401</v>
      </c>
      <c r="I67" s="471" t="str">
        <f>IF(Error34="","","See Column I of Page '2.Summary' for errors that must be corrected.")</f>
        <v/>
      </c>
    </row>
    <row r="68" spans="1:9" x14ac:dyDescent="0.25">
      <c r="A68" s="95" t="s">
        <v>235</v>
      </c>
      <c r="B68" s="90"/>
      <c r="C68" s="90"/>
      <c r="D68" s="90"/>
      <c r="E68" s="90"/>
      <c r="F68" s="90"/>
      <c r="G68" s="90"/>
      <c r="H68" s="289">
        <f ca="1">IF(AND(I65="",I66="",I67="",I68="",I69=""),(Min_Premium-Prem_Current)/Prem_Current,"Error")</f>
        <v>1.7260031622660415E-2</v>
      </c>
      <c r="I68" s="473" t="str">
        <f>IF(AND(Error00="",Error01="",Error02="",Error03="",Error04="",Error05="",Error06="",Error07="",Error08="",Error09="",Error10="",Error11="",Error12="",Error13="",Error14="",Error15="",Error16="",Error37=""),"","See Column J of Page '1.General' for errors that must be corrected.")</f>
        <v/>
      </c>
    </row>
    <row r="69" spans="1:9" ht="19.5" thickBot="1" x14ac:dyDescent="0.3">
      <c r="A69" s="96" t="s">
        <v>236</v>
      </c>
      <c r="B69" s="140"/>
      <c r="C69" s="140"/>
      <c r="D69" s="140"/>
      <c r="E69" s="140"/>
      <c r="F69" s="140"/>
      <c r="G69" s="140"/>
      <c r="H69" s="288">
        <f ca="1">IF(AND(I65="",I66="",I67="",I68="",I69=""),(Max_Premium-Prem_Current)/Prem_Current, "Error")</f>
        <v>0.21514579079815571</v>
      </c>
      <c r="I69" s="471" t="str">
        <f>IF(AND('6.5Ratemaking Data'!Error17="",'6.5Ratemaking Data'!Error18="",'6.5Ratemaking Data'!Error19="",'6.5Ratemaking Data'!Error20="",'6.5Ratemaking Data'!Error21="",'6.5Ratemaking Data'!Error22="",'6.5Ratemaking Data'!Error23="",'6.5Ratemaking Data'!Error24="",'6.5Ratemaking Data'!Error25="",'6.5Ratemaking Data'!Error26="",'6.5Ratemaking Data'!Error27="",'6.5Ratemaking Data'!Error28="",'6.5Ratemaking Data'!Error29=""),"","See Column M of Page '6.5Ratemaking Data' for errors that must be corrected.")</f>
        <v/>
      </c>
    </row>
    <row r="70" spans="1:9" ht="5.0999999999999996" hidden="1" customHeight="1" x14ac:dyDescent="0.25"/>
    <row r="71" spans="1:9" ht="15.75" hidden="1" thickBot="1" x14ac:dyDescent="0.3">
      <c r="A71" s="130" t="s">
        <v>233</v>
      </c>
      <c r="B71" s="285" t="str">
        <f>'6.5Ratemaking Data'!D$14</f>
        <v>20171</v>
      </c>
      <c r="C71" s="285" t="str">
        <f>'6.5Ratemaking Data'!E$14</f>
        <v>20181</v>
      </c>
      <c r="D71" s="285" t="str">
        <f>'6.5Ratemaking Data'!F$14</f>
        <v>20191</v>
      </c>
      <c r="E71" s="285" t="str">
        <f>'6.5Ratemaking Data'!G$14</f>
        <v>20201</v>
      </c>
      <c r="F71" s="285" t="str">
        <f>'6.5Ratemaking Data'!H$14</f>
        <v>20211</v>
      </c>
      <c r="G71" s="285">
        <f>'6.5Ratemaking Data'!I$14</f>
        <v>20221</v>
      </c>
    </row>
    <row r="72" spans="1:9" hidden="1" x14ac:dyDescent="0.25">
      <c r="A72" s="148" t="s">
        <v>232</v>
      </c>
      <c r="B72" s="142"/>
      <c r="C72" s="142"/>
      <c r="D72" s="142"/>
      <c r="E72" s="142"/>
      <c r="F72" s="142"/>
      <c r="G72" s="142"/>
      <c r="H72" s="149" t="str">
        <f>IF(ISBLANK('6.5Ratemaking Data'!J44),"",'6.5Ratemaking Data'!J44)</f>
        <v/>
      </c>
    </row>
    <row r="73" spans="1:9" hidden="1" x14ac:dyDescent="0.25">
      <c r="A73" s="150" t="s">
        <v>219</v>
      </c>
      <c r="B73" s="135" t="str">
        <f>IF(ISBLANK('6.5Ratemaking Data'!D45),"",'6.5Ratemaking Data'!D45)</f>
        <v/>
      </c>
      <c r="C73" s="135" t="str">
        <f>IF(ISBLANK('6.5Ratemaking Data'!E45),"",'6.5Ratemaking Data'!E45)</f>
        <v/>
      </c>
      <c r="D73" s="135" t="str">
        <f>IF(ISBLANK('6.5Ratemaking Data'!F45),"",'6.5Ratemaking Data'!F45)</f>
        <v/>
      </c>
      <c r="E73" s="135" t="str">
        <f>IF(ISBLANK('6.5Ratemaking Data'!G45),"",'6.5Ratemaking Data'!G45)</f>
        <v/>
      </c>
      <c r="F73" s="135" t="str">
        <f>IF(ISBLANK('6.5Ratemaking Data'!H45),"",'6.5Ratemaking Data'!H45)</f>
        <v/>
      </c>
      <c r="G73" s="135" t="str">
        <f>IF(ISBLANK('6.5Ratemaking Data'!I45),"",'6.5Ratemaking Data'!I45)</f>
        <v/>
      </c>
      <c r="H73" s="136" t="str">
        <f ca="1">IF(RIGHT(Detailed_LineCode05,1)="R",IF(New_Program=TRUE,'6.5Ratemaking Data'!$K$45,SUM($B73:$G73)),"")</f>
        <v/>
      </c>
    </row>
    <row r="74" spans="1:9" hidden="1" x14ac:dyDescent="0.25">
      <c r="A74" s="150" t="s">
        <v>220</v>
      </c>
      <c r="B74" s="135" t="str">
        <f>IF(ISBLANK('6.5Ratemaking Data'!D46),"",'6.5Ratemaking Data'!D46)</f>
        <v/>
      </c>
      <c r="C74" s="135" t="str">
        <f>IF(ISBLANK('6.5Ratemaking Data'!E46),"",'6.5Ratemaking Data'!E46)</f>
        <v/>
      </c>
      <c r="D74" s="135" t="str">
        <f>IF(ISBLANK('6.5Ratemaking Data'!F46),"",'6.5Ratemaking Data'!F46)</f>
        <v/>
      </c>
      <c r="E74" s="135" t="str">
        <f>IF(ISBLANK('6.5Ratemaking Data'!G46),"",'6.5Ratemaking Data'!G46)</f>
        <v/>
      </c>
      <c r="F74" s="135" t="str">
        <f>IF(ISBLANK('6.5Ratemaking Data'!H46),"",'6.5Ratemaking Data'!H46)</f>
        <v/>
      </c>
      <c r="G74" s="135" t="str">
        <f>IF(ISBLANK('6.5Ratemaking Data'!I46),"",'6.5Ratemaking Data'!I46)</f>
        <v/>
      </c>
      <c r="H74" s="136">
        <f>IF(New_Program=TRUE,'6.5Ratemaking Data'!$K$46,SUM($B74:$G74))</f>
        <v>0</v>
      </c>
    </row>
    <row r="75" spans="1:9" hidden="1" x14ac:dyDescent="0.25">
      <c r="A75" s="150" t="s">
        <v>221</v>
      </c>
      <c r="B75" s="578" t="str">
        <f t="shared" ref="B75:H75" si="9">IF(ISERROR(Rein_Prem/Exposures_Earned),"",Rein_Prem/Exposures_Earned)</f>
        <v/>
      </c>
      <c r="C75" s="578" t="str">
        <f t="shared" si="9"/>
        <v/>
      </c>
      <c r="D75" s="578" t="str">
        <f t="shared" si="9"/>
        <v/>
      </c>
      <c r="E75" s="578" t="str">
        <f t="shared" si="9"/>
        <v/>
      </c>
      <c r="F75" s="578" t="str">
        <f t="shared" si="9"/>
        <v/>
      </c>
      <c r="G75" s="578" t="str">
        <f t="shared" si="9"/>
        <v/>
      </c>
      <c r="H75" s="577" t="str">
        <f t="shared" ca="1" si="9"/>
        <v/>
      </c>
    </row>
    <row r="76" spans="1:9" hidden="1" x14ac:dyDescent="0.25">
      <c r="A76" s="150" t="s">
        <v>222</v>
      </c>
      <c r="B76" s="578" t="str">
        <f t="shared" ref="B76:H76" si="10">IF(ISERROR(Rein_Recov/Exposures_Earned),"",Rein_Recov/Exposures_Earned)</f>
        <v/>
      </c>
      <c r="C76" s="578" t="str">
        <f t="shared" si="10"/>
        <v/>
      </c>
      <c r="D76" s="578" t="str">
        <f t="shared" si="10"/>
        <v/>
      </c>
      <c r="E76" s="578" t="str">
        <f t="shared" si="10"/>
        <v/>
      </c>
      <c r="F76" s="578" t="str">
        <f t="shared" si="10"/>
        <v/>
      </c>
      <c r="G76" s="578" t="str">
        <f t="shared" si="10"/>
        <v/>
      </c>
      <c r="H76" s="577">
        <f t="shared" si="10"/>
        <v>0</v>
      </c>
    </row>
    <row r="77" spans="1:9" hidden="1" x14ac:dyDescent="0.25">
      <c r="A77" s="150" t="s">
        <v>223</v>
      </c>
      <c r="B77" s="578" t="str">
        <f t="shared" ref="B77:H77" ca="1" si="11">IF(ISERROR((TCRLP_perExp*(1+Comp_Trend)*Max_Denom+Anc_Inc_perExp-ReinPrem_perExp*Max_Denom/(1-Comm_Rate-PremTaxRate))/(1-InvInc_Fixed)),"",(TCRLP_perExp*(1+Comp_Trend)*Max_Denom+Anc_Inc_perExp-ReinPrem_perExp*Max_Denom/(1-Comm_Rate-PremTaxRate))/(1-InvInc_Fixed))</f>
        <v/>
      </c>
      <c r="C77" s="578" t="str">
        <f t="shared" ca="1" si="11"/>
        <v/>
      </c>
      <c r="D77" s="578" t="str">
        <f t="shared" ca="1" si="11"/>
        <v/>
      </c>
      <c r="E77" s="578" t="str">
        <f t="shared" ca="1" si="11"/>
        <v/>
      </c>
      <c r="F77" s="578" t="str">
        <f t="shared" ca="1" si="11"/>
        <v/>
      </c>
      <c r="G77" s="578" t="str">
        <f t="shared" ca="1" si="11"/>
        <v/>
      </c>
      <c r="H77" s="577" t="str">
        <f t="shared" ca="1" si="11"/>
        <v/>
      </c>
    </row>
    <row r="78" spans="1:9" ht="15.75" hidden="1" thickBot="1" x14ac:dyDescent="0.3">
      <c r="A78" s="150" t="s">
        <v>224</v>
      </c>
      <c r="B78" s="90"/>
      <c r="C78" s="90"/>
      <c r="D78" s="90"/>
      <c r="E78" s="90"/>
      <c r="F78" s="90"/>
      <c r="G78" s="90"/>
      <c r="H78" s="577" t="e">
        <f ca="1">IF(H73=0,NA(),((((Credibility*(LossDCCE_perExp-ReinRec_perExp))+(1-Credibility)*CompLoss_Rein)*(1-InvInc_Fixed)-Anc_Inc_perExp)/Max_Denom)+ReinPrem_perExp/(1-Comm_Rate-PremTaxRate))</f>
        <v>#VALUE!</v>
      </c>
      <c r="I78" s="473"/>
    </row>
    <row r="79" spans="1:9" ht="19.5" hidden="1" thickBot="1" x14ac:dyDescent="0.3">
      <c r="A79" s="151" t="s">
        <v>225</v>
      </c>
      <c r="B79" s="140"/>
      <c r="C79" s="140"/>
      <c r="D79" s="140"/>
      <c r="E79" s="140"/>
      <c r="F79" s="140"/>
      <c r="G79" s="140"/>
      <c r="H79" s="485" t="e">
        <f ca="1">IF(I79="",IF($H$73=0,NA(),(ReinMax_Premium-Prem_Current)/Prem_Current),"Error")</f>
        <v>#VALUE!</v>
      </c>
      <c r="I79" s="471" t="str">
        <f>IF(AND('6.5Ratemaking Data'!Error30="",'6.5Ratemaking Data'!Error31="",'6.5Ratemaking Data'!Error32=""),"","See Column M of Page '6.5Ratemaking Data' for errors that must be corrected.")</f>
        <v/>
      </c>
    </row>
    <row r="80" spans="1:9" ht="26.25" x14ac:dyDescent="0.25">
      <c r="F80" s="787" t="s">
        <v>620</v>
      </c>
      <c r="G80" s="787"/>
      <c r="H80" s="787"/>
    </row>
    <row r="81" spans="1:1" x14ac:dyDescent="0.25">
      <c r="A81" s="152"/>
    </row>
  </sheetData>
  <sheetProtection algorithmName="SHA-512" hashValue="JZF2l8xD683dyoJf4UJJvN3+HABu4gUlcc5TRzKDrv5dhkCcGsQmceDlBDFK2MP1leKovVTU7w8b/FoRKqFTng==" saltValue="v/m/sM3Wno8iLpqGdcnQ4w==" spinCount="100000" sheet="1" objects="1" scenarios="1" formatColumns="0" formatRows="0" sort="0"/>
  <mergeCells count="1">
    <mergeCell ref="F80:H80"/>
  </mergeCells>
  <conditionalFormatting sqref="H79">
    <cfRule type="cellIs" dxfId="11" priority="2" operator="equal">
      <formula>"Error"</formula>
    </cfRule>
  </conditionalFormatting>
  <conditionalFormatting sqref="H68:H69">
    <cfRule type="cellIs" dxfId="10" priority="1" operator="equal">
      <formula>"Error"</formula>
    </cfRule>
  </conditionalFormatting>
  <hyperlinks>
    <hyperlink ref="F80" location="'Ratemaking Data (7)'!A1" display="Go to Ratemaking Data (7)" xr:uid="{00000000-0004-0000-1800-000000000000}"/>
    <hyperlink ref="F80:H80" location="'6.5Ratemaking Data'!A1" display="Go to 6.5Ratemaking Data" xr:uid="{00000000-0004-0000-1800-000001000000}"/>
  </hyperlinks>
  <printOptions horizontalCentered="1"/>
  <pageMargins left="0.45" right="0.45" top="0.5" bottom="0.5" header="0.3" footer="0.3"/>
  <pageSetup scale="72" orientation="portrait" r:id="rId1"/>
  <headerFooter>
    <oddFooter>&amp;CPrior Approval Rate Template&amp;RPage 7.5&amp;L01/11/2022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2467" r:id="rId4" name="btnYears">
              <controlPr defaultSize="0" print="0" autoFill="0" autoPict="0" macro="[0]!ExpandContractColsData">
                <anchor moveWithCells="1">
                  <from>
                    <xdr:col>5</xdr:col>
                    <xdr:colOff>19050</xdr:colOff>
                    <xdr:row>6</xdr:row>
                    <xdr:rowOff>0</xdr:rowOff>
                  </from>
                  <to>
                    <xdr:col>6</xdr:col>
                    <xdr:colOff>733425</xdr:colOff>
                    <xdr:row>8</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5">
    <tabColor theme="0" tint="-0.14999847407452621"/>
    <pageSetUpPr fitToPage="1"/>
  </sheetPr>
  <dimension ref="A1:J81"/>
  <sheetViews>
    <sheetView view="pageBreakPreview" topLeftCell="A43" zoomScaleNormal="100" zoomScaleSheetLayoutView="100" workbookViewId="0"/>
  </sheetViews>
  <sheetFormatPr defaultRowHeight="15" x14ac:dyDescent="0.25"/>
  <cols>
    <col min="1" max="1" width="28.28515625" style="14" customWidth="1"/>
    <col min="2" max="4" width="15.7109375" style="14" hidden="1" customWidth="1"/>
    <col min="5" max="8" width="17.42578125" style="14" customWidth="1"/>
    <col min="9" max="9" width="22.5703125" style="14" bestFit="1" customWidth="1"/>
    <col min="10" max="16384" width="9.140625" style="14"/>
  </cols>
  <sheetData>
    <row r="1" spans="1:8" x14ac:dyDescent="0.25">
      <c r="A1" s="10" t="s">
        <v>31</v>
      </c>
      <c r="E1" s="124" t="s">
        <v>33</v>
      </c>
      <c r="H1" s="125" t="str">
        <f>Co_Name</f>
        <v>State Farm Mutual Automobile Insurance Company</v>
      </c>
    </row>
    <row r="2" spans="1:8" x14ac:dyDescent="0.25">
      <c r="A2" s="8" t="s">
        <v>32</v>
      </c>
      <c r="E2" s="124" t="s">
        <v>34</v>
      </c>
      <c r="H2" s="125" t="str">
        <f>General_Line</f>
        <v>Auto Liability and Physical Damage</v>
      </c>
    </row>
    <row r="3" spans="1:8" x14ac:dyDescent="0.25">
      <c r="E3" s="181" t="s">
        <v>142</v>
      </c>
      <c r="F3" s="182"/>
      <c r="G3" s="182"/>
      <c r="H3" s="188" t="str">
        <f>CDI_FileNo</f>
        <v/>
      </c>
    </row>
    <row r="4" spans="1:8" ht="18" customHeight="1" x14ac:dyDescent="0.25">
      <c r="A4" s="607" t="str">
        <f>IF('6.6Ratemaking Data'!$K$7="","VARIANCE - NONE","VARIANCE "&amp;'6.6Ratemaking Data'!$K$7)</f>
        <v>VARIANCE - NONE</v>
      </c>
    </row>
    <row r="5" spans="1:8" ht="23.25" x14ac:dyDescent="0.25">
      <c r="A5" s="4" t="s">
        <v>665</v>
      </c>
      <c r="B5" s="123"/>
      <c r="C5" s="123"/>
      <c r="D5" s="123"/>
      <c r="E5" s="123"/>
      <c r="F5" s="123"/>
      <c r="G5" s="123"/>
      <c r="H5" s="123"/>
    </row>
    <row r="6" spans="1:8" ht="9.9499999999999993" customHeight="1" x14ac:dyDescent="0.25"/>
    <row r="7" spans="1:8" ht="15" customHeight="1" x14ac:dyDescent="0.25">
      <c r="A7" s="14" t="s">
        <v>1</v>
      </c>
      <c r="H7" s="28" t="str">
        <f>Completed_By</f>
        <v>Laura Campbell</v>
      </c>
    </row>
    <row r="8" spans="1:8" ht="15" customHeight="1" x14ac:dyDescent="0.25">
      <c r="A8" s="14" t="s">
        <v>76</v>
      </c>
      <c r="H8" s="189">
        <f>Completed_Date</f>
        <v>44816</v>
      </c>
    </row>
    <row r="9" spans="1:8" ht="15" customHeight="1" x14ac:dyDescent="0.25">
      <c r="A9" s="14" t="s">
        <v>169</v>
      </c>
      <c r="H9" s="189">
        <f>EffDate_Prior06</f>
        <v>44088</v>
      </c>
    </row>
    <row r="10" spans="1:8" ht="15" customHeight="1" x14ac:dyDescent="0.25">
      <c r="A10" s="14" t="s">
        <v>170</v>
      </c>
      <c r="B10" s="62"/>
      <c r="H10" s="189">
        <f>EffDate_Proposed</f>
        <v>45061</v>
      </c>
    </row>
    <row r="11" spans="1:8" ht="15" customHeight="1" x14ac:dyDescent="0.25">
      <c r="A11" s="14" t="s">
        <v>77</v>
      </c>
      <c r="B11" s="62"/>
      <c r="H11" s="28" t="str">
        <f>Detailed_LineDesc06</f>
        <v>Private Passenger Auto Physical Damage</v>
      </c>
    </row>
    <row r="12" spans="1:8" ht="15" customHeight="1" x14ac:dyDescent="0.25">
      <c r="A12" s="14" t="s">
        <v>78</v>
      </c>
      <c r="B12" s="62"/>
      <c r="H12" s="28" t="str">
        <f>Covg06</f>
        <v>Misc. Damage</v>
      </c>
    </row>
    <row r="13" spans="1:8" ht="15" customHeight="1" x14ac:dyDescent="0.25">
      <c r="H13" s="608"/>
    </row>
    <row r="14" spans="1:8" ht="9.9499999999999993" customHeight="1" x14ac:dyDescent="0.25"/>
    <row r="15" spans="1:8" ht="15.75" thickBot="1" x14ac:dyDescent="0.3">
      <c r="A15" s="130" t="s">
        <v>171</v>
      </c>
      <c r="B15" s="285" t="str">
        <f>'6.6Ratemaking Data'!D$14</f>
        <v>20171</v>
      </c>
      <c r="C15" s="285" t="str">
        <f>'6.6Ratemaking Data'!E$14</f>
        <v>20181</v>
      </c>
      <c r="D15" s="285" t="str">
        <f>'6.6Ratemaking Data'!F$14</f>
        <v>20191</v>
      </c>
      <c r="E15" s="285" t="str">
        <f>'6.6Ratemaking Data'!G$14</f>
        <v>20201</v>
      </c>
      <c r="F15" s="285" t="str">
        <f>'6.6Ratemaking Data'!H$14</f>
        <v>20211</v>
      </c>
      <c r="G15" s="285">
        <f>'6.6Ratemaking Data'!I$14</f>
        <v>20221</v>
      </c>
      <c r="H15" s="105" t="s">
        <v>306</v>
      </c>
    </row>
    <row r="16" spans="1:8" x14ac:dyDescent="0.25">
      <c r="A16" s="131" t="s">
        <v>173</v>
      </c>
      <c r="B16" s="132" t="str">
        <f>IF(ISBLANK('6.6Ratemaking Data'!D15),"",'6.6Ratemaking Data'!D15)</f>
        <v/>
      </c>
      <c r="C16" s="132" t="str">
        <f>IF(ISBLANK('6.6Ratemaking Data'!E15),"",'6.6Ratemaking Data'!E15)</f>
        <v/>
      </c>
      <c r="D16" s="132" t="str">
        <f>IF(ISBLANK('6.6Ratemaking Data'!F15),"",'6.6Ratemaking Data'!F15)</f>
        <v/>
      </c>
      <c r="E16" s="132" t="str">
        <f>IF(ISBLANK('6.6Ratemaking Data'!G15),"",'6.6Ratemaking Data'!G15)</f>
        <v/>
      </c>
      <c r="F16" s="132" t="str">
        <f>IF(ISBLANK('6.6Ratemaking Data'!H15),"",'6.6Ratemaking Data'!H15)</f>
        <v/>
      </c>
      <c r="G16" s="132">
        <f>IF(ISBLANK('6.6Ratemaking Data'!I15),"",'6.6Ratemaking Data'!I15)</f>
        <v>85339279.650000006</v>
      </c>
      <c r="H16" s="133">
        <f>IF(New_Program=TRUE,'6.6Ratemaking Data'!$K$15,SUM($B16:$G16))</f>
        <v>85339279.650000006</v>
      </c>
    </row>
    <row r="17" spans="1:10" x14ac:dyDescent="0.25">
      <c r="A17" s="134" t="s">
        <v>172</v>
      </c>
      <c r="B17" s="135" t="str">
        <f>IF(ISBLANK('6.6Ratemaking Data'!D16),"",'6.6Ratemaking Data'!D16)</f>
        <v/>
      </c>
      <c r="C17" s="135" t="str">
        <f>IF(ISBLANK('6.6Ratemaking Data'!E16),"",'6.6Ratemaking Data'!E16)</f>
        <v/>
      </c>
      <c r="D17" s="135" t="str">
        <f>IF(ISBLANK('6.6Ratemaking Data'!F16),"",'6.6Ratemaking Data'!F16)</f>
        <v/>
      </c>
      <c r="E17" s="135" t="str">
        <f>IF(ISBLANK('6.6Ratemaking Data'!G16),"",'6.6Ratemaking Data'!G16)</f>
        <v/>
      </c>
      <c r="F17" s="135" t="str">
        <f>IF(ISBLANK('6.6Ratemaking Data'!H16),"",'6.6Ratemaking Data'!H16)</f>
        <v/>
      </c>
      <c r="G17" s="135">
        <f>IF(ISBLANK('6.6Ratemaking Data'!I16),"",'6.6Ratemaking Data'!I16)</f>
        <v>83607719.680000007</v>
      </c>
      <c r="H17" s="136">
        <f>IF(New_Program=TRUE,'6.6Ratemaking Data'!$K$16,SUM($B17:$G17))</f>
        <v>83607719.680000007</v>
      </c>
    </row>
    <row r="18" spans="1:10" x14ac:dyDescent="0.25">
      <c r="A18" s="134" t="s">
        <v>174</v>
      </c>
      <c r="B18" s="137" t="str">
        <f>IF(ISBLANK('6.6Ratemaking Data'!D17),"",'6.6Ratemaking Data'!D17)</f>
        <v/>
      </c>
      <c r="C18" s="137" t="str">
        <f>IF(ISBLANK('6.6Ratemaking Data'!E17),"",'6.6Ratemaking Data'!E17)</f>
        <v/>
      </c>
      <c r="D18" s="137" t="str">
        <f>IF(ISBLANK('6.6Ratemaking Data'!F17),"",'6.6Ratemaking Data'!F17)</f>
        <v/>
      </c>
      <c r="E18" s="137" t="str">
        <f>IF(ISBLANK('6.6Ratemaking Data'!G17),"",'6.6Ratemaking Data'!G17)</f>
        <v/>
      </c>
      <c r="F18" s="137" t="str">
        <f>IF(ISBLANK('6.6Ratemaking Data'!H17),"",'6.6Ratemaking Data'!H17)</f>
        <v/>
      </c>
      <c r="G18" s="137">
        <f>IF(ISBLANK('6.6Ratemaking Data'!I17),"",'6.6Ratemaking Data'!I17)</f>
        <v>1</v>
      </c>
      <c r="H18" s="138"/>
    </row>
    <row r="19" spans="1:10" x14ac:dyDescent="0.25">
      <c r="A19" s="134" t="s">
        <v>175</v>
      </c>
      <c r="B19" s="137" t="str">
        <f>IF(ISBLANK('6.6Ratemaking Data'!D18),"",'6.6Ratemaking Data'!D18)</f>
        <v/>
      </c>
      <c r="C19" s="137" t="str">
        <f>IF(ISBLANK('6.6Ratemaking Data'!E18),"",'6.6Ratemaking Data'!E18)</f>
        <v/>
      </c>
      <c r="D19" s="137" t="str">
        <f>IF(ISBLANK('6.6Ratemaking Data'!F18),"",'6.6Ratemaking Data'!F18)</f>
        <v/>
      </c>
      <c r="E19" s="137" t="str">
        <f>IF(ISBLANK('6.6Ratemaking Data'!G18),"",'6.6Ratemaking Data'!G18)</f>
        <v/>
      </c>
      <c r="F19" s="137" t="str">
        <f>IF(ISBLANK('6.6Ratemaking Data'!H18),"",'6.6Ratemaking Data'!H18)</f>
        <v/>
      </c>
      <c r="G19" s="137">
        <f>IF(ISBLANK('6.6Ratemaking Data'!I18),"",'6.6Ratemaking Data'!I18)</f>
        <v>1.0485796494237267</v>
      </c>
      <c r="H19" s="144">
        <f>IF(New_Program=TRUE,0,'6.6Ratemaking Data'!$J$18)</f>
        <v>2.1306718354071798E-2</v>
      </c>
    </row>
    <row r="20" spans="1:10" x14ac:dyDescent="0.25">
      <c r="A20" s="134" t="s">
        <v>176</v>
      </c>
      <c r="B20" s="135" t="str">
        <f>IF(ISBLANK('6.6Ratemaking Data'!D19),"",'6.6Ratemaking Data'!D19)</f>
        <v/>
      </c>
      <c r="C20" s="135" t="str">
        <f>IF(ISBLANK('6.6Ratemaking Data'!E19),"",'6.6Ratemaking Data'!E19)</f>
        <v/>
      </c>
      <c r="D20" s="135" t="str">
        <f>IF(ISBLANK('6.6Ratemaking Data'!F19),"",'6.6Ratemaking Data'!F19)</f>
        <v/>
      </c>
      <c r="E20" s="135" t="str">
        <f>IF(ISBLANK('6.6Ratemaking Data'!G19),"",'6.6Ratemaking Data'!G19)</f>
        <v/>
      </c>
      <c r="F20" s="135" t="str">
        <f>IF(ISBLANK('6.6Ratemaking Data'!H19),"",'6.6Ratemaking Data'!H19)</f>
        <v/>
      </c>
      <c r="G20" s="135">
        <f>IF(ISBLANK('6.6Ratemaking Data'!I19),"",'6.6Ratemaking Data'!I19)</f>
        <v>0</v>
      </c>
      <c r="H20" s="136">
        <f>IF(New_Program=TRUE,'6.6Ratemaking Data'!$K$19,SUM($B20:$G20))</f>
        <v>0</v>
      </c>
    </row>
    <row r="21" spans="1:10" x14ac:dyDescent="0.25">
      <c r="A21" s="134" t="s">
        <v>177</v>
      </c>
      <c r="B21" s="135" t="str">
        <f>IF(ISBLANK('6.6Ratemaking Data'!D20),"",'6.6Ratemaking Data'!D20)</f>
        <v/>
      </c>
      <c r="C21" s="135" t="str">
        <f>IF(ISBLANK('6.6Ratemaking Data'!E20),"",'6.6Ratemaking Data'!E20)</f>
        <v/>
      </c>
      <c r="D21" s="135" t="str">
        <f>IF(ISBLANK('6.6Ratemaking Data'!F20),"",'6.6Ratemaking Data'!F20)</f>
        <v/>
      </c>
      <c r="E21" s="135" t="str">
        <f>IF(ISBLANK('6.6Ratemaking Data'!G20),"",'6.6Ratemaking Data'!G20)</f>
        <v/>
      </c>
      <c r="F21" s="135" t="str">
        <f>IF(ISBLANK('6.6Ratemaking Data'!H20),"",'6.6Ratemaking Data'!H20)</f>
        <v/>
      </c>
      <c r="G21" s="135">
        <f>IF(ISBLANK('6.6Ratemaking Data'!I20),"",'6.6Ratemaking Data'!I20)</f>
        <v>4038771</v>
      </c>
      <c r="H21" s="136">
        <f>IF(New_Program=TRUE,'6.6Ratemaking Data'!$K$20,SUM($B21:$G21))</f>
        <v>4038771</v>
      </c>
      <c r="J21" s="126"/>
    </row>
    <row r="22" spans="1:10" x14ac:dyDescent="0.25">
      <c r="A22" s="134" t="s">
        <v>178</v>
      </c>
      <c r="B22" s="135" t="str">
        <f>IF(ISBLANK('6.6Ratemaking Data'!D21),"",'6.6Ratemaking Data'!D21)</f>
        <v/>
      </c>
      <c r="C22" s="135" t="str">
        <f>IF(ISBLANK('6.6Ratemaking Data'!E21),"",'6.6Ratemaking Data'!E21)</f>
        <v/>
      </c>
      <c r="D22" s="135" t="str">
        <f>IF(ISBLANK('6.6Ratemaking Data'!F21),"",'6.6Ratemaking Data'!F21)</f>
        <v/>
      </c>
      <c r="E22" s="135" t="str">
        <f>IF(ISBLANK('6.6Ratemaking Data'!G21),"",'6.6Ratemaking Data'!G21)</f>
        <v/>
      </c>
      <c r="F22" s="135" t="str">
        <f>IF(ISBLANK('6.6Ratemaking Data'!H21),"",'6.6Ratemaking Data'!H21)</f>
        <v/>
      </c>
      <c r="G22" s="135">
        <f>IF(ISBLANK('6.6Ratemaking Data'!I21),"",'6.6Ratemaking Data'!I21)</f>
        <v>63053601.339999989</v>
      </c>
      <c r="H22" s="136">
        <f>IF(New_Program=TRUE,'6.6Ratemaking Data'!$K$21,SUM($B22:$G22))</f>
        <v>63053601.339999989</v>
      </c>
      <c r="J22" s="126"/>
    </row>
    <row r="23" spans="1:10" x14ac:dyDescent="0.25">
      <c r="A23" s="134" t="s">
        <v>144</v>
      </c>
      <c r="B23" s="135" t="str">
        <f>IF(ISBLANK('6.6Ratemaking Data'!D22),"",'6.6Ratemaking Data'!D22)</f>
        <v/>
      </c>
      <c r="C23" s="135" t="str">
        <f>IF(ISBLANK('6.6Ratemaking Data'!E22),"",'6.6Ratemaking Data'!E22)</f>
        <v/>
      </c>
      <c r="D23" s="135" t="str">
        <f>IF(ISBLANK('6.6Ratemaking Data'!F22),"",'6.6Ratemaking Data'!F22)</f>
        <v/>
      </c>
      <c r="E23" s="135" t="str">
        <f>IF(ISBLANK('6.6Ratemaking Data'!G22),"",'6.6Ratemaking Data'!G22)</f>
        <v/>
      </c>
      <c r="F23" s="135" t="str">
        <f>IF(ISBLANK('6.6Ratemaking Data'!H22),"",'6.6Ratemaking Data'!H22)</f>
        <v/>
      </c>
      <c r="G23" s="135">
        <f>IF(ISBLANK('6.6Ratemaking Data'!I22),"",'6.6Ratemaking Data'!I22)</f>
        <v>12372</v>
      </c>
      <c r="H23" s="136">
        <f>IF(New_Program=TRUE,'6.6Ratemaking Data'!$K$22,SUM($B23:$G23))</f>
        <v>12372</v>
      </c>
      <c r="J23" s="126"/>
    </row>
    <row r="24" spans="1:10" x14ac:dyDescent="0.25">
      <c r="A24" s="134" t="s">
        <v>181</v>
      </c>
      <c r="B24" s="137" t="str">
        <f>IF(ISBLANK('6.6Ratemaking Data'!D23),"",'6.6Ratemaking Data'!D23)</f>
        <v/>
      </c>
      <c r="C24" s="137" t="str">
        <f>IF(ISBLANK('6.6Ratemaking Data'!E23),"",'6.6Ratemaking Data'!E23)</f>
        <v/>
      </c>
      <c r="D24" s="137" t="str">
        <f>IF(ISBLANK('6.6Ratemaking Data'!F23),"",'6.6Ratemaking Data'!F23)</f>
        <v/>
      </c>
      <c r="E24" s="137" t="str">
        <f>IF(ISBLANK('6.6Ratemaking Data'!G23),"",'6.6Ratemaking Data'!G23)</f>
        <v/>
      </c>
      <c r="F24" s="137" t="str">
        <f>IF(ISBLANK('6.6Ratemaking Data'!H23),"",'6.6Ratemaking Data'!H23)</f>
        <v/>
      </c>
      <c r="G24" s="137">
        <f>IF(ISBLANK('6.6Ratemaking Data'!I23),"",'6.6Ratemaking Data'!I23)</f>
        <v>0.99028777583956307</v>
      </c>
      <c r="H24" s="138"/>
    </row>
    <row r="25" spans="1:10" x14ac:dyDescent="0.25">
      <c r="A25" s="134" t="s">
        <v>182</v>
      </c>
      <c r="B25" s="137" t="str">
        <f>IF(ISBLANK('6.6Ratemaking Data'!D24),"",'6.6Ratemaking Data'!D24)</f>
        <v/>
      </c>
      <c r="C25" s="137" t="str">
        <f>IF(ISBLANK('6.6Ratemaking Data'!E24),"",'6.6Ratemaking Data'!E24)</f>
        <v/>
      </c>
      <c r="D25" s="137" t="str">
        <f>IF(ISBLANK('6.6Ratemaking Data'!F24),"",'6.6Ratemaking Data'!F24)</f>
        <v/>
      </c>
      <c r="E25" s="137" t="str">
        <f>IF(ISBLANK('6.6Ratemaking Data'!G24),"",'6.6Ratemaking Data'!G24)</f>
        <v/>
      </c>
      <c r="F25" s="137" t="str">
        <f>IF(ISBLANK('6.6Ratemaking Data'!H24),"",'6.6Ratemaking Data'!H24)</f>
        <v/>
      </c>
      <c r="G25" s="137">
        <f>IF(ISBLANK('6.6Ratemaking Data'!I24),"",'6.6Ratemaking Data'!I24)</f>
        <v>1.1432961126885726</v>
      </c>
      <c r="H25" s="138"/>
    </row>
    <row r="26" spans="1:10" x14ac:dyDescent="0.25">
      <c r="A26" s="134" t="s">
        <v>179</v>
      </c>
      <c r="B26" s="137" t="str">
        <f>IF(ISBLANK('6.6Ratemaking Data'!D25),"",'6.6Ratemaking Data'!D25)</f>
        <v/>
      </c>
      <c r="C26" s="137" t="str">
        <f>IF(ISBLANK('6.6Ratemaking Data'!E25),"",'6.6Ratemaking Data'!E25)</f>
        <v/>
      </c>
      <c r="D26" s="137" t="str">
        <f>IF(ISBLANK('6.6Ratemaking Data'!F25),"",'6.6Ratemaking Data'!F25)</f>
        <v/>
      </c>
      <c r="E26" s="137" t="str">
        <f>IF(ISBLANK('6.6Ratemaking Data'!G25),"",'6.6Ratemaking Data'!G25)</f>
        <v/>
      </c>
      <c r="F26" s="137" t="str">
        <f>IF(ISBLANK('6.6Ratemaking Data'!H25),"",'6.6Ratemaking Data'!H25)</f>
        <v/>
      </c>
      <c r="G26" s="137">
        <f>IF(ISBLANK('6.6Ratemaking Data'!I25),"",'6.6Ratemaking Data'!I25)</f>
        <v>1.1185277608041473</v>
      </c>
      <c r="H26" s="144">
        <f>IF(New_Program=TRUE,0,'6.6Ratemaking Data'!$J$25)</f>
        <v>5.104372930599399E-2</v>
      </c>
    </row>
    <row r="27" spans="1:10" x14ac:dyDescent="0.25">
      <c r="A27" s="134" t="s">
        <v>180</v>
      </c>
      <c r="B27" s="137" t="str">
        <f>IF(ISBLANK('6.6Ratemaking Data'!D26),"",'6.6Ratemaking Data'!D26)</f>
        <v/>
      </c>
      <c r="C27" s="137" t="str">
        <f>IF(ISBLANK('6.6Ratemaking Data'!E26),"",'6.6Ratemaking Data'!E26)</f>
        <v/>
      </c>
      <c r="D27" s="137" t="str">
        <f>IF(ISBLANK('6.6Ratemaking Data'!F26),"",'6.6Ratemaking Data'!F26)</f>
        <v/>
      </c>
      <c r="E27" s="137" t="str">
        <f>IF(ISBLANK('6.6Ratemaking Data'!G26),"",'6.6Ratemaking Data'!G26)</f>
        <v/>
      </c>
      <c r="F27" s="137" t="str">
        <f>IF(ISBLANK('6.6Ratemaking Data'!H26),"",'6.6Ratemaking Data'!H26)</f>
        <v/>
      </c>
      <c r="G27" s="137">
        <f>IF(ISBLANK('6.6Ratemaking Data'!I26),"",'6.6Ratemaking Data'!I26)</f>
        <v>1.1185277608041473</v>
      </c>
      <c r="H27" s="144">
        <f>IF(New_Program=TRUE,0,'6.6Ratemaking Data'!$J$26)</f>
        <v>5.104372930599399E-2</v>
      </c>
    </row>
    <row r="28" spans="1:10" x14ac:dyDescent="0.25">
      <c r="A28" s="134" t="s">
        <v>183</v>
      </c>
      <c r="B28" s="137" t="str">
        <f>IF(ISBLANK('6.6Ratemaking Data'!D27),"",'6.6Ratemaking Data'!D27)</f>
        <v/>
      </c>
      <c r="C28" s="137" t="str">
        <f>IF(ISBLANK('6.6Ratemaking Data'!E27),"",'6.6Ratemaking Data'!E27)</f>
        <v/>
      </c>
      <c r="D28" s="137" t="str">
        <f>IF(ISBLANK('6.6Ratemaking Data'!F27),"",'6.6Ratemaking Data'!F27)</f>
        <v/>
      </c>
      <c r="E28" s="137" t="str">
        <f>IF(ISBLANK('6.6Ratemaking Data'!G27),"",'6.6Ratemaking Data'!G27)</f>
        <v/>
      </c>
      <c r="F28" s="137" t="str">
        <f>IF(ISBLANK('6.6Ratemaking Data'!H27),"",'6.6Ratemaking Data'!H27)</f>
        <v/>
      </c>
      <c r="G28" s="137">
        <f>IF(ISBLANK('6.6Ratemaking Data'!I27),"",'6.6Ratemaking Data'!I27)</f>
        <v>1</v>
      </c>
      <c r="H28" s="138"/>
    </row>
    <row r="29" spans="1:10" ht="15.75" thickBot="1" x14ac:dyDescent="0.3">
      <c r="A29" s="153" t="s">
        <v>188</v>
      </c>
      <c r="B29" s="154" t="str">
        <f>IF(ISBLANK('6.6Ratemaking Data'!D29),"",'6.6Ratemaking Data'!D29)</f>
        <v/>
      </c>
      <c r="C29" s="154" t="str">
        <f>IF(ISBLANK('6.6Ratemaking Data'!E29),"",'6.6Ratemaking Data'!E29)</f>
        <v/>
      </c>
      <c r="D29" s="154" t="str">
        <f>IF(ISBLANK('6.6Ratemaking Data'!F29),"",'6.6Ratemaking Data'!F29)</f>
        <v/>
      </c>
      <c r="E29" s="154" t="str">
        <f>IF(ISBLANK('6.6Ratemaking Data'!G29),"",'6.6Ratemaking Data'!G29)</f>
        <v/>
      </c>
      <c r="F29" s="154" t="str">
        <f>IF(ISBLANK('6.6Ratemaking Data'!H29),"",'6.6Ratemaking Data'!H29)</f>
        <v/>
      </c>
      <c r="G29" s="154">
        <f>IF(ISBLANK('6.6Ratemaking Data'!I29),"",'6.6Ratemaking Data'!I29)</f>
        <v>0</v>
      </c>
      <c r="H29" s="155">
        <f>IF(New_Program=TRUE,'6.6Ratemaking Data'!$K$29,SUM($B29:$G29))</f>
        <v>0</v>
      </c>
    </row>
    <row r="30" spans="1:10" ht="15.75" thickTop="1" x14ac:dyDescent="0.25">
      <c r="A30" s="134" t="s">
        <v>184</v>
      </c>
      <c r="B30" s="139"/>
      <c r="C30" s="139"/>
      <c r="D30" s="139"/>
      <c r="E30" s="139"/>
      <c r="F30" s="139"/>
      <c r="G30" s="139"/>
      <c r="H30" s="144">
        <f>IF(New_Program=TRUE,100%,'6.6Ratemaking Data'!$J$28)</f>
        <v>1</v>
      </c>
    </row>
    <row r="31" spans="1:10" x14ac:dyDescent="0.25">
      <c r="A31" s="134" t="s">
        <v>185</v>
      </c>
      <c r="B31" s="139"/>
      <c r="C31" s="139"/>
      <c r="D31" s="139"/>
      <c r="E31" s="139"/>
      <c r="F31" s="139"/>
      <c r="G31" s="139"/>
      <c r="H31" s="144">
        <f>ExpRatio_Excluded</f>
        <v>1.3597266477453115E-2</v>
      </c>
    </row>
    <row r="32" spans="1:10" x14ac:dyDescent="0.25">
      <c r="A32" s="134" t="s">
        <v>166</v>
      </c>
      <c r="B32" s="139"/>
      <c r="C32" s="139"/>
      <c r="D32" s="139"/>
      <c r="E32" s="139"/>
      <c r="F32" s="139"/>
      <c r="G32" s="139"/>
      <c r="H32" s="144">
        <f>FIT_Inv</f>
        <v>0.18752087399665437</v>
      </c>
    </row>
    <row r="33" spans="1:9" ht="15.75" thickBot="1" x14ac:dyDescent="0.3">
      <c r="A33" s="98" t="s">
        <v>165</v>
      </c>
      <c r="B33" s="140"/>
      <c r="C33" s="140"/>
      <c r="D33" s="140"/>
      <c r="E33" s="140"/>
      <c r="F33" s="140"/>
      <c r="G33" s="140"/>
      <c r="H33" s="141">
        <f>Yield</f>
        <v>8.8050065696007235E-2</v>
      </c>
    </row>
    <row r="34" spans="1:9" ht="5.0999999999999996" customHeight="1" x14ac:dyDescent="0.25"/>
    <row r="35" spans="1:9" ht="15.75" thickBot="1" x14ac:dyDescent="0.3">
      <c r="A35" s="130" t="s">
        <v>189</v>
      </c>
      <c r="E35" s="93"/>
      <c r="F35" s="93"/>
      <c r="G35" s="93"/>
    </row>
    <row r="36" spans="1:9" x14ac:dyDescent="0.25">
      <c r="A36" s="131" t="s">
        <v>167</v>
      </c>
      <c r="B36" s="142"/>
      <c r="C36" s="142"/>
      <c r="D36" s="142"/>
      <c r="E36" s="142"/>
      <c r="F36" s="142"/>
      <c r="G36" s="142"/>
      <c r="H36" s="149">
        <f>FIT_UW</f>
        <v>0.21</v>
      </c>
      <c r="I36" s="90"/>
    </row>
    <row r="37" spans="1:9" x14ac:dyDescent="0.25">
      <c r="A37" s="134" t="s">
        <v>190</v>
      </c>
      <c r="B37" s="90"/>
      <c r="C37" s="90"/>
      <c r="D37" s="90"/>
      <c r="E37" s="90"/>
      <c r="F37" s="693" t="s">
        <v>317</v>
      </c>
      <c r="G37" s="694">
        <f>update_effstd</f>
        <v>2020</v>
      </c>
      <c r="H37" s="144">
        <f ca="1">EffStd_Final06</f>
        <v>0.29866055104631506</v>
      </c>
    </row>
    <row r="38" spans="1:9" x14ac:dyDescent="0.25">
      <c r="A38" s="134" t="s">
        <v>191</v>
      </c>
      <c r="B38" s="90"/>
      <c r="C38" s="90"/>
      <c r="D38" s="90"/>
      <c r="E38" s="90"/>
      <c r="F38" s="693" t="s">
        <v>317</v>
      </c>
      <c r="G38" s="694">
        <f>update_leverage</f>
        <v>2020</v>
      </c>
      <c r="H38" s="190">
        <f ca="1">LevFact_Final06</f>
        <v>1.2893927100650311</v>
      </c>
    </row>
    <row r="39" spans="1:9" x14ac:dyDescent="0.25">
      <c r="A39" s="134" t="s">
        <v>192</v>
      </c>
      <c r="B39" s="90"/>
      <c r="C39" s="90"/>
      <c r="D39" s="90"/>
      <c r="E39" s="90"/>
      <c r="F39" s="693"/>
      <c r="G39" s="693"/>
      <c r="H39" s="144">
        <f>PremTaxRate</f>
        <v>2.35E-2</v>
      </c>
    </row>
    <row r="40" spans="1:9" x14ac:dyDescent="0.25">
      <c r="A40" s="134" t="s">
        <v>193</v>
      </c>
      <c r="B40" s="90"/>
      <c r="C40" s="90"/>
      <c r="D40" s="90"/>
      <c r="E40" s="90"/>
      <c r="F40" s="693"/>
      <c r="G40" s="695"/>
      <c r="H40" s="191">
        <f ca="1">1/LevFact_Final06</f>
        <v>0.77555890629284274</v>
      </c>
    </row>
    <row r="41" spans="1:9" x14ac:dyDescent="0.25">
      <c r="A41" s="134" t="s">
        <v>198</v>
      </c>
      <c r="B41" s="90"/>
      <c r="C41" s="90"/>
      <c r="D41" s="90"/>
      <c r="E41" s="90"/>
      <c r="F41" s="693" t="s">
        <v>317</v>
      </c>
      <c r="G41" s="694">
        <f>update_reserveratios</f>
        <v>2020</v>
      </c>
      <c r="H41" s="191">
        <f ca="1">ResRatio_UPR06</f>
        <v>0.33549281014277643</v>
      </c>
    </row>
    <row r="42" spans="1:9" x14ac:dyDescent="0.25">
      <c r="A42" s="192" t="s">
        <v>194</v>
      </c>
      <c r="B42" s="90"/>
      <c r="C42" s="90"/>
      <c r="D42" s="90"/>
      <c r="E42" s="90"/>
      <c r="F42" s="693" t="s">
        <v>317</v>
      </c>
      <c r="G42" s="694">
        <f>update_reserveratios</f>
        <v>2020</v>
      </c>
      <c r="H42" s="191">
        <f ca="1">ResRatio_Loss06</f>
        <v>7.309859769299859E-2</v>
      </c>
    </row>
    <row r="43" spans="1:9" x14ac:dyDescent="0.25">
      <c r="A43" s="192" t="s">
        <v>195</v>
      </c>
      <c r="B43" s="90"/>
      <c r="C43" s="90"/>
      <c r="D43" s="90"/>
      <c r="E43" s="90"/>
      <c r="F43" s="691" t="s">
        <v>317</v>
      </c>
      <c r="G43" s="691" t="str">
        <f>ROR_RiskFree_Date</f>
        <v>June 2022</v>
      </c>
      <c r="H43" s="692">
        <f>ROR_RiskFree</f>
        <v>2.2799999999999997E-2</v>
      </c>
      <c r="I43" s="20" t="s">
        <v>732</v>
      </c>
    </row>
    <row r="44" spans="1:9" x14ac:dyDescent="0.25">
      <c r="A44" s="192" t="s">
        <v>197</v>
      </c>
      <c r="B44" s="90"/>
      <c r="C44" s="90"/>
      <c r="D44" s="90"/>
      <c r="E44" s="90"/>
      <c r="F44" s="90"/>
      <c r="G44" s="90"/>
      <c r="H44" s="286">
        <f>ROR_Min</f>
        <v>-0.06</v>
      </c>
      <c r="I44" s="20"/>
    </row>
    <row r="45" spans="1:9" ht="15.75" thickBot="1" x14ac:dyDescent="0.3">
      <c r="A45" s="193" t="s">
        <v>196</v>
      </c>
      <c r="B45" s="140"/>
      <c r="C45" s="140"/>
      <c r="D45" s="140"/>
      <c r="E45" s="140"/>
      <c r="F45" s="140"/>
      <c r="G45" s="140"/>
      <c r="H45" s="287">
        <f>ROR_Max</f>
        <v>8.2799999999999999E-2</v>
      </c>
    </row>
    <row r="46" spans="1:9" ht="5.0999999999999996" customHeight="1" x14ac:dyDescent="0.25"/>
    <row r="47" spans="1:9" ht="15.75" thickBot="1" x14ac:dyDescent="0.3">
      <c r="A47" s="130" t="s">
        <v>234</v>
      </c>
      <c r="B47" s="285" t="str">
        <f>'6.6Ratemaking Data'!D$14</f>
        <v>20171</v>
      </c>
      <c r="C47" s="285" t="str">
        <f>'6.6Ratemaking Data'!E$14</f>
        <v>20181</v>
      </c>
      <c r="D47" s="285" t="str">
        <f>'6.6Ratemaking Data'!F$14</f>
        <v>20191</v>
      </c>
      <c r="E47" s="285" t="str">
        <f>'6.6Ratemaking Data'!G$14</f>
        <v>20201</v>
      </c>
      <c r="F47" s="285" t="str">
        <f>'6.6Ratemaking Data'!H$14</f>
        <v>20211</v>
      </c>
      <c r="G47" s="285">
        <f>'6.6Ratemaking Data'!I$14</f>
        <v>20221</v>
      </c>
    </row>
    <row r="48" spans="1:9" x14ac:dyDescent="0.25">
      <c r="A48" s="131" t="s">
        <v>199</v>
      </c>
      <c r="B48" s="132" t="str">
        <f t="shared" ref="B48:G48" si="0">IF(ISERROR(Prem_Earned*Prem_Adj*Prem_Trend+Misc_Fees),"",Prem_Earned*Prem_Adj*Prem_Trend+Misc_Fees)</f>
        <v/>
      </c>
      <c r="C48" s="132" t="str">
        <f t="shared" si="0"/>
        <v/>
      </c>
      <c r="D48" s="132" t="str">
        <f t="shared" si="0"/>
        <v/>
      </c>
      <c r="E48" s="132" t="str">
        <f t="shared" si="0"/>
        <v/>
      </c>
      <c r="F48" s="132" t="str">
        <f t="shared" si="0"/>
        <v/>
      </c>
      <c r="G48" s="132">
        <f t="shared" si="0"/>
        <v>87669353.391171619</v>
      </c>
      <c r="H48" s="133">
        <f>IF(New_Program=TRUE,(Prem_Earned+Misc_Fees),SUM($B48:$G48))</f>
        <v>87669353.391171619</v>
      </c>
    </row>
    <row r="49" spans="1:9" x14ac:dyDescent="0.25">
      <c r="A49" s="134" t="s">
        <v>200</v>
      </c>
      <c r="B49" s="135" t="str">
        <f t="shared" ref="B49:G49" si="1">IF(ISERROR(Losses*Loss_Devt*CAT_Adj*Loss_Trend),"",Losses*Loss_Devt*CAT_Adj*Loss_Trend)</f>
        <v/>
      </c>
      <c r="C49" s="135" t="str">
        <f t="shared" si="1"/>
        <v/>
      </c>
      <c r="D49" s="135" t="str">
        <f t="shared" si="1"/>
        <v/>
      </c>
      <c r="E49" s="135" t="str">
        <f t="shared" si="1"/>
        <v/>
      </c>
      <c r="F49" s="135" t="str">
        <f t="shared" si="1"/>
        <v/>
      </c>
      <c r="G49" s="135">
        <f t="shared" si="1"/>
        <v>69842227.507497162</v>
      </c>
      <c r="H49" s="136">
        <f>IF(New_Program=TRUE,Losses,SUM($B49:$G49))</f>
        <v>69842227.507497162</v>
      </c>
    </row>
    <row r="50" spans="1:9" x14ac:dyDescent="0.25">
      <c r="A50" s="134" t="s">
        <v>201</v>
      </c>
      <c r="B50" s="135" t="str">
        <f t="shared" ref="B50:G50" si="2">IF(ISERROR(DCCE*DCCE_Devt*CAT_Adj*DCCE_Trend),"",DCCE*DCCE_Devt*CAT_Adj*DCCE_Trend)</f>
        <v/>
      </c>
      <c r="C50" s="135" t="str">
        <f t="shared" si="2"/>
        <v/>
      </c>
      <c r="D50" s="135" t="str">
        <f t="shared" si="2"/>
        <v/>
      </c>
      <c r="E50" s="135" t="str">
        <f t="shared" si="2"/>
        <v/>
      </c>
      <c r="F50" s="135" t="str">
        <f t="shared" si="2"/>
        <v/>
      </c>
      <c r="G50" s="135">
        <f t="shared" si="2"/>
        <v>15821.41803034015</v>
      </c>
      <c r="H50" s="136">
        <f>IF(New_Program=TRUE,DCCE,SUM($B50:$G50))</f>
        <v>15821.41803034015</v>
      </c>
    </row>
    <row r="51" spans="1:9" x14ac:dyDescent="0.25">
      <c r="A51" s="134" t="s">
        <v>202</v>
      </c>
      <c r="B51" s="143" t="str">
        <f t="shared" ref="B51:H51" si="3">IF(ISERROR((B49+B50)/B48),"",(B49+B50)/B48)</f>
        <v/>
      </c>
      <c r="C51" s="143" t="str">
        <f t="shared" si="3"/>
        <v/>
      </c>
      <c r="D51" s="143" t="str">
        <f t="shared" si="3"/>
        <v/>
      </c>
      <c r="E51" s="143" t="str">
        <f t="shared" si="3"/>
        <v/>
      </c>
      <c r="F51" s="143" t="str">
        <f t="shared" si="3"/>
        <v/>
      </c>
      <c r="G51" s="143">
        <f t="shared" si="3"/>
        <v>0.79683545302117242</v>
      </c>
      <c r="H51" s="144">
        <f t="shared" si="3"/>
        <v>0.79683545302117242</v>
      </c>
    </row>
    <row r="52" spans="1:9" x14ac:dyDescent="0.25">
      <c r="A52" s="134" t="s">
        <v>215</v>
      </c>
      <c r="B52" s="576" t="str">
        <f t="shared" ref="B52:H52" si="4">IF(ISERROR(Prem_Adjusted/Exposures_Earned),"",Prem_Adjusted/Exposures_Earned)</f>
        <v/>
      </c>
      <c r="C52" s="576" t="str">
        <f t="shared" si="4"/>
        <v/>
      </c>
      <c r="D52" s="576" t="str">
        <f t="shared" si="4"/>
        <v/>
      </c>
      <c r="E52" s="576" t="str">
        <f t="shared" si="4"/>
        <v/>
      </c>
      <c r="F52" s="576" t="str">
        <f t="shared" si="4"/>
        <v/>
      </c>
      <c r="G52" s="576">
        <f t="shared" si="4"/>
        <v>21.706938420418396</v>
      </c>
      <c r="H52" s="147">
        <f t="shared" si="4"/>
        <v>21.706938420418396</v>
      </c>
    </row>
    <row r="53" spans="1:9" x14ac:dyDescent="0.25">
      <c r="A53" s="134" t="s">
        <v>203</v>
      </c>
      <c r="B53" s="576" t="str">
        <f t="shared" ref="B53:H53" si="5">IF(ISERROR((Losses_Adjusted+DCCE_Adjusted)/Exposures_Earned),"",(Losses_Adjusted+DCCE_Adjusted)/Exposures_Earned)</f>
        <v/>
      </c>
      <c r="C53" s="576" t="str">
        <f t="shared" si="5"/>
        <v/>
      </c>
      <c r="D53" s="576" t="str">
        <f t="shared" si="5"/>
        <v/>
      </c>
      <c r="E53" s="576" t="str">
        <f t="shared" si="5"/>
        <v/>
      </c>
      <c r="F53" s="576" t="str">
        <f t="shared" si="5"/>
        <v/>
      </c>
      <c r="G53" s="576">
        <f t="shared" si="5"/>
        <v>17.296858109936785</v>
      </c>
      <c r="H53" s="147">
        <f t="shared" si="5"/>
        <v>17.296858109936785</v>
      </c>
    </row>
    <row r="54" spans="1:9" x14ac:dyDescent="0.25">
      <c r="A54" s="134" t="s">
        <v>204</v>
      </c>
      <c r="B54" s="576" t="str">
        <f t="shared" ref="B54:H54" ca="1" si="6">IF(ISERROR((TCRLP_perExp*(1+Comp_Trend)*Max_Denom+Anc_Inc_perExp)/(1-InvInc_Fixed)),"",(TCRLP_perExp*(1+Comp_Trend)*Max_Denom+Anc_Inc_perExp)/(1-InvInc_Fixed))</f>
        <v/>
      </c>
      <c r="C54" s="576" t="str">
        <f t="shared" ca="1" si="6"/>
        <v/>
      </c>
      <c r="D54" s="576" t="str">
        <f t="shared" ca="1" si="6"/>
        <v/>
      </c>
      <c r="E54" s="576" t="str">
        <f t="shared" ca="1" si="6"/>
        <v/>
      </c>
      <c r="F54" s="576" t="str">
        <f t="shared" ca="1" si="6"/>
        <v/>
      </c>
      <c r="G54" s="576">
        <f t="shared" ca="1" si="6"/>
        <v>16.998910161129817</v>
      </c>
      <c r="H54" s="147">
        <f t="shared" ca="1" si="6"/>
        <v>16.998910161129817</v>
      </c>
    </row>
    <row r="55" spans="1:9" x14ac:dyDescent="0.25">
      <c r="A55" s="134" t="s">
        <v>214</v>
      </c>
      <c r="B55" s="576" t="str">
        <f t="shared" ref="B55:H55" ca="1" si="7">IF(ISERROR(Credibility*LossDCCE_perExp+(1-Credibility)*CompLossDCCE_perExp),"",Credibility*LossDCCE_perExp+(1-Credibility)*CompLossDCCE_perExp)</f>
        <v/>
      </c>
      <c r="C55" s="576" t="str">
        <f t="shared" ca="1" si="7"/>
        <v/>
      </c>
      <c r="D55" s="576" t="str">
        <f t="shared" ca="1" si="7"/>
        <v/>
      </c>
      <c r="E55" s="576" t="str">
        <f t="shared" ca="1" si="7"/>
        <v/>
      </c>
      <c r="F55" s="576" t="str">
        <f t="shared" ca="1" si="7"/>
        <v/>
      </c>
      <c r="G55" s="576">
        <f t="shared" ca="1" si="7"/>
        <v>17.296858109936785</v>
      </c>
      <c r="H55" s="147">
        <f t="shared" ca="1" si="7"/>
        <v>17.296858109936785</v>
      </c>
    </row>
    <row r="56" spans="1:9" ht="15.75" thickBot="1" x14ac:dyDescent="0.3">
      <c r="A56" s="153" t="s">
        <v>216</v>
      </c>
      <c r="B56" s="250" t="str">
        <f t="shared" ref="B56:H56" si="8">IF(ISERROR(Anc_Income/Exposures_Earned),"",Anc_Income/Exposures_Earned)</f>
        <v/>
      </c>
      <c r="C56" s="250" t="str">
        <f t="shared" si="8"/>
        <v/>
      </c>
      <c r="D56" s="250" t="str">
        <f t="shared" si="8"/>
        <v/>
      </c>
      <c r="E56" s="250" t="str">
        <f t="shared" si="8"/>
        <v/>
      </c>
      <c r="F56" s="250" t="str">
        <f t="shared" si="8"/>
        <v/>
      </c>
      <c r="G56" s="250">
        <f t="shared" si="8"/>
        <v>0</v>
      </c>
      <c r="H56" s="251">
        <f t="shared" si="8"/>
        <v>0</v>
      </c>
    </row>
    <row r="57" spans="1:9" ht="15.75" thickTop="1" x14ac:dyDescent="0.25">
      <c r="A57" s="134" t="s">
        <v>217</v>
      </c>
      <c r="B57" s="90"/>
      <c r="C57" s="90"/>
      <c r="D57" s="90"/>
      <c r="E57" s="90"/>
      <c r="F57" s="90"/>
      <c r="G57" s="90"/>
      <c r="H57" s="144">
        <f ca="1">Yield*((1-FIT_Inv)/(1-FIT_UW))*ResRatio_Loss06</f>
        <v>6.6194796397152575E-3</v>
      </c>
    </row>
    <row r="58" spans="1:9" x14ac:dyDescent="0.25">
      <c r="A58" s="134" t="s">
        <v>218</v>
      </c>
      <c r="B58" s="90"/>
      <c r="C58" s="90"/>
      <c r="D58" s="90"/>
      <c r="E58" s="90"/>
      <c r="F58" s="90"/>
      <c r="G58" s="90"/>
      <c r="H58" s="144">
        <f ca="1">Yield*((1-FIT_Inv)/(1-FIT_UW))*(ResRatio_UPR06+SurplusRatio)</f>
        <v>0.10061183726812717</v>
      </c>
    </row>
    <row r="59" spans="1:9" x14ac:dyDescent="0.25">
      <c r="A59" s="134" t="s">
        <v>206</v>
      </c>
      <c r="B59" s="145"/>
      <c r="C59" s="145"/>
      <c r="D59" s="145"/>
      <c r="E59" s="145"/>
      <c r="F59" s="145"/>
      <c r="G59" s="145"/>
      <c r="H59" s="144">
        <f>(1+Loss_AnnualTrend)/(1+Prem_AnnualTrend)-1</f>
        <v>2.9116631093787371E-2</v>
      </c>
    </row>
    <row r="60" spans="1:9" x14ac:dyDescent="0.25">
      <c r="A60" s="134" t="s">
        <v>205</v>
      </c>
      <c r="B60" s="145"/>
      <c r="C60" s="145"/>
      <c r="D60" s="145"/>
      <c r="E60" s="145"/>
      <c r="F60" s="145"/>
      <c r="G60" s="145"/>
      <c r="H60" s="144">
        <f>IF(New_Program=TRUE,0,(1+Net_AnnualTrend)^MIN(4,((EffDate_Proposed-EffDate_Prior06)/365.25))-1)</f>
        <v>7.9455636322440348E-2</v>
      </c>
    </row>
    <row r="61" spans="1:9" x14ac:dyDescent="0.25">
      <c r="A61" s="134" t="s">
        <v>207</v>
      </c>
      <c r="B61" s="145"/>
      <c r="C61" s="145"/>
      <c r="D61" s="145"/>
      <c r="E61" s="145"/>
      <c r="F61" s="145"/>
      <c r="G61" s="145"/>
      <c r="H61" s="144">
        <f ca="1">(ROR_Max)/(LevFact_Final06*(1-FIT_UW))</f>
        <v>8.1286427140566289E-2</v>
      </c>
    </row>
    <row r="62" spans="1:9" x14ac:dyDescent="0.25">
      <c r="A62" s="134" t="s">
        <v>208</v>
      </c>
      <c r="B62" s="90"/>
      <c r="C62" s="90"/>
      <c r="D62" s="90"/>
      <c r="E62" s="90"/>
      <c r="F62" s="90"/>
      <c r="G62" s="90"/>
      <c r="H62" s="144">
        <f ca="1">(ROR_Min)/(LevFact_Final06*(1-FIT_UW))</f>
        <v>-5.8903208072874122E-2</v>
      </c>
    </row>
    <row r="63" spans="1:9" x14ac:dyDescent="0.25">
      <c r="A63" s="134" t="s">
        <v>209</v>
      </c>
      <c r="B63" s="90"/>
      <c r="C63" s="90"/>
      <c r="D63" s="90"/>
      <c r="E63" s="90"/>
      <c r="F63" s="90"/>
      <c r="G63" s="90"/>
      <c r="H63" s="144">
        <f ca="1">1-CredLossDCCE_perExp/Max_Premium-EffStd_Final06</f>
        <v>-2.4127624650567836E-2</v>
      </c>
      <c r="I63" s="252"/>
    </row>
    <row r="64" spans="1:9" x14ac:dyDescent="0.25">
      <c r="A64" s="134" t="s">
        <v>211</v>
      </c>
      <c r="B64" s="90"/>
      <c r="C64" s="90"/>
      <c r="D64" s="90"/>
      <c r="E64" s="90"/>
      <c r="F64" s="90"/>
      <c r="G64" s="90"/>
      <c r="H64" s="146">
        <f ca="1">1-EffStd_Final06-Min_Profit+InvInc_Variable</f>
        <v>0.86085449429468619</v>
      </c>
      <c r="I64" s="252"/>
    </row>
    <row r="65" spans="1:9" x14ac:dyDescent="0.25">
      <c r="A65" s="134" t="s">
        <v>210</v>
      </c>
      <c r="B65" s="90"/>
      <c r="C65" s="90"/>
      <c r="D65" s="90"/>
      <c r="E65" s="90"/>
      <c r="F65" s="90"/>
      <c r="G65" s="90"/>
      <c r="H65" s="146">
        <f ca="1">1-EffStd_Final06-Max_Profit+InvInc_Variable</f>
        <v>0.72066485908124578</v>
      </c>
      <c r="I65" s="473" t="str">
        <f>IF(AND(Error35="",Error36=""),"","See Column H of Page '3.2YieldFIT' for errors that must be corrected.")</f>
        <v/>
      </c>
    </row>
    <row r="66" spans="1:9" x14ac:dyDescent="0.25">
      <c r="A66" s="134" t="s">
        <v>213</v>
      </c>
      <c r="B66" s="90"/>
      <c r="C66" s="90"/>
      <c r="D66" s="90"/>
      <c r="E66" s="90"/>
      <c r="F66" s="90"/>
      <c r="G66" s="90"/>
      <c r="H66" s="577">
        <f ca="1">(CredLossDCCE_perExp*(1-InvInc_Fixed)-Anc_Inc_perExp)/Min_Denom</f>
        <v>19.959658715524093</v>
      </c>
      <c r="I66" s="473" t="str">
        <f>IF(Error38="","","See Column F of Page '4.2Excluded Exp' for errors that must be corrected.")</f>
        <v/>
      </c>
    </row>
    <row r="67" spans="1:9" ht="15.75" thickBot="1" x14ac:dyDescent="0.3">
      <c r="A67" s="134" t="s">
        <v>212</v>
      </c>
      <c r="B67" s="90"/>
      <c r="C67" s="90"/>
      <c r="D67" s="90"/>
      <c r="E67" s="90"/>
      <c r="F67" s="90"/>
      <c r="G67" s="90"/>
      <c r="H67" s="577">
        <f ca="1">(CredLossDCCE_perExp*(1-InvInc_Fixed)-Anc_Inc_perExp)/Max_Denom</f>
        <v>23.842375125314561</v>
      </c>
      <c r="I67" s="471" t="str">
        <f>IF(Error34="","","See Column I of Page '2.Summary' for errors that must be corrected.")</f>
        <v/>
      </c>
    </row>
    <row r="68" spans="1:9" x14ac:dyDescent="0.25">
      <c r="A68" s="95" t="s">
        <v>235</v>
      </c>
      <c r="B68" s="90"/>
      <c r="C68" s="90"/>
      <c r="D68" s="90"/>
      <c r="E68" s="90"/>
      <c r="F68" s="90"/>
      <c r="G68" s="90"/>
      <c r="H68" s="289">
        <f ca="1">IF(AND(I65="",I66="",I67="",I68="",I69=""),(Min_Premium-Prem_Current)/Prem_Current,"Error")</f>
        <v>-8.0494064665090861E-2</v>
      </c>
      <c r="I68" s="473" t="str">
        <f>IF(AND(Error00="",Error01="",Error02="",Error03="",Error04="",Error05="",Error06="",Error07="",Error08="",Error09="",Error10="",Error11="",Error12="",Error13="",Error14="",Error15="",Error16="",Error37=""),"","See Column J of Page '1.General' for errors that must be corrected.")</f>
        <v/>
      </c>
    </row>
    <row r="69" spans="1:9" ht="19.5" thickBot="1" x14ac:dyDescent="0.3">
      <c r="A69" s="96" t="s">
        <v>236</v>
      </c>
      <c r="B69" s="140"/>
      <c r="C69" s="140"/>
      <c r="D69" s="140"/>
      <c r="E69" s="140"/>
      <c r="F69" s="140"/>
      <c r="G69" s="140"/>
      <c r="H69" s="288">
        <f ca="1">IF(AND(I65="",I66="",I67="",I68="",I69=""),(Max_Premium-Prem_Current)/Prem_Current, "Error")</f>
        <v>9.837576647324385E-2</v>
      </c>
      <c r="I69" s="471" t="str">
        <f>IF(AND('6.6Ratemaking Data'!Error17="",'6.6Ratemaking Data'!Error18="",'6.6Ratemaking Data'!Error19="",'6.6Ratemaking Data'!Error20="",'6.6Ratemaking Data'!Error21="",'6.6Ratemaking Data'!Error22="",'6.6Ratemaking Data'!Error23="",'6.6Ratemaking Data'!Error24="",'6.6Ratemaking Data'!Error25="",'6.6Ratemaking Data'!Error26="",'6.6Ratemaking Data'!Error27="",'6.6Ratemaking Data'!Error28="",'6.6Ratemaking Data'!Error29=""),"","See Column M of Page '6.6Ratemaking Data' for errors that must be corrected.")</f>
        <v/>
      </c>
    </row>
    <row r="70" spans="1:9" ht="5.0999999999999996" hidden="1" customHeight="1" x14ac:dyDescent="0.25"/>
    <row r="71" spans="1:9" ht="15.75" hidden="1" thickBot="1" x14ac:dyDescent="0.3">
      <c r="A71" s="130" t="s">
        <v>233</v>
      </c>
      <c r="B71" s="285" t="str">
        <f>'6.6Ratemaking Data'!D$14</f>
        <v>20171</v>
      </c>
      <c r="C71" s="285" t="str">
        <f>'6.6Ratemaking Data'!E$14</f>
        <v>20181</v>
      </c>
      <c r="D71" s="285" t="str">
        <f>'6.6Ratemaking Data'!F$14</f>
        <v>20191</v>
      </c>
      <c r="E71" s="285" t="str">
        <f>'6.6Ratemaking Data'!G$14</f>
        <v>20201</v>
      </c>
      <c r="F71" s="285" t="str">
        <f>'6.6Ratemaking Data'!H$14</f>
        <v>20211</v>
      </c>
      <c r="G71" s="285">
        <f>'6.6Ratemaking Data'!I$14</f>
        <v>20221</v>
      </c>
    </row>
    <row r="72" spans="1:9" hidden="1" x14ac:dyDescent="0.25">
      <c r="A72" s="148" t="s">
        <v>232</v>
      </c>
      <c r="B72" s="142"/>
      <c r="C72" s="142"/>
      <c r="D72" s="142"/>
      <c r="E72" s="142"/>
      <c r="F72" s="142"/>
      <c r="G72" s="142"/>
      <c r="H72" s="149" t="str">
        <f>IF(ISBLANK('6.6Ratemaking Data'!J44),"",'6.6Ratemaking Data'!J44)</f>
        <v/>
      </c>
    </row>
    <row r="73" spans="1:9" hidden="1" x14ac:dyDescent="0.25">
      <c r="A73" s="150" t="s">
        <v>219</v>
      </c>
      <c r="B73" s="135" t="str">
        <f>IF(ISBLANK('6.6Ratemaking Data'!D45),"",'6.6Ratemaking Data'!D45)</f>
        <v/>
      </c>
      <c r="C73" s="135" t="str">
        <f>IF(ISBLANK('6.6Ratemaking Data'!E45),"",'6.6Ratemaking Data'!E45)</f>
        <v/>
      </c>
      <c r="D73" s="135" t="str">
        <f>IF(ISBLANK('6.6Ratemaking Data'!F45),"",'6.6Ratemaking Data'!F45)</f>
        <v/>
      </c>
      <c r="E73" s="135" t="str">
        <f>IF(ISBLANK('6.6Ratemaking Data'!G45),"",'6.6Ratemaking Data'!G45)</f>
        <v/>
      </c>
      <c r="F73" s="135" t="str">
        <f>IF(ISBLANK('6.6Ratemaking Data'!H45),"",'6.6Ratemaking Data'!H45)</f>
        <v/>
      </c>
      <c r="G73" s="135" t="str">
        <f>IF(ISBLANK('6.6Ratemaking Data'!I45),"",'6.6Ratemaking Data'!I45)</f>
        <v/>
      </c>
      <c r="H73" s="136" t="str">
        <f ca="1">IF(RIGHT(Detailed_LineCode06,1)="R",IF(New_Program=TRUE,'6.6Ratemaking Data'!$K$45,SUM($B73:$G73)),"")</f>
        <v/>
      </c>
    </row>
    <row r="74" spans="1:9" hidden="1" x14ac:dyDescent="0.25">
      <c r="A74" s="150" t="s">
        <v>220</v>
      </c>
      <c r="B74" s="135" t="str">
        <f>IF(ISBLANK('6.6Ratemaking Data'!D46),"",'6.6Ratemaking Data'!D46)</f>
        <v/>
      </c>
      <c r="C74" s="135" t="str">
        <f>IF(ISBLANK('6.6Ratemaking Data'!E46),"",'6.6Ratemaking Data'!E46)</f>
        <v/>
      </c>
      <c r="D74" s="135" t="str">
        <f>IF(ISBLANK('6.6Ratemaking Data'!F46),"",'6.6Ratemaking Data'!F46)</f>
        <v/>
      </c>
      <c r="E74" s="135" t="str">
        <f>IF(ISBLANK('6.6Ratemaking Data'!G46),"",'6.6Ratemaking Data'!G46)</f>
        <v/>
      </c>
      <c r="F74" s="135" t="str">
        <f>IF(ISBLANK('6.6Ratemaking Data'!H46),"",'6.6Ratemaking Data'!H46)</f>
        <v/>
      </c>
      <c r="G74" s="135" t="str">
        <f>IF(ISBLANK('6.6Ratemaking Data'!I46),"",'6.6Ratemaking Data'!I46)</f>
        <v/>
      </c>
      <c r="H74" s="136">
        <f>IF(New_Program=TRUE,'6.6Ratemaking Data'!$K$46,SUM($B74:$G74))</f>
        <v>0</v>
      </c>
    </row>
    <row r="75" spans="1:9" hidden="1" x14ac:dyDescent="0.25">
      <c r="A75" s="150" t="s">
        <v>221</v>
      </c>
      <c r="B75" s="578" t="str">
        <f t="shared" ref="B75:H75" si="9">IF(ISERROR(Rein_Prem/Exposures_Earned),"",Rein_Prem/Exposures_Earned)</f>
        <v/>
      </c>
      <c r="C75" s="578" t="str">
        <f t="shared" si="9"/>
        <v/>
      </c>
      <c r="D75" s="578" t="str">
        <f t="shared" si="9"/>
        <v/>
      </c>
      <c r="E75" s="578" t="str">
        <f t="shared" si="9"/>
        <v/>
      </c>
      <c r="F75" s="578" t="str">
        <f t="shared" si="9"/>
        <v/>
      </c>
      <c r="G75" s="578" t="str">
        <f t="shared" si="9"/>
        <v/>
      </c>
      <c r="H75" s="577" t="str">
        <f t="shared" ca="1" si="9"/>
        <v/>
      </c>
    </row>
    <row r="76" spans="1:9" hidden="1" x14ac:dyDescent="0.25">
      <c r="A76" s="150" t="s">
        <v>222</v>
      </c>
      <c r="B76" s="578" t="str">
        <f t="shared" ref="B76:H76" si="10">IF(ISERROR(Rein_Recov/Exposures_Earned),"",Rein_Recov/Exposures_Earned)</f>
        <v/>
      </c>
      <c r="C76" s="578" t="str">
        <f t="shared" si="10"/>
        <v/>
      </c>
      <c r="D76" s="578" t="str">
        <f t="shared" si="10"/>
        <v/>
      </c>
      <c r="E76" s="578" t="str">
        <f t="shared" si="10"/>
        <v/>
      </c>
      <c r="F76" s="578" t="str">
        <f t="shared" si="10"/>
        <v/>
      </c>
      <c r="G76" s="578" t="str">
        <f t="shared" si="10"/>
        <v/>
      </c>
      <c r="H76" s="577">
        <f t="shared" si="10"/>
        <v>0</v>
      </c>
    </row>
    <row r="77" spans="1:9" hidden="1" x14ac:dyDescent="0.25">
      <c r="A77" s="150" t="s">
        <v>223</v>
      </c>
      <c r="B77" s="578" t="str">
        <f t="shared" ref="B77:H77" ca="1" si="11">IF(ISERROR((TCRLP_perExp*(1+Comp_Trend)*Max_Denom+Anc_Inc_perExp-ReinPrem_perExp*Max_Denom/(1-Comm_Rate-PremTaxRate))/(1-InvInc_Fixed)),"",(TCRLP_perExp*(1+Comp_Trend)*Max_Denom+Anc_Inc_perExp-ReinPrem_perExp*Max_Denom/(1-Comm_Rate-PremTaxRate))/(1-InvInc_Fixed))</f>
        <v/>
      </c>
      <c r="C77" s="578" t="str">
        <f t="shared" ca="1" si="11"/>
        <v/>
      </c>
      <c r="D77" s="578" t="str">
        <f t="shared" ca="1" si="11"/>
        <v/>
      </c>
      <c r="E77" s="578" t="str">
        <f t="shared" ca="1" si="11"/>
        <v/>
      </c>
      <c r="F77" s="578" t="str">
        <f t="shared" ca="1" si="11"/>
        <v/>
      </c>
      <c r="G77" s="578" t="str">
        <f t="shared" ca="1" si="11"/>
        <v/>
      </c>
      <c r="H77" s="577" t="str">
        <f t="shared" ca="1" si="11"/>
        <v/>
      </c>
    </row>
    <row r="78" spans="1:9" ht="15.75" hidden="1" thickBot="1" x14ac:dyDescent="0.3">
      <c r="A78" s="150" t="s">
        <v>224</v>
      </c>
      <c r="B78" s="90"/>
      <c r="C78" s="90"/>
      <c r="D78" s="90"/>
      <c r="E78" s="90"/>
      <c r="F78" s="90"/>
      <c r="G78" s="90"/>
      <c r="H78" s="577" t="e">
        <f ca="1">IF(H73=0,NA(),((((Credibility*(LossDCCE_perExp-ReinRec_perExp))+(1-Credibility)*CompLoss_Rein)*(1-InvInc_Fixed)-Anc_Inc_perExp)/Max_Denom)+ReinPrem_perExp/(1-Comm_Rate-PremTaxRate))</f>
        <v>#VALUE!</v>
      </c>
      <c r="I78" s="473"/>
    </row>
    <row r="79" spans="1:9" ht="19.5" hidden="1" thickBot="1" x14ac:dyDescent="0.3">
      <c r="A79" s="151" t="s">
        <v>225</v>
      </c>
      <c r="B79" s="140"/>
      <c r="C79" s="140"/>
      <c r="D79" s="140"/>
      <c r="E79" s="140"/>
      <c r="F79" s="140"/>
      <c r="G79" s="140"/>
      <c r="H79" s="485" t="e">
        <f ca="1">IF(I79="",IF($H$73=0,NA(),(ReinMax_Premium-Prem_Current)/Prem_Current),"Error")</f>
        <v>#VALUE!</v>
      </c>
      <c r="I79" s="471" t="str">
        <f>IF(AND('6.6Ratemaking Data'!Error30="",'6.6Ratemaking Data'!Error31="",'6.6Ratemaking Data'!Error32=""),"","See Column M of Page '6.6Ratemaking Data' for errors that must be corrected.")</f>
        <v/>
      </c>
    </row>
    <row r="80" spans="1:9" ht="26.25" x14ac:dyDescent="0.25">
      <c r="F80" s="787" t="s">
        <v>619</v>
      </c>
      <c r="G80" s="787"/>
      <c r="H80" s="787"/>
    </row>
    <row r="81" spans="1:1" x14ac:dyDescent="0.25">
      <c r="A81" s="152"/>
    </row>
  </sheetData>
  <sheetProtection algorithmName="SHA-512" hashValue="rZXyKoQ/qh/xB9xirak9ahVJ+EuB2ikBEXChvBmdE55z1EPwfKDLS7HxJj9fxFiVBBJlxlAM02UUIZPfMyS8pA==" saltValue="9+2je5Icztt1sJdYmE1L3Q==" spinCount="100000" sheet="1" objects="1" scenarios="1" formatColumns="0" formatRows="0" sort="0"/>
  <mergeCells count="1">
    <mergeCell ref="F80:H80"/>
  </mergeCells>
  <conditionalFormatting sqref="H79">
    <cfRule type="cellIs" dxfId="9" priority="2" operator="equal">
      <formula>"Error"</formula>
    </cfRule>
  </conditionalFormatting>
  <conditionalFormatting sqref="H68:H69">
    <cfRule type="cellIs" dxfId="8" priority="1" operator="equal">
      <formula>"Error"</formula>
    </cfRule>
  </conditionalFormatting>
  <hyperlinks>
    <hyperlink ref="F80" location="'Ratemaking Data (7)'!A1" display="Go to Ratemaking Data (7)" xr:uid="{00000000-0004-0000-1900-000000000000}"/>
    <hyperlink ref="F80:H80" location="'6.6Ratemaking Data'!A1" display="Go to 6.6Ratemaking Data" xr:uid="{00000000-0004-0000-1900-000001000000}"/>
  </hyperlinks>
  <printOptions horizontalCentered="1"/>
  <pageMargins left="0.45" right="0.45" top="0.5" bottom="0.5" header="0.3" footer="0.3"/>
  <pageSetup scale="72" orientation="portrait" r:id="rId1"/>
  <headerFooter>
    <oddFooter>&amp;CPrior Approval Rate Template&amp;RPage 7.6&amp;L01/11/2022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3491" r:id="rId4" name="btnYears">
              <controlPr defaultSize="0" print="0" autoFill="0" autoPict="0" macro="[0]!ExpandContractColsData">
                <anchor moveWithCells="1">
                  <from>
                    <xdr:col>5</xdr:col>
                    <xdr:colOff>19050</xdr:colOff>
                    <xdr:row>6</xdr:row>
                    <xdr:rowOff>0</xdr:rowOff>
                  </from>
                  <to>
                    <xdr:col>6</xdr:col>
                    <xdr:colOff>733425</xdr:colOff>
                    <xdr:row>8</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36">
    <tabColor theme="0" tint="-0.14999847407452621"/>
    <pageSetUpPr fitToPage="1"/>
  </sheetPr>
  <dimension ref="A1:J81"/>
  <sheetViews>
    <sheetView view="pageBreakPreview" topLeftCell="A58" zoomScaleNormal="100" zoomScaleSheetLayoutView="100" workbookViewId="0">
      <selection activeCell="C27" sqref="C27"/>
    </sheetView>
  </sheetViews>
  <sheetFormatPr defaultRowHeight="15" x14ac:dyDescent="0.25"/>
  <cols>
    <col min="1" max="1" width="28.28515625" style="14" customWidth="1"/>
    <col min="2" max="4" width="15.7109375" style="14" customWidth="1"/>
    <col min="5" max="8" width="17.42578125" style="14" customWidth="1"/>
    <col min="9" max="9" width="22.5703125" style="14" bestFit="1" customWidth="1"/>
    <col min="10" max="16384" width="9.140625" style="14"/>
  </cols>
  <sheetData>
    <row r="1" spans="1:8" x14ac:dyDescent="0.25">
      <c r="A1" s="10" t="s">
        <v>31</v>
      </c>
      <c r="E1" s="124" t="s">
        <v>33</v>
      </c>
      <c r="H1" s="125" t="str">
        <f>Co_Name</f>
        <v>State Farm Mutual Automobile Insurance Company</v>
      </c>
    </row>
    <row r="2" spans="1:8" x14ac:dyDescent="0.25">
      <c r="A2" s="8" t="s">
        <v>32</v>
      </c>
      <c r="E2" s="124" t="s">
        <v>34</v>
      </c>
      <c r="H2" s="125" t="str">
        <f>General_Line</f>
        <v>Auto Liability and Physical Damage</v>
      </c>
    </row>
    <row r="3" spans="1:8" x14ac:dyDescent="0.25">
      <c r="E3" s="181" t="s">
        <v>142</v>
      </c>
      <c r="F3" s="182"/>
      <c r="G3" s="182"/>
      <c r="H3" s="188" t="str">
        <f>CDI_FileNo</f>
        <v/>
      </c>
    </row>
    <row r="4" spans="1:8" ht="18" customHeight="1" x14ac:dyDescent="0.25">
      <c r="A4" s="607" t="str">
        <f>IF('6.7Ratemaking Data'!$K$7="","VARIANCE - NONE","VARIANCE "&amp;'6.7Ratemaking Data'!$K$7)</f>
        <v>VARIANCE - NONE</v>
      </c>
    </row>
    <row r="5" spans="1:8" ht="23.25" x14ac:dyDescent="0.25">
      <c r="A5" s="4" t="s">
        <v>665</v>
      </c>
      <c r="B5" s="123"/>
      <c r="C5" s="123"/>
      <c r="D5" s="123"/>
      <c r="E5" s="123"/>
      <c r="F5" s="123"/>
      <c r="G5" s="123"/>
      <c r="H5" s="123"/>
    </row>
    <row r="6" spans="1:8" ht="9.9499999999999993" customHeight="1" x14ac:dyDescent="0.25"/>
    <row r="7" spans="1:8" ht="15" customHeight="1" x14ac:dyDescent="0.25">
      <c r="A7" s="14" t="s">
        <v>1</v>
      </c>
      <c r="H7" s="28" t="str">
        <f>Completed_By</f>
        <v>Laura Campbell</v>
      </c>
    </row>
    <row r="8" spans="1:8" ht="15" customHeight="1" x14ac:dyDescent="0.25">
      <c r="A8" s="14" t="s">
        <v>76</v>
      </c>
      <c r="H8" s="189">
        <f>Completed_Date</f>
        <v>44816</v>
      </c>
    </row>
    <row r="9" spans="1:8" ht="15" customHeight="1" x14ac:dyDescent="0.25">
      <c r="A9" s="14" t="s">
        <v>169</v>
      </c>
      <c r="H9" s="189">
        <f>EffDate_Prior07</f>
        <v>44088</v>
      </c>
    </row>
    <row r="10" spans="1:8" ht="15" customHeight="1" x14ac:dyDescent="0.25">
      <c r="A10" s="14" t="s">
        <v>170</v>
      </c>
      <c r="B10" s="62"/>
      <c r="H10" s="189">
        <f>EffDate_Proposed</f>
        <v>45061</v>
      </c>
    </row>
    <row r="11" spans="1:8" ht="15" customHeight="1" x14ac:dyDescent="0.25">
      <c r="A11" s="14" t="s">
        <v>77</v>
      </c>
      <c r="B11" s="62"/>
      <c r="H11" s="28" t="str">
        <f>Detailed_LineDesc07</f>
        <v>Private Passenger Auto Liability</v>
      </c>
    </row>
    <row r="12" spans="1:8" ht="15" customHeight="1" x14ac:dyDescent="0.25">
      <c r="A12" s="14" t="s">
        <v>78</v>
      </c>
      <c r="B12" s="62"/>
      <c r="H12" s="28" t="str">
        <f>Covg07</f>
        <v>Misc. Liability</v>
      </c>
    </row>
    <row r="13" spans="1:8" ht="15" customHeight="1" x14ac:dyDescent="0.25">
      <c r="H13" s="608"/>
    </row>
    <row r="14" spans="1:8" ht="9.9499999999999993" customHeight="1" x14ac:dyDescent="0.25"/>
    <row r="15" spans="1:8" ht="15.75" thickBot="1" x14ac:dyDescent="0.3">
      <c r="A15" s="130" t="s">
        <v>171</v>
      </c>
      <c r="B15" s="285" t="str">
        <f>'6.7Ratemaking Data'!D$14</f>
        <v>20171</v>
      </c>
      <c r="C15" s="285" t="str">
        <f>'6.7Ratemaking Data'!E$14</f>
        <v>20181</v>
      </c>
      <c r="D15" s="285" t="str">
        <f>'6.7Ratemaking Data'!F$14</f>
        <v>20191</v>
      </c>
      <c r="E15" s="285" t="str">
        <f>'6.7Ratemaking Data'!G$14</f>
        <v>20201</v>
      </c>
      <c r="F15" s="285" t="str">
        <f>'6.7Ratemaking Data'!H$14</f>
        <v>20211</v>
      </c>
      <c r="G15" s="285">
        <f>'6.7Ratemaking Data'!I$14</f>
        <v>20221</v>
      </c>
      <c r="H15" s="105" t="s">
        <v>306</v>
      </c>
    </row>
    <row r="16" spans="1:8" x14ac:dyDescent="0.25">
      <c r="A16" s="131" t="s">
        <v>173</v>
      </c>
      <c r="B16" s="132">
        <f>IF(ISBLANK('6.7Ratemaking Data'!D15),"",'6.7Ratemaking Data'!D15)</f>
        <v>1076407.5899999999</v>
      </c>
      <c r="C16" s="132">
        <f>IF(ISBLANK('6.7Ratemaking Data'!E15),"",'6.7Ratemaking Data'!E15)</f>
        <v>924937.36</v>
      </c>
      <c r="D16" s="132">
        <f>IF(ISBLANK('6.7Ratemaking Data'!F15),"",'6.7Ratemaking Data'!F15)</f>
        <v>812748.6399999999</v>
      </c>
      <c r="E16" s="132">
        <f>IF(ISBLANK('6.7Ratemaking Data'!G15),"",'6.7Ratemaking Data'!G15)</f>
        <v>798511.04</v>
      </c>
      <c r="F16" s="132">
        <f>IF(ISBLANK('6.7Ratemaking Data'!H15),"",'6.7Ratemaking Data'!H15)</f>
        <v>745187.75</v>
      </c>
      <c r="G16" s="132">
        <f>IF(ISBLANK('6.7Ratemaking Data'!I15),"",'6.7Ratemaking Data'!I15)</f>
        <v>701871.88000000012</v>
      </c>
      <c r="H16" s="133">
        <f>IF(New_Program=TRUE,'6.7Ratemaking Data'!$K$15,SUM($B16:$G16))</f>
        <v>5059664.26</v>
      </c>
    </row>
    <row r="17" spans="1:10" x14ac:dyDescent="0.25">
      <c r="A17" s="134" t="s">
        <v>172</v>
      </c>
      <c r="B17" s="135">
        <f>IF(ISBLANK('6.7Ratemaking Data'!D16),"",'6.7Ratemaking Data'!D16)</f>
        <v>1105311.5300000003</v>
      </c>
      <c r="C17" s="135">
        <f>IF(ISBLANK('6.7Ratemaking Data'!E16),"",'6.7Ratemaking Data'!E16)</f>
        <v>983067.04</v>
      </c>
      <c r="D17" s="135">
        <f>IF(ISBLANK('6.7Ratemaking Data'!F16),"",'6.7Ratemaking Data'!F16)</f>
        <v>822968.33</v>
      </c>
      <c r="E17" s="135">
        <f>IF(ISBLANK('6.7Ratemaking Data'!G16),"",'6.7Ratemaking Data'!G16)</f>
        <v>799640.84000000008</v>
      </c>
      <c r="F17" s="135">
        <f>IF(ISBLANK('6.7Ratemaking Data'!H16),"",'6.7Ratemaking Data'!H16)</f>
        <v>771394.87</v>
      </c>
      <c r="G17" s="135">
        <f>IF(ISBLANK('6.7Ratemaking Data'!I16),"",'6.7Ratemaking Data'!I16)</f>
        <v>699842.82000000007</v>
      </c>
      <c r="H17" s="136">
        <f>IF(New_Program=TRUE,'6.7Ratemaking Data'!$K$16,SUM($B17:$G17))</f>
        <v>5182225.4300000006</v>
      </c>
    </row>
    <row r="18" spans="1:10" x14ac:dyDescent="0.25">
      <c r="A18" s="134" t="s">
        <v>174</v>
      </c>
      <c r="B18" s="137">
        <f>IF(ISBLANK('6.7Ratemaking Data'!D17),"",'6.7Ratemaking Data'!D17)</f>
        <v>0.64128465844580385</v>
      </c>
      <c r="C18" s="137">
        <f>IF(ISBLANK('6.7Ratemaking Data'!E17),"",'6.7Ratemaking Data'!E17)</f>
        <v>0.71780748714105225</v>
      </c>
      <c r="D18" s="137">
        <f>IF(ISBLANK('6.7Ratemaking Data'!F17),"",'6.7Ratemaking Data'!F17)</f>
        <v>0.83815609297115579</v>
      </c>
      <c r="E18" s="137">
        <f>IF(ISBLANK('6.7Ratemaking Data'!G17),"",'6.7Ratemaking Data'!G17)</f>
        <v>0.85634838408445069</v>
      </c>
      <c r="F18" s="137">
        <f>IF(ISBLANK('6.7Ratemaking Data'!H17),"",'6.7Ratemaking Data'!H17)</f>
        <v>0.8953035105503131</v>
      </c>
      <c r="G18" s="137">
        <f>IF(ISBLANK('6.7Ratemaking Data'!I17),"",'6.7Ratemaking Data'!I17)</f>
        <v>1</v>
      </c>
      <c r="H18" s="138"/>
    </row>
    <row r="19" spans="1:10" x14ac:dyDescent="0.25">
      <c r="A19" s="134" t="s">
        <v>175</v>
      </c>
      <c r="B19" s="137">
        <f>IF(ISBLANK('6.7Ratemaking Data'!D18),"",'6.7Ratemaking Data'!D18)</f>
        <v>1.0524243420645187</v>
      </c>
      <c r="C19" s="137">
        <f>IF(ISBLANK('6.7Ratemaking Data'!E18),"",'6.7Ratemaking Data'!E18)</f>
        <v>1.0450331638561283</v>
      </c>
      <c r="D19" s="137">
        <f>IF(ISBLANK('6.7Ratemaking Data'!F18),"",'6.7Ratemaking Data'!F18)</f>
        <v>1.0376938939067211</v>
      </c>
      <c r="E19" s="137">
        <f>IF(ISBLANK('6.7Ratemaking Data'!G18),"",'6.7Ratemaking Data'!G18)</f>
        <v>1.0304061676644931</v>
      </c>
      <c r="F19" s="137">
        <f>IF(ISBLANK('6.7Ratemaking Data'!H18),"",'6.7Ratemaking Data'!H18)</f>
        <v>1.023169623137888</v>
      </c>
      <c r="G19" s="137">
        <f>IF(ISBLANK('6.7Ratemaking Data'!I18),"",'6.7Ratemaking Data'!I18)</f>
        <v>1.0159839008776173</v>
      </c>
      <c r="H19" s="144">
        <f>IF(New_Program=TRUE,0,'6.7Ratemaking Data'!$J$18)</f>
        <v>7.0726733504966601E-3</v>
      </c>
    </row>
    <row r="20" spans="1:10" x14ac:dyDescent="0.25">
      <c r="A20" s="134" t="s">
        <v>176</v>
      </c>
      <c r="B20" s="135">
        <f>IF(ISBLANK('6.7Ratemaking Data'!D19),"",'6.7Ratemaking Data'!D19)</f>
        <v>0</v>
      </c>
      <c r="C20" s="135">
        <f>IF(ISBLANK('6.7Ratemaking Data'!E19),"",'6.7Ratemaking Data'!E19)</f>
        <v>0</v>
      </c>
      <c r="D20" s="135">
        <f>IF(ISBLANK('6.7Ratemaking Data'!F19),"",'6.7Ratemaking Data'!F19)</f>
        <v>0</v>
      </c>
      <c r="E20" s="135">
        <f>IF(ISBLANK('6.7Ratemaking Data'!G19),"",'6.7Ratemaking Data'!G19)</f>
        <v>0</v>
      </c>
      <c r="F20" s="135">
        <f>IF(ISBLANK('6.7Ratemaking Data'!H19),"",'6.7Ratemaking Data'!H19)</f>
        <v>0</v>
      </c>
      <c r="G20" s="135">
        <f>IF(ISBLANK('6.7Ratemaking Data'!I19),"",'6.7Ratemaking Data'!I19)</f>
        <v>0</v>
      </c>
      <c r="H20" s="136">
        <f>IF(New_Program=TRUE,'6.7Ratemaking Data'!$K$19,SUM($B20:$G20))</f>
        <v>0</v>
      </c>
    </row>
    <row r="21" spans="1:10" x14ac:dyDescent="0.25">
      <c r="A21" s="134" t="s">
        <v>177</v>
      </c>
      <c r="B21" s="135">
        <f>IF(ISBLANK('6.7Ratemaking Data'!D20),"",'6.7Ratemaking Data'!D20)</f>
        <v>234041</v>
      </c>
      <c r="C21" s="135">
        <f>IF(ISBLANK('6.7Ratemaking Data'!E20),"",'6.7Ratemaking Data'!E20)</f>
        <v>231421</v>
      </c>
      <c r="D21" s="135">
        <f>IF(ISBLANK('6.7Ratemaking Data'!F20),"",'6.7Ratemaking Data'!F20)</f>
        <v>224715</v>
      </c>
      <c r="E21" s="135">
        <f>IF(ISBLANK('6.7Ratemaking Data'!G20),"",'6.7Ratemaking Data'!G20)</f>
        <v>220896</v>
      </c>
      <c r="F21" s="135">
        <f>IF(ISBLANK('6.7Ratemaking Data'!H20),"",'6.7Ratemaking Data'!H20)</f>
        <v>221150</v>
      </c>
      <c r="G21" s="135">
        <f>IF(ISBLANK('6.7Ratemaking Data'!I20),"",'6.7Ratemaking Data'!I20)</f>
        <v>223752</v>
      </c>
      <c r="H21" s="136">
        <f>IF(New_Program=TRUE,'6.7Ratemaking Data'!$K$20,SUM($B21:$G21))</f>
        <v>1355975</v>
      </c>
      <c r="J21" s="126"/>
    </row>
    <row r="22" spans="1:10" x14ac:dyDescent="0.25">
      <c r="A22" s="134" t="s">
        <v>178</v>
      </c>
      <c r="B22" s="135">
        <f>IF(ISBLANK('6.7Ratemaking Data'!D21),"",'6.7Ratemaking Data'!D21)</f>
        <v>353150</v>
      </c>
      <c r="C22" s="135">
        <f>IF(ISBLANK('6.7Ratemaking Data'!E21),"",'6.7Ratemaking Data'!E21)</f>
        <v>409684.12</v>
      </c>
      <c r="D22" s="135">
        <f>IF(ISBLANK('6.7Ratemaking Data'!F21),"",'6.7Ratemaking Data'!F21)</f>
        <v>469221.42</v>
      </c>
      <c r="E22" s="135">
        <f>IF(ISBLANK('6.7Ratemaking Data'!G21),"",'6.7Ratemaking Data'!G21)</f>
        <v>382200</v>
      </c>
      <c r="F22" s="135">
        <f>IF(ISBLANK('6.7Ratemaking Data'!H21),"",'6.7Ratemaking Data'!H21)</f>
        <v>210500</v>
      </c>
      <c r="G22" s="135">
        <f>IF(ISBLANK('6.7Ratemaking Data'!I21),"",'6.7Ratemaking Data'!I21)</f>
        <v>184435</v>
      </c>
      <c r="H22" s="136">
        <f>IF(New_Program=TRUE,'6.7Ratemaking Data'!$K$21,SUM($B22:$G22))</f>
        <v>2009190.54</v>
      </c>
      <c r="J22" s="126"/>
    </row>
    <row r="23" spans="1:10" x14ac:dyDescent="0.25">
      <c r="A23" s="134" t="s">
        <v>144</v>
      </c>
      <c r="B23" s="135">
        <f>IF(ISBLANK('6.7Ratemaking Data'!D22),"",'6.7Ratemaking Data'!D22)</f>
        <v>0</v>
      </c>
      <c r="C23" s="135">
        <f>IF(ISBLANK('6.7Ratemaking Data'!E22),"",'6.7Ratemaking Data'!E22)</f>
        <v>8</v>
      </c>
      <c r="D23" s="135">
        <f>IF(ISBLANK('6.7Ratemaking Data'!F22),"",'6.7Ratemaking Data'!F22)</f>
        <v>7973.9999999999991</v>
      </c>
      <c r="E23" s="135">
        <f>IF(ISBLANK('6.7Ratemaking Data'!G22),"",'6.7Ratemaking Data'!G22)</f>
        <v>24.9</v>
      </c>
      <c r="F23" s="135">
        <f>IF(ISBLANK('6.7Ratemaking Data'!H22),"",'6.7Ratemaking Data'!H22)</f>
        <v>0</v>
      </c>
      <c r="G23" s="135">
        <f>IF(ISBLANK('6.7Ratemaking Data'!I22),"",'6.7Ratemaking Data'!I22)</f>
        <v>35</v>
      </c>
      <c r="H23" s="136">
        <f>IF(New_Program=TRUE,'6.7Ratemaking Data'!$K$22,SUM($B23:$G23))</f>
        <v>8041.8999999999987</v>
      </c>
      <c r="J23" s="126"/>
    </row>
    <row r="24" spans="1:10" x14ac:dyDescent="0.25">
      <c r="A24" s="134" t="s">
        <v>181</v>
      </c>
      <c r="B24" s="137">
        <f>IF(ISBLANK('6.7Ratemaking Data'!D23),"",'6.7Ratemaking Data'!D23)</f>
        <v>1</v>
      </c>
      <c r="C24" s="137">
        <f>IF(ISBLANK('6.7Ratemaking Data'!E23),"",'6.7Ratemaking Data'!E23)</f>
        <v>1</v>
      </c>
      <c r="D24" s="137">
        <f>IF(ISBLANK('6.7Ratemaking Data'!F23),"",'6.7Ratemaking Data'!F23)</f>
        <v>1.0151333229240529</v>
      </c>
      <c r="E24" s="137">
        <f>IF(ISBLANK('6.7Ratemaking Data'!G23),"",'6.7Ratemaking Data'!G23)</f>
        <v>1.0151333229240529</v>
      </c>
      <c r="F24" s="137">
        <f>IF(ISBLANK('6.7Ratemaking Data'!H23),"",'6.7Ratemaking Data'!H23)</f>
        <v>1.0390046358676026</v>
      </c>
      <c r="G24" s="137">
        <f>IF(ISBLANK('6.7Ratemaking Data'!I23),"",'6.7Ratemaking Data'!I23)</f>
        <v>1.0695732887503766</v>
      </c>
      <c r="H24" s="138"/>
    </row>
    <row r="25" spans="1:10" x14ac:dyDescent="0.25">
      <c r="A25" s="134" t="s">
        <v>182</v>
      </c>
      <c r="B25" s="137">
        <f>IF(ISBLANK('6.7Ratemaking Data'!D24),"",'6.7Ratemaking Data'!D24)</f>
        <v>1</v>
      </c>
      <c r="C25" s="137">
        <f>IF(ISBLANK('6.7Ratemaking Data'!E24),"",'6.7Ratemaking Data'!E24)</f>
        <v>1</v>
      </c>
      <c r="D25" s="137">
        <f>IF(ISBLANK('6.7Ratemaking Data'!F24),"",'6.7Ratemaking Data'!F24)</f>
        <v>1</v>
      </c>
      <c r="E25" s="137">
        <f>IF(ISBLANK('6.7Ratemaking Data'!G24),"",'6.7Ratemaking Data'!G24)</f>
        <v>1</v>
      </c>
      <c r="F25" s="137">
        <f>IF(ISBLANK('6.7Ratemaking Data'!H24),"",'6.7Ratemaking Data'!H24)</f>
        <v>1.0010001375189088</v>
      </c>
      <c r="G25" s="137">
        <f>IF(ISBLANK('6.7Ratemaking Data'!I24),"",'6.7Ratemaking Data'!I24)</f>
        <v>1.0846518558656189</v>
      </c>
      <c r="H25" s="138"/>
    </row>
    <row r="26" spans="1:10" x14ac:dyDescent="0.25">
      <c r="A26" s="134" t="s">
        <v>179</v>
      </c>
      <c r="B26" s="137">
        <f>IF(ISBLANK('6.7Ratemaking Data'!D25),"",'6.7Ratemaking Data'!D25)</f>
        <v>0.84069682437807203</v>
      </c>
      <c r="C26" s="137">
        <f>IF(ISBLANK('6.7Ratemaking Data'!E25),"",'6.7Ratemaking Data'!E25)</f>
        <v>0.8610611036867204</v>
      </c>
      <c r="D26" s="137">
        <f>IF(ISBLANK('6.7Ratemaking Data'!F25),"",'6.7Ratemaking Data'!F25)</f>
        <v>0.88191866887410097</v>
      </c>
      <c r="E26" s="137">
        <f>IF(ISBLANK('6.7Ratemaking Data'!G25),"",'6.7Ratemaking Data'!G25)</f>
        <v>0.90328146885107219</v>
      </c>
      <c r="F26" s="137">
        <f>IF(ISBLANK('6.7Ratemaking Data'!H25),"",'6.7Ratemaking Data'!H25)</f>
        <v>0.92516174196809908</v>
      </c>
      <c r="G26" s="137">
        <f>IF(ISBLANK('6.7Ratemaking Data'!I25),"",'6.7Ratemaking Data'!I25)</f>
        <v>0.94757202302637678</v>
      </c>
      <c r="H26" s="144">
        <f>IF(New_Program=TRUE,0,'6.7Ratemaking Data'!$J$25)</f>
        <v>-2.3650213929600001E-2</v>
      </c>
    </row>
    <row r="27" spans="1:10" x14ac:dyDescent="0.25">
      <c r="A27" s="134" t="s">
        <v>180</v>
      </c>
      <c r="B27" s="137">
        <f>IF(ISBLANK('6.7Ratemaking Data'!D26),"",'6.7Ratemaking Data'!D26)</f>
        <v>0.84069682437807203</v>
      </c>
      <c r="C27" s="137">
        <f>IF(ISBLANK('6.7Ratemaking Data'!E26),"",'6.7Ratemaking Data'!E26)</f>
        <v>0.8610611036867204</v>
      </c>
      <c r="D27" s="137">
        <f>IF(ISBLANK('6.7Ratemaking Data'!F26),"",'6.7Ratemaking Data'!F26)</f>
        <v>0.88191866887410097</v>
      </c>
      <c r="E27" s="137">
        <f>IF(ISBLANK('6.7Ratemaking Data'!G26),"",'6.7Ratemaking Data'!G26)</f>
        <v>0.90328146885107219</v>
      </c>
      <c r="F27" s="137">
        <f>IF(ISBLANK('6.7Ratemaking Data'!H26),"",'6.7Ratemaking Data'!H26)</f>
        <v>0.92516174196809908</v>
      </c>
      <c r="G27" s="137">
        <f>IF(ISBLANK('6.7Ratemaking Data'!I26),"",'6.7Ratemaking Data'!I26)</f>
        <v>0.94757202302637678</v>
      </c>
      <c r="H27" s="144">
        <f>IF(New_Program=TRUE,0,'6.7Ratemaking Data'!$J$26)</f>
        <v>-2.3650213929600001E-2</v>
      </c>
    </row>
    <row r="28" spans="1:10" x14ac:dyDescent="0.25">
      <c r="A28" s="134" t="s">
        <v>183</v>
      </c>
      <c r="B28" s="137">
        <f>IF(ISBLANK('6.7Ratemaking Data'!D27),"",'6.7Ratemaking Data'!D27)</f>
        <v>1</v>
      </c>
      <c r="C28" s="137">
        <f>IF(ISBLANK('6.7Ratemaking Data'!E27),"",'6.7Ratemaking Data'!E27)</f>
        <v>1</v>
      </c>
      <c r="D28" s="137">
        <f>IF(ISBLANK('6.7Ratemaking Data'!F27),"",'6.7Ratemaking Data'!F27)</f>
        <v>1</v>
      </c>
      <c r="E28" s="137">
        <f>IF(ISBLANK('6.7Ratemaking Data'!G27),"",'6.7Ratemaking Data'!G27)</f>
        <v>1</v>
      </c>
      <c r="F28" s="137">
        <f>IF(ISBLANK('6.7Ratemaking Data'!H27),"",'6.7Ratemaking Data'!H27)</f>
        <v>1</v>
      </c>
      <c r="G28" s="137">
        <f>IF(ISBLANK('6.7Ratemaking Data'!I27),"",'6.7Ratemaking Data'!I27)</f>
        <v>1</v>
      </c>
      <c r="H28" s="138"/>
    </row>
    <row r="29" spans="1:10" ht="15.75" thickBot="1" x14ac:dyDescent="0.3">
      <c r="A29" s="153" t="s">
        <v>188</v>
      </c>
      <c r="B29" s="154">
        <f>IF(ISBLANK('6.7Ratemaking Data'!D29),"",'6.7Ratemaking Data'!D29)</f>
        <v>0</v>
      </c>
      <c r="C29" s="154">
        <f>IF(ISBLANK('6.7Ratemaking Data'!E29),"",'6.7Ratemaking Data'!E29)</f>
        <v>0</v>
      </c>
      <c r="D29" s="154">
        <f>IF(ISBLANK('6.7Ratemaking Data'!F29),"",'6.7Ratemaking Data'!F29)</f>
        <v>0</v>
      </c>
      <c r="E29" s="154">
        <f>IF(ISBLANK('6.7Ratemaking Data'!G29),"",'6.7Ratemaking Data'!G29)</f>
        <v>0</v>
      </c>
      <c r="F29" s="154">
        <f>IF(ISBLANK('6.7Ratemaking Data'!H29),"",'6.7Ratemaking Data'!H29)</f>
        <v>0</v>
      </c>
      <c r="G29" s="154">
        <f>IF(ISBLANK('6.7Ratemaking Data'!I29),"",'6.7Ratemaking Data'!I29)</f>
        <v>0</v>
      </c>
      <c r="H29" s="155">
        <f>IF(New_Program=TRUE,'6.7Ratemaking Data'!$K$29,SUM($B29:$G29))</f>
        <v>0</v>
      </c>
    </row>
    <row r="30" spans="1:10" ht="15.75" thickTop="1" x14ac:dyDescent="0.25">
      <c r="A30" s="134" t="s">
        <v>184</v>
      </c>
      <c r="B30" s="139"/>
      <c r="C30" s="139"/>
      <c r="D30" s="139"/>
      <c r="E30" s="139"/>
      <c r="F30" s="139"/>
      <c r="G30" s="139"/>
      <c r="H30" s="144">
        <f>IF(New_Program=TRUE,100%,'6.7Ratemaking Data'!$J$28)</f>
        <v>0.23452078799117149</v>
      </c>
    </row>
    <row r="31" spans="1:10" x14ac:dyDescent="0.25">
      <c r="A31" s="134" t="s">
        <v>185</v>
      </c>
      <c r="B31" s="139"/>
      <c r="C31" s="139"/>
      <c r="D31" s="139"/>
      <c r="E31" s="139"/>
      <c r="F31" s="139"/>
      <c r="G31" s="139"/>
      <c r="H31" s="144">
        <f>ExpRatio_Excluded</f>
        <v>1.3597266477453115E-2</v>
      </c>
    </row>
    <row r="32" spans="1:10" x14ac:dyDescent="0.25">
      <c r="A32" s="134" t="s">
        <v>166</v>
      </c>
      <c r="B32" s="139"/>
      <c r="C32" s="139"/>
      <c r="D32" s="139"/>
      <c r="E32" s="139"/>
      <c r="F32" s="139"/>
      <c r="G32" s="139"/>
      <c r="H32" s="144">
        <f>FIT_Inv</f>
        <v>0.18752087399665437</v>
      </c>
    </row>
    <row r="33" spans="1:9" ht="15.75" thickBot="1" x14ac:dyDescent="0.3">
      <c r="A33" s="98" t="s">
        <v>165</v>
      </c>
      <c r="B33" s="140"/>
      <c r="C33" s="140"/>
      <c r="D33" s="140"/>
      <c r="E33" s="140"/>
      <c r="F33" s="140"/>
      <c r="G33" s="140"/>
      <c r="H33" s="141">
        <f>Yield</f>
        <v>8.8050065696007235E-2</v>
      </c>
    </row>
    <row r="34" spans="1:9" ht="5.0999999999999996" customHeight="1" x14ac:dyDescent="0.25"/>
    <row r="35" spans="1:9" ht="15.75" thickBot="1" x14ac:dyDescent="0.3">
      <c r="A35" s="130" t="s">
        <v>189</v>
      </c>
      <c r="E35" s="93"/>
      <c r="F35" s="93"/>
      <c r="G35" s="93"/>
    </row>
    <row r="36" spans="1:9" x14ac:dyDescent="0.25">
      <c r="A36" s="131" t="s">
        <v>167</v>
      </c>
      <c r="B36" s="142"/>
      <c r="C36" s="142"/>
      <c r="D36" s="142"/>
      <c r="E36" s="142"/>
      <c r="F36" s="142"/>
      <c r="G36" s="142"/>
      <c r="H36" s="149">
        <f>FIT_UW</f>
        <v>0.21</v>
      </c>
      <c r="I36" s="90"/>
    </row>
    <row r="37" spans="1:9" x14ac:dyDescent="0.25">
      <c r="A37" s="134" t="s">
        <v>190</v>
      </c>
      <c r="B37" s="90"/>
      <c r="C37" s="90"/>
      <c r="D37" s="90"/>
      <c r="E37" s="90"/>
      <c r="F37" s="693" t="s">
        <v>317</v>
      </c>
      <c r="G37" s="694">
        <f>update_effstd</f>
        <v>2020</v>
      </c>
      <c r="H37" s="144">
        <f ca="1">EffStd_Final07</f>
        <v>0.29732485720293622</v>
      </c>
    </row>
    <row r="38" spans="1:9" x14ac:dyDescent="0.25">
      <c r="A38" s="134" t="s">
        <v>191</v>
      </c>
      <c r="B38" s="90"/>
      <c r="C38" s="90"/>
      <c r="D38" s="90"/>
      <c r="E38" s="90"/>
      <c r="F38" s="693" t="s">
        <v>317</v>
      </c>
      <c r="G38" s="694">
        <f>update_leverage</f>
        <v>2020</v>
      </c>
      <c r="H38" s="190">
        <f ca="1">LevFact_Final07</f>
        <v>0.79714001147810298</v>
      </c>
    </row>
    <row r="39" spans="1:9" x14ac:dyDescent="0.25">
      <c r="A39" s="134" t="s">
        <v>192</v>
      </c>
      <c r="B39" s="90"/>
      <c r="C39" s="90"/>
      <c r="D39" s="90"/>
      <c r="E39" s="90"/>
      <c r="F39" s="693"/>
      <c r="G39" s="693"/>
      <c r="H39" s="144">
        <f>PremTaxRate</f>
        <v>2.35E-2</v>
      </c>
    </row>
    <row r="40" spans="1:9" x14ac:dyDescent="0.25">
      <c r="A40" s="134" t="s">
        <v>193</v>
      </c>
      <c r="B40" s="90"/>
      <c r="C40" s="90"/>
      <c r="D40" s="90"/>
      <c r="E40" s="90"/>
      <c r="F40" s="693"/>
      <c r="G40" s="695"/>
      <c r="H40" s="191">
        <f ca="1">1/LevFact_Final07</f>
        <v>1.2544847650361224</v>
      </c>
    </row>
    <row r="41" spans="1:9" x14ac:dyDescent="0.25">
      <c r="A41" s="134" t="s">
        <v>198</v>
      </c>
      <c r="B41" s="90"/>
      <c r="C41" s="90"/>
      <c r="D41" s="90"/>
      <c r="E41" s="90"/>
      <c r="F41" s="693" t="s">
        <v>317</v>
      </c>
      <c r="G41" s="694">
        <f>update_reserveratios</f>
        <v>2020</v>
      </c>
      <c r="H41" s="191">
        <f ca="1">ResRatio_UPR07</f>
        <v>0.32984149635237803</v>
      </c>
    </row>
    <row r="42" spans="1:9" x14ac:dyDescent="0.25">
      <c r="A42" s="192" t="s">
        <v>194</v>
      </c>
      <c r="B42" s="90"/>
      <c r="C42" s="90"/>
      <c r="D42" s="90"/>
      <c r="E42" s="90"/>
      <c r="F42" s="693" t="s">
        <v>317</v>
      </c>
      <c r="G42" s="694">
        <f>update_reserveratios</f>
        <v>2020</v>
      </c>
      <c r="H42" s="191">
        <f ca="1">ResRatio_Loss07</f>
        <v>1.2289421602119517</v>
      </c>
    </row>
    <row r="43" spans="1:9" x14ac:dyDescent="0.25">
      <c r="A43" s="192" t="s">
        <v>195</v>
      </c>
      <c r="B43" s="90"/>
      <c r="C43" s="90"/>
      <c r="D43" s="90"/>
      <c r="E43" s="90"/>
      <c r="F43" s="691" t="s">
        <v>317</v>
      </c>
      <c r="G43" s="691" t="str">
        <f>ROR_RiskFree_Date</f>
        <v>June 2022</v>
      </c>
      <c r="H43" s="692">
        <f>ROR_RiskFree</f>
        <v>2.2799999999999997E-2</v>
      </c>
      <c r="I43" s="20" t="s">
        <v>732</v>
      </c>
    </row>
    <row r="44" spans="1:9" x14ac:dyDescent="0.25">
      <c r="A44" s="192" t="s">
        <v>197</v>
      </c>
      <c r="B44" s="90"/>
      <c r="C44" s="90"/>
      <c r="D44" s="90"/>
      <c r="E44" s="90"/>
      <c r="F44" s="90"/>
      <c r="G44" s="90"/>
      <c r="H44" s="286">
        <f>ROR_Min</f>
        <v>-0.06</v>
      </c>
      <c r="I44" s="20"/>
    </row>
    <row r="45" spans="1:9" ht="15.75" thickBot="1" x14ac:dyDescent="0.3">
      <c r="A45" s="193" t="s">
        <v>196</v>
      </c>
      <c r="B45" s="140"/>
      <c r="C45" s="140"/>
      <c r="D45" s="140"/>
      <c r="E45" s="140"/>
      <c r="F45" s="140"/>
      <c r="G45" s="140"/>
      <c r="H45" s="287">
        <f>ROR_Max</f>
        <v>8.2799999999999999E-2</v>
      </c>
    </row>
    <row r="46" spans="1:9" ht="5.0999999999999996" customHeight="1" x14ac:dyDescent="0.25"/>
    <row r="47" spans="1:9" ht="15.75" thickBot="1" x14ac:dyDescent="0.3">
      <c r="A47" s="130" t="s">
        <v>234</v>
      </c>
      <c r="B47" s="285" t="str">
        <f>'6.7Ratemaking Data'!D$14</f>
        <v>20171</v>
      </c>
      <c r="C47" s="285" t="str">
        <f>'6.7Ratemaking Data'!E$14</f>
        <v>20181</v>
      </c>
      <c r="D47" s="285" t="str">
        <f>'6.7Ratemaking Data'!F$14</f>
        <v>20191</v>
      </c>
      <c r="E47" s="285" t="str">
        <f>'6.7Ratemaking Data'!G$14</f>
        <v>20201</v>
      </c>
      <c r="F47" s="285" t="str">
        <f>'6.7Ratemaking Data'!H$14</f>
        <v>20211</v>
      </c>
      <c r="G47" s="285">
        <f>'6.7Ratemaking Data'!I$14</f>
        <v>20221</v>
      </c>
    </row>
    <row r="48" spans="1:9" x14ac:dyDescent="0.25">
      <c r="A48" s="131" t="s">
        <v>199</v>
      </c>
      <c r="B48" s="132">
        <f t="shared" ref="B48:G48" si="0">IF(ISERROR(Prem_Earned*Prem_Adj*Prem_Trend+Misc_Fees),"",Prem_Earned*Prem_Adj*Prem_Trend+Misc_Fees)</f>
        <v>745978.71385244315</v>
      </c>
      <c r="C48" s="132">
        <f t="shared" si="0"/>
        <v>737430.66351954837</v>
      </c>
      <c r="D48" s="132">
        <f t="shared" si="0"/>
        <v>715776.2604639018</v>
      </c>
      <c r="E48" s="132">
        <f t="shared" si="0"/>
        <v>705592.40731251705</v>
      </c>
      <c r="F48" s="132">
        <f t="shared" si="0"/>
        <v>706634.2306972635</v>
      </c>
      <c r="G48" s="132">
        <f t="shared" si="0"/>
        <v>711029.03826479218</v>
      </c>
      <c r="H48" s="133">
        <f>IF(New_Program=TRUE,(Prem_Earned+Misc_Fees),SUM($B48:$G48))</f>
        <v>4322441.3141104663</v>
      </c>
    </row>
    <row r="49" spans="1:9" x14ac:dyDescent="0.25">
      <c r="A49" s="134" t="s">
        <v>200</v>
      </c>
      <c r="B49" s="135">
        <f t="shared" ref="B49:G49" si="1">IF(ISERROR(Losses*Loss_Devt*CAT_Adj*Loss_Trend),"",Losses*Loss_Devt*CAT_Adj*Loss_Trend)</f>
        <v>296892.08352911612</v>
      </c>
      <c r="C49" s="135">
        <f t="shared" si="1"/>
        <v>352763.06053012278</v>
      </c>
      <c r="D49" s="135">
        <f t="shared" si="1"/>
        <v>420077.52812878642</v>
      </c>
      <c r="E49" s="135">
        <f t="shared" si="1"/>
        <v>350458.71768581629</v>
      </c>
      <c r="F49" s="135">
        <f t="shared" si="1"/>
        <v>202342.56482417847</v>
      </c>
      <c r="G49" s="135">
        <f t="shared" si="1"/>
        <v>186924.4529096685</v>
      </c>
      <c r="H49" s="136">
        <f>IF(New_Program=TRUE,Losses,SUM($B49:$G49))</f>
        <v>1809458.4076076886</v>
      </c>
    </row>
    <row r="50" spans="1:9" x14ac:dyDescent="0.25">
      <c r="A50" s="134" t="s">
        <v>201</v>
      </c>
      <c r="B50" s="135">
        <f t="shared" ref="B50:G50" si="2">IF(ISERROR(DCCE*DCCE_Devt*CAT_Adj*DCCE_Trend),"",DCCE*DCCE_Devt*CAT_Adj*DCCE_Trend)</f>
        <v>0</v>
      </c>
      <c r="C50" s="135">
        <f t="shared" si="2"/>
        <v>6.8884888294937632</v>
      </c>
      <c r="D50" s="135">
        <f t="shared" si="2"/>
        <v>7032.41946560208</v>
      </c>
      <c r="E50" s="135">
        <f t="shared" si="2"/>
        <v>22.491708574391698</v>
      </c>
      <c r="F50" s="135">
        <f t="shared" si="2"/>
        <v>0</v>
      </c>
      <c r="G50" s="135">
        <f t="shared" si="2"/>
        <v>35.972501366966448</v>
      </c>
      <c r="H50" s="136">
        <f>IF(New_Program=TRUE,DCCE,SUM($B50:$G50))</f>
        <v>7097.7721643729319</v>
      </c>
    </row>
    <row r="51" spans="1:9" x14ac:dyDescent="0.25">
      <c r="A51" s="134" t="s">
        <v>202</v>
      </c>
      <c r="B51" s="143">
        <f t="shared" ref="B51:H51" si="3">IF(ISERROR((B49+B50)/B48),"",(B49+B50)/B48)</f>
        <v>0.39799002037991432</v>
      </c>
      <c r="C51" s="143">
        <f t="shared" si="3"/>
        <v>0.47837710915800663</v>
      </c>
      <c r="D51" s="143">
        <f t="shared" si="3"/>
        <v>0.59670873593596729</v>
      </c>
      <c r="E51" s="143">
        <f t="shared" si="3"/>
        <v>0.49671907713592717</v>
      </c>
      <c r="F51" s="143">
        <f t="shared" si="3"/>
        <v>0.28634696146055533</v>
      </c>
      <c r="G51" s="143">
        <f t="shared" si="3"/>
        <v>0.26294344583632895</v>
      </c>
      <c r="H51" s="144">
        <f t="shared" si="3"/>
        <v>0.42026161785979005</v>
      </c>
    </row>
    <row r="52" spans="1:9" x14ac:dyDescent="0.25">
      <c r="A52" s="134" t="s">
        <v>215</v>
      </c>
      <c r="B52" s="576">
        <f t="shared" ref="B52:H52" si="4">IF(ISERROR(Prem_Adjusted/Exposures_Earned),"",Prem_Adjusted/Exposures_Earned)</f>
        <v>3.1873847481955861</v>
      </c>
      <c r="C52" s="576">
        <f t="shared" si="4"/>
        <v>3.1865330437581223</v>
      </c>
      <c r="D52" s="576">
        <f t="shared" si="4"/>
        <v>3.1852624901048072</v>
      </c>
      <c r="E52" s="576">
        <f t="shared" si="4"/>
        <v>3.1942289915277646</v>
      </c>
      <c r="F52" s="576">
        <f t="shared" si="4"/>
        <v>3.1952712217827877</v>
      </c>
      <c r="G52" s="576">
        <f t="shared" si="4"/>
        <v>3.1777550067252682</v>
      </c>
      <c r="H52" s="147">
        <f t="shared" si="4"/>
        <v>3.1876998573797204</v>
      </c>
    </row>
    <row r="53" spans="1:9" x14ac:dyDescent="0.25">
      <c r="A53" s="134" t="s">
        <v>203</v>
      </c>
      <c r="B53" s="576">
        <f t="shared" ref="B53:H53" si="5">IF(ISERROR((Losses_Adjusted+DCCE_Adjusted)/Exposures_Earned),"",(Losses_Adjusted+DCCE_Adjusted)/Exposures_Earned)</f>
        <v>1.2685473208929894</v>
      </c>
      <c r="C53" s="576">
        <f t="shared" si="5"/>
        <v>1.5243644657094744</v>
      </c>
      <c r="D53" s="576">
        <f t="shared" si="5"/>
        <v>1.9006739540946911</v>
      </c>
      <c r="E53" s="576">
        <f t="shared" si="5"/>
        <v>1.5866344768324945</v>
      </c>
      <c r="F53" s="576">
        <f t="shared" si="5"/>
        <v>0.91495620539985745</v>
      </c>
      <c r="G53" s="576">
        <f t="shared" si="5"/>
        <v>0.8355698514919887</v>
      </c>
      <c r="H53" s="147">
        <f t="shared" si="5"/>
        <v>1.3396678993138234</v>
      </c>
    </row>
    <row r="54" spans="1:9" x14ac:dyDescent="0.25">
      <c r="A54" s="134" t="s">
        <v>204</v>
      </c>
      <c r="B54" s="576">
        <f t="shared" ref="B54:H54" ca="1" si="6">IF(ISERROR((TCRLP_perExp*(1+Comp_Trend)*Max_Denom+Anc_Inc_perExp)/(1-InvInc_Fixed)),"",(TCRLP_perExp*(1+Comp_Trend)*Max_Denom+Anc_Inc_perExp)/(1-InvInc_Fixed))</f>
        <v>2.3600958396012319</v>
      </c>
      <c r="C54" s="576">
        <f t="shared" ca="1" si="6"/>
        <v>2.3594651959048392</v>
      </c>
      <c r="D54" s="576">
        <f t="shared" ca="1" si="6"/>
        <v>2.3585244157267078</v>
      </c>
      <c r="E54" s="576">
        <f t="shared" ca="1" si="6"/>
        <v>2.3651636527112236</v>
      </c>
      <c r="F54" s="576">
        <f t="shared" ca="1" si="6"/>
        <v>2.3659353710581157</v>
      </c>
      <c r="G54" s="576">
        <f t="shared" ca="1" si="6"/>
        <v>2.3529655071889306</v>
      </c>
      <c r="H54" s="147">
        <f t="shared" ca="1" si="6"/>
        <v>2.3603291618805451</v>
      </c>
    </row>
    <row r="55" spans="1:9" x14ac:dyDescent="0.25">
      <c r="A55" s="134" t="s">
        <v>214</v>
      </c>
      <c r="B55" s="576">
        <f t="shared" ref="B55:H55" ca="1" si="7">IF(ISERROR(Credibility*LossDCCE_perExp+(1-Credibility)*CompLossDCCE_perExp),"",Credibility*LossDCCE_perExp+(1-Credibility)*CompLossDCCE_perExp)</f>
        <v>2.1041050208631789</v>
      </c>
      <c r="C55" s="576">
        <f t="shared" ca="1" si="7"/>
        <v>2.1636167146074197</v>
      </c>
      <c r="D55" s="576">
        <f t="shared" ca="1" si="7"/>
        <v>2.2511489646826455</v>
      </c>
      <c r="E55" s="576">
        <f t="shared" ca="1" si="7"/>
        <v>2.1825823769100268</v>
      </c>
      <c r="F55" s="576">
        <f t="shared" ca="1" si="7"/>
        <v>2.0256505937691682</v>
      </c>
      <c r="G55" s="576">
        <f t="shared" ca="1" si="7"/>
        <v>1.9971046823205034</v>
      </c>
      <c r="H55" s="147">
        <f t="shared" ca="1" si="7"/>
        <v>2.1209628783113335</v>
      </c>
    </row>
    <row r="56" spans="1:9" ht="15.75" thickBot="1" x14ac:dyDescent="0.3">
      <c r="A56" s="153" t="s">
        <v>216</v>
      </c>
      <c r="B56" s="250">
        <f t="shared" ref="B56:H56" si="8">IF(ISERROR(Anc_Income/Exposures_Earned),"",Anc_Income/Exposures_Earned)</f>
        <v>0</v>
      </c>
      <c r="C56" s="250">
        <f t="shared" si="8"/>
        <v>0</v>
      </c>
      <c r="D56" s="250">
        <f t="shared" si="8"/>
        <v>0</v>
      </c>
      <c r="E56" s="250">
        <f t="shared" si="8"/>
        <v>0</v>
      </c>
      <c r="F56" s="250">
        <f t="shared" si="8"/>
        <v>0</v>
      </c>
      <c r="G56" s="250">
        <f t="shared" si="8"/>
        <v>0</v>
      </c>
      <c r="H56" s="251">
        <f t="shared" si="8"/>
        <v>0</v>
      </c>
    </row>
    <row r="57" spans="1:9" ht="15.75" thickTop="1" x14ac:dyDescent="0.25">
      <c r="A57" s="134" t="s">
        <v>217</v>
      </c>
      <c r="B57" s="90"/>
      <c r="C57" s="90"/>
      <c r="D57" s="90"/>
      <c r="E57" s="90"/>
      <c r="F57" s="90"/>
      <c r="G57" s="90"/>
      <c r="H57" s="144">
        <f ca="1">Yield*((1-FIT_Inv)/(1-FIT_UW))*ResRatio_Loss07</f>
        <v>0.11128746466623216</v>
      </c>
    </row>
    <row r="58" spans="1:9" x14ac:dyDescent="0.25">
      <c r="A58" s="134" t="s">
        <v>218</v>
      </c>
      <c r="B58" s="90"/>
      <c r="C58" s="90"/>
      <c r="D58" s="90"/>
      <c r="E58" s="90"/>
      <c r="F58" s="90"/>
      <c r="G58" s="90"/>
      <c r="H58" s="144">
        <f ca="1">Yield*((1-FIT_Inv)/(1-FIT_UW))*(ResRatio_UPR07+SurplusRatio)</f>
        <v>0.14346944758054997</v>
      </c>
    </row>
    <row r="59" spans="1:9" x14ac:dyDescent="0.25">
      <c r="A59" s="134" t="s">
        <v>206</v>
      </c>
      <c r="B59" s="145"/>
      <c r="C59" s="145"/>
      <c r="D59" s="145"/>
      <c r="E59" s="145"/>
      <c r="F59" s="145"/>
      <c r="G59" s="145"/>
      <c r="H59" s="144">
        <f>(1+Loss_AnnualTrend)/(1+Prem_AnnualTrend)-1</f>
        <v>-3.0507120382765041E-2</v>
      </c>
    </row>
    <row r="60" spans="1:9" x14ac:dyDescent="0.25">
      <c r="A60" s="134" t="s">
        <v>205</v>
      </c>
      <c r="B60" s="145"/>
      <c r="C60" s="145"/>
      <c r="D60" s="145"/>
      <c r="E60" s="145"/>
      <c r="F60" s="145"/>
      <c r="G60" s="145"/>
      <c r="H60" s="144">
        <f>IF(New_Program=TRUE,0,(1+Net_AnnualTrend)^MIN(4,((EffDate_Proposed-EffDate_Prior07)/365.25))-1)</f>
        <v>-7.922008902164035E-2</v>
      </c>
    </row>
    <row r="61" spans="1:9" x14ac:dyDescent="0.25">
      <c r="A61" s="134" t="s">
        <v>207</v>
      </c>
      <c r="B61" s="145"/>
      <c r="C61" s="145"/>
      <c r="D61" s="145"/>
      <c r="E61" s="145"/>
      <c r="F61" s="145"/>
      <c r="G61" s="145"/>
      <c r="H61" s="144">
        <f ca="1">(ROR_Max)/(LevFact_Final07*(1-FIT_UW))</f>
        <v>0.13148270701897588</v>
      </c>
    </row>
    <row r="62" spans="1:9" x14ac:dyDescent="0.25">
      <c r="A62" s="134" t="s">
        <v>208</v>
      </c>
      <c r="B62" s="90"/>
      <c r="C62" s="90"/>
      <c r="D62" s="90"/>
      <c r="E62" s="90"/>
      <c r="F62" s="90"/>
      <c r="G62" s="90"/>
      <c r="H62" s="144">
        <f ca="1">(ROR_Min)/(LevFact_Final07*(1-FIT_UW))</f>
        <v>-9.5277323926794111E-2</v>
      </c>
    </row>
    <row r="63" spans="1:9" x14ac:dyDescent="0.25">
      <c r="A63" s="134" t="s">
        <v>209</v>
      </c>
      <c r="B63" s="90"/>
      <c r="C63" s="90"/>
      <c r="D63" s="90"/>
      <c r="E63" s="90"/>
      <c r="F63" s="90"/>
      <c r="G63" s="90"/>
      <c r="H63" s="144">
        <f ca="1">1-CredLossDCCE_perExp/Max_Premium-EffStd_Final07</f>
        <v>-0.10147901835723683</v>
      </c>
      <c r="I63" s="252"/>
    </row>
    <row r="64" spans="1:9" x14ac:dyDescent="0.25">
      <c r="A64" s="134" t="s">
        <v>211</v>
      </c>
      <c r="B64" s="90"/>
      <c r="C64" s="90"/>
      <c r="D64" s="90"/>
      <c r="E64" s="90"/>
      <c r="F64" s="90"/>
      <c r="G64" s="90"/>
      <c r="H64" s="146">
        <f ca="1">1-EffStd_Final07-Min_Profit+InvInc_Variable</f>
        <v>0.9414219143044078</v>
      </c>
      <c r="I64" s="252"/>
    </row>
    <row r="65" spans="1:9" x14ac:dyDescent="0.25">
      <c r="A65" s="134" t="s">
        <v>210</v>
      </c>
      <c r="B65" s="90"/>
      <c r="C65" s="90"/>
      <c r="D65" s="90"/>
      <c r="E65" s="90"/>
      <c r="F65" s="90"/>
      <c r="G65" s="90"/>
      <c r="H65" s="146">
        <f ca="1">1-EffStd_Final07-Max_Profit+InvInc_Variable</f>
        <v>0.71466188335863778</v>
      </c>
      <c r="I65" s="473" t="str">
        <f>IF(AND(Error35="",Error36=""),"","See Column H of Page '3.2YieldFIT' for errors that must be corrected.")</f>
        <v/>
      </c>
    </row>
    <row r="66" spans="1:9" x14ac:dyDescent="0.25">
      <c r="A66" s="134" t="s">
        <v>213</v>
      </c>
      <c r="B66" s="90"/>
      <c r="C66" s="90"/>
      <c r="D66" s="90"/>
      <c r="E66" s="90"/>
      <c r="F66" s="90"/>
      <c r="G66" s="90"/>
      <c r="H66" s="577">
        <f ca="1">(CredLossDCCE_perExp*(1-InvInc_Fixed)-Anc_Inc_perExp)/Min_Denom</f>
        <v>2.0022120457282897</v>
      </c>
      <c r="I66" s="473" t="str">
        <f>IF(Error38="","","See Column F of Page '4.2Excluded Exp' for errors that must be corrected.")</f>
        <v/>
      </c>
    </row>
    <row r="67" spans="1:9" ht="15.75" thickBot="1" x14ac:dyDescent="0.3">
      <c r="A67" s="134" t="s">
        <v>212</v>
      </c>
      <c r="B67" s="90"/>
      <c r="C67" s="90"/>
      <c r="D67" s="90"/>
      <c r="E67" s="90"/>
      <c r="F67" s="90"/>
      <c r="G67" s="90"/>
      <c r="H67" s="577">
        <f ca="1">(CredLossDCCE_perExp*(1-InvInc_Fixed)-Anc_Inc_perExp)/Max_Denom</f>
        <v>2.6375078072926423</v>
      </c>
      <c r="I67" s="471" t="str">
        <f>IF(Error34="","","See Column I of Page '2.Summary' for errors that must be corrected.")</f>
        <v/>
      </c>
    </row>
    <row r="68" spans="1:9" x14ac:dyDescent="0.25">
      <c r="A68" s="95" t="s">
        <v>235</v>
      </c>
      <c r="B68" s="90"/>
      <c r="C68" s="90"/>
      <c r="D68" s="90"/>
      <c r="E68" s="90"/>
      <c r="F68" s="90"/>
      <c r="G68" s="90"/>
      <c r="H68" s="289">
        <f ca="1">IF(AND(I65="",I66="",I67="",I68="",I69=""),(Min_Premium-Prem_Current)/Prem_Current,"Error")</f>
        <v>-0.37189442691944596</v>
      </c>
      <c r="I68" s="473" t="str">
        <f>IF(AND(Error00="",Error01="",Error02="",Error03="",Error04="",Error05="",Error06="",Error07="",Error08="",Error09="",Error10="",Error11="",Error12="",Error13="",Error14="",Error15="",Error16="",Error37=""),"","See Column J of Page '1.General' for errors that must be corrected.")</f>
        <v/>
      </c>
    </row>
    <row r="69" spans="1:9" ht="19.5" thickBot="1" x14ac:dyDescent="0.3">
      <c r="A69" s="96" t="s">
        <v>236</v>
      </c>
      <c r="B69" s="140"/>
      <c r="C69" s="140"/>
      <c r="D69" s="140"/>
      <c r="E69" s="140"/>
      <c r="F69" s="140"/>
      <c r="G69" s="140"/>
      <c r="H69" s="288">
        <f ca="1">IF(AND(I65="",I66="",I67="",I68="",I69=""),(Max_Premium-Prem_Current)/Prem_Current, "Error")</f>
        <v>-0.172598448631652</v>
      </c>
      <c r="I69" s="471" t="str">
        <f>IF(AND('6.7Ratemaking Data'!Error17="",'6.7Ratemaking Data'!Error18="",'6.7Ratemaking Data'!Error19="",'6.7Ratemaking Data'!Error20="",'6.7Ratemaking Data'!Error21="",'6.7Ratemaking Data'!Error22="",'6.7Ratemaking Data'!Error23="",'6.7Ratemaking Data'!Error24="",'6.7Ratemaking Data'!Error25="",'6.7Ratemaking Data'!Error26="",'6.7Ratemaking Data'!Error27="",'6.7Ratemaking Data'!Error28="",'6.7Ratemaking Data'!Error29=""),"","See Column M of Page '6.7Ratemaking Data' for errors that must be corrected.")</f>
        <v/>
      </c>
    </row>
    <row r="70" spans="1:9" ht="5.0999999999999996" hidden="1" customHeight="1" x14ac:dyDescent="0.25"/>
    <row r="71" spans="1:9" ht="15.75" hidden="1" thickBot="1" x14ac:dyDescent="0.3">
      <c r="A71" s="130" t="s">
        <v>233</v>
      </c>
      <c r="B71" s="285" t="str">
        <f>'6.7Ratemaking Data'!D$14</f>
        <v>20171</v>
      </c>
      <c r="C71" s="285" t="str">
        <f>'6.7Ratemaking Data'!E$14</f>
        <v>20181</v>
      </c>
      <c r="D71" s="285" t="str">
        <f>'6.7Ratemaking Data'!F$14</f>
        <v>20191</v>
      </c>
      <c r="E71" s="285" t="str">
        <f>'6.7Ratemaking Data'!G$14</f>
        <v>20201</v>
      </c>
      <c r="F71" s="285" t="str">
        <f>'6.7Ratemaking Data'!H$14</f>
        <v>20211</v>
      </c>
      <c r="G71" s="285">
        <f>'6.7Ratemaking Data'!I$14</f>
        <v>20221</v>
      </c>
    </row>
    <row r="72" spans="1:9" hidden="1" x14ac:dyDescent="0.25">
      <c r="A72" s="148" t="s">
        <v>232</v>
      </c>
      <c r="B72" s="142"/>
      <c r="C72" s="142"/>
      <c r="D72" s="142"/>
      <c r="E72" s="142"/>
      <c r="F72" s="142"/>
      <c r="G72" s="142"/>
      <c r="H72" s="149" t="str">
        <f>IF(ISBLANK('6.7Ratemaking Data'!J44),"",'6.7Ratemaking Data'!J44)</f>
        <v/>
      </c>
    </row>
    <row r="73" spans="1:9" hidden="1" x14ac:dyDescent="0.25">
      <c r="A73" s="150" t="s">
        <v>219</v>
      </c>
      <c r="B73" s="135" t="str">
        <f>IF(ISBLANK('6.7Ratemaking Data'!D45),"",'6.7Ratemaking Data'!D45)</f>
        <v/>
      </c>
      <c r="C73" s="135" t="str">
        <f>IF(ISBLANK('6.7Ratemaking Data'!E45),"",'6.7Ratemaking Data'!E45)</f>
        <v/>
      </c>
      <c r="D73" s="135" t="str">
        <f>IF(ISBLANK('6.7Ratemaking Data'!F45),"",'6.7Ratemaking Data'!F45)</f>
        <v/>
      </c>
      <c r="E73" s="135" t="str">
        <f>IF(ISBLANK('6.7Ratemaking Data'!G45),"",'6.7Ratemaking Data'!G45)</f>
        <v/>
      </c>
      <c r="F73" s="135" t="str">
        <f>IF(ISBLANK('6.7Ratemaking Data'!H45),"",'6.7Ratemaking Data'!H45)</f>
        <v/>
      </c>
      <c r="G73" s="135" t="str">
        <f>IF(ISBLANK('6.7Ratemaking Data'!I45),"",'6.7Ratemaking Data'!I45)</f>
        <v/>
      </c>
      <c r="H73" s="136" t="str">
        <f ca="1">IF(RIGHT(Detailed_LineCode07,1)="R",IF(New_Program=TRUE,'6.7Ratemaking Data'!$K$45,SUM($B73:$G73)),"")</f>
        <v/>
      </c>
    </row>
    <row r="74" spans="1:9" hidden="1" x14ac:dyDescent="0.25">
      <c r="A74" s="150" t="s">
        <v>220</v>
      </c>
      <c r="B74" s="135" t="str">
        <f>IF(ISBLANK('6.7Ratemaking Data'!D46),"",'6.7Ratemaking Data'!D46)</f>
        <v/>
      </c>
      <c r="C74" s="135" t="str">
        <f>IF(ISBLANK('6.7Ratemaking Data'!E46),"",'6.7Ratemaking Data'!E46)</f>
        <v/>
      </c>
      <c r="D74" s="135" t="str">
        <f>IF(ISBLANK('6.7Ratemaking Data'!F46),"",'6.7Ratemaking Data'!F46)</f>
        <v/>
      </c>
      <c r="E74" s="135" t="str">
        <f>IF(ISBLANK('6.7Ratemaking Data'!G46),"",'6.7Ratemaking Data'!G46)</f>
        <v/>
      </c>
      <c r="F74" s="135" t="str">
        <f>IF(ISBLANK('6.7Ratemaking Data'!H46),"",'6.7Ratemaking Data'!H46)</f>
        <v/>
      </c>
      <c r="G74" s="135" t="str">
        <f>IF(ISBLANK('6.7Ratemaking Data'!I46),"",'6.7Ratemaking Data'!I46)</f>
        <v/>
      </c>
      <c r="H74" s="136">
        <f>IF(New_Program=TRUE,'6.7Ratemaking Data'!$K$46,SUM($B74:$G74))</f>
        <v>0</v>
      </c>
    </row>
    <row r="75" spans="1:9" hidden="1" x14ac:dyDescent="0.25">
      <c r="A75" s="150" t="s">
        <v>221</v>
      </c>
      <c r="B75" s="578" t="str">
        <f t="shared" ref="B75:H75" si="9">IF(ISERROR(Rein_Prem/Exposures_Earned),"",Rein_Prem/Exposures_Earned)</f>
        <v/>
      </c>
      <c r="C75" s="578" t="str">
        <f t="shared" si="9"/>
        <v/>
      </c>
      <c r="D75" s="578" t="str">
        <f t="shared" si="9"/>
        <v/>
      </c>
      <c r="E75" s="578" t="str">
        <f t="shared" si="9"/>
        <v/>
      </c>
      <c r="F75" s="578" t="str">
        <f t="shared" si="9"/>
        <v/>
      </c>
      <c r="G75" s="578" t="str">
        <f t="shared" si="9"/>
        <v/>
      </c>
      <c r="H75" s="577" t="str">
        <f t="shared" ca="1" si="9"/>
        <v/>
      </c>
    </row>
    <row r="76" spans="1:9" hidden="1" x14ac:dyDescent="0.25">
      <c r="A76" s="150" t="s">
        <v>222</v>
      </c>
      <c r="B76" s="578" t="str">
        <f t="shared" ref="B76:H76" si="10">IF(ISERROR(Rein_Recov/Exposures_Earned),"",Rein_Recov/Exposures_Earned)</f>
        <v/>
      </c>
      <c r="C76" s="578" t="str">
        <f t="shared" si="10"/>
        <v/>
      </c>
      <c r="D76" s="578" t="str">
        <f t="shared" si="10"/>
        <v/>
      </c>
      <c r="E76" s="578" t="str">
        <f t="shared" si="10"/>
        <v/>
      </c>
      <c r="F76" s="578" t="str">
        <f t="shared" si="10"/>
        <v/>
      </c>
      <c r="G76" s="578" t="str">
        <f t="shared" si="10"/>
        <v/>
      </c>
      <c r="H76" s="577">
        <f t="shared" si="10"/>
        <v>0</v>
      </c>
    </row>
    <row r="77" spans="1:9" hidden="1" x14ac:dyDescent="0.25">
      <c r="A77" s="150" t="s">
        <v>223</v>
      </c>
      <c r="B77" s="578" t="str">
        <f t="shared" ref="B77:H77" ca="1" si="11">IF(ISERROR((TCRLP_perExp*(1+Comp_Trend)*Max_Denom+Anc_Inc_perExp-ReinPrem_perExp*Max_Denom/(1-Comm_Rate-PremTaxRate))/(1-InvInc_Fixed)),"",(TCRLP_perExp*(1+Comp_Trend)*Max_Denom+Anc_Inc_perExp-ReinPrem_perExp*Max_Denom/(1-Comm_Rate-PremTaxRate))/(1-InvInc_Fixed))</f>
        <v/>
      </c>
      <c r="C77" s="578" t="str">
        <f t="shared" ca="1" si="11"/>
        <v/>
      </c>
      <c r="D77" s="578" t="str">
        <f t="shared" ca="1" si="11"/>
        <v/>
      </c>
      <c r="E77" s="578" t="str">
        <f t="shared" ca="1" si="11"/>
        <v/>
      </c>
      <c r="F77" s="578" t="str">
        <f t="shared" ca="1" si="11"/>
        <v/>
      </c>
      <c r="G77" s="578" t="str">
        <f t="shared" ca="1" si="11"/>
        <v/>
      </c>
      <c r="H77" s="577" t="str">
        <f t="shared" ca="1" si="11"/>
        <v/>
      </c>
    </row>
    <row r="78" spans="1:9" ht="15.75" hidden="1" thickBot="1" x14ac:dyDescent="0.3">
      <c r="A78" s="150" t="s">
        <v>224</v>
      </c>
      <c r="B78" s="90"/>
      <c r="C78" s="90"/>
      <c r="D78" s="90"/>
      <c r="E78" s="90"/>
      <c r="F78" s="90"/>
      <c r="G78" s="90"/>
      <c r="H78" s="577" t="e">
        <f ca="1">IF(H73=0,NA(),((((Credibility*(LossDCCE_perExp-ReinRec_perExp))+(1-Credibility)*CompLoss_Rein)*(1-InvInc_Fixed)-Anc_Inc_perExp)/Max_Denom)+ReinPrem_perExp/(1-Comm_Rate-PremTaxRate))</f>
        <v>#VALUE!</v>
      </c>
      <c r="I78" s="473"/>
    </row>
    <row r="79" spans="1:9" ht="19.5" hidden="1" thickBot="1" x14ac:dyDescent="0.3">
      <c r="A79" s="151" t="s">
        <v>225</v>
      </c>
      <c r="B79" s="140"/>
      <c r="C79" s="140"/>
      <c r="D79" s="140"/>
      <c r="E79" s="140"/>
      <c r="F79" s="140"/>
      <c r="G79" s="140"/>
      <c r="H79" s="485" t="e">
        <f ca="1">IF(I79="",IF($H$73=0,NA(),(ReinMax_Premium-Prem_Current)/Prem_Current),"Error")</f>
        <v>#VALUE!</v>
      </c>
      <c r="I79" s="471" t="str">
        <f>IF(AND('6.7Ratemaking Data'!Error30="",'6.7Ratemaking Data'!Error31="",'6.7Ratemaking Data'!Error32=""),"","See Column M of Page '6.7Ratemaking Data' for errors that must be corrected.")</f>
        <v/>
      </c>
    </row>
    <row r="80" spans="1:9" ht="26.25" x14ac:dyDescent="0.25">
      <c r="F80" s="787" t="s">
        <v>618</v>
      </c>
      <c r="G80" s="787"/>
      <c r="H80" s="787"/>
    </row>
    <row r="81" spans="1:1" x14ac:dyDescent="0.25">
      <c r="A81" s="152"/>
    </row>
  </sheetData>
  <sheetProtection algorithmName="SHA-512" hashValue="4mrdS38RzHBX5jxMLp6To8evW4e7KooZypwOjntIsOv8K7a9RlbDlHPi5lKe2Yk2+E9jOz7Zqur6thqiKAp0Wg==" saltValue="UZY/8u8FsThS7fhph5q//w==" spinCount="100000" sheet="1" objects="1" scenarios="1" formatColumns="0" formatRows="0" sort="0"/>
  <mergeCells count="1">
    <mergeCell ref="F80:H80"/>
  </mergeCells>
  <conditionalFormatting sqref="H79">
    <cfRule type="cellIs" dxfId="7" priority="2" operator="equal">
      <formula>"Error"</formula>
    </cfRule>
  </conditionalFormatting>
  <conditionalFormatting sqref="H68:H69">
    <cfRule type="cellIs" dxfId="6" priority="1" operator="equal">
      <formula>"Error"</formula>
    </cfRule>
  </conditionalFormatting>
  <hyperlinks>
    <hyperlink ref="F80" location="'Ratemaking Data (7)'!A1" display="Go to Ratemaking Data (7)" xr:uid="{00000000-0004-0000-1A00-000000000000}"/>
    <hyperlink ref="F80:H80" location="'6.7Ratemaking Data'!A1" display="Go to 6.7Ratemaking Data" xr:uid="{00000000-0004-0000-1A00-000001000000}"/>
  </hyperlinks>
  <printOptions horizontalCentered="1"/>
  <pageMargins left="0.45" right="0.45" top="0.5" bottom="0.5" header="0.3" footer="0.3"/>
  <pageSetup scale="67" orientation="portrait" r:id="rId1"/>
  <headerFooter>
    <oddFooter>&amp;CPrior Approval Rate Template&amp;RPage 7.7&amp;L01/11/2022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6803" r:id="rId4" name="btnYears">
              <controlPr defaultSize="0" print="0" autoFill="0" autoPict="0" macro="[0]!ExpandContractColsData">
                <anchor moveWithCells="1">
                  <from>
                    <xdr:col>5</xdr:col>
                    <xdr:colOff>19050</xdr:colOff>
                    <xdr:row>6</xdr:row>
                    <xdr:rowOff>0</xdr:rowOff>
                  </from>
                  <to>
                    <xdr:col>6</xdr:col>
                    <xdr:colOff>733425</xdr:colOff>
                    <xdr:row>8</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7">
    <tabColor theme="0" tint="-0.14999847407452621"/>
    <pageSetUpPr fitToPage="1"/>
  </sheetPr>
  <dimension ref="A1:J81"/>
  <sheetViews>
    <sheetView view="pageBreakPreview" zoomScaleNormal="100" zoomScaleSheetLayoutView="100" workbookViewId="0"/>
  </sheetViews>
  <sheetFormatPr defaultRowHeight="15" x14ac:dyDescent="0.25"/>
  <cols>
    <col min="1" max="1" width="28.28515625" style="14" customWidth="1"/>
    <col min="2" max="4" width="15.7109375" style="14" hidden="1" customWidth="1"/>
    <col min="5" max="8" width="17.42578125" style="14" customWidth="1"/>
    <col min="9" max="9" width="22.5703125" style="14" bestFit="1" customWidth="1"/>
    <col min="10" max="16384" width="9.140625" style="14"/>
  </cols>
  <sheetData>
    <row r="1" spans="1:8" x14ac:dyDescent="0.25">
      <c r="A1" s="10" t="s">
        <v>31</v>
      </c>
      <c r="E1" s="124" t="s">
        <v>33</v>
      </c>
      <c r="H1" s="125" t="str">
        <f>Co_Name</f>
        <v>State Farm Mutual Automobile Insurance Company</v>
      </c>
    </row>
    <row r="2" spans="1:8" x14ac:dyDescent="0.25">
      <c r="A2" s="8" t="s">
        <v>32</v>
      </c>
      <c r="E2" s="124" t="s">
        <v>34</v>
      </c>
      <c r="H2" s="125" t="str">
        <f>General_Line</f>
        <v>Auto Liability and Physical Damage</v>
      </c>
    </row>
    <row r="3" spans="1:8" x14ac:dyDescent="0.25">
      <c r="E3" s="181" t="s">
        <v>142</v>
      </c>
      <c r="F3" s="182"/>
      <c r="G3" s="182"/>
      <c r="H3" s="188" t="str">
        <f>CDI_FileNo</f>
        <v/>
      </c>
    </row>
    <row r="4" spans="1:8" ht="18" customHeight="1" x14ac:dyDescent="0.25">
      <c r="A4" s="607" t="str">
        <f>IF('6.8Ratemaking Data'!$K$7="","VARIANCE - NONE","VARIANCE "&amp;'6.8Ratemaking Data'!$K$7)</f>
        <v>VARIANCE - NONE</v>
      </c>
    </row>
    <row r="5" spans="1:8" ht="23.25" x14ac:dyDescent="0.25">
      <c r="A5" s="4" t="s">
        <v>665</v>
      </c>
      <c r="B5" s="123"/>
      <c r="C5" s="123"/>
      <c r="D5" s="123"/>
      <c r="E5" s="123"/>
      <c r="F5" s="123"/>
      <c r="G5" s="123"/>
      <c r="H5" s="123"/>
    </row>
    <row r="6" spans="1:8" ht="9.9499999999999993" customHeight="1" x14ac:dyDescent="0.25"/>
    <row r="7" spans="1:8" ht="15" customHeight="1" x14ac:dyDescent="0.25">
      <c r="A7" s="14" t="s">
        <v>1</v>
      </c>
      <c r="H7" s="28" t="str">
        <f>Completed_By</f>
        <v>Laura Campbell</v>
      </c>
    </row>
    <row r="8" spans="1:8" ht="15" customHeight="1" x14ac:dyDescent="0.25">
      <c r="A8" s="14" t="s">
        <v>76</v>
      </c>
      <c r="H8" s="189">
        <f>Completed_Date</f>
        <v>44816</v>
      </c>
    </row>
    <row r="9" spans="1:8" ht="15" customHeight="1" x14ac:dyDescent="0.25">
      <c r="A9" s="14" t="s">
        <v>169</v>
      </c>
      <c r="H9" s="189" t="str">
        <f>EffDate_Prior08</f>
        <v/>
      </c>
    </row>
    <row r="10" spans="1:8" ht="15" customHeight="1" x14ac:dyDescent="0.25">
      <c r="A10" s="14" t="s">
        <v>170</v>
      </c>
      <c r="B10" s="62"/>
      <c r="H10" s="189">
        <f>EffDate_Proposed</f>
        <v>45061</v>
      </c>
    </row>
    <row r="11" spans="1:8" ht="15" customHeight="1" x14ac:dyDescent="0.25">
      <c r="A11" s="14" t="s">
        <v>77</v>
      </c>
      <c r="B11" s="62"/>
      <c r="H11" s="28" t="str">
        <f>Detailed_LineDesc08</f>
        <v/>
      </c>
    </row>
    <row r="12" spans="1:8" ht="15" customHeight="1" x14ac:dyDescent="0.25">
      <c r="A12" s="14" t="s">
        <v>78</v>
      </c>
      <c r="B12" s="62"/>
      <c r="H12" s="28" t="str">
        <f>Covg08</f>
        <v/>
      </c>
    </row>
    <row r="13" spans="1:8" ht="15" customHeight="1" x14ac:dyDescent="0.25">
      <c r="H13" s="608"/>
    </row>
    <row r="14" spans="1:8" ht="9.9499999999999993" customHeight="1" x14ac:dyDescent="0.25"/>
    <row r="15" spans="1:8" ht="15.75" thickBot="1" x14ac:dyDescent="0.3">
      <c r="A15" s="130" t="s">
        <v>171</v>
      </c>
      <c r="B15" s="285" t="str">
        <f>'6.8Ratemaking Data'!D$14</f>
        <v>20171</v>
      </c>
      <c r="C15" s="285" t="str">
        <f>'6.8Ratemaking Data'!E$14</f>
        <v>20181</v>
      </c>
      <c r="D15" s="285" t="str">
        <f>'6.8Ratemaking Data'!F$14</f>
        <v>20191</v>
      </c>
      <c r="E15" s="285" t="str">
        <f>'6.8Ratemaking Data'!G$14</f>
        <v>20201</v>
      </c>
      <c r="F15" s="285" t="str">
        <f>'6.8Ratemaking Data'!H$14</f>
        <v>20211</v>
      </c>
      <c r="G15" s="285">
        <f>'6.8Ratemaking Data'!I$14</f>
        <v>20221</v>
      </c>
      <c r="H15" s="105" t="s">
        <v>306</v>
      </c>
    </row>
    <row r="16" spans="1:8" x14ac:dyDescent="0.25">
      <c r="A16" s="131" t="s">
        <v>173</v>
      </c>
      <c r="B16" s="132" t="str">
        <f>IF(ISBLANK('6.8Ratemaking Data'!D15),"",'6.8Ratemaking Data'!D15)</f>
        <v/>
      </c>
      <c r="C16" s="132" t="str">
        <f>IF(ISBLANK('6.8Ratemaking Data'!E15),"",'6.8Ratemaking Data'!E15)</f>
        <v/>
      </c>
      <c r="D16" s="132" t="str">
        <f>IF(ISBLANK('6.8Ratemaking Data'!F15),"",'6.8Ratemaking Data'!F15)</f>
        <v/>
      </c>
      <c r="E16" s="132" t="str">
        <f>IF(ISBLANK('6.8Ratemaking Data'!G15),"",'6.8Ratemaking Data'!G15)</f>
        <v/>
      </c>
      <c r="F16" s="132" t="str">
        <f>IF(ISBLANK('6.8Ratemaking Data'!H15),"",'6.8Ratemaking Data'!H15)</f>
        <v/>
      </c>
      <c r="G16" s="132" t="str">
        <f>IF(ISBLANK('6.8Ratemaking Data'!I15),"",'6.8Ratemaking Data'!I15)</f>
        <v/>
      </c>
      <c r="H16" s="133">
        <f>IF(New_Program=TRUE,'6.8Ratemaking Data'!$K$15,SUM($B16:$G16))</f>
        <v>0</v>
      </c>
    </row>
    <row r="17" spans="1:10" x14ac:dyDescent="0.25">
      <c r="A17" s="134" t="s">
        <v>172</v>
      </c>
      <c r="B17" s="135" t="str">
        <f>IF(ISBLANK('6.8Ratemaking Data'!D16),"",'6.8Ratemaking Data'!D16)</f>
        <v/>
      </c>
      <c r="C17" s="135" t="str">
        <f>IF(ISBLANK('6.8Ratemaking Data'!E16),"",'6.8Ratemaking Data'!E16)</f>
        <v/>
      </c>
      <c r="D17" s="135" t="str">
        <f>IF(ISBLANK('6.8Ratemaking Data'!F16),"",'6.8Ratemaking Data'!F16)</f>
        <v/>
      </c>
      <c r="E17" s="135" t="str">
        <f>IF(ISBLANK('6.8Ratemaking Data'!G16),"",'6.8Ratemaking Data'!G16)</f>
        <v/>
      </c>
      <c r="F17" s="135" t="str">
        <f>IF(ISBLANK('6.8Ratemaking Data'!H16),"",'6.8Ratemaking Data'!H16)</f>
        <v/>
      </c>
      <c r="G17" s="135" t="str">
        <f>IF(ISBLANK('6.8Ratemaking Data'!I16),"",'6.8Ratemaking Data'!I16)</f>
        <v/>
      </c>
      <c r="H17" s="136">
        <f>IF(New_Program=TRUE,'6.8Ratemaking Data'!$K$16,SUM($B17:$G17))</f>
        <v>0</v>
      </c>
    </row>
    <row r="18" spans="1:10" x14ac:dyDescent="0.25">
      <c r="A18" s="134" t="s">
        <v>174</v>
      </c>
      <c r="B18" s="137" t="str">
        <f>IF(ISBLANK('6.8Ratemaking Data'!D17),"",'6.8Ratemaking Data'!D17)</f>
        <v/>
      </c>
      <c r="C18" s="137" t="str">
        <f>IF(ISBLANK('6.8Ratemaking Data'!E17),"",'6.8Ratemaking Data'!E17)</f>
        <v/>
      </c>
      <c r="D18" s="137" t="str">
        <f>IF(ISBLANK('6.8Ratemaking Data'!F17),"",'6.8Ratemaking Data'!F17)</f>
        <v/>
      </c>
      <c r="E18" s="137" t="str">
        <f>IF(ISBLANK('6.8Ratemaking Data'!G17),"",'6.8Ratemaking Data'!G17)</f>
        <v/>
      </c>
      <c r="F18" s="137" t="str">
        <f>IF(ISBLANK('6.8Ratemaking Data'!H17),"",'6.8Ratemaking Data'!H17)</f>
        <v/>
      </c>
      <c r="G18" s="137" t="str">
        <f>IF(ISBLANK('6.8Ratemaking Data'!I17),"",'6.8Ratemaking Data'!I17)</f>
        <v/>
      </c>
      <c r="H18" s="138"/>
    </row>
    <row r="19" spans="1:10" x14ac:dyDescent="0.25">
      <c r="A19" s="134" t="s">
        <v>175</v>
      </c>
      <c r="B19" s="137" t="str">
        <f>IF(ISBLANK('6.8Ratemaking Data'!D18),"",'6.8Ratemaking Data'!D18)</f>
        <v/>
      </c>
      <c r="C19" s="137" t="str">
        <f>IF(ISBLANK('6.8Ratemaking Data'!E18),"",'6.8Ratemaking Data'!E18)</f>
        <v/>
      </c>
      <c r="D19" s="137" t="str">
        <f>IF(ISBLANK('6.8Ratemaking Data'!F18),"",'6.8Ratemaking Data'!F18)</f>
        <v/>
      </c>
      <c r="E19" s="137" t="str">
        <f>IF(ISBLANK('6.8Ratemaking Data'!G18),"",'6.8Ratemaking Data'!G18)</f>
        <v/>
      </c>
      <c r="F19" s="137" t="str">
        <f>IF(ISBLANK('6.8Ratemaking Data'!H18),"",'6.8Ratemaking Data'!H18)</f>
        <v/>
      </c>
      <c r="G19" s="137" t="str">
        <f>IF(ISBLANK('6.8Ratemaking Data'!I18),"",'6.8Ratemaking Data'!I18)</f>
        <v/>
      </c>
      <c r="H19" s="144">
        <f>IF(New_Program=TRUE,0,'6.8Ratemaking Data'!$J$18)</f>
        <v>0</v>
      </c>
    </row>
    <row r="20" spans="1:10" x14ac:dyDescent="0.25">
      <c r="A20" s="134" t="s">
        <v>176</v>
      </c>
      <c r="B20" s="135" t="str">
        <f>IF(ISBLANK('6.8Ratemaking Data'!D19),"",'6.8Ratemaking Data'!D19)</f>
        <v/>
      </c>
      <c r="C20" s="135" t="str">
        <f>IF(ISBLANK('6.8Ratemaking Data'!E19),"",'6.8Ratemaking Data'!E19)</f>
        <v/>
      </c>
      <c r="D20" s="135" t="str">
        <f>IF(ISBLANK('6.8Ratemaking Data'!F19),"",'6.8Ratemaking Data'!F19)</f>
        <v/>
      </c>
      <c r="E20" s="135" t="str">
        <f>IF(ISBLANK('6.8Ratemaking Data'!G19),"",'6.8Ratemaking Data'!G19)</f>
        <v/>
      </c>
      <c r="F20" s="135" t="str">
        <f>IF(ISBLANK('6.8Ratemaking Data'!H19),"",'6.8Ratemaking Data'!H19)</f>
        <v/>
      </c>
      <c r="G20" s="135" t="str">
        <f>IF(ISBLANK('6.8Ratemaking Data'!I19),"",'6.8Ratemaking Data'!I19)</f>
        <v/>
      </c>
      <c r="H20" s="136">
        <f>IF(New_Program=TRUE,'6.8Ratemaking Data'!$K$19,SUM($B20:$G20))</f>
        <v>0</v>
      </c>
    </row>
    <row r="21" spans="1:10" x14ac:dyDescent="0.25">
      <c r="A21" s="134" t="s">
        <v>177</v>
      </c>
      <c r="B21" s="135" t="str">
        <f>IF(ISBLANK('6.8Ratemaking Data'!D20),"",'6.8Ratemaking Data'!D20)</f>
        <v/>
      </c>
      <c r="C21" s="135" t="str">
        <f>IF(ISBLANK('6.8Ratemaking Data'!E20),"",'6.8Ratemaking Data'!E20)</f>
        <v/>
      </c>
      <c r="D21" s="135" t="str">
        <f>IF(ISBLANK('6.8Ratemaking Data'!F20),"",'6.8Ratemaking Data'!F20)</f>
        <v/>
      </c>
      <c r="E21" s="135" t="str">
        <f>IF(ISBLANK('6.8Ratemaking Data'!G20),"",'6.8Ratemaking Data'!G20)</f>
        <v/>
      </c>
      <c r="F21" s="135" t="str">
        <f>IF(ISBLANK('6.8Ratemaking Data'!H20),"",'6.8Ratemaking Data'!H20)</f>
        <v/>
      </c>
      <c r="G21" s="135" t="str">
        <f>IF(ISBLANK('6.8Ratemaking Data'!I20),"",'6.8Ratemaking Data'!I20)</f>
        <v/>
      </c>
      <c r="H21" s="136">
        <f>IF(New_Program=TRUE,'6.8Ratemaking Data'!$K$20,SUM($B21:$G21))</f>
        <v>0</v>
      </c>
      <c r="J21" s="126"/>
    </row>
    <row r="22" spans="1:10" x14ac:dyDescent="0.25">
      <c r="A22" s="134" t="s">
        <v>178</v>
      </c>
      <c r="B22" s="135" t="str">
        <f>IF(ISBLANK('6.8Ratemaking Data'!D21),"",'6.8Ratemaking Data'!D21)</f>
        <v/>
      </c>
      <c r="C22" s="135" t="str">
        <f>IF(ISBLANK('6.8Ratemaking Data'!E21),"",'6.8Ratemaking Data'!E21)</f>
        <v/>
      </c>
      <c r="D22" s="135" t="str">
        <f>IF(ISBLANK('6.8Ratemaking Data'!F21),"",'6.8Ratemaking Data'!F21)</f>
        <v/>
      </c>
      <c r="E22" s="135" t="str">
        <f>IF(ISBLANK('6.8Ratemaking Data'!G21),"",'6.8Ratemaking Data'!G21)</f>
        <v/>
      </c>
      <c r="F22" s="135" t="str">
        <f>IF(ISBLANK('6.8Ratemaking Data'!H21),"",'6.8Ratemaking Data'!H21)</f>
        <v/>
      </c>
      <c r="G22" s="135" t="str">
        <f>IF(ISBLANK('6.8Ratemaking Data'!I21),"",'6.8Ratemaking Data'!I21)</f>
        <v/>
      </c>
      <c r="H22" s="136">
        <f>IF(New_Program=TRUE,'6.8Ratemaking Data'!$K$21,SUM($B22:$G22))</f>
        <v>0</v>
      </c>
      <c r="J22" s="126"/>
    </row>
    <row r="23" spans="1:10" x14ac:dyDescent="0.25">
      <c r="A23" s="134" t="s">
        <v>144</v>
      </c>
      <c r="B23" s="135" t="str">
        <f>IF(ISBLANK('6.8Ratemaking Data'!D22),"",'6.8Ratemaking Data'!D22)</f>
        <v/>
      </c>
      <c r="C23" s="135" t="str">
        <f>IF(ISBLANK('6.8Ratemaking Data'!E22),"",'6.8Ratemaking Data'!E22)</f>
        <v/>
      </c>
      <c r="D23" s="135" t="str">
        <f>IF(ISBLANK('6.8Ratemaking Data'!F22),"",'6.8Ratemaking Data'!F22)</f>
        <v/>
      </c>
      <c r="E23" s="135" t="str">
        <f>IF(ISBLANK('6.8Ratemaking Data'!G22),"",'6.8Ratemaking Data'!G22)</f>
        <v/>
      </c>
      <c r="F23" s="135" t="str">
        <f>IF(ISBLANK('6.8Ratemaking Data'!H22),"",'6.8Ratemaking Data'!H22)</f>
        <v/>
      </c>
      <c r="G23" s="135" t="str">
        <f>IF(ISBLANK('6.8Ratemaking Data'!I22),"",'6.8Ratemaking Data'!I22)</f>
        <v/>
      </c>
      <c r="H23" s="136">
        <f>IF(New_Program=TRUE,'6.8Ratemaking Data'!$K$22,SUM($B23:$G23))</f>
        <v>0</v>
      </c>
      <c r="J23" s="126"/>
    </row>
    <row r="24" spans="1:10" x14ac:dyDescent="0.25">
      <c r="A24" s="134" t="s">
        <v>181</v>
      </c>
      <c r="B24" s="137" t="str">
        <f>IF(ISBLANK('6.8Ratemaking Data'!D23),"",'6.8Ratemaking Data'!D23)</f>
        <v/>
      </c>
      <c r="C24" s="137" t="str">
        <f>IF(ISBLANK('6.8Ratemaking Data'!E23),"",'6.8Ratemaking Data'!E23)</f>
        <v/>
      </c>
      <c r="D24" s="137" t="str">
        <f>IF(ISBLANK('6.8Ratemaking Data'!F23),"",'6.8Ratemaking Data'!F23)</f>
        <v/>
      </c>
      <c r="E24" s="137" t="str">
        <f>IF(ISBLANK('6.8Ratemaking Data'!G23),"",'6.8Ratemaking Data'!G23)</f>
        <v/>
      </c>
      <c r="F24" s="137" t="str">
        <f>IF(ISBLANK('6.8Ratemaking Data'!H23),"",'6.8Ratemaking Data'!H23)</f>
        <v/>
      </c>
      <c r="G24" s="137" t="str">
        <f>IF(ISBLANK('6.8Ratemaking Data'!I23),"",'6.8Ratemaking Data'!I23)</f>
        <v/>
      </c>
      <c r="H24" s="138"/>
    </row>
    <row r="25" spans="1:10" x14ac:dyDescent="0.25">
      <c r="A25" s="134" t="s">
        <v>182</v>
      </c>
      <c r="B25" s="137" t="str">
        <f>IF(ISBLANK('6.8Ratemaking Data'!D24),"",'6.8Ratemaking Data'!D24)</f>
        <v/>
      </c>
      <c r="C25" s="137" t="str">
        <f>IF(ISBLANK('6.8Ratemaking Data'!E24),"",'6.8Ratemaking Data'!E24)</f>
        <v/>
      </c>
      <c r="D25" s="137" t="str">
        <f>IF(ISBLANK('6.8Ratemaking Data'!F24),"",'6.8Ratemaking Data'!F24)</f>
        <v/>
      </c>
      <c r="E25" s="137" t="str">
        <f>IF(ISBLANK('6.8Ratemaking Data'!G24),"",'6.8Ratemaking Data'!G24)</f>
        <v/>
      </c>
      <c r="F25" s="137" t="str">
        <f>IF(ISBLANK('6.8Ratemaking Data'!H24),"",'6.8Ratemaking Data'!H24)</f>
        <v/>
      </c>
      <c r="G25" s="137" t="str">
        <f>IF(ISBLANK('6.8Ratemaking Data'!I24),"",'6.8Ratemaking Data'!I24)</f>
        <v/>
      </c>
      <c r="H25" s="138"/>
    </row>
    <row r="26" spans="1:10" x14ac:dyDescent="0.25">
      <c r="A26" s="134" t="s">
        <v>179</v>
      </c>
      <c r="B26" s="137" t="str">
        <f>IF(ISBLANK('6.8Ratemaking Data'!D25),"",'6.8Ratemaking Data'!D25)</f>
        <v/>
      </c>
      <c r="C26" s="137" t="str">
        <f>IF(ISBLANK('6.8Ratemaking Data'!E25),"",'6.8Ratemaking Data'!E25)</f>
        <v/>
      </c>
      <c r="D26" s="137" t="str">
        <f>IF(ISBLANK('6.8Ratemaking Data'!F25),"",'6.8Ratemaking Data'!F25)</f>
        <v/>
      </c>
      <c r="E26" s="137" t="str">
        <f>IF(ISBLANK('6.8Ratemaking Data'!G25),"",'6.8Ratemaking Data'!G25)</f>
        <v/>
      </c>
      <c r="F26" s="137" t="str">
        <f>IF(ISBLANK('6.8Ratemaking Data'!H25),"",'6.8Ratemaking Data'!H25)</f>
        <v/>
      </c>
      <c r="G26" s="137" t="str">
        <f>IF(ISBLANK('6.8Ratemaking Data'!I25),"",'6.8Ratemaking Data'!I25)</f>
        <v/>
      </c>
      <c r="H26" s="144">
        <f>IF(New_Program=TRUE,0,'6.8Ratemaking Data'!$J$25)</f>
        <v>0</v>
      </c>
    </row>
    <row r="27" spans="1:10" x14ac:dyDescent="0.25">
      <c r="A27" s="134" t="s">
        <v>180</v>
      </c>
      <c r="B27" s="137" t="str">
        <f>IF(ISBLANK('6.8Ratemaking Data'!D26),"",'6.8Ratemaking Data'!D26)</f>
        <v/>
      </c>
      <c r="C27" s="137" t="str">
        <f>IF(ISBLANK('6.8Ratemaking Data'!E26),"",'6.8Ratemaking Data'!E26)</f>
        <v/>
      </c>
      <c r="D27" s="137" t="str">
        <f>IF(ISBLANK('6.8Ratemaking Data'!F26),"",'6.8Ratemaking Data'!F26)</f>
        <v/>
      </c>
      <c r="E27" s="137" t="str">
        <f>IF(ISBLANK('6.8Ratemaking Data'!G26),"",'6.8Ratemaking Data'!G26)</f>
        <v/>
      </c>
      <c r="F27" s="137" t="str">
        <f>IF(ISBLANK('6.8Ratemaking Data'!H26),"",'6.8Ratemaking Data'!H26)</f>
        <v/>
      </c>
      <c r="G27" s="137" t="str">
        <f>IF(ISBLANK('6.8Ratemaking Data'!I26),"",'6.8Ratemaking Data'!I26)</f>
        <v/>
      </c>
      <c r="H27" s="144">
        <f>IF(New_Program=TRUE,0,'6.8Ratemaking Data'!$J$26)</f>
        <v>0</v>
      </c>
    </row>
    <row r="28" spans="1:10" x14ac:dyDescent="0.25">
      <c r="A28" s="134" t="s">
        <v>183</v>
      </c>
      <c r="B28" s="137" t="str">
        <f>IF(ISBLANK('6.8Ratemaking Data'!D27),"",'6.8Ratemaking Data'!D27)</f>
        <v/>
      </c>
      <c r="C28" s="137" t="str">
        <f>IF(ISBLANK('6.8Ratemaking Data'!E27),"",'6.8Ratemaking Data'!E27)</f>
        <v/>
      </c>
      <c r="D28" s="137" t="str">
        <f>IF(ISBLANK('6.8Ratemaking Data'!F27),"",'6.8Ratemaking Data'!F27)</f>
        <v/>
      </c>
      <c r="E28" s="137" t="str">
        <f>IF(ISBLANK('6.8Ratemaking Data'!G27),"",'6.8Ratemaking Data'!G27)</f>
        <v/>
      </c>
      <c r="F28" s="137" t="str">
        <f>IF(ISBLANK('6.8Ratemaking Data'!H27),"",'6.8Ratemaking Data'!H27)</f>
        <v/>
      </c>
      <c r="G28" s="137" t="str">
        <f>IF(ISBLANK('6.8Ratemaking Data'!I27),"",'6.8Ratemaking Data'!I27)</f>
        <v/>
      </c>
      <c r="H28" s="138"/>
    </row>
    <row r="29" spans="1:10" ht="15.75" thickBot="1" x14ac:dyDescent="0.3">
      <c r="A29" s="153" t="s">
        <v>188</v>
      </c>
      <c r="B29" s="154" t="str">
        <f>IF(ISBLANK('6.8Ratemaking Data'!D29),"",'6.8Ratemaking Data'!D29)</f>
        <v/>
      </c>
      <c r="C29" s="154" t="str">
        <f>IF(ISBLANK('6.8Ratemaking Data'!E29),"",'6.8Ratemaking Data'!E29)</f>
        <v/>
      </c>
      <c r="D29" s="154" t="str">
        <f>IF(ISBLANK('6.8Ratemaking Data'!F29),"",'6.8Ratemaking Data'!F29)</f>
        <v/>
      </c>
      <c r="E29" s="154" t="str">
        <f>IF(ISBLANK('6.8Ratemaking Data'!G29),"",'6.8Ratemaking Data'!G29)</f>
        <v/>
      </c>
      <c r="F29" s="154" t="str">
        <f>IF(ISBLANK('6.8Ratemaking Data'!H29),"",'6.8Ratemaking Data'!H29)</f>
        <v/>
      </c>
      <c r="G29" s="154" t="str">
        <f>IF(ISBLANK('6.8Ratemaking Data'!I29),"",'6.8Ratemaking Data'!I29)</f>
        <v/>
      </c>
      <c r="H29" s="155">
        <f>IF(New_Program=TRUE,'6.8Ratemaking Data'!$K$29,SUM($B29:$G29))</f>
        <v>0</v>
      </c>
    </row>
    <row r="30" spans="1:10" ht="15.75" thickTop="1" x14ac:dyDescent="0.25">
      <c r="A30" s="134" t="s">
        <v>184</v>
      </c>
      <c r="B30" s="139"/>
      <c r="C30" s="139"/>
      <c r="D30" s="139"/>
      <c r="E30" s="139"/>
      <c r="F30" s="139"/>
      <c r="G30" s="139"/>
      <c r="H30" s="144">
        <f>IF(New_Program=TRUE,100%,'6.8Ratemaking Data'!$J$28)</f>
        <v>0</v>
      </c>
    </row>
    <row r="31" spans="1:10" x14ac:dyDescent="0.25">
      <c r="A31" s="134" t="s">
        <v>185</v>
      </c>
      <c r="B31" s="139"/>
      <c r="C31" s="139"/>
      <c r="D31" s="139"/>
      <c r="E31" s="139"/>
      <c r="F31" s="139"/>
      <c r="G31" s="139"/>
      <c r="H31" s="144">
        <f>ExpRatio_Excluded</f>
        <v>1.3597266477453115E-2</v>
      </c>
    </row>
    <row r="32" spans="1:10" x14ac:dyDescent="0.25">
      <c r="A32" s="134" t="s">
        <v>166</v>
      </c>
      <c r="B32" s="139"/>
      <c r="C32" s="139"/>
      <c r="D32" s="139"/>
      <c r="E32" s="139"/>
      <c r="F32" s="139"/>
      <c r="G32" s="139"/>
      <c r="H32" s="144">
        <f>FIT_Inv</f>
        <v>0.18752087399665437</v>
      </c>
    </row>
    <row r="33" spans="1:9" ht="15.75" thickBot="1" x14ac:dyDescent="0.3">
      <c r="A33" s="98" t="s">
        <v>165</v>
      </c>
      <c r="B33" s="140"/>
      <c r="C33" s="140"/>
      <c r="D33" s="140"/>
      <c r="E33" s="140"/>
      <c r="F33" s="140"/>
      <c r="G33" s="140"/>
      <c r="H33" s="141">
        <f>Yield</f>
        <v>8.8050065696007235E-2</v>
      </c>
    </row>
    <row r="34" spans="1:9" ht="5.0999999999999996" customHeight="1" x14ac:dyDescent="0.25"/>
    <row r="35" spans="1:9" ht="15.75" thickBot="1" x14ac:dyDescent="0.3">
      <c r="A35" s="130" t="s">
        <v>189</v>
      </c>
      <c r="E35" s="93"/>
      <c r="F35" s="93"/>
      <c r="G35" s="93"/>
    </row>
    <row r="36" spans="1:9" x14ac:dyDescent="0.25">
      <c r="A36" s="131" t="s">
        <v>167</v>
      </c>
      <c r="B36" s="142"/>
      <c r="C36" s="142"/>
      <c r="D36" s="142"/>
      <c r="E36" s="142"/>
      <c r="F36" s="142"/>
      <c r="G36" s="142"/>
      <c r="H36" s="149">
        <f>FIT_UW</f>
        <v>0.21</v>
      </c>
      <c r="I36" s="90"/>
    </row>
    <row r="37" spans="1:9" x14ac:dyDescent="0.25">
      <c r="A37" s="134" t="s">
        <v>190</v>
      </c>
      <c r="B37" s="90"/>
      <c r="C37" s="90"/>
      <c r="D37" s="90"/>
      <c r="E37" s="90"/>
      <c r="F37" s="693" t="s">
        <v>317</v>
      </c>
      <c r="G37" s="694">
        <f>update_effstd</f>
        <v>2020</v>
      </c>
      <c r="H37" s="144" t="str">
        <f>EffStd_Final08</f>
        <v/>
      </c>
    </row>
    <row r="38" spans="1:9" x14ac:dyDescent="0.25">
      <c r="A38" s="134" t="s">
        <v>191</v>
      </c>
      <c r="B38" s="90"/>
      <c r="C38" s="90"/>
      <c r="D38" s="90"/>
      <c r="E38" s="90"/>
      <c r="F38" s="693" t="s">
        <v>317</v>
      </c>
      <c r="G38" s="694">
        <f>update_leverage</f>
        <v>2020</v>
      </c>
      <c r="H38" s="190" t="str">
        <f>LevFact_Final08</f>
        <v/>
      </c>
    </row>
    <row r="39" spans="1:9" x14ac:dyDescent="0.25">
      <c r="A39" s="134" t="s">
        <v>192</v>
      </c>
      <c r="B39" s="90"/>
      <c r="C39" s="90"/>
      <c r="D39" s="90"/>
      <c r="E39" s="90"/>
      <c r="F39" s="693"/>
      <c r="G39" s="693"/>
      <c r="H39" s="144">
        <f>PremTaxRate</f>
        <v>2.35E-2</v>
      </c>
    </row>
    <row r="40" spans="1:9" x14ac:dyDescent="0.25">
      <c r="A40" s="134" t="s">
        <v>193</v>
      </c>
      <c r="B40" s="90"/>
      <c r="C40" s="90"/>
      <c r="D40" s="90"/>
      <c r="E40" s="90"/>
      <c r="F40" s="693"/>
      <c r="G40" s="695"/>
      <c r="H40" s="191" t="e">
        <f>1/LevFact_Final08</f>
        <v>#VALUE!</v>
      </c>
    </row>
    <row r="41" spans="1:9" x14ac:dyDescent="0.25">
      <c r="A41" s="134" t="s">
        <v>198</v>
      </c>
      <c r="B41" s="90"/>
      <c r="C41" s="90"/>
      <c r="D41" s="90"/>
      <c r="E41" s="90"/>
      <c r="F41" s="693" t="s">
        <v>317</v>
      </c>
      <c r="G41" s="694">
        <f>update_reserveratios</f>
        <v>2020</v>
      </c>
      <c r="H41" s="191" t="str">
        <f>ResRatio_UPR08</f>
        <v/>
      </c>
    </row>
    <row r="42" spans="1:9" x14ac:dyDescent="0.25">
      <c r="A42" s="192" t="s">
        <v>194</v>
      </c>
      <c r="B42" s="90"/>
      <c r="C42" s="90"/>
      <c r="D42" s="90"/>
      <c r="E42" s="90"/>
      <c r="F42" s="693" t="s">
        <v>317</v>
      </c>
      <c r="G42" s="694">
        <f>update_reserveratios</f>
        <v>2020</v>
      </c>
      <c r="H42" s="191" t="str">
        <f>ResRatio_Loss08</f>
        <v/>
      </c>
    </row>
    <row r="43" spans="1:9" x14ac:dyDescent="0.25">
      <c r="A43" s="192" t="s">
        <v>195</v>
      </c>
      <c r="B43" s="90"/>
      <c r="C43" s="90"/>
      <c r="D43" s="90"/>
      <c r="E43" s="90"/>
      <c r="F43" s="691" t="s">
        <v>317</v>
      </c>
      <c r="G43" s="691" t="str">
        <f>ROR_RiskFree_Date</f>
        <v>June 2022</v>
      </c>
      <c r="H43" s="692">
        <f>ROR_RiskFree</f>
        <v>2.2799999999999997E-2</v>
      </c>
      <c r="I43" s="20" t="s">
        <v>732</v>
      </c>
    </row>
    <row r="44" spans="1:9" x14ac:dyDescent="0.25">
      <c r="A44" s="192" t="s">
        <v>197</v>
      </c>
      <c r="B44" s="90"/>
      <c r="C44" s="90"/>
      <c r="D44" s="90"/>
      <c r="E44" s="90"/>
      <c r="F44" s="90"/>
      <c r="G44" s="90"/>
      <c r="H44" s="286">
        <f>ROR_Min</f>
        <v>-0.06</v>
      </c>
      <c r="I44" s="20"/>
    </row>
    <row r="45" spans="1:9" ht="15.75" thickBot="1" x14ac:dyDescent="0.3">
      <c r="A45" s="193" t="s">
        <v>196</v>
      </c>
      <c r="B45" s="140"/>
      <c r="C45" s="140"/>
      <c r="D45" s="140"/>
      <c r="E45" s="140"/>
      <c r="F45" s="140"/>
      <c r="G45" s="140"/>
      <c r="H45" s="287">
        <f>ROR_Max</f>
        <v>8.2799999999999999E-2</v>
      </c>
    </row>
    <row r="46" spans="1:9" ht="5.0999999999999996" customHeight="1" x14ac:dyDescent="0.25"/>
    <row r="47" spans="1:9" ht="15.75" thickBot="1" x14ac:dyDescent="0.3">
      <c r="A47" s="130" t="s">
        <v>234</v>
      </c>
      <c r="B47" s="285" t="str">
        <f>'6.8Ratemaking Data'!D$14</f>
        <v>20171</v>
      </c>
      <c r="C47" s="285" t="str">
        <f>'6.8Ratemaking Data'!E$14</f>
        <v>20181</v>
      </c>
      <c r="D47" s="285" t="str">
        <f>'6.8Ratemaking Data'!F$14</f>
        <v>20191</v>
      </c>
      <c r="E47" s="285" t="str">
        <f>'6.8Ratemaking Data'!G$14</f>
        <v>20201</v>
      </c>
      <c r="F47" s="285" t="str">
        <f>'6.8Ratemaking Data'!H$14</f>
        <v>20211</v>
      </c>
      <c r="G47" s="285">
        <f>'6.8Ratemaking Data'!I$14</f>
        <v>20221</v>
      </c>
    </row>
    <row r="48" spans="1:9" x14ac:dyDescent="0.25">
      <c r="A48" s="131" t="s">
        <v>199</v>
      </c>
      <c r="B48" s="132" t="str">
        <f t="shared" ref="B48:G48" si="0">IF(ISERROR(Prem_Earned*Prem_Adj*Prem_Trend+Misc_Fees),"",Prem_Earned*Prem_Adj*Prem_Trend+Misc_Fees)</f>
        <v/>
      </c>
      <c r="C48" s="132" t="str">
        <f t="shared" si="0"/>
        <v/>
      </c>
      <c r="D48" s="132" t="str">
        <f t="shared" si="0"/>
        <v/>
      </c>
      <c r="E48" s="132" t="str">
        <f t="shared" si="0"/>
        <v/>
      </c>
      <c r="F48" s="132" t="str">
        <f t="shared" si="0"/>
        <v/>
      </c>
      <c r="G48" s="132" t="str">
        <f t="shared" si="0"/>
        <v/>
      </c>
      <c r="H48" s="133">
        <f>IF(New_Program=TRUE,(Prem_Earned+Misc_Fees),SUM($B48:$G48))</f>
        <v>0</v>
      </c>
    </row>
    <row r="49" spans="1:9" x14ac:dyDescent="0.25">
      <c r="A49" s="134" t="s">
        <v>200</v>
      </c>
      <c r="B49" s="135" t="str">
        <f t="shared" ref="B49:G49" si="1">IF(ISERROR(Losses*Loss_Devt*CAT_Adj*Loss_Trend),"",Losses*Loss_Devt*CAT_Adj*Loss_Trend)</f>
        <v/>
      </c>
      <c r="C49" s="135" t="str">
        <f t="shared" si="1"/>
        <v/>
      </c>
      <c r="D49" s="135" t="str">
        <f t="shared" si="1"/>
        <v/>
      </c>
      <c r="E49" s="135" t="str">
        <f t="shared" si="1"/>
        <v/>
      </c>
      <c r="F49" s="135" t="str">
        <f t="shared" si="1"/>
        <v/>
      </c>
      <c r="G49" s="135" t="str">
        <f t="shared" si="1"/>
        <v/>
      </c>
      <c r="H49" s="136">
        <f>IF(New_Program=TRUE,Losses,SUM($B49:$G49))</f>
        <v>0</v>
      </c>
    </row>
    <row r="50" spans="1:9" x14ac:dyDescent="0.25">
      <c r="A50" s="134" t="s">
        <v>201</v>
      </c>
      <c r="B50" s="135" t="str">
        <f t="shared" ref="B50:G50" si="2">IF(ISERROR(DCCE*DCCE_Devt*CAT_Adj*DCCE_Trend),"",DCCE*DCCE_Devt*CAT_Adj*DCCE_Trend)</f>
        <v/>
      </c>
      <c r="C50" s="135" t="str">
        <f t="shared" si="2"/>
        <v/>
      </c>
      <c r="D50" s="135" t="str">
        <f t="shared" si="2"/>
        <v/>
      </c>
      <c r="E50" s="135" t="str">
        <f t="shared" si="2"/>
        <v/>
      </c>
      <c r="F50" s="135" t="str">
        <f t="shared" si="2"/>
        <v/>
      </c>
      <c r="G50" s="135" t="str">
        <f t="shared" si="2"/>
        <v/>
      </c>
      <c r="H50" s="136">
        <f>IF(New_Program=TRUE,DCCE,SUM($B50:$G50))</f>
        <v>0</v>
      </c>
    </row>
    <row r="51" spans="1:9" x14ac:dyDescent="0.25">
      <c r="A51" s="134" t="s">
        <v>202</v>
      </c>
      <c r="B51" s="143" t="str">
        <f t="shared" ref="B51:H51" si="3">IF(ISERROR((B49+B50)/B48),"",(B49+B50)/B48)</f>
        <v/>
      </c>
      <c r="C51" s="143" t="str">
        <f t="shared" si="3"/>
        <v/>
      </c>
      <c r="D51" s="143" t="str">
        <f t="shared" si="3"/>
        <v/>
      </c>
      <c r="E51" s="143" t="str">
        <f t="shared" si="3"/>
        <v/>
      </c>
      <c r="F51" s="143" t="str">
        <f t="shared" si="3"/>
        <v/>
      </c>
      <c r="G51" s="143" t="str">
        <f t="shared" si="3"/>
        <v/>
      </c>
      <c r="H51" s="144" t="str">
        <f t="shared" si="3"/>
        <v/>
      </c>
    </row>
    <row r="52" spans="1:9" x14ac:dyDescent="0.25">
      <c r="A52" s="134" t="s">
        <v>215</v>
      </c>
      <c r="B52" s="576" t="str">
        <f t="shared" ref="B52:H52" si="4">IF(ISERROR(Prem_Adjusted/Exposures_Earned),"",Prem_Adjusted/Exposures_Earned)</f>
        <v/>
      </c>
      <c r="C52" s="576" t="str">
        <f t="shared" si="4"/>
        <v/>
      </c>
      <c r="D52" s="576" t="str">
        <f t="shared" si="4"/>
        <v/>
      </c>
      <c r="E52" s="576" t="str">
        <f t="shared" si="4"/>
        <v/>
      </c>
      <c r="F52" s="576" t="str">
        <f t="shared" si="4"/>
        <v/>
      </c>
      <c r="G52" s="576" t="str">
        <f t="shared" si="4"/>
        <v/>
      </c>
      <c r="H52" s="147" t="str">
        <f t="shared" si="4"/>
        <v/>
      </c>
    </row>
    <row r="53" spans="1:9" x14ac:dyDescent="0.25">
      <c r="A53" s="134" t="s">
        <v>203</v>
      </c>
      <c r="B53" s="576" t="str">
        <f t="shared" ref="B53:H53" si="5">IF(ISERROR((Losses_Adjusted+DCCE_Adjusted)/Exposures_Earned),"",(Losses_Adjusted+DCCE_Adjusted)/Exposures_Earned)</f>
        <v/>
      </c>
      <c r="C53" s="576" t="str">
        <f t="shared" si="5"/>
        <v/>
      </c>
      <c r="D53" s="576" t="str">
        <f t="shared" si="5"/>
        <v/>
      </c>
      <c r="E53" s="576" t="str">
        <f t="shared" si="5"/>
        <v/>
      </c>
      <c r="F53" s="576" t="str">
        <f t="shared" si="5"/>
        <v/>
      </c>
      <c r="G53" s="576" t="str">
        <f t="shared" si="5"/>
        <v/>
      </c>
      <c r="H53" s="147" t="str">
        <f t="shared" si="5"/>
        <v/>
      </c>
    </row>
    <row r="54" spans="1:9" x14ac:dyDescent="0.25">
      <c r="A54" s="134" t="s">
        <v>204</v>
      </c>
      <c r="B54" s="576" t="str">
        <f t="shared" ref="B54:H54" si="6">IF(ISERROR((TCRLP_perExp*(1+Comp_Trend)*Max_Denom+Anc_Inc_perExp)/(1-InvInc_Fixed)),"",(TCRLP_perExp*(1+Comp_Trend)*Max_Denom+Anc_Inc_perExp)/(1-InvInc_Fixed))</f>
        <v/>
      </c>
      <c r="C54" s="576" t="str">
        <f t="shared" si="6"/>
        <v/>
      </c>
      <c r="D54" s="576" t="str">
        <f t="shared" si="6"/>
        <v/>
      </c>
      <c r="E54" s="576" t="str">
        <f t="shared" si="6"/>
        <v/>
      </c>
      <c r="F54" s="576" t="str">
        <f t="shared" si="6"/>
        <v/>
      </c>
      <c r="G54" s="576" t="str">
        <f t="shared" si="6"/>
        <v/>
      </c>
      <c r="H54" s="147" t="str">
        <f t="shared" si="6"/>
        <v/>
      </c>
    </row>
    <row r="55" spans="1:9" x14ac:dyDescent="0.25">
      <c r="A55" s="134" t="s">
        <v>214</v>
      </c>
      <c r="B55" s="576" t="str">
        <f t="shared" ref="B55:H55" si="7">IF(ISERROR(Credibility*LossDCCE_perExp+(1-Credibility)*CompLossDCCE_perExp),"",Credibility*LossDCCE_perExp+(1-Credibility)*CompLossDCCE_perExp)</f>
        <v/>
      </c>
      <c r="C55" s="576" t="str">
        <f t="shared" si="7"/>
        <v/>
      </c>
      <c r="D55" s="576" t="str">
        <f t="shared" si="7"/>
        <v/>
      </c>
      <c r="E55" s="576" t="str">
        <f t="shared" si="7"/>
        <v/>
      </c>
      <c r="F55" s="576" t="str">
        <f t="shared" si="7"/>
        <v/>
      </c>
      <c r="G55" s="576" t="str">
        <f t="shared" si="7"/>
        <v/>
      </c>
      <c r="H55" s="147" t="str">
        <f t="shared" si="7"/>
        <v/>
      </c>
    </row>
    <row r="56" spans="1:9" ht="15.75" thickBot="1" x14ac:dyDescent="0.3">
      <c r="A56" s="153" t="s">
        <v>216</v>
      </c>
      <c r="B56" s="250" t="str">
        <f t="shared" ref="B56:H56" si="8">IF(ISERROR(Anc_Income/Exposures_Earned),"",Anc_Income/Exposures_Earned)</f>
        <v/>
      </c>
      <c r="C56" s="250" t="str">
        <f t="shared" si="8"/>
        <v/>
      </c>
      <c r="D56" s="250" t="str">
        <f t="shared" si="8"/>
        <v/>
      </c>
      <c r="E56" s="250" t="str">
        <f t="shared" si="8"/>
        <v/>
      </c>
      <c r="F56" s="250" t="str">
        <f t="shared" si="8"/>
        <v/>
      </c>
      <c r="G56" s="250" t="str">
        <f t="shared" si="8"/>
        <v/>
      </c>
      <c r="H56" s="251" t="str">
        <f t="shared" si="8"/>
        <v/>
      </c>
    </row>
    <row r="57" spans="1:9" ht="15.75" thickTop="1" x14ac:dyDescent="0.25">
      <c r="A57" s="134" t="s">
        <v>217</v>
      </c>
      <c r="B57" s="90"/>
      <c r="C57" s="90"/>
      <c r="D57" s="90"/>
      <c r="E57" s="90"/>
      <c r="F57" s="90"/>
      <c r="G57" s="90"/>
      <c r="H57" s="144" t="e">
        <f>Yield*((1-FIT_Inv)/(1-FIT_UW))*ResRatio_Loss08</f>
        <v>#VALUE!</v>
      </c>
    </row>
    <row r="58" spans="1:9" x14ac:dyDescent="0.25">
      <c r="A58" s="134" t="s">
        <v>218</v>
      </c>
      <c r="B58" s="90"/>
      <c r="C58" s="90"/>
      <c r="D58" s="90"/>
      <c r="E58" s="90"/>
      <c r="F58" s="90"/>
      <c r="G58" s="90"/>
      <c r="H58" s="144" t="e">
        <f>Yield*((1-FIT_Inv)/(1-FIT_UW))*(ResRatio_UPR08+SurplusRatio)</f>
        <v>#VALUE!</v>
      </c>
    </row>
    <row r="59" spans="1:9" x14ac:dyDescent="0.25">
      <c r="A59" s="134" t="s">
        <v>206</v>
      </c>
      <c r="B59" s="145"/>
      <c r="C59" s="145"/>
      <c r="D59" s="145"/>
      <c r="E59" s="145"/>
      <c r="F59" s="145"/>
      <c r="G59" s="145"/>
      <c r="H59" s="144">
        <f>(1+Loss_AnnualTrend)/(1+Prem_AnnualTrend)-1</f>
        <v>0</v>
      </c>
    </row>
    <row r="60" spans="1:9" x14ac:dyDescent="0.25">
      <c r="A60" s="134" t="s">
        <v>205</v>
      </c>
      <c r="B60" s="145"/>
      <c r="C60" s="145"/>
      <c r="D60" s="145"/>
      <c r="E60" s="145"/>
      <c r="F60" s="145"/>
      <c r="G60" s="145"/>
      <c r="H60" s="144" t="e">
        <f>IF(New_Program=TRUE,0,(1+Net_AnnualTrend)^MIN(4,((EffDate_Proposed-EffDate_Prior08)/365.25))-1)</f>
        <v>#VALUE!</v>
      </c>
    </row>
    <row r="61" spans="1:9" x14ac:dyDescent="0.25">
      <c r="A61" s="134" t="s">
        <v>207</v>
      </c>
      <c r="B61" s="145"/>
      <c r="C61" s="145"/>
      <c r="D61" s="145"/>
      <c r="E61" s="145"/>
      <c r="F61" s="145"/>
      <c r="G61" s="145"/>
      <c r="H61" s="144" t="e">
        <f>(ROR_Max)/(LevFact_Final08*(1-FIT_UW))</f>
        <v>#VALUE!</v>
      </c>
    </row>
    <row r="62" spans="1:9" x14ac:dyDescent="0.25">
      <c r="A62" s="134" t="s">
        <v>208</v>
      </c>
      <c r="B62" s="90"/>
      <c r="C62" s="90"/>
      <c r="D62" s="90"/>
      <c r="E62" s="90"/>
      <c r="F62" s="90"/>
      <c r="G62" s="90"/>
      <c r="H62" s="144" t="e">
        <f>(ROR_Min)/(LevFact_Final08*(1-FIT_UW))</f>
        <v>#VALUE!</v>
      </c>
    </row>
    <row r="63" spans="1:9" x14ac:dyDescent="0.25">
      <c r="A63" s="134" t="s">
        <v>209</v>
      </c>
      <c r="B63" s="90"/>
      <c r="C63" s="90"/>
      <c r="D63" s="90"/>
      <c r="E63" s="90"/>
      <c r="F63" s="90"/>
      <c r="G63" s="90"/>
      <c r="H63" s="144" t="e">
        <f>1-CredLossDCCE_perExp/Max_Premium-EffStd_Final08</f>
        <v>#VALUE!</v>
      </c>
      <c r="I63" s="252"/>
    </row>
    <row r="64" spans="1:9" x14ac:dyDescent="0.25">
      <c r="A64" s="134" t="s">
        <v>211</v>
      </c>
      <c r="B64" s="90"/>
      <c r="C64" s="90"/>
      <c r="D64" s="90"/>
      <c r="E64" s="90"/>
      <c r="F64" s="90"/>
      <c r="G64" s="90"/>
      <c r="H64" s="146" t="e">
        <f>1-EffStd_Final08-Min_Profit+InvInc_Variable</f>
        <v>#VALUE!</v>
      </c>
      <c r="I64" s="252"/>
    </row>
    <row r="65" spans="1:9" x14ac:dyDescent="0.25">
      <c r="A65" s="134" t="s">
        <v>210</v>
      </c>
      <c r="B65" s="90"/>
      <c r="C65" s="90"/>
      <c r="D65" s="90"/>
      <c r="E65" s="90"/>
      <c r="F65" s="90"/>
      <c r="G65" s="90"/>
      <c r="H65" s="146" t="e">
        <f>1-EffStd_Final08-Max_Profit+InvInc_Variable</f>
        <v>#VALUE!</v>
      </c>
      <c r="I65" s="473" t="str">
        <f>IF(AND(Error35="",Error36=""),"","See Column H of Page '3.2YieldFIT' for errors that must be corrected.")</f>
        <v/>
      </c>
    </row>
    <row r="66" spans="1:9" x14ac:dyDescent="0.25">
      <c r="A66" s="134" t="s">
        <v>213</v>
      </c>
      <c r="B66" s="90"/>
      <c r="C66" s="90"/>
      <c r="D66" s="90"/>
      <c r="E66" s="90"/>
      <c r="F66" s="90"/>
      <c r="G66" s="90"/>
      <c r="H66" s="577" t="e">
        <f>(CredLossDCCE_perExp*(1-InvInc_Fixed)-Anc_Inc_perExp)/Min_Denom</f>
        <v>#VALUE!</v>
      </c>
      <c r="I66" s="473" t="str">
        <f>IF(Error38="","","See Column F of Page '4.2Excluded Exp' for errors that must be corrected.")</f>
        <v/>
      </c>
    </row>
    <row r="67" spans="1:9" ht="15.75" thickBot="1" x14ac:dyDescent="0.3">
      <c r="A67" s="134" t="s">
        <v>212</v>
      </c>
      <c r="B67" s="90"/>
      <c r="C67" s="90"/>
      <c r="D67" s="90"/>
      <c r="E67" s="90"/>
      <c r="F67" s="90"/>
      <c r="G67" s="90"/>
      <c r="H67" s="577" t="e">
        <f>(CredLossDCCE_perExp*(1-InvInc_Fixed)-Anc_Inc_perExp)/Max_Denom</f>
        <v>#VALUE!</v>
      </c>
      <c r="I67" s="471" t="str">
        <f>IF(Error34="","","See Column I of Page '2.Summary' for errors that must be corrected.")</f>
        <v/>
      </c>
    </row>
    <row r="68" spans="1:9" x14ac:dyDescent="0.25">
      <c r="A68" s="95" t="s">
        <v>235</v>
      </c>
      <c r="B68" s="90"/>
      <c r="C68" s="90"/>
      <c r="D68" s="90"/>
      <c r="E68" s="90"/>
      <c r="F68" s="90"/>
      <c r="G68" s="90"/>
      <c r="H68" s="289" t="str">
        <f>IF(AND(I65="",I66="",I67="",I68="",I69=""),(Min_Premium-Prem_Current)/Prem_Current,"Error")</f>
        <v>Error</v>
      </c>
      <c r="I68" s="473" t="str">
        <f>IF(AND(Error00="",Error01="",Error02="",Error03="",Error04="",Error05="",Error06="",Error07="",Error08="",Error09="",Error10="",Error11="",Error12="",Error13="",Error14="",Error15="",Error16="",Error37=""),"","See Column J of Page '1.General' for errors that must be corrected.")</f>
        <v/>
      </c>
    </row>
    <row r="69" spans="1:9" ht="19.5" thickBot="1" x14ac:dyDescent="0.3">
      <c r="A69" s="96" t="s">
        <v>236</v>
      </c>
      <c r="B69" s="140"/>
      <c r="C69" s="140"/>
      <c r="D69" s="140"/>
      <c r="E69" s="140"/>
      <c r="F69" s="140"/>
      <c r="G69" s="140"/>
      <c r="H69" s="288" t="str">
        <f>IF(AND(I65="",I66="",I67="",I68="",I69=""),(Max_Premium-Prem_Current)/Prem_Current, "Error")</f>
        <v>Error</v>
      </c>
      <c r="I69" s="471" t="str">
        <f>IF(AND('6.8Ratemaking Data'!Error17="",'6.8Ratemaking Data'!Error18="",'6.8Ratemaking Data'!Error19="",'6.8Ratemaking Data'!Error20="",'6.8Ratemaking Data'!Error21="",'6.8Ratemaking Data'!Error22="",'6.8Ratemaking Data'!Error23="",'6.8Ratemaking Data'!Error24="",'6.8Ratemaking Data'!Error25="",'6.8Ratemaking Data'!Error26="",'6.8Ratemaking Data'!Error27="",'6.8Ratemaking Data'!Error28="",'6.8Ratemaking Data'!Error29=""),"","See Column M of Page '6.8Ratemaking Data' for errors that must be corrected.")</f>
        <v>See Column M of Page '6.8Ratemaking Data' for errors that must be corrected.</v>
      </c>
    </row>
    <row r="70" spans="1:9" ht="5.0999999999999996" hidden="1" customHeight="1" x14ac:dyDescent="0.25"/>
    <row r="71" spans="1:9" ht="15.75" hidden="1" thickBot="1" x14ac:dyDescent="0.3">
      <c r="A71" s="130" t="s">
        <v>233</v>
      </c>
      <c r="B71" s="285" t="str">
        <f>'6.8Ratemaking Data'!D$14</f>
        <v>20171</v>
      </c>
      <c r="C71" s="285" t="str">
        <f>'6.8Ratemaking Data'!E$14</f>
        <v>20181</v>
      </c>
      <c r="D71" s="285" t="str">
        <f>'6.8Ratemaking Data'!F$14</f>
        <v>20191</v>
      </c>
      <c r="E71" s="285" t="str">
        <f>'6.8Ratemaking Data'!G$14</f>
        <v>20201</v>
      </c>
      <c r="F71" s="285" t="str">
        <f>'6.8Ratemaking Data'!H$14</f>
        <v>20211</v>
      </c>
      <c r="G71" s="285">
        <f>'6.8Ratemaking Data'!I$14</f>
        <v>20221</v>
      </c>
    </row>
    <row r="72" spans="1:9" hidden="1" x14ac:dyDescent="0.25">
      <c r="A72" s="148" t="s">
        <v>232</v>
      </c>
      <c r="B72" s="142"/>
      <c r="C72" s="142"/>
      <c r="D72" s="142"/>
      <c r="E72" s="142"/>
      <c r="F72" s="142"/>
      <c r="G72" s="142"/>
      <c r="H72" s="149" t="str">
        <f>IF(ISBLANK('6.8Ratemaking Data'!J44),"",'6.8Ratemaking Data'!J44)</f>
        <v/>
      </c>
    </row>
    <row r="73" spans="1:9" hidden="1" x14ac:dyDescent="0.25">
      <c r="A73" s="150" t="s">
        <v>219</v>
      </c>
      <c r="B73" s="135" t="str">
        <f>IF(ISBLANK('6.8Ratemaking Data'!D45),"",'6.8Ratemaking Data'!D45)</f>
        <v/>
      </c>
      <c r="C73" s="135" t="str">
        <f>IF(ISBLANK('6.8Ratemaking Data'!E45),"",'6.8Ratemaking Data'!E45)</f>
        <v/>
      </c>
      <c r="D73" s="135" t="str">
        <f>IF(ISBLANK('6.8Ratemaking Data'!F45),"",'6.8Ratemaking Data'!F45)</f>
        <v/>
      </c>
      <c r="E73" s="135" t="str">
        <f>IF(ISBLANK('6.8Ratemaking Data'!G45),"",'6.8Ratemaking Data'!G45)</f>
        <v/>
      </c>
      <c r="F73" s="135" t="str">
        <f>IF(ISBLANK('6.8Ratemaking Data'!H45),"",'6.8Ratemaking Data'!H45)</f>
        <v/>
      </c>
      <c r="G73" s="135" t="str">
        <f>IF(ISBLANK('6.8Ratemaking Data'!I45),"",'6.8Ratemaking Data'!I45)</f>
        <v/>
      </c>
      <c r="H73" s="136" t="str">
        <f>IF(RIGHT(Detailed_LineCode08,1)="R",IF(New_Program=TRUE,'6.8Ratemaking Data'!$K$45,SUM($B73:$G73)),"")</f>
        <v/>
      </c>
    </row>
    <row r="74" spans="1:9" hidden="1" x14ac:dyDescent="0.25">
      <c r="A74" s="150" t="s">
        <v>220</v>
      </c>
      <c r="B74" s="135" t="str">
        <f>IF(ISBLANK('6.8Ratemaking Data'!D46),"",'6.8Ratemaking Data'!D46)</f>
        <v/>
      </c>
      <c r="C74" s="135" t="str">
        <f>IF(ISBLANK('6.8Ratemaking Data'!E46),"",'6.8Ratemaking Data'!E46)</f>
        <v/>
      </c>
      <c r="D74" s="135" t="str">
        <f>IF(ISBLANK('6.8Ratemaking Data'!F46),"",'6.8Ratemaking Data'!F46)</f>
        <v/>
      </c>
      <c r="E74" s="135" t="str">
        <f>IF(ISBLANK('6.8Ratemaking Data'!G46),"",'6.8Ratemaking Data'!G46)</f>
        <v/>
      </c>
      <c r="F74" s="135" t="str">
        <f>IF(ISBLANK('6.8Ratemaking Data'!H46),"",'6.8Ratemaking Data'!H46)</f>
        <v/>
      </c>
      <c r="G74" s="135" t="str">
        <f>IF(ISBLANK('6.8Ratemaking Data'!I46),"",'6.8Ratemaking Data'!I46)</f>
        <v/>
      </c>
      <c r="H74" s="136">
        <f>IF(New_Program=TRUE,'6.8Ratemaking Data'!$K$46,SUM($B74:$G74))</f>
        <v>0</v>
      </c>
    </row>
    <row r="75" spans="1:9" hidden="1" x14ac:dyDescent="0.25">
      <c r="A75" s="150" t="s">
        <v>221</v>
      </c>
      <c r="B75" s="578" t="str">
        <f t="shared" ref="B75:H75" si="9">IF(ISERROR(Rein_Prem/Exposures_Earned),"",Rein_Prem/Exposures_Earned)</f>
        <v/>
      </c>
      <c r="C75" s="578" t="str">
        <f t="shared" si="9"/>
        <v/>
      </c>
      <c r="D75" s="578" t="str">
        <f t="shared" si="9"/>
        <v/>
      </c>
      <c r="E75" s="578" t="str">
        <f t="shared" si="9"/>
        <v/>
      </c>
      <c r="F75" s="578" t="str">
        <f t="shared" si="9"/>
        <v/>
      </c>
      <c r="G75" s="578" t="str">
        <f t="shared" si="9"/>
        <v/>
      </c>
      <c r="H75" s="577" t="str">
        <f t="shared" si="9"/>
        <v/>
      </c>
    </row>
    <row r="76" spans="1:9" hidden="1" x14ac:dyDescent="0.25">
      <c r="A76" s="150" t="s">
        <v>222</v>
      </c>
      <c r="B76" s="578" t="str">
        <f t="shared" ref="B76:H76" si="10">IF(ISERROR(Rein_Recov/Exposures_Earned),"",Rein_Recov/Exposures_Earned)</f>
        <v/>
      </c>
      <c r="C76" s="578" t="str">
        <f t="shared" si="10"/>
        <v/>
      </c>
      <c r="D76" s="578" t="str">
        <f t="shared" si="10"/>
        <v/>
      </c>
      <c r="E76" s="578" t="str">
        <f t="shared" si="10"/>
        <v/>
      </c>
      <c r="F76" s="578" t="str">
        <f t="shared" si="10"/>
        <v/>
      </c>
      <c r="G76" s="578" t="str">
        <f t="shared" si="10"/>
        <v/>
      </c>
      <c r="H76" s="577" t="str">
        <f t="shared" si="10"/>
        <v/>
      </c>
    </row>
    <row r="77" spans="1:9" hidden="1" x14ac:dyDescent="0.25">
      <c r="A77" s="150" t="s">
        <v>223</v>
      </c>
      <c r="B77" s="578" t="str">
        <f t="shared" ref="B77:H77" si="11">IF(ISERROR((TCRLP_perExp*(1+Comp_Trend)*Max_Denom+Anc_Inc_perExp-ReinPrem_perExp*Max_Denom/(1-Comm_Rate-PremTaxRate))/(1-InvInc_Fixed)),"",(TCRLP_perExp*(1+Comp_Trend)*Max_Denom+Anc_Inc_perExp-ReinPrem_perExp*Max_Denom/(1-Comm_Rate-PremTaxRate))/(1-InvInc_Fixed))</f>
        <v/>
      </c>
      <c r="C77" s="578" t="str">
        <f t="shared" si="11"/>
        <v/>
      </c>
      <c r="D77" s="578" t="str">
        <f t="shared" si="11"/>
        <v/>
      </c>
      <c r="E77" s="578" t="str">
        <f t="shared" si="11"/>
        <v/>
      </c>
      <c r="F77" s="578" t="str">
        <f t="shared" si="11"/>
        <v/>
      </c>
      <c r="G77" s="578" t="str">
        <f t="shared" si="11"/>
        <v/>
      </c>
      <c r="H77" s="577" t="str">
        <f t="shared" si="11"/>
        <v/>
      </c>
    </row>
    <row r="78" spans="1:9" ht="15.75" hidden="1" thickBot="1" x14ac:dyDescent="0.3">
      <c r="A78" s="150" t="s">
        <v>224</v>
      </c>
      <c r="B78" s="90"/>
      <c r="C78" s="90"/>
      <c r="D78" s="90"/>
      <c r="E78" s="90"/>
      <c r="F78" s="90"/>
      <c r="G78" s="90"/>
      <c r="H78" s="577" t="e">
        <f>IF(H73=0,NA(),((((Credibility*(LossDCCE_perExp-ReinRec_perExp))+(1-Credibility)*CompLoss_Rein)*(1-InvInc_Fixed)-Anc_Inc_perExp)/Max_Denom)+ReinPrem_perExp/(1-Comm_Rate-PremTaxRate))</f>
        <v>#VALUE!</v>
      </c>
      <c r="I78" s="473"/>
    </row>
    <row r="79" spans="1:9" ht="19.5" hidden="1" thickBot="1" x14ac:dyDescent="0.3">
      <c r="A79" s="151" t="s">
        <v>225</v>
      </c>
      <c r="B79" s="140"/>
      <c r="C79" s="140"/>
      <c r="D79" s="140"/>
      <c r="E79" s="140"/>
      <c r="F79" s="140"/>
      <c r="G79" s="140"/>
      <c r="H79" s="485" t="e">
        <f>IF(I79="",IF($H$73=0,NA(),(ReinMax_Premium-Prem_Current)/Prem_Current),"Error")</f>
        <v>#VALUE!</v>
      </c>
      <c r="I79" s="471" t="str">
        <f>IF(AND('6.8Ratemaking Data'!Error30="",'6.8Ratemaking Data'!Error31="",'6.8Ratemaking Data'!Error32=""),"","See Column M of Page '6.8Ratemaking Data' for errors that must be corrected.")</f>
        <v/>
      </c>
    </row>
    <row r="80" spans="1:9" ht="26.25" x14ac:dyDescent="0.25">
      <c r="F80" s="787" t="s">
        <v>617</v>
      </c>
      <c r="G80" s="787"/>
      <c r="H80" s="787"/>
    </row>
    <row r="81" spans="1:1" x14ac:dyDescent="0.25">
      <c r="A81" s="152"/>
    </row>
  </sheetData>
  <sheetProtection algorithmName="SHA-512" hashValue="7SV39w/0ubFZRcVgPhtyOs9GYVACCtOdJqpilSGOT9iWKL+wtD6TmQhJWIFANf16cLw08d3+hXVPi2foA13JPQ==" saltValue="kFxFwOh80n4TwXDT2TWNYw==" spinCount="100000" sheet="1" objects="1" scenarios="1" formatColumns="0" formatRows="0" sort="0"/>
  <mergeCells count="1">
    <mergeCell ref="F80:H80"/>
  </mergeCells>
  <conditionalFormatting sqref="H79">
    <cfRule type="cellIs" dxfId="5" priority="2" operator="equal">
      <formula>"Error"</formula>
    </cfRule>
  </conditionalFormatting>
  <conditionalFormatting sqref="H68:H69">
    <cfRule type="cellIs" dxfId="4" priority="1" operator="equal">
      <formula>"Error"</formula>
    </cfRule>
  </conditionalFormatting>
  <hyperlinks>
    <hyperlink ref="F80" location="'Ratemaking Data (7)'!A1" display="Go to Ratemaking Data (7)" xr:uid="{00000000-0004-0000-1B00-000000000000}"/>
    <hyperlink ref="F80:H80" location="'6.8Ratemaking Data'!A1" display="Go to 6.8Ratemaking Data" xr:uid="{00000000-0004-0000-1B00-000001000000}"/>
  </hyperlinks>
  <printOptions horizontalCentered="1"/>
  <pageMargins left="0.45" right="0.45" top="0.5" bottom="0.5" header="0.3" footer="0.3"/>
  <pageSetup scale="72" orientation="portrait" r:id="rId1"/>
  <headerFooter>
    <oddFooter>&amp;CPrior Approval Rate Template&amp;RPage 7.8&amp;L01/11/2022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7827" r:id="rId4" name="btnYears">
              <controlPr defaultSize="0" print="0" autoFill="0" autoPict="0" macro="[0]!ExpandContractColsData">
                <anchor moveWithCells="1">
                  <from>
                    <xdr:col>5</xdr:col>
                    <xdr:colOff>19050</xdr:colOff>
                    <xdr:row>6</xdr:row>
                    <xdr:rowOff>0</xdr:rowOff>
                  </from>
                  <to>
                    <xdr:col>6</xdr:col>
                    <xdr:colOff>733425</xdr:colOff>
                    <xdr:row>8</xdr:row>
                    <xdr:rowOff>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8">
    <tabColor theme="0" tint="-0.14999847407452621"/>
    <pageSetUpPr fitToPage="1"/>
  </sheetPr>
  <dimension ref="A1:J81"/>
  <sheetViews>
    <sheetView view="pageBreakPreview" zoomScaleNormal="100" zoomScaleSheetLayoutView="100" workbookViewId="0"/>
  </sheetViews>
  <sheetFormatPr defaultRowHeight="15" x14ac:dyDescent="0.25"/>
  <cols>
    <col min="1" max="1" width="28.28515625" style="14" customWidth="1"/>
    <col min="2" max="4" width="15.7109375" style="14" hidden="1" customWidth="1"/>
    <col min="5" max="8" width="17.42578125" style="14" customWidth="1"/>
    <col min="9" max="9" width="22.5703125" style="14" bestFit="1" customWidth="1"/>
    <col min="10" max="16384" width="9.140625" style="14"/>
  </cols>
  <sheetData>
    <row r="1" spans="1:8" x14ac:dyDescent="0.25">
      <c r="A1" s="10" t="s">
        <v>31</v>
      </c>
      <c r="E1" s="124" t="s">
        <v>33</v>
      </c>
      <c r="H1" s="125" t="str">
        <f>Co_Name</f>
        <v>State Farm Mutual Automobile Insurance Company</v>
      </c>
    </row>
    <row r="2" spans="1:8" x14ac:dyDescent="0.25">
      <c r="A2" s="8" t="s">
        <v>32</v>
      </c>
      <c r="E2" s="124" t="s">
        <v>34</v>
      </c>
      <c r="H2" s="125" t="str">
        <f>General_Line</f>
        <v>Auto Liability and Physical Damage</v>
      </c>
    </row>
    <row r="3" spans="1:8" x14ac:dyDescent="0.25">
      <c r="E3" s="181" t="s">
        <v>142</v>
      </c>
      <c r="F3" s="182"/>
      <c r="G3" s="182"/>
      <c r="H3" s="188" t="str">
        <f>CDI_FileNo</f>
        <v/>
      </c>
    </row>
    <row r="4" spans="1:8" ht="18" customHeight="1" x14ac:dyDescent="0.25">
      <c r="A4" s="607" t="str">
        <f>IF('6.9Ratemaking Data'!$K$7="","VARIANCE - NONE","VARIANCE "&amp;'6.9Ratemaking Data'!$K$7)</f>
        <v>VARIANCE - NONE</v>
      </c>
    </row>
    <row r="5" spans="1:8" ht="23.25" x14ac:dyDescent="0.25">
      <c r="A5" s="4" t="s">
        <v>665</v>
      </c>
      <c r="B5" s="123"/>
      <c r="C5" s="123"/>
      <c r="D5" s="123"/>
      <c r="E5" s="123"/>
      <c r="F5" s="123"/>
      <c r="G5" s="123"/>
      <c r="H5" s="123"/>
    </row>
    <row r="6" spans="1:8" ht="9.9499999999999993" customHeight="1" x14ac:dyDescent="0.25"/>
    <row r="7" spans="1:8" ht="15" customHeight="1" x14ac:dyDescent="0.25">
      <c r="A7" s="14" t="s">
        <v>1</v>
      </c>
      <c r="H7" s="28" t="str">
        <f>Completed_By</f>
        <v>Laura Campbell</v>
      </c>
    </row>
    <row r="8" spans="1:8" ht="15" customHeight="1" x14ac:dyDescent="0.25">
      <c r="A8" s="14" t="s">
        <v>76</v>
      </c>
      <c r="H8" s="189">
        <f>Completed_Date</f>
        <v>44816</v>
      </c>
    </row>
    <row r="9" spans="1:8" ht="15" customHeight="1" x14ac:dyDescent="0.25">
      <c r="A9" s="14" t="s">
        <v>169</v>
      </c>
      <c r="H9" s="189" t="str">
        <f>EffDate_Prior09</f>
        <v/>
      </c>
    </row>
    <row r="10" spans="1:8" ht="15" customHeight="1" x14ac:dyDescent="0.25">
      <c r="A10" s="14" t="s">
        <v>170</v>
      </c>
      <c r="B10" s="62"/>
      <c r="H10" s="189">
        <f>EffDate_Proposed</f>
        <v>45061</v>
      </c>
    </row>
    <row r="11" spans="1:8" ht="15" customHeight="1" x14ac:dyDescent="0.25">
      <c r="A11" s="14" t="s">
        <v>77</v>
      </c>
      <c r="B11" s="62"/>
      <c r="H11" s="28" t="str">
        <f>Detailed_LineDesc09</f>
        <v/>
      </c>
    </row>
    <row r="12" spans="1:8" ht="15" customHeight="1" x14ac:dyDescent="0.25">
      <c r="A12" s="14" t="s">
        <v>78</v>
      </c>
      <c r="B12" s="62"/>
      <c r="H12" s="28" t="str">
        <f>Covg09</f>
        <v/>
      </c>
    </row>
    <row r="13" spans="1:8" ht="15" customHeight="1" x14ac:dyDescent="0.25">
      <c r="H13" s="608"/>
    </row>
    <row r="14" spans="1:8" ht="9.9499999999999993" customHeight="1" x14ac:dyDescent="0.25"/>
    <row r="15" spans="1:8" ht="15.75" thickBot="1" x14ac:dyDescent="0.3">
      <c r="A15" s="130" t="s">
        <v>171</v>
      </c>
      <c r="B15" s="285" t="str">
        <f>'6.9Ratemaking Data'!D$14</f>
        <v>20171</v>
      </c>
      <c r="C15" s="285" t="str">
        <f>'6.9Ratemaking Data'!E$14</f>
        <v>20181</v>
      </c>
      <c r="D15" s="285" t="str">
        <f>'6.9Ratemaking Data'!F$14</f>
        <v>20191</v>
      </c>
      <c r="E15" s="285" t="str">
        <f>'6.9Ratemaking Data'!G$14</f>
        <v>20201</v>
      </c>
      <c r="F15" s="285" t="str">
        <f>'6.9Ratemaking Data'!H$14</f>
        <v>20211</v>
      </c>
      <c r="G15" s="285">
        <f>'6.9Ratemaking Data'!I$14</f>
        <v>20221</v>
      </c>
      <c r="H15" s="105" t="s">
        <v>306</v>
      </c>
    </row>
    <row r="16" spans="1:8" x14ac:dyDescent="0.25">
      <c r="A16" s="131" t="s">
        <v>173</v>
      </c>
      <c r="B16" s="132" t="str">
        <f>IF(ISBLANK('6.9Ratemaking Data'!D15),"",'6.9Ratemaking Data'!D15)</f>
        <v/>
      </c>
      <c r="C16" s="132" t="str">
        <f>IF(ISBLANK('6.9Ratemaking Data'!E15),"",'6.9Ratemaking Data'!E15)</f>
        <v/>
      </c>
      <c r="D16" s="132" t="str">
        <f>IF(ISBLANK('6.9Ratemaking Data'!F15),"",'6.9Ratemaking Data'!F15)</f>
        <v/>
      </c>
      <c r="E16" s="132" t="str">
        <f>IF(ISBLANK('6.9Ratemaking Data'!G15),"",'6.9Ratemaking Data'!G15)</f>
        <v/>
      </c>
      <c r="F16" s="132" t="str">
        <f>IF(ISBLANK('6.9Ratemaking Data'!H15),"",'6.9Ratemaking Data'!H15)</f>
        <v/>
      </c>
      <c r="G16" s="132" t="str">
        <f>IF(ISBLANK('6.9Ratemaking Data'!I15),"",'6.9Ratemaking Data'!I15)</f>
        <v/>
      </c>
      <c r="H16" s="133">
        <f>IF(New_Program=TRUE,'6.9Ratemaking Data'!$K$15,SUM($B16:$G16))</f>
        <v>0</v>
      </c>
    </row>
    <row r="17" spans="1:10" x14ac:dyDescent="0.25">
      <c r="A17" s="134" t="s">
        <v>172</v>
      </c>
      <c r="B17" s="135" t="str">
        <f>IF(ISBLANK('6.9Ratemaking Data'!D16),"",'6.9Ratemaking Data'!D16)</f>
        <v/>
      </c>
      <c r="C17" s="135" t="str">
        <f>IF(ISBLANK('6.9Ratemaking Data'!E16),"",'6.9Ratemaking Data'!E16)</f>
        <v/>
      </c>
      <c r="D17" s="135" t="str">
        <f>IF(ISBLANK('6.9Ratemaking Data'!F16),"",'6.9Ratemaking Data'!F16)</f>
        <v/>
      </c>
      <c r="E17" s="135" t="str">
        <f>IF(ISBLANK('6.9Ratemaking Data'!G16),"",'6.9Ratemaking Data'!G16)</f>
        <v/>
      </c>
      <c r="F17" s="135" t="str">
        <f>IF(ISBLANK('6.9Ratemaking Data'!H16),"",'6.9Ratemaking Data'!H16)</f>
        <v/>
      </c>
      <c r="G17" s="135" t="str">
        <f>IF(ISBLANK('6.9Ratemaking Data'!I16),"",'6.9Ratemaking Data'!I16)</f>
        <v/>
      </c>
      <c r="H17" s="136">
        <f>IF(New_Program=TRUE,'6.9Ratemaking Data'!$K$16,SUM($B17:$G17))</f>
        <v>0</v>
      </c>
    </row>
    <row r="18" spans="1:10" x14ac:dyDescent="0.25">
      <c r="A18" s="134" t="s">
        <v>174</v>
      </c>
      <c r="B18" s="137" t="str">
        <f>IF(ISBLANK('6.9Ratemaking Data'!D17),"",'6.9Ratemaking Data'!D17)</f>
        <v/>
      </c>
      <c r="C18" s="137" t="str">
        <f>IF(ISBLANK('6.9Ratemaking Data'!E17),"",'6.9Ratemaking Data'!E17)</f>
        <v/>
      </c>
      <c r="D18" s="137" t="str">
        <f>IF(ISBLANK('6.9Ratemaking Data'!F17),"",'6.9Ratemaking Data'!F17)</f>
        <v/>
      </c>
      <c r="E18" s="137" t="str">
        <f>IF(ISBLANK('6.9Ratemaking Data'!G17),"",'6.9Ratemaking Data'!G17)</f>
        <v/>
      </c>
      <c r="F18" s="137" t="str">
        <f>IF(ISBLANK('6.9Ratemaking Data'!H17),"",'6.9Ratemaking Data'!H17)</f>
        <v/>
      </c>
      <c r="G18" s="137" t="str">
        <f>IF(ISBLANK('6.9Ratemaking Data'!I17),"",'6.9Ratemaking Data'!I17)</f>
        <v/>
      </c>
      <c r="H18" s="138"/>
    </row>
    <row r="19" spans="1:10" x14ac:dyDescent="0.25">
      <c r="A19" s="134" t="s">
        <v>175</v>
      </c>
      <c r="B19" s="137" t="str">
        <f>IF(ISBLANK('6.9Ratemaking Data'!D18),"",'6.9Ratemaking Data'!D18)</f>
        <v/>
      </c>
      <c r="C19" s="137" t="str">
        <f>IF(ISBLANK('6.9Ratemaking Data'!E18),"",'6.9Ratemaking Data'!E18)</f>
        <v/>
      </c>
      <c r="D19" s="137" t="str">
        <f>IF(ISBLANK('6.9Ratemaking Data'!F18),"",'6.9Ratemaking Data'!F18)</f>
        <v/>
      </c>
      <c r="E19" s="137" t="str">
        <f>IF(ISBLANK('6.9Ratemaking Data'!G18),"",'6.9Ratemaking Data'!G18)</f>
        <v/>
      </c>
      <c r="F19" s="137" t="str">
        <f>IF(ISBLANK('6.9Ratemaking Data'!H18),"",'6.9Ratemaking Data'!H18)</f>
        <v/>
      </c>
      <c r="G19" s="137" t="str">
        <f>IF(ISBLANK('6.9Ratemaking Data'!I18),"",'6.9Ratemaking Data'!I18)</f>
        <v/>
      </c>
      <c r="H19" s="144">
        <f>IF(New_Program=TRUE,0,'6.9Ratemaking Data'!$J$18)</f>
        <v>0</v>
      </c>
    </row>
    <row r="20" spans="1:10" x14ac:dyDescent="0.25">
      <c r="A20" s="134" t="s">
        <v>176</v>
      </c>
      <c r="B20" s="135" t="str">
        <f>IF(ISBLANK('6.9Ratemaking Data'!D19),"",'6.9Ratemaking Data'!D19)</f>
        <v/>
      </c>
      <c r="C20" s="135" t="str">
        <f>IF(ISBLANK('6.9Ratemaking Data'!E19),"",'6.9Ratemaking Data'!E19)</f>
        <v/>
      </c>
      <c r="D20" s="135" t="str">
        <f>IF(ISBLANK('6.9Ratemaking Data'!F19),"",'6.9Ratemaking Data'!F19)</f>
        <v/>
      </c>
      <c r="E20" s="135" t="str">
        <f>IF(ISBLANK('6.9Ratemaking Data'!G19),"",'6.9Ratemaking Data'!G19)</f>
        <v/>
      </c>
      <c r="F20" s="135" t="str">
        <f>IF(ISBLANK('6.9Ratemaking Data'!H19),"",'6.9Ratemaking Data'!H19)</f>
        <v/>
      </c>
      <c r="G20" s="135" t="str">
        <f>IF(ISBLANK('6.9Ratemaking Data'!I19),"",'6.9Ratemaking Data'!I19)</f>
        <v/>
      </c>
      <c r="H20" s="136">
        <f>IF(New_Program=TRUE,'6.9Ratemaking Data'!$K$19,SUM($B20:$G20))</f>
        <v>0</v>
      </c>
    </row>
    <row r="21" spans="1:10" x14ac:dyDescent="0.25">
      <c r="A21" s="134" t="s">
        <v>177</v>
      </c>
      <c r="B21" s="135" t="str">
        <f>IF(ISBLANK('6.9Ratemaking Data'!D20),"",'6.9Ratemaking Data'!D20)</f>
        <v/>
      </c>
      <c r="C21" s="135" t="str">
        <f>IF(ISBLANK('6.9Ratemaking Data'!E20),"",'6.9Ratemaking Data'!E20)</f>
        <v/>
      </c>
      <c r="D21" s="135" t="str">
        <f>IF(ISBLANK('6.9Ratemaking Data'!F20),"",'6.9Ratemaking Data'!F20)</f>
        <v/>
      </c>
      <c r="E21" s="135" t="str">
        <f>IF(ISBLANK('6.9Ratemaking Data'!G20),"",'6.9Ratemaking Data'!G20)</f>
        <v/>
      </c>
      <c r="F21" s="135" t="str">
        <f>IF(ISBLANK('6.9Ratemaking Data'!H20),"",'6.9Ratemaking Data'!H20)</f>
        <v/>
      </c>
      <c r="G21" s="135" t="str">
        <f>IF(ISBLANK('6.9Ratemaking Data'!I20),"",'6.9Ratemaking Data'!I20)</f>
        <v/>
      </c>
      <c r="H21" s="136">
        <f>IF(New_Program=TRUE,'6.9Ratemaking Data'!$K$20,SUM($B21:$G21))</f>
        <v>0</v>
      </c>
      <c r="J21" s="126"/>
    </row>
    <row r="22" spans="1:10" x14ac:dyDescent="0.25">
      <c r="A22" s="134" t="s">
        <v>178</v>
      </c>
      <c r="B22" s="135" t="str">
        <f>IF(ISBLANK('6.9Ratemaking Data'!D21),"",'6.9Ratemaking Data'!D21)</f>
        <v/>
      </c>
      <c r="C22" s="135" t="str">
        <f>IF(ISBLANK('6.9Ratemaking Data'!E21),"",'6.9Ratemaking Data'!E21)</f>
        <v/>
      </c>
      <c r="D22" s="135" t="str">
        <f>IF(ISBLANK('6.9Ratemaking Data'!F21),"",'6.9Ratemaking Data'!F21)</f>
        <v/>
      </c>
      <c r="E22" s="135" t="str">
        <f>IF(ISBLANK('6.9Ratemaking Data'!G21),"",'6.9Ratemaking Data'!G21)</f>
        <v/>
      </c>
      <c r="F22" s="135" t="str">
        <f>IF(ISBLANK('6.9Ratemaking Data'!H21),"",'6.9Ratemaking Data'!H21)</f>
        <v/>
      </c>
      <c r="G22" s="135" t="str">
        <f>IF(ISBLANK('6.9Ratemaking Data'!I21),"",'6.9Ratemaking Data'!I21)</f>
        <v/>
      </c>
      <c r="H22" s="136">
        <f>IF(New_Program=TRUE,'6.9Ratemaking Data'!$K$21,SUM($B22:$G22))</f>
        <v>0</v>
      </c>
      <c r="J22" s="126"/>
    </row>
    <row r="23" spans="1:10" x14ac:dyDescent="0.25">
      <c r="A23" s="134" t="s">
        <v>144</v>
      </c>
      <c r="B23" s="135" t="str">
        <f>IF(ISBLANK('6.9Ratemaking Data'!D22),"",'6.9Ratemaking Data'!D22)</f>
        <v/>
      </c>
      <c r="C23" s="135" t="str">
        <f>IF(ISBLANK('6.9Ratemaking Data'!E22),"",'6.9Ratemaking Data'!E22)</f>
        <v/>
      </c>
      <c r="D23" s="135" t="str">
        <f>IF(ISBLANK('6.9Ratemaking Data'!F22),"",'6.9Ratemaking Data'!F22)</f>
        <v/>
      </c>
      <c r="E23" s="135" t="str">
        <f>IF(ISBLANK('6.9Ratemaking Data'!G22),"",'6.9Ratemaking Data'!G22)</f>
        <v/>
      </c>
      <c r="F23" s="135" t="str">
        <f>IF(ISBLANK('6.9Ratemaking Data'!H22),"",'6.9Ratemaking Data'!H22)</f>
        <v/>
      </c>
      <c r="G23" s="135" t="str">
        <f>IF(ISBLANK('6.9Ratemaking Data'!I22),"",'6.9Ratemaking Data'!I22)</f>
        <v/>
      </c>
      <c r="H23" s="136">
        <f>IF(New_Program=TRUE,'6.9Ratemaking Data'!$K$22,SUM($B23:$G23))</f>
        <v>0</v>
      </c>
      <c r="J23" s="126"/>
    </row>
    <row r="24" spans="1:10" x14ac:dyDescent="0.25">
      <c r="A24" s="134" t="s">
        <v>181</v>
      </c>
      <c r="B24" s="137" t="str">
        <f>IF(ISBLANK('6.9Ratemaking Data'!D23),"",'6.9Ratemaking Data'!D23)</f>
        <v/>
      </c>
      <c r="C24" s="137" t="str">
        <f>IF(ISBLANK('6.9Ratemaking Data'!E23),"",'6.9Ratemaking Data'!E23)</f>
        <v/>
      </c>
      <c r="D24" s="137" t="str">
        <f>IF(ISBLANK('6.9Ratemaking Data'!F23),"",'6.9Ratemaking Data'!F23)</f>
        <v/>
      </c>
      <c r="E24" s="137" t="str">
        <f>IF(ISBLANK('6.9Ratemaking Data'!G23),"",'6.9Ratemaking Data'!G23)</f>
        <v/>
      </c>
      <c r="F24" s="137" t="str">
        <f>IF(ISBLANK('6.9Ratemaking Data'!H23),"",'6.9Ratemaking Data'!H23)</f>
        <v/>
      </c>
      <c r="G24" s="137" t="str">
        <f>IF(ISBLANK('6.9Ratemaking Data'!I23),"",'6.9Ratemaking Data'!I23)</f>
        <v/>
      </c>
      <c r="H24" s="138"/>
    </row>
    <row r="25" spans="1:10" x14ac:dyDescent="0.25">
      <c r="A25" s="134" t="s">
        <v>182</v>
      </c>
      <c r="B25" s="137" t="str">
        <f>IF(ISBLANK('6.9Ratemaking Data'!D24),"",'6.9Ratemaking Data'!D24)</f>
        <v/>
      </c>
      <c r="C25" s="137" t="str">
        <f>IF(ISBLANK('6.9Ratemaking Data'!E24),"",'6.9Ratemaking Data'!E24)</f>
        <v/>
      </c>
      <c r="D25" s="137" t="str">
        <f>IF(ISBLANK('6.9Ratemaking Data'!F24),"",'6.9Ratemaking Data'!F24)</f>
        <v/>
      </c>
      <c r="E25" s="137" t="str">
        <f>IF(ISBLANK('6.9Ratemaking Data'!G24),"",'6.9Ratemaking Data'!G24)</f>
        <v/>
      </c>
      <c r="F25" s="137" t="str">
        <f>IF(ISBLANK('6.9Ratemaking Data'!H24),"",'6.9Ratemaking Data'!H24)</f>
        <v/>
      </c>
      <c r="G25" s="137" t="str">
        <f>IF(ISBLANK('6.9Ratemaking Data'!I24),"",'6.9Ratemaking Data'!I24)</f>
        <v/>
      </c>
      <c r="H25" s="138"/>
    </row>
    <row r="26" spans="1:10" x14ac:dyDescent="0.25">
      <c r="A26" s="134" t="s">
        <v>179</v>
      </c>
      <c r="B26" s="137" t="str">
        <f>IF(ISBLANK('6.9Ratemaking Data'!D25),"",'6.9Ratemaking Data'!D25)</f>
        <v/>
      </c>
      <c r="C26" s="137" t="str">
        <f>IF(ISBLANK('6.9Ratemaking Data'!E25),"",'6.9Ratemaking Data'!E25)</f>
        <v/>
      </c>
      <c r="D26" s="137" t="str">
        <f>IF(ISBLANK('6.9Ratemaking Data'!F25),"",'6.9Ratemaking Data'!F25)</f>
        <v/>
      </c>
      <c r="E26" s="137" t="str">
        <f>IF(ISBLANK('6.9Ratemaking Data'!G25),"",'6.9Ratemaking Data'!G25)</f>
        <v/>
      </c>
      <c r="F26" s="137" t="str">
        <f>IF(ISBLANK('6.9Ratemaking Data'!H25),"",'6.9Ratemaking Data'!H25)</f>
        <v/>
      </c>
      <c r="G26" s="137" t="str">
        <f>IF(ISBLANK('6.9Ratemaking Data'!I25),"",'6.9Ratemaking Data'!I25)</f>
        <v/>
      </c>
      <c r="H26" s="144">
        <f>IF(New_Program=TRUE,0,'6.9Ratemaking Data'!$J$25)</f>
        <v>0</v>
      </c>
    </row>
    <row r="27" spans="1:10" x14ac:dyDescent="0.25">
      <c r="A27" s="134" t="s">
        <v>180</v>
      </c>
      <c r="B27" s="137" t="str">
        <f>IF(ISBLANK('6.9Ratemaking Data'!D26),"",'6.9Ratemaking Data'!D26)</f>
        <v/>
      </c>
      <c r="C27" s="137" t="str">
        <f>IF(ISBLANK('6.9Ratemaking Data'!E26),"",'6.9Ratemaking Data'!E26)</f>
        <v/>
      </c>
      <c r="D27" s="137" t="str">
        <f>IF(ISBLANK('6.9Ratemaking Data'!F26),"",'6.9Ratemaking Data'!F26)</f>
        <v/>
      </c>
      <c r="E27" s="137" t="str">
        <f>IF(ISBLANK('6.9Ratemaking Data'!G26),"",'6.9Ratemaking Data'!G26)</f>
        <v/>
      </c>
      <c r="F27" s="137" t="str">
        <f>IF(ISBLANK('6.9Ratemaking Data'!H26),"",'6.9Ratemaking Data'!H26)</f>
        <v/>
      </c>
      <c r="G27" s="137" t="str">
        <f>IF(ISBLANK('6.9Ratemaking Data'!I26),"",'6.9Ratemaking Data'!I26)</f>
        <v/>
      </c>
      <c r="H27" s="144">
        <f>IF(New_Program=TRUE,0,'6.9Ratemaking Data'!$J$26)</f>
        <v>0</v>
      </c>
    </row>
    <row r="28" spans="1:10" x14ac:dyDescent="0.25">
      <c r="A28" s="134" t="s">
        <v>183</v>
      </c>
      <c r="B28" s="137" t="str">
        <f>IF(ISBLANK('6.9Ratemaking Data'!D27),"",'6.9Ratemaking Data'!D27)</f>
        <v/>
      </c>
      <c r="C28" s="137" t="str">
        <f>IF(ISBLANK('6.9Ratemaking Data'!E27),"",'6.9Ratemaking Data'!E27)</f>
        <v/>
      </c>
      <c r="D28" s="137" t="str">
        <f>IF(ISBLANK('6.9Ratemaking Data'!F27),"",'6.9Ratemaking Data'!F27)</f>
        <v/>
      </c>
      <c r="E28" s="137" t="str">
        <f>IF(ISBLANK('6.9Ratemaking Data'!G27),"",'6.9Ratemaking Data'!G27)</f>
        <v/>
      </c>
      <c r="F28" s="137" t="str">
        <f>IF(ISBLANK('6.9Ratemaking Data'!H27),"",'6.9Ratemaking Data'!H27)</f>
        <v/>
      </c>
      <c r="G28" s="137" t="str">
        <f>IF(ISBLANK('6.9Ratemaking Data'!I27),"",'6.9Ratemaking Data'!I27)</f>
        <v/>
      </c>
      <c r="H28" s="138"/>
    </row>
    <row r="29" spans="1:10" ht="15.75" thickBot="1" x14ac:dyDescent="0.3">
      <c r="A29" s="153" t="s">
        <v>188</v>
      </c>
      <c r="B29" s="154" t="str">
        <f>IF(ISBLANK('6.9Ratemaking Data'!D29),"",'6.9Ratemaking Data'!D29)</f>
        <v/>
      </c>
      <c r="C29" s="154" t="str">
        <f>IF(ISBLANK('6.9Ratemaking Data'!E29),"",'6.9Ratemaking Data'!E29)</f>
        <v/>
      </c>
      <c r="D29" s="154" t="str">
        <f>IF(ISBLANK('6.9Ratemaking Data'!F29),"",'6.9Ratemaking Data'!F29)</f>
        <v/>
      </c>
      <c r="E29" s="154" t="str">
        <f>IF(ISBLANK('6.9Ratemaking Data'!G29),"",'6.9Ratemaking Data'!G29)</f>
        <v/>
      </c>
      <c r="F29" s="154" t="str">
        <f>IF(ISBLANK('6.9Ratemaking Data'!H29),"",'6.9Ratemaking Data'!H29)</f>
        <v/>
      </c>
      <c r="G29" s="154" t="str">
        <f>IF(ISBLANK('6.9Ratemaking Data'!I29),"",'6.9Ratemaking Data'!I29)</f>
        <v/>
      </c>
      <c r="H29" s="155">
        <f>IF(New_Program=TRUE,'6.9Ratemaking Data'!$K$29,SUM('7.9Rate Change Calculation'!$B29:$G29))</f>
        <v>0</v>
      </c>
    </row>
    <row r="30" spans="1:10" ht="15.75" thickTop="1" x14ac:dyDescent="0.25">
      <c r="A30" s="134" t="s">
        <v>184</v>
      </c>
      <c r="B30" s="139"/>
      <c r="C30" s="139"/>
      <c r="D30" s="139"/>
      <c r="E30" s="139"/>
      <c r="F30" s="139"/>
      <c r="G30" s="139"/>
      <c r="H30" s="144">
        <f>IF(New_Program=TRUE,100%,'6.9Ratemaking Data'!$J$28)</f>
        <v>0</v>
      </c>
    </row>
    <row r="31" spans="1:10" x14ac:dyDescent="0.25">
      <c r="A31" s="134" t="s">
        <v>185</v>
      </c>
      <c r="B31" s="139"/>
      <c r="C31" s="139"/>
      <c r="D31" s="139"/>
      <c r="E31" s="139"/>
      <c r="F31" s="139"/>
      <c r="G31" s="139"/>
      <c r="H31" s="144">
        <f>ExpRatio_Excluded</f>
        <v>1.3597266477453115E-2</v>
      </c>
    </row>
    <row r="32" spans="1:10" x14ac:dyDescent="0.25">
      <c r="A32" s="134" t="s">
        <v>166</v>
      </c>
      <c r="B32" s="139"/>
      <c r="C32" s="139"/>
      <c r="D32" s="139"/>
      <c r="E32" s="139"/>
      <c r="F32" s="139"/>
      <c r="G32" s="139"/>
      <c r="H32" s="144">
        <f>FIT_Inv</f>
        <v>0.18752087399665437</v>
      </c>
    </row>
    <row r="33" spans="1:9" ht="15.75" thickBot="1" x14ac:dyDescent="0.3">
      <c r="A33" s="98" t="s">
        <v>165</v>
      </c>
      <c r="B33" s="140"/>
      <c r="C33" s="140"/>
      <c r="D33" s="140"/>
      <c r="E33" s="140"/>
      <c r="F33" s="140"/>
      <c r="G33" s="140"/>
      <c r="H33" s="141">
        <f>Yield</f>
        <v>8.8050065696007235E-2</v>
      </c>
    </row>
    <row r="34" spans="1:9" ht="5.0999999999999996" customHeight="1" x14ac:dyDescent="0.25"/>
    <row r="35" spans="1:9" ht="15.75" thickBot="1" x14ac:dyDescent="0.3">
      <c r="A35" s="130" t="s">
        <v>189</v>
      </c>
      <c r="E35" s="93"/>
      <c r="F35" s="93"/>
      <c r="G35" s="93"/>
    </row>
    <row r="36" spans="1:9" x14ac:dyDescent="0.25">
      <c r="A36" s="131" t="s">
        <v>167</v>
      </c>
      <c r="B36" s="142"/>
      <c r="C36" s="142"/>
      <c r="D36" s="142"/>
      <c r="E36" s="142"/>
      <c r="F36" s="142"/>
      <c r="G36" s="142"/>
      <c r="H36" s="149">
        <f>FIT_UW</f>
        <v>0.21</v>
      </c>
      <c r="I36" s="90"/>
    </row>
    <row r="37" spans="1:9" x14ac:dyDescent="0.25">
      <c r="A37" s="134" t="s">
        <v>190</v>
      </c>
      <c r="B37" s="90"/>
      <c r="C37" s="90"/>
      <c r="D37" s="90"/>
      <c r="E37" s="90"/>
      <c r="F37" s="693" t="s">
        <v>317</v>
      </c>
      <c r="G37" s="694">
        <f>update_effstd</f>
        <v>2020</v>
      </c>
      <c r="H37" s="144" t="str">
        <f>EffStd_Final09</f>
        <v/>
      </c>
    </row>
    <row r="38" spans="1:9" x14ac:dyDescent="0.25">
      <c r="A38" s="134" t="s">
        <v>191</v>
      </c>
      <c r="B38" s="90"/>
      <c r="C38" s="90"/>
      <c r="D38" s="90"/>
      <c r="E38" s="90"/>
      <c r="F38" s="693" t="s">
        <v>317</v>
      </c>
      <c r="G38" s="694">
        <f>update_leverage</f>
        <v>2020</v>
      </c>
      <c r="H38" s="190" t="str">
        <f>LevFact_Final09</f>
        <v/>
      </c>
    </row>
    <row r="39" spans="1:9" x14ac:dyDescent="0.25">
      <c r="A39" s="134" t="s">
        <v>192</v>
      </c>
      <c r="B39" s="90"/>
      <c r="C39" s="90"/>
      <c r="D39" s="90"/>
      <c r="E39" s="90"/>
      <c r="F39" s="693"/>
      <c r="G39" s="693"/>
      <c r="H39" s="144">
        <f>PremTaxRate</f>
        <v>2.35E-2</v>
      </c>
    </row>
    <row r="40" spans="1:9" x14ac:dyDescent="0.25">
      <c r="A40" s="134" t="s">
        <v>193</v>
      </c>
      <c r="B40" s="90"/>
      <c r="C40" s="90"/>
      <c r="D40" s="90"/>
      <c r="E40" s="90"/>
      <c r="F40" s="693"/>
      <c r="G40" s="695"/>
      <c r="H40" s="191" t="e">
        <f>1/LevFact_Final09</f>
        <v>#VALUE!</v>
      </c>
    </row>
    <row r="41" spans="1:9" x14ac:dyDescent="0.25">
      <c r="A41" s="134" t="s">
        <v>198</v>
      </c>
      <c r="B41" s="90"/>
      <c r="C41" s="90"/>
      <c r="D41" s="90"/>
      <c r="E41" s="90"/>
      <c r="F41" s="693" t="s">
        <v>317</v>
      </c>
      <c r="G41" s="694">
        <f>update_reserveratios</f>
        <v>2020</v>
      </c>
      <c r="H41" s="191" t="str">
        <f>ResRatio_UPR09</f>
        <v/>
      </c>
    </row>
    <row r="42" spans="1:9" x14ac:dyDescent="0.25">
      <c r="A42" s="192" t="s">
        <v>194</v>
      </c>
      <c r="B42" s="90"/>
      <c r="C42" s="90"/>
      <c r="D42" s="90"/>
      <c r="E42" s="90"/>
      <c r="F42" s="693" t="s">
        <v>317</v>
      </c>
      <c r="G42" s="694">
        <f>update_reserveratios</f>
        <v>2020</v>
      </c>
      <c r="H42" s="191" t="str">
        <f>ResRatio_Loss09</f>
        <v/>
      </c>
    </row>
    <row r="43" spans="1:9" x14ac:dyDescent="0.25">
      <c r="A43" s="192" t="s">
        <v>195</v>
      </c>
      <c r="B43" s="90"/>
      <c r="C43" s="90"/>
      <c r="D43" s="90"/>
      <c r="E43" s="90"/>
      <c r="F43" s="691" t="s">
        <v>317</v>
      </c>
      <c r="G43" s="691" t="str">
        <f>ROR_RiskFree_Date</f>
        <v>June 2022</v>
      </c>
      <c r="H43" s="692">
        <f>ROR_RiskFree</f>
        <v>2.2799999999999997E-2</v>
      </c>
      <c r="I43" s="20" t="s">
        <v>732</v>
      </c>
    </row>
    <row r="44" spans="1:9" x14ac:dyDescent="0.25">
      <c r="A44" s="192" t="s">
        <v>197</v>
      </c>
      <c r="B44" s="90"/>
      <c r="C44" s="90"/>
      <c r="D44" s="90"/>
      <c r="E44" s="90"/>
      <c r="F44" s="90"/>
      <c r="G44" s="90"/>
      <c r="H44" s="286">
        <f>ROR_Min</f>
        <v>-0.06</v>
      </c>
      <c r="I44" s="20"/>
    </row>
    <row r="45" spans="1:9" ht="15.75" thickBot="1" x14ac:dyDescent="0.3">
      <c r="A45" s="193" t="s">
        <v>196</v>
      </c>
      <c r="B45" s="140"/>
      <c r="C45" s="140"/>
      <c r="D45" s="140"/>
      <c r="E45" s="140"/>
      <c r="F45" s="140"/>
      <c r="G45" s="140"/>
      <c r="H45" s="287">
        <f>ROR_Max</f>
        <v>8.2799999999999999E-2</v>
      </c>
    </row>
    <row r="46" spans="1:9" ht="5.0999999999999996" customHeight="1" x14ac:dyDescent="0.25"/>
    <row r="47" spans="1:9" ht="15.75" thickBot="1" x14ac:dyDescent="0.3">
      <c r="A47" s="130" t="s">
        <v>234</v>
      </c>
      <c r="B47" s="285" t="str">
        <f>'6.9Ratemaking Data'!D$14</f>
        <v>20171</v>
      </c>
      <c r="C47" s="285" t="str">
        <f>'6.9Ratemaking Data'!E$14</f>
        <v>20181</v>
      </c>
      <c r="D47" s="285" t="str">
        <f>'6.9Ratemaking Data'!F$14</f>
        <v>20191</v>
      </c>
      <c r="E47" s="285" t="str">
        <f>'6.9Ratemaking Data'!G$14</f>
        <v>20201</v>
      </c>
      <c r="F47" s="285" t="str">
        <f>'6.9Ratemaking Data'!H$14</f>
        <v>20211</v>
      </c>
      <c r="G47" s="285">
        <f>'6.9Ratemaking Data'!I$14</f>
        <v>20221</v>
      </c>
    </row>
    <row r="48" spans="1:9" x14ac:dyDescent="0.25">
      <c r="A48" s="131" t="s">
        <v>199</v>
      </c>
      <c r="B48" s="132" t="str">
        <f t="shared" ref="B48:G48" si="0">IF(ISERROR(Prem_Earned*Prem_Adj*Prem_Trend+Misc_Fees),"",Prem_Earned*Prem_Adj*Prem_Trend+Misc_Fees)</f>
        <v/>
      </c>
      <c r="C48" s="132" t="str">
        <f t="shared" si="0"/>
        <v/>
      </c>
      <c r="D48" s="132" t="str">
        <f t="shared" si="0"/>
        <v/>
      </c>
      <c r="E48" s="132" t="str">
        <f t="shared" si="0"/>
        <v/>
      </c>
      <c r="F48" s="132" t="str">
        <f t="shared" si="0"/>
        <v/>
      </c>
      <c r="G48" s="132" t="str">
        <f t="shared" si="0"/>
        <v/>
      </c>
      <c r="H48" s="133">
        <f>IF(New_Program=TRUE,(Prem_Earned+Misc_Fees),SUM($B48:$G48))</f>
        <v>0</v>
      </c>
    </row>
    <row r="49" spans="1:9" x14ac:dyDescent="0.25">
      <c r="A49" s="134" t="s">
        <v>200</v>
      </c>
      <c r="B49" s="135" t="str">
        <f t="shared" ref="B49:G49" si="1">IF(ISERROR(Losses*Loss_Devt*CAT_Adj*Loss_Trend),"",Losses*Loss_Devt*CAT_Adj*Loss_Trend)</f>
        <v/>
      </c>
      <c r="C49" s="135" t="str">
        <f t="shared" si="1"/>
        <v/>
      </c>
      <c r="D49" s="135" t="str">
        <f t="shared" si="1"/>
        <v/>
      </c>
      <c r="E49" s="135" t="str">
        <f t="shared" si="1"/>
        <v/>
      </c>
      <c r="F49" s="135" t="str">
        <f t="shared" si="1"/>
        <v/>
      </c>
      <c r="G49" s="135" t="str">
        <f t="shared" si="1"/>
        <v/>
      </c>
      <c r="H49" s="136">
        <f>IF(New_Program=TRUE,Losses,SUM($B49:$G49))</f>
        <v>0</v>
      </c>
    </row>
    <row r="50" spans="1:9" x14ac:dyDescent="0.25">
      <c r="A50" s="134" t="s">
        <v>201</v>
      </c>
      <c r="B50" s="135" t="str">
        <f t="shared" ref="B50:G50" si="2">IF(ISERROR(DCCE*DCCE_Devt*CAT_Adj*DCCE_Trend),"",DCCE*DCCE_Devt*CAT_Adj*DCCE_Trend)</f>
        <v/>
      </c>
      <c r="C50" s="135" t="str">
        <f t="shared" si="2"/>
        <v/>
      </c>
      <c r="D50" s="135" t="str">
        <f t="shared" si="2"/>
        <v/>
      </c>
      <c r="E50" s="135" t="str">
        <f t="shared" si="2"/>
        <v/>
      </c>
      <c r="F50" s="135" t="str">
        <f t="shared" si="2"/>
        <v/>
      </c>
      <c r="G50" s="135" t="str">
        <f t="shared" si="2"/>
        <v/>
      </c>
      <c r="H50" s="136">
        <f>IF(New_Program=TRUE,DCCE,SUM($B50:$G50))</f>
        <v>0</v>
      </c>
    </row>
    <row r="51" spans="1:9" x14ac:dyDescent="0.25">
      <c r="A51" s="134" t="s">
        <v>202</v>
      </c>
      <c r="B51" s="143" t="str">
        <f t="shared" ref="B51:H51" si="3">IF(ISERROR((B49+B50)/B48),"",(B49+B50)/B48)</f>
        <v/>
      </c>
      <c r="C51" s="143" t="str">
        <f t="shared" si="3"/>
        <v/>
      </c>
      <c r="D51" s="143" t="str">
        <f t="shared" si="3"/>
        <v/>
      </c>
      <c r="E51" s="143" t="str">
        <f t="shared" si="3"/>
        <v/>
      </c>
      <c r="F51" s="143" t="str">
        <f t="shared" si="3"/>
        <v/>
      </c>
      <c r="G51" s="143" t="str">
        <f t="shared" si="3"/>
        <v/>
      </c>
      <c r="H51" s="144" t="str">
        <f t="shared" si="3"/>
        <v/>
      </c>
    </row>
    <row r="52" spans="1:9" x14ac:dyDescent="0.25">
      <c r="A52" s="134" t="s">
        <v>215</v>
      </c>
      <c r="B52" s="576" t="str">
        <f t="shared" ref="B52:H52" si="4">IF(ISERROR(Prem_Adjusted/Exposures_Earned),"",Prem_Adjusted/Exposures_Earned)</f>
        <v/>
      </c>
      <c r="C52" s="576" t="str">
        <f t="shared" si="4"/>
        <v/>
      </c>
      <c r="D52" s="576" t="str">
        <f t="shared" si="4"/>
        <v/>
      </c>
      <c r="E52" s="576" t="str">
        <f t="shared" si="4"/>
        <v/>
      </c>
      <c r="F52" s="576" t="str">
        <f t="shared" si="4"/>
        <v/>
      </c>
      <c r="G52" s="576" t="str">
        <f t="shared" si="4"/>
        <v/>
      </c>
      <c r="H52" s="147" t="str">
        <f t="shared" si="4"/>
        <v/>
      </c>
    </row>
    <row r="53" spans="1:9" x14ac:dyDescent="0.25">
      <c r="A53" s="134" t="s">
        <v>203</v>
      </c>
      <c r="B53" s="576" t="str">
        <f t="shared" ref="B53:H53" si="5">IF(ISERROR((Losses_Adjusted+DCCE_Adjusted)/Exposures_Earned),"",(Losses_Adjusted+DCCE_Adjusted)/Exposures_Earned)</f>
        <v/>
      </c>
      <c r="C53" s="576" t="str">
        <f t="shared" si="5"/>
        <v/>
      </c>
      <c r="D53" s="576" t="str">
        <f t="shared" si="5"/>
        <v/>
      </c>
      <c r="E53" s="576" t="str">
        <f t="shared" si="5"/>
        <v/>
      </c>
      <c r="F53" s="576" t="str">
        <f t="shared" si="5"/>
        <v/>
      </c>
      <c r="G53" s="576" t="str">
        <f t="shared" si="5"/>
        <v/>
      </c>
      <c r="H53" s="147" t="str">
        <f t="shared" si="5"/>
        <v/>
      </c>
    </row>
    <row r="54" spans="1:9" x14ac:dyDescent="0.25">
      <c r="A54" s="134" t="s">
        <v>204</v>
      </c>
      <c r="B54" s="576" t="str">
        <f t="shared" ref="B54:H54" si="6">IF(ISERROR((TCRLP_perExp*(1+Comp_Trend)*Max_Denom+Anc_Inc_perExp)/(1-InvInc_Fixed)),"",(TCRLP_perExp*(1+Comp_Trend)*Max_Denom+Anc_Inc_perExp)/(1-InvInc_Fixed))</f>
        <v/>
      </c>
      <c r="C54" s="576" t="str">
        <f t="shared" si="6"/>
        <v/>
      </c>
      <c r="D54" s="576" t="str">
        <f t="shared" si="6"/>
        <v/>
      </c>
      <c r="E54" s="576" t="str">
        <f t="shared" si="6"/>
        <v/>
      </c>
      <c r="F54" s="576" t="str">
        <f t="shared" si="6"/>
        <v/>
      </c>
      <c r="G54" s="576" t="str">
        <f t="shared" si="6"/>
        <v/>
      </c>
      <c r="H54" s="147" t="str">
        <f t="shared" si="6"/>
        <v/>
      </c>
    </row>
    <row r="55" spans="1:9" x14ac:dyDescent="0.25">
      <c r="A55" s="134" t="s">
        <v>214</v>
      </c>
      <c r="B55" s="576" t="str">
        <f t="shared" ref="B55:H55" si="7">IF(ISERROR(Credibility*LossDCCE_perExp+(1-Credibility)*CompLossDCCE_perExp),"",Credibility*LossDCCE_perExp+(1-Credibility)*CompLossDCCE_perExp)</f>
        <v/>
      </c>
      <c r="C55" s="576" t="str">
        <f t="shared" si="7"/>
        <v/>
      </c>
      <c r="D55" s="576" t="str">
        <f t="shared" si="7"/>
        <v/>
      </c>
      <c r="E55" s="576" t="str">
        <f t="shared" si="7"/>
        <v/>
      </c>
      <c r="F55" s="576" t="str">
        <f t="shared" si="7"/>
        <v/>
      </c>
      <c r="G55" s="576" t="str">
        <f t="shared" si="7"/>
        <v/>
      </c>
      <c r="H55" s="147" t="str">
        <f t="shared" si="7"/>
        <v/>
      </c>
    </row>
    <row r="56" spans="1:9" ht="15.75" thickBot="1" x14ac:dyDescent="0.3">
      <c r="A56" s="153" t="s">
        <v>216</v>
      </c>
      <c r="B56" s="250" t="str">
        <f t="shared" ref="B56:H56" si="8">IF(ISERROR(Anc_Income/Exposures_Earned),"",Anc_Income/Exposures_Earned)</f>
        <v/>
      </c>
      <c r="C56" s="250" t="str">
        <f t="shared" si="8"/>
        <v/>
      </c>
      <c r="D56" s="250" t="str">
        <f t="shared" si="8"/>
        <v/>
      </c>
      <c r="E56" s="250" t="str">
        <f t="shared" si="8"/>
        <v/>
      </c>
      <c r="F56" s="250" t="str">
        <f t="shared" si="8"/>
        <v/>
      </c>
      <c r="G56" s="250" t="str">
        <f t="shared" si="8"/>
        <v/>
      </c>
      <c r="H56" s="251" t="str">
        <f t="shared" si="8"/>
        <v/>
      </c>
    </row>
    <row r="57" spans="1:9" ht="15.75" thickTop="1" x14ac:dyDescent="0.25">
      <c r="A57" s="134" t="s">
        <v>217</v>
      </c>
      <c r="B57" s="90"/>
      <c r="C57" s="90"/>
      <c r="D57" s="90"/>
      <c r="E57" s="90"/>
      <c r="F57" s="90"/>
      <c r="G57" s="90"/>
      <c r="H57" s="144" t="e">
        <f>Yield*((1-FIT_Inv)/(1-FIT_UW))*ResRatio_Loss09</f>
        <v>#VALUE!</v>
      </c>
    </row>
    <row r="58" spans="1:9" x14ac:dyDescent="0.25">
      <c r="A58" s="134" t="s">
        <v>218</v>
      </c>
      <c r="B58" s="90"/>
      <c r="C58" s="90"/>
      <c r="D58" s="90"/>
      <c r="E58" s="90"/>
      <c r="F58" s="90"/>
      <c r="G58" s="90"/>
      <c r="H58" s="144" t="e">
        <f>Yield*((1-FIT_Inv)/(1-FIT_UW))*(ResRatio_UPR09+SurplusRatio)</f>
        <v>#VALUE!</v>
      </c>
    </row>
    <row r="59" spans="1:9" x14ac:dyDescent="0.25">
      <c r="A59" s="134" t="s">
        <v>206</v>
      </c>
      <c r="B59" s="145"/>
      <c r="C59" s="145"/>
      <c r="D59" s="145"/>
      <c r="E59" s="145"/>
      <c r="F59" s="145"/>
      <c r="G59" s="145"/>
      <c r="H59" s="144">
        <f>(1+Loss_AnnualTrend)/(1+Prem_AnnualTrend)-1</f>
        <v>0</v>
      </c>
    </row>
    <row r="60" spans="1:9" x14ac:dyDescent="0.25">
      <c r="A60" s="134" t="s">
        <v>205</v>
      </c>
      <c r="B60" s="145"/>
      <c r="C60" s="145"/>
      <c r="D60" s="145"/>
      <c r="E60" s="145"/>
      <c r="F60" s="145"/>
      <c r="G60" s="145"/>
      <c r="H60" s="144" t="e">
        <f>IF(New_Program=TRUE,0,(1+Net_AnnualTrend)^MIN(4,((EffDate_Proposed-EffDate_Prior09)/365.25))-1)</f>
        <v>#VALUE!</v>
      </c>
    </row>
    <row r="61" spans="1:9" x14ac:dyDescent="0.25">
      <c r="A61" s="134" t="s">
        <v>207</v>
      </c>
      <c r="B61" s="145"/>
      <c r="C61" s="145"/>
      <c r="D61" s="145"/>
      <c r="E61" s="145"/>
      <c r="F61" s="145"/>
      <c r="G61" s="145"/>
      <c r="H61" s="144" t="e">
        <f>(ROR_Max)/(LevFact_Final09*(1-FIT_UW))</f>
        <v>#VALUE!</v>
      </c>
    </row>
    <row r="62" spans="1:9" x14ac:dyDescent="0.25">
      <c r="A62" s="134" t="s">
        <v>208</v>
      </c>
      <c r="B62" s="90"/>
      <c r="C62" s="90"/>
      <c r="D62" s="90"/>
      <c r="E62" s="90"/>
      <c r="F62" s="90"/>
      <c r="G62" s="90"/>
      <c r="H62" s="144" t="e">
        <f>(ROR_Min)/(LevFact_Final09*(1-FIT_UW))</f>
        <v>#VALUE!</v>
      </c>
    </row>
    <row r="63" spans="1:9" x14ac:dyDescent="0.25">
      <c r="A63" s="134" t="s">
        <v>209</v>
      </c>
      <c r="B63" s="90"/>
      <c r="C63" s="90"/>
      <c r="D63" s="90"/>
      <c r="E63" s="90"/>
      <c r="F63" s="90"/>
      <c r="G63" s="90"/>
      <c r="H63" s="144" t="e">
        <f>1-CredLossDCCE_perExp/Max_Premium-EffStd_Final09</f>
        <v>#VALUE!</v>
      </c>
      <c r="I63" s="252"/>
    </row>
    <row r="64" spans="1:9" x14ac:dyDescent="0.25">
      <c r="A64" s="134" t="s">
        <v>211</v>
      </c>
      <c r="B64" s="90"/>
      <c r="C64" s="90"/>
      <c r="D64" s="90"/>
      <c r="E64" s="90"/>
      <c r="F64" s="90"/>
      <c r="G64" s="90"/>
      <c r="H64" s="146" t="e">
        <f>1-EffStd_Final09-Min_Profit+InvInc_Variable</f>
        <v>#VALUE!</v>
      </c>
      <c r="I64" s="252"/>
    </row>
    <row r="65" spans="1:9" x14ac:dyDescent="0.25">
      <c r="A65" s="134" t="s">
        <v>210</v>
      </c>
      <c r="B65" s="90"/>
      <c r="C65" s="90"/>
      <c r="D65" s="90"/>
      <c r="E65" s="90"/>
      <c r="F65" s="90"/>
      <c r="G65" s="90"/>
      <c r="H65" s="146" t="e">
        <f>1-EffStd_Final09-Max_Profit+InvInc_Variable</f>
        <v>#VALUE!</v>
      </c>
      <c r="I65" s="473" t="str">
        <f>IF(AND(Error35="",Error36=""),"","See Column H of Page '3.2YieldFIT' for errors that must be corrected.")</f>
        <v/>
      </c>
    </row>
    <row r="66" spans="1:9" x14ac:dyDescent="0.25">
      <c r="A66" s="134" t="s">
        <v>213</v>
      </c>
      <c r="B66" s="90"/>
      <c r="C66" s="90"/>
      <c r="D66" s="90"/>
      <c r="E66" s="90"/>
      <c r="F66" s="90"/>
      <c r="G66" s="90"/>
      <c r="H66" s="577" t="e">
        <f>(CredLossDCCE_perExp*(1-InvInc_Fixed)-Anc_Inc_perExp)/Min_Denom</f>
        <v>#VALUE!</v>
      </c>
      <c r="I66" s="473" t="str">
        <f>IF(Error38="","","See Column F of Page '4.2Excluded Exp' for errors that must be corrected.")</f>
        <v/>
      </c>
    </row>
    <row r="67" spans="1:9" ht="15.75" thickBot="1" x14ac:dyDescent="0.3">
      <c r="A67" s="134" t="s">
        <v>212</v>
      </c>
      <c r="B67" s="90"/>
      <c r="C67" s="90"/>
      <c r="D67" s="90"/>
      <c r="E67" s="90"/>
      <c r="F67" s="90"/>
      <c r="G67" s="90"/>
      <c r="H67" s="577" t="e">
        <f>(CredLossDCCE_perExp*(1-InvInc_Fixed)-Anc_Inc_perExp)/Max_Denom</f>
        <v>#VALUE!</v>
      </c>
      <c r="I67" s="471" t="str">
        <f>IF(Error34="","","See Column I of Page '2.Summary' for errors that must be corrected.")</f>
        <v/>
      </c>
    </row>
    <row r="68" spans="1:9" x14ac:dyDescent="0.25">
      <c r="A68" s="95" t="s">
        <v>235</v>
      </c>
      <c r="B68" s="90"/>
      <c r="C68" s="90"/>
      <c r="D68" s="90"/>
      <c r="E68" s="90"/>
      <c r="F68" s="90"/>
      <c r="G68" s="90"/>
      <c r="H68" s="289" t="str">
        <f>IF(AND(I65="",I66="",I67="",I68="",I69=""),(Min_Premium-Prem_Current)/Prem_Current,"Error")</f>
        <v>Error</v>
      </c>
      <c r="I68" s="473" t="str">
        <f>IF(AND(Error00="",Error01="",Error02="",Error03="",Error04="",Error05="",Error06="",Error07="",Error08="",Error09="",Error10="",Error11="",Error12="",Error13="",Error14="",Error15="",Error16="",Error37=""),"","See Column J of Page '1.General' for errors that must be corrected.")</f>
        <v/>
      </c>
    </row>
    <row r="69" spans="1:9" ht="19.5" thickBot="1" x14ac:dyDescent="0.3">
      <c r="A69" s="96" t="s">
        <v>236</v>
      </c>
      <c r="B69" s="140"/>
      <c r="C69" s="140"/>
      <c r="D69" s="140"/>
      <c r="E69" s="140"/>
      <c r="F69" s="140"/>
      <c r="G69" s="140"/>
      <c r="H69" s="288" t="str">
        <f>IF(AND(I65="",I66="",I67="",I68="",I69=""),(Max_Premium-Prem_Current)/Prem_Current, "Error")</f>
        <v>Error</v>
      </c>
      <c r="I69" s="471" t="str">
        <f>IF(AND('6.9Ratemaking Data'!Error17="",'6.9Ratemaking Data'!Error18="",'6.9Ratemaking Data'!Error19="",'6.9Ratemaking Data'!Error20="",'6.9Ratemaking Data'!Error21="",'6.9Ratemaking Data'!Error22="",'6.9Ratemaking Data'!Error23="",'6.9Ratemaking Data'!Error24="",'6.9Ratemaking Data'!Error25="",'6.9Ratemaking Data'!Error26="",'6.9Ratemaking Data'!Error27="",'6.9Ratemaking Data'!Error28="",'6.9Ratemaking Data'!Error29=""),"","See Column M of Page '6.9Ratemaking Data' for errors that must be corrected.")</f>
        <v>See Column M of Page '6.9Ratemaking Data' for errors that must be corrected.</v>
      </c>
    </row>
    <row r="70" spans="1:9" ht="5.0999999999999996" hidden="1" customHeight="1" x14ac:dyDescent="0.25"/>
    <row r="71" spans="1:9" ht="15.75" hidden="1" thickBot="1" x14ac:dyDescent="0.3">
      <c r="A71" s="130" t="s">
        <v>233</v>
      </c>
      <c r="B71" s="285" t="str">
        <f>'6.9Ratemaking Data'!D$14</f>
        <v>20171</v>
      </c>
      <c r="C71" s="285" t="str">
        <f>'6.9Ratemaking Data'!E$14</f>
        <v>20181</v>
      </c>
      <c r="D71" s="285" t="str">
        <f>'6.9Ratemaking Data'!F$14</f>
        <v>20191</v>
      </c>
      <c r="E71" s="285" t="str">
        <f>'6.9Ratemaking Data'!G$14</f>
        <v>20201</v>
      </c>
      <c r="F71" s="285" t="str">
        <f>'6.9Ratemaking Data'!H$14</f>
        <v>20211</v>
      </c>
      <c r="G71" s="285">
        <f>'6.9Ratemaking Data'!I$14</f>
        <v>20221</v>
      </c>
    </row>
    <row r="72" spans="1:9" hidden="1" x14ac:dyDescent="0.25">
      <c r="A72" s="148" t="s">
        <v>232</v>
      </c>
      <c r="B72" s="142"/>
      <c r="C72" s="142"/>
      <c r="D72" s="142"/>
      <c r="E72" s="142"/>
      <c r="F72" s="142"/>
      <c r="G72" s="142"/>
      <c r="H72" s="149" t="str">
        <f>IF(ISBLANK('6.9Ratemaking Data'!J44),"",'6.9Ratemaking Data'!J44)</f>
        <v/>
      </c>
    </row>
    <row r="73" spans="1:9" hidden="1" x14ac:dyDescent="0.25">
      <c r="A73" s="150" t="s">
        <v>219</v>
      </c>
      <c r="B73" s="135" t="str">
        <f>IF(ISBLANK('6.9Ratemaking Data'!D45),"",'6.9Ratemaking Data'!D45)</f>
        <v/>
      </c>
      <c r="C73" s="135" t="str">
        <f>IF(ISBLANK('6.9Ratemaking Data'!E45),"",'6.9Ratemaking Data'!E45)</f>
        <v/>
      </c>
      <c r="D73" s="135" t="str">
        <f>IF(ISBLANK('6.9Ratemaking Data'!F45),"",'6.9Ratemaking Data'!F45)</f>
        <v/>
      </c>
      <c r="E73" s="135" t="str">
        <f>IF(ISBLANK('6.9Ratemaking Data'!G45),"",'6.9Ratemaking Data'!G45)</f>
        <v/>
      </c>
      <c r="F73" s="135" t="str">
        <f>IF(ISBLANK('6.9Ratemaking Data'!H45),"",'6.9Ratemaking Data'!H45)</f>
        <v/>
      </c>
      <c r="G73" s="135" t="str">
        <f>IF(ISBLANK('6.9Ratemaking Data'!I45),"",'6.9Ratemaking Data'!I45)</f>
        <v/>
      </c>
      <c r="H73" s="136" t="str">
        <f>IF(RIGHT(Detailed_LineCode09,1)="R",IF(New_Program=TRUE,'6.9Ratemaking Data'!$K$45,SUM($B73:$G73)),"")</f>
        <v/>
      </c>
    </row>
    <row r="74" spans="1:9" hidden="1" x14ac:dyDescent="0.25">
      <c r="A74" s="150" t="s">
        <v>220</v>
      </c>
      <c r="B74" s="135" t="str">
        <f>IF(ISBLANK('6.9Ratemaking Data'!D46),"",'6.9Ratemaking Data'!D46)</f>
        <v/>
      </c>
      <c r="C74" s="135" t="str">
        <f>IF(ISBLANK('6.9Ratemaking Data'!E46),"",'6.9Ratemaking Data'!E46)</f>
        <v/>
      </c>
      <c r="D74" s="135" t="str">
        <f>IF(ISBLANK('6.9Ratemaking Data'!F46),"",'6.9Ratemaking Data'!F46)</f>
        <v/>
      </c>
      <c r="E74" s="135" t="str">
        <f>IF(ISBLANK('6.9Ratemaking Data'!G46),"",'6.9Ratemaking Data'!G46)</f>
        <v/>
      </c>
      <c r="F74" s="135" t="str">
        <f>IF(ISBLANK('6.9Ratemaking Data'!H46),"",'6.9Ratemaking Data'!H46)</f>
        <v/>
      </c>
      <c r="G74" s="135" t="str">
        <f>IF(ISBLANK('6.9Ratemaking Data'!I46),"",'6.9Ratemaking Data'!I46)</f>
        <v/>
      </c>
      <c r="H74" s="136">
        <f>IF(New_Program=TRUE,'6.9Ratemaking Data'!$K$46,SUM($B74:$G74))</f>
        <v>0</v>
      </c>
    </row>
    <row r="75" spans="1:9" hidden="1" x14ac:dyDescent="0.25">
      <c r="A75" s="150" t="s">
        <v>221</v>
      </c>
      <c r="B75" s="578" t="str">
        <f t="shared" ref="B75:H75" si="9">IF(ISERROR(Rein_Prem/Exposures_Earned),"",Rein_Prem/Exposures_Earned)</f>
        <v/>
      </c>
      <c r="C75" s="578" t="str">
        <f t="shared" si="9"/>
        <v/>
      </c>
      <c r="D75" s="578" t="str">
        <f t="shared" si="9"/>
        <v/>
      </c>
      <c r="E75" s="578" t="str">
        <f t="shared" si="9"/>
        <v/>
      </c>
      <c r="F75" s="578" t="str">
        <f t="shared" si="9"/>
        <v/>
      </c>
      <c r="G75" s="578" t="str">
        <f t="shared" si="9"/>
        <v/>
      </c>
      <c r="H75" s="577" t="str">
        <f t="shared" si="9"/>
        <v/>
      </c>
    </row>
    <row r="76" spans="1:9" hidden="1" x14ac:dyDescent="0.25">
      <c r="A76" s="150" t="s">
        <v>222</v>
      </c>
      <c r="B76" s="578" t="str">
        <f t="shared" ref="B76:H76" si="10">IF(ISERROR(Rein_Recov/Exposures_Earned),"",Rein_Recov/Exposures_Earned)</f>
        <v/>
      </c>
      <c r="C76" s="578" t="str">
        <f t="shared" si="10"/>
        <v/>
      </c>
      <c r="D76" s="578" t="str">
        <f t="shared" si="10"/>
        <v/>
      </c>
      <c r="E76" s="578" t="str">
        <f t="shared" si="10"/>
        <v/>
      </c>
      <c r="F76" s="578" t="str">
        <f t="shared" si="10"/>
        <v/>
      </c>
      <c r="G76" s="578" t="str">
        <f t="shared" si="10"/>
        <v/>
      </c>
      <c r="H76" s="577" t="str">
        <f t="shared" si="10"/>
        <v/>
      </c>
    </row>
    <row r="77" spans="1:9" hidden="1" x14ac:dyDescent="0.25">
      <c r="A77" s="150" t="s">
        <v>223</v>
      </c>
      <c r="B77" s="578" t="str">
        <f t="shared" ref="B77:H77" si="11">IF(ISERROR((TCRLP_perExp*(1+Comp_Trend)*Max_Denom+Anc_Inc_perExp-ReinPrem_perExp*Max_Denom/(1-Comm_Rate-PremTaxRate))/(1-InvInc_Fixed)),"",(TCRLP_perExp*(1+Comp_Trend)*Max_Denom+Anc_Inc_perExp-ReinPrem_perExp*Max_Denom/(1-Comm_Rate-PremTaxRate))/(1-InvInc_Fixed))</f>
        <v/>
      </c>
      <c r="C77" s="578" t="str">
        <f t="shared" si="11"/>
        <v/>
      </c>
      <c r="D77" s="578" t="str">
        <f t="shared" si="11"/>
        <v/>
      </c>
      <c r="E77" s="578" t="str">
        <f t="shared" si="11"/>
        <v/>
      </c>
      <c r="F77" s="578" t="str">
        <f t="shared" si="11"/>
        <v/>
      </c>
      <c r="G77" s="578" t="str">
        <f t="shared" si="11"/>
        <v/>
      </c>
      <c r="H77" s="577" t="str">
        <f t="shared" si="11"/>
        <v/>
      </c>
    </row>
    <row r="78" spans="1:9" ht="15.75" hidden="1" thickBot="1" x14ac:dyDescent="0.3">
      <c r="A78" s="150" t="s">
        <v>224</v>
      </c>
      <c r="B78" s="90"/>
      <c r="C78" s="90"/>
      <c r="D78" s="90"/>
      <c r="E78" s="90"/>
      <c r="F78" s="90"/>
      <c r="G78" s="90"/>
      <c r="H78" s="577" t="e">
        <f>IF(H73=0,NA(),((((Credibility*(LossDCCE_perExp-ReinRec_perExp))+(1-Credibility)*CompLoss_Rein)*(1-InvInc_Fixed)-Anc_Inc_perExp)/Max_Denom)+ReinPrem_perExp/(1-Comm_Rate-PremTaxRate))</f>
        <v>#VALUE!</v>
      </c>
      <c r="I78" s="473"/>
    </row>
    <row r="79" spans="1:9" ht="19.5" hidden="1" thickBot="1" x14ac:dyDescent="0.3">
      <c r="A79" s="151" t="s">
        <v>225</v>
      </c>
      <c r="B79" s="140"/>
      <c r="C79" s="140"/>
      <c r="D79" s="140"/>
      <c r="E79" s="140"/>
      <c r="F79" s="140"/>
      <c r="G79" s="140"/>
      <c r="H79" s="485" t="e">
        <f>IF(I79="",IF($H$73=0,NA(),(ReinMax_Premium-Prem_Current)/Prem_Current),"Error")</f>
        <v>#VALUE!</v>
      </c>
      <c r="I79" s="471" t="str">
        <f>IF(AND('6.9Ratemaking Data'!Error30="",'6.9Ratemaking Data'!Error31="",'6.9Ratemaking Data'!Error32=""),"","See Column M of Page '6.9Ratemaking Data' for errors that must be corrected.")</f>
        <v/>
      </c>
    </row>
    <row r="80" spans="1:9" ht="26.25" x14ac:dyDescent="0.25">
      <c r="F80" s="787" t="s">
        <v>616</v>
      </c>
      <c r="G80" s="787"/>
      <c r="H80" s="787"/>
    </row>
    <row r="81" spans="1:1" x14ac:dyDescent="0.25">
      <c r="A81" s="152"/>
    </row>
  </sheetData>
  <sheetProtection algorithmName="SHA-512" hashValue="yMiVZEhaXbcrmduAsfzJdHMjweCpw+8B9cDtqORAu+dXve9vQ2RerE5aYyjr5tLz91OoTUzjWuT1cpYgU+mddA==" saltValue="KB7YsDxgcWoG3XeG7QrIqw==" spinCount="100000" sheet="1" objects="1" scenarios="1" formatColumns="0" formatRows="0" sort="0"/>
  <mergeCells count="1">
    <mergeCell ref="F80:H80"/>
  </mergeCells>
  <conditionalFormatting sqref="H79">
    <cfRule type="cellIs" dxfId="3" priority="2" operator="equal">
      <formula>"Error"</formula>
    </cfRule>
  </conditionalFormatting>
  <conditionalFormatting sqref="H68:H69">
    <cfRule type="cellIs" dxfId="2" priority="1" operator="equal">
      <formula>"Error"</formula>
    </cfRule>
  </conditionalFormatting>
  <hyperlinks>
    <hyperlink ref="F80" location="'Ratemaking Data (7)'!A1" display="Go to Ratemaking Data (7)" xr:uid="{00000000-0004-0000-1C00-000000000000}"/>
    <hyperlink ref="F80:H80" location="'6.9Ratemaking Data'!A1" display="Go to 6.9Ratemaking Data" xr:uid="{00000000-0004-0000-1C00-000001000000}"/>
  </hyperlinks>
  <printOptions horizontalCentered="1"/>
  <pageMargins left="0.45" right="0.45" top="0.5" bottom="0.5" header="0.3" footer="0.3"/>
  <pageSetup scale="72" orientation="portrait" r:id="rId1"/>
  <headerFooter>
    <oddFooter>&amp;CPrior Approval Rate Template&amp;RPage 7.9&amp;L01/11/2022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8851" r:id="rId4" name="btnYears">
              <controlPr defaultSize="0" print="0" autoFill="0" autoPict="0" macro="[0]!ExpandContractColsData">
                <anchor moveWithCells="1">
                  <from>
                    <xdr:col>5</xdr:col>
                    <xdr:colOff>19050</xdr:colOff>
                    <xdr:row>6</xdr:row>
                    <xdr:rowOff>0</xdr:rowOff>
                  </from>
                  <to>
                    <xdr:col>6</xdr:col>
                    <xdr:colOff>733425</xdr:colOff>
                    <xdr:row>8</xdr:row>
                    <xdr:rowOff>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9">
    <tabColor theme="0" tint="-0.14999847407452621"/>
    <pageSetUpPr fitToPage="1"/>
  </sheetPr>
  <dimension ref="A1:J81"/>
  <sheetViews>
    <sheetView view="pageBreakPreview" zoomScaleNormal="100" zoomScaleSheetLayoutView="100" workbookViewId="0"/>
  </sheetViews>
  <sheetFormatPr defaultRowHeight="15" x14ac:dyDescent="0.25"/>
  <cols>
    <col min="1" max="1" width="28.28515625" style="14" customWidth="1"/>
    <col min="2" max="4" width="15.7109375" style="14" hidden="1" customWidth="1"/>
    <col min="5" max="8" width="17.42578125" style="14" customWidth="1"/>
    <col min="9" max="9" width="22.5703125" style="14" bestFit="1" customWidth="1"/>
    <col min="10" max="16384" width="9.140625" style="14"/>
  </cols>
  <sheetData>
    <row r="1" spans="1:8" x14ac:dyDescent="0.25">
      <c r="A1" s="10" t="s">
        <v>31</v>
      </c>
      <c r="E1" s="124" t="s">
        <v>33</v>
      </c>
      <c r="H1" s="125" t="str">
        <f>Co_Name</f>
        <v>State Farm Mutual Automobile Insurance Company</v>
      </c>
    </row>
    <row r="2" spans="1:8" x14ac:dyDescent="0.25">
      <c r="A2" s="8" t="s">
        <v>32</v>
      </c>
      <c r="E2" s="124" t="s">
        <v>34</v>
      </c>
      <c r="H2" s="125" t="str">
        <f>General_Line</f>
        <v>Auto Liability and Physical Damage</v>
      </c>
    </row>
    <row r="3" spans="1:8" x14ac:dyDescent="0.25">
      <c r="E3" s="181" t="s">
        <v>142</v>
      </c>
      <c r="F3" s="182"/>
      <c r="G3" s="182"/>
      <c r="H3" s="188" t="str">
        <f>CDI_FileNo</f>
        <v/>
      </c>
    </row>
    <row r="4" spans="1:8" ht="18" customHeight="1" x14ac:dyDescent="0.25">
      <c r="A4" s="607" t="str">
        <f>IF('6.10Ratemaking Data'!$K$7="","VARIANCE - NONE","VARIANCE "&amp;'6.10Ratemaking Data'!$K$7)</f>
        <v>VARIANCE - NONE</v>
      </c>
    </row>
    <row r="5" spans="1:8" ht="23.25" x14ac:dyDescent="0.25">
      <c r="A5" s="4" t="s">
        <v>665</v>
      </c>
      <c r="B5" s="123"/>
      <c r="C5" s="123"/>
      <c r="D5" s="123"/>
      <c r="E5" s="123"/>
      <c r="F5" s="123"/>
      <c r="G5" s="123"/>
      <c r="H5" s="123"/>
    </row>
    <row r="6" spans="1:8" ht="9.9499999999999993" customHeight="1" x14ac:dyDescent="0.25"/>
    <row r="7" spans="1:8" ht="15" customHeight="1" x14ac:dyDescent="0.25">
      <c r="A7" s="14" t="s">
        <v>1</v>
      </c>
      <c r="H7" s="28" t="str">
        <f>Completed_By</f>
        <v>Laura Campbell</v>
      </c>
    </row>
    <row r="8" spans="1:8" ht="15" customHeight="1" x14ac:dyDescent="0.25">
      <c r="A8" s="14" t="s">
        <v>76</v>
      </c>
      <c r="H8" s="189">
        <f>Completed_Date</f>
        <v>44816</v>
      </c>
    </row>
    <row r="9" spans="1:8" ht="15" customHeight="1" x14ac:dyDescent="0.25">
      <c r="A9" s="14" t="s">
        <v>169</v>
      </c>
      <c r="H9" s="189" t="str">
        <f>EffDate_Prior10</f>
        <v/>
      </c>
    </row>
    <row r="10" spans="1:8" ht="15" customHeight="1" x14ac:dyDescent="0.25">
      <c r="A10" s="14" t="s">
        <v>170</v>
      </c>
      <c r="B10" s="62"/>
      <c r="H10" s="189">
        <f>EffDate_Proposed</f>
        <v>45061</v>
      </c>
    </row>
    <row r="11" spans="1:8" ht="15" customHeight="1" x14ac:dyDescent="0.25">
      <c r="A11" s="14" t="s">
        <v>77</v>
      </c>
      <c r="B11" s="62"/>
      <c r="H11" s="28" t="str">
        <f>Detailed_LineDesc10</f>
        <v/>
      </c>
    </row>
    <row r="12" spans="1:8" ht="15" customHeight="1" x14ac:dyDescent="0.25">
      <c r="A12" s="14" t="s">
        <v>78</v>
      </c>
      <c r="B12" s="62"/>
      <c r="H12" s="28" t="str">
        <f>Covg10</f>
        <v/>
      </c>
    </row>
    <row r="13" spans="1:8" ht="15" customHeight="1" x14ac:dyDescent="0.25">
      <c r="H13" s="608"/>
    </row>
    <row r="14" spans="1:8" ht="9.9499999999999993" customHeight="1" x14ac:dyDescent="0.25"/>
    <row r="15" spans="1:8" ht="15.75" thickBot="1" x14ac:dyDescent="0.3">
      <c r="A15" s="130" t="s">
        <v>171</v>
      </c>
      <c r="B15" s="285" t="str">
        <f>'6.10Ratemaking Data'!D$14</f>
        <v>20171</v>
      </c>
      <c r="C15" s="285" t="str">
        <f>'6.10Ratemaking Data'!E$14</f>
        <v>20181</v>
      </c>
      <c r="D15" s="285" t="str">
        <f>'6.10Ratemaking Data'!F$14</f>
        <v>20191</v>
      </c>
      <c r="E15" s="285" t="str">
        <f>'6.10Ratemaking Data'!G$14</f>
        <v>20201</v>
      </c>
      <c r="F15" s="285" t="str">
        <f>'6.10Ratemaking Data'!H$14</f>
        <v>20211</v>
      </c>
      <c r="G15" s="285">
        <f>'6.10Ratemaking Data'!I$14</f>
        <v>20221</v>
      </c>
      <c r="H15" s="105" t="s">
        <v>306</v>
      </c>
    </row>
    <row r="16" spans="1:8" x14ac:dyDescent="0.25">
      <c r="A16" s="131" t="s">
        <v>173</v>
      </c>
      <c r="B16" s="132" t="str">
        <f>IF(ISBLANK('6.10Ratemaking Data'!D15),"",'6.10Ratemaking Data'!D15)</f>
        <v/>
      </c>
      <c r="C16" s="132" t="str">
        <f>IF(ISBLANK('6.10Ratemaking Data'!E15),"",'6.10Ratemaking Data'!E15)</f>
        <v/>
      </c>
      <c r="D16" s="132" t="str">
        <f>IF(ISBLANK('6.10Ratemaking Data'!F15),"",'6.10Ratemaking Data'!F15)</f>
        <v/>
      </c>
      <c r="E16" s="132" t="str">
        <f>IF(ISBLANK('6.10Ratemaking Data'!G15),"",'6.10Ratemaking Data'!G15)</f>
        <v/>
      </c>
      <c r="F16" s="132" t="str">
        <f>IF(ISBLANK('6.10Ratemaking Data'!H15),"",'6.10Ratemaking Data'!H15)</f>
        <v/>
      </c>
      <c r="G16" s="132" t="str">
        <f>IF(ISBLANK('6.10Ratemaking Data'!I15),"",'6.10Ratemaking Data'!I15)</f>
        <v/>
      </c>
      <c r="H16" s="133">
        <f>IF(New_Program=TRUE,'6.10Ratemaking Data'!$K$15,SUM($B16:$G16))</f>
        <v>0</v>
      </c>
    </row>
    <row r="17" spans="1:10" x14ac:dyDescent="0.25">
      <c r="A17" s="134" t="s">
        <v>172</v>
      </c>
      <c r="B17" s="135" t="str">
        <f>IF(ISBLANK('6.10Ratemaking Data'!D16),"",'6.10Ratemaking Data'!D16)</f>
        <v/>
      </c>
      <c r="C17" s="135" t="str">
        <f>IF(ISBLANK('6.10Ratemaking Data'!E16),"",'6.10Ratemaking Data'!E16)</f>
        <v/>
      </c>
      <c r="D17" s="135" t="str">
        <f>IF(ISBLANK('6.10Ratemaking Data'!F16),"",'6.10Ratemaking Data'!F16)</f>
        <v/>
      </c>
      <c r="E17" s="135" t="str">
        <f>IF(ISBLANK('6.10Ratemaking Data'!G16),"",'6.10Ratemaking Data'!G16)</f>
        <v/>
      </c>
      <c r="F17" s="135" t="str">
        <f>IF(ISBLANK('6.10Ratemaking Data'!H16),"",'6.10Ratemaking Data'!H16)</f>
        <v/>
      </c>
      <c r="G17" s="135" t="str">
        <f>IF(ISBLANK('6.10Ratemaking Data'!I16),"",'6.10Ratemaking Data'!I16)</f>
        <v/>
      </c>
      <c r="H17" s="136">
        <f>IF(New_Program=TRUE,'6.10Ratemaking Data'!$K$16,SUM($B17:$G17))</f>
        <v>0</v>
      </c>
    </row>
    <row r="18" spans="1:10" x14ac:dyDescent="0.25">
      <c r="A18" s="134" t="s">
        <v>174</v>
      </c>
      <c r="B18" s="137" t="str">
        <f>IF(ISBLANK('6.10Ratemaking Data'!D17),"",'6.10Ratemaking Data'!D17)</f>
        <v/>
      </c>
      <c r="C18" s="137" t="str">
        <f>IF(ISBLANK('6.10Ratemaking Data'!E17),"",'6.10Ratemaking Data'!E17)</f>
        <v/>
      </c>
      <c r="D18" s="137" t="str">
        <f>IF(ISBLANK('6.10Ratemaking Data'!F17),"",'6.10Ratemaking Data'!F17)</f>
        <v/>
      </c>
      <c r="E18" s="137" t="str">
        <f>IF(ISBLANK('6.10Ratemaking Data'!G17),"",'6.10Ratemaking Data'!G17)</f>
        <v/>
      </c>
      <c r="F18" s="137" t="str">
        <f>IF(ISBLANK('6.10Ratemaking Data'!H17),"",'6.10Ratemaking Data'!H17)</f>
        <v/>
      </c>
      <c r="G18" s="137" t="str">
        <f>IF(ISBLANK('6.10Ratemaking Data'!I17),"",'6.10Ratemaking Data'!I17)</f>
        <v/>
      </c>
      <c r="H18" s="138"/>
    </row>
    <row r="19" spans="1:10" x14ac:dyDescent="0.25">
      <c r="A19" s="134" t="s">
        <v>175</v>
      </c>
      <c r="B19" s="137" t="str">
        <f>IF(ISBLANK('6.10Ratemaking Data'!D18),"",'6.10Ratemaking Data'!D18)</f>
        <v/>
      </c>
      <c r="C19" s="137" t="str">
        <f>IF(ISBLANK('6.10Ratemaking Data'!E18),"",'6.10Ratemaking Data'!E18)</f>
        <v/>
      </c>
      <c r="D19" s="137" t="str">
        <f>IF(ISBLANK('6.10Ratemaking Data'!F18),"",'6.10Ratemaking Data'!F18)</f>
        <v/>
      </c>
      <c r="E19" s="137" t="str">
        <f>IF(ISBLANK('6.10Ratemaking Data'!G18),"",'6.10Ratemaking Data'!G18)</f>
        <v/>
      </c>
      <c r="F19" s="137" t="str">
        <f>IF(ISBLANK('6.10Ratemaking Data'!H18),"",'6.10Ratemaking Data'!H18)</f>
        <v/>
      </c>
      <c r="G19" s="137" t="str">
        <f>IF(ISBLANK('6.10Ratemaking Data'!I18),"",'6.10Ratemaking Data'!I18)</f>
        <v/>
      </c>
      <c r="H19" s="144">
        <f>IF(New_Program=TRUE,0,'6.10Ratemaking Data'!$J$18)</f>
        <v>0</v>
      </c>
    </row>
    <row r="20" spans="1:10" x14ac:dyDescent="0.25">
      <c r="A20" s="134" t="s">
        <v>176</v>
      </c>
      <c r="B20" s="135" t="str">
        <f>IF(ISBLANK('6.10Ratemaking Data'!D19),"",'6.10Ratemaking Data'!D19)</f>
        <v/>
      </c>
      <c r="C20" s="135" t="str">
        <f>IF(ISBLANK('6.10Ratemaking Data'!E19),"",'6.10Ratemaking Data'!E19)</f>
        <v/>
      </c>
      <c r="D20" s="135" t="str">
        <f>IF(ISBLANK('6.10Ratemaking Data'!F19),"",'6.10Ratemaking Data'!F19)</f>
        <v/>
      </c>
      <c r="E20" s="135" t="str">
        <f>IF(ISBLANK('6.10Ratemaking Data'!G19),"",'6.10Ratemaking Data'!G19)</f>
        <v/>
      </c>
      <c r="F20" s="135" t="str">
        <f>IF(ISBLANK('6.10Ratemaking Data'!H19),"",'6.10Ratemaking Data'!H19)</f>
        <v/>
      </c>
      <c r="G20" s="135" t="str">
        <f>IF(ISBLANK('6.10Ratemaking Data'!I19),"",'6.10Ratemaking Data'!I19)</f>
        <v/>
      </c>
      <c r="H20" s="136">
        <f>IF(New_Program=TRUE,'6.10Ratemaking Data'!$K$19,SUM($B20:$G20))</f>
        <v>0</v>
      </c>
    </row>
    <row r="21" spans="1:10" x14ac:dyDescent="0.25">
      <c r="A21" s="134" t="s">
        <v>177</v>
      </c>
      <c r="B21" s="135" t="str">
        <f>IF(ISBLANK('6.10Ratemaking Data'!D20),"",'6.10Ratemaking Data'!D20)</f>
        <v/>
      </c>
      <c r="C21" s="135" t="str">
        <f>IF(ISBLANK('6.10Ratemaking Data'!E20),"",'6.10Ratemaking Data'!E20)</f>
        <v/>
      </c>
      <c r="D21" s="135" t="str">
        <f>IF(ISBLANK('6.10Ratemaking Data'!F20),"",'6.10Ratemaking Data'!F20)</f>
        <v/>
      </c>
      <c r="E21" s="135" t="str">
        <f>IF(ISBLANK('6.10Ratemaking Data'!G20),"",'6.10Ratemaking Data'!G20)</f>
        <v/>
      </c>
      <c r="F21" s="135" t="str">
        <f>IF(ISBLANK('6.10Ratemaking Data'!H20),"",'6.10Ratemaking Data'!H20)</f>
        <v/>
      </c>
      <c r="G21" s="135" t="str">
        <f>IF(ISBLANK('6.10Ratemaking Data'!I20),"",'6.10Ratemaking Data'!I20)</f>
        <v/>
      </c>
      <c r="H21" s="136">
        <f>IF(New_Program=TRUE,'6.10Ratemaking Data'!$K$20,SUM($B21:$G21))</f>
        <v>0</v>
      </c>
      <c r="J21" s="126"/>
    </row>
    <row r="22" spans="1:10" x14ac:dyDescent="0.25">
      <c r="A22" s="134" t="s">
        <v>178</v>
      </c>
      <c r="B22" s="135" t="str">
        <f>IF(ISBLANK('6.10Ratemaking Data'!D21),"",'6.10Ratemaking Data'!D21)</f>
        <v/>
      </c>
      <c r="C22" s="135" t="str">
        <f>IF(ISBLANK('6.10Ratemaking Data'!E21),"",'6.10Ratemaking Data'!E21)</f>
        <v/>
      </c>
      <c r="D22" s="135" t="str">
        <f>IF(ISBLANK('6.10Ratemaking Data'!F21),"",'6.10Ratemaking Data'!F21)</f>
        <v/>
      </c>
      <c r="E22" s="135" t="str">
        <f>IF(ISBLANK('6.10Ratemaking Data'!G21),"",'6.10Ratemaking Data'!G21)</f>
        <v/>
      </c>
      <c r="F22" s="135" t="str">
        <f>IF(ISBLANK('6.10Ratemaking Data'!H21),"",'6.10Ratemaking Data'!H21)</f>
        <v/>
      </c>
      <c r="G22" s="135" t="str">
        <f>IF(ISBLANK('6.10Ratemaking Data'!I21),"",'6.10Ratemaking Data'!I21)</f>
        <v/>
      </c>
      <c r="H22" s="136">
        <f>IF(New_Program=TRUE,'6.10Ratemaking Data'!$K$21,SUM($B22:$G22))</f>
        <v>0</v>
      </c>
      <c r="J22" s="126"/>
    </row>
    <row r="23" spans="1:10" x14ac:dyDescent="0.25">
      <c r="A23" s="134" t="s">
        <v>144</v>
      </c>
      <c r="B23" s="135" t="str">
        <f>IF(ISBLANK('6.10Ratemaking Data'!D22),"",'6.10Ratemaking Data'!D22)</f>
        <v/>
      </c>
      <c r="C23" s="135" t="str">
        <f>IF(ISBLANK('6.10Ratemaking Data'!E22),"",'6.10Ratemaking Data'!E22)</f>
        <v/>
      </c>
      <c r="D23" s="135" t="str">
        <f>IF(ISBLANK('6.10Ratemaking Data'!F22),"",'6.10Ratemaking Data'!F22)</f>
        <v/>
      </c>
      <c r="E23" s="135" t="str">
        <f>IF(ISBLANK('6.10Ratemaking Data'!G22),"",'6.10Ratemaking Data'!G22)</f>
        <v/>
      </c>
      <c r="F23" s="135" t="str">
        <f>IF(ISBLANK('6.10Ratemaking Data'!H22),"",'6.10Ratemaking Data'!H22)</f>
        <v/>
      </c>
      <c r="G23" s="135" t="str">
        <f>IF(ISBLANK('6.10Ratemaking Data'!I22),"",'6.10Ratemaking Data'!I22)</f>
        <v/>
      </c>
      <c r="H23" s="136">
        <f>IF(New_Program=TRUE,'6.10Ratemaking Data'!$K$22,SUM($B23:$G23))</f>
        <v>0</v>
      </c>
      <c r="J23" s="126"/>
    </row>
    <row r="24" spans="1:10" x14ac:dyDescent="0.25">
      <c r="A24" s="134" t="s">
        <v>181</v>
      </c>
      <c r="B24" s="137" t="str">
        <f>IF(ISBLANK('6.10Ratemaking Data'!D23),"",'6.10Ratemaking Data'!D23)</f>
        <v/>
      </c>
      <c r="C24" s="137" t="str">
        <f>IF(ISBLANK('6.10Ratemaking Data'!E23),"",'6.10Ratemaking Data'!E23)</f>
        <v/>
      </c>
      <c r="D24" s="137" t="str">
        <f>IF(ISBLANK('6.10Ratemaking Data'!F23),"",'6.10Ratemaking Data'!F23)</f>
        <v/>
      </c>
      <c r="E24" s="137" t="str">
        <f>IF(ISBLANK('6.10Ratemaking Data'!G23),"",'6.10Ratemaking Data'!G23)</f>
        <v/>
      </c>
      <c r="F24" s="137" t="str">
        <f>IF(ISBLANK('6.10Ratemaking Data'!H23),"",'6.10Ratemaking Data'!H23)</f>
        <v/>
      </c>
      <c r="G24" s="137" t="str">
        <f>IF(ISBLANK('6.10Ratemaking Data'!I23),"",'6.10Ratemaking Data'!I23)</f>
        <v/>
      </c>
      <c r="H24" s="138"/>
    </row>
    <row r="25" spans="1:10" x14ac:dyDescent="0.25">
      <c r="A25" s="134" t="s">
        <v>182</v>
      </c>
      <c r="B25" s="137" t="str">
        <f>IF(ISBLANK('6.10Ratemaking Data'!D24),"",'6.10Ratemaking Data'!D24)</f>
        <v/>
      </c>
      <c r="C25" s="137" t="str">
        <f>IF(ISBLANK('6.10Ratemaking Data'!E24),"",'6.10Ratemaking Data'!E24)</f>
        <v/>
      </c>
      <c r="D25" s="137" t="str">
        <f>IF(ISBLANK('6.10Ratemaking Data'!F24),"",'6.10Ratemaking Data'!F24)</f>
        <v/>
      </c>
      <c r="E25" s="137" t="str">
        <f>IF(ISBLANK('6.10Ratemaking Data'!G24),"",'6.10Ratemaking Data'!G24)</f>
        <v/>
      </c>
      <c r="F25" s="137" t="str">
        <f>IF(ISBLANK('6.10Ratemaking Data'!H24),"",'6.10Ratemaking Data'!H24)</f>
        <v/>
      </c>
      <c r="G25" s="137" t="str">
        <f>IF(ISBLANK('6.10Ratemaking Data'!I24),"",'6.10Ratemaking Data'!I24)</f>
        <v/>
      </c>
      <c r="H25" s="138"/>
    </row>
    <row r="26" spans="1:10" x14ac:dyDescent="0.25">
      <c r="A26" s="134" t="s">
        <v>179</v>
      </c>
      <c r="B26" s="137" t="str">
        <f>IF(ISBLANK('6.10Ratemaking Data'!D25),"",'6.10Ratemaking Data'!D25)</f>
        <v/>
      </c>
      <c r="C26" s="137" t="str">
        <f>IF(ISBLANK('6.10Ratemaking Data'!E25),"",'6.10Ratemaking Data'!E25)</f>
        <v/>
      </c>
      <c r="D26" s="137" t="str">
        <f>IF(ISBLANK('6.10Ratemaking Data'!F25),"",'6.10Ratemaking Data'!F25)</f>
        <v/>
      </c>
      <c r="E26" s="137" t="str">
        <f>IF(ISBLANK('6.10Ratemaking Data'!G25),"",'6.10Ratemaking Data'!G25)</f>
        <v/>
      </c>
      <c r="F26" s="137" t="str">
        <f>IF(ISBLANK('6.10Ratemaking Data'!H25),"",'6.10Ratemaking Data'!H25)</f>
        <v/>
      </c>
      <c r="G26" s="137" t="str">
        <f>IF(ISBLANK('6.10Ratemaking Data'!I25),"",'6.10Ratemaking Data'!I25)</f>
        <v/>
      </c>
      <c r="H26" s="144">
        <f>IF(New_Program=TRUE,0,'6.10Ratemaking Data'!$J$25)</f>
        <v>0</v>
      </c>
    </row>
    <row r="27" spans="1:10" x14ac:dyDescent="0.25">
      <c r="A27" s="134" t="s">
        <v>180</v>
      </c>
      <c r="B27" s="137" t="str">
        <f>IF(ISBLANK('6.10Ratemaking Data'!D26),"",'6.10Ratemaking Data'!D26)</f>
        <v/>
      </c>
      <c r="C27" s="137" t="str">
        <f>IF(ISBLANK('6.10Ratemaking Data'!E26),"",'6.10Ratemaking Data'!E26)</f>
        <v/>
      </c>
      <c r="D27" s="137" t="str">
        <f>IF(ISBLANK('6.10Ratemaking Data'!F26),"",'6.10Ratemaking Data'!F26)</f>
        <v/>
      </c>
      <c r="E27" s="137" t="str">
        <f>IF(ISBLANK('6.10Ratemaking Data'!G26),"",'6.10Ratemaking Data'!G26)</f>
        <v/>
      </c>
      <c r="F27" s="137" t="str">
        <f>IF(ISBLANK('6.10Ratemaking Data'!H26),"",'6.10Ratemaking Data'!H26)</f>
        <v/>
      </c>
      <c r="G27" s="137" t="str">
        <f>IF(ISBLANK('6.10Ratemaking Data'!I26),"",'6.10Ratemaking Data'!I26)</f>
        <v/>
      </c>
      <c r="H27" s="144">
        <f>IF(New_Program=TRUE,0,'6.10Ratemaking Data'!$J$26)</f>
        <v>0</v>
      </c>
    </row>
    <row r="28" spans="1:10" x14ac:dyDescent="0.25">
      <c r="A28" s="134" t="s">
        <v>183</v>
      </c>
      <c r="B28" s="137" t="str">
        <f>IF(ISBLANK('6.10Ratemaking Data'!D27),"",'6.10Ratemaking Data'!D27)</f>
        <v/>
      </c>
      <c r="C28" s="137" t="str">
        <f>IF(ISBLANK('6.10Ratemaking Data'!E27),"",'6.10Ratemaking Data'!E27)</f>
        <v/>
      </c>
      <c r="D28" s="137" t="str">
        <f>IF(ISBLANK('6.10Ratemaking Data'!F27),"",'6.10Ratemaking Data'!F27)</f>
        <v/>
      </c>
      <c r="E28" s="137" t="str">
        <f>IF(ISBLANK('6.10Ratemaking Data'!G27),"",'6.10Ratemaking Data'!G27)</f>
        <v/>
      </c>
      <c r="F28" s="137" t="str">
        <f>IF(ISBLANK('6.10Ratemaking Data'!H27),"",'6.10Ratemaking Data'!H27)</f>
        <v/>
      </c>
      <c r="G28" s="137" t="str">
        <f>IF(ISBLANK('6.10Ratemaking Data'!I27),"",'6.10Ratemaking Data'!I27)</f>
        <v/>
      </c>
      <c r="H28" s="138"/>
    </row>
    <row r="29" spans="1:10" ht="15.75" thickBot="1" x14ac:dyDescent="0.3">
      <c r="A29" s="153" t="s">
        <v>188</v>
      </c>
      <c r="B29" s="154" t="str">
        <f>IF(ISBLANK('6.10Ratemaking Data'!D29),"",'6.10Ratemaking Data'!D29)</f>
        <v/>
      </c>
      <c r="C29" s="154" t="str">
        <f>IF(ISBLANK('6.10Ratemaking Data'!E29),"",'6.10Ratemaking Data'!E29)</f>
        <v/>
      </c>
      <c r="D29" s="154" t="str">
        <f>IF(ISBLANK('6.10Ratemaking Data'!F29),"",'6.10Ratemaking Data'!F29)</f>
        <v/>
      </c>
      <c r="E29" s="154" t="str">
        <f>IF(ISBLANK('6.10Ratemaking Data'!G29),"",'6.10Ratemaking Data'!G29)</f>
        <v/>
      </c>
      <c r="F29" s="154" t="str">
        <f>IF(ISBLANK('6.10Ratemaking Data'!H29),"",'6.10Ratemaking Data'!H29)</f>
        <v/>
      </c>
      <c r="G29" s="154" t="str">
        <f>IF(ISBLANK('6.10Ratemaking Data'!I29),"",'6.10Ratemaking Data'!I29)</f>
        <v/>
      </c>
      <c r="H29" s="155">
        <f>IF(New_Program=TRUE,'6.10Ratemaking Data'!$K$29,SUM($B29:$G29))</f>
        <v>0</v>
      </c>
    </row>
    <row r="30" spans="1:10" ht="15.75" thickTop="1" x14ac:dyDescent="0.25">
      <c r="A30" s="134" t="s">
        <v>184</v>
      </c>
      <c r="B30" s="139"/>
      <c r="C30" s="139"/>
      <c r="D30" s="139"/>
      <c r="E30" s="139"/>
      <c r="F30" s="139"/>
      <c r="G30" s="139"/>
      <c r="H30" s="144">
        <f>IF(New_Program=TRUE,100%,'6.10Ratemaking Data'!$J$28)</f>
        <v>0</v>
      </c>
    </row>
    <row r="31" spans="1:10" x14ac:dyDescent="0.25">
      <c r="A31" s="134" t="s">
        <v>185</v>
      </c>
      <c r="B31" s="139"/>
      <c r="C31" s="139"/>
      <c r="D31" s="139"/>
      <c r="E31" s="139"/>
      <c r="F31" s="139"/>
      <c r="G31" s="139"/>
      <c r="H31" s="144">
        <f>ExpRatio_Excluded</f>
        <v>1.3597266477453115E-2</v>
      </c>
    </row>
    <row r="32" spans="1:10" x14ac:dyDescent="0.25">
      <c r="A32" s="134" t="s">
        <v>166</v>
      </c>
      <c r="B32" s="139"/>
      <c r="C32" s="139"/>
      <c r="D32" s="139"/>
      <c r="E32" s="139"/>
      <c r="F32" s="139"/>
      <c r="G32" s="139"/>
      <c r="H32" s="144">
        <f>FIT_Inv</f>
        <v>0.18752087399665437</v>
      </c>
    </row>
    <row r="33" spans="1:9" ht="15.75" thickBot="1" x14ac:dyDescent="0.3">
      <c r="A33" s="98" t="s">
        <v>165</v>
      </c>
      <c r="B33" s="140"/>
      <c r="C33" s="140"/>
      <c r="D33" s="140"/>
      <c r="E33" s="140"/>
      <c r="F33" s="140"/>
      <c r="G33" s="140"/>
      <c r="H33" s="141">
        <f>Yield</f>
        <v>8.8050065696007235E-2</v>
      </c>
    </row>
    <row r="34" spans="1:9" ht="5.0999999999999996" customHeight="1" x14ac:dyDescent="0.25"/>
    <row r="35" spans="1:9" ht="15.75" thickBot="1" x14ac:dyDescent="0.3">
      <c r="A35" s="130" t="s">
        <v>189</v>
      </c>
      <c r="E35" s="93"/>
      <c r="F35" s="93"/>
      <c r="G35" s="93"/>
    </row>
    <row r="36" spans="1:9" x14ac:dyDescent="0.25">
      <c r="A36" s="131" t="s">
        <v>167</v>
      </c>
      <c r="B36" s="142"/>
      <c r="C36" s="142"/>
      <c r="D36" s="142"/>
      <c r="E36" s="142"/>
      <c r="F36" s="142"/>
      <c r="G36" s="142"/>
      <c r="H36" s="149">
        <f>FIT_UW</f>
        <v>0.21</v>
      </c>
      <c r="I36" s="90"/>
    </row>
    <row r="37" spans="1:9" x14ac:dyDescent="0.25">
      <c r="A37" s="134" t="s">
        <v>190</v>
      </c>
      <c r="B37" s="90"/>
      <c r="C37" s="90"/>
      <c r="D37" s="90"/>
      <c r="E37" s="90"/>
      <c r="F37" s="693" t="s">
        <v>317</v>
      </c>
      <c r="G37" s="694">
        <f>update_effstd</f>
        <v>2020</v>
      </c>
      <c r="H37" s="144" t="str">
        <f>EffStd_Final10</f>
        <v/>
      </c>
    </row>
    <row r="38" spans="1:9" x14ac:dyDescent="0.25">
      <c r="A38" s="134" t="s">
        <v>191</v>
      </c>
      <c r="B38" s="90"/>
      <c r="C38" s="90"/>
      <c r="D38" s="90"/>
      <c r="E38" s="90"/>
      <c r="F38" s="693" t="s">
        <v>317</v>
      </c>
      <c r="G38" s="694">
        <f>update_leverage</f>
        <v>2020</v>
      </c>
      <c r="H38" s="190" t="str">
        <f>LevFact_Final10</f>
        <v/>
      </c>
    </row>
    <row r="39" spans="1:9" x14ac:dyDescent="0.25">
      <c r="A39" s="134" t="s">
        <v>192</v>
      </c>
      <c r="B39" s="90"/>
      <c r="C39" s="90"/>
      <c r="D39" s="90"/>
      <c r="E39" s="90"/>
      <c r="F39" s="693"/>
      <c r="G39" s="693"/>
      <c r="H39" s="144">
        <f>PremTaxRate</f>
        <v>2.35E-2</v>
      </c>
    </row>
    <row r="40" spans="1:9" x14ac:dyDescent="0.25">
      <c r="A40" s="134" t="s">
        <v>193</v>
      </c>
      <c r="B40" s="90"/>
      <c r="C40" s="90"/>
      <c r="D40" s="90"/>
      <c r="E40" s="90"/>
      <c r="F40" s="693"/>
      <c r="G40" s="695"/>
      <c r="H40" s="191" t="e">
        <f>1/LevFact_Final10</f>
        <v>#VALUE!</v>
      </c>
    </row>
    <row r="41" spans="1:9" x14ac:dyDescent="0.25">
      <c r="A41" s="134" t="s">
        <v>198</v>
      </c>
      <c r="B41" s="90"/>
      <c r="C41" s="90"/>
      <c r="D41" s="90"/>
      <c r="E41" s="90"/>
      <c r="F41" s="693" t="s">
        <v>317</v>
      </c>
      <c r="G41" s="694">
        <f>update_reserveratios</f>
        <v>2020</v>
      </c>
      <c r="H41" s="191" t="str">
        <f>ResRatio_UPR10</f>
        <v/>
      </c>
    </row>
    <row r="42" spans="1:9" x14ac:dyDescent="0.25">
      <c r="A42" s="192" t="s">
        <v>194</v>
      </c>
      <c r="B42" s="90"/>
      <c r="C42" s="90"/>
      <c r="D42" s="90"/>
      <c r="E42" s="90"/>
      <c r="F42" s="693" t="s">
        <v>317</v>
      </c>
      <c r="G42" s="694">
        <f>update_reserveratios</f>
        <v>2020</v>
      </c>
      <c r="H42" s="191" t="str">
        <f>ResRatio_Loss10</f>
        <v/>
      </c>
    </row>
    <row r="43" spans="1:9" x14ac:dyDescent="0.25">
      <c r="A43" s="192" t="s">
        <v>195</v>
      </c>
      <c r="B43" s="90"/>
      <c r="C43" s="90"/>
      <c r="D43" s="90"/>
      <c r="E43" s="90"/>
      <c r="F43" s="691" t="s">
        <v>317</v>
      </c>
      <c r="G43" s="691" t="str">
        <f>ROR_RiskFree_Date</f>
        <v>June 2022</v>
      </c>
      <c r="H43" s="692">
        <f>ROR_RiskFree</f>
        <v>2.2799999999999997E-2</v>
      </c>
      <c r="I43" s="20" t="s">
        <v>732</v>
      </c>
    </row>
    <row r="44" spans="1:9" x14ac:dyDescent="0.25">
      <c r="A44" s="192" t="s">
        <v>197</v>
      </c>
      <c r="B44" s="90"/>
      <c r="C44" s="90"/>
      <c r="D44" s="90"/>
      <c r="E44" s="90"/>
      <c r="F44" s="90"/>
      <c r="G44" s="90"/>
      <c r="H44" s="286">
        <f>ROR_Min</f>
        <v>-0.06</v>
      </c>
      <c r="I44" s="20"/>
    </row>
    <row r="45" spans="1:9" ht="15.75" thickBot="1" x14ac:dyDescent="0.3">
      <c r="A45" s="193" t="s">
        <v>196</v>
      </c>
      <c r="B45" s="140"/>
      <c r="C45" s="140"/>
      <c r="D45" s="140"/>
      <c r="E45" s="140"/>
      <c r="F45" s="140"/>
      <c r="G45" s="140"/>
      <c r="H45" s="287">
        <f>ROR_Max</f>
        <v>8.2799999999999999E-2</v>
      </c>
    </row>
    <row r="46" spans="1:9" ht="5.0999999999999996" customHeight="1" x14ac:dyDescent="0.25"/>
    <row r="47" spans="1:9" ht="15.75" thickBot="1" x14ac:dyDescent="0.3">
      <c r="A47" s="130" t="s">
        <v>234</v>
      </c>
      <c r="B47" s="285" t="str">
        <f>'6.10Ratemaking Data'!D$14</f>
        <v>20171</v>
      </c>
      <c r="C47" s="285" t="str">
        <f>'6.10Ratemaking Data'!E$14</f>
        <v>20181</v>
      </c>
      <c r="D47" s="285" t="str">
        <f>'6.10Ratemaking Data'!F$14</f>
        <v>20191</v>
      </c>
      <c r="E47" s="285" t="str">
        <f>'6.10Ratemaking Data'!G$14</f>
        <v>20201</v>
      </c>
      <c r="F47" s="285" t="str">
        <f>'6.10Ratemaking Data'!H$14</f>
        <v>20211</v>
      </c>
      <c r="G47" s="285">
        <f>'6.10Ratemaking Data'!I$14</f>
        <v>20221</v>
      </c>
    </row>
    <row r="48" spans="1:9" x14ac:dyDescent="0.25">
      <c r="A48" s="131" t="s">
        <v>199</v>
      </c>
      <c r="B48" s="132" t="str">
        <f t="shared" ref="B48:G48" si="0">IF(ISERROR(Prem_Earned*Prem_Adj*Prem_Trend+Misc_Fees),"",Prem_Earned*Prem_Adj*Prem_Trend+Misc_Fees)</f>
        <v/>
      </c>
      <c r="C48" s="132" t="str">
        <f t="shared" si="0"/>
        <v/>
      </c>
      <c r="D48" s="132" t="str">
        <f t="shared" si="0"/>
        <v/>
      </c>
      <c r="E48" s="132" t="str">
        <f t="shared" si="0"/>
        <v/>
      </c>
      <c r="F48" s="132" t="str">
        <f t="shared" si="0"/>
        <v/>
      </c>
      <c r="G48" s="132" t="str">
        <f t="shared" si="0"/>
        <v/>
      </c>
      <c r="H48" s="133">
        <f>IF(New_Program=TRUE,(Prem_Earned+Misc_Fees),SUM($B48:$G48))</f>
        <v>0</v>
      </c>
    </row>
    <row r="49" spans="1:9" x14ac:dyDescent="0.25">
      <c r="A49" s="134" t="s">
        <v>200</v>
      </c>
      <c r="B49" s="135" t="str">
        <f t="shared" ref="B49:G49" si="1">IF(ISERROR(Losses*Loss_Devt*CAT_Adj*Loss_Trend),"",Losses*Loss_Devt*CAT_Adj*Loss_Trend)</f>
        <v/>
      </c>
      <c r="C49" s="135" t="str">
        <f t="shared" si="1"/>
        <v/>
      </c>
      <c r="D49" s="135" t="str">
        <f t="shared" si="1"/>
        <v/>
      </c>
      <c r="E49" s="135" t="str">
        <f t="shared" si="1"/>
        <v/>
      </c>
      <c r="F49" s="135" t="str">
        <f t="shared" si="1"/>
        <v/>
      </c>
      <c r="G49" s="135" t="str">
        <f t="shared" si="1"/>
        <v/>
      </c>
      <c r="H49" s="136">
        <f>IF(New_Program=TRUE,Losses,SUM($B49:$G49))</f>
        <v>0</v>
      </c>
    </row>
    <row r="50" spans="1:9" x14ac:dyDescent="0.25">
      <c r="A50" s="134" t="s">
        <v>201</v>
      </c>
      <c r="B50" s="135" t="str">
        <f t="shared" ref="B50:G50" si="2">IF(ISERROR(DCCE*DCCE_Devt*CAT_Adj*DCCE_Trend),"",DCCE*DCCE_Devt*CAT_Adj*DCCE_Trend)</f>
        <v/>
      </c>
      <c r="C50" s="135" t="str">
        <f t="shared" si="2"/>
        <v/>
      </c>
      <c r="D50" s="135" t="str">
        <f t="shared" si="2"/>
        <v/>
      </c>
      <c r="E50" s="135" t="str">
        <f t="shared" si="2"/>
        <v/>
      </c>
      <c r="F50" s="135" t="str">
        <f t="shared" si="2"/>
        <v/>
      </c>
      <c r="G50" s="135" t="str">
        <f t="shared" si="2"/>
        <v/>
      </c>
      <c r="H50" s="136">
        <f>IF(New_Program=TRUE,DCCE,SUM($B50:$G50))</f>
        <v>0</v>
      </c>
    </row>
    <row r="51" spans="1:9" x14ac:dyDescent="0.25">
      <c r="A51" s="134" t="s">
        <v>202</v>
      </c>
      <c r="B51" s="143" t="str">
        <f t="shared" ref="B51:H51" si="3">IF(ISERROR((B49+B50)/B48),"",(B49+B50)/B48)</f>
        <v/>
      </c>
      <c r="C51" s="143" t="str">
        <f t="shared" si="3"/>
        <v/>
      </c>
      <c r="D51" s="143" t="str">
        <f t="shared" si="3"/>
        <v/>
      </c>
      <c r="E51" s="143" t="str">
        <f t="shared" si="3"/>
        <v/>
      </c>
      <c r="F51" s="143" t="str">
        <f t="shared" si="3"/>
        <v/>
      </c>
      <c r="G51" s="143" t="str">
        <f t="shared" si="3"/>
        <v/>
      </c>
      <c r="H51" s="144" t="str">
        <f t="shared" si="3"/>
        <v/>
      </c>
    </row>
    <row r="52" spans="1:9" x14ac:dyDescent="0.25">
      <c r="A52" s="134" t="s">
        <v>215</v>
      </c>
      <c r="B52" s="576" t="str">
        <f t="shared" ref="B52:H52" si="4">IF(ISERROR(Prem_Adjusted/Exposures_Earned),"",Prem_Adjusted/Exposures_Earned)</f>
        <v/>
      </c>
      <c r="C52" s="576" t="str">
        <f t="shared" si="4"/>
        <v/>
      </c>
      <c r="D52" s="576" t="str">
        <f t="shared" si="4"/>
        <v/>
      </c>
      <c r="E52" s="576" t="str">
        <f t="shared" si="4"/>
        <v/>
      </c>
      <c r="F52" s="576" t="str">
        <f t="shared" si="4"/>
        <v/>
      </c>
      <c r="G52" s="576" t="str">
        <f t="shared" si="4"/>
        <v/>
      </c>
      <c r="H52" s="147" t="str">
        <f t="shared" si="4"/>
        <v/>
      </c>
    </row>
    <row r="53" spans="1:9" x14ac:dyDescent="0.25">
      <c r="A53" s="134" t="s">
        <v>203</v>
      </c>
      <c r="B53" s="576" t="str">
        <f t="shared" ref="B53:H53" si="5">IF(ISERROR((Losses_Adjusted+DCCE_Adjusted)/Exposures_Earned),"",(Losses_Adjusted+DCCE_Adjusted)/Exposures_Earned)</f>
        <v/>
      </c>
      <c r="C53" s="576" t="str">
        <f t="shared" si="5"/>
        <v/>
      </c>
      <c r="D53" s="576" t="str">
        <f t="shared" si="5"/>
        <v/>
      </c>
      <c r="E53" s="576" t="str">
        <f t="shared" si="5"/>
        <v/>
      </c>
      <c r="F53" s="576" t="str">
        <f t="shared" si="5"/>
        <v/>
      </c>
      <c r="G53" s="576" t="str">
        <f t="shared" si="5"/>
        <v/>
      </c>
      <c r="H53" s="147" t="str">
        <f t="shared" si="5"/>
        <v/>
      </c>
    </row>
    <row r="54" spans="1:9" x14ac:dyDescent="0.25">
      <c r="A54" s="134" t="s">
        <v>204</v>
      </c>
      <c r="B54" s="576" t="str">
        <f t="shared" ref="B54:H54" si="6">IF(ISERROR((TCRLP_perExp*(1+Comp_Trend)*Max_Denom+Anc_Inc_perExp)/(1-InvInc_Fixed)),"",(TCRLP_perExp*(1+Comp_Trend)*Max_Denom+Anc_Inc_perExp)/(1-InvInc_Fixed))</f>
        <v/>
      </c>
      <c r="C54" s="576" t="str">
        <f t="shared" si="6"/>
        <v/>
      </c>
      <c r="D54" s="576" t="str">
        <f t="shared" si="6"/>
        <v/>
      </c>
      <c r="E54" s="576" t="str">
        <f t="shared" si="6"/>
        <v/>
      </c>
      <c r="F54" s="576" t="str">
        <f t="shared" si="6"/>
        <v/>
      </c>
      <c r="G54" s="576" t="str">
        <f t="shared" si="6"/>
        <v/>
      </c>
      <c r="H54" s="147" t="str">
        <f t="shared" si="6"/>
        <v/>
      </c>
    </row>
    <row r="55" spans="1:9" x14ac:dyDescent="0.25">
      <c r="A55" s="134" t="s">
        <v>214</v>
      </c>
      <c r="B55" s="576" t="str">
        <f t="shared" ref="B55:H55" si="7">IF(ISERROR(Credibility*LossDCCE_perExp+(1-Credibility)*CompLossDCCE_perExp),"",Credibility*LossDCCE_perExp+(1-Credibility)*CompLossDCCE_perExp)</f>
        <v/>
      </c>
      <c r="C55" s="576" t="str">
        <f t="shared" si="7"/>
        <v/>
      </c>
      <c r="D55" s="576" t="str">
        <f t="shared" si="7"/>
        <v/>
      </c>
      <c r="E55" s="576" t="str">
        <f t="shared" si="7"/>
        <v/>
      </c>
      <c r="F55" s="576" t="str">
        <f t="shared" si="7"/>
        <v/>
      </c>
      <c r="G55" s="576" t="str">
        <f t="shared" si="7"/>
        <v/>
      </c>
      <c r="H55" s="147" t="str">
        <f t="shared" si="7"/>
        <v/>
      </c>
    </row>
    <row r="56" spans="1:9" ht="15.75" thickBot="1" x14ac:dyDescent="0.3">
      <c r="A56" s="153" t="s">
        <v>216</v>
      </c>
      <c r="B56" s="250" t="str">
        <f t="shared" ref="B56:H56" si="8">IF(ISERROR(Anc_Income/Exposures_Earned),"",Anc_Income/Exposures_Earned)</f>
        <v/>
      </c>
      <c r="C56" s="250" t="str">
        <f t="shared" si="8"/>
        <v/>
      </c>
      <c r="D56" s="250" t="str">
        <f t="shared" si="8"/>
        <v/>
      </c>
      <c r="E56" s="250" t="str">
        <f t="shared" si="8"/>
        <v/>
      </c>
      <c r="F56" s="250" t="str">
        <f t="shared" si="8"/>
        <v/>
      </c>
      <c r="G56" s="250" t="str">
        <f t="shared" si="8"/>
        <v/>
      </c>
      <c r="H56" s="251" t="str">
        <f t="shared" si="8"/>
        <v/>
      </c>
    </row>
    <row r="57" spans="1:9" ht="15.75" thickTop="1" x14ac:dyDescent="0.25">
      <c r="A57" s="134" t="s">
        <v>217</v>
      </c>
      <c r="B57" s="90"/>
      <c r="C57" s="90"/>
      <c r="D57" s="90"/>
      <c r="E57" s="90"/>
      <c r="F57" s="90"/>
      <c r="G57" s="90"/>
      <c r="H57" s="144" t="e">
        <f>Yield*((1-FIT_Inv)/(1-FIT_UW))*ResRatio_Loss10</f>
        <v>#VALUE!</v>
      </c>
    </row>
    <row r="58" spans="1:9" x14ac:dyDescent="0.25">
      <c r="A58" s="134" t="s">
        <v>218</v>
      </c>
      <c r="B58" s="90"/>
      <c r="C58" s="90"/>
      <c r="D58" s="90"/>
      <c r="E58" s="90"/>
      <c r="F58" s="90"/>
      <c r="G58" s="90"/>
      <c r="H58" s="144" t="e">
        <f>Yield*((1-FIT_Inv)/(1-FIT_UW))*(ResRatio_UPR10+SurplusRatio)</f>
        <v>#VALUE!</v>
      </c>
    </row>
    <row r="59" spans="1:9" x14ac:dyDescent="0.25">
      <c r="A59" s="134" t="s">
        <v>206</v>
      </c>
      <c r="B59" s="145"/>
      <c r="C59" s="145"/>
      <c r="D59" s="145"/>
      <c r="E59" s="145"/>
      <c r="F59" s="145"/>
      <c r="G59" s="145"/>
      <c r="H59" s="144">
        <f>(1+Loss_AnnualTrend)/(1+Prem_AnnualTrend)-1</f>
        <v>0</v>
      </c>
    </row>
    <row r="60" spans="1:9" x14ac:dyDescent="0.25">
      <c r="A60" s="134" t="s">
        <v>205</v>
      </c>
      <c r="B60" s="145"/>
      <c r="C60" s="145"/>
      <c r="D60" s="145"/>
      <c r="E60" s="145"/>
      <c r="F60" s="145"/>
      <c r="G60" s="145"/>
      <c r="H60" s="144" t="e">
        <f>IF(New_Program=TRUE,0,(1+Net_AnnualTrend)^MIN(4,((EffDate_Proposed-EffDate_Prior10)/365.25))-1)</f>
        <v>#VALUE!</v>
      </c>
    </row>
    <row r="61" spans="1:9" x14ac:dyDescent="0.25">
      <c r="A61" s="134" t="s">
        <v>207</v>
      </c>
      <c r="B61" s="145"/>
      <c r="C61" s="145"/>
      <c r="D61" s="145"/>
      <c r="E61" s="145"/>
      <c r="F61" s="145"/>
      <c r="G61" s="145"/>
      <c r="H61" s="144" t="e">
        <f>(ROR_Max)/(LevFact_Final10*(1-FIT_UW))</f>
        <v>#VALUE!</v>
      </c>
    </row>
    <row r="62" spans="1:9" x14ac:dyDescent="0.25">
      <c r="A62" s="134" t="s">
        <v>208</v>
      </c>
      <c r="B62" s="90"/>
      <c r="C62" s="90"/>
      <c r="D62" s="90"/>
      <c r="E62" s="90"/>
      <c r="F62" s="90"/>
      <c r="G62" s="90"/>
      <c r="H62" s="144" t="e">
        <f>(ROR_Min)/(LevFact_Final10*(1-FIT_UW))</f>
        <v>#VALUE!</v>
      </c>
    </row>
    <row r="63" spans="1:9" x14ac:dyDescent="0.25">
      <c r="A63" s="134" t="s">
        <v>209</v>
      </c>
      <c r="B63" s="90"/>
      <c r="C63" s="90"/>
      <c r="D63" s="90"/>
      <c r="E63" s="90"/>
      <c r="F63" s="90"/>
      <c r="G63" s="90"/>
      <c r="H63" s="144" t="e">
        <f>1-CredLossDCCE_perExp/Max_Premium-EffStd_Final10</f>
        <v>#VALUE!</v>
      </c>
      <c r="I63" s="252"/>
    </row>
    <row r="64" spans="1:9" x14ac:dyDescent="0.25">
      <c r="A64" s="134" t="s">
        <v>211</v>
      </c>
      <c r="B64" s="90"/>
      <c r="C64" s="90"/>
      <c r="D64" s="90"/>
      <c r="E64" s="90"/>
      <c r="F64" s="90"/>
      <c r="G64" s="90"/>
      <c r="H64" s="146" t="e">
        <f>1-EffStd_Final10-Min_Profit+InvInc_Variable</f>
        <v>#VALUE!</v>
      </c>
      <c r="I64" s="252"/>
    </row>
    <row r="65" spans="1:9" x14ac:dyDescent="0.25">
      <c r="A65" s="134" t="s">
        <v>210</v>
      </c>
      <c r="B65" s="90"/>
      <c r="C65" s="90"/>
      <c r="D65" s="90"/>
      <c r="E65" s="90"/>
      <c r="F65" s="90"/>
      <c r="G65" s="90"/>
      <c r="H65" s="146" t="e">
        <f>1-EffStd_Final10-Max_Profit+InvInc_Variable</f>
        <v>#VALUE!</v>
      </c>
      <c r="I65" s="473" t="str">
        <f>IF(AND(Error35="",Error36=""),"","See Column H of Page '3.2YieldFIT' for errors that must be corrected.")</f>
        <v/>
      </c>
    </row>
    <row r="66" spans="1:9" x14ac:dyDescent="0.25">
      <c r="A66" s="134" t="s">
        <v>213</v>
      </c>
      <c r="B66" s="90"/>
      <c r="C66" s="90"/>
      <c r="D66" s="90"/>
      <c r="E66" s="90"/>
      <c r="F66" s="90"/>
      <c r="G66" s="90"/>
      <c r="H66" s="577" t="e">
        <f>(CredLossDCCE_perExp*(1-InvInc_Fixed)-Anc_Inc_perExp)/Min_Denom</f>
        <v>#VALUE!</v>
      </c>
      <c r="I66" s="473" t="str">
        <f>IF(Error38="","","See Column F of Page '4.2Excluded Exp' for errors that must be corrected.")</f>
        <v/>
      </c>
    </row>
    <row r="67" spans="1:9" ht="15.75" thickBot="1" x14ac:dyDescent="0.3">
      <c r="A67" s="134" t="s">
        <v>212</v>
      </c>
      <c r="B67" s="90"/>
      <c r="C67" s="90"/>
      <c r="D67" s="90"/>
      <c r="E67" s="90"/>
      <c r="F67" s="90"/>
      <c r="G67" s="90"/>
      <c r="H67" s="577" t="e">
        <f>(CredLossDCCE_perExp*(1-InvInc_Fixed)-Anc_Inc_perExp)/Max_Denom</f>
        <v>#VALUE!</v>
      </c>
      <c r="I67" s="471" t="str">
        <f>IF(Error34="","","See Column I of Page '2.Summary' for errors that must be corrected.")</f>
        <v/>
      </c>
    </row>
    <row r="68" spans="1:9" x14ac:dyDescent="0.25">
      <c r="A68" s="95" t="s">
        <v>235</v>
      </c>
      <c r="B68" s="90"/>
      <c r="C68" s="90"/>
      <c r="D68" s="90"/>
      <c r="E68" s="90"/>
      <c r="F68" s="90"/>
      <c r="G68" s="90"/>
      <c r="H68" s="289" t="str">
        <f>IF(AND(I65="",I66="",I67="",I68="",I69=""),(Min_Premium-Prem_Current)/Prem_Current,"Error")</f>
        <v>Error</v>
      </c>
      <c r="I68" s="473" t="str">
        <f>IF(AND(Error00="",Error01="",Error02="",Error03="",Error04="",Error05="",Error06="",Error07="",Error08="",Error09="",Error10="",Error11="",Error12="",Error13="",Error14="",Error15="",Error16="",Error37=""),"","See Column J of Page '1.General' for errors that must be corrected.")</f>
        <v/>
      </c>
    </row>
    <row r="69" spans="1:9" ht="19.5" thickBot="1" x14ac:dyDescent="0.3">
      <c r="A69" s="96" t="s">
        <v>236</v>
      </c>
      <c r="B69" s="140"/>
      <c r="C69" s="140"/>
      <c r="D69" s="140"/>
      <c r="E69" s="140"/>
      <c r="F69" s="140"/>
      <c r="G69" s="140"/>
      <c r="H69" s="288" t="str">
        <f>IF(AND(I65="",I66="",I67="",I68="",I69=""),(Max_Premium-Prem_Current)/Prem_Current, "Error")</f>
        <v>Error</v>
      </c>
      <c r="I69" s="471" t="str">
        <f>IF(AND('6.10Ratemaking Data'!Error17="",'6.10Ratemaking Data'!Error18="",'6.10Ratemaking Data'!Error19="",'6.10Ratemaking Data'!Error20="",'6.10Ratemaking Data'!Error21="",'6.10Ratemaking Data'!Error22="",'6.10Ratemaking Data'!Error23="",'6.10Ratemaking Data'!Error24="",'6.10Ratemaking Data'!Error25="",'6.10Ratemaking Data'!Error26="",'6.10Ratemaking Data'!Error27="",'6.10Ratemaking Data'!Error28="",'6.10Ratemaking Data'!Error29=""),"","See Column M of Page '6.10Ratemaking Data' for errors that must be corrected.")</f>
        <v>See Column M of Page '6.10Ratemaking Data' for errors that must be corrected.</v>
      </c>
    </row>
    <row r="70" spans="1:9" ht="5.0999999999999996" hidden="1" customHeight="1" x14ac:dyDescent="0.25"/>
    <row r="71" spans="1:9" ht="15.75" hidden="1" thickBot="1" x14ac:dyDescent="0.3">
      <c r="A71" s="130" t="s">
        <v>233</v>
      </c>
      <c r="B71" s="285" t="str">
        <f>'6.10Ratemaking Data'!D$14</f>
        <v>20171</v>
      </c>
      <c r="C71" s="285" t="str">
        <f>'6.10Ratemaking Data'!E$14</f>
        <v>20181</v>
      </c>
      <c r="D71" s="285" t="str">
        <f>'6.10Ratemaking Data'!F$14</f>
        <v>20191</v>
      </c>
      <c r="E71" s="285" t="str">
        <f>'6.10Ratemaking Data'!G$14</f>
        <v>20201</v>
      </c>
      <c r="F71" s="285" t="str">
        <f>'6.10Ratemaking Data'!H$14</f>
        <v>20211</v>
      </c>
      <c r="G71" s="285">
        <f>'6.10Ratemaking Data'!I$14</f>
        <v>20221</v>
      </c>
    </row>
    <row r="72" spans="1:9" hidden="1" x14ac:dyDescent="0.25">
      <c r="A72" s="148" t="s">
        <v>232</v>
      </c>
      <c r="B72" s="142"/>
      <c r="C72" s="142"/>
      <c r="D72" s="142"/>
      <c r="E72" s="142"/>
      <c r="F72" s="142"/>
      <c r="G72" s="142"/>
      <c r="H72" s="149" t="str">
        <f>IF(ISBLANK('6.10Ratemaking Data'!J44),"",'6.10Ratemaking Data'!J44)</f>
        <v/>
      </c>
    </row>
    <row r="73" spans="1:9" hidden="1" x14ac:dyDescent="0.25">
      <c r="A73" s="150" t="s">
        <v>219</v>
      </c>
      <c r="B73" s="135" t="str">
        <f>IF(ISBLANK('6.10Ratemaking Data'!D45),"",'6.10Ratemaking Data'!D45)</f>
        <v/>
      </c>
      <c r="C73" s="135" t="str">
        <f>IF(ISBLANK('6.10Ratemaking Data'!E45),"",'6.10Ratemaking Data'!E45)</f>
        <v/>
      </c>
      <c r="D73" s="135" t="str">
        <f>IF(ISBLANK('6.10Ratemaking Data'!F45),"",'6.10Ratemaking Data'!F45)</f>
        <v/>
      </c>
      <c r="E73" s="135" t="str">
        <f>IF(ISBLANK('6.10Ratemaking Data'!G45),"",'6.10Ratemaking Data'!G45)</f>
        <v/>
      </c>
      <c r="F73" s="135" t="str">
        <f>IF(ISBLANK('6.10Ratemaking Data'!H45),"",'6.10Ratemaking Data'!H45)</f>
        <v/>
      </c>
      <c r="G73" s="135" t="str">
        <f>IF(ISBLANK('6.10Ratemaking Data'!I45),"",'6.10Ratemaking Data'!I45)</f>
        <v/>
      </c>
      <c r="H73" s="136" t="str">
        <f>IF(RIGHT(Detailed_LineCode10,1)="R",IF(New_Program=TRUE,'6.10Ratemaking Data'!$K$45,SUM($B73:$G73)),"")</f>
        <v/>
      </c>
    </row>
    <row r="74" spans="1:9" hidden="1" x14ac:dyDescent="0.25">
      <c r="A74" s="150" t="s">
        <v>220</v>
      </c>
      <c r="B74" s="135" t="str">
        <f>IF(ISBLANK('6.10Ratemaking Data'!D46),"",'6.10Ratemaking Data'!D46)</f>
        <v/>
      </c>
      <c r="C74" s="135" t="str">
        <f>IF(ISBLANK('6.10Ratemaking Data'!E46),"",'6.10Ratemaking Data'!E46)</f>
        <v/>
      </c>
      <c r="D74" s="135" t="str">
        <f>IF(ISBLANK('6.10Ratemaking Data'!F46),"",'6.10Ratemaking Data'!F46)</f>
        <v/>
      </c>
      <c r="E74" s="135" t="str">
        <f>IF(ISBLANK('6.10Ratemaking Data'!G46),"",'6.10Ratemaking Data'!G46)</f>
        <v/>
      </c>
      <c r="F74" s="135" t="str">
        <f>IF(ISBLANK('6.10Ratemaking Data'!H46),"",'6.10Ratemaking Data'!H46)</f>
        <v/>
      </c>
      <c r="G74" s="135" t="str">
        <f>IF(ISBLANK('6.10Ratemaking Data'!I46),"",'6.10Ratemaking Data'!I46)</f>
        <v/>
      </c>
      <c r="H74" s="136">
        <f>IF(New_Program=TRUE,'6.10Ratemaking Data'!$K$46,SUM($B74:$G74))</f>
        <v>0</v>
      </c>
    </row>
    <row r="75" spans="1:9" hidden="1" x14ac:dyDescent="0.25">
      <c r="A75" s="150" t="s">
        <v>221</v>
      </c>
      <c r="B75" s="578" t="str">
        <f t="shared" ref="B75:H75" si="9">IF(ISERROR(Rein_Prem/Exposures_Earned),"",Rein_Prem/Exposures_Earned)</f>
        <v/>
      </c>
      <c r="C75" s="578" t="str">
        <f t="shared" si="9"/>
        <v/>
      </c>
      <c r="D75" s="578" t="str">
        <f t="shared" si="9"/>
        <v/>
      </c>
      <c r="E75" s="578" t="str">
        <f t="shared" si="9"/>
        <v/>
      </c>
      <c r="F75" s="578" t="str">
        <f t="shared" si="9"/>
        <v/>
      </c>
      <c r="G75" s="578" t="str">
        <f t="shared" si="9"/>
        <v/>
      </c>
      <c r="H75" s="577" t="str">
        <f t="shared" si="9"/>
        <v/>
      </c>
    </row>
    <row r="76" spans="1:9" hidden="1" x14ac:dyDescent="0.25">
      <c r="A76" s="150" t="s">
        <v>222</v>
      </c>
      <c r="B76" s="578" t="str">
        <f t="shared" ref="B76:H76" si="10">IF(ISERROR(Rein_Recov/Exposures_Earned),"",Rein_Recov/Exposures_Earned)</f>
        <v/>
      </c>
      <c r="C76" s="578" t="str">
        <f t="shared" si="10"/>
        <v/>
      </c>
      <c r="D76" s="578" t="str">
        <f t="shared" si="10"/>
        <v/>
      </c>
      <c r="E76" s="578" t="str">
        <f t="shared" si="10"/>
        <v/>
      </c>
      <c r="F76" s="578" t="str">
        <f t="shared" si="10"/>
        <v/>
      </c>
      <c r="G76" s="578" t="str">
        <f t="shared" si="10"/>
        <v/>
      </c>
      <c r="H76" s="577" t="str">
        <f t="shared" si="10"/>
        <v/>
      </c>
    </row>
    <row r="77" spans="1:9" hidden="1" x14ac:dyDescent="0.25">
      <c r="A77" s="150" t="s">
        <v>223</v>
      </c>
      <c r="B77" s="578" t="str">
        <f t="shared" ref="B77:H77" si="11">IF(ISERROR((TCRLP_perExp*(1+Comp_Trend)*Max_Denom+Anc_Inc_perExp-ReinPrem_perExp*Max_Denom/(1-Comm_Rate-PremTaxRate))/(1-InvInc_Fixed)),"",(TCRLP_perExp*(1+Comp_Trend)*Max_Denom+Anc_Inc_perExp-ReinPrem_perExp*Max_Denom/(1-Comm_Rate-PremTaxRate))/(1-InvInc_Fixed))</f>
        <v/>
      </c>
      <c r="C77" s="578" t="str">
        <f t="shared" si="11"/>
        <v/>
      </c>
      <c r="D77" s="578" t="str">
        <f t="shared" si="11"/>
        <v/>
      </c>
      <c r="E77" s="578" t="str">
        <f t="shared" si="11"/>
        <v/>
      </c>
      <c r="F77" s="578" t="str">
        <f t="shared" si="11"/>
        <v/>
      </c>
      <c r="G77" s="578" t="str">
        <f t="shared" si="11"/>
        <v/>
      </c>
      <c r="H77" s="577" t="str">
        <f t="shared" si="11"/>
        <v/>
      </c>
    </row>
    <row r="78" spans="1:9" ht="15.75" hidden="1" thickBot="1" x14ac:dyDescent="0.3">
      <c r="A78" s="528" t="s">
        <v>655</v>
      </c>
      <c r="B78" s="90"/>
      <c r="C78" s="90"/>
      <c r="D78" s="90"/>
      <c r="E78" s="90"/>
      <c r="F78" s="90"/>
      <c r="G78" s="90"/>
      <c r="H78" s="577" t="e">
        <f>IF(H73=0,NA(),((((Credibility*(LossDCCE_perExp-ReinRec_perExp))+(1-Credibility)*CompLoss_Rein)*(1-InvInc_Fixed)-Anc_Inc_perExp)/Max_Denom)+ReinPrem_perExp/(1-Comm_Rate-PremTaxRate))</f>
        <v>#VALUE!</v>
      </c>
      <c r="I78" s="473"/>
    </row>
    <row r="79" spans="1:9" ht="19.5" hidden="1" thickBot="1" x14ac:dyDescent="0.3">
      <c r="A79" s="151" t="s">
        <v>225</v>
      </c>
      <c r="B79" s="140"/>
      <c r="C79" s="140"/>
      <c r="D79" s="140"/>
      <c r="E79" s="140"/>
      <c r="F79" s="140"/>
      <c r="G79" s="140"/>
      <c r="H79" s="485" t="e">
        <f>IF(I79="",IF($H$73=0,NA(),(ReinMax_Premium-Prem_Current)/Prem_Current),"Error")</f>
        <v>#VALUE!</v>
      </c>
      <c r="I79" s="471" t="str">
        <f>IF(AND('6.10Ratemaking Data'!Error30="",'6.10Ratemaking Data'!Error31="",'6.10Ratemaking Data'!Error32=""),"","See Column M of Page '6.10Ratemaking Data' for errors that must be corrected.")</f>
        <v/>
      </c>
    </row>
    <row r="80" spans="1:9" ht="26.25" x14ac:dyDescent="0.25">
      <c r="F80" s="786" t="s">
        <v>615</v>
      </c>
      <c r="G80" s="786"/>
      <c r="H80" s="786"/>
    </row>
    <row r="81" spans="1:1" x14ac:dyDescent="0.25">
      <c r="A81" s="152"/>
    </row>
  </sheetData>
  <sheetProtection algorithmName="SHA-512" hashValue="8T7Kki/A5oFGNhcuHyZFpC/sesNWj023fxbidykF49klBhpsxiCqAEolGKvEIE9jkYpVHQvcidyx6XLMx4H+lw==" saltValue="9Q4U7jHxYpMlg0XIFCC11A==" spinCount="100000" sheet="1" objects="1" scenarios="1" formatColumns="0" formatRows="0" sort="0"/>
  <mergeCells count="1">
    <mergeCell ref="F80:H80"/>
  </mergeCells>
  <conditionalFormatting sqref="H79">
    <cfRule type="cellIs" dxfId="1" priority="2" operator="equal">
      <formula>"Error"</formula>
    </cfRule>
  </conditionalFormatting>
  <conditionalFormatting sqref="H68:H69">
    <cfRule type="cellIs" dxfId="0" priority="1" operator="equal">
      <formula>"Error"</formula>
    </cfRule>
  </conditionalFormatting>
  <hyperlinks>
    <hyperlink ref="F80" location="'Ratemaking Data (7)'!A1" display="Go to Ratemaking Data (7)" xr:uid="{00000000-0004-0000-1D00-000000000000}"/>
    <hyperlink ref="F80:H80" location="'6.10Ratemaking Data'!A1" display="Go to 6.10Ratemaking Data" xr:uid="{00000000-0004-0000-1D00-000001000000}"/>
  </hyperlinks>
  <printOptions horizontalCentered="1"/>
  <pageMargins left="0.45" right="0.45" top="0.5" bottom="0.5" header="0.3" footer="0.3"/>
  <pageSetup scale="72" orientation="portrait" r:id="rId1"/>
  <headerFooter>
    <oddFooter>&amp;CPrior Approval Rate Template&amp;RPage 7.10&amp;L01/11/2022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9875" r:id="rId4" name="btnYears">
              <controlPr defaultSize="0" print="0" autoFill="0" autoPict="0" macro="[0]!ExpandContractColsData">
                <anchor moveWithCells="1">
                  <from>
                    <xdr:col>5</xdr:col>
                    <xdr:colOff>19050</xdr:colOff>
                    <xdr:row>6</xdr:row>
                    <xdr:rowOff>0</xdr:rowOff>
                  </from>
                  <to>
                    <xdr:col>6</xdr:col>
                    <xdr:colOff>733425</xdr:colOff>
                    <xdr:row>8</xdr:row>
                    <xdr:rowOff>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8">
    <tabColor rgb="FF0000FF"/>
    <pageSetUpPr fitToPage="1"/>
  </sheetPr>
  <dimension ref="A1:P49"/>
  <sheetViews>
    <sheetView showGridLines="0" view="pageBreakPreview" zoomScaleNormal="100" zoomScaleSheetLayoutView="100" workbookViewId="0"/>
  </sheetViews>
  <sheetFormatPr defaultRowHeight="15" x14ac:dyDescent="0.25"/>
  <cols>
    <col min="1" max="1" width="4.28515625" style="14" customWidth="1"/>
    <col min="2" max="2" width="5.5703125" style="14" customWidth="1"/>
    <col min="3" max="3" width="20.7109375" style="14" customWidth="1"/>
    <col min="4" max="4" width="54.7109375" style="14" bestFit="1" customWidth="1"/>
    <col min="5" max="5" width="4.28515625" style="14" customWidth="1"/>
    <col min="6" max="6" width="6.5703125" style="14" customWidth="1"/>
    <col min="7" max="7" width="23.7109375" style="14" customWidth="1"/>
    <col min="8" max="8" width="25" style="14" customWidth="1"/>
    <col min="9" max="9" width="90.7109375" style="14" customWidth="1"/>
    <col min="10" max="10" width="5.7109375" style="14" customWidth="1"/>
    <col min="11" max="11" width="8.140625" style="14" customWidth="1"/>
    <col min="12" max="12" width="21.85546875" style="14" bestFit="1" customWidth="1"/>
    <col min="13" max="13" width="34.140625" style="14" bestFit="1" customWidth="1"/>
    <col min="14" max="14" width="17.85546875" style="14" customWidth="1"/>
    <col min="15" max="16384" width="9.140625" style="14"/>
  </cols>
  <sheetData>
    <row r="1" spans="1:16" ht="15.75" thickBot="1" x14ac:dyDescent="0.3">
      <c r="A1" s="8" t="s">
        <v>31</v>
      </c>
      <c r="B1" s="8"/>
      <c r="C1" s="8"/>
      <c r="E1" s="124" t="s">
        <v>33</v>
      </c>
      <c r="F1" s="124"/>
      <c r="G1" s="124"/>
      <c r="H1" s="125" t="str">
        <f>Co_Name</f>
        <v>State Farm Mutual Automobile Insurance Company</v>
      </c>
      <c r="I1" s="86" t="s">
        <v>712</v>
      </c>
      <c r="J1" s="8"/>
    </row>
    <row r="2" spans="1:16" x14ac:dyDescent="0.25">
      <c r="A2" s="8" t="s">
        <v>32</v>
      </c>
      <c r="B2" s="8"/>
      <c r="C2" s="8"/>
      <c r="E2" s="124" t="s">
        <v>34</v>
      </c>
      <c r="F2" s="124"/>
      <c r="G2" s="124"/>
      <c r="H2" s="125" t="str">
        <f>General_Line</f>
        <v>Auto Liability and Physical Damage</v>
      </c>
      <c r="I2" s="207" t="s">
        <v>113</v>
      </c>
      <c r="J2" s="8"/>
    </row>
    <row r="3" spans="1:16" x14ac:dyDescent="0.25">
      <c r="B3" s="184"/>
      <c r="E3" s="249" t="s">
        <v>140</v>
      </c>
      <c r="F3" s="249"/>
      <c r="G3" s="249"/>
      <c r="H3" s="188" t="str">
        <f>CDI_FileNo</f>
        <v/>
      </c>
      <c r="I3" s="87"/>
    </row>
    <row r="4" spans="1:16" ht="18" customHeight="1" x14ac:dyDescent="0.25">
      <c r="I4" s="265"/>
    </row>
    <row r="5" spans="1:16" ht="23.25" x14ac:dyDescent="0.25">
      <c r="A5" s="4" t="s">
        <v>677</v>
      </c>
      <c r="B5" s="4"/>
      <c r="C5" s="4"/>
      <c r="D5" s="123"/>
      <c r="E5" s="123"/>
      <c r="F5" s="123"/>
      <c r="G5" s="123"/>
      <c r="H5" s="123"/>
      <c r="I5" s="265"/>
    </row>
    <row r="6" spans="1:16" x14ac:dyDescent="0.25">
      <c r="I6" s="265"/>
    </row>
    <row r="7" spans="1:16" x14ac:dyDescent="0.25">
      <c r="A7" s="14" t="s">
        <v>77</v>
      </c>
      <c r="D7" s="14" t="str">
        <f>Detailed_LineDesc01</f>
        <v>Private Passenger Auto Liability</v>
      </c>
      <c r="F7" s="14" t="s">
        <v>1</v>
      </c>
      <c r="H7" s="18" t="str">
        <f>Completed_By</f>
        <v>Laura Campbell</v>
      </c>
      <c r="I7" s="266"/>
    </row>
    <row r="8" spans="1:16" x14ac:dyDescent="0.25">
      <c r="A8" s="14" t="s">
        <v>78</v>
      </c>
      <c r="D8" s="14" t="str">
        <f>Covg01</f>
        <v>BIPD</v>
      </c>
      <c r="F8" s="14" t="s">
        <v>76</v>
      </c>
      <c r="H8" s="62">
        <f>Completed_Date</f>
        <v>44816</v>
      </c>
      <c r="I8" s="267"/>
      <c r="J8" s="184"/>
    </row>
    <row r="9" spans="1:16" x14ac:dyDescent="0.25">
      <c r="A9" s="14" t="s">
        <v>169</v>
      </c>
      <c r="D9" s="62">
        <f>EffDate_Prior01</f>
        <v>44088</v>
      </c>
      <c r="F9" s="14" t="s">
        <v>170</v>
      </c>
      <c r="H9" s="62">
        <f>EffDate_Proposed</f>
        <v>45061</v>
      </c>
      <c r="I9" s="267"/>
      <c r="J9" s="184"/>
    </row>
    <row r="10" spans="1:16" x14ac:dyDescent="0.25">
      <c r="I10" s="265"/>
    </row>
    <row r="11" spans="1:16" ht="18" customHeight="1" x14ac:dyDescent="0.25">
      <c r="A11" s="158" t="s">
        <v>163</v>
      </c>
      <c r="B11" s="156" t="s">
        <v>296</v>
      </c>
      <c r="C11" s="156"/>
      <c r="I11" s="265"/>
      <c r="K11" s="130" t="s">
        <v>318</v>
      </c>
    </row>
    <row r="12" spans="1:16" ht="5.0999999999999996" customHeight="1" thickBot="1" x14ac:dyDescent="0.3">
      <c r="A12" s="156"/>
      <c r="B12" s="156"/>
      <c r="C12" s="156"/>
      <c r="I12" s="265"/>
    </row>
    <row r="13" spans="1:16" ht="18" customHeight="1" x14ac:dyDescent="0.25">
      <c r="A13" s="157"/>
      <c r="B13" s="94" t="s">
        <v>237</v>
      </c>
      <c r="C13" s="14" t="s">
        <v>335</v>
      </c>
      <c r="G13" s="236"/>
      <c r="I13" s="265"/>
      <c r="K13" s="162"/>
      <c r="L13" s="163" t="s">
        <v>247</v>
      </c>
      <c r="M13" s="163" t="s">
        <v>248</v>
      </c>
      <c r="N13" s="164" t="s">
        <v>251</v>
      </c>
    </row>
    <row r="14" spans="1:16" ht="15" customHeight="1" x14ac:dyDescent="0.25">
      <c r="A14" s="157"/>
      <c r="B14" s="94"/>
      <c r="I14" s="265"/>
      <c r="K14" s="165"/>
      <c r="L14" s="178" t="s">
        <v>252</v>
      </c>
      <c r="M14" s="178" t="s">
        <v>253</v>
      </c>
      <c r="N14" s="179" t="s">
        <v>255</v>
      </c>
    </row>
    <row r="15" spans="1:16" ht="18" customHeight="1" x14ac:dyDescent="0.25">
      <c r="A15" s="157"/>
      <c r="B15" s="94" t="s">
        <v>239</v>
      </c>
      <c r="C15" s="14" t="s">
        <v>303</v>
      </c>
      <c r="G15" s="238"/>
      <c r="I15" s="264" t="str">
        <f>IF(AND($G$17="(Loss+DCCE+AOE)/Loss",$G$15&lt;1),"← ERROR! AOE or LAE load must be ≥ 1.00 for selected load basis.","")</f>
        <v/>
      </c>
      <c r="K15" s="165"/>
      <c r="L15" s="177"/>
      <c r="M15" s="177"/>
      <c r="N15" s="168"/>
      <c r="P15" s="123"/>
    </row>
    <row r="16" spans="1:16" ht="15" customHeight="1" x14ac:dyDescent="0.25">
      <c r="A16" s="157"/>
      <c r="B16" s="94"/>
      <c r="I16" s="264"/>
      <c r="K16" s="165">
        <v>1</v>
      </c>
      <c r="L16" s="129" t="s">
        <v>240</v>
      </c>
      <c r="M16" s="129" t="s">
        <v>247</v>
      </c>
      <c r="N16" s="166" t="str">
        <f>IF($G$17="AOE/(Loss+DCCE)",$G$15,"")</f>
        <v/>
      </c>
      <c r="P16" s="16"/>
    </row>
    <row r="17" spans="1:16" ht="18" customHeight="1" x14ac:dyDescent="0.25">
      <c r="A17" s="157"/>
      <c r="B17" s="94" t="s">
        <v>238</v>
      </c>
      <c r="C17" s="14" t="s">
        <v>297</v>
      </c>
      <c r="F17" s="502"/>
      <c r="G17" s="614"/>
      <c r="I17" s="264" t="str">
        <f>IF(AND($G$17="(Loss+DCCE+AOE)/Loss",$G$15&lt;1),"← ERROR! AOE or LAE load must be ≥ 1.00 for selected load basis.","")</f>
        <v/>
      </c>
      <c r="K17" s="165">
        <v>2</v>
      </c>
      <c r="L17" s="129" t="s">
        <v>241</v>
      </c>
      <c r="M17" s="129" t="s">
        <v>250</v>
      </c>
      <c r="N17" s="166" t="str">
        <f>IF($G$17="(DCCE+AOE)/Loss",($G$15*$M$21-$M$22)/($M$21+$M$22),"")</f>
        <v/>
      </c>
      <c r="P17" s="16"/>
    </row>
    <row r="18" spans="1:16" ht="18" customHeight="1" x14ac:dyDescent="0.25">
      <c r="A18" s="157"/>
      <c r="B18" s="94"/>
      <c r="I18" s="265"/>
      <c r="K18" s="165">
        <v>3</v>
      </c>
      <c r="L18" s="129" t="s">
        <v>242</v>
      </c>
      <c r="M18" s="129" t="s">
        <v>249</v>
      </c>
      <c r="N18" s="166" t="str">
        <f>IF($G$17="(Loss+DCCE+AOE)/Loss",(($G$15-1)*M21-M22)/(M21+M22),"")</f>
        <v/>
      </c>
      <c r="P18" s="16"/>
    </row>
    <row r="19" spans="1:16" ht="18" customHeight="1" x14ac:dyDescent="0.25">
      <c r="A19" s="157"/>
      <c r="B19" s="94" t="s">
        <v>243</v>
      </c>
      <c r="C19" s="14" t="s">
        <v>298</v>
      </c>
      <c r="G19" s="713" t="e">
        <f>$N$21</f>
        <v>#N/A</v>
      </c>
      <c r="I19" s="265"/>
      <c r="K19" s="165"/>
      <c r="L19" s="167"/>
      <c r="M19" s="167"/>
      <c r="N19" s="168"/>
      <c r="P19" s="16"/>
    </row>
    <row r="20" spans="1:16" ht="18" customHeight="1" x14ac:dyDescent="0.25">
      <c r="A20" s="157"/>
      <c r="B20" s="157"/>
      <c r="C20" s="14" t="s">
        <v>246</v>
      </c>
      <c r="I20" s="265"/>
      <c r="K20" s="165"/>
      <c r="L20" s="160"/>
      <c r="M20" s="161" t="str">
        <f ca="1">"Total "&amp;'Incurred Loss &amp; DCCE'!$B$5&amp;" Line "&amp;Detailed_LineCode01&amp;" Industry P&amp;C"</f>
        <v>Total 2020 Line 19.2 Industry P&amp;C</v>
      </c>
      <c r="N20" s="180" t="s">
        <v>256</v>
      </c>
    </row>
    <row r="21" spans="1:16" ht="17.25" x14ac:dyDescent="0.25">
      <c r="A21" s="157"/>
      <c r="B21" s="157"/>
      <c r="I21" s="265"/>
      <c r="K21" s="165"/>
      <c r="L21" s="167" t="s">
        <v>289</v>
      </c>
      <c r="M21" s="169">
        <f ca="1">VLOOKUP(Detailed_LineCode01,Table_IncdLossDCCE,2,FALSE)</f>
        <v>74745517</v>
      </c>
      <c r="N21" s="174" t="e">
        <f>VLOOKUP($G$17,$L$16:$N$18,3,FALSE)</f>
        <v>#N/A</v>
      </c>
    </row>
    <row r="22" spans="1:16" ht="18" customHeight="1" thickBot="1" x14ac:dyDescent="0.3">
      <c r="A22" s="157"/>
      <c r="B22" s="94" t="s">
        <v>254</v>
      </c>
      <c r="C22" s="14" t="s">
        <v>299</v>
      </c>
      <c r="G22" s="713" t="e">
        <f>IF(ISBLANK($G$15),NA(),'7.1Rate Change Calculation'!Projected '7.1Rate Change Calculation'!Max_Premium/(('7.1Rate Change Calculation'!CredLossDCCE_perExp)*(1+AOE_Load)))</f>
        <v>#N/A</v>
      </c>
      <c r="I22" s="618" t="str">
        <f>IF(ISERROR(MAX_LCM),IF(ISBLANK($G$42),"",IF(ISERROR(Max_EffStdBasedLCM),"",IF($G$42&gt;$G$22,"← WARNING! Proposed Company LCM exceeds Maximum Permitted LCM, based on efficiency standard.",""))),"")</f>
        <v/>
      </c>
      <c r="K22" s="170"/>
      <c r="L22" s="171" t="s">
        <v>290</v>
      </c>
      <c r="M22" s="172">
        <f ca="1">VLOOKUP(Detailed_LineCode01,Table_IncdLossDCCE,3,FALSE)</f>
        <v>4483019</v>
      </c>
      <c r="N22" s="173"/>
    </row>
    <row r="23" spans="1:16" ht="17.25" x14ac:dyDescent="0.25">
      <c r="A23" s="157"/>
      <c r="B23" s="157"/>
      <c r="I23" s="265"/>
      <c r="K23" s="14" t="s">
        <v>291</v>
      </c>
      <c r="L23" s="175" t="str">
        <f>'Incurred Loss &amp; DCCE'!$B$2&amp;", "&amp;'Incurred Loss &amp; DCCE'!$B$4&amp;" Edition"</f>
        <v>Best's Aggregates and Averages, Property &amp; Casualty, 2021 Edition</v>
      </c>
    </row>
    <row r="24" spans="1:16" ht="18" customHeight="1" x14ac:dyDescent="0.25">
      <c r="A24" s="158" t="s">
        <v>164</v>
      </c>
      <c r="B24" s="159" t="s">
        <v>300</v>
      </c>
      <c r="I24" s="265"/>
      <c r="L24" s="175" t="str">
        <f>'Incurred Loss &amp; DCCE'!$B$3</f>
        <v>Statement File Supplement - Exhibit of Premiums and Losses -Total US PC Industry</v>
      </c>
    </row>
    <row r="25" spans="1:16" ht="5.0999999999999996" customHeight="1" x14ac:dyDescent="0.25">
      <c r="I25" s="265"/>
      <c r="O25" s="16"/>
    </row>
    <row r="26" spans="1:16" ht="18" customHeight="1" x14ac:dyDescent="0.25">
      <c r="B26" s="94" t="s">
        <v>244</v>
      </c>
      <c r="C26" s="14" t="s">
        <v>334</v>
      </c>
      <c r="G26" s="236"/>
      <c r="I26" s="265"/>
      <c r="O26" s="16"/>
    </row>
    <row r="27" spans="1:16" x14ac:dyDescent="0.25">
      <c r="I27" s="265"/>
      <c r="O27" s="16"/>
    </row>
    <row r="28" spans="1:16" ht="18" customHeight="1" x14ac:dyDescent="0.25">
      <c r="B28" s="94" t="s">
        <v>245</v>
      </c>
      <c r="C28" s="14" t="s">
        <v>342</v>
      </c>
      <c r="G28" s="239"/>
      <c r="I28" s="265"/>
      <c r="O28" s="16"/>
    </row>
    <row r="29" spans="1:16" x14ac:dyDescent="0.25">
      <c r="I29" s="265"/>
      <c r="O29" s="16"/>
    </row>
    <row r="30" spans="1:16" ht="49.5" customHeight="1" x14ac:dyDescent="0.25">
      <c r="B30" s="94" t="s">
        <v>282</v>
      </c>
      <c r="C30" s="765" t="s">
        <v>336</v>
      </c>
      <c r="D30" s="765"/>
      <c r="E30" s="765"/>
      <c r="G30" s="253"/>
      <c r="I30" s="265"/>
      <c r="O30" s="16"/>
    </row>
    <row r="31" spans="1:16" ht="15" customHeight="1" x14ac:dyDescent="0.25">
      <c r="I31" s="265"/>
      <c r="O31" s="16"/>
    </row>
    <row r="32" spans="1:16" ht="18" customHeight="1" x14ac:dyDescent="0.25">
      <c r="B32" s="94" t="s">
        <v>301</v>
      </c>
      <c r="C32" s="17" t="s">
        <v>304</v>
      </c>
      <c r="G32" s="237"/>
      <c r="I32" s="265"/>
      <c r="O32" s="16"/>
    </row>
    <row r="33" spans="1:16" x14ac:dyDescent="0.25">
      <c r="B33" s="94"/>
      <c r="C33" s="17"/>
      <c r="I33" s="265"/>
      <c r="O33" s="16"/>
    </row>
    <row r="34" spans="1:16" ht="18" customHeight="1" x14ac:dyDescent="0.25">
      <c r="B34" s="94" t="s">
        <v>302</v>
      </c>
      <c r="C34" s="17" t="s">
        <v>305</v>
      </c>
      <c r="G34" s="237"/>
      <c r="I34" s="265"/>
      <c r="O34" s="16"/>
    </row>
    <row r="35" spans="1:16" ht="18" customHeight="1" x14ac:dyDescent="0.25">
      <c r="C35" s="17" t="s">
        <v>343</v>
      </c>
      <c r="I35" s="265"/>
      <c r="O35" s="16"/>
    </row>
    <row r="36" spans="1:16" x14ac:dyDescent="0.25">
      <c r="C36" s="17"/>
      <c r="I36" s="265"/>
      <c r="O36" s="16"/>
    </row>
    <row r="37" spans="1:16" ht="18" customHeight="1" x14ac:dyDescent="0.25">
      <c r="B37" s="94">
        <v>2.4</v>
      </c>
      <c r="C37" s="765" t="s">
        <v>734</v>
      </c>
      <c r="D37" s="765"/>
      <c r="E37" s="765"/>
      <c r="G37" s="237"/>
      <c r="I37" s="265"/>
      <c r="O37" s="16"/>
    </row>
    <row r="38" spans="1:16" x14ac:dyDescent="0.25">
      <c r="B38" s="94"/>
      <c r="C38" s="14" t="s">
        <v>735</v>
      </c>
      <c r="D38" s="720"/>
      <c r="E38" s="720"/>
      <c r="G38" s="722"/>
      <c r="I38" s="265"/>
      <c r="O38" s="16"/>
    </row>
    <row r="39" spans="1:16" x14ac:dyDescent="0.25">
      <c r="B39" s="94"/>
      <c r="C39" s="718"/>
      <c r="D39" s="718"/>
      <c r="E39" s="718"/>
      <c r="G39" s="719"/>
      <c r="I39" s="265"/>
      <c r="O39" s="16"/>
    </row>
    <row r="40" spans="1:16" ht="18" customHeight="1" x14ac:dyDescent="0.25">
      <c r="B40" s="94" t="s">
        <v>733</v>
      </c>
      <c r="C40" s="14" t="s">
        <v>295</v>
      </c>
      <c r="G40" s="713" t="e">
        <f>IF(OR(ISBLANK(Curr_LCM),ISBLANK(LossCost_PctChg_Co)),NA(),(1+'7.1Rate Change Calculation'!CHANGE_AT_MAX)*(Curr_LCM)/(1+LossCost_PctChg_Co))/(1+Other_RateImpact)</f>
        <v>#N/A</v>
      </c>
      <c r="I40" s="618" t="str">
        <f>IF(ISBLANK($G$42),"",IF(ISERROR(MAX_LCM),"",IF($G$42&gt;$G$40,"← WARNING! Proposed Company LCM exceeds Maximum Permitted LCM.","")))</f>
        <v/>
      </c>
      <c r="J40" s="47"/>
      <c r="O40" s="16"/>
    </row>
    <row r="41" spans="1:16" x14ac:dyDescent="0.25">
      <c r="I41" s="265"/>
      <c r="O41" s="16"/>
    </row>
    <row r="42" spans="1:16" ht="18" customHeight="1" x14ac:dyDescent="0.25">
      <c r="A42" s="158" t="s">
        <v>437</v>
      </c>
      <c r="B42" s="159" t="s">
        <v>341</v>
      </c>
      <c r="G42" s="238"/>
      <c r="I42" s="618"/>
      <c r="O42" s="16"/>
    </row>
    <row r="43" spans="1:16" ht="15.75" thickBot="1" x14ac:dyDescent="0.3">
      <c r="I43" s="291"/>
      <c r="O43" s="16"/>
    </row>
    <row r="44" spans="1:16" x14ac:dyDescent="0.2">
      <c r="O44" s="16"/>
      <c r="P44" s="176"/>
    </row>
    <row r="47" spans="1:16" x14ac:dyDescent="0.25">
      <c r="D47" s="254"/>
      <c r="E47" s="254"/>
      <c r="G47" s="256"/>
    </row>
    <row r="48" spans="1:16" x14ac:dyDescent="0.25">
      <c r="D48" s="254"/>
      <c r="E48" s="254"/>
      <c r="G48" s="256"/>
    </row>
    <row r="49" spans="4:7" x14ac:dyDescent="0.25">
      <c r="D49" s="255"/>
      <c r="G49" s="257"/>
    </row>
  </sheetData>
  <sheetProtection algorithmName="SHA-512" hashValue="a4LT4THXfLIC0urJgr/u97xHUyFz3lg+405VLTm3QyTEusmBb1RknZT6twZUbOrPALosK1UtKMaql/1423yLFg==" saltValue="mEyZPBC98/bbJCECdbf+Pw==" spinCount="100000" sheet="1" objects="1" scenarios="1" formatColumns="0" formatRows="0" sort="0"/>
  <mergeCells count="2">
    <mergeCell ref="C30:E30"/>
    <mergeCell ref="C37:E37"/>
  </mergeCells>
  <printOptions horizontalCentered="1"/>
  <pageMargins left="0.45" right="0.45" top="0.5" bottom="0.5" header="0.3" footer="0.3"/>
  <pageSetup scale="76" orientation="landscape" r:id="rId1"/>
  <headerFooter>
    <oddFooter>&amp;CPrior Approval Rate Template&amp;RPage 8.1&amp;L01/11/2022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E00-000000000000}">
          <x14:formula1>
            <xm:f>References!$P$6:$P$9</xm:f>
          </x14:formula1>
          <xm:sqref>G17</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40">
    <tabColor rgb="FF0000FF"/>
    <pageSetUpPr fitToPage="1"/>
  </sheetPr>
  <dimension ref="A1:P49"/>
  <sheetViews>
    <sheetView showGridLines="0" view="pageBreakPreview" zoomScaleNormal="100" zoomScaleSheetLayoutView="100" workbookViewId="0"/>
  </sheetViews>
  <sheetFormatPr defaultRowHeight="15" x14ac:dyDescent="0.25"/>
  <cols>
    <col min="1" max="1" width="4.28515625" style="14" customWidth="1"/>
    <col min="2" max="2" width="5.5703125" style="14" customWidth="1"/>
    <col min="3" max="3" width="20.7109375" style="14" customWidth="1"/>
    <col min="4" max="4" width="54.7109375" style="14" bestFit="1" customWidth="1"/>
    <col min="5" max="5" width="4.28515625" style="14" customWidth="1"/>
    <col min="6" max="6" width="6.5703125" style="14" customWidth="1"/>
    <col min="7" max="7" width="23.7109375" style="14" customWidth="1"/>
    <col min="8" max="8" width="25" style="14" customWidth="1"/>
    <col min="9" max="9" width="90.7109375" style="14" customWidth="1"/>
    <col min="10" max="10" width="5.7109375" style="14" customWidth="1"/>
    <col min="11" max="11" width="8.140625" style="14" customWidth="1"/>
    <col min="12" max="12" width="21.85546875" style="14" bestFit="1" customWidth="1"/>
    <col min="13" max="13" width="34.140625" style="14" bestFit="1" customWidth="1"/>
    <col min="14" max="14" width="17.85546875" style="14" customWidth="1"/>
    <col min="15" max="16384" width="9.140625" style="14"/>
  </cols>
  <sheetData>
    <row r="1" spans="1:16" ht="15.75" customHeight="1" thickBot="1" x14ac:dyDescent="0.3">
      <c r="A1" s="8" t="s">
        <v>31</v>
      </c>
      <c r="B1" s="8"/>
      <c r="C1" s="8"/>
      <c r="E1" s="124" t="s">
        <v>33</v>
      </c>
      <c r="F1" s="124"/>
      <c r="G1" s="124"/>
      <c r="H1" s="125" t="str">
        <f>Co_Name</f>
        <v>State Farm Mutual Automobile Insurance Company</v>
      </c>
      <c r="I1" s="86" t="s">
        <v>712</v>
      </c>
      <c r="J1" s="8"/>
    </row>
    <row r="2" spans="1:16" x14ac:dyDescent="0.25">
      <c r="A2" s="8" t="s">
        <v>32</v>
      </c>
      <c r="B2" s="8"/>
      <c r="C2" s="8"/>
      <c r="E2" s="124" t="s">
        <v>34</v>
      </c>
      <c r="F2" s="124"/>
      <c r="G2" s="124"/>
      <c r="H2" s="125" t="str">
        <f>General_Line</f>
        <v>Auto Liability and Physical Damage</v>
      </c>
      <c r="I2" s="207" t="s">
        <v>113</v>
      </c>
      <c r="J2" s="8"/>
    </row>
    <row r="3" spans="1:16" x14ac:dyDescent="0.25">
      <c r="B3" s="184"/>
      <c r="E3" s="249" t="s">
        <v>140</v>
      </c>
      <c r="F3" s="249"/>
      <c r="G3" s="249"/>
      <c r="H3" s="188" t="str">
        <f>CDI_FileNo</f>
        <v/>
      </c>
      <c r="I3" s="87"/>
    </row>
    <row r="4" spans="1:16" ht="18" customHeight="1" x14ac:dyDescent="0.25">
      <c r="I4" s="265"/>
    </row>
    <row r="5" spans="1:16" ht="23.25" x14ac:dyDescent="0.25">
      <c r="A5" s="4" t="s">
        <v>677</v>
      </c>
      <c r="B5" s="4"/>
      <c r="C5" s="4"/>
      <c r="D5" s="123"/>
      <c r="E5" s="123"/>
      <c r="F5" s="123"/>
      <c r="G5" s="123"/>
      <c r="H5" s="123"/>
      <c r="I5" s="265"/>
    </row>
    <row r="6" spans="1:16" x14ac:dyDescent="0.25">
      <c r="I6" s="265"/>
    </row>
    <row r="7" spans="1:16" x14ac:dyDescent="0.25">
      <c r="A7" s="14" t="s">
        <v>77</v>
      </c>
      <c r="D7" s="14" t="str">
        <f>Detailed_LineDesc02</f>
        <v>Private Passenger Auto Liability</v>
      </c>
      <c r="F7" s="14" t="s">
        <v>1</v>
      </c>
      <c r="H7" s="18" t="str">
        <f>Completed_By</f>
        <v>Laura Campbell</v>
      </c>
      <c r="I7" s="266"/>
    </row>
    <row r="8" spans="1:16" x14ac:dyDescent="0.25">
      <c r="A8" s="14" t="s">
        <v>78</v>
      </c>
      <c r="D8" s="14" t="str">
        <f>Covg02</f>
        <v>MPC</v>
      </c>
      <c r="F8" s="14" t="s">
        <v>76</v>
      </c>
      <c r="H8" s="62">
        <f>Completed_Date</f>
        <v>44816</v>
      </c>
      <c r="I8" s="267"/>
      <c r="J8" s="184"/>
    </row>
    <row r="9" spans="1:16" x14ac:dyDescent="0.25">
      <c r="A9" s="14" t="s">
        <v>169</v>
      </c>
      <c r="D9" s="62">
        <f>EffDate_Prior02</f>
        <v>44088</v>
      </c>
      <c r="F9" s="14" t="s">
        <v>170</v>
      </c>
      <c r="H9" s="62">
        <f>EffDate_Proposed</f>
        <v>45061</v>
      </c>
      <c r="I9" s="267"/>
      <c r="J9" s="184"/>
    </row>
    <row r="10" spans="1:16" x14ac:dyDescent="0.25">
      <c r="I10" s="265"/>
    </row>
    <row r="11" spans="1:16" ht="18" customHeight="1" x14ac:dyDescent="0.25">
      <c r="A11" s="158" t="s">
        <v>163</v>
      </c>
      <c r="B11" s="156" t="s">
        <v>296</v>
      </c>
      <c r="C11" s="156"/>
      <c r="I11" s="265"/>
      <c r="K11" s="130" t="s">
        <v>318</v>
      </c>
    </row>
    <row r="12" spans="1:16" ht="5.0999999999999996" customHeight="1" thickBot="1" x14ac:dyDescent="0.3">
      <c r="A12" s="156"/>
      <c r="B12" s="156"/>
      <c r="C12" s="156"/>
      <c r="I12" s="265"/>
    </row>
    <row r="13" spans="1:16" ht="18" customHeight="1" x14ac:dyDescent="0.25">
      <c r="A13" s="157"/>
      <c r="B13" s="94" t="s">
        <v>237</v>
      </c>
      <c r="C13" s="14" t="s">
        <v>335</v>
      </c>
      <c r="G13" s="236"/>
      <c r="I13" s="265"/>
      <c r="K13" s="162"/>
      <c r="L13" s="163" t="s">
        <v>247</v>
      </c>
      <c r="M13" s="163" t="s">
        <v>248</v>
      </c>
      <c r="N13" s="164" t="s">
        <v>251</v>
      </c>
    </row>
    <row r="14" spans="1:16" ht="15" customHeight="1" x14ac:dyDescent="0.25">
      <c r="A14" s="157"/>
      <c r="B14" s="94"/>
      <c r="I14" s="265"/>
      <c r="K14" s="165"/>
      <c r="L14" s="178" t="s">
        <v>252</v>
      </c>
      <c r="M14" s="178" t="s">
        <v>253</v>
      </c>
      <c r="N14" s="179" t="s">
        <v>255</v>
      </c>
    </row>
    <row r="15" spans="1:16" ht="18" customHeight="1" x14ac:dyDescent="0.25">
      <c r="A15" s="157"/>
      <c r="B15" s="94" t="s">
        <v>239</v>
      </c>
      <c r="C15" s="14" t="s">
        <v>303</v>
      </c>
      <c r="G15" s="238"/>
      <c r="I15" s="264" t="str">
        <f>IF(AND($G$17="(Loss+DCCE+AOE)/Loss",$G$15&lt;1),"← ERROR! AOE or LAE load must be ≥ 1.00 for selected load basis.","")</f>
        <v/>
      </c>
      <c r="K15" s="165"/>
      <c r="L15" s="177"/>
      <c r="M15" s="177"/>
      <c r="N15" s="168"/>
      <c r="P15" s="123"/>
    </row>
    <row r="16" spans="1:16" ht="15" customHeight="1" x14ac:dyDescent="0.25">
      <c r="A16" s="157"/>
      <c r="B16" s="94"/>
      <c r="I16" s="264"/>
      <c r="K16" s="165">
        <v>1</v>
      </c>
      <c r="L16" s="129" t="s">
        <v>240</v>
      </c>
      <c r="M16" s="129" t="s">
        <v>247</v>
      </c>
      <c r="N16" s="166" t="str">
        <f>IF($G$17="AOE/(Loss+DCCE)",$G$15,"")</f>
        <v/>
      </c>
      <c r="P16" s="16"/>
    </row>
    <row r="17" spans="1:16" ht="18" customHeight="1" x14ac:dyDescent="0.25">
      <c r="A17" s="157"/>
      <c r="B17" s="94" t="s">
        <v>238</v>
      </c>
      <c r="C17" s="14" t="s">
        <v>297</v>
      </c>
      <c r="F17" s="502"/>
      <c r="G17" s="614"/>
      <c r="I17" s="264" t="str">
        <f>IF(AND($G$17="(Loss+DCCE+AOE)/Loss",$G$15&lt;1),"← ERROR! AOE or LAE load must be ≥ 1.00 for selected load basis.","")</f>
        <v/>
      </c>
      <c r="K17" s="165">
        <v>2</v>
      </c>
      <c r="L17" s="129" t="s">
        <v>241</v>
      </c>
      <c r="M17" s="129" t="s">
        <v>250</v>
      </c>
      <c r="N17" s="166" t="str">
        <f>IF($G$17="(DCCE+AOE)/Loss",($G$15*$M$21-$M$22)/($M$21+$M$22),"")</f>
        <v/>
      </c>
      <c r="P17" s="16"/>
    </row>
    <row r="18" spans="1:16" ht="18" customHeight="1" x14ac:dyDescent="0.25">
      <c r="A18" s="157"/>
      <c r="B18" s="94"/>
      <c r="I18" s="265"/>
      <c r="K18" s="165">
        <v>3</v>
      </c>
      <c r="L18" s="129" t="s">
        <v>242</v>
      </c>
      <c r="M18" s="129" t="s">
        <v>249</v>
      </c>
      <c r="N18" s="166" t="str">
        <f>IF($G$17="(Loss+DCCE+AOE)/Loss",(($G$15-1)*M21-M22)/(M21+M22),"")</f>
        <v/>
      </c>
      <c r="P18" s="16"/>
    </row>
    <row r="19" spans="1:16" ht="18" customHeight="1" x14ac:dyDescent="0.25">
      <c r="A19" s="157"/>
      <c r="B19" s="94" t="s">
        <v>243</v>
      </c>
      <c r="C19" s="14" t="s">
        <v>298</v>
      </c>
      <c r="G19" s="713" t="e">
        <f>$N$21</f>
        <v>#N/A</v>
      </c>
      <c r="I19" s="265"/>
      <c r="K19" s="165"/>
      <c r="L19" s="167"/>
      <c r="M19" s="167"/>
      <c r="N19" s="168"/>
      <c r="P19" s="16"/>
    </row>
    <row r="20" spans="1:16" ht="18" customHeight="1" x14ac:dyDescent="0.25">
      <c r="A20" s="157"/>
      <c r="B20" s="157"/>
      <c r="C20" s="14" t="s">
        <v>246</v>
      </c>
      <c r="I20" s="265"/>
      <c r="K20" s="165"/>
      <c r="L20" s="160"/>
      <c r="M20" s="161" t="str">
        <f ca="1">"Total "&amp;'Incurred Loss &amp; DCCE'!$B$5&amp;" Line "&amp;Detailed_LineCode02&amp;" Industry P&amp;C"</f>
        <v>Total 2020 Line 19.2 Industry P&amp;C</v>
      </c>
      <c r="N20" s="180" t="s">
        <v>256</v>
      </c>
    </row>
    <row r="21" spans="1:16" ht="17.25" x14ac:dyDescent="0.25">
      <c r="A21" s="157"/>
      <c r="B21" s="157"/>
      <c r="I21" s="265"/>
      <c r="K21" s="165"/>
      <c r="L21" s="167" t="s">
        <v>289</v>
      </c>
      <c r="M21" s="169">
        <f ca="1">VLOOKUP(Detailed_LineCode02,Table_IncdLossDCCE,2,FALSE)</f>
        <v>74745517</v>
      </c>
      <c r="N21" s="174" t="e">
        <f>VLOOKUP($G$17,$L$16:$N$18,3,FALSE)</f>
        <v>#N/A</v>
      </c>
    </row>
    <row r="22" spans="1:16" ht="18" customHeight="1" thickBot="1" x14ac:dyDescent="0.3">
      <c r="A22" s="157"/>
      <c r="B22" s="94" t="s">
        <v>254</v>
      </c>
      <c r="C22" s="14" t="s">
        <v>299</v>
      </c>
      <c r="G22" s="713" t="e">
        <f>IF(ISBLANK($G$15),NA(),'7.2Rate Change Calculation'!Projected '7.2Rate Change Calculation'!Max_Premium/(('7.2Rate Change Calculation'!CredLossDCCE_perExp)*(1+AOE_Load)))</f>
        <v>#N/A</v>
      </c>
      <c r="I22" s="618" t="str">
        <f>IF(ISERROR(MAX_LCM),IF(ISBLANK($G$42),"",IF(ISERROR(Max_EffStdBasedLCM),"",IF($G$42&gt;$G$22,"← WARNING! Proposed Company LCM exceeds Maximum Permitted LCM, based on efficiency standard.",""))),"")</f>
        <v/>
      </c>
      <c r="K22" s="170"/>
      <c r="L22" s="171" t="s">
        <v>290</v>
      </c>
      <c r="M22" s="172">
        <f ca="1">VLOOKUP(Detailed_LineCode02,Table_IncdLossDCCE,3,FALSE)</f>
        <v>4483019</v>
      </c>
      <c r="N22" s="173"/>
    </row>
    <row r="23" spans="1:16" ht="17.25" x14ac:dyDescent="0.25">
      <c r="A23" s="157"/>
      <c r="B23" s="157"/>
      <c r="I23" s="265"/>
      <c r="K23" s="14" t="s">
        <v>291</v>
      </c>
      <c r="L23" s="175" t="str">
        <f>'Incurred Loss &amp; DCCE'!$B$2&amp;", "&amp;'Incurred Loss &amp; DCCE'!$B$4&amp;" Edition"</f>
        <v>Best's Aggregates and Averages, Property &amp; Casualty, 2021 Edition</v>
      </c>
    </row>
    <row r="24" spans="1:16" ht="18" customHeight="1" x14ac:dyDescent="0.25">
      <c r="A24" s="158" t="s">
        <v>164</v>
      </c>
      <c r="B24" s="159" t="s">
        <v>300</v>
      </c>
      <c r="I24" s="265"/>
      <c r="L24" s="175" t="str">
        <f>'Incurred Loss &amp; DCCE'!$B$3</f>
        <v>Statement File Supplement - Exhibit of Premiums and Losses -Total US PC Industry</v>
      </c>
    </row>
    <row r="25" spans="1:16" ht="5.0999999999999996" customHeight="1" x14ac:dyDescent="0.25">
      <c r="I25" s="265"/>
      <c r="O25" s="16"/>
    </row>
    <row r="26" spans="1:16" ht="18" customHeight="1" x14ac:dyDescent="0.25">
      <c r="B26" s="94" t="s">
        <v>244</v>
      </c>
      <c r="C26" s="14" t="s">
        <v>334</v>
      </c>
      <c r="G26" s="236"/>
      <c r="I26" s="265"/>
      <c r="O26" s="16"/>
    </row>
    <row r="27" spans="1:16" x14ac:dyDescent="0.25">
      <c r="I27" s="265"/>
      <c r="O27" s="16"/>
    </row>
    <row r="28" spans="1:16" ht="18" customHeight="1" x14ac:dyDescent="0.25">
      <c r="B28" s="94" t="s">
        <v>245</v>
      </c>
      <c r="C28" s="14" t="s">
        <v>342</v>
      </c>
      <c r="G28" s="239"/>
      <c r="I28" s="265"/>
      <c r="O28" s="16"/>
    </row>
    <row r="29" spans="1:16" x14ac:dyDescent="0.25">
      <c r="I29" s="265"/>
      <c r="O29" s="16"/>
    </row>
    <row r="30" spans="1:16" ht="49.5" customHeight="1" x14ac:dyDescent="0.25">
      <c r="B30" s="94" t="s">
        <v>282</v>
      </c>
      <c r="C30" s="765" t="s">
        <v>336</v>
      </c>
      <c r="D30" s="765"/>
      <c r="E30" s="765"/>
      <c r="G30" s="253"/>
      <c r="I30" s="265"/>
      <c r="O30" s="16"/>
    </row>
    <row r="31" spans="1:16" x14ac:dyDescent="0.25">
      <c r="I31" s="265"/>
      <c r="O31" s="16"/>
    </row>
    <row r="32" spans="1:16" ht="18" customHeight="1" x14ac:dyDescent="0.25">
      <c r="B32" s="94" t="s">
        <v>301</v>
      </c>
      <c r="C32" s="17" t="s">
        <v>304</v>
      </c>
      <c r="G32" s="237"/>
      <c r="I32" s="265"/>
      <c r="O32" s="16"/>
    </row>
    <row r="33" spans="1:16" x14ac:dyDescent="0.25">
      <c r="B33" s="94"/>
      <c r="C33" s="17"/>
      <c r="I33" s="265"/>
      <c r="O33" s="16"/>
    </row>
    <row r="34" spans="1:16" ht="18" customHeight="1" x14ac:dyDescent="0.25">
      <c r="B34" s="94" t="s">
        <v>302</v>
      </c>
      <c r="C34" s="17" t="s">
        <v>305</v>
      </c>
      <c r="G34" s="237"/>
      <c r="I34" s="265"/>
      <c r="O34" s="16"/>
    </row>
    <row r="35" spans="1:16" ht="18" customHeight="1" x14ac:dyDescent="0.25">
      <c r="C35" s="17" t="s">
        <v>343</v>
      </c>
      <c r="I35" s="265"/>
      <c r="O35" s="16"/>
    </row>
    <row r="36" spans="1:16" x14ac:dyDescent="0.25">
      <c r="C36" s="17"/>
      <c r="I36" s="265"/>
      <c r="O36" s="16"/>
    </row>
    <row r="37" spans="1:16" ht="18" customHeight="1" x14ac:dyDescent="0.25">
      <c r="B37" s="94">
        <v>2.4</v>
      </c>
      <c r="C37" s="14" t="s">
        <v>734</v>
      </c>
      <c r="G37" s="237"/>
      <c r="I37" s="265"/>
      <c r="O37" s="16"/>
    </row>
    <row r="38" spans="1:16" x14ac:dyDescent="0.25">
      <c r="B38" s="94"/>
      <c r="C38" s="14" t="s">
        <v>735</v>
      </c>
      <c r="G38" s="719"/>
      <c r="I38" s="265"/>
      <c r="O38" s="16"/>
    </row>
    <row r="39" spans="1:16" x14ac:dyDescent="0.25">
      <c r="B39" s="94"/>
      <c r="C39" s="718"/>
      <c r="D39" s="718"/>
      <c r="E39" s="718"/>
      <c r="G39" s="719"/>
      <c r="I39" s="265"/>
      <c r="O39" s="16"/>
    </row>
    <row r="40" spans="1:16" ht="18" customHeight="1" x14ac:dyDescent="0.25">
      <c r="B40" s="94" t="s">
        <v>733</v>
      </c>
      <c r="C40" s="14" t="s">
        <v>295</v>
      </c>
      <c r="G40" s="713" t="e">
        <f>IF(OR(ISBLANK(Curr_LCM),ISBLANK(LossCost_PctChg_Co)),NA(),(1+'7.2Rate Change Calculation'!CHANGE_AT_MAX)*(Curr_LCM)/(1+LossCost_PctChg_Co))/(1+Other_RateImpact)</f>
        <v>#N/A</v>
      </c>
      <c r="I40" s="618" t="str">
        <f>IF(ISBLANK($G$42),"",IF(ISERROR(MAX_LCM),"",IF($G$42&gt;$G$40,"← WARNING! Proposed Company LCM exceeds Maximum Permitted LCM.","")))</f>
        <v/>
      </c>
      <c r="J40" s="47"/>
      <c r="O40" s="16"/>
    </row>
    <row r="41" spans="1:16" x14ac:dyDescent="0.25">
      <c r="I41" s="265"/>
      <c r="O41" s="16"/>
    </row>
    <row r="42" spans="1:16" ht="18" customHeight="1" x14ac:dyDescent="0.25">
      <c r="A42" s="158" t="s">
        <v>437</v>
      </c>
      <c r="B42" s="159" t="s">
        <v>341</v>
      </c>
      <c r="G42" s="238"/>
      <c r="I42" s="618"/>
      <c r="O42" s="16"/>
    </row>
    <row r="43" spans="1:16" ht="15.75" thickBot="1" x14ac:dyDescent="0.3">
      <c r="I43" s="291"/>
      <c r="O43" s="16"/>
    </row>
    <row r="44" spans="1:16" x14ac:dyDescent="0.2">
      <c r="O44" s="16"/>
      <c r="P44" s="176"/>
    </row>
    <row r="47" spans="1:16" x14ac:dyDescent="0.25">
      <c r="D47" s="254"/>
      <c r="E47" s="254"/>
      <c r="G47" s="256"/>
    </row>
    <row r="48" spans="1:16" x14ac:dyDescent="0.25">
      <c r="D48" s="254"/>
      <c r="E48" s="254"/>
      <c r="G48" s="256"/>
    </row>
    <row r="49" spans="4:7" x14ac:dyDescent="0.25">
      <c r="D49" s="255"/>
      <c r="G49" s="257"/>
    </row>
  </sheetData>
  <sheetProtection algorithmName="SHA-512" hashValue="oxJ3qOTO1JjGeFv0/wlXkc79h+t1iQdpBYQIbyZ75cjpZRFriXdPW3RtKgpJkosoVbJvX9O9Bs+fn2dXbVYvhg==" saltValue="CqOrXlzbS0/X53dgZUNjDw==" spinCount="100000" sheet="1" objects="1" scenarios="1" formatColumns="0" formatRows="0" sort="0"/>
  <mergeCells count="1">
    <mergeCell ref="C30:E30"/>
  </mergeCells>
  <printOptions horizontalCentered="1"/>
  <pageMargins left="0.45" right="0.45" top="0.5" bottom="0.5" header="0.3" footer="0.3"/>
  <pageSetup scale="76" orientation="landscape" r:id="rId1"/>
  <headerFooter>
    <oddFooter>&amp;CPrior Approval Rate Template&amp;RPage 8.2&amp;L01/11/2022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F00-000000000000}">
          <x14:formula1>
            <xm:f>References!$P$6:$P$9</xm:f>
          </x14:formula1>
          <xm:sqref>G17</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41">
    <tabColor rgb="FF0000FF"/>
    <pageSetUpPr fitToPage="1"/>
  </sheetPr>
  <dimension ref="A1:P49"/>
  <sheetViews>
    <sheetView showGridLines="0" view="pageBreakPreview" zoomScaleNormal="100" zoomScaleSheetLayoutView="100" workbookViewId="0"/>
  </sheetViews>
  <sheetFormatPr defaultRowHeight="15" x14ac:dyDescent="0.25"/>
  <cols>
    <col min="1" max="1" width="4.28515625" style="14" customWidth="1"/>
    <col min="2" max="2" width="5.5703125" style="14" customWidth="1"/>
    <col min="3" max="3" width="20.7109375" style="14" customWidth="1"/>
    <col min="4" max="4" width="54.7109375" style="14" bestFit="1" customWidth="1"/>
    <col min="5" max="5" width="4.28515625" style="14" customWidth="1"/>
    <col min="6" max="6" width="6.5703125" style="14" customWidth="1"/>
    <col min="7" max="7" width="23.7109375" style="14" customWidth="1"/>
    <col min="8" max="8" width="25" style="14" customWidth="1"/>
    <col min="9" max="9" width="90.7109375" style="14" customWidth="1"/>
    <col min="10" max="10" width="5.7109375" style="14" customWidth="1"/>
    <col min="11" max="11" width="8.140625" style="14" customWidth="1"/>
    <col min="12" max="12" width="21.85546875" style="14" bestFit="1" customWidth="1"/>
    <col min="13" max="13" width="34.140625" style="14" bestFit="1" customWidth="1"/>
    <col min="14" max="14" width="17.85546875" style="14" customWidth="1"/>
    <col min="15" max="16384" width="9.140625" style="14"/>
  </cols>
  <sheetData>
    <row r="1" spans="1:16" ht="15.75" customHeight="1" thickBot="1" x14ac:dyDescent="0.3">
      <c r="A1" s="8" t="s">
        <v>31</v>
      </c>
      <c r="B1" s="8"/>
      <c r="C1" s="8"/>
      <c r="E1" s="124" t="s">
        <v>33</v>
      </c>
      <c r="F1" s="124"/>
      <c r="G1" s="124"/>
      <c r="H1" s="125" t="str">
        <f>Co_Name</f>
        <v>State Farm Mutual Automobile Insurance Company</v>
      </c>
      <c r="I1" s="86" t="s">
        <v>712</v>
      </c>
      <c r="J1" s="8"/>
    </row>
    <row r="2" spans="1:16" x14ac:dyDescent="0.25">
      <c r="A2" s="8" t="s">
        <v>32</v>
      </c>
      <c r="B2" s="8"/>
      <c r="C2" s="8"/>
      <c r="E2" s="124" t="s">
        <v>34</v>
      </c>
      <c r="F2" s="124"/>
      <c r="G2" s="124"/>
      <c r="H2" s="125" t="str">
        <f>General_Line</f>
        <v>Auto Liability and Physical Damage</v>
      </c>
      <c r="I2" s="207" t="s">
        <v>113</v>
      </c>
      <c r="J2" s="8"/>
    </row>
    <row r="3" spans="1:16" x14ac:dyDescent="0.25">
      <c r="B3" s="184"/>
      <c r="E3" s="249" t="s">
        <v>140</v>
      </c>
      <c r="F3" s="249"/>
      <c r="G3" s="249"/>
      <c r="H3" s="188" t="str">
        <f>CDI_FileNo</f>
        <v/>
      </c>
      <c r="I3" s="87"/>
    </row>
    <row r="4" spans="1:16" ht="18" customHeight="1" x14ac:dyDescent="0.25">
      <c r="I4" s="265"/>
    </row>
    <row r="5" spans="1:16" ht="23.25" x14ac:dyDescent="0.25">
      <c r="A5" s="4" t="s">
        <v>677</v>
      </c>
      <c r="B5" s="4"/>
      <c r="C5" s="4"/>
      <c r="D5" s="123"/>
      <c r="E5" s="123"/>
      <c r="F5" s="123"/>
      <c r="G5" s="123"/>
      <c r="H5" s="123"/>
      <c r="I5" s="265"/>
    </row>
    <row r="6" spans="1:16" x14ac:dyDescent="0.25">
      <c r="I6" s="265"/>
    </row>
    <row r="7" spans="1:16" x14ac:dyDescent="0.25">
      <c r="A7" s="14" t="s">
        <v>77</v>
      </c>
      <c r="D7" s="14" t="str">
        <f>Detailed_LineDesc03</f>
        <v>Private Passenger Auto Liability</v>
      </c>
      <c r="F7" s="14" t="s">
        <v>1</v>
      </c>
      <c r="H7" s="18" t="str">
        <f>Completed_By</f>
        <v>Laura Campbell</v>
      </c>
      <c r="I7" s="266"/>
    </row>
    <row r="8" spans="1:16" x14ac:dyDescent="0.25">
      <c r="A8" s="14" t="s">
        <v>78</v>
      </c>
      <c r="D8" s="14" t="str">
        <f>Covg03</f>
        <v>UM</v>
      </c>
      <c r="F8" s="14" t="s">
        <v>76</v>
      </c>
      <c r="H8" s="62">
        <f>Completed_Date</f>
        <v>44816</v>
      </c>
      <c r="I8" s="267"/>
      <c r="J8" s="184"/>
    </row>
    <row r="9" spans="1:16" x14ac:dyDescent="0.25">
      <c r="A9" s="14" t="s">
        <v>169</v>
      </c>
      <c r="D9" s="62">
        <f>EffDate_Prior03</f>
        <v>44088</v>
      </c>
      <c r="F9" s="14" t="s">
        <v>170</v>
      </c>
      <c r="H9" s="62">
        <f>EffDate_Proposed</f>
        <v>45061</v>
      </c>
      <c r="I9" s="267"/>
      <c r="J9" s="184"/>
    </row>
    <row r="10" spans="1:16" x14ac:dyDescent="0.25">
      <c r="I10" s="265"/>
    </row>
    <row r="11" spans="1:16" ht="18" customHeight="1" x14ac:dyDescent="0.25">
      <c r="A11" s="158" t="s">
        <v>163</v>
      </c>
      <c r="B11" s="156" t="s">
        <v>296</v>
      </c>
      <c r="C11" s="156"/>
      <c r="I11" s="265"/>
      <c r="K11" s="130" t="s">
        <v>318</v>
      </c>
    </row>
    <row r="12" spans="1:16" ht="5.0999999999999996" customHeight="1" thickBot="1" x14ac:dyDescent="0.3">
      <c r="A12" s="156"/>
      <c r="B12" s="156"/>
      <c r="C12" s="156"/>
      <c r="I12" s="265"/>
    </row>
    <row r="13" spans="1:16" ht="18" customHeight="1" x14ac:dyDescent="0.25">
      <c r="A13" s="157"/>
      <c r="B13" s="94" t="s">
        <v>237</v>
      </c>
      <c r="C13" s="14" t="s">
        <v>335</v>
      </c>
      <c r="G13" s="236"/>
      <c r="I13" s="265"/>
      <c r="K13" s="162"/>
      <c r="L13" s="163" t="s">
        <v>247</v>
      </c>
      <c r="M13" s="163" t="s">
        <v>248</v>
      </c>
      <c r="N13" s="164" t="s">
        <v>251</v>
      </c>
    </row>
    <row r="14" spans="1:16" ht="15" customHeight="1" x14ac:dyDescent="0.25">
      <c r="A14" s="157"/>
      <c r="B14" s="94"/>
      <c r="I14" s="265"/>
      <c r="K14" s="165"/>
      <c r="L14" s="178" t="s">
        <v>252</v>
      </c>
      <c r="M14" s="178" t="s">
        <v>253</v>
      </c>
      <c r="N14" s="179" t="s">
        <v>255</v>
      </c>
    </row>
    <row r="15" spans="1:16" ht="18" customHeight="1" x14ac:dyDescent="0.25">
      <c r="A15" s="157"/>
      <c r="B15" s="94" t="s">
        <v>239</v>
      </c>
      <c r="C15" s="14" t="s">
        <v>303</v>
      </c>
      <c r="G15" s="238"/>
      <c r="I15" s="264" t="str">
        <f>IF(AND($G$17="(Loss+DCCE+AOE)/Loss",$G$15&lt;1),"← ERROR! AOE or LAE load must be ≥ 1.00 for selected load basis.","")</f>
        <v/>
      </c>
      <c r="K15" s="165"/>
      <c r="L15" s="177"/>
      <c r="M15" s="177"/>
      <c r="N15" s="168"/>
      <c r="P15" s="123"/>
    </row>
    <row r="16" spans="1:16" ht="15" customHeight="1" x14ac:dyDescent="0.25">
      <c r="A16" s="157"/>
      <c r="B16" s="94"/>
      <c r="I16" s="264"/>
      <c r="K16" s="165">
        <v>1</v>
      </c>
      <c r="L16" s="129" t="s">
        <v>240</v>
      </c>
      <c r="M16" s="129" t="s">
        <v>247</v>
      </c>
      <c r="N16" s="166" t="str">
        <f>IF($G$17="AOE/(Loss+DCCE)",$G$15,"")</f>
        <v/>
      </c>
      <c r="P16" s="16"/>
    </row>
    <row r="17" spans="1:16" ht="18" customHeight="1" x14ac:dyDescent="0.25">
      <c r="A17" s="157"/>
      <c r="B17" s="94" t="s">
        <v>238</v>
      </c>
      <c r="C17" s="14" t="s">
        <v>297</v>
      </c>
      <c r="F17" s="502"/>
      <c r="G17" s="614"/>
      <c r="I17" s="264" t="str">
        <f>IF(AND($G$17="(Loss+DCCE+AOE)/Loss",$G$15&lt;1),"← ERROR! AOE or LAE load must be ≥ 1.00 for selected load basis.","")</f>
        <v/>
      </c>
      <c r="K17" s="165">
        <v>2</v>
      </c>
      <c r="L17" s="129" t="s">
        <v>241</v>
      </c>
      <c r="M17" s="129" t="s">
        <v>250</v>
      </c>
      <c r="N17" s="166" t="str">
        <f>IF($G$17="(DCCE+AOE)/Loss",($G$15*$M$21-$M$22)/($M$21+$M$22),"")</f>
        <v/>
      </c>
      <c r="P17" s="16"/>
    </row>
    <row r="18" spans="1:16" ht="18" customHeight="1" x14ac:dyDescent="0.25">
      <c r="A18" s="157"/>
      <c r="B18" s="94"/>
      <c r="I18" s="265"/>
      <c r="K18" s="165">
        <v>3</v>
      </c>
      <c r="L18" s="129" t="s">
        <v>242</v>
      </c>
      <c r="M18" s="129" t="s">
        <v>249</v>
      </c>
      <c r="N18" s="166" t="str">
        <f>IF($G$17="(Loss+DCCE+AOE)/Loss",(($G$15-1)*M21-M22)/(M21+M22),"")</f>
        <v/>
      </c>
      <c r="P18" s="16"/>
    </row>
    <row r="19" spans="1:16" ht="18" customHeight="1" x14ac:dyDescent="0.25">
      <c r="A19" s="157"/>
      <c r="B19" s="94" t="s">
        <v>243</v>
      </c>
      <c r="C19" s="14" t="s">
        <v>298</v>
      </c>
      <c r="G19" s="713" t="e">
        <f>$N$21</f>
        <v>#N/A</v>
      </c>
      <c r="I19" s="265"/>
      <c r="K19" s="165"/>
      <c r="L19" s="167"/>
      <c r="M19" s="167"/>
      <c r="N19" s="168"/>
      <c r="P19" s="16"/>
    </row>
    <row r="20" spans="1:16" ht="18" customHeight="1" x14ac:dyDescent="0.25">
      <c r="A20" s="157"/>
      <c r="B20" s="157"/>
      <c r="C20" s="14" t="s">
        <v>246</v>
      </c>
      <c r="I20" s="265"/>
      <c r="K20" s="165"/>
      <c r="L20" s="160"/>
      <c r="M20" s="161" t="str">
        <f ca="1">"Total "&amp;'Incurred Loss &amp; DCCE'!$B$5&amp;" Line "&amp;Detailed_LineCode03&amp;" Industry P&amp;C"</f>
        <v>Total 2020 Line 19.2 Industry P&amp;C</v>
      </c>
      <c r="N20" s="180" t="s">
        <v>256</v>
      </c>
    </row>
    <row r="21" spans="1:16" ht="17.25" x14ac:dyDescent="0.25">
      <c r="A21" s="157"/>
      <c r="B21" s="157"/>
      <c r="I21" s="265"/>
      <c r="K21" s="165"/>
      <c r="L21" s="167" t="s">
        <v>289</v>
      </c>
      <c r="M21" s="169">
        <f ca="1">VLOOKUP(Detailed_LineCode03,Table_IncdLossDCCE,2,FALSE)</f>
        <v>74745517</v>
      </c>
      <c r="N21" s="174" t="e">
        <f>VLOOKUP($G$17,$L$16:$N$18,3,FALSE)</f>
        <v>#N/A</v>
      </c>
    </row>
    <row r="22" spans="1:16" ht="18" customHeight="1" thickBot="1" x14ac:dyDescent="0.3">
      <c r="A22" s="157"/>
      <c r="B22" s="94" t="s">
        <v>254</v>
      </c>
      <c r="C22" s="14" t="s">
        <v>299</v>
      </c>
      <c r="G22" s="713" t="e">
        <f>IF(ISBLANK($G$15),NA(),'7.3Rate Change Calculation'!Projected '7.3Rate Change Calculation'!Max_Premium/(('7.3Rate Change Calculation'!CredLossDCCE_perExp)*(1+AOE_Load)))</f>
        <v>#N/A</v>
      </c>
      <c r="I22" s="618" t="str">
        <f>IF(ISERROR(MAX_LCM),IF(ISBLANK($G$42),"",IF(ISERROR(Max_EffStdBasedLCM),"",IF($G$42&gt;$G$22,"← WARNING! Proposed Company LCM exceeds Maximum Permitted LCM, based on efficiency standard.",""))),"")</f>
        <v/>
      </c>
      <c r="K22" s="170"/>
      <c r="L22" s="171" t="s">
        <v>290</v>
      </c>
      <c r="M22" s="172">
        <f ca="1">VLOOKUP(Detailed_LineCode03,Table_IncdLossDCCE,3,FALSE)</f>
        <v>4483019</v>
      </c>
      <c r="N22" s="173"/>
    </row>
    <row r="23" spans="1:16" ht="17.25" x14ac:dyDescent="0.25">
      <c r="A23" s="157"/>
      <c r="B23" s="157"/>
      <c r="I23" s="265"/>
      <c r="K23" s="14" t="s">
        <v>291</v>
      </c>
      <c r="L23" s="175" t="str">
        <f>'Incurred Loss &amp; DCCE'!$B$2&amp;", "&amp;'Incurred Loss &amp; DCCE'!$B$4&amp;" Edition"</f>
        <v>Best's Aggregates and Averages, Property &amp; Casualty, 2021 Edition</v>
      </c>
    </row>
    <row r="24" spans="1:16" ht="18" customHeight="1" x14ac:dyDescent="0.25">
      <c r="A24" s="158" t="s">
        <v>164</v>
      </c>
      <c r="B24" s="159" t="s">
        <v>300</v>
      </c>
      <c r="I24" s="265"/>
      <c r="L24" s="175" t="str">
        <f>'Incurred Loss &amp; DCCE'!$B$3</f>
        <v>Statement File Supplement - Exhibit of Premiums and Losses -Total US PC Industry</v>
      </c>
    </row>
    <row r="25" spans="1:16" ht="5.0999999999999996" customHeight="1" x14ac:dyDescent="0.25">
      <c r="I25" s="265"/>
      <c r="O25" s="16"/>
    </row>
    <row r="26" spans="1:16" ht="18" customHeight="1" x14ac:dyDescent="0.25">
      <c r="B26" s="94" t="s">
        <v>244</v>
      </c>
      <c r="C26" s="14" t="s">
        <v>334</v>
      </c>
      <c r="G26" s="236"/>
      <c r="I26" s="265"/>
      <c r="O26" s="16"/>
    </row>
    <row r="27" spans="1:16" x14ac:dyDescent="0.25">
      <c r="I27" s="265"/>
      <c r="O27" s="16"/>
    </row>
    <row r="28" spans="1:16" ht="18" customHeight="1" x14ac:dyDescent="0.25">
      <c r="B28" s="94" t="s">
        <v>245</v>
      </c>
      <c r="C28" s="14" t="s">
        <v>342</v>
      </c>
      <c r="G28" s="239"/>
      <c r="I28" s="265"/>
      <c r="O28" s="16"/>
    </row>
    <row r="29" spans="1:16" x14ac:dyDescent="0.25">
      <c r="I29" s="265"/>
      <c r="O29" s="16"/>
    </row>
    <row r="30" spans="1:16" ht="49.5" customHeight="1" x14ac:dyDescent="0.25">
      <c r="B30" s="94" t="s">
        <v>282</v>
      </c>
      <c r="C30" s="765" t="s">
        <v>336</v>
      </c>
      <c r="D30" s="765"/>
      <c r="E30" s="765"/>
      <c r="G30" s="253"/>
      <c r="I30" s="265"/>
      <c r="O30" s="16"/>
    </row>
    <row r="31" spans="1:16" x14ac:dyDescent="0.25">
      <c r="I31" s="265"/>
      <c r="O31" s="16"/>
    </row>
    <row r="32" spans="1:16" ht="18" customHeight="1" x14ac:dyDescent="0.25">
      <c r="B32" s="94" t="s">
        <v>301</v>
      </c>
      <c r="C32" s="17" t="s">
        <v>304</v>
      </c>
      <c r="G32" s="237"/>
      <c r="I32" s="265"/>
      <c r="O32" s="16"/>
    </row>
    <row r="33" spans="1:16" x14ac:dyDescent="0.25">
      <c r="B33" s="94"/>
      <c r="C33" s="17"/>
      <c r="I33" s="265"/>
      <c r="O33" s="16"/>
    </row>
    <row r="34" spans="1:16" ht="18" customHeight="1" x14ac:dyDescent="0.25">
      <c r="B34" s="94" t="s">
        <v>302</v>
      </c>
      <c r="C34" s="17" t="s">
        <v>305</v>
      </c>
      <c r="G34" s="237"/>
      <c r="I34" s="265"/>
      <c r="O34" s="16"/>
    </row>
    <row r="35" spans="1:16" ht="18" customHeight="1" x14ac:dyDescent="0.25">
      <c r="C35" s="17" t="s">
        <v>343</v>
      </c>
      <c r="I35" s="265"/>
      <c r="O35" s="16"/>
    </row>
    <row r="36" spans="1:16" x14ac:dyDescent="0.25">
      <c r="C36" s="17"/>
      <c r="I36" s="265"/>
      <c r="O36" s="16"/>
    </row>
    <row r="37" spans="1:16" ht="18" customHeight="1" x14ac:dyDescent="0.25">
      <c r="B37" s="94">
        <v>2.4</v>
      </c>
      <c r="C37" s="14" t="s">
        <v>734</v>
      </c>
      <c r="G37" s="237"/>
      <c r="I37" s="265"/>
      <c r="O37" s="16"/>
    </row>
    <row r="38" spans="1:16" x14ac:dyDescent="0.25">
      <c r="B38" s="94"/>
      <c r="C38" s="14" t="s">
        <v>735</v>
      </c>
      <c r="G38" s="719"/>
      <c r="I38" s="265"/>
      <c r="O38" s="16"/>
    </row>
    <row r="39" spans="1:16" x14ac:dyDescent="0.25">
      <c r="B39" s="94"/>
      <c r="C39" s="718"/>
      <c r="D39" s="718"/>
      <c r="E39" s="718"/>
      <c r="G39" s="719"/>
      <c r="I39" s="265"/>
      <c r="O39" s="16"/>
    </row>
    <row r="40" spans="1:16" ht="18" customHeight="1" x14ac:dyDescent="0.25">
      <c r="B40" s="94" t="s">
        <v>733</v>
      </c>
      <c r="C40" s="14" t="s">
        <v>295</v>
      </c>
      <c r="G40" s="713" t="e">
        <f>IF(OR(ISBLANK(Curr_LCM),ISBLANK(LossCost_PctChg_Co)),NA(),(1+'7.3Rate Change Calculation'!CHANGE_AT_MAX)*(Curr_LCM)/(1+LossCost_PctChg_Co))/(1+Other_RateImpact)</f>
        <v>#N/A</v>
      </c>
      <c r="I40" s="618" t="str">
        <f>IF(ISBLANK($G$42),"",IF(ISERROR(MAX_LCM),"",IF($G$42&gt;$G$40,"← WARNING! Proposed Company LCM exceeds Maximum Permitted LCM.","")))</f>
        <v/>
      </c>
      <c r="J40" s="47"/>
      <c r="O40" s="16"/>
    </row>
    <row r="41" spans="1:16" x14ac:dyDescent="0.25">
      <c r="I41" s="265"/>
      <c r="O41" s="16"/>
    </row>
    <row r="42" spans="1:16" ht="18" customHeight="1" x14ac:dyDescent="0.25">
      <c r="A42" s="158" t="s">
        <v>437</v>
      </c>
      <c r="B42" s="159" t="s">
        <v>341</v>
      </c>
      <c r="G42" s="238"/>
      <c r="I42" s="618"/>
      <c r="O42" s="16"/>
    </row>
    <row r="43" spans="1:16" ht="15.75" thickBot="1" x14ac:dyDescent="0.3">
      <c r="I43" s="291"/>
      <c r="O43" s="16"/>
    </row>
    <row r="44" spans="1:16" x14ac:dyDescent="0.2">
      <c r="O44" s="16"/>
      <c r="P44" s="176"/>
    </row>
    <row r="47" spans="1:16" x14ac:dyDescent="0.25">
      <c r="D47" s="254"/>
      <c r="E47" s="254"/>
      <c r="G47" s="256"/>
    </row>
    <row r="48" spans="1:16" x14ac:dyDescent="0.25">
      <c r="D48" s="254"/>
      <c r="E48" s="254"/>
      <c r="G48" s="256"/>
    </row>
    <row r="49" spans="4:7" x14ac:dyDescent="0.25">
      <c r="D49" s="255"/>
      <c r="G49" s="257"/>
    </row>
  </sheetData>
  <sheetProtection algorithmName="SHA-512" hashValue="WXKxfZDzwXMm1H2KJU0HpvVkGRlAqGegE3S6n3l6t6ZFfr/niPTUDEcIalnIzMZ5qYwhw19cHVYLNqQCItJ9JA==" saltValue="vjzY4Keao2HJw1XTe6pjfw==" spinCount="100000" sheet="1" objects="1" scenarios="1" formatColumns="0" formatRows="0" sort="0"/>
  <mergeCells count="1">
    <mergeCell ref="C30:E30"/>
  </mergeCells>
  <printOptions horizontalCentered="1"/>
  <pageMargins left="0.45" right="0.45" top="0.5" bottom="0.5" header="0.3" footer="0.3"/>
  <pageSetup scale="76" orientation="landscape" r:id="rId1"/>
  <headerFooter>
    <oddFooter>&amp;CPrior Approval Rate Template&amp;RPage 8.3&amp;L01/11/2022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000-000000000000}">
          <x14:formula1>
            <xm:f>References!$P$6:$P$9</xm:f>
          </x14:formula1>
          <xm:sqref>G17</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42">
    <tabColor rgb="FF0000FF"/>
    <pageSetUpPr fitToPage="1"/>
  </sheetPr>
  <dimension ref="A1:P49"/>
  <sheetViews>
    <sheetView showGridLines="0" view="pageBreakPreview" zoomScaleNormal="100" zoomScaleSheetLayoutView="100" workbookViewId="0"/>
  </sheetViews>
  <sheetFormatPr defaultRowHeight="15" x14ac:dyDescent="0.25"/>
  <cols>
    <col min="1" max="1" width="4.28515625" style="14" customWidth="1"/>
    <col min="2" max="2" width="5.5703125" style="14" customWidth="1"/>
    <col min="3" max="3" width="20.7109375" style="14" customWidth="1"/>
    <col min="4" max="4" width="54.7109375" style="14" bestFit="1" customWidth="1"/>
    <col min="5" max="5" width="4.28515625" style="14" customWidth="1"/>
    <col min="6" max="6" width="6.5703125" style="14" customWidth="1"/>
    <col min="7" max="7" width="23.7109375" style="14" customWidth="1"/>
    <col min="8" max="8" width="25" style="14" customWidth="1"/>
    <col min="9" max="9" width="90.7109375" style="14" customWidth="1"/>
    <col min="10" max="10" width="5.7109375" style="14" customWidth="1"/>
    <col min="11" max="11" width="8.140625" style="14" customWidth="1"/>
    <col min="12" max="12" width="21.85546875" style="14" bestFit="1" customWidth="1"/>
    <col min="13" max="13" width="34.140625" style="14" bestFit="1" customWidth="1"/>
    <col min="14" max="14" width="17.85546875" style="14" customWidth="1"/>
    <col min="15" max="16384" width="9.140625" style="14"/>
  </cols>
  <sheetData>
    <row r="1" spans="1:16" ht="15.75" thickBot="1" x14ac:dyDescent="0.3">
      <c r="A1" s="8" t="s">
        <v>31</v>
      </c>
      <c r="B1" s="8"/>
      <c r="C1" s="8"/>
      <c r="E1" s="124" t="s">
        <v>33</v>
      </c>
      <c r="F1" s="124"/>
      <c r="G1" s="124"/>
      <c r="H1" s="125" t="str">
        <f>Co_Name</f>
        <v>State Farm Mutual Automobile Insurance Company</v>
      </c>
      <c r="I1" s="86" t="s">
        <v>712</v>
      </c>
      <c r="J1" s="8"/>
    </row>
    <row r="2" spans="1:16" x14ac:dyDescent="0.25">
      <c r="A2" s="8" t="s">
        <v>32</v>
      </c>
      <c r="B2" s="8"/>
      <c r="C2" s="8"/>
      <c r="E2" s="124" t="s">
        <v>34</v>
      </c>
      <c r="F2" s="124"/>
      <c r="G2" s="124"/>
      <c r="H2" s="125" t="str">
        <f>General_Line</f>
        <v>Auto Liability and Physical Damage</v>
      </c>
      <c r="I2" s="207" t="s">
        <v>113</v>
      </c>
      <c r="J2" s="8"/>
    </row>
    <row r="3" spans="1:16" x14ac:dyDescent="0.25">
      <c r="B3" s="184"/>
      <c r="E3" s="249" t="s">
        <v>140</v>
      </c>
      <c r="F3" s="249"/>
      <c r="G3" s="249"/>
      <c r="H3" s="188" t="str">
        <f>CDI_FileNo</f>
        <v/>
      </c>
      <c r="I3" s="87"/>
    </row>
    <row r="4" spans="1:16" ht="18" customHeight="1" x14ac:dyDescent="0.25">
      <c r="I4" s="265"/>
    </row>
    <row r="5" spans="1:16" ht="23.25" x14ac:dyDescent="0.25">
      <c r="A5" s="4" t="s">
        <v>677</v>
      </c>
      <c r="B5" s="4"/>
      <c r="C5" s="4"/>
      <c r="D5" s="123"/>
      <c r="E5" s="123"/>
      <c r="F5" s="123"/>
      <c r="G5" s="123"/>
      <c r="H5" s="123"/>
      <c r="I5" s="265"/>
    </row>
    <row r="6" spans="1:16" x14ac:dyDescent="0.25">
      <c r="I6" s="265"/>
    </row>
    <row r="7" spans="1:16" x14ac:dyDescent="0.25">
      <c r="A7" s="14" t="s">
        <v>77</v>
      </c>
      <c r="D7" s="14" t="str">
        <f>Detailed_LineDesc04</f>
        <v>Private Passenger Auto Physical Damage</v>
      </c>
      <c r="F7" s="14" t="s">
        <v>1</v>
      </c>
      <c r="H7" s="18" t="str">
        <f>Completed_By</f>
        <v>Laura Campbell</v>
      </c>
      <c r="I7" s="266"/>
    </row>
    <row r="8" spans="1:16" x14ac:dyDescent="0.25">
      <c r="A8" s="14" t="s">
        <v>78</v>
      </c>
      <c r="D8" s="14" t="str">
        <f>Covg04</f>
        <v>COMP</v>
      </c>
      <c r="F8" s="14" t="s">
        <v>76</v>
      </c>
      <c r="H8" s="62">
        <f>Completed_Date</f>
        <v>44816</v>
      </c>
      <c r="I8" s="267"/>
      <c r="J8" s="184"/>
    </row>
    <row r="9" spans="1:16" x14ac:dyDescent="0.25">
      <c r="A9" s="14" t="s">
        <v>169</v>
      </c>
      <c r="D9" s="62">
        <f>EffDate_Prior04</f>
        <v>44088</v>
      </c>
      <c r="F9" s="14" t="s">
        <v>170</v>
      </c>
      <c r="H9" s="62">
        <f>EffDate_Proposed</f>
        <v>45061</v>
      </c>
      <c r="I9" s="267"/>
      <c r="J9" s="184"/>
    </row>
    <row r="10" spans="1:16" x14ac:dyDescent="0.25">
      <c r="I10" s="265"/>
    </row>
    <row r="11" spans="1:16" ht="18" customHeight="1" x14ac:dyDescent="0.25">
      <c r="A11" s="158" t="s">
        <v>163</v>
      </c>
      <c r="B11" s="156" t="s">
        <v>296</v>
      </c>
      <c r="C11" s="156"/>
      <c r="I11" s="265"/>
      <c r="K11" s="130" t="s">
        <v>318</v>
      </c>
    </row>
    <row r="12" spans="1:16" ht="5.0999999999999996" customHeight="1" thickBot="1" x14ac:dyDescent="0.3">
      <c r="A12" s="156"/>
      <c r="B12" s="156"/>
      <c r="C12" s="156"/>
      <c r="I12" s="265"/>
    </row>
    <row r="13" spans="1:16" ht="18" customHeight="1" x14ac:dyDescent="0.25">
      <c r="A13" s="157"/>
      <c r="B13" s="94" t="s">
        <v>237</v>
      </c>
      <c r="C13" s="14" t="s">
        <v>335</v>
      </c>
      <c r="G13" s="236"/>
      <c r="I13" s="265"/>
      <c r="K13" s="162"/>
      <c r="L13" s="163" t="s">
        <v>247</v>
      </c>
      <c r="M13" s="163" t="s">
        <v>248</v>
      </c>
      <c r="N13" s="164" t="s">
        <v>251</v>
      </c>
    </row>
    <row r="14" spans="1:16" ht="15" customHeight="1" x14ac:dyDescent="0.25">
      <c r="A14" s="157"/>
      <c r="B14" s="94"/>
      <c r="I14" s="265"/>
      <c r="K14" s="165"/>
      <c r="L14" s="178" t="s">
        <v>252</v>
      </c>
      <c r="M14" s="178" t="s">
        <v>253</v>
      </c>
      <c r="N14" s="179" t="s">
        <v>255</v>
      </c>
    </row>
    <row r="15" spans="1:16" ht="18" customHeight="1" x14ac:dyDescent="0.25">
      <c r="A15" s="157"/>
      <c r="B15" s="94" t="s">
        <v>239</v>
      </c>
      <c r="C15" s="14" t="s">
        <v>303</v>
      </c>
      <c r="G15" s="238"/>
      <c r="I15" s="264" t="str">
        <f>IF(AND($G$17="(Loss+DCCE+AOE)/Loss",$G$15&lt;1),"← ERROR! AOE or LAE load must be ≥ 1.00 for selected load basis.","")</f>
        <v/>
      </c>
      <c r="K15" s="165"/>
      <c r="L15" s="177"/>
      <c r="M15" s="177"/>
      <c r="N15" s="168"/>
      <c r="P15" s="123"/>
    </row>
    <row r="16" spans="1:16" ht="15" customHeight="1" x14ac:dyDescent="0.25">
      <c r="A16" s="157"/>
      <c r="B16" s="94"/>
      <c r="I16" s="264"/>
      <c r="K16" s="165">
        <v>1</v>
      </c>
      <c r="L16" s="129" t="s">
        <v>240</v>
      </c>
      <c r="M16" s="129" t="s">
        <v>247</v>
      </c>
      <c r="N16" s="166" t="str">
        <f>IF($G$17="AOE/(Loss+DCCE)",$G$15,"")</f>
        <v/>
      </c>
      <c r="P16" s="16"/>
    </row>
    <row r="17" spans="1:16" ht="18" customHeight="1" x14ac:dyDescent="0.25">
      <c r="A17" s="157"/>
      <c r="B17" s="94" t="s">
        <v>238</v>
      </c>
      <c r="C17" s="14" t="s">
        <v>297</v>
      </c>
      <c r="F17" s="502"/>
      <c r="G17" s="614"/>
      <c r="I17" s="264" t="str">
        <f>IF(AND($G$17="(Loss+DCCE+AOE)/Loss",$G$15&lt;1),"← ERROR! AOE or LAE load must be ≥ 1.00 for selected load basis.","")</f>
        <v/>
      </c>
      <c r="K17" s="165">
        <v>2</v>
      </c>
      <c r="L17" s="129" t="s">
        <v>241</v>
      </c>
      <c r="M17" s="129" t="s">
        <v>250</v>
      </c>
      <c r="N17" s="166" t="str">
        <f>IF($G$17="(DCCE+AOE)/Loss",($G$15*$M$21-$M$22)/($M$21+$M$22),"")</f>
        <v/>
      </c>
      <c r="P17" s="16"/>
    </row>
    <row r="18" spans="1:16" ht="18" customHeight="1" x14ac:dyDescent="0.25">
      <c r="A18" s="157"/>
      <c r="B18" s="94"/>
      <c r="I18" s="265"/>
      <c r="K18" s="165">
        <v>3</v>
      </c>
      <c r="L18" s="129" t="s">
        <v>242</v>
      </c>
      <c r="M18" s="129" t="s">
        <v>249</v>
      </c>
      <c r="N18" s="166" t="str">
        <f>IF($G$17="(Loss+DCCE+AOE)/Loss",(($G$15-1)*M21-M22)/(M21+M22),"")</f>
        <v/>
      </c>
      <c r="P18" s="16"/>
    </row>
    <row r="19" spans="1:16" ht="18" customHeight="1" x14ac:dyDescent="0.25">
      <c r="A19" s="157"/>
      <c r="B19" s="94" t="s">
        <v>243</v>
      </c>
      <c r="C19" s="14" t="s">
        <v>298</v>
      </c>
      <c r="G19" s="713" t="e">
        <f>$N$21</f>
        <v>#N/A</v>
      </c>
      <c r="I19" s="265"/>
      <c r="K19" s="165"/>
      <c r="L19" s="167"/>
      <c r="M19" s="167"/>
      <c r="N19" s="168"/>
      <c r="P19" s="16"/>
    </row>
    <row r="20" spans="1:16" ht="18" customHeight="1" x14ac:dyDescent="0.25">
      <c r="A20" s="157"/>
      <c r="B20" s="157"/>
      <c r="C20" s="14" t="s">
        <v>246</v>
      </c>
      <c r="I20" s="265"/>
      <c r="K20" s="165"/>
      <c r="L20" s="160"/>
      <c r="M20" s="161" t="str">
        <f ca="1">"Total "&amp;'Incurred Loss &amp; DCCE'!$B$5&amp;" Line "&amp;Detailed_LineCode04&amp;" Industry P&amp;C"</f>
        <v>Total 2020 Line 21.1 Industry P&amp;C</v>
      </c>
      <c r="N20" s="180" t="s">
        <v>256</v>
      </c>
    </row>
    <row r="21" spans="1:16" ht="17.25" x14ac:dyDescent="0.25">
      <c r="A21" s="157"/>
      <c r="B21" s="157"/>
      <c r="I21" s="265"/>
      <c r="K21" s="165"/>
      <c r="L21" s="167" t="s">
        <v>289</v>
      </c>
      <c r="M21" s="169">
        <f ca="1">VLOOKUP(Detailed_LineCode04,Table_IncdLossDCCE,2,FALSE)</f>
        <v>55843680</v>
      </c>
      <c r="N21" s="174" t="e">
        <f>VLOOKUP($G$17,$L$16:$N$18,3,FALSE)</f>
        <v>#N/A</v>
      </c>
    </row>
    <row r="22" spans="1:16" ht="18" customHeight="1" thickBot="1" x14ac:dyDescent="0.3">
      <c r="A22" s="157"/>
      <c r="B22" s="94" t="s">
        <v>254</v>
      </c>
      <c r="C22" s="14" t="s">
        <v>299</v>
      </c>
      <c r="G22" s="713" t="e">
        <f>IF(ISBLANK($G$15),NA(),'7.4Rate Change Calculation'!Projected '7.4Rate Change Calculation'!Max_Premium/(('7.4Rate Change Calculation'!CredLossDCCE_perExp)*(1+AOE_Load)))</f>
        <v>#N/A</v>
      </c>
      <c r="I22" s="618" t="str">
        <f>IF(ISERROR(MAX_LCM),IF(ISBLANK($G$42),"",IF(ISERROR(Max_EffStdBasedLCM),"",IF($G$42&gt;$G$22,"← WARNING! Proposed Company LCM exceeds Maximum Permitted LCM, based on efficiency standard.",""))),"")</f>
        <v/>
      </c>
      <c r="K22" s="170"/>
      <c r="L22" s="171" t="s">
        <v>290</v>
      </c>
      <c r="M22" s="172">
        <f ca="1">VLOOKUP(Detailed_LineCode04,Table_IncdLossDCCE,3,FALSE)</f>
        <v>276993</v>
      </c>
      <c r="N22" s="173"/>
    </row>
    <row r="23" spans="1:16" ht="17.25" x14ac:dyDescent="0.25">
      <c r="A23" s="157"/>
      <c r="B23" s="157"/>
      <c r="I23" s="265"/>
      <c r="K23" s="14" t="s">
        <v>291</v>
      </c>
      <c r="L23" s="175" t="str">
        <f>'Incurred Loss &amp; DCCE'!$B$2&amp;", "&amp;'Incurred Loss &amp; DCCE'!$B$4&amp;" Edition"</f>
        <v>Best's Aggregates and Averages, Property &amp; Casualty, 2021 Edition</v>
      </c>
    </row>
    <row r="24" spans="1:16" ht="18" customHeight="1" x14ac:dyDescent="0.25">
      <c r="A24" s="158" t="s">
        <v>164</v>
      </c>
      <c r="B24" s="159" t="s">
        <v>300</v>
      </c>
      <c r="I24" s="265"/>
      <c r="L24" s="175" t="str">
        <f>'Incurred Loss &amp; DCCE'!$B$3</f>
        <v>Statement File Supplement - Exhibit of Premiums and Losses -Total US PC Industry</v>
      </c>
    </row>
    <row r="25" spans="1:16" ht="5.0999999999999996" customHeight="1" x14ac:dyDescent="0.25">
      <c r="I25" s="265"/>
      <c r="O25" s="16"/>
    </row>
    <row r="26" spans="1:16" ht="18" customHeight="1" x14ac:dyDescent="0.25">
      <c r="B26" s="94" t="s">
        <v>244</v>
      </c>
      <c r="C26" s="14" t="s">
        <v>334</v>
      </c>
      <c r="G26" s="236"/>
      <c r="I26" s="265"/>
      <c r="O26" s="16"/>
    </row>
    <row r="27" spans="1:16" x14ac:dyDescent="0.25">
      <c r="I27" s="265"/>
      <c r="O27" s="16"/>
    </row>
    <row r="28" spans="1:16" ht="18" customHeight="1" x14ac:dyDescent="0.25">
      <c r="B28" s="94" t="s">
        <v>245</v>
      </c>
      <c r="C28" s="14" t="s">
        <v>342</v>
      </c>
      <c r="G28" s="239"/>
      <c r="I28" s="265"/>
      <c r="O28" s="16"/>
    </row>
    <row r="29" spans="1:16" x14ac:dyDescent="0.25">
      <c r="I29" s="265"/>
      <c r="O29" s="16"/>
    </row>
    <row r="30" spans="1:16" ht="49.5" customHeight="1" x14ac:dyDescent="0.25">
      <c r="B30" s="94" t="s">
        <v>282</v>
      </c>
      <c r="C30" s="765" t="s">
        <v>336</v>
      </c>
      <c r="D30" s="765"/>
      <c r="E30" s="765"/>
      <c r="G30" s="253"/>
      <c r="I30" s="265"/>
      <c r="O30" s="16"/>
    </row>
    <row r="31" spans="1:16" x14ac:dyDescent="0.25">
      <c r="I31" s="265"/>
      <c r="O31" s="16"/>
    </row>
    <row r="32" spans="1:16" ht="18" customHeight="1" x14ac:dyDescent="0.25">
      <c r="B32" s="94" t="s">
        <v>301</v>
      </c>
      <c r="C32" s="17" t="s">
        <v>304</v>
      </c>
      <c r="G32" s="237"/>
      <c r="I32" s="265"/>
      <c r="O32" s="16"/>
    </row>
    <row r="33" spans="1:16" x14ac:dyDescent="0.25">
      <c r="B33" s="94"/>
      <c r="C33" s="17"/>
      <c r="I33" s="265"/>
      <c r="O33" s="16"/>
    </row>
    <row r="34" spans="1:16" ht="18" customHeight="1" x14ac:dyDescent="0.25">
      <c r="B34" s="94" t="s">
        <v>302</v>
      </c>
      <c r="C34" s="17" t="s">
        <v>305</v>
      </c>
      <c r="G34" s="237"/>
      <c r="I34" s="265"/>
      <c r="O34" s="16"/>
    </row>
    <row r="35" spans="1:16" ht="18" customHeight="1" x14ac:dyDescent="0.25">
      <c r="C35" s="17" t="s">
        <v>343</v>
      </c>
      <c r="I35" s="265"/>
      <c r="O35" s="16"/>
    </row>
    <row r="36" spans="1:16" x14ac:dyDescent="0.25">
      <c r="C36" s="17"/>
      <c r="I36" s="265"/>
      <c r="O36" s="16"/>
    </row>
    <row r="37" spans="1:16" ht="18" customHeight="1" x14ac:dyDescent="0.25">
      <c r="B37" s="94">
        <v>2.4</v>
      </c>
      <c r="C37" s="14" t="s">
        <v>734</v>
      </c>
      <c r="G37" s="237"/>
      <c r="I37" s="265"/>
      <c r="O37" s="16"/>
    </row>
    <row r="38" spans="1:16" x14ac:dyDescent="0.25">
      <c r="B38" s="94"/>
      <c r="C38" s="14" t="s">
        <v>735</v>
      </c>
      <c r="G38" s="719"/>
      <c r="I38" s="265"/>
      <c r="O38" s="16"/>
    </row>
    <row r="39" spans="1:16" x14ac:dyDescent="0.25">
      <c r="B39" s="94"/>
      <c r="C39" s="718"/>
      <c r="D39" s="718"/>
      <c r="E39" s="718"/>
      <c r="G39" s="719"/>
      <c r="I39" s="265"/>
      <c r="O39" s="16"/>
    </row>
    <row r="40" spans="1:16" ht="18" customHeight="1" x14ac:dyDescent="0.25">
      <c r="B40" s="94" t="s">
        <v>733</v>
      </c>
      <c r="C40" s="14" t="s">
        <v>295</v>
      </c>
      <c r="G40" s="713" t="e">
        <f>IF(OR(ISBLANK(Curr_LCM),ISBLANK(LossCost_PctChg_Co)),NA(),(1+'7.4Rate Change Calculation'!CHANGE_AT_MAX)*(Curr_LCM)/(1+LossCost_PctChg_Co))/(1+Other_RateImpact)</f>
        <v>#N/A</v>
      </c>
      <c r="I40" s="618" t="str">
        <f>IF(ISBLANK($G$42),"",IF(ISERROR(MAX_LCM),"",IF($G$42&gt;$G$40,"← WARNING! Proposed Company LCM exceeds Maximum Permitted LCM.","")))</f>
        <v/>
      </c>
      <c r="J40" s="47"/>
      <c r="O40" s="16"/>
    </row>
    <row r="41" spans="1:16" x14ac:dyDescent="0.25">
      <c r="I41" s="265"/>
      <c r="O41" s="16"/>
    </row>
    <row r="42" spans="1:16" ht="18" customHeight="1" x14ac:dyDescent="0.25">
      <c r="A42" s="158" t="s">
        <v>437</v>
      </c>
      <c r="B42" s="159" t="s">
        <v>341</v>
      </c>
      <c r="G42" s="238"/>
      <c r="I42" s="618"/>
      <c r="O42" s="16"/>
    </row>
    <row r="43" spans="1:16" ht="15.75" thickBot="1" x14ac:dyDescent="0.3">
      <c r="I43" s="291"/>
      <c r="O43" s="16"/>
    </row>
    <row r="44" spans="1:16" x14ac:dyDescent="0.2">
      <c r="O44" s="16"/>
      <c r="P44" s="176"/>
    </row>
    <row r="47" spans="1:16" x14ac:dyDescent="0.25">
      <c r="D47" s="254"/>
      <c r="E47" s="254"/>
      <c r="G47" s="256"/>
    </row>
    <row r="48" spans="1:16" x14ac:dyDescent="0.25">
      <c r="D48" s="254"/>
      <c r="E48" s="254"/>
      <c r="G48" s="256"/>
    </row>
    <row r="49" spans="4:7" x14ac:dyDescent="0.25">
      <c r="D49" s="255"/>
      <c r="G49" s="257"/>
    </row>
  </sheetData>
  <sheetProtection algorithmName="SHA-512" hashValue="dVxdmrH3SjyVoji6Iby//R+5bS3DUwmJw9EVn3gQvAt/73JDvckwgSLYdo9Mk7mbDjFQf+kwWldNPlbNO0M7uw==" saltValue="BlbUTyuF9YDd3lo1BqtGpA==" spinCount="100000" sheet="1" objects="1" scenarios="1" formatColumns="0" formatRows="0" sort="0"/>
  <mergeCells count="1">
    <mergeCell ref="C30:E30"/>
  </mergeCells>
  <printOptions horizontalCentered="1"/>
  <pageMargins left="0.45" right="0.45" top="0.5" bottom="0.5" header="0.3" footer="0.3"/>
  <pageSetup scale="76" orientation="landscape" r:id="rId1"/>
  <headerFooter>
    <oddFooter>&amp;CPrior Approval Rate Template&amp;RPage 8.4&amp;L01/11/2022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100-000000000000}">
          <x14:formula1>
            <xm:f>References!$P$6:$P$9</xm:f>
          </x14:formula1>
          <xm:sqref>G17</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43">
    <tabColor rgb="FF0000FF"/>
    <pageSetUpPr fitToPage="1"/>
  </sheetPr>
  <dimension ref="A1:P49"/>
  <sheetViews>
    <sheetView showGridLines="0" view="pageBreakPreview" zoomScaleNormal="100" zoomScaleSheetLayoutView="100" workbookViewId="0"/>
  </sheetViews>
  <sheetFormatPr defaultRowHeight="15" x14ac:dyDescent="0.25"/>
  <cols>
    <col min="1" max="1" width="4.28515625" style="14" customWidth="1"/>
    <col min="2" max="2" width="5.5703125" style="14" customWidth="1"/>
    <col min="3" max="3" width="20.7109375" style="14" customWidth="1"/>
    <col min="4" max="4" width="54.7109375" style="14" bestFit="1" customWidth="1"/>
    <col min="5" max="5" width="4.28515625" style="14" customWidth="1"/>
    <col min="6" max="6" width="6.5703125" style="14" customWidth="1"/>
    <col min="7" max="7" width="23.7109375" style="14" customWidth="1"/>
    <col min="8" max="8" width="25" style="14" customWidth="1"/>
    <col min="9" max="9" width="90.7109375" style="14" customWidth="1"/>
    <col min="10" max="10" width="5.7109375" style="14" customWidth="1"/>
    <col min="11" max="11" width="8.140625" style="14" customWidth="1"/>
    <col min="12" max="12" width="21.85546875" style="14" bestFit="1" customWidth="1"/>
    <col min="13" max="13" width="34.140625" style="14" bestFit="1" customWidth="1"/>
    <col min="14" max="14" width="17.85546875" style="14" customWidth="1"/>
    <col min="15" max="16384" width="9.140625" style="14"/>
  </cols>
  <sheetData>
    <row r="1" spans="1:16" ht="15.75" thickBot="1" x14ac:dyDescent="0.3">
      <c r="A1" s="8" t="s">
        <v>31</v>
      </c>
      <c r="B1" s="8"/>
      <c r="C1" s="8"/>
      <c r="E1" s="124" t="s">
        <v>33</v>
      </c>
      <c r="F1" s="124"/>
      <c r="G1" s="124"/>
      <c r="H1" s="125" t="str">
        <f>Co_Name</f>
        <v>State Farm Mutual Automobile Insurance Company</v>
      </c>
      <c r="I1" s="86" t="s">
        <v>712</v>
      </c>
      <c r="J1" s="8"/>
    </row>
    <row r="2" spans="1:16" x14ac:dyDescent="0.25">
      <c r="A2" s="8" t="s">
        <v>32</v>
      </c>
      <c r="B2" s="8"/>
      <c r="C2" s="8"/>
      <c r="E2" s="124" t="s">
        <v>34</v>
      </c>
      <c r="F2" s="124"/>
      <c r="G2" s="124"/>
      <c r="H2" s="125" t="str">
        <f>General_Line</f>
        <v>Auto Liability and Physical Damage</v>
      </c>
      <c r="I2" s="207" t="s">
        <v>113</v>
      </c>
      <c r="J2" s="8"/>
    </row>
    <row r="3" spans="1:16" x14ac:dyDescent="0.25">
      <c r="B3" s="184"/>
      <c r="E3" s="249" t="s">
        <v>140</v>
      </c>
      <c r="F3" s="249"/>
      <c r="G3" s="249"/>
      <c r="H3" s="188" t="str">
        <f>CDI_FileNo</f>
        <v/>
      </c>
      <c r="I3" s="87"/>
    </row>
    <row r="4" spans="1:16" ht="18" customHeight="1" x14ac:dyDescent="0.25">
      <c r="I4" s="265"/>
    </row>
    <row r="5" spans="1:16" ht="23.25" x14ac:dyDescent="0.25">
      <c r="A5" s="4" t="s">
        <v>677</v>
      </c>
      <c r="B5" s="4"/>
      <c r="C5" s="4"/>
      <c r="D5" s="123"/>
      <c r="E5" s="123"/>
      <c r="F5" s="123"/>
      <c r="G5" s="123"/>
      <c r="H5" s="123"/>
      <c r="I5" s="265"/>
    </row>
    <row r="6" spans="1:16" x14ac:dyDescent="0.25">
      <c r="I6" s="265"/>
    </row>
    <row r="7" spans="1:16" x14ac:dyDescent="0.25">
      <c r="A7" s="14" t="s">
        <v>77</v>
      </c>
      <c r="D7" s="14" t="str">
        <f>Detailed_LineDesc05</f>
        <v>Private Passenger Auto Physical Damage</v>
      </c>
      <c r="F7" s="14" t="s">
        <v>1</v>
      </c>
      <c r="H7" s="18" t="str">
        <f>Completed_By</f>
        <v>Laura Campbell</v>
      </c>
      <c r="I7" s="266"/>
    </row>
    <row r="8" spans="1:16" x14ac:dyDescent="0.25">
      <c r="A8" s="14" t="s">
        <v>78</v>
      </c>
      <c r="D8" s="14" t="str">
        <f>Covg05</f>
        <v>COLL</v>
      </c>
      <c r="F8" s="14" t="s">
        <v>76</v>
      </c>
      <c r="H8" s="62">
        <f>Completed_Date</f>
        <v>44816</v>
      </c>
      <c r="I8" s="267"/>
      <c r="J8" s="184"/>
    </row>
    <row r="9" spans="1:16" x14ac:dyDescent="0.25">
      <c r="A9" s="14" t="s">
        <v>169</v>
      </c>
      <c r="D9" s="62">
        <f>EffDate_Prior05</f>
        <v>44088</v>
      </c>
      <c r="F9" s="14" t="s">
        <v>170</v>
      </c>
      <c r="H9" s="62">
        <f>EffDate_Proposed</f>
        <v>45061</v>
      </c>
      <c r="I9" s="267"/>
      <c r="J9" s="184"/>
    </row>
    <row r="10" spans="1:16" x14ac:dyDescent="0.25">
      <c r="I10" s="265"/>
    </row>
    <row r="11" spans="1:16" ht="18" customHeight="1" x14ac:dyDescent="0.25">
      <c r="A11" s="158" t="s">
        <v>163</v>
      </c>
      <c r="B11" s="156" t="s">
        <v>296</v>
      </c>
      <c r="C11" s="156"/>
      <c r="I11" s="265"/>
      <c r="K11" s="130" t="s">
        <v>318</v>
      </c>
    </row>
    <row r="12" spans="1:16" ht="5.0999999999999996" customHeight="1" thickBot="1" x14ac:dyDescent="0.3">
      <c r="A12" s="156"/>
      <c r="B12" s="156"/>
      <c r="C12" s="156"/>
      <c r="I12" s="265"/>
    </row>
    <row r="13" spans="1:16" ht="18" customHeight="1" x14ac:dyDescent="0.25">
      <c r="A13" s="157"/>
      <c r="B13" s="94" t="s">
        <v>237</v>
      </c>
      <c r="C13" s="14" t="s">
        <v>335</v>
      </c>
      <c r="G13" s="236"/>
      <c r="I13" s="265"/>
      <c r="K13" s="162"/>
      <c r="L13" s="163" t="s">
        <v>247</v>
      </c>
      <c r="M13" s="163" t="s">
        <v>248</v>
      </c>
      <c r="N13" s="164" t="s">
        <v>251</v>
      </c>
    </row>
    <row r="14" spans="1:16" ht="15" customHeight="1" x14ac:dyDescent="0.25">
      <c r="A14" s="157"/>
      <c r="B14" s="94"/>
      <c r="I14" s="265"/>
      <c r="K14" s="165"/>
      <c r="L14" s="178" t="s">
        <v>252</v>
      </c>
      <c r="M14" s="178" t="s">
        <v>253</v>
      </c>
      <c r="N14" s="179" t="s">
        <v>255</v>
      </c>
    </row>
    <row r="15" spans="1:16" ht="18" customHeight="1" x14ac:dyDescent="0.25">
      <c r="A15" s="157"/>
      <c r="B15" s="94" t="s">
        <v>239</v>
      </c>
      <c r="C15" s="14" t="s">
        <v>303</v>
      </c>
      <c r="G15" s="238"/>
      <c r="I15" s="264" t="str">
        <f>IF(AND($G$17="(Loss+DCCE+AOE)/Loss",$G$15&lt;1),"← ERROR! AOE or LAE load must be ≥ 1.00 for selected load basis.","")</f>
        <v/>
      </c>
      <c r="K15" s="165"/>
      <c r="L15" s="177"/>
      <c r="M15" s="177"/>
      <c r="N15" s="168"/>
      <c r="P15" s="123"/>
    </row>
    <row r="16" spans="1:16" ht="15" customHeight="1" x14ac:dyDescent="0.25">
      <c r="A16" s="157"/>
      <c r="B16" s="94"/>
      <c r="I16" s="264"/>
      <c r="K16" s="165">
        <v>1</v>
      </c>
      <c r="L16" s="129" t="s">
        <v>240</v>
      </c>
      <c r="M16" s="129" t="s">
        <v>247</v>
      </c>
      <c r="N16" s="166" t="str">
        <f>IF($G$17="AOE/(Loss+DCCE)",$G$15,"")</f>
        <v/>
      </c>
      <c r="P16" s="16"/>
    </row>
    <row r="17" spans="1:16" ht="18" customHeight="1" x14ac:dyDescent="0.25">
      <c r="A17" s="157"/>
      <c r="B17" s="94" t="s">
        <v>238</v>
      </c>
      <c r="C17" s="14" t="s">
        <v>297</v>
      </c>
      <c r="F17" s="502"/>
      <c r="G17" s="614"/>
      <c r="I17" s="264" t="str">
        <f>IF(AND($G$17="(Loss+DCCE+AOE)/Loss",$G$15&lt;1),"← ERROR! AOE or LAE load must be ≥ 1.00 for selected load basis.","")</f>
        <v/>
      </c>
      <c r="K17" s="165">
        <v>2</v>
      </c>
      <c r="L17" s="129" t="s">
        <v>241</v>
      </c>
      <c r="M17" s="129" t="s">
        <v>250</v>
      </c>
      <c r="N17" s="166" t="str">
        <f>IF($G$17="(DCCE+AOE)/Loss",($G$15*$M$21-$M$22)/($M$21+$M$22),"")</f>
        <v/>
      </c>
      <c r="P17" s="16"/>
    </row>
    <row r="18" spans="1:16" ht="18" customHeight="1" x14ac:dyDescent="0.25">
      <c r="A18" s="157"/>
      <c r="B18" s="94"/>
      <c r="I18" s="265"/>
      <c r="K18" s="165">
        <v>3</v>
      </c>
      <c r="L18" s="129" t="s">
        <v>242</v>
      </c>
      <c r="M18" s="129" t="s">
        <v>249</v>
      </c>
      <c r="N18" s="166" t="str">
        <f>IF($G$17="(Loss+DCCE+AOE)/Loss",(($G$15-1)*M21-M22)/(M21+M22),"")</f>
        <v/>
      </c>
      <c r="P18" s="16"/>
    </row>
    <row r="19" spans="1:16" ht="18" customHeight="1" x14ac:dyDescent="0.25">
      <c r="A19" s="157"/>
      <c r="B19" s="94" t="s">
        <v>243</v>
      </c>
      <c r="C19" s="14" t="s">
        <v>298</v>
      </c>
      <c r="G19" s="713" t="e">
        <f>$N$21</f>
        <v>#N/A</v>
      </c>
      <c r="I19" s="265"/>
      <c r="K19" s="165"/>
      <c r="L19" s="167"/>
      <c r="M19" s="167"/>
      <c r="N19" s="168"/>
      <c r="P19" s="16"/>
    </row>
    <row r="20" spans="1:16" ht="18" customHeight="1" x14ac:dyDescent="0.25">
      <c r="A20" s="157"/>
      <c r="B20" s="157"/>
      <c r="C20" s="14" t="s">
        <v>246</v>
      </c>
      <c r="I20" s="265"/>
      <c r="K20" s="165"/>
      <c r="L20" s="160"/>
      <c r="M20" s="161" t="str">
        <f ca="1">"Total "&amp;'Incurred Loss &amp; DCCE'!$B$5&amp;" Line "&amp;Detailed_LineCode05&amp;" Industry P&amp;C"</f>
        <v>Total 2020 Line 21.1 Industry P&amp;C</v>
      </c>
      <c r="N20" s="180" t="s">
        <v>256</v>
      </c>
    </row>
    <row r="21" spans="1:16" ht="17.25" x14ac:dyDescent="0.25">
      <c r="A21" s="157"/>
      <c r="B21" s="157"/>
      <c r="I21" s="265"/>
      <c r="K21" s="165"/>
      <c r="L21" s="167" t="s">
        <v>289</v>
      </c>
      <c r="M21" s="169">
        <f ca="1">VLOOKUP(Detailed_LineCode05,Table_IncdLossDCCE,2,FALSE)</f>
        <v>55843680</v>
      </c>
      <c r="N21" s="174" t="e">
        <f>VLOOKUP($G$17,$L$16:$N$18,3,FALSE)</f>
        <v>#N/A</v>
      </c>
    </row>
    <row r="22" spans="1:16" ht="18" customHeight="1" thickBot="1" x14ac:dyDescent="0.3">
      <c r="A22" s="157"/>
      <c r="B22" s="94" t="s">
        <v>254</v>
      </c>
      <c r="C22" s="14" t="s">
        <v>299</v>
      </c>
      <c r="G22" s="713" t="e">
        <f>IF(ISBLANK($G$15),NA(),'7.5Rate Change Calculation'!Projected '7.5Rate Change Calculation'!Max_Premium/(('7.5Rate Change Calculation'!CredLossDCCE_perExp)*(1+AOE_Load)))</f>
        <v>#N/A</v>
      </c>
      <c r="I22" s="618" t="str">
        <f>IF(ISERROR(MAX_LCM),IF(ISBLANK($G$42),"",IF(ISERROR(Max_EffStdBasedLCM),"",IF($G$42&gt;$G$22,"← WARNING! Proposed Company LCM exceeds Maximum Permitted LCM, based on efficiency standard.",""))),"")</f>
        <v/>
      </c>
      <c r="K22" s="170"/>
      <c r="L22" s="171" t="s">
        <v>290</v>
      </c>
      <c r="M22" s="172">
        <f ca="1">VLOOKUP(Detailed_LineCode05,Table_IncdLossDCCE,3,FALSE)</f>
        <v>276993</v>
      </c>
      <c r="N22" s="173"/>
    </row>
    <row r="23" spans="1:16" ht="17.25" x14ac:dyDescent="0.25">
      <c r="A23" s="157"/>
      <c r="B23" s="157"/>
      <c r="I23" s="265"/>
      <c r="K23" s="14" t="s">
        <v>291</v>
      </c>
      <c r="L23" s="175" t="str">
        <f>'Incurred Loss &amp; DCCE'!$B$2&amp;", "&amp;'Incurred Loss &amp; DCCE'!$B$4&amp;" Edition"</f>
        <v>Best's Aggregates and Averages, Property &amp; Casualty, 2021 Edition</v>
      </c>
    </row>
    <row r="24" spans="1:16" ht="18" customHeight="1" x14ac:dyDescent="0.25">
      <c r="A24" s="158" t="s">
        <v>164</v>
      </c>
      <c r="B24" s="159" t="s">
        <v>300</v>
      </c>
      <c r="I24" s="265"/>
      <c r="L24" s="175" t="str">
        <f>'Incurred Loss &amp; DCCE'!$B$3</f>
        <v>Statement File Supplement - Exhibit of Premiums and Losses -Total US PC Industry</v>
      </c>
    </row>
    <row r="25" spans="1:16" ht="5.0999999999999996" customHeight="1" x14ac:dyDescent="0.25">
      <c r="I25" s="265"/>
      <c r="O25" s="16"/>
    </row>
    <row r="26" spans="1:16" ht="18" customHeight="1" x14ac:dyDescent="0.25">
      <c r="B26" s="94" t="s">
        <v>244</v>
      </c>
      <c r="C26" s="14" t="s">
        <v>334</v>
      </c>
      <c r="G26" s="236"/>
      <c r="I26" s="265"/>
      <c r="O26" s="16"/>
    </row>
    <row r="27" spans="1:16" x14ac:dyDescent="0.25">
      <c r="I27" s="265"/>
      <c r="O27" s="16"/>
    </row>
    <row r="28" spans="1:16" ht="18" customHeight="1" x14ac:dyDescent="0.25">
      <c r="B28" s="94" t="s">
        <v>245</v>
      </c>
      <c r="C28" s="14" t="s">
        <v>342</v>
      </c>
      <c r="G28" s="239"/>
      <c r="I28" s="265"/>
      <c r="O28" s="16"/>
    </row>
    <row r="29" spans="1:16" x14ac:dyDescent="0.25">
      <c r="I29" s="265"/>
      <c r="O29" s="16"/>
    </row>
    <row r="30" spans="1:16" ht="49.5" customHeight="1" x14ac:dyDescent="0.25">
      <c r="B30" s="94" t="s">
        <v>282</v>
      </c>
      <c r="C30" s="765" t="s">
        <v>336</v>
      </c>
      <c r="D30" s="765"/>
      <c r="E30" s="765"/>
      <c r="G30" s="253"/>
      <c r="I30" s="265"/>
      <c r="O30" s="16"/>
    </row>
    <row r="31" spans="1:16" x14ac:dyDescent="0.25">
      <c r="I31" s="265"/>
      <c r="O31" s="16"/>
    </row>
    <row r="32" spans="1:16" ht="18" customHeight="1" x14ac:dyDescent="0.25">
      <c r="B32" s="94" t="s">
        <v>301</v>
      </c>
      <c r="C32" s="17" t="s">
        <v>304</v>
      </c>
      <c r="G32" s="237"/>
      <c r="I32" s="265"/>
      <c r="O32" s="16"/>
    </row>
    <row r="33" spans="1:16" x14ac:dyDescent="0.25">
      <c r="B33" s="94"/>
      <c r="C33" s="17"/>
      <c r="I33" s="265"/>
      <c r="O33" s="16"/>
    </row>
    <row r="34" spans="1:16" ht="18" customHeight="1" x14ac:dyDescent="0.25">
      <c r="B34" s="94" t="s">
        <v>302</v>
      </c>
      <c r="C34" s="17" t="s">
        <v>305</v>
      </c>
      <c r="G34" s="237"/>
      <c r="I34" s="265"/>
      <c r="O34" s="16"/>
    </row>
    <row r="35" spans="1:16" ht="18" customHeight="1" x14ac:dyDescent="0.25">
      <c r="C35" s="17" t="s">
        <v>343</v>
      </c>
      <c r="I35" s="265"/>
      <c r="O35" s="16"/>
    </row>
    <row r="36" spans="1:16" x14ac:dyDescent="0.25">
      <c r="C36" s="17"/>
      <c r="I36" s="265"/>
      <c r="O36" s="16"/>
    </row>
    <row r="37" spans="1:16" ht="18" customHeight="1" x14ac:dyDescent="0.25">
      <c r="B37" s="94">
        <v>2.4</v>
      </c>
      <c r="C37" s="14" t="s">
        <v>734</v>
      </c>
      <c r="G37" s="237"/>
      <c r="I37" s="265"/>
      <c r="O37" s="16"/>
    </row>
    <row r="38" spans="1:16" x14ac:dyDescent="0.25">
      <c r="B38" s="94"/>
      <c r="C38" s="14" t="s">
        <v>735</v>
      </c>
      <c r="G38" s="719"/>
      <c r="I38" s="265"/>
      <c r="O38" s="16"/>
    </row>
    <row r="39" spans="1:16" x14ac:dyDescent="0.25">
      <c r="B39" s="94"/>
      <c r="C39" s="718"/>
      <c r="D39" s="718"/>
      <c r="E39" s="718"/>
      <c r="G39" s="719"/>
      <c r="I39" s="265"/>
      <c r="O39" s="16"/>
    </row>
    <row r="40" spans="1:16" ht="18" customHeight="1" x14ac:dyDescent="0.25">
      <c r="B40" s="94" t="s">
        <v>733</v>
      </c>
      <c r="C40" s="14" t="s">
        <v>295</v>
      </c>
      <c r="G40" s="713" t="e">
        <f>IF(OR(ISBLANK(Curr_LCM),ISBLANK(LossCost_PctChg_Co)),NA(),(1+'7.5Rate Change Calculation'!CHANGE_AT_MAX)*(Curr_LCM)/(1+LossCost_PctChg_Co))/(1+Other_RateImpact)</f>
        <v>#N/A</v>
      </c>
      <c r="I40" s="618" t="str">
        <f>IF(ISBLANK($G$42),"",IF(ISERROR(MAX_LCM),"",IF($G$42&gt;$G$40,"← WARNING! Proposed Company LCM exceeds Maximum Permitted LCM.","")))</f>
        <v/>
      </c>
      <c r="J40" s="47"/>
      <c r="O40" s="16"/>
    </row>
    <row r="41" spans="1:16" x14ac:dyDescent="0.25">
      <c r="I41" s="265"/>
      <c r="O41" s="16"/>
    </row>
    <row r="42" spans="1:16" ht="18" customHeight="1" x14ac:dyDescent="0.25">
      <c r="A42" s="158" t="s">
        <v>437</v>
      </c>
      <c r="B42" s="159" t="s">
        <v>341</v>
      </c>
      <c r="G42" s="238"/>
      <c r="I42" s="618"/>
      <c r="O42" s="16"/>
    </row>
    <row r="43" spans="1:16" ht="15.75" thickBot="1" x14ac:dyDescent="0.3">
      <c r="I43" s="291"/>
      <c r="O43" s="16"/>
    </row>
    <row r="44" spans="1:16" x14ac:dyDescent="0.2">
      <c r="O44" s="16"/>
      <c r="P44" s="176"/>
    </row>
    <row r="47" spans="1:16" x14ac:dyDescent="0.25">
      <c r="D47" s="254"/>
      <c r="E47" s="254"/>
      <c r="G47" s="256"/>
    </row>
    <row r="48" spans="1:16" x14ac:dyDescent="0.25">
      <c r="D48" s="254"/>
      <c r="E48" s="254"/>
      <c r="G48" s="256"/>
    </row>
    <row r="49" spans="4:7" x14ac:dyDescent="0.25">
      <c r="D49" s="255"/>
      <c r="G49" s="257"/>
    </row>
  </sheetData>
  <sheetProtection algorithmName="SHA-512" hashValue="mlitO4ryHeBoUAIgJKm7kPG0eyeTC9bC+h5oASylq7SwiFymsZwC30H98cOU+tgFNJnkQv/atklUhX3qInX9pg==" saltValue="MO5AfUGtyG/6JhJ64678vw==" spinCount="100000" sheet="1" objects="1" scenarios="1" formatColumns="0" formatRows="0" sort="0"/>
  <mergeCells count="1">
    <mergeCell ref="C30:E30"/>
  </mergeCells>
  <printOptions horizontalCentered="1"/>
  <pageMargins left="0.45" right="0.45" top="0.5" bottom="0.5" header="0.3" footer="0.3"/>
  <pageSetup scale="76" orientation="landscape" r:id="rId1"/>
  <headerFooter>
    <oddFooter>&amp;CPrior Approval Rate Template&amp;RPage 8.5&amp;L01/11/2022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200-000000000000}">
          <x14:formula1>
            <xm:f>References!$P$6:$P$9</xm:f>
          </x14:formula1>
          <xm:sqref>G17</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44">
    <tabColor rgb="FF0000FF"/>
    <pageSetUpPr fitToPage="1"/>
  </sheetPr>
  <dimension ref="A1:P49"/>
  <sheetViews>
    <sheetView showGridLines="0" view="pageBreakPreview" zoomScaleNormal="100" zoomScaleSheetLayoutView="100" workbookViewId="0"/>
  </sheetViews>
  <sheetFormatPr defaultRowHeight="15" x14ac:dyDescent="0.25"/>
  <cols>
    <col min="1" max="1" width="4.28515625" style="14" customWidth="1"/>
    <col min="2" max="2" width="5.5703125" style="14" customWidth="1"/>
    <col min="3" max="3" width="20.7109375" style="14" customWidth="1"/>
    <col min="4" max="4" width="54.7109375" style="14" bestFit="1" customWidth="1"/>
    <col min="5" max="5" width="4.28515625" style="14" customWidth="1"/>
    <col min="6" max="6" width="6.5703125" style="14" customWidth="1"/>
    <col min="7" max="7" width="23.7109375" style="14" customWidth="1"/>
    <col min="8" max="8" width="25" style="14" customWidth="1"/>
    <col min="9" max="9" width="90.7109375" style="14" customWidth="1"/>
    <col min="10" max="10" width="5.7109375" style="14" customWidth="1"/>
    <col min="11" max="11" width="8.140625" style="14" customWidth="1"/>
    <col min="12" max="12" width="21.85546875" style="14" bestFit="1" customWidth="1"/>
    <col min="13" max="13" width="34.140625" style="14" bestFit="1" customWidth="1"/>
    <col min="14" max="14" width="17.85546875" style="14" customWidth="1"/>
    <col min="15" max="16384" width="9.140625" style="14"/>
  </cols>
  <sheetData>
    <row r="1" spans="1:16" ht="15.75" thickBot="1" x14ac:dyDescent="0.3">
      <c r="A1" s="8" t="s">
        <v>31</v>
      </c>
      <c r="B1" s="8"/>
      <c r="C1" s="8"/>
      <c r="E1" s="124" t="s">
        <v>33</v>
      </c>
      <c r="F1" s="124"/>
      <c r="G1" s="124"/>
      <c r="H1" s="125" t="str">
        <f>Co_Name</f>
        <v>State Farm Mutual Automobile Insurance Company</v>
      </c>
      <c r="I1" s="86" t="s">
        <v>712</v>
      </c>
      <c r="J1" s="8"/>
    </row>
    <row r="2" spans="1:16" x14ac:dyDescent="0.25">
      <c r="A2" s="8" t="s">
        <v>32</v>
      </c>
      <c r="B2" s="8"/>
      <c r="C2" s="8"/>
      <c r="E2" s="124" t="s">
        <v>34</v>
      </c>
      <c r="F2" s="124"/>
      <c r="G2" s="124"/>
      <c r="H2" s="125" t="str">
        <f>General_Line</f>
        <v>Auto Liability and Physical Damage</v>
      </c>
      <c r="I2" s="207" t="s">
        <v>113</v>
      </c>
      <c r="J2" s="8"/>
    </row>
    <row r="3" spans="1:16" x14ac:dyDescent="0.25">
      <c r="B3" s="184"/>
      <c r="E3" s="249" t="s">
        <v>140</v>
      </c>
      <c r="F3" s="249"/>
      <c r="G3" s="249"/>
      <c r="H3" s="188" t="str">
        <f>CDI_FileNo</f>
        <v/>
      </c>
      <c r="I3" s="87"/>
    </row>
    <row r="4" spans="1:16" ht="18" customHeight="1" x14ac:dyDescent="0.25">
      <c r="I4" s="265"/>
    </row>
    <row r="5" spans="1:16" ht="23.25" x14ac:dyDescent="0.25">
      <c r="A5" s="4" t="s">
        <v>677</v>
      </c>
      <c r="B5" s="4"/>
      <c r="C5" s="4"/>
      <c r="D5" s="123"/>
      <c r="E5" s="123"/>
      <c r="F5" s="123"/>
      <c r="G5" s="123"/>
      <c r="H5" s="123"/>
      <c r="I5" s="265"/>
    </row>
    <row r="6" spans="1:16" x14ac:dyDescent="0.25">
      <c r="I6" s="265"/>
    </row>
    <row r="7" spans="1:16" x14ac:dyDescent="0.25">
      <c r="A7" s="14" t="s">
        <v>77</v>
      </c>
      <c r="D7" s="14" t="str">
        <f>Detailed_LineDesc06</f>
        <v>Private Passenger Auto Physical Damage</v>
      </c>
      <c r="F7" s="14" t="s">
        <v>1</v>
      </c>
      <c r="H7" s="18" t="str">
        <f>Completed_By</f>
        <v>Laura Campbell</v>
      </c>
      <c r="I7" s="266"/>
    </row>
    <row r="8" spans="1:16" x14ac:dyDescent="0.25">
      <c r="A8" s="14" t="s">
        <v>78</v>
      </c>
      <c r="D8" s="14" t="str">
        <f>Covg06</f>
        <v>Misc. Damage</v>
      </c>
      <c r="F8" s="14" t="s">
        <v>76</v>
      </c>
      <c r="H8" s="62">
        <f>Completed_Date</f>
        <v>44816</v>
      </c>
      <c r="I8" s="267"/>
      <c r="J8" s="184"/>
    </row>
    <row r="9" spans="1:16" x14ac:dyDescent="0.25">
      <c r="A9" s="14" t="s">
        <v>169</v>
      </c>
      <c r="D9" s="62">
        <f>EffDate_Prior06</f>
        <v>44088</v>
      </c>
      <c r="F9" s="14" t="s">
        <v>170</v>
      </c>
      <c r="H9" s="62">
        <f>EffDate_Proposed</f>
        <v>45061</v>
      </c>
      <c r="I9" s="267"/>
      <c r="J9" s="184"/>
    </row>
    <row r="10" spans="1:16" x14ac:dyDescent="0.25">
      <c r="I10" s="265"/>
    </row>
    <row r="11" spans="1:16" ht="18" customHeight="1" x14ac:dyDescent="0.25">
      <c r="A11" s="158" t="s">
        <v>163</v>
      </c>
      <c r="B11" s="156" t="s">
        <v>296</v>
      </c>
      <c r="C11" s="156"/>
      <c r="I11" s="265"/>
      <c r="K11" s="130" t="s">
        <v>318</v>
      </c>
    </row>
    <row r="12" spans="1:16" ht="5.0999999999999996" customHeight="1" thickBot="1" x14ac:dyDescent="0.3">
      <c r="A12" s="156"/>
      <c r="B12" s="156"/>
      <c r="C12" s="156"/>
      <c r="I12" s="265"/>
    </row>
    <row r="13" spans="1:16" ht="18" customHeight="1" x14ac:dyDescent="0.25">
      <c r="A13" s="157"/>
      <c r="B13" s="94" t="s">
        <v>237</v>
      </c>
      <c r="C13" s="14" t="s">
        <v>335</v>
      </c>
      <c r="G13" s="236"/>
      <c r="I13" s="265"/>
      <c r="K13" s="162"/>
      <c r="L13" s="163" t="s">
        <v>247</v>
      </c>
      <c r="M13" s="163" t="s">
        <v>248</v>
      </c>
      <c r="N13" s="164" t="s">
        <v>251</v>
      </c>
    </row>
    <row r="14" spans="1:16" ht="15" customHeight="1" x14ac:dyDescent="0.25">
      <c r="A14" s="157"/>
      <c r="B14" s="94"/>
      <c r="I14" s="265"/>
      <c r="K14" s="165"/>
      <c r="L14" s="178" t="s">
        <v>252</v>
      </c>
      <c r="M14" s="178" t="s">
        <v>253</v>
      </c>
      <c r="N14" s="179" t="s">
        <v>255</v>
      </c>
    </row>
    <row r="15" spans="1:16" ht="18" customHeight="1" x14ac:dyDescent="0.25">
      <c r="A15" s="157"/>
      <c r="B15" s="94" t="s">
        <v>239</v>
      </c>
      <c r="C15" s="14" t="s">
        <v>303</v>
      </c>
      <c r="G15" s="238"/>
      <c r="I15" s="264" t="str">
        <f>IF(AND($G$17="(Loss+DCCE+AOE)/Loss",$G$15&lt;1),"← ERROR! AOE or LAE load must be ≥ 1.00 for selected load basis.","")</f>
        <v/>
      </c>
      <c r="K15" s="165"/>
      <c r="L15" s="177"/>
      <c r="M15" s="177"/>
      <c r="N15" s="168"/>
      <c r="P15" s="123"/>
    </row>
    <row r="16" spans="1:16" ht="15" customHeight="1" x14ac:dyDescent="0.25">
      <c r="A16" s="157"/>
      <c r="B16" s="94"/>
      <c r="I16" s="264"/>
      <c r="K16" s="165">
        <v>1</v>
      </c>
      <c r="L16" s="129" t="s">
        <v>240</v>
      </c>
      <c r="M16" s="129" t="s">
        <v>247</v>
      </c>
      <c r="N16" s="166" t="str">
        <f>IF($G$17="AOE/(Loss+DCCE)",$G$15,"")</f>
        <v/>
      </c>
      <c r="P16" s="16"/>
    </row>
    <row r="17" spans="1:16" ht="18" customHeight="1" x14ac:dyDescent="0.25">
      <c r="A17" s="157"/>
      <c r="B17" s="94" t="s">
        <v>238</v>
      </c>
      <c r="C17" s="14" t="s">
        <v>297</v>
      </c>
      <c r="F17" s="502"/>
      <c r="G17" s="614"/>
      <c r="I17" s="264" t="str">
        <f>IF(AND($G$17="(Loss+DCCE+AOE)/Loss",$G$15&lt;1),"← ERROR! AOE or LAE load must be ≥ 1.00 for selected load basis.","")</f>
        <v/>
      </c>
      <c r="K17" s="165">
        <v>2</v>
      </c>
      <c r="L17" s="129" t="s">
        <v>241</v>
      </c>
      <c r="M17" s="129" t="s">
        <v>250</v>
      </c>
      <c r="N17" s="166" t="str">
        <f>IF($G$17="(DCCE+AOE)/Loss",($G$15*$M$21-$M$22)/($M$21+$M$22),"")</f>
        <v/>
      </c>
      <c r="P17" s="16"/>
    </row>
    <row r="18" spans="1:16" ht="18" customHeight="1" x14ac:dyDescent="0.25">
      <c r="A18" s="157"/>
      <c r="B18" s="94"/>
      <c r="I18" s="265"/>
      <c r="K18" s="165">
        <v>3</v>
      </c>
      <c r="L18" s="129" t="s">
        <v>242</v>
      </c>
      <c r="M18" s="129" t="s">
        <v>249</v>
      </c>
      <c r="N18" s="166" t="str">
        <f>IF($G$17="(Loss+DCCE+AOE)/Loss",(($G$15-1)*M21-M22)/(M21+M22),"")</f>
        <v/>
      </c>
      <c r="P18" s="16"/>
    </row>
    <row r="19" spans="1:16" ht="18" customHeight="1" x14ac:dyDescent="0.25">
      <c r="A19" s="157"/>
      <c r="B19" s="94" t="s">
        <v>243</v>
      </c>
      <c r="C19" s="14" t="s">
        <v>298</v>
      </c>
      <c r="G19" s="713" t="e">
        <f>$N$21</f>
        <v>#N/A</v>
      </c>
      <c r="I19" s="265"/>
      <c r="K19" s="165"/>
      <c r="L19" s="167"/>
      <c r="M19" s="167"/>
      <c r="N19" s="168"/>
      <c r="P19" s="16"/>
    </row>
    <row r="20" spans="1:16" ht="18" customHeight="1" x14ac:dyDescent="0.25">
      <c r="A20" s="157"/>
      <c r="B20" s="157"/>
      <c r="C20" s="14" t="s">
        <v>246</v>
      </c>
      <c r="I20" s="265"/>
      <c r="K20" s="165"/>
      <c r="L20" s="160"/>
      <c r="M20" s="161" t="str">
        <f ca="1">"Total "&amp;'Incurred Loss &amp; DCCE'!$B$5&amp;" Line "&amp;Detailed_LineCode06&amp;" Industry P&amp;C"</f>
        <v>Total 2020 Line 21.1 Industry P&amp;C</v>
      </c>
      <c r="N20" s="180" t="s">
        <v>256</v>
      </c>
    </row>
    <row r="21" spans="1:16" ht="17.25" x14ac:dyDescent="0.25">
      <c r="A21" s="157"/>
      <c r="B21" s="157"/>
      <c r="I21" s="265"/>
      <c r="K21" s="165"/>
      <c r="L21" s="167" t="s">
        <v>289</v>
      </c>
      <c r="M21" s="169">
        <f ca="1">VLOOKUP(Detailed_LineCode06,Table_IncdLossDCCE,2,FALSE)</f>
        <v>55843680</v>
      </c>
      <c r="N21" s="174" t="e">
        <f>VLOOKUP($G$17,$L$16:$N$18,3,FALSE)</f>
        <v>#N/A</v>
      </c>
    </row>
    <row r="22" spans="1:16" ht="18" customHeight="1" thickBot="1" x14ac:dyDescent="0.3">
      <c r="A22" s="157"/>
      <c r="B22" s="94" t="s">
        <v>254</v>
      </c>
      <c r="C22" s="14" t="s">
        <v>299</v>
      </c>
      <c r="G22" s="713" t="e">
        <f>IF(ISBLANK($G$15),NA(),'7.6Rate Change Calculation'!Projected '7.6Rate Change Calculation'!Max_Premium/(('7.6Rate Change Calculation'!CredLossDCCE_perExp)*(1+AOE_Load)))</f>
        <v>#N/A</v>
      </c>
      <c r="I22" s="618" t="str">
        <f>IF(ISERROR(MAX_LCM),IF(ISBLANK($G$42),"",IF(ISERROR(Max_EffStdBasedLCM),"",IF($G$42&gt;$G$22,"← WARNING! Proposed Company LCM exceeds Maximum Permitted LCM, based on efficiency standard.",""))),"")</f>
        <v/>
      </c>
      <c r="K22" s="170"/>
      <c r="L22" s="171" t="s">
        <v>290</v>
      </c>
      <c r="M22" s="172">
        <f ca="1">VLOOKUP(Detailed_LineCode06,Table_IncdLossDCCE,3,FALSE)</f>
        <v>276993</v>
      </c>
      <c r="N22" s="173"/>
    </row>
    <row r="23" spans="1:16" ht="17.25" x14ac:dyDescent="0.25">
      <c r="A23" s="157"/>
      <c r="B23" s="157"/>
      <c r="I23" s="265"/>
      <c r="K23" s="14" t="s">
        <v>291</v>
      </c>
      <c r="L23" s="175" t="str">
        <f>'Incurred Loss &amp; DCCE'!$B$2&amp;", "&amp;'Incurred Loss &amp; DCCE'!$B$4&amp;" Edition"</f>
        <v>Best's Aggregates and Averages, Property &amp; Casualty, 2021 Edition</v>
      </c>
    </row>
    <row r="24" spans="1:16" ht="18" customHeight="1" x14ac:dyDescent="0.25">
      <c r="A24" s="158" t="s">
        <v>164</v>
      </c>
      <c r="B24" s="159" t="s">
        <v>300</v>
      </c>
      <c r="I24" s="265"/>
      <c r="L24" s="175" t="str">
        <f>'Incurred Loss &amp; DCCE'!$B$3</f>
        <v>Statement File Supplement - Exhibit of Premiums and Losses -Total US PC Industry</v>
      </c>
    </row>
    <row r="25" spans="1:16" ht="5.0999999999999996" customHeight="1" x14ac:dyDescent="0.25">
      <c r="I25" s="265"/>
      <c r="O25" s="16"/>
    </row>
    <row r="26" spans="1:16" ht="18" customHeight="1" x14ac:dyDescent="0.25">
      <c r="B26" s="94" t="s">
        <v>244</v>
      </c>
      <c r="C26" s="14" t="s">
        <v>334</v>
      </c>
      <c r="G26" s="236"/>
      <c r="I26" s="265"/>
      <c r="O26" s="16"/>
    </row>
    <row r="27" spans="1:16" x14ac:dyDescent="0.25">
      <c r="I27" s="265"/>
      <c r="O27" s="16"/>
    </row>
    <row r="28" spans="1:16" ht="18" customHeight="1" x14ac:dyDescent="0.25">
      <c r="B28" s="94" t="s">
        <v>245</v>
      </c>
      <c r="C28" s="14" t="s">
        <v>342</v>
      </c>
      <c r="G28" s="239"/>
      <c r="I28" s="265"/>
      <c r="O28" s="16"/>
    </row>
    <row r="29" spans="1:16" x14ac:dyDescent="0.25">
      <c r="I29" s="265"/>
      <c r="O29" s="16"/>
    </row>
    <row r="30" spans="1:16" ht="49.5" customHeight="1" x14ac:dyDescent="0.25">
      <c r="B30" s="94" t="s">
        <v>282</v>
      </c>
      <c r="C30" s="765" t="s">
        <v>336</v>
      </c>
      <c r="D30" s="765"/>
      <c r="E30" s="765"/>
      <c r="G30" s="253"/>
      <c r="I30" s="265"/>
      <c r="O30" s="16"/>
    </row>
    <row r="31" spans="1:16" x14ac:dyDescent="0.25">
      <c r="I31" s="265"/>
      <c r="O31" s="16"/>
    </row>
    <row r="32" spans="1:16" ht="18" customHeight="1" x14ac:dyDescent="0.25">
      <c r="B32" s="94" t="s">
        <v>301</v>
      </c>
      <c r="C32" s="17" t="s">
        <v>304</v>
      </c>
      <c r="G32" s="237"/>
      <c r="I32" s="265"/>
      <c r="O32" s="16"/>
    </row>
    <row r="33" spans="1:16" x14ac:dyDescent="0.25">
      <c r="B33" s="94"/>
      <c r="C33" s="17"/>
      <c r="I33" s="265"/>
      <c r="O33" s="16"/>
    </row>
    <row r="34" spans="1:16" ht="18" customHeight="1" x14ac:dyDescent="0.25">
      <c r="B34" s="94" t="s">
        <v>302</v>
      </c>
      <c r="C34" s="17" t="s">
        <v>305</v>
      </c>
      <c r="G34" s="237"/>
      <c r="I34" s="265"/>
      <c r="O34" s="16"/>
    </row>
    <row r="35" spans="1:16" ht="18" customHeight="1" x14ac:dyDescent="0.25">
      <c r="C35" s="17" t="s">
        <v>343</v>
      </c>
      <c r="I35" s="265"/>
      <c r="O35" s="16"/>
    </row>
    <row r="36" spans="1:16" x14ac:dyDescent="0.25">
      <c r="C36" s="17"/>
      <c r="I36" s="265"/>
      <c r="O36" s="16"/>
    </row>
    <row r="37" spans="1:16" ht="18" customHeight="1" x14ac:dyDescent="0.25">
      <c r="B37" s="94">
        <v>2.4</v>
      </c>
      <c r="C37" s="14" t="s">
        <v>734</v>
      </c>
      <c r="G37" s="237"/>
      <c r="I37" s="265"/>
      <c r="O37" s="16"/>
    </row>
    <row r="38" spans="1:16" x14ac:dyDescent="0.25">
      <c r="B38" s="94"/>
      <c r="C38" s="14" t="s">
        <v>735</v>
      </c>
      <c r="G38" s="719"/>
      <c r="I38" s="265"/>
      <c r="O38" s="16"/>
    </row>
    <row r="39" spans="1:16" x14ac:dyDescent="0.25">
      <c r="B39" s="94"/>
      <c r="C39" s="718"/>
      <c r="D39" s="718"/>
      <c r="E39" s="718"/>
      <c r="G39" s="719"/>
      <c r="I39" s="265"/>
      <c r="O39" s="16"/>
    </row>
    <row r="40" spans="1:16" ht="18" customHeight="1" x14ac:dyDescent="0.25">
      <c r="B40" s="94" t="s">
        <v>733</v>
      </c>
      <c r="C40" s="14" t="s">
        <v>295</v>
      </c>
      <c r="G40" s="713" t="e">
        <f>IF(OR(ISBLANK(Curr_LCM),ISBLANK(LossCost_PctChg_Co)),NA(),(1+'7.6Rate Change Calculation'!CHANGE_AT_MAX)*(Curr_LCM)/(1+LossCost_PctChg_Co))/(1+Other_RateImpact)</f>
        <v>#N/A</v>
      </c>
      <c r="I40" s="618" t="str">
        <f>IF(ISBLANK($G$42),"",IF(ISERROR(MAX_LCM),"",IF($G$42&gt;$G$40,"← WARNING! Proposed Company LCM exceeds Maximum Permitted LCM.","")))</f>
        <v/>
      </c>
      <c r="J40" s="47"/>
      <c r="O40" s="16"/>
    </row>
    <row r="41" spans="1:16" x14ac:dyDescent="0.25">
      <c r="I41" s="265"/>
      <c r="O41" s="16"/>
    </row>
    <row r="42" spans="1:16" ht="18" customHeight="1" x14ac:dyDescent="0.25">
      <c r="A42" s="158" t="s">
        <v>437</v>
      </c>
      <c r="B42" s="159" t="s">
        <v>341</v>
      </c>
      <c r="G42" s="238"/>
      <c r="I42" s="618"/>
      <c r="O42" s="16"/>
    </row>
    <row r="43" spans="1:16" ht="15.75" thickBot="1" x14ac:dyDescent="0.3">
      <c r="I43" s="291"/>
      <c r="O43" s="16"/>
    </row>
    <row r="44" spans="1:16" x14ac:dyDescent="0.2">
      <c r="O44" s="16"/>
      <c r="P44" s="176"/>
    </row>
    <row r="47" spans="1:16" x14ac:dyDescent="0.25">
      <c r="D47" s="254"/>
      <c r="E47" s="254"/>
      <c r="G47" s="256"/>
    </row>
    <row r="48" spans="1:16" x14ac:dyDescent="0.25">
      <c r="D48" s="254"/>
      <c r="E48" s="254"/>
      <c r="G48" s="256"/>
    </row>
    <row r="49" spans="4:7" x14ac:dyDescent="0.25">
      <c r="D49" s="255"/>
      <c r="G49" s="257"/>
    </row>
  </sheetData>
  <sheetProtection algorithmName="SHA-512" hashValue="3nioMa2BOTlWmcwSc9ixoa1OvSfB5kYqoO2g/oP0SEmwGFyanxTRKcSzwiOT9L/3yQpJhe95g/4EoLC69MqsYQ==" saltValue="eH25WKU/TB/LKu6enGtMpA==" spinCount="100000" sheet="1" objects="1" scenarios="1" formatColumns="0" formatRows="0" sort="0"/>
  <mergeCells count="1">
    <mergeCell ref="C30:E30"/>
  </mergeCells>
  <printOptions horizontalCentered="1"/>
  <pageMargins left="0.45" right="0.45" top="0.5" bottom="0.5" header="0.3" footer="0.3"/>
  <pageSetup scale="76" orientation="landscape" r:id="rId1"/>
  <headerFooter>
    <oddFooter>&amp;CPrior Approval Rate Template&amp;RPage 8.6&amp;L01/11/2022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300-000000000000}">
          <x14:formula1>
            <xm:f>References!$P$6:$P$9</xm:f>
          </x14:formula1>
          <xm:sqref>G17</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45">
    <tabColor rgb="FF0000FF"/>
    <pageSetUpPr fitToPage="1"/>
  </sheetPr>
  <dimension ref="A1:P49"/>
  <sheetViews>
    <sheetView showGridLines="0" view="pageBreakPreview" zoomScaleNormal="100" zoomScaleSheetLayoutView="100" workbookViewId="0"/>
  </sheetViews>
  <sheetFormatPr defaultRowHeight="15" x14ac:dyDescent="0.25"/>
  <cols>
    <col min="1" max="1" width="4.28515625" style="14" customWidth="1"/>
    <col min="2" max="2" width="5.5703125" style="14" customWidth="1"/>
    <col min="3" max="3" width="20.7109375" style="14" customWidth="1"/>
    <col min="4" max="4" width="54.7109375" style="14" bestFit="1" customWidth="1"/>
    <col min="5" max="5" width="4.28515625" style="14" customWidth="1"/>
    <col min="6" max="6" width="6.5703125" style="14" customWidth="1"/>
    <col min="7" max="7" width="23.7109375" style="14" customWidth="1"/>
    <col min="8" max="8" width="25" style="14" customWidth="1"/>
    <col min="9" max="9" width="90.7109375" style="14" customWidth="1"/>
    <col min="10" max="10" width="5.7109375" style="14" customWidth="1"/>
    <col min="11" max="11" width="8.140625" style="14" customWidth="1"/>
    <col min="12" max="12" width="21.85546875" style="14" bestFit="1" customWidth="1"/>
    <col min="13" max="13" width="34.140625" style="14" bestFit="1" customWidth="1"/>
    <col min="14" max="14" width="17.85546875" style="14" customWidth="1"/>
    <col min="15" max="16384" width="9.140625" style="14"/>
  </cols>
  <sheetData>
    <row r="1" spans="1:16" ht="15.75" thickBot="1" x14ac:dyDescent="0.3">
      <c r="A1" s="8" t="s">
        <v>31</v>
      </c>
      <c r="B1" s="8"/>
      <c r="C1" s="8"/>
      <c r="E1" s="124" t="s">
        <v>33</v>
      </c>
      <c r="F1" s="124"/>
      <c r="G1" s="124"/>
      <c r="H1" s="125" t="str">
        <f>Co_Name</f>
        <v>State Farm Mutual Automobile Insurance Company</v>
      </c>
      <c r="I1" s="86" t="s">
        <v>712</v>
      </c>
      <c r="J1" s="8"/>
    </row>
    <row r="2" spans="1:16" x14ac:dyDescent="0.25">
      <c r="A2" s="8" t="s">
        <v>32</v>
      </c>
      <c r="B2" s="8"/>
      <c r="C2" s="8"/>
      <c r="E2" s="124" t="s">
        <v>34</v>
      </c>
      <c r="F2" s="124"/>
      <c r="G2" s="124"/>
      <c r="H2" s="125" t="str">
        <f>General_Line</f>
        <v>Auto Liability and Physical Damage</v>
      </c>
      <c r="I2" s="207" t="s">
        <v>113</v>
      </c>
      <c r="J2" s="8"/>
    </row>
    <row r="3" spans="1:16" x14ac:dyDescent="0.25">
      <c r="B3" s="184"/>
      <c r="E3" s="249" t="s">
        <v>140</v>
      </c>
      <c r="F3" s="249"/>
      <c r="G3" s="249"/>
      <c r="H3" s="188" t="str">
        <f>CDI_FileNo</f>
        <v/>
      </c>
      <c r="I3" s="87"/>
    </row>
    <row r="4" spans="1:16" ht="18" customHeight="1" x14ac:dyDescent="0.25">
      <c r="I4" s="265"/>
    </row>
    <row r="5" spans="1:16" ht="23.25" x14ac:dyDescent="0.25">
      <c r="A5" s="4" t="s">
        <v>677</v>
      </c>
      <c r="B5" s="4"/>
      <c r="C5" s="4"/>
      <c r="D5" s="123"/>
      <c r="E5" s="123"/>
      <c r="F5" s="123"/>
      <c r="G5" s="123"/>
      <c r="H5" s="123"/>
      <c r="I5" s="265"/>
    </row>
    <row r="6" spans="1:16" x14ac:dyDescent="0.25">
      <c r="I6" s="265"/>
    </row>
    <row r="7" spans="1:16" x14ac:dyDescent="0.25">
      <c r="A7" s="14" t="s">
        <v>77</v>
      </c>
      <c r="D7" s="14" t="str">
        <f>Detailed_LineDesc07</f>
        <v>Private Passenger Auto Liability</v>
      </c>
      <c r="F7" s="14" t="s">
        <v>1</v>
      </c>
      <c r="H7" s="18" t="str">
        <f>Completed_By</f>
        <v>Laura Campbell</v>
      </c>
      <c r="I7" s="266"/>
    </row>
    <row r="8" spans="1:16" x14ac:dyDescent="0.25">
      <c r="A8" s="14" t="s">
        <v>78</v>
      </c>
      <c r="D8" s="14" t="str">
        <f>Covg07</f>
        <v>Misc. Liability</v>
      </c>
      <c r="F8" s="14" t="s">
        <v>76</v>
      </c>
      <c r="H8" s="62">
        <f>Completed_Date</f>
        <v>44816</v>
      </c>
      <c r="I8" s="267"/>
      <c r="J8" s="184"/>
    </row>
    <row r="9" spans="1:16" x14ac:dyDescent="0.25">
      <c r="A9" s="14" t="s">
        <v>169</v>
      </c>
      <c r="D9" s="62">
        <f>EffDate_Prior07</f>
        <v>44088</v>
      </c>
      <c r="F9" s="14" t="s">
        <v>170</v>
      </c>
      <c r="H9" s="62">
        <f>EffDate_Proposed</f>
        <v>45061</v>
      </c>
      <c r="I9" s="267"/>
      <c r="J9" s="184"/>
    </row>
    <row r="10" spans="1:16" x14ac:dyDescent="0.25">
      <c r="I10" s="265"/>
    </row>
    <row r="11" spans="1:16" ht="18" customHeight="1" x14ac:dyDescent="0.25">
      <c r="A11" s="158" t="s">
        <v>163</v>
      </c>
      <c r="B11" s="156" t="s">
        <v>296</v>
      </c>
      <c r="C11" s="156"/>
      <c r="I11" s="265"/>
      <c r="K11" s="130" t="s">
        <v>318</v>
      </c>
    </row>
    <row r="12" spans="1:16" ht="5.0999999999999996" customHeight="1" thickBot="1" x14ac:dyDescent="0.3">
      <c r="A12" s="156"/>
      <c r="B12" s="156"/>
      <c r="C12" s="156"/>
      <c r="I12" s="265"/>
    </row>
    <row r="13" spans="1:16" ht="18" customHeight="1" x14ac:dyDescent="0.25">
      <c r="A13" s="157"/>
      <c r="B13" s="94" t="s">
        <v>237</v>
      </c>
      <c r="C13" s="14" t="s">
        <v>335</v>
      </c>
      <c r="G13" s="236"/>
      <c r="I13" s="265"/>
      <c r="K13" s="162"/>
      <c r="L13" s="163" t="s">
        <v>247</v>
      </c>
      <c r="M13" s="163" t="s">
        <v>248</v>
      </c>
      <c r="N13" s="164" t="s">
        <v>251</v>
      </c>
    </row>
    <row r="14" spans="1:16" ht="15" customHeight="1" x14ac:dyDescent="0.25">
      <c r="A14" s="157"/>
      <c r="B14" s="94"/>
      <c r="I14" s="265"/>
      <c r="K14" s="165"/>
      <c r="L14" s="178" t="s">
        <v>252</v>
      </c>
      <c r="M14" s="178" t="s">
        <v>253</v>
      </c>
      <c r="N14" s="179" t="s">
        <v>255</v>
      </c>
    </row>
    <row r="15" spans="1:16" ht="18" customHeight="1" x14ac:dyDescent="0.25">
      <c r="A15" s="157"/>
      <c r="B15" s="94" t="s">
        <v>239</v>
      </c>
      <c r="C15" s="14" t="s">
        <v>303</v>
      </c>
      <c r="G15" s="238"/>
      <c r="I15" s="264" t="str">
        <f>IF(AND($G$17="(Loss+DCCE+AOE)/Loss",$G$15&lt;1),"← ERROR! AOE or LAE load must be ≥ 1.00 for selected load basis.","")</f>
        <v/>
      </c>
      <c r="K15" s="165"/>
      <c r="L15" s="177"/>
      <c r="M15" s="177"/>
      <c r="N15" s="168"/>
      <c r="P15" s="123"/>
    </row>
    <row r="16" spans="1:16" ht="15" customHeight="1" x14ac:dyDescent="0.25">
      <c r="A16" s="157"/>
      <c r="B16" s="94"/>
      <c r="I16" s="264"/>
      <c r="K16" s="165">
        <v>1</v>
      </c>
      <c r="L16" s="129" t="s">
        <v>240</v>
      </c>
      <c r="M16" s="129" t="s">
        <v>247</v>
      </c>
      <c r="N16" s="166" t="str">
        <f>IF($G$17="AOE/(Loss+DCCE)",$G$15,"")</f>
        <v/>
      </c>
      <c r="P16" s="16"/>
    </row>
    <row r="17" spans="1:16" ht="18" customHeight="1" x14ac:dyDescent="0.25">
      <c r="A17" s="157"/>
      <c r="B17" s="94" t="s">
        <v>238</v>
      </c>
      <c r="C17" s="14" t="s">
        <v>297</v>
      </c>
      <c r="F17" s="502"/>
      <c r="G17" s="614"/>
      <c r="I17" s="264" t="str">
        <f>IF(AND($G$17="(Loss+DCCE+AOE)/Loss",$G$15&lt;1),"← ERROR! AOE or LAE load must be ≥ 1.00 for selected load basis.","")</f>
        <v/>
      </c>
      <c r="K17" s="165">
        <v>2</v>
      </c>
      <c r="L17" s="129" t="s">
        <v>241</v>
      </c>
      <c r="M17" s="129" t="s">
        <v>250</v>
      </c>
      <c r="N17" s="166" t="str">
        <f>IF($G$17="(DCCE+AOE)/Loss",($G$15*$M$21-$M$22)/($M$21+$M$22),"")</f>
        <v/>
      </c>
      <c r="P17" s="16"/>
    </row>
    <row r="18" spans="1:16" ht="18" customHeight="1" x14ac:dyDescent="0.25">
      <c r="A18" s="157"/>
      <c r="B18" s="94"/>
      <c r="I18" s="265"/>
      <c r="K18" s="165">
        <v>3</v>
      </c>
      <c r="L18" s="129" t="s">
        <v>242</v>
      </c>
      <c r="M18" s="129" t="s">
        <v>249</v>
      </c>
      <c r="N18" s="166" t="str">
        <f>IF($G$17="(Loss+DCCE+AOE)/Loss",(($G$15-1)*M21-M22)/(M21+M22),"")</f>
        <v/>
      </c>
      <c r="P18" s="16"/>
    </row>
    <row r="19" spans="1:16" ht="18" customHeight="1" x14ac:dyDescent="0.25">
      <c r="A19" s="157"/>
      <c r="B19" s="94" t="s">
        <v>243</v>
      </c>
      <c r="C19" s="14" t="s">
        <v>298</v>
      </c>
      <c r="G19" s="713" t="e">
        <f>$N$21</f>
        <v>#N/A</v>
      </c>
      <c r="I19" s="265"/>
      <c r="K19" s="165"/>
      <c r="L19" s="167"/>
      <c r="M19" s="167"/>
      <c r="N19" s="168"/>
      <c r="P19" s="16"/>
    </row>
    <row r="20" spans="1:16" ht="18" customHeight="1" x14ac:dyDescent="0.25">
      <c r="A20" s="157"/>
      <c r="B20" s="157"/>
      <c r="C20" s="14" t="s">
        <v>246</v>
      </c>
      <c r="I20" s="265"/>
      <c r="K20" s="165"/>
      <c r="L20" s="160"/>
      <c r="M20" s="161" t="str">
        <f ca="1">"Total "&amp;'Incurred Loss &amp; DCCE'!$B$5&amp;" Line "&amp;Detailed_LineCode07&amp;" Industry P&amp;C"</f>
        <v>Total 2020 Line 19.2 Industry P&amp;C</v>
      </c>
      <c r="N20" s="180" t="s">
        <v>256</v>
      </c>
    </row>
    <row r="21" spans="1:16" ht="17.25" x14ac:dyDescent="0.25">
      <c r="A21" s="157"/>
      <c r="B21" s="157"/>
      <c r="I21" s="265"/>
      <c r="K21" s="165"/>
      <c r="L21" s="167" t="s">
        <v>289</v>
      </c>
      <c r="M21" s="169">
        <f ca="1">VLOOKUP(Detailed_LineCode07,Table_IncdLossDCCE,2,FALSE)</f>
        <v>74745517</v>
      </c>
      <c r="N21" s="174" t="e">
        <f>VLOOKUP($G$17,$L$16:$N$18,3,FALSE)</f>
        <v>#N/A</v>
      </c>
    </row>
    <row r="22" spans="1:16" ht="18" customHeight="1" thickBot="1" x14ac:dyDescent="0.3">
      <c r="A22" s="157"/>
      <c r="B22" s="94" t="s">
        <v>254</v>
      </c>
      <c r="C22" s="14" t="s">
        <v>299</v>
      </c>
      <c r="G22" s="713" t="e">
        <f>IF(ISBLANK($G$15),NA(),'7.7Rate Change Calculation'!Projected '7.7Rate Change Calculation'!Max_Premium/(('7.7Rate Change Calculation'!CredLossDCCE_perExp)*(1+AOE_Load)))</f>
        <v>#N/A</v>
      </c>
      <c r="I22" s="618" t="str">
        <f>IF(ISERROR(MAX_LCM),IF(ISBLANK($G$42),"",IF(ISERROR(Max_EffStdBasedLCM),"",IF($G$42&gt;$G$22,"← WARNING! Proposed Company LCM exceeds Maximum Permitted LCM, based on efficiency standard.",""))),"")</f>
        <v/>
      </c>
      <c r="K22" s="170"/>
      <c r="L22" s="171" t="s">
        <v>290</v>
      </c>
      <c r="M22" s="172">
        <f ca="1">VLOOKUP(Detailed_LineCode07,Table_IncdLossDCCE,3,FALSE)</f>
        <v>4483019</v>
      </c>
      <c r="N22" s="173"/>
    </row>
    <row r="23" spans="1:16" ht="17.25" x14ac:dyDescent="0.25">
      <c r="A23" s="157"/>
      <c r="B23" s="157"/>
      <c r="I23" s="265"/>
      <c r="K23" s="14" t="s">
        <v>291</v>
      </c>
      <c r="L23" s="175" t="str">
        <f>'Incurred Loss &amp; DCCE'!$B$2&amp;", "&amp;'Incurred Loss &amp; DCCE'!$B$4&amp;" Edition"</f>
        <v>Best's Aggregates and Averages, Property &amp; Casualty, 2021 Edition</v>
      </c>
    </row>
    <row r="24" spans="1:16" ht="18" customHeight="1" x14ac:dyDescent="0.25">
      <c r="A24" s="158" t="s">
        <v>164</v>
      </c>
      <c r="B24" s="159" t="s">
        <v>300</v>
      </c>
      <c r="I24" s="265"/>
      <c r="L24" s="175" t="str">
        <f>'Incurred Loss &amp; DCCE'!$B$3</f>
        <v>Statement File Supplement - Exhibit of Premiums and Losses -Total US PC Industry</v>
      </c>
    </row>
    <row r="25" spans="1:16" ht="5.0999999999999996" customHeight="1" x14ac:dyDescent="0.25">
      <c r="I25" s="265"/>
      <c r="O25" s="16"/>
    </row>
    <row r="26" spans="1:16" ht="18" customHeight="1" x14ac:dyDescent="0.25">
      <c r="B26" s="94" t="s">
        <v>244</v>
      </c>
      <c r="C26" s="14" t="s">
        <v>334</v>
      </c>
      <c r="G26" s="236"/>
      <c r="I26" s="265"/>
      <c r="O26" s="16"/>
    </row>
    <row r="27" spans="1:16" x14ac:dyDescent="0.25">
      <c r="I27" s="265"/>
      <c r="O27" s="16"/>
    </row>
    <row r="28" spans="1:16" ht="18" customHeight="1" x14ac:dyDescent="0.25">
      <c r="B28" s="94" t="s">
        <v>245</v>
      </c>
      <c r="C28" s="14" t="s">
        <v>342</v>
      </c>
      <c r="G28" s="239"/>
      <c r="I28" s="265"/>
      <c r="O28" s="16"/>
    </row>
    <row r="29" spans="1:16" x14ac:dyDescent="0.25">
      <c r="I29" s="265"/>
      <c r="O29" s="16"/>
    </row>
    <row r="30" spans="1:16" ht="49.5" customHeight="1" x14ac:dyDescent="0.25">
      <c r="B30" s="94" t="s">
        <v>282</v>
      </c>
      <c r="C30" s="765" t="s">
        <v>336</v>
      </c>
      <c r="D30" s="765"/>
      <c r="E30" s="765"/>
      <c r="G30" s="253"/>
      <c r="I30" s="265"/>
      <c r="O30" s="16"/>
    </row>
    <row r="31" spans="1:16" x14ac:dyDescent="0.25">
      <c r="I31" s="265"/>
      <c r="O31" s="16"/>
    </row>
    <row r="32" spans="1:16" ht="18" customHeight="1" x14ac:dyDescent="0.25">
      <c r="B32" s="94" t="s">
        <v>301</v>
      </c>
      <c r="C32" s="17" t="s">
        <v>304</v>
      </c>
      <c r="G32" s="237"/>
      <c r="I32" s="265"/>
      <c r="O32" s="16"/>
    </row>
    <row r="33" spans="1:16" x14ac:dyDescent="0.25">
      <c r="B33" s="94"/>
      <c r="C33" s="17"/>
      <c r="I33" s="265"/>
      <c r="O33" s="16"/>
    </row>
    <row r="34" spans="1:16" ht="18" customHeight="1" x14ac:dyDescent="0.25">
      <c r="B34" s="94" t="s">
        <v>302</v>
      </c>
      <c r="C34" s="17" t="s">
        <v>305</v>
      </c>
      <c r="G34" s="237"/>
      <c r="I34" s="265"/>
      <c r="O34" s="16"/>
    </row>
    <row r="35" spans="1:16" ht="18" customHeight="1" x14ac:dyDescent="0.25">
      <c r="C35" s="17" t="s">
        <v>343</v>
      </c>
      <c r="I35" s="265"/>
      <c r="O35" s="16"/>
    </row>
    <row r="36" spans="1:16" x14ac:dyDescent="0.25">
      <c r="C36" s="17"/>
      <c r="I36" s="265"/>
      <c r="O36" s="16"/>
    </row>
    <row r="37" spans="1:16" ht="18" customHeight="1" x14ac:dyDescent="0.25">
      <c r="B37" s="94">
        <v>2.4</v>
      </c>
      <c r="C37" s="14" t="s">
        <v>734</v>
      </c>
      <c r="G37" s="237"/>
      <c r="I37" s="265"/>
      <c r="O37" s="16"/>
    </row>
    <row r="38" spans="1:16" x14ac:dyDescent="0.25">
      <c r="B38" s="94"/>
      <c r="C38" s="14" t="s">
        <v>735</v>
      </c>
      <c r="G38" s="719"/>
      <c r="I38" s="265"/>
      <c r="O38" s="16"/>
    </row>
    <row r="39" spans="1:16" x14ac:dyDescent="0.25">
      <c r="B39" s="94"/>
      <c r="C39" s="718"/>
      <c r="D39" s="718"/>
      <c r="E39" s="718"/>
      <c r="G39" s="719"/>
      <c r="I39" s="265"/>
      <c r="O39" s="16"/>
    </row>
    <row r="40" spans="1:16" ht="18" customHeight="1" x14ac:dyDescent="0.25">
      <c r="B40" s="94" t="s">
        <v>733</v>
      </c>
      <c r="C40" s="14" t="s">
        <v>295</v>
      </c>
      <c r="G40" s="713" t="e">
        <f>IF(OR(ISBLANK(Curr_LCM),ISBLANK(LossCost_PctChg_Co)),NA(),(1+'7.7Rate Change Calculation'!CHANGE_AT_MAX)*(Curr_LCM)/(1+LossCost_PctChg_Co))/(1+Other_RateImpact)</f>
        <v>#N/A</v>
      </c>
      <c r="I40" s="618" t="str">
        <f>IF(ISBLANK($G$42),"",IF(ISERROR(MAX_LCM),"",IF($G$42&gt;$G$40,"← WARNING! Proposed Company LCM exceeds Maximum Permitted LCM.","")))</f>
        <v/>
      </c>
      <c r="J40" s="47"/>
      <c r="O40" s="16"/>
    </row>
    <row r="41" spans="1:16" x14ac:dyDescent="0.25">
      <c r="I41" s="265"/>
      <c r="O41" s="16"/>
    </row>
    <row r="42" spans="1:16" ht="18" customHeight="1" x14ac:dyDescent="0.25">
      <c r="A42" s="158" t="s">
        <v>437</v>
      </c>
      <c r="B42" s="159" t="s">
        <v>341</v>
      </c>
      <c r="G42" s="238"/>
      <c r="I42" s="618"/>
      <c r="O42" s="16"/>
    </row>
    <row r="43" spans="1:16" ht="15.75" thickBot="1" x14ac:dyDescent="0.3">
      <c r="I43" s="291"/>
      <c r="O43" s="16"/>
    </row>
    <row r="44" spans="1:16" x14ac:dyDescent="0.2">
      <c r="O44" s="16"/>
      <c r="P44" s="176"/>
    </row>
    <row r="47" spans="1:16" x14ac:dyDescent="0.25">
      <c r="D47" s="254"/>
      <c r="E47" s="254"/>
      <c r="G47" s="256"/>
    </row>
    <row r="48" spans="1:16" x14ac:dyDescent="0.25">
      <c r="D48" s="254"/>
      <c r="E48" s="254"/>
      <c r="G48" s="256"/>
    </row>
    <row r="49" spans="4:7" x14ac:dyDescent="0.25">
      <c r="D49" s="255"/>
      <c r="G49" s="257"/>
    </row>
  </sheetData>
  <sheetProtection algorithmName="SHA-512" hashValue="CauVkZAawcaigqJK0KLhrdKoGvEmqVOuMBGZiw6ZbI+f0WFvjpUlvgQdGtyIDEJJC1z3MfrKof3X5HwRWclaUw==" saltValue="J6vITsn5opwX+guj3kWRiw==" spinCount="100000" sheet="1" objects="1" scenarios="1" formatColumns="0" formatRows="0" sort="0"/>
  <mergeCells count="1">
    <mergeCell ref="C30:E30"/>
  </mergeCells>
  <printOptions horizontalCentered="1"/>
  <pageMargins left="0.45" right="0.45" top="0.5" bottom="0.5" header="0.3" footer="0.3"/>
  <pageSetup scale="76" orientation="landscape" r:id="rId1"/>
  <headerFooter>
    <oddFooter>&amp;CPrior Approval Rate Template&amp;RPage 8.7&amp;L01/11/2022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400-000000000000}">
          <x14:formula1>
            <xm:f>References!$P$6:$P$9</xm:f>
          </x14:formula1>
          <xm:sqref>G17</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46">
    <tabColor rgb="FF0000FF"/>
    <pageSetUpPr fitToPage="1"/>
  </sheetPr>
  <dimension ref="A1:P49"/>
  <sheetViews>
    <sheetView showGridLines="0" view="pageBreakPreview" zoomScaleNormal="100" zoomScaleSheetLayoutView="100" workbookViewId="0"/>
  </sheetViews>
  <sheetFormatPr defaultRowHeight="15" x14ac:dyDescent="0.25"/>
  <cols>
    <col min="1" max="1" width="4.28515625" style="14" customWidth="1"/>
    <col min="2" max="2" width="5.5703125" style="14" customWidth="1"/>
    <col min="3" max="3" width="20.7109375" style="14" customWidth="1"/>
    <col min="4" max="4" width="54.7109375" style="14" bestFit="1" customWidth="1"/>
    <col min="5" max="5" width="4.28515625" style="14" customWidth="1"/>
    <col min="6" max="6" width="6.5703125" style="14" customWidth="1"/>
    <col min="7" max="7" width="23.7109375" style="14" customWidth="1"/>
    <col min="8" max="8" width="25" style="14" customWidth="1"/>
    <col min="9" max="9" width="90.7109375" style="14" customWidth="1"/>
    <col min="10" max="10" width="5.7109375" style="14" customWidth="1"/>
    <col min="11" max="11" width="8.140625" style="14" customWidth="1"/>
    <col min="12" max="12" width="21.85546875" style="14" bestFit="1" customWidth="1"/>
    <col min="13" max="13" width="34.140625" style="14" bestFit="1" customWidth="1"/>
    <col min="14" max="14" width="17.85546875" style="14" customWidth="1"/>
    <col min="15" max="16384" width="9.140625" style="14"/>
  </cols>
  <sheetData>
    <row r="1" spans="1:16" ht="15.75" thickBot="1" x14ac:dyDescent="0.3">
      <c r="A1" s="8" t="s">
        <v>31</v>
      </c>
      <c r="B1" s="8"/>
      <c r="C1" s="8"/>
      <c r="E1" s="124" t="s">
        <v>33</v>
      </c>
      <c r="F1" s="124"/>
      <c r="G1" s="124"/>
      <c r="H1" s="125" t="str">
        <f>Co_Name</f>
        <v>State Farm Mutual Automobile Insurance Company</v>
      </c>
      <c r="I1" s="86" t="s">
        <v>712</v>
      </c>
      <c r="J1" s="8"/>
    </row>
    <row r="2" spans="1:16" x14ac:dyDescent="0.25">
      <c r="A2" s="8" t="s">
        <v>32</v>
      </c>
      <c r="B2" s="8"/>
      <c r="C2" s="8"/>
      <c r="E2" s="124" t="s">
        <v>34</v>
      </c>
      <c r="F2" s="124"/>
      <c r="G2" s="124"/>
      <c r="H2" s="125" t="str">
        <f>General_Line</f>
        <v>Auto Liability and Physical Damage</v>
      </c>
      <c r="I2" s="207" t="s">
        <v>113</v>
      </c>
      <c r="J2" s="8"/>
    </row>
    <row r="3" spans="1:16" x14ac:dyDescent="0.25">
      <c r="B3" s="184"/>
      <c r="E3" s="249" t="s">
        <v>140</v>
      </c>
      <c r="F3" s="249"/>
      <c r="G3" s="249"/>
      <c r="H3" s="188" t="str">
        <f>CDI_FileNo</f>
        <v/>
      </c>
      <c r="I3" s="87"/>
    </row>
    <row r="4" spans="1:16" ht="18" customHeight="1" x14ac:dyDescent="0.25">
      <c r="I4" s="265"/>
    </row>
    <row r="5" spans="1:16" ht="23.25" x14ac:dyDescent="0.25">
      <c r="A5" s="4" t="s">
        <v>677</v>
      </c>
      <c r="B5" s="4"/>
      <c r="C5" s="4"/>
      <c r="D5" s="123"/>
      <c r="E5" s="123"/>
      <c r="F5" s="123"/>
      <c r="G5" s="123"/>
      <c r="H5" s="123"/>
      <c r="I5" s="265"/>
    </row>
    <row r="6" spans="1:16" x14ac:dyDescent="0.25">
      <c r="I6" s="265"/>
    </row>
    <row r="7" spans="1:16" x14ac:dyDescent="0.25">
      <c r="A7" s="14" t="s">
        <v>77</v>
      </c>
      <c r="D7" s="14" t="str">
        <f>Detailed_LineDesc08</f>
        <v/>
      </c>
      <c r="F7" s="14" t="s">
        <v>1</v>
      </c>
      <c r="H7" s="18" t="str">
        <f>Completed_By</f>
        <v>Laura Campbell</v>
      </c>
      <c r="I7" s="266"/>
    </row>
    <row r="8" spans="1:16" x14ac:dyDescent="0.25">
      <c r="A8" s="14" t="s">
        <v>78</v>
      </c>
      <c r="D8" s="14" t="str">
        <f>Covg08</f>
        <v/>
      </c>
      <c r="F8" s="14" t="s">
        <v>76</v>
      </c>
      <c r="H8" s="62">
        <f>Completed_Date</f>
        <v>44816</v>
      </c>
      <c r="I8" s="267"/>
      <c r="J8" s="184"/>
    </row>
    <row r="9" spans="1:16" x14ac:dyDescent="0.25">
      <c r="A9" s="14" t="s">
        <v>169</v>
      </c>
      <c r="D9" s="62" t="str">
        <f>EffDate_Prior08</f>
        <v/>
      </c>
      <c r="F9" s="14" t="s">
        <v>170</v>
      </c>
      <c r="H9" s="62">
        <f>EffDate_Proposed</f>
        <v>45061</v>
      </c>
      <c r="I9" s="267"/>
      <c r="J9" s="184"/>
    </row>
    <row r="10" spans="1:16" x14ac:dyDescent="0.25">
      <c r="I10" s="265"/>
    </row>
    <row r="11" spans="1:16" ht="18" customHeight="1" x14ac:dyDescent="0.25">
      <c r="A11" s="158" t="s">
        <v>163</v>
      </c>
      <c r="B11" s="156" t="s">
        <v>296</v>
      </c>
      <c r="C11" s="156"/>
      <c r="I11" s="265"/>
      <c r="K11" s="130" t="s">
        <v>318</v>
      </c>
    </row>
    <row r="12" spans="1:16" ht="5.0999999999999996" customHeight="1" thickBot="1" x14ac:dyDescent="0.3">
      <c r="A12" s="156"/>
      <c r="B12" s="156"/>
      <c r="C12" s="156"/>
      <c r="I12" s="265"/>
    </row>
    <row r="13" spans="1:16" ht="18" customHeight="1" x14ac:dyDescent="0.25">
      <c r="A13" s="157"/>
      <c r="B13" s="94" t="s">
        <v>237</v>
      </c>
      <c r="C13" s="14" t="s">
        <v>335</v>
      </c>
      <c r="G13" s="236"/>
      <c r="I13" s="265"/>
      <c r="K13" s="162"/>
      <c r="L13" s="163" t="s">
        <v>247</v>
      </c>
      <c r="M13" s="163" t="s">
        <v>248</v>
      </c>
      <c r="N13" s="164" t="s">
        <v>251</v>
      </c>
    </row>
    <row r="14" spans="1:16" ht="15" customHeight="1" x14ac:dyDescent="0.25">
      <c r="A14" s="157"/>
      <c r="B14" s="94"/>
      <c r="I14" s="265"/>
      <c r="K14" s="165"/>
      <c r="L14" s="178" t="s">
        <v>252</v>
      </c>
      <c r="M14" s="178" t="s">
        <v>253</v>
      </c>
      <c r="N14" s="179" t="s">
        <v>255</v>
      </c>
    </row>
    <row r="15" spans="1:16" ht="18" customHeight="1" x14ac:dyDescent="0.25">
      <c r="A15" s="157"/>
      <c r="B15" s="94" t="s">
        <v>239</v>
      </c>
      <c r="C15" s="14" t="s">
        <v>303</v>
      </c>
      <c r="G15" s="238"/>
      <c r="I15" s="264" t="str">
        <f>IF(AND($G$17="(Loss+DCCE+AOE)/Loss",$G$15&lt;1),"← ERROR! AOE or LAE load must be ≥ 1.00 for selected load basis.","")</f>
        <v/>
      </c>
      <c r="K15" s="165"/>
      <c r="L15" s="177"/>
      <c r="M15" s="177"/>
      <c r="N15" s="168"/>
      <c r="P15" s="123"/>
    </row>
    <row r="16" spans="1:16" ht="15" customHeight="1" x14ac:dyDescent="0.25">
      <c r="A16" s="157"/>
      <c r="B16" s="94"/>
      <c r="I16" s="264"/>
      <c r="K16" s="165">
        <v>1</v>
      </c>
      <c r="L16" s="129" t="s">
        <v>240</v>
      </c>
      <c r="M16" s="129" t="s">
        <v>247</v>
      </c>
      <c r="N16" s="166" t="str">
        <f>IF($G$17="AOE/(Loss+DCCE)",$G$15,"")</f>
        <v/>
      </c>
      <c r="P16" s="16"/>
    </row>
    <row r="17" spans="1:16" ht="18" customHeight="1" x14ac:dyDescent="0.25">
      <c r="A17" s="157"/>
      <c r="B17" s="94" t="s">
        <v>238</v>
      </c>
      <c r="C17" s="14" t="s">
        <v>297</v>
      </c>
      <c r="F17" s="502"/>
      <c r="G17" s="614"/>
      <c r="I17" s="264" t="str">
        <f>IF(AND($G$17="(Loss+DCCE+AOE)/Loss",$G$15&lt;1),"← ERROR! AOE or LAE load must be ≥ 1.00 for selected load basis.","")</f>
        <v/>
      </c>
      <c r="K17" s="165">
        <v>2</v>
      </c>
      <c r="L17" s="129" t="s">
        <v>241</v>
      </c>
      <c r="M17" s="129" t="s">
        <v>250</v>
      </c>
      <c r="N17" s="166" t="str">
        <f>IF($G$17="(DCCE+AOE)/Loss",($G$15*$M$21-$M$22)/($M$21+$M$22),"")</f>
        <v/>
      </c>
      <c r="P17" s="16"/>
    </row>
    <row r="18" spans="1:16" ht="18" customHeight="1" x14ac:dyDescent="0.25">
      <c r="A18" s="157"/>
      <c r="B18" s="94"/>
      <c r="I18" s="265"/>
      <c r="K18" s="165">
        <v>3</v>
      </c>
      <c r="L18" s="129" t="s">
        <v>242</v>
      </c>
      <c r="M18" s="129" t="s">
        <v>249</v>
      </c>
      <c r="N18" s="166" t="str">
        <f>IF($G$17="(Loss+DCCE+AOE)/Loss",(($G$15-1)*M21-M22)/(M21+M22),"")</f>
        <v/>
      </c>
      <c r="P18" s="16"/>
    </row>
    <row r="19" spans="1:16" ht="18" customHeight="1" x14ac:dyDescent="0.25">
      <c r="A19" s="157"/>
      <c r="B19" s="94" t="s">
        <v>243</v>
      </c>
      <c r="C19" s="14" t="s">
        <v>298</v>
      </c>
      <c r="G19" s="713" t="e">
        <f>$N$21</f>
        <v>#N/A</v>
      </c>
      <c r="I19" s="265"/>
      <c r="K19" s="165"/>
      <c r="L19" s="167"/>
      <c r="M19" s="167"/>
      <c r="N19" s="168"/>
      <c r="P19" s="16"/>
    </row>
    <row r="20" spans="1:16" ht="18" customHeight="1" x14ac:dyDescent="0.25">
      <c r="A20" s="157"/>
      <c r="B20" s="157"/>
      <c r="C20" s="14" t="s">
        <v>246</v>
      </c>
      <c r="I20" s="265"/>
      <c r="K20" s="165"/>
      <c r="L20" s="160"/>
      <c r="M20" s="161" t="str">
        <f>"Total "&amp;'Incurred Loss &amp; DCCE'!$B$5&amp;" Line "&amp;Detailed_LineCode08&amp;" Industry P&amp;C"</f>
        <v>Total 2020 Line  Industry P&amp;C</v>
      </c>
      <c r="N20" s="180" t="s">
        <v>256</v>
      </c>
    </row>
    <row r="21" spans="1:16" ht="17.25" x14ac:dyDescent="0.25">
      <c r="A21" s="157"/>
      <c r="B21" s="157"/>
      <c r="I21" s="265"/>
      <c r="K21" s="165"/>
      <c r="L21" s="167" t="s">
        <v>289</v>
      </c>
      <c r="M21" s="169" t="e">
        <f>VLOOKUP(Detailed_LineCode08,Table_IncdLossDCCE,2,FALSE)</f>
        <v>#N/A</v>
      </c>
      <c r="N21" s="174" t="e">
        <f>VLOOKUP($G$17,$L$16:$N$18,3,FALSE)</f>
        <v>#N/A</v>
      </c>
    </row>
    <row r="22" spans="1:16" ht="18" customHeight="1" thickBot="1" x14ac:dyDescent="0.3">
      <c r="A22" s="157"/>
      <c r="B22" s="94" t="s">
        <v>254</v>
      </c>
      <c r="C22" s="14" t="s">
        <v>299</v>
      </c>
      <c r="G22" s="713" t="e">
        <f>IF(ISBLANK($G$15),NA(),'7.8Rate Change Calculation'!Projected '7.8Rate Change Calculation'!Max_Premium/(('7.8Rate Change Calculation'!CredLossDCCE_perExp)*(1+AOE_Load)))</f>
        <v>#N/A</v>
      </c>
      <c r="I22" s="618" t="str">
        <f>IF(ISERROR(MAX_LCM),IF(ISBLANK($G$42),"",IF(ISERROR(Max_EffStdBasedLCM),"",IF($G$42&gt;$G$22,"← WARNING! Proposed Company LCM exceeds Maximum Permitted LCM, based on efficiency standard.",""))),"")</f>
        <v/>
      </c>
      <c r="K22" s="170"/>
      <c r="L22" s="171" t="s">
        <v>290</v>
      </c>
      <c r="M22" s="172" t="e">
        <f>VLOOKUP(Detailed_LineCode08,Table_IncdLossDCCE,3,FALSE)</f>
        <v>#N/A</v>
      </c>
      <c r="N22" s="173"/>
    </row>
    <row r="23" spans="1:16" ht="17.25" x14ac:dyDescent="0.25">
      <c r="A23" s="157"/>
      <c r="B23" s="157"/>
      <c r="I23" s="265"/>
      <c r="K23" s="14" t="s">
        <v>291</v>
      </c>
      <c r="L23" s="175" t="str">
        <f>'Incurred Loss &amp; DCCE'!$B$2&amp;", "&amp;'Incurred Loss &amp; DCCE'!$B$4&amp;" Edition"</f>
        <v>Best's Aggregates and Averages, Property &amp; Casualty, 2021 Edition</v>
      </c>
    </row>
    <row r="24" spans="1:16" ht="18" customHeight="1" x14ac:dyDescent="0.25">
      <c r="A24" s="158" t="s">
        <v>164</v>
      </c>
      <c r="B24" s="159" t="s">
        <v>300</v>
      </c>
      <c r="I24" s="265"/>
      <c r="L24" s="175" t="str">
        <f>'Incurred Loss &amp; DCCE'!$B$3</f>
        <v>Statement File Supplement - Exhibit of Premiums and Losses -Total US PC Industry</v>
      </c>
    </row>
    <row r="25" spans="1:16" ht="5.0999999999999996" customHeight="1" x14ac:dyDescent="0.25">
      <c r="I25" s="265"/>
      <c r="O25" s="16"/>
    </row>
    <row r="26" spans="1:16" ht="18" customHeight="1" x14ac:dyDescent="0.25">
      <c r="B26" s="94" t="s">
        <v>244</v>
      </c>
      <c r="C26" s="14" t="s">
        <v>334</v>
      </c>
      <c r="G26" s="236"/>
      <c r="I26" s="265"/>
      <c r="O26" s="16"/>
    </row>
    <row r="27" spans="1:16" x14ac:dyDescent="0.25">
      <c r="I27" s="265"/>
      <c r="O27" s="16"/>
    </row>
    <row r="28" spans="1:16" ht="18" customHeight="1" x14ac:dyDescent="0.25">
      <c r="B28" s="94" t="s">
        <v>245</v>
      </c>
      <c r="C28" s="14" t="s">
        <v>342</v>
      </c>
      <c r="G28" s="239"/>
      <c r="I28" s="265"/>
      <c r="O28" s="16"/>
    </row>
    <row r="29" spans="1:16" x14ac:dyDescent="0.25">
      <c r="I29" s="265"/>
      <c r="O29" s="16"/>
    </row>
    <row r="30" spans="1:16" ht="49.5" customHeight="1" x14ac:dyDescent="0.25">
      <c r="B30" s="94" t="s">
        <v>282</v>
      </c>
      <c r="C30" s="765" t="s">
        <v>336</v>
      </c>
      <c r="D30" s="765"/>
      <c r="E30" s="765"/>
      <c r="G30" s="253"/>
      <c r="I30" s="265"/>
      <c r="O30" s="16"/>
    </row>
    <row r="31" spans="1:16" x14ac:dyDescent="0.25">
      <c r="I31" s="265"/>
      <c r="O31" s="16"/>
    </row>
    <row r="32" spans="1:16" ht="18" customHeight="1" x14ac:dyDescent="0.25">
      <c r="B32" s="94" t="s">
        <v>301</v>
      </c>
      <c r="C32" s="17" t="s">
        <v>304</v>
      </c>
      <c r="G32" s="237"/>
      <c r="I32" s="265"/>
      <c r="O32" s="16"/>
    </row>
    <row r="33" spans="1:16" x14ac:dyDescent="0.25">
      <c r="B33" s="94"/>
      <c r="C33" s="17"/>
      <c r="I33" s="265"/>
      <c r="O33" s="16"/>
    </row>
    <row r="34" spans="1:16" ht="18" customHeight="1" x14ac:dyDescent="0.25">
      <c r="B34" s="94" t="s">
        <v>302</v>
      </c>
      <c r="C34" s="17" t="s">
        <v>305</v>
      </c>
      <c r="G34" s="237"/>
      <c r="I34" s="265"/>
      <c r="O34" s="16"/>
    </row>
    <row r="35" spans="1:16" ht="18" customHeight="1" x14ac:dyDescent="0.25">
      <c r="C35" s="17" t="s">
        <v>343</v>
      </c>
      <c r="I35" s="265"/>
      <c r="O35" s="16"/>
    </row>
    <row r="36" spans="1:16" x14ac:dyDescent="0.25">
      <c r="C36" s="17"/>
      <c r="I36" s="265"/>
      <c r="O36" s="16"/>
    </row>
    <row r="37" spans="1:16" ht="18" customHeight="1" x14ac:dyDescent="0.25">
      <c r="B37" s="94">
        <v>2.4</v>
      </c>
      <c r="C37" s="14" t="s">
        <v>734</v>
      </c>
      <c r="G37" s="237"/>
      <c r="I37" s="265"/>
      <c r="O37" s="16"/>
    </row>
    <row r="38" spans="1:16" x14ac:dyDescent="0.25">
      <c r="B38" s="94"/>
      <c r="C38" s="14" t="s">
        <v>735</v>
      </c>
      <c r="G38" s="719"/>
      <c r="I38" s="265"/>
      <c r="O38" s="16"/>
    </row>
    <row r="39" spans="1:16" x14ac:dyDescent="0.25">
      <c r="B39" s="94"/>
      <c r="C39" s="718"/>
      <c r="D39" s="718"/>
      <c r="E39" s="718"/>
      <c r="G39" s="719"/>
      <c r="I39" s="265"/>
      <c r="O39" s="16"/>
    </row>
    <row r="40" spans="1:16" ht="18" customHeight="1" x14ac:dyDescent="0.25">
      <c r="B40" s="94" t="s">
        <v>733</v>
      </c>
      <c r="C40" s="14" t="s">
        <v>295</v>
      </c>
      <c r="G40" s="713" t="e">
        <f>IF(OR(ISBLANK(Curr_LCM),ISBLANK(LossCost_PctChg_Co)),NA(),(1+'7.8Rate Change Calculation'!CHANGE_AT_MAX)*(Curr_LCM)/(1+LossCost_PctChg_Co))/(1+Other_RateImpact)</f>
        <v>#N/A</v>
      </c>
      <c r="I40" s="618" t="str">
        <f>IF(ISBLANK($G$42),"",IF(ISERROR(MAX_LCM),"",IF($G$42&gt;$G$40,"← WARNING! Proposed Company LCM exceeds Maximum Permitted LCM.","")))</f>
        <v/>
      </c>
      <c r="J40" s="47"/>
      <c r="O40" s="16"/>
    </row>
    <row r="41" spans="1:16" x14ac:dyDescent="0.25">
      <c r="I41" s="265"/>
      <c r="O41" s="16"/>
    </row>
    <row r="42" spans="1:16" ht="18" customHeight="1" x14ac:dyDescent="0.25">
      <c r="A42" s="158" t="s">
        <v>437</v>
      </c>
      <c r="B42" s="159" t="s">
        <v>341</v>
      </c>
      <c r="G42" s="238"/>
      <c r="I42" s="618"/>
      <c r="O42" s="16"/>
    </row>
    <row r="43" spans="1:16" ht="15.75" thickBot="1" x14ac:dyDescent="0.3">
      <c r="I43" s="291"/>
      <c r="O43" s="16"/>
    </row>
    <row r="44" spans="1:16" x14ac:dyDescent="0.2">
      <c r="O44" s="16"/>
      <c r="P44" s="176"/>
    </row>
    <row r="47" spans="1:16" x14ac:dyDescent="0.25">
      <c r="D47" s="254"/>
      <c r="E47" s="254"/>
      <c r="G47" s="256"/>
    </row>
    <row r="48" spans="1:16" x14ac:dyDescent="0.25">
      <c r="D48" s="254"/>
      <c r="E48" s="254"/>
      <c r="G48" s="256"/>
    </row>
    <row r="49" spans="4:7" x14ac:dyDescent="0.25">
      <c r="D49" s="255"/>
      <c r="G49" s="257"/>
    </row>
  </sheetData>
  <sheetProtection algorithmName="SHA-512" hashValue="Up8tq0iP8jVWOq6AjQwQeSkMJ342zqMer2gJeTUN/cAnL3FEtKjw3OVJDLRahq7vYIw27EfTqDN/0lWI8nXcaQ==" saltValue="HMtF3HsyxMrylW2EQZo45g==" spinCount="100000" sheet="1" objects="1" scenarios="1" formatColumns="0" formatRows="0" sort="0"/>
  <mergeCells count="1">
    <mergeCell ref="C30:E30"/>
  </mergeCells>
  <printOptions horizontalCentered="1"/>
  <pageMargins left="0.45" right="0.45" top="0.5" bottom="0.5" header="0.3" footer="0.3"/>
  <pageSetup scale="76" orientation="landscape" r:id="rId1"/>
  <headerFooter>
    <oddFooter>&amp;CPrior Approval Rate Template&amp;RPage 8.8&amp;L01/11/2022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500-000000000000}">
          <x14:formula1>
            <xm:f>References!$P$6:$P$9</xm:f>
          </x14:formula1>
          <xm:sqref>G17</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47">
    <tabColor rgb="FF0000FF"/>
    <pageSetUpPr fitToPage="1"/>
  </sheetPr>
  <dimension ref="A1:P49"/>
  <sheetViews>
    <sheetView showGridLines="0" view="pageBreakPreview" zoomScaleNormal="100" zoomScaleSheetLayoutView="100" workbookViewId="0"/>
  </sheetViews>
  <sheetFormatPr defaultRowHeight="15" x14ac:dyDescent="0.25"/>
  <cols>
    <col min="1" max="1" width="4.28515625" style="14" customWidth="1"/>
    <col min="2" max="2" width="5.5703125" style="14" customWidth="1"/>
    <col min="3" max="3" width="20.7109375" style="14" customWidth="1"/>
    <col min="4" max="4" width="54.7109375" style="14" bestFit="1" customWidth="1"/>
    <col min="5" max="5" width="4.28515625" style="14" customWidth="1"/>
    <col min="6" max="6" width="6.5703125" style="14" customWidth="1"/>
    <col min="7" max="7" width="23.7109375" style="14" customWidth="1"/>
    <col min="8" max="8" width="25" style="14" customWidth="1"/>
    <col min="9" max="9" width="90.7109375" style="14" customWidth="1"/>
    <col min="10" max="10" width="5.7109375" style="14" customWidth="1"/>
    <col min="11" max="11" width="8.140625" style="14" customWidth="1"/>
    <col min="12" max="12" width="21.85546875" style="14" bestFit="1" customWidth="1"/>
    <col min="13" max="13" width="34.140625" style="14" bestFit="1" customWidth="1"/>
    <col min="14" max="14" width="17.85546875" style="14" customWidth="1"/>
    <col min="15" max="16384" width="9.140625" style="14"/>
  </cols>
  <sheetData>
    <row r="1" spans="1:16" ht="15.75" thickBot="1" x14ac:dyDescent="0.3">
      <c r="A1" s="8" t="s">
        <v>31</v>
      </c>
      <c r="B1" s="8"/>
      <c r="C1" s="8"/>
      <c r="E1" s="124" t="s">
        <v>33</v>
      </c>
      <c r="F1" s="124"/>
      <c r="G1" s="124"/>
      <c r="H1" s="125" t="str">
        <f>Co_Name</f>
        <v>State Farm Mutual Automobile Insurance Company</v>
      </c>
      <c r="I1" s="86" t="s">
        <v>712</v>
      </c>
      <c r="J1" s="8"/>
    </row>
    <row r="2" spans="1:16" x14ac:dyDescent="0.25">
      <c r="A2" s="8" t="s">
        <v>32</v>
      </c>
      <c r="B2" s="8"/>
      <c r="C2" s="8"/>
      <c r="E2" s="124" t="s">
        <v>34</v>
      </c>
      <c r="F2" s="124"/>
      <c r="G2" s="124"/>
      <c r="H2" s="125" t="str">
        <f>General_Line</f>
        <v>Auto Liability and Physical Damage</v>
      </c>
      <c r="I2" s="207" t="s">
        <v>113</v>
      </c>
      <c r="J2" s="8"/>
    </row>
    <row r="3" spans="1:16" x14ac:dyDescent="0.25">
      <c r="B3" s="184"/>
      <c r="E3" s="249" t="s">
        <v>140</v>
      </c>
      <c r="F3" s="249"/>
      <c r="G3" s="249"/>
      <c r="H3" s="188" t="str">
        <f>CDI_FileNo</f>
        <v/>
      </c>
      <c r="I3" s="87"/>
    </row>
    <row r="4" spans="1:16" ht="18" customHeight="1" x14ac:dyDescent="0.25">
      <c r="I4" s="265"/>
    </row>
    <row r="5" spans="1:16" ht="23.25" x14ac:dyDescent="0.25">
      <c r="A5" s="4" t="s">
        <v>677</v>
      </c>
      <c r="B5" s="4"/>
      <c r="C5" s="4"/>
      <c r="D5" s="123"/>
      <c r="E5" s="123"/>
      <c r="F5" s="123"/>
      <c r="G5" s="123"/>
      <c r="H5" s="123"/>
      <c r="I5" s="265"/>
    </row>
    <row r="6" spans="1:16" x14ac:dyDescent="0.25">
      <c r="I6" s="265"/>
    </row>
    <row r="7" spans="1:16" x14ac:dyDescent="0.25">
      <c r="A7" s="14" t="s">
        <v>77</v>
      </c>
      <c r="D7" s="14" t="str">
        <f>Detailed_LineDesc09</f>
        <v/>
      </c>
      <c r="F7" s="14" t="s">
        <v>1</v>
      </c>
      <c r="H7" s="18" t="str">
        <f>Completed_By</f>
        <v>Laura Campbell</v>
      </c>
      <c r="I7" s="266"/>
    </row>
    <row r="8" spans="1:16" x14ac:dyDescent="0.25">
      <c r="A8" s="14" t="s">
        <v>78</v>
      </c>
      <c r="D8" s="14" t="str">
        <f>Covg09</f>
        <v/>
      </c>
      <c r="F8" s="14" t="s">
        <v>76</v>
      </c>
      <c r="H8" s="62">
        <f>Completed_Date</f>
        <v>44816</v>
      </c>
      <c r="I8" s="267"/>
      <c r="J8" s="184"/>
    </row>
    <row r="9" spans="1:16" x14ac:dyDescent="0.25">
      <c r="A9" s="14" t="s">
        <v>169</v>
      </c>
      <c r="D9" s="62" t="str">
        <f>EffDate_Prior09</f>
        <v/>
      </c>
      <c r="F9" s="14" t="s">
        <v>170</v>
      </c>
      <c r="H9" s="62">
        <f>EffDate_Proposed</f>
        <v>45061</v>
      </c>
      <c r="I9" s="267"/>
      <c r="J9" s="184"/>
    </row>
    <row r="10" spans="1:16" x14ac:dyDescent="0.25">
      <c r="I10" s="265"/>
    </row>
    <row r="11" spans="1:16" ht="18" customHeight="1" x14ac:dyDescent="0.25">
      <c r="A11" s="158" t="s">
        <v>163</v>
      </c>
      <c r="B11" s="156" t="s">
        <v>296</v>
      </c>
      <c r="C11" s="156"/>
      <c r="I11" s="265"/>
      <c r="K11" s="130" t="s">
        <v>318</v>
      </c>
    </row>
    <row r="12" spans="1:16" ht="5.0999999999999996" customHeight="1" thickBot="1" x14ac:dyDescent="0.3">
      <c r="A12" s="156"/>
      <c r="B12" s="156"/>
      <c r="C12" s="156"/>
      <c r="I12" s="265"/>
    </row>
    <row r="13" spans="1:16" ht="18" customHeight="1" x14ac:dyDescent="0.25">
      <c r="A13" s="157"/>
      <c r="B13" s="94" t="s">
        <v>237</v>
      </c>
      <c r="C13" s="14" t="s">
        <v>335</v>
      </c>
      <c r="G13" s="236"/>
      <c r="I13" s="265"/>
      <c r="K13" s="162"/>
      <c r="L13" s="163" t="s">
        <v>247</v>
      </c>
      <c r="M13" s="163" t="s">
        <v>248</v>
      </c>
      <c r="N13" s="164" t="s">
        <v>251</v>
      </c>
    </row>
    <row r="14" spans="1:16" ht="15" customHeight="1" x14ac:dyDescent="0.25">
      <c r="A14" s="157"/>
      <c r="B14" s="94"/>
      <c r="I14" s="265"/>
      <c r="K14" s="165"/>
      <c r="L14" s="178" t="s">
        <v>252</v>
      </c>
      <c r="M14" s="178" t="s">
        <v>253</v>
      </c>
      <c r="N14" s="179" t="s">
        <v>255</v>
      </c>
    </row>
    <row r="15" spans="1:16" ht="18" customHeight="1" x14ac:dyDescent="0.25">
      <c r="A15" s="157"/>
      <c r="B15" s="94" t="s">
        <v>239</v>
      </c>
      <c r="C15" s="14" t="s">
        <v>303</v>
      </c>
      <c r="G15" s="238"/>
      <c r="I15" s="264" t="str">
        <f>IF(AND($G$17="(Loss+DCCE+AOE)/Loss",$G$15&lt;1),"← ERROR! AOE or LAE load must be ≥ 1.00 for selected load basis.","")</f>
        <v/>
      </c>
      <c r="K15" s="165"/>
      <c r="L15" s="177"/>
      <c r="M15" s="177"/>
      <c r="N15" s="168"/>
      <c r="P15" s="123"/>
    </row>
    <row r="16" spans="1:16" ht="15" customHeight="1" x14ac:dyDescent="0.25">
      <c r="A16" s="157"/>
      <c r="B16" s="94"/>
      <c r="I16" s="264"/>
      <c r="K16" s="165">
        <v>1</v>
      </c>
      <c r="L16" s="129" t="s">
        <v>240</v>
      </c>
      <c r="M16" s="129" t="s">
        <v>247</v>
      </c>
      <c r="N16" s="166" t="str">
        <f>IF($G$17="AOE/(Loss+DCCE)",$G$15,"")</f>
        <v/>
      </c>
      <c r="P16" s="16"/>
    </row>
    <row r="17" spans="1:16" ht="18" customHeight="1" x14ac:dyDescent="0.25">
      <c r="A17" s="157"/>
      <c r="B17" s="94" t="s">
        <v>238</v>
      </c>
      <c r="C17" s="14" t="s">
        <v>297</v>
      </c>
      <c r="F17" s="502"/>
      <c r="G17" s="614"/>
      <c r="I17" s="264" t="str">
        <f>IF(AND($G$17="(Loss+DCCE+AOE)/Loss",$G$15&lt;1),"← ERROR! AOE or LAE load must be ≥ 1.00 for selected load basis.","")</f>
        <v/>
      </c>
      <c r="K17" s="165">
        <v>2</v>
      </c>
      <c r="L17" s="129" t="s">
        <v>241</v>
      </c>
      <c r="M17" s="129" t="s">
        <v>250</v>
      </c>
      <c r="N17" s="166" t="str">
        <f>IF($G$17="(DCCE+AOE)/Loss",($G$15*$M$21-$M$22)/($M$21+$M$22),"")</f>
        <v/>
      </c>
      <c r="P17" s="16"/>
    </row>
    <row r="18" spans="1:16" ht="18" customHeight="1" x14ac:dyDescent="0.25">
      <c r="A18" s="157"/>
      <c r="B18" s="94"/>
      <c r="I18" s="265"/>
      <c r="K18" s="165">
        <v>3</v>
      </c>
      <c r="L18" s="129" t="s">
        <v>242</v>
      </c>
      <c r="M18" s="129" t="s">
        <v>249</v>
      </c>
      <c r="N18" s="166" t="str">
        <f>IF($G$17="(Loss+DCCE+AOE)/Loss",(($G$15-1)*M21-M22)/(M21+M22),"")</f>
        <v/>
      </c>
      <c r="P18" s="16"/>
    </row>
    <row r="19" spans="1:16" ht="18" customHeight="1" x14ac:dyDescent="0.25">
      <c r="A19" s="157"/>
      <c r="B19" s="94" t="s">
        <v>243</v>
      </c>
      <c r="C19" s="14" t="s">
        <v>298</v>
      </c>
      <c r="G19" s="713" t="e">
        <f>$N$21</f>
        <v>#N/A</v>
      </c>
      <c r="I19" s="265"/>
      <c r="K19" s="165"/>
      <c r="L19" s="167"/>
      <c r="M19" s="167"/>
      <c r="N19" s="168"/>
      <c r="P19" s="16"/>
    </row>
    <row r="20" spans="1:16" ht="18" customHeight="1" x14ac:dyDescent="0.25">
      <c r="A20" s="157"/>
      <c r="B20" s="157"/>
      <c r="C20" s="14" t="s">
        <v>246</v>
      </c>
      <c r="I20" s="265"/>
      <c r="K20" s="165"/>
      <c r="L20" s="160"/>
      <c r="M20" s="161" t="str">
        <f>"Total "&amp;'Incurred Loss &amp; DCCE'!$B$5&amp;" Line "&amp;Detailed_LineCode09&amp;" Industry P&amp;C"</f>
        <v>Total 2020 Line  Industry P&amp;C</v>
      </c>
      <c r="N20" s="180" t="s">
        <v>256</v>
      </c>
    </row>
    <row r="21" spans="1:16" ht="17.25" x14ac:dyDescent="0.25">
      <c r="A21" s="157"/>
      <c r="B21" s="157"/>
      <c r="I21" s="265"/>
      <c r="K21" s="165"/>
      <c r="L21" s="167" t="s">
        <v>289</v>
      </c>
      <c r="M21" s="169" t="e">
        <f>VLOOKUP(Detailed_LineCode09,Table_IncdLossDCCE,2,FALSE)</f>
        <v>#N/A</v>
      </c>
      <c r="N21" s="174" t="e">
        <f>VLOOKUP($G$17,$L$16:$N$18,3,FALSE)</f>
        <v>#N/A</v>
      </c>
    </row>
    <row r="22" spans="1:16" ht="18" customHeight="1" thickBot="1" x14ac:dyDescent="0.3">
      <c r="A22" s="157"/>
      <c r="B22" s="94" t="s">
        <v>254</v>
      </c>
      <c r="C22" s="14" t="s">
        <v>299</v>
      </c>
      <c r="G22" s="713" t="e">
        <f>IF(ISBLANK($G$15),NA(),'7.9Rate Change Calculation'!Projected '7.9Rate Change Calculation'!Max_Premium/(('7.9Rate Change Calculation'!CredLossDCCE_perExp)*(1+AOE_Load)))</f>
        <v>#N/A</v>
      </c>
      <c r="I22" s="618" t="str">
        <f>IF(ISERROR(MAX_LCM),IF(ISBLANK($G$42),"",IF(ISERROR(Max_EffStdBasedLCM),"",IF($G$42&gt;$G$22,"← WARNING! Proposed Company LCM exceeds Maximum Permitted LCM, based on efficiency standard.",""))),"")</f>
        <v/>
      </c>
      <c r="K22" s="170"/>
      <c r="L22" s="171" t="s">
        <v>290</v>
      </c>
      <c r="M22" s="172" t="e">
        <f>VLOOKUP(Detailed_LineCode09,Table_IncdLossDCCE,3,FALSE)</f>
        <v>#N/A</v>
      </c>
      <c r="N22" s="173"/>
    </row>
    <row r="23" spans="1:16" ht="17.25" x14ac:dyDescent="0.25">
      <c r="A23" s="157"/>
      <c r="B23" s="157"/>
      <c r="I23" s="265"/>
      <c r="K23" s="14" t="s">
        <v>291</v>
      </c>
      <c r="L23" s="175" t="str">
        <f>'Incurred Loss &amp; DCCE'!$B$2&amp;", "&amp;'Incurred Loss &amp; DCCE'!$B$4&amp;" Edition"</f>
        <v>Best's Aggregates and Averages, Property &amp; Casualty, 2021 Edition</v>
      </c>
    </row>
    <row r="24" spans="1:16" ht="18" customHeight="1" x14ac:dyDescent="0.25">
      <c r="A24" s="158" t="s">
        <v>164</v>
      </c>
      <c r="B24" s="159" t="s">
        <v>300</v>
      </c>
      <c r="I24" s="265"/>
      <c r="L24" s="175" t="str">
        <f>'Incurred Loss &amp; DCCE'!$B$3</f>
        <v>Statement File Supplement - Exhibit of Premiums and Losses -Total US PC Industry</v>
      </c>
    </row>
    <row r="25" spans="1:16" ht="5.0999999999999996" customHeight="1" x14ac:dyDescent="0.25">
      <c r="I25" s="265"/>
      <c r="O25" s="16"/>
    </row>
    <row r="26" spans="1:16" ht="18" customHeight="1" x14ac:dyDescent="0.25">
      <c r="B26" s="94" t="s">
        <v>244</v>
      </c>
      <c r="C26" s="14" t="s">
        <v>334</v>
      </c>
      <c r="G26" s="236"/>
      <c r="I26" s="265"/>
      <c r="O26" s="16"/>
    </row>
    <row r="27" spans="1:16" x14ac:dyDescent="0.25">
      <c r="I27" s="265"/>
      <c r="O27" s="16"/>
    </row>
    <row r="28" spans="1:16" ht="18" customHeight="1" x14ac:dyDescent="0.25">
      <c r="B28" s="94" t="s">
        <v>245</v>
      </c>
      <c r="C28" s="14" t="s">
        <v>342</v>
      </c>
      <c r="G28" s="239"/>
      <c r="I28" s="265"/>
      <c r="O28" s="16"/>
    </row>
    <row r="29" spans="1:16" x14ac:dyDescent="0.25">
      <c r="I29" s="265"/>
      <c r="O29" s="16"/>
    </row>
    <row r="30" spans="1:16" ht="49.5" customHeight="1" x14ac:dyDescent="0.25">
      <c r="B30" s="94" t="s">
        <v>282</v>
      </c>
      <c r="C30" s="765" t="s">
        <v>336</v>
      </c>
      <c r="D30" s="765"/>
      <c r="E30" s="765"/>
      <c r="G30" s="253"/>
      <c r="I30" s="265"/>
      <c r="O30" s="16"/>
    </row>
    <row r="31" spans="1:16" x14ac:dyDescent="0.25">
      <c r="I31" s="265"/>
      <c r="O31" s="16"/>
    </row>
    <row r="32" spans="1:16" ht="18" customHeight="1" x14ac:dyDescent="0.25">
      <c r="B32" s="94" t="s">
        <v>301</v>
      </c>
      <c r="C32" s="17" t="s">
        <v>304</v>
      </c>
      <c r="G32" s="237"/>
      <c r="I32" s="265"/>
      <c r="O32" s="16"/>
    </row>
    <row r="33" spans="1:16" x14ac:dyDescent="0.25">
      <c r="B33" s="94"/>
      <c r="C33" s="17"/>
      <c r="I33" s="265"/>
      <c r="O33" s="16"/>
    </row>
    <row r="34" spans="1:16" ht="18" customHeight="1" x14ac:dyDescent="0.25">
      <c r="B34" s="94" t="s">
        <v>302</v>
      </c>
      <c r="C34" s="17" t="s">
        <v>305</v>
      </c>
      <c r="G34" s="237"/>
      <c r="I34" s="265"/>
      <c r="O34" s="16"/>
    </row>
    <row r="35" spans="1:16" ht="18" customHeight="1" x14ac:dyDescent="0.25">
      <c r="C35" s="17" t="s">
        <v>343</v>
      </c>
      <c r="I35" s="265"/>
      <c r="O35" s="16"/>
    </row>
    <row r="36" spans="1:16" x14ac:dyDescent="0.25">
      <c r="C36" s="17"/>
      <c r="I36" s="265"/>
      <c r="O36" s="16"/>
    </row>
    <row r="37" spans="1:16" ht="18" customHeight="1" x14ac:dyDescent="0.25">
      <c r="B37" s="94">
        <v>2.4</v>
      </c>
      <c r="C37" s="14" t="s">
        <v>734</v>
      </c>
      <c r="G37" s="237"/>
      <c r="I37" s="265"/>
      <c r="O37" s="16"/>
    </row>
    <row r="38" spans="1:16" x14ac:dyDescent="0.25">
      <c r="B38" s="94"/>
      <c r="C38" s="14" t="s">
        <v>735</v>
      </c>
      <c r="G38" s="719"/>
      <c r="I38" s="265"/>
      <c r="O38" s="16"/>
    </row>
    <row r="39" spans="1:16" x14ac:dyDescent="0.25">
      <c r="B39" s="94"/>
      <c r="C39" s="718"/>
      <c r="D39" s="718"/>
      <c r="E39" s="718"/>
      <c r="G39" s="719"/>
      <c r="I39" s="265"/>
      <c r="O39" s="16"/>
    </row>
    <row r="40" spans="1:16" ht="18" customHeight="1" x14ac:dyDescent="0.25">
      <c r="B40" s="94" t="s">
        <v>733</v>
      </c>
      <c r="C40" s="14" t="s">
        <v>295</v>
      </c>
      <c r="G40" s="713" t="e">
        <f>IF(OR(ISBLANK(Curr_LCM),ISBLANK(LossCost_PctChg_Co)),NA(),(1+'7.9Rate Change Calculation'!CHANGE_AT_MAX)*(Curr_LCM)/(1+LossCost_PctChg_Co))/(1+Other_RateImpact)</f>
        <v>#N/A</v>
      </c>
      <c r="I40" s="618" t="str">
        <f>IF(ISBLANK($G$42),"",IF(ISERROR(MAX_LCM),"",IF($G$42&gt;$G$40,"← WARNING! Proposed Company LCM exceeds Maximum Permitted LCM.","")))</f>
        <v/>
      </c>
      <c r="J40" s="47"/>
      <c r="O40" s="16"/>
    </row>
    <row r="41" spans="1:16" x14ac:dyDescent="0.25">
      <c r="I41" s="265"/>
      <c r="O41" s="16"/>
    </row>
    <row r="42" spans="1:16" ht="18" customHeight="1" x14ac:dyDescent="0.25">
      <c r="A42" s="158" t="s">
        <v>437</v>
      </c>
      <c r="B42" s="159" t="s">
        <v>341</v>
      </c>
      <c r="G42" s="238"/>
      <c r="I42" s="618"/>
      <c r="O42" s="16"/>
    </row>
    <row r="43" spans="1:16" ht="15.75" thickBot="1" x14ac:dyDescent="0.3">
      <c r="I43" s="291"/>
      <c r="O43" s="16"/>
    </row>
    <row r="44" spans="1:16" x14ac:dyDescent="0.2">
      <c r="O44" s="16"/>
      <c r="P44" s="176"/>
    </row>
    <row r="47" spans="1:16" x14ac:dyDescent="0.25">
      <c r="D47" s="254"/>
      <c r="E47" s="254"/>
      <c r="G47" s="256"/>
    </row>
    <row r="48" spans="1:16" x14ac:dyDescent="0.25">
      <c r="D48" s="254"/>
      <c r="E48" s="254"/>
      <c r="G48" s="256"/>
    </row>
    <row r="49" spans="4:7" x14ac:dyDescent="0.25">
      <c r="D49" s="255"/>
      <c r="G49" s="257"/>
    </row>
  </sheetData>
  <sheetProtection algorithmName="SHA-512" hashValue="ZxEaMSEYALNQY1C8/Ss7KsadGyADg+EE3o6hu7ZP5budx6N2ZBEE72ZBWkSg5BP70ywcrBY7yde3rV59jPiOXA==" saltValue="XcosQ6/MhsmcElKAJvKNuA==" spinCount="100000" sheet="1" objects="1" scenarios="1" formatColumns="0" formatRows="0" sort="0"/>
  <mergeCells count="1">
    <mergeCell ref="C30:E30"/>
  </mergeCells>
  <printOptions horizontalCentered="1"/>
  <pageMargins left="0.45" right="0.45" top="0.5" bottom="0.5" header="0.3" footer="0.3"/>
  <pageSetup scale="76" orientation="landscape" r:id="rId1"/>
  <headerFooter>
    <oddFooter>&amp;CPrior Approval Rate Template&amp;RPage 8.9&amp;L01/11/2022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600-000000000000}">
          <x14:formula1>
            <xm:f>References!$P$6:$P$9</xm:f>
          </x14:formula1>
          <xm:sqref>G17</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48">
    <tabColor rgb="FF0000FF"/>
    <pageSetUpPr fitToPage="1"/>
  </sheetPr>
  <dimension ref="A1:P49"/>
  <sheetViews>
    <sheetView showGridLines="0" view="pageBreakPreview" zoomScaleNormal="100" zoomScaleSheetLayoutView="100" workbookViewId="0"/>
  </sheetViews>
  <sheetFormatPr defaultRowHeight="15" x14ac:dyDescent="0.25"/>
  <cols>
    <col min="1" max="1" width="4.28515625" style="14" customWidth="1"/>
    <col min="2" max="2" width="5.5703125" style="14" customWidth="1"/>
    <col min="3" max="3" width="20.7109375" style="14" customWidth="1"/>
    <col min="4" max="4" width="54.7109375" style="14" bestFit="1" customWidth="1"/>
    <col min="5" max="5" width="4.28515625" style="14" customWidth="1"/>
    <col min="6" max="6" width="6.5703125" style="14" customWidth="1"/>
    <col min="7" max="7" width="23.7109375" style="14" customWidth="1"/>
    <col min="8" max="8" width="25" style="14" customWidth="1"/>
    <col min="9" max="9" width="90.7109375" style="14" customWidth="1"/>
    <col min="10" max="10" width="5.7109375" style="14" customWidth="1"/>
    <col min="11" max="11" width="8.140625" style="14" customWidth="1"/>
    <col min="12" max="12" width="21.85546875" style="14" bestFit="1" customWidth="1"/>
    <col min="13" max="13" width="34.140625" style="14" bestFit="1" customWidth="1"/>
    <col min="14" max="14" width="17.85546875" style="14" customWidth="1"/>
    <col min="15" max="16384" width="9.140625" style="14"/>
  </cols>
  <sheetData>
    <row r="1" spans="1:16" ht="15.75" thickBot="1" x14ac:dyDescent="0.3">
      <c r="A1" s="8" t="s">
        <v>31</v>
      </c>
      <c r="B1" s="8"/>
      <c r="C1" s="8"/>
      <c r="E1" s="124" t="s">
        <v>33</v>
      </c>
      <c r="F1" s="124"/>
      <c r="G1" s="124"/>
      <c r="H1" s="125" t="str">
        <f>Co_Name</f>
        <v>State Farm Mutual Automobile Insurance Company</v>
      </c>
      <c r="I1" s="86" t="s">
        <v>712</v>
      </c>
      <c r="J1" s="8"/>
    </row>
    <row r="2" spans="1:16" x14ac:dyDescent="0.25">
      <c r="A2" s="8" t="s">
        <v>32</v>
      </c>
      <c r="B2" s="8"/>
      <c r="C2" s="8"/>
      <c r="E2" s="124" t="s">
        <v>34</v>
      </c>
      <c r="F2" s="124"/>
      <c r="G2" s="124"/>
      <c r="H2" s="125" t="str">
        <f>General_Line</f>
        <v>Auto Liability and Physical Damage</v>
      </c>
      <c r="I2" s="207" t="s">
        <v>113</v>
      </c>
      <c r="J2" s="8"/>
    </row>
    <row r="3" spans="1:16" x14ac:dyDescent="0.25">
      <c r="B3" s="184"/>
      <c r="E3" s="249" t="s">
        <v>140</v>
      </c>
      <c r="F3" s="249"/>
      <c r="G3" s="249"/>
      <c r="H3" s="188" t="str">
        <f>CDI_FileNo</f>
        <v/>
      </c>
      <c r="I3" s="87"/>
    </row>
    <row r="4" spans="1:16" ht="18" customHeight="1" x14ac:dyDescent="0.25">
      <c r="I4" s="265"/>
    </row>
    <row r="5" spans="1:16" ht="23.25" x14ac:dyDescent="0.25">
      <c r="A5" s="4" t="s">
        <v>677</v>
      </c>
      <c r="B5" s="4"/>
      <c r="C5" s="4"/>
      <c r="D5" s="123"/>
      <c r="E5" s="123"/>
      <c r="F5" s="123"/>
      <c r="G5" s="123"/>
      <c r="H5" s="123"/>
      <c r="I5" s="265"/>
    </row>
    <row r="6" spans="1:16" x14ac:dyDescent="0.25">
      <c r="I6" s="265"/>
    </row>
    <row r="7" spans="1:16" x14ac:dyDescent="0.25">
      <c r="A7" s="14" t="s">
        <v>77</v>
      </c>
      <c r="D7" s="14" t="str">
        <f>Detailed_LineDesc10</f>
        <v/>
      </c>
      <c r="F7" s="14" t="s">
        <v>1</v>
      </c>
      <c r="H7" s="18" t="str">
        <f>Completed_By</f>
        <v>Laura Campbell</v>
      </c>
      <c r="I7" s="266"/>
    </row>
    <row r="8" spans="1:16" x14ac:dyDescent="0.25">
      <c r="A8" s="14" t="s">
        <v>78</v>
      </c>
      <c r="D8" s="14" t="str">
        <f>Covg10</f>
        <v/>
      </c>
      <c r="F8" s="14" t="s">
        <v>76</v>
      </c>
      <c r="H8" s="62">
        <f>Completed_Date</f>
        <v>44816</v>
      </c>
      <c r="I8" s="267"/>
      <c r="J8" s="184"/>
    </row>
    <row r="9" spans="1:16" x14ac:dyDescent="0.25">
      <c r="A9" s="14" t="s">
        <v>169</v>
      </c>
      <c r="D9" s="62" t="str">
        <f>EffDate_Prior10</f>
        <v/>
      </c>
      <c r="F9" s="14" t="s">
        <v>170</v>
      </c>
      <c r="H9" s="62">
        <f>EffDate_Proposed</f>
        <v>45061</v>
      </c>
      <c r="I9" s="267"/>
      <c r="J9" s="184"/>
    </row>
    <row r="10" spans="1:16" x14ac:dyDescent="0.25">
      <c r="I10" s="265"/>
    </row>
    <row r="11" spans="1:16" ht="18" customHeight="1" x14ac:dyDescent="0.25">
      <c r="A11" s="158" t="s">
        <v>163</v>
      </c>
      <c r="B11" s="156" t="s">
        <v>296</v>
      </c>
      <c r="C11" s="156"/>
      <c r="I11" s="265"/>
      <c r="K11" s="130" t="s">
        <v>318</v>
      </c>
    </row>
    <row r="12" spans="1:16" ht="5.0999999999999996" customHeight="1" thickBot="1" x14ac:dyDescent="0.3">
      <c r="A12" s="156"/>
      <c r="B12" s="156"/>
      <c r="C12" s="156"/>
      <c r="I12" s="265"/>
    </row>
    <row r="13" spans="1:16" ht="18" customHeight="1" x14ac:dyDescent="0.25">
      <c r="A13" s="157"/>
      <c r="B13" s="94" t="s">
        <v>237</v>
      </c>
      <c r="C13" s="14" t="s">
        <v>335</v>
      </c>
      <c r="G13" s="236"/>
      <c r="I13" s="265"/>
      <c r="K13" s="162"/>
      <c r="L13" s="163" t="s">
        <v>247</v>
      </c>
      <c r="M13" s="163" t="s">
        <v>248</v>
      </c>
      <c r="N13" s="164" t="s">
        <v>251</v>
      </c>
    </row>
    <row r="14" spans="1:16" ht="15" customHeight="1" x14ac:dyDescent="0.25">
      <c r="A14" s="157"/>
      <c r="B14" s="94"/>
      <c r="I14" s="265"/>
      <c r="K14" s="165"/>
      <c r="L14" s="178" t="s">
        <v>252</v>
      </c>
      <c r="M14" s="178" t="s">
        <v>253</v>
      </c>
      <c r="N14" s="179" t="s">
        <v>255</v>
      </c>
    </row>
    <row r="15" spans="1:16" ht="18" customHeight="1" x14ac:dyDescent="0.25">
      <c r="A15" s="157"/>
      <c r="B15" s="94" t="s">
        <v>239</v>
      </c>
      <c r="C15" s="14" t="s">
        <v>303</v>
      </c>
      <c r="G15" s="238"/>
      <c r="I15" s="264" t="str">
        <f>IF(AND($G$17="(Loss+DCCE+AOE)/Loss",$G$15&lt;1),"← ERROR! AOE or LAE load must be ≥ 1.00 for selected load basis.","")</f>
        <v/>
      </c>
      <c r="K15" s="165"/>
      <c r="L15" s="177"/>
      <c r="M15" s="177"/>
      <c r="N15" s="168"/>
      <c r="P15" s="123"/>
    </row>
    <row r="16" spans="1:16" ht="15" customHeight="1" x14ac:dyDescent="0.25">
      <c r="A16" s="157"/>
      <c r="B16" s="94"/>
      <c r="I16" s="264"/>
      <c r="K16" s="165">
        <v>1</v>
      </c>
      <c r="L16" s="129" t="s">
        <v>240</v>
      </c>
      <c r="M16" s="129" t="s">
        <v>247</v>
      </c>
      <c r="N16" s="166" t="str">
        <f>IF($G$17="AOE/(Loss+DCCE)",$G$15,"")</f>
        <v/>
      </c>
      <c r="P16" s="16"/>
    </row>
    <row r="17" spans="1:16" ht="18" customHeight="1" x14ac:dyDescent="0.25">
      <c r="A17" s="157"/>
      <c r="B17" s="94" t="s">
        <v>238</v>
      </c>
      <c r="C17" s="14" t="s">
        <v>297</v>
      </c>
      <c r="F17" s="502"/>
      <c r="G17" s="614"/>
      <c r="I17" s="264" t="str">
        <f>IF(AND($G$17="(Loss+DCCE+AOE)/Loss",$G$15&lt;1),"← ERROR! AOE or LAE load must be ≥ 1.00 for selected load basis.","")</f>
        <v/>
      </c>
      <c r="K17" s="165">
        <v>2</v>
      </c>
      <c r="L17" s="129" t="s">
        <v>241</v>
      </c>
      <c r="M17" s="129" t="s">
        <v>250</v>
      </c>
      <c r="N17" s="166" t="str">
        <f>IF($G$17="(DCCE+AOE)/Loss",($G$15*$M$21-$M$22)/($M$21+$M$22),"")</f>
        <v/>
      </c>
      <c r="P17" s="16"/>
    </row>
    <row r="18" spans="1:16" ht="18" customHeight="1" x14ac:dyDescent="0.25">
      <c r="A18" s="157"/>
      <c r="B18" s="94"/>
      <c r="I18" s="265"/>
      <c r="K18" s="165">
        <v>3</v>
      </c>
      <c r="L18" s="129" t="s">
        <v>242</v>
      </c>
      <c r="M18" s="129" t="s">
        <v>249</v>
      </c>
      <c r="N18" s="166" t="str">
        <f>IF($G$17="(Loss+DCCE+AOE)/Loss",(($G$15-1)*M21-M22)/(M21+M22),"")</f>
        <v/>
      </c>
      <c r="P18" s="16"/>
    </row>
    <row r="19" spans="1:16" ht="18" customHeight="1" x14ac:dyDescent="0.25">
      <c r="A19" s="157"/>
      <c r="B19" s="94" t="s">
        <v>243</v>
      </c>
      <c r="C19" s="14" t="s">
        <v>298</v>
      </c>
      <c r="G19" s="713" t="e">
        <f>$N$21</f>
        <v>#N/A</v>
      </c>
      <c r="I19" s="265"/>
      <c r="K19" s="165"/>
      <c r="L19" s="167"/>
      <c r="M19" s="167"/>
      <c r="N19" s="168"/>
      <c r="P19" s="16"/>
    </row>
    <row r="20" spans="1:16" ht="18" customHeight="1" x14ac:dyDescent="0.25">
      <c r="A20" s="157"/>
      <c r="B20" s="157"/>
      <c r="C20" s="14" t="s">
        <v>246</v>
      </c>
      <c r="I20" s="265"/>
      <c r="K20" s="165"/>
      <c r="L20" s="160"/>
      <c r="M20" s="161" t="str">
        <f>"Total "&amp;'Incurred Loss &amp; DCCE'!$B$5&amp;" Line "&amp;Detailed_LineCode10&amp;" Industry P&amp;C"</f>
        <v>Total 2020 Line  Industry P&amp;C</v>
      </c>
      <c r="N20" s="180" t="s">
        <v>256</v>
      </c>
    </row>
    <row r="21" spans="1:16" ht="17.25" x14ac:dyDescent="0.25">
      <c r="A21" s="157"/>
      <c r="B21" s="157"/>
      <c r="I21" s="265"/>
      <c r="K21" s="165"/>
      <c r="L21" s="167" t="s">
        <v>289</v>
      </c>
      <c r="M21" s="169" t="e">
        <f>VLOOKUP(Detailed_LineCode10,Table_IncdLossDCCE,2,FALSE)</f>
        <v>#N/A</v>
      </c>
      <c r="N21" s="174" t="e">
        <f>VLOOKUP($G$17,$L$16:$N$18,3,FALSE)</f>
        <v>#N/A</v>
      </c>
    </row>
    <row r="22" spans="1:16" ht="18" customHeight="1" thickBot="1" x14ac:dyDescent="0.3">
      <c r="A22" s="157"/>
      <c r="B22" s="94" t="s">
        <v>254</v>
      </c>
      <c r="C22" s="14" t="s">
        <v>299</v>
      </c>
      <c r="G22" s="713" t="e">
        <f>IF(ISBLANK($G$15),NA(),'7.10Rate Change Calculation'!Projected '7.10Rate Change Calculation'!Max_Premium/(('7.10Rate Change Calculation'!CredLossDCCE_perExp)*(1+AOE_Load)))</f>
        <v>#N/A</v>
      </c>
      <c r="I22" s="618" t="str">
        <f>IF(ISERROR(MAX_LCM),IF(ISBLANK($G$42),"",IF(ISERROR(Max_EffStdBasedLCM),"",IF($G$42&gt;$G$22,"← WARNING! Proposed Company LCM exceeds Maximum Permitted LCM, based on efficiency standard.",""))),"")</f>
        <v/>
      </c>
      <c r="K22" s="170"/>
      <c r="L22" s="171" t="s">
        <v>290</v>
      </c>
      <c r="M22" s="172" t="e">
        <f>VLOOKUP(Detailed_LineCode10,Table_IncdLossDCCE,3,FALSE)</f>
        <v>#N/A</v>
      </c>
      <c r="N22" s="173"/>
    </row>
    <row r="23" spans="1:16" ht="17.25" x14ac:dyDescent="0.25">
      <c r="A23" s="157"/>
      <c r="B23" s="157"/>
      <c r="I23" s="265"/>
      <c r="K23" s="14" t="s">
        <v>291</v>
      </c>
      <c r="L23" s="175" t="str">
        <f>'Incurred Loss &amp; DCCE'!$B$2&amp;", "&amp;'Incurred Loss &amp; DCCE'!$B$4&amp;" Edition"</f>
        <v>Best's Aggregates and Averages, Property &amp; Casualty, 2021 Edition</v>
      </c>
    </row>
    <row r="24" spans="1:16" ht="18" customHeight="1" x14ac:dyDescent="0.25">
      <c r="A24" s="158" t="s">
        <v>164</v>
      </c>
      <c r="B24" s="159" t="s">
        <v>300</v>
      </c>
      <c r="I24" s="265"/>
      <c r="L24" s="175" t="str">
        <f>'Incurred Loss &amp; DCCE'!$B$3</f>
        <v>Statement File Supplement - Exhibit of Premiums and Losses -Total US PC Industry</v>
      </c>
    </row>
    <row r="25" spans="1:16" ht="5.0999999999999996" customHeight="1" x14ac:dyDescent="0.25">
      <c r="I25" s="265"/>
      <c r="O25" s="16"/>
    </row>
    <row r="26" spans="1:16" ht="18" customHeight="1" x14ac:dyDescent="0.25">
      <c r="B26" s="94" t="s">
        <v>244</v>
      </c>
      <c r="C26" s="14" t="s">
        <v>334</v>
      </c>
      <c r="G26" s="236"/>
      <c r="I26" s="265"/>
      <c r="O26" s="16"/>
    </row>
    <row r="27" spans="1:16" x14ac:dyDescent="0.25">
      <c r="I27" s="265"/>
      <c r="O27" s="16"/>
    </row>
    <row r="28" spans="1:16" ht="18" customHeight="1" x14ac:dyDescent="0.25">
      <c r="B28" s="94" t="s">
        <v>245</v>
      </c>
      <c r="C28" s="14" t="s">
        <v>342</v>
      </c>
      <c r="G28" s="239"/>
      <c r="I28" s="265"/>
      <c r="O28" s="16"/>
    </row>
    <row r="29" spans="1:16" x14ac:dyDescent="0.25">
      <c r="I29" s="265"/>
      <c r="O29" s="16"/>
    </row>
    <row r="30" spans="1:16" ht="49.5" customHeight="1" x14ac:dyDescent="0.25">
      <c r="B30" s="94" t="s">
        <v>282</v>
      </c>
      <c r="C30" s="765" t="s">
        <v>336</v>
      </c>
      <c r="D30" s="765"/>
      <c r="E30" s="765"/>
      <c r="G30" s="253"/>
      <c r="I30" s="265"/>
      <c r="O30" s="16"/>
    </row>
    <row r="31" spans="1:16" x14ac:dyDescent="0.25">
      <c r="I31" s="265"/>
      <c r="O31" s="16"/>
    </row>
    <row r="32" spans="1:16" ht="18" customHeight="1" x14ac:dyDescent="0.25">
      <c r="B32" s="94" t="s">
        <v>301</v>
      </c>
      <c r="C32" s="17" t="s">
        <v>304</v>
      </c>
      <c r="G32" s="237"/>
      <c r="I32" s="265"/>
      <c r="O32" s="16"/>
    </row>
    <row r="33" spans="1:16" x14ac:dyDescent="0.25">
      <c r="B33" s="94"/>
      <c r="C33" s="17"/>
      <c r="I33" s="265"/>
      <c r="O33" s="16"/>
    </row>
    <row r="34" spans="1:16" ht="18" customHeight="1" x14ac:dyDescent="0.25">
      <c r="B34" s="94" t="s">
        <v>302</v>
      </c>
      <c r="C34" s="17" t="s">
        <v>305</v>
      </c>
      <c r="G34" s="237"/>
      <c r="I34" s="265"/>
      <c r="O34" s="16"/>
    </row>
    <row r="35" spans="1:16" ht="18" customHeight="1" x14ac:dyDescent="0.25">
      <c r="C35" s="17" t="s">
        <v>343</v>
      </c>
      <c r="I35" s="265"/>
      <c r="O35" s="16"/>
    </row>
    <row r="36" spans="1:16" ht="18" customHeight="1" x14ac:dyDescent="0.25">
      <c r="C36" s="17"/>
      <c r="I36" s="265"/>
      <c r="O36" s="16"/>
    </row>
    <row r="37" spans="1:16" ht="18" customHeight="1" x14ac:dyDescent="0.25">
      <c r="B37" s="94">
        <v>2.4</v>
      </c>
      <c r="C37" s="14" t="s">
        <v>734</v>
      </c>
      <c r="G37" s="237"/>
      <c r="I37" s="265"/>
      <c r="O37" s="16"/>
    </row>
    <row r="38" spans="1:16" x14ac:dyDescent="0.25">
      <c r="B38" s="94"/>
      <c r="C38" s="14" t="s">
        <v>735</v>
      </c>
      <c r="G38" s="719"/>
      <c r="I38" s="265"/>
      <c r="O38" s="16"/>
    </row>
    <row r="39" spans="1:16" x14ac:dyDescent="0.25">
      <c r="B39" s="94"/>
      <c r="C39" s="721"/>
      <c r="D39" s="721"/>
      <c r="E39" s="721"/>
      <c r="G39" s="719"/>
      <c r="I39" s="265"/>
      <c r="O39" s="16"/>
    </row>
    <row r="40" spans="1:16" ht="18" customHeight="1" x14ac:dyDescent="0.25">
      <c r="B40" s="94" t="s">
        <v>733</v>
      </c>
      <c r="C40" s="14" t="s">
        <v>295</v>
      </c>
      <c r="G40" s="713" t="e">
        <f>IF(OR(ISBLANK(Curr_LCM),ISBLANK(LossCost_PctChg_Co)),NA(),(1+'7.10Rate Change Calculation'!CHANGE_AT_MAX)*(Curr_LCM)/(1+LossCost_PctChg_Co))/(1+Other_RateImpact)</f>
        <v>#N/A</v>
      </c>
      <c r="I40" s="618" t="str">
        <f>IF(ISBLANK($G$42),"",IF(ISERROR(MAX_LCM),"",IF($G$42&gt;$G$40,"← WARNING! Proposed Company LCM exceeds Maximum Permitted LCM.","")))</f>
        <v/>
      </c>
      <c r="J40" s="47"/>
      <c r="O40" s="16"/>
    </row>
    <row r="41" spans="1:16" x14ac:dyDescent="0.25">
      <c r="I41" s="265"/>
      <c r="O41" s="16"/>
    </row>
    <row r="42" spans="1:16" ht="18" customHeight="1" x14ac:dyDescent="0.25">
      <c r="A42" s="158" t="s">
        <v>437</v>
      </c>
      <c r="B42" s="159" t="s">
        <v>341</v>
      </c>
      <c r="G42" s="238"/>
      <c r="I42" s="265"/>
      <c r="O42" s="16"/>
    </row>
    <row r="43" spans="1:16" ht="15.75" thickBot="1" x14ac:dyDescent="0.3">
      <c r="I43" s="518"/>
      <c r="O43" s="16"/>
    </row>
    <row r="44" spans="1:16" x14ac:dyDescent="0.2">
      <c r="O44" s="16"/>
      <c r="P44" s="176"/>
    </row>
    <row r="47" spans="1:16" x14ac:dyDescent="0.25">
      <c r="D47" s="254"/>
      <c r="E47" s="254"/>
      <c r="G47" s="256"/>
    </row>
    <row r="48" spans="1:16" x14ac:dyDescent="0.25">
      <c r="D48" s="254"/>
      <c r="E48" s="254"/>
      <c r="G48" s="256"/>
    </row>
    <row r="49" spans="4:7" x14ac:dyDescent="0.25">
      <c r="D49" s="255"/>
      <c r="G49" s="257"/>
    </row>
  </sheetData>
  <sheetProtection algorithmName="SHA-512" hashValue="QcPGCptvFU1psA/y5VZnNc97NM/WNMmMqX4GRN5GT9hhQ0AsRot/4/4LZXBkJK78H4Dynm8rU3xwiiZj/ckMUg==" saltValue="uBTy0d1eLrly3iU6RGexMQ==" spinCount="100000" sheet="1" objects="1" scenarios="1" formatColumns="0" formatRows="0" sort="0"/>
  <mergeCells count="1">
    <mergeCell ref="C30:E30"/>
  </mergeCells>
  <printOptions horizontalCentered="1"/>
  <pageMargins left="0.45" right="0.45" top="0.5" bottom="0.5" header="0.3" footer="0.3"/>
  <pageSetup scale="76" orientation="landscape" r:id="rId1"/>
  <headerFooter>
    <oddFooter>&amp;CPrior Approval Rate Template&amp;RPage 8.10&amp;L01/11/2022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700-000000000000}">
          <x14:formula1>
            <xm:f>References!$P$6:$P$9</xm:f>
          </x14:formula1>
          <xm:sqref>G17</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17">
    <tabColor rgb="FF92D050"/>
    <pageSetUpPr fitToPage="1"/>
  </sheetPr>
  <dimension ref="A1:H46"/>
  <sheetViews>
    <sheetView zoomScaleNormal="100" zoomScaleSheetLayoutView="100" workbookViewId="0">
      <selection activeCell="B5" sqref="B5"/>
    </sheetView>
  </sheetViews>
  <sheetFormatPr defaultRowHeight="15" x14ac:dyDescent="0.25"/>
  <cols>
    <col min="1" max="1" width="17.28515625" style="212" customWidth="1"/>
    <col min="2" max="4" width="15.7109375" style="212" customWidth="1"/>
    <col min="5" max="5" width="54.7109375" style="212" bestFit="1" customWidth="1"/>
    <col min="6" max="16384" width="9.140625" style="212"/>
  </cols>
  <sheetData>
    <row r="1" spans="1:8" ht="18.75" x14ac:dyDescent="0.25">
      <c r="A1" s="208" t="s">
        <v>126</v>
      </c>
      <c r="B1" s="209"/>
      <c r="C1" s="210"/>
      <c r="D1" s="210"/>
      <c r="E1" s="211"/>
      <c r="F1" s="211"/>
    </row>
    <row r="2" spans="1:8" x14ac:dyDescent="0.25">
      <c r="A2" s="213" t="s">
        <v>123</v>
      </c>
      <c r="B2" s="539" t="s">
        <v>121</v>
      </c>
      <c r="C2" s="210"/>
      <c r="D2" s="210"/>
      <c r="E2" s="211"/>
      <c r="F2" s="211"/>
    </row>
    <row r="3" spans="1:8" x14ac:dyDescent="0.25">
      <c r="A3" s="213"/>
      <c r="B3" s="539" t="s">
        <v>313</v>
      </c>
      <c r="C3" s="210"/>
      <c r="D3" s="210"/>
      <c r="E3" s="211"/>
      <c r="F3" s="211"/>
    </row>
    <row r="4" spans="1:8" x14ac:dyDescent="0.25">
      <c r="A4" s="213" t="s">
        <v>127</v>
      </c>
      <c r="B4" s="534">
        <v>2020</v>
      </c>
      <c r="C4" s="210"/>
      <c r="D4" s="210"/>
      <c r="E4" s="211"/>
      <c r="F4" s="211"/>
    </row>
    <row r="5" spans="1:8" x14ac:dyDescent="0.25">
      <c r="A5" s="213" t="s">
        <v>122</v>
      </c>
      <c r="B5" s="532" t="s">
        <v>294</v>
      </c>
      <c r="C5" s="210"/>
      <c r="D5" s="210"/>
      <c r="E5" s="211"/>
      <c r="F5" s="211"/>
    </row>
    <row r="6" spans="1:8" x14ac:dyDescent="0.25">
      <c r="A6" s="213" t="s">
        <v>128</v>
      </c>
      <c r="B6" s="540">
        <v>44551</v>
      </c>
      <c r="C6" s="210"/>
      <c r="D6" s="210"/>
      <c r="E6" s="211"/>
      <c r="F6" s="211"/>
    </row>
    <row r="7" spans="1:8" x14ac:dyDescent="0.25">
      <c r="A7" s="213"/>
      <c r="B7" s="215"/>
      <c r="C7" s="210"/>
      <c r="D7" s="210"/>
      <c r="E7" s="211"/>
      <c r="F7" s="211"/>
    </row>
    <row r="8" spans="1:8" x14ac:dyDescent="0.25">
      <c r="A8" s="216"/>
      <c r="B8" s="216">
        <v>1</v>
      </c>
      <c r="C8" s="216">
        <v>2</v>
      </c>
      <c r="D8" s="216">
        <v>3</v>
      </c>
      <c r="E8" s="216">
        <v>4</v>
      </c>
      <c r="F8" s="210"/>
      <c r="G8" s="214"/>
      <c r="H8" s="214"/>
    </row>
    <row r="9" spans="1:8" ht="15.75" thickBot="1" x14ac:dyDescent="0.3">
      <c r="A9" s="216" t="s">
        <v>59</v>
      </c>
      <c r="B9" s="216" t="s">
        <v>117</v>
      </c>
      <c r="C9" s="216" t="s">
        <v>118</v>
      </c>
      <c r="D9" s="216" t="s">
        <v>125</v>
      </c>
      <c r="E9" s="216" t="s">
        <v>119</v>
      </c>
      <c r="F9" s="217"/>
      <c r="G9" s="218"/>
      <c r="H9" s="218"/>
    </row>
    <row r="10" spans="1:8" x14ac:dyDescent="0.25">
      <c r="A10" s="219">
        <v>1</v>
      </c>
      <c r="B10" s="730">
        <v>0.32264057080430214</v>
      </c>
      <c r="C10" s="731">
        <v>0.28579684106741904</v>
      </c>
      <c r="D10" s="731">
        <v>0.32264057080430214</v>
      </c>
      <c r="E10" s="220" t="s">
        <v>17</v>
      </c>
      <c r="F10" s="606"/>
      <c r="G10" s="606"/>
      <c r="H10" s="606"/>
    </row>
    <row r="11" spans="1:8" x14ac:dyDescent="0.25">
      <c r="A11" s="219">
        <v>2.1</v>
      </c>
      <c r="B11" s="732">
        <v>0.32705299209368172</v>
      </c>
      <c r="C11" s="733">
        <v>0.29474007750233949</v>
      </c>
      <c r="D11" s="733">
        <v>0.32705299209368172</v>
      </c>
      <c r="E11" s="220" t="s">
        <v>9</v>
      </c>
      <c r="F11" s="606"/>
      <c r="G11" s="606"/>
      <c r="H11" s="606"/>
    </row>
    <row r="12" spans="1:8" x14ac:dyDescent="0.25">
      <c r="A12" s="219">
        <v>3</v>
      </c>
      <c r="B12" s="732">
        <v>0.38733373273714594</v>
      </c>
      <c r="C12" s="733">
        <v>0.38733373273714594</v>
      </c>
      <c r="D12" s="733">
        <v>0.39095109805250727</v>
      </c>
      <c r="E12" s="220" t="s">
        <v>44</v>
      </c>
      <c r="F12" s="606"/>
      <c r="G12" s="606"/>
      <c r="H12" s="606"/>
    </row>
    <row r="13" spans="1:8" x14ac:dyDescent="0.25">
      <c r="A13" s="219">
        <v>4</v>
      </c>
      <c r="B13" s="732">
        <v>0.35349169170468153</v>
      </c>
      <c r="C13" s="733">
        <v>0.30450233691492307</v>
      </c>
      <c r="D13" s="733">
        <v>0.37957507454237077</v>
      </c>
      <c r="E13" s="220" t="s">
        <v>45</v>
      </c>
      <c r="F13" s="606"/>
      <c r="G13" s="606"/>
      <c r="H13" s="606"/>
    </row>
    <row r="14" spans="1:8" x14ac:dyDescent="0.25">
      <c r="A14" s="219">
        <v>5</v>
      </c>
      <c r="B14" s="732">
        <v>0.38056656334177358</v>
      </c>
      <c r="C14" s="733">
        <v>0.34972458045182453</v>
      </c>
      <c r="D14" s="733">
        <v>0.36988795076778636</v>
      </c>
      <c r="E14" s="220" t="s">
        <v>124</v>
      </c>
      <c r="F14" s="606"/>
      <c r="G14" s="606"/>
      <c r="H14" s="606"/>
    </row>
    <row r="15" spans="1:8" x14ac:dyDescent="0.25">
      <c r="A15" s="219">
        <v>5.0999999999999996</v>
      </c>
      <c r="B15" s="734">
        <v>0.3745301566852699</v>
      </c>
      <c r="C15" s="735">
        <v>0.35457187705951404</v>
      </c>
      <c r="D15" s="735">
        <v>0.35968282489531528</v>
      </c>
      <c r="E15" s="220" t="s">
        <v>43</v>
      </c>
      <c r="F15" s="606"/>
      <c r="G15" s="606"/>
      <c r="H15" s="606"/>
    </row>
    <row r="16" spans="1:8" x14ac:dyDescent="0.25">
      <c r="A16" s="219">
        <v>5.2</v>
      </c>
      <c r="B16" s="734">
        <v>0.39817283158893568</v>
      </c>
      <c r="C16" s="735">
        <v>0.34749382309908511</v>
      </c>
      <c r="D16" s="735">
        <v>0.38531762841141753</v>
      </c>
      <c r="E16" s="220" t="s">
        <v>42</v>
      </c>
      <c r="F16" s="606"/>
      <c r="G16" s="606"/>
      <c r="H16" s="606"/>
    </row>
    <row r="17" spans="1:8" x14ac:dyDescent="0.25">
      <c r="A17" s="219">
        <v>9</v>
      </c>
      <c r="B17" s="732">
        <v>0.28354526722923851</v>
      </c>
      <c r="C17" s="733">
        <v>0.27729260124284777</v>
      </c>
      <c r="D17" s="733">
        <v>0.28354526722923851</v>
      </c>
      <c r="E17" s="220" t="s">
        <v>20</v>
      </c>
      <c r="F17" s="606"/>
      <c r="G17" s="606"/>
      <c r="H17" s="606"/>
    </row>
    <row r="18" spans="1:8" x14ac:dyDescent="0.25">
      <c r="A18" s="219">
        <v>11</v>
      </c>
      <c r="B18" s="732">
        <v>0.40343289491496614</v>
      </c>
      <c r="C18" s="733">
        <v>0.27260526794637335</v>
      </c>
      <c r="D18" s="733">
        <v>0.36666228578975457</v>
      </c>
      <c r="E18" s="221" t="s">
        <v>21</v>
      </c>
      <c r="F18" s="606"/>
      <c r="G18" s="606"/>
      <c r="H18" s="606"/>
    </row>
    <row r="19" spans="1:8" x14ac:dyDescent="0.25">
      <c r="A19" s="219">
        <v>11.1</v>
      </c>
      <c r="B19" s="732">
        <v>0.40343289491496614</v>
      </c>
      <c r="C19" s="733">
        <v>0.27260526794637335</v>
      </c>
      <c r="D19" s="733">
        <v>0.36666228578975457</v>
      </c>
      <c r="E19" s="221" t="s">
        <v>47</v>
      </c>
      <c r="F19" s="606"/>
      <c r="G19" s="606"/>
      <c r="H19" s="606"/>
    </row>
    <row r="20" spans="1:8" x14ac:dyDescent="0.25">
      <c r="A20" s="219">
        <v>11.2</v>
      </c>
      <c r="B20" s="732">
        <v>0.40343289491496614</v>
      </c>
      <c r="C20" s="733">
        <v>0.27260526794637335</v>
      </c>
      <c r="D20" s="733">
        <v>0.36666228578975457</v>
      </c>
      <c r="E20" s="221" t="s">
        <v>46</v>
      </c>
      <c r="F20" s="606"/>
      <c r="G20" s="606"/>
      <c r="H20" s="606"/>
    </row>
    <row r="21" spans="1:8" x14ac:dyDescent="0.25">
      <c r="A21" s="219" t="s">
        <v>328</v>
      </c>
      <c r="B21" s="732">
        <v>0.40343289491496614</v>
      </c>
      <c r="C21" s="733">
        <v>0.27260526794637335</v>
      </c>
      <c r="D21" s="733">
        <v>0.36666228578975457</v>
      </c>
      <c r="E21" s="221" t="s">
        <v>326</v>
      </c>
      <c r="F21" s="606"/>
      <c r="G21" s="606"/>
      <c r="H21" s="606"/>
    </row>
    <row r="22" spans="1:8" x14ac:dyDescent="0.25">
      <c r="A22" s="219" t="s">
        <v>329</v>
      </c>
      <c r="B22" s="732">
        <v>0.40343289491496614</v>
      </c>
      <c r="C22" s="733">
        <v>0.27260526794637335</v>
      </c>
      <c r="D22" s="733">
        <v>0.36666228578975457</v>
      </c>
      <c r="E22" s="221" t="s">
        <v>327</v>
      </c>
      <c r="F22" s="606"/>
      <c r="G22" s="606"/>
      <c r="H22" s="606"/>
    </row>
    <row r="23" spans="1:8" x14ac:dyDescent="0.25">
      <c r="A23" s="219" t="s">
        <v>330</v>
      </c>
      <c r="B23" s="732">
        <v>0.40343289491496614</v>
      </c>
      <c r="C23" s="733">
        <v>0.27260526794637335</v>
      </c>
      <c r="D23" s="733">
        <v>0.36666228578975457</v>
      </c>
      <c r="E23" s="221" t="s">
        <v>324</v>
      </c>
      <c r="F23" s="606"/>
      <c r="G23" s="606"/>
      <c r="H23" s="606"/>
    </row>
    <row r="24" spans="1:8" x14ac:dyDescent="0.25">
      <c r="A24" s="219">
        <v>12</v>
      </c>
      <c r="B24" s="732">
        <v>0.24340754228838934</v>
      </c>
      <c r="C24" s="733">
        <v>0.26606284274177755</v>
      </c>
      <c r="D24" s="733">
        <v>0.27375831026408481</v>
      </c>
      <c r="E24" s="221" t="s">
        <v>14</v>
      </c>
      <c r="F24" s="606"/>
      <c r="G24" s="606"/>
      <c r="H24" s="606"/>
    </row>
    <row r="25" spans="1:8" x14ac:dyDescent="0.25">
      <c r="A25" s="219" t="s">
        <v>331</v>
      </c>
      <c r="B25" s="732">
        <v>0.24340754228838934</v>
      </c>
      <c r="C25" s="733">
        <v>0.26606284274177755</v>
      </c>
      <c r="D25" s="733">
        <v>0.27375831026408481</v>
      </c>
      <c r="E25" s="221" t="s">
        <v>325</v>
      </c>
      <c r="F25" s="606"/>
      <c r="G25" s="606"/>
      <c r="H25" s="606"/>
    </row>
    <row r="26" spans="1:8" x14ac:dyDescent="0.25">
      <c r="A26" s="222">
        <v>17</v>
      </c>
      <c r="B26" s="732">
        <v>0.31140389477587366</v>
      </c>
      <c r="C26" s="733">
        <v>0.31849075950320105</v>
      </c>
      <c r="D26" s="733">
        <v>0.3358560996385816</v>
      </c>
      <c r="E26" s="221" t="s">
        <v>23</v>
      </c>
      <c r="F26" s="606"/>
      <c r="G26" s="606"/>
      <c r="H26" s="606"/>
    </row>
    <row r="27" spans="1:8" x14ac:dyDescent="0.25">
      <c r="A27" s="222">
        <v>17.100000000000001</v>
      </c>
      <c r="B27" s="734">
        <v>0.31358328821404757</v>
      </c>
      <c r="C27" s="735">
        <v>0.2640756898392243</v>
      </c>
      <c r="D27" s="735">
        <v>0.3046244823314368</v>
      </c>
      <c r="E27" s="221" t="s">
        <v>49</v>
      </c>
      <c r="F27" s="606"/>
      <c r="G27" s="606"/>
      <c r="H27" s="606"/>
    </row>
    <row r="28" spans="1:8" x14ac:dyDescent="0.25">
      <c r="A28" s="222">
        <v>17.2</v>
      </c>
      <c r="B28" s="734">
        <v>0.27846536373927272</v>
      </c>
      <c r="C28" s="735">
        <v>0.44398764048589995</v>
      </c>
      <c r="D28" s="735">
        <v>0.37532081186251792</v>
      </c>
      <c r="E28" s="221" t="s">
        <v>48</v>
      </c>
      <c r="F28" s="606"/>
      <c r="G28" s="606"/>
      <c r="H28" s="606"/>
    </row>
    <row r="29" spans="1:8" x14ac:dyDescent="0.25">
      <c r="A29" s="219">
        <v>18</v>
      </c>
      <c r="B29" s="732">
        <v>0.32250884671599844</v>
      </c>
      <c r="C29" s="733">
        <v>0.32250884671599844</v>
      </c>
      <c r="D29" s="733">
        <v>0.32250884671599844</v>
      </c>
      <c r="E29" s="221" t="s">
        <v>24</v>
      </c>
      <c r="F29" s="606"/>
      <c r="G29" s="606"/>
      <c r="H29" s="606"/>
    </row>
    <row r="30" spans="1:8" x14ac:dyDescent="0.25">
      <c r="A30" s="219">
        <v>18.100000000000001</v>
      </c>
      <c r="B30" s="732">
        <v>0.32250884671599844</v>
      </c>
      <c r="C30" s="733">
        <v>0.32250884671599844</v>
      </c>
      <c r="D30" s="733">
        <v>0.32250884671599844</v>
      </c>
      <c r="E30" s="221" t="s">
        <v>53</v>
      </c>
      <c r="F30" s="606"/>
      <c r="G30" s="606"/>
      <c r="H30" s="606"/>
    </row>
    <row r="31" spans="1:8" x14ac:dyDescent="0.25">
      <c r="A31" s="219">
        <v>18.2</v>
      </c>
      <c r="B31" s="732">
        <v>0.32250884671599844</v>
      </c>
      <c r="C31" s="733">
        <v>0.32250884671599844</v>
      </c>
      <c r="D31" s="733">
        <v>0.32250884671599844</v>
      </c>
      <c r="E31" s="221" t="s">
        <v>52</v>
      </c>
      <c r="F31" s="606"/>
      <c r="G31" s="606"/>
      <c r="H31" s="606"/>
    </row>
    <row r="32" spans="1:8" x14ac:dyDescent="0.25">
      <c r="A32" s="219">
        <v>19.2</v>
      </c>
      <c r="B32" s="736">
        <v>0.31092212368038935</v>
      </c>
      <c r="C32" s="737">
        <v>0.26622784813216294</v>
      </c>
      <c r="D32" s="737">
        <v>0.35653087916941489</v>
      </c>
      <c r="E32" s="221" t="s">
        <v>50</v>
      </c>
      <c r="F32" s="606"/>
      <c r="G32" s="606"/>
      <c r="H32" s="606"/>
    </row>
    <row r="33" spans="1:8" x14ac:dyDescent="0.25">
      <c r="A33" s="219">
        <v>19.399999999999999</v>
      </c>
      <c r="B33" s="732">
        <v>0.36988312159365738</v>
      </c>
      <c r="C33" s="733">
        <v>0.26571120433885059</v>
      </c>
      <c r="D33" s="733">
        <v>0.33189577609755033</v>
      </c>
      <c r="E33" s="221" t="s">
        <v>39</v>
      </c>
      <c r="F33" s="606"/>
      <c r="G33" s="606"/>
      <c r="H33" s="606"/>
    </row>
    <row r="34" spans="1:8" x14ac:dyDescent="0.25">
      <c r="A34" s="219">
        <v>21.1</v>
      </c>
      <c r="B34" s="736">
        <v>0.31225781752376819</v>
      </c>
      <c r="C34" s="737">
        <v>0.25586059542168726</v>
      </c>
      <c r="D34" s="737">
        <v>0.35144754344074641</v>
      </c>
      <c r="E34" s="221" t="s">
        <v>51</v>
      </c>
      <c r="F34" s="606"/>
      <c r="G34" s="606"/>
      <c r="H34" s="606"/>
    </row>
    <row r="35" spans="1:8" x14ac:dyDescent="0.25">
      <c r="A35" s="219">
        <v>21.2</v>
      </c>
      <c r="B35" s="732">
        <v>0.35483822794744674</v>
      </c>
      <c r="C35" s="733">
        <v>0.33158840050480298</v>
      </c>
      <c r="D35" s="733">
        <v>0.34154482499729527</v>
      </c>
      <c r="E35" s="221" t="s">
        <v>40</v>
      </c>
      <c r="F35" s="606"/>
      <c r="G35" s="606"/>
      <c r="H35" s="606"/>
    </row>
    <row r="36" spans="1:8" x14ac:dyDescent="0.25">
      <c r="A36" s="219">
        <v>22</v>
      </c>
      <c r="B36" s="736">
        <v>0.32506537946659148</v>
      </c>
      <c r="C36" s="737">
        <v>0.43688479599760016</v>
      </c>
      <c r="D36" s="737">
        <v>0.32267770428390924</v>
      </c>
      <c r="E36" s="221" t="s">
        <v>8</v>
      </c>
      <c r="F36" s="606"/>
      <c r="G36" s="606"/>
      <c r="H36" s="606"/>
    </row>
    <row r="37" spans="1:8" x14ac:dyDescent="0.25">
      <c r="A37" s="219">
        <v>23</v>
      </c>
      <c r="B37" s="732">
        <v>0.37415753593585527</v>
      </c>
      <c r="C37" s="733">
        <v>0.32326291703914967</v>
      </c>
      <c r="D37" s="733">
        <v>0.37793442232116087</v>
      </c>
      <c r="E37" s="221" t="s">
        <v>16</v>
      </c>
      <c r="F37" s="606"/>
      <c r="G37" s="606"/>
      <c r="H37" s="606"/>
    </row>
    <row r="38" spans="1:8" x14ac:dyDescent="0.25">
      <c r="A38" s="219">
        <v>24</v>
      </c>
      <c r="B38" s="736">
        <v>0.45570039826671277</v>
      </c>
      <c r="C38" s="737">
        <v>0.45570039826671277</v>
      </c>
      <c r="D38" s="737">
        <v>0.45570039826671277</v>
      </c>
      <c r="E38" s="221" t="s">
        <v>25</v>
      </c>
      <c r="F38" s="606"/>
      <c r="G38" s="606"/>
      <c r="H38" s="606"/>
    </row>
    <row r="39" spans="1:8" x14ac:dyDescent="0.25">
      <c r="A39" s="223">
        <v>26</v>
      </c>
      <c r="B39" s="732">
        <v>0.40879334795969163</v>
      </c>
      <c r="C39" s="733">
        <v>0.40879334795969163</v>
      </c>
      <c r="D39" s="733">
        <v>0.40879334795969163</v>
      </c>
      <c r="E39" s="221" t="s">
        <v>13</v>
      </c>
      <c r="F39" s="606"/>
      <c r="G39" s="606"/>
      <c r="H39" s="606"/>
    </row>
    <row r="40" spans="1:8" x14ac:dyDescent="0.25">
      <c r="A40" s="223">
        <v>27</v>
      </c>
      <c r="B40" s="732">
        <v>0.37056208371139149</v>
      </c>
      <c r="C40" s="733">
        <v>0.25454478470121661</v>
      </c>
      <c r="D40" s="733">
        <v>0.3541709116108695</v>
      </c>
      <c r="E40" s="221" t="s">
        <v>12</v>
      </c>
      <c r="F40" s="606"/>
      <c r="G40" s="606"/>
      <c r="H40" s="606"/>
    </row>
    <row r="41" spans="1:8" x14ac:dyDescent="0.25">
      <c r="A41" s="211"/>
      <c r="B41" s="211"/>
      <c r="C41" s="211"/>
      <c r="D41" s="211"/>
      <c r="E41" s="211"/>
      <c r="F41" s="211"/>
      <c r="H41" s="214"/>
    </row>
    <row r="42" spans="1:8" x14ac:dyDescent="0.25">
      <c r="A42" s="211"/>
      <c r="B42" s="211"/>
      <c r="C42" s="211"/>
      <c r="D42" s="211"/>
      <c r="E42" s="211"/>
      <c r="F42" s="211"/>
    </row>
    <row r="43" spans="1:8" x14ac:dyDescent="0.25">
      <c r="A43" s="211"/>
      <c r="B43" s="211"/>
      <c r="C43" s="211"/>
      <c r="D43" s="211"/>
      <c r="E43" s="211"/>
      <c r="F43" s="211"/>
    </row>
    <row r="44" spans="1:8" x14ac:dyDescent="0.25">
      <c r="A44" s="211"/>
      <c r="B44" s="211"/>
      <c r="C44" s="211"/>
      <c r="D44" s="211"/>
      <c r="E44" s="211"/>
      <c r="F44" s="211"/>
    </row>
    <row r="45" spans="1:8" x14ac:dyDescent="0.25">
      <c r="A45" s="211"/>
      <c r="B45" s="211"/>
      <c r="C45" s="211"/>
      <c r="D45" s="211"/>
      <c r="E45" s="211"/>
      <c r="F45" s="211"/>
    </row>
    <row r="46" spans="1:8" x14ac:dyDescent="0.25">
      <c r="A46" s="211"/>
      <c r="B46" s="211"/>
      <c r="C46" s="211"/>
      <c r="D46" s="211"/>
      <c r="E46" s="211"/>
      <c r="F46" s="211"/>
    </row>
  </sheetData>
  <sheetProtection algorithmName="SHA-512" hashValue="HPbFvLPf3vKhAWVKqcLep0QGtI7T5+rDP2JXyVF2EkqH7PSpYqXoIIQ6Pr2RcN515FnUN6t+/fU7hb2KU/qWSw==" saltValue="f3GIq7Ho4kImtJy8qLVVWg==" spinCount="100000" sheet="1" objects="1" scenarios="1" formatColumns="0" formatRows="0" sort="0"/>
  <printOptions horizontalCentered="1"/>
  <pageMargins left="0.45" right="0.45" top="0.5" bottom="0.5" header="0.3" footer="0.3"/>
  <pageSetup scale="81" orientation="portrait" r:id="rId1"/>
  <headerFooter>
    <oddFooter>&amp;CPrior Approval Rate Application
(Efficiency Standard)&amp;RPage R1&amp;L01/11/2022 Edition</oddFooter>
  </headerFooter>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18">
    <tabColor rgb="FF92D050"/>
    <pageSetUpPr fitToPage="1"/>
  </sheetPr>
  <dimension ref="A1:L55"/>
  <sheetViews>
    <sheetView zoomScaleNormal="100" zoomScaleSheetLayoutView="100" workbookViewId="0">
      <selection activeCell="B6" sqref="B6"/>
    </sheetView>
  </sheetViews>
  <sheetFormatPr defaultRowHeight="15" x14ac:dyDescent="0.25"/>
  <cols>
    <col min="1" max="1" width="17.28515625" style="11" customWidth="1"/>
    <col min="2" max="2" width="15.7109375" style="11" customWidth="1"/>
    <col min="3" max="3" width="54.7109375" style="11" bestFit="1" customWidth="1"/>
    <col min="4" max="5" width="9.140625" style="11"/>
    <col min="6" max="9" width="9.42578125" style="11" bestFit="1" customWidth="1"/>
    <col min="10" max="16384" width="9.140625" style="11"/>
  </cols>
  <sheetData>
    <row r="1" spans="1:12" ht="18.75" x14ac:dyDescent="0.25">
      <c r="A1" s="79" t="s">
        <v>134</v>
      </c>
      <c r="B1" s="67"/>
      <c r="C1" s="68"/>
      <c r="D1" s="51"/>
    </row>
    <row r="2" spans="1:12" x14ac:dyDescent="0.25">
      <c r="A2" s="66" t="s">
        <v>120</v>
      </c>
      <c r="B2" s="532" t="s">
        <v>319</v>
      </c>
      <c r="C2" s="68"/>
      <c r="D2" s="52"/>
    </row>
    <row r="3" spans="1:12" x14ac:dyDescent="0.25">
      <c r="A3" s="66" t="s">
        <v>135</v>
      </c>
      <c r="B3" s="533">
        <v>2021</v>
      </c>
      <c r="C3" s="68"/>
      <c r="D3" s="52"/>
    </row>
    <row r="4" spans="1:12" x14ac:dyDescent="0.25">
      <c r="A4" s="213" t="s">
        <v>127</v>
      </c>
      <c r="B4" s="534">
        <v>2020</v>
      </c>
      <c r="C4" s="68"/>
      <c r="D4" s="52"/>
    </row>
    <row r="5" spans="1:12" x14ac:dyDescent="0.25">
      <c r="A5" s="66" t="s">
        <v>122</v>
      </c>
      <c r="B5" s="532" t="s">
        <v>294</v>
      </c>
      <c r="C5" s="68"/>
      <c r="D5" s="52"/>
    </row>
    <row r="6" spans="1:12" x14ac:dyDescent="0.25">
      <c r="A6" s="66" t="s">
        <v>128</v>
      </c>
      <c r="B6" s="535">
        <v>44491</v>
      </c>
      <c r="C6" s="68"/>
      <c r="D6" s="52"/>
    </row>
    <row r="7" spans="1:12" x14ac:dyDescent="0.25">
      <c r="A7" s="66"/>
      <c r="B7" s="69"/>
      <c r="C7" s="68"/>
      <c r="D7" s="52"/>
    </row>
    <row r="8" spans="1:12" x14ac:dyDescent="0.25">
      <c r="A8" s="66"/>
      <c r="B8" s="70"/>
      <c r="C8" s="68"/>
      <c r="D8" s="52"/>
    </row>
    <row r="9" spans="1:12" x14ac:dyDescent="0.25">
      <c r="A9" s="71"/>
      <c r="B9" s="71">
        <v>1</v>
      </c>
      <c r="C9" s="71">
        <v>2</v>
      </c>
      <c r="D9" s="51"/>
    </row>
    <row r="10" spans="1:12" x14ac:dyDescent="0.25">
      <c r="A10" s="71" t="s">
        <v>59</v>
      </c>
      <c r="B10" s="71" t="s">
        <v>134</v>
      </c>
      <c r="C10" s="71" t="s">
        <v>119</v>
      </c>
      <c r="D10" s="53"/>
    </row>
    <row r="11" spans="1:12" x14ac:dyDescent="0.25">
      <c r="A11" s="72">
        <v>1</v>
      </c>
      <c r="B11" s="639">
        <v>0.84128386877896644</v>
      </c>
      <c r="C11" s="73" t="s">
        <v>17</v>
      </c>
      <c r="D11" s="53"/>
    </row>
    <row r="12" spans="1:12" x14ac:dyDescent="0.25">
      <c r="A12" s="72">
        <v>2.1</v>
      </c>
      <c r="B12" s="639">
        <v>0.93158834938573676</v>
      </c>
      <c r="C12" s="73" t="s">
        <v>9</v>
      </c>
      <c r="D12" s="53"/>
    </row>
    <row r="13" spans="1:12" x14ac:dyDescent="0.25">
      <c r="A13" s="72">
        <v>3</v>
      </c>
      <c r="B13" s="639">
        <v>0.99034545996720713</v>
      </c>
      <c r="C13" s="73" t="s">
        <v>44</v>
      </c>
      <c r="D13" s="53"/>
    </row>
    <row r="14" spans="1:12" x14ac:dyDescent="0.25">
      <c r="A14" s="72">
        <v>4</v>
      </c>
      <c r="B14" s="639">
        <v>0.96398157452087385</v>
      </c>
      <c r="C14" s="73" t="s">
        <v>45</v>
      </c>
      <c r="D14" s="53"/>
      <c r="G14" s="624"/>
      <c r="H14" s="623"/>
      <c r="I14" s="625"/>
      <c r="J14" s="625"/>
      <c r="K14" s="625"/>
      <c r="L14" s="623"/>
    </row>
    <row r="15" spans="1:12" x14ac:dyDescent="0.25">
      <c r="A15" s="72">
        <v>5</v>
      </c>
      <c r="B15" s="639">
        <v>0.67464331801990784</v>
      </c>
      <c r="C15" s="73" t="s">
        <v>124</v>
      </c>
      <c r="D15" s="53"/>
      <c r="G15" s="624"/>
      <c r="H15" s="623"/>
      <c r="I15" s="625"/>
      <c r="J15" s="625"/>
      <c r="K15" s="625"/>
      <c r="L15" s="623"/>
    </row>
    <row r="16" spans="1:12" x14ac:dyDescent="0.25">
      <c r="A16" s="72">
        <v>5.0999999999999996</v>
      </c>
      <c r="B16" s="639">
        <v>0.91218191167929608</v>
      </c>
      <c r="C16" s="73" t="s">
        <v>43</v>
      </c>
      <c r="D16" s="53"/>
      <c r="G16" s="624"/>
      <c r="H16" s="623"/>
      <c r="I16" s="625"/>
      <c r="J16" s="625"/>
      <c r="K16" s="625"/>
      <c r="L16" s="623"/>
    </row>
    <row r="17" spans="1:12" x14ac:dyDescent="0.25">
      <c r="A17" s="72">
        <v>5.2</v>
      </c>
      <c r="B17" s="639">
        <v>0.45534029509786478</v>
      </c>
      <c r="C17" s="73" t="s">
        <v>42</v>
      </c>
      <c r="D17" s="53"/>
      <c r="G17" s="624"/>
      <c r="H17" s="623"/>
      <c r="I17" s="625"/>
      <c r="J17" s="625"/>
      <c r="K17" s="625"/>
      <c r="L17" s="623"/>
    </row>
    <row r="18" spans="1:12" x14ac:dyDescent="0.25">
      <c r="A18" s="72">
        <v>9</v>
      </c>
      <c r="B18" s="639">
        <v>1.0028654967779116</v>
      </c>
      <c r="C18" s="73" t="s">
        <v>20</v>
      </c>
      <c r="D18" s="53"/>
      <c r="G18" s="624"/>
      <c r="H18" s="623"/>
      <c r="I18" s="625"/>
      <c r="J18" s="625"/>
      <c r="K18" s="625"/>
      <c r="L18" s="623"/>
    </row>
    <row r="19" spans="1:12" x14ac:dyDescent="0.25">
      <c r="A19" s="72">
        <v>11</v>
      </c>
      <c r="B19" s="639">
        <v>0.38028794364096374</v>
      </c>
      <c r="C19" s="74" t="s">
        <v>21</v>
      </c>
      <c r="D19" s="53"/>
      <c r="G19" s="624"/>
      <c r="H19" s="623"/>
      <c r="I19" s="625"/>
      <c r="J19" s="625"/>
      <c r="K19" s="625"/>
      <c r="L19" s="623"/>
    </row>
    <row r="20" spans="1:12" x14ac:dyDescent="0.25">
      <c r="A20" s="72">
        <v>11.1</v>
      </c>
      <c r="B20" s="639">
        <v>0.29050561661480745</v>
      </c>
      <c r="C20" s="74" t="s">
        <v>47</v>
      </c>
      <c r="D20" s="53"/>
      <c r="G20" s="624"/>
      <c r="H20" s="623"/>
      <c r="I20" s="625"/>
      <c r="J20" s="625"/>
      <c r="K20" s="625"/>
      <c r="L20" s="623"/>
    </row>
    <row r="21" spans="1:12" x14ac:dyDescent="0.25">
      <c r="A21" s="72">
        <v>11.2</v>
      </c>
      <c r="B21" s="639">
        <v>0.42552933547381772</v>
      </c>
      <c r="C21" s="74" t="s">
        <v>46</v>
      </c>
      <c r="D21" s="53"/>
      <c r="G21" s="624"/>
      <c r="H21" s="623"/>
      <c r="I21" s="625"/>
      <c r="J21" s="625"/>
      <c r="K21" s="625"/>
      <c r="L21" s="623"/>
    </row>
    <row r="22" spans="1:12" x14ac:dyDescent="0.25">
      <c r="A22" s="72" t="s">
        <v>328</v>
      </c>
      <c r="B22" s="639">
        <f>B19</f>
        <v>0.38028794364096374</v>
      </c>
      <c r="C22" s="221" t="s">
        <v>326</v>
      </c>
      <c r="D22" s="53"/>
      <c r="G22" s="624"/>
      <c r="H22" s="623"/>
      <c r="I22" s="625"/>
      <c r="J22" s="625"/>
      <c r="K22" s="625"/>
      <c r="L22" s="623"/>
    </row>
    <row r="23" spans="1:12" x14ac:dyDescent="0.25">
      <c r="A23" s="72" t="s">
        <v>329</v>
      </c>
      <c r="B23" s="639">
        <f>B20</f>
        <v>0.29050561661480745</v>
      </c>
      <c r="C23" s="221" t="s">
        <v>327</v>
      </c>
      <c r="D23" s="53"/>
      <c r="G23" s="624"/>
      <c r="H23" s="623"/>
      <c r="I23" s="625"/>
      <c r="J23" s="625"/>
      <c r="K23" s="625"/>
      <c r="L23" s="623"/>
    </row>
    <row r="24" spans="1:12" x14ac:dyDescent="0.25">
      <c r="A24" s="72" t="s">
        <v>330</v>
      </c>
      <c r="B24" s="639">
        <f>B21</f>
        <v>0.42552933547381772</v>
      </c>
      <c r="C24" s="221" t="s">
        <v>324</v>
      </c>
      <c r="D24" s="53"/>
      <c r="G24" s="624"/>
      <c r="H24" s="623"/>
      <c r="I24" s="625"/>
      <c r="J24" s="625"/>
      <c r="K24" s="625"/>
      <c r="L24" s="623"/>
    </row>
    <row r="25" spans="1:12" x14ac:dyDescent="0.25">
      <c r="A25" s="72">
        <v>12</v>
      </c>
      <c r="B25" s="639">
        <v>1</v>
      </c>
      <c r="C25" s="74" t="s">
        <v>14</v>
      </c>
      <c r="D25" s="53"/>
      <c r="G25" s="624"/>
      <c r="H25" s="623"/>
      <c r="I25" s="625"/>
      <c r="J25" s="625"/>
      <c r="K25" s="625"/>
      <c r="L25" s="623"/>
    </row>
    <row r="26" spans="1:12" x14ac:dyDescent="0.25">
      <c r="A26" s="72" t="s">
        <v>331</v>
      </c>
      <c r="B26" s="639">
        <f>B25</f>
        <v>1</v>
      </c>
      <c r="C26" s="221" t="s">
        <v>325</v>
      </c>
      <c r="D26" s="53"/>
      <c r="G26" s="624"/>
      <c r="H26" s="623"/>
      <c r="I26" s="625"/>
      <c r="J26" s="625"/>
      <c r="K26" s="625"/>
      <c r="L26" s="623"/>
    </row>
    <row r="27" spans="1:12" x14ac:dyDescent="0.25">
      <c r="A27" s="75">
        <v>17</v>
      </c>
      <c r="B27" s="639">
        <v>0.45719259702031051</v>
      </c>
      <c r="C27" s="74" t="s">
        <v>23</v>
      </c>
      <c r="D27" s="53"/>
      <c r="G27" s="624"/>
      <c r="H27" s="623"/>
      <c r="I27" s="625"/>
      <c r="J27" s="625"/>
      <c r="K27" s="625"/>
      <c r="L27" s="623"/>
    </row>
    <row r="28" spans="1:12" x14ac:dyDescent="0.25">
      <c r="A28" s="75">
        <v>17.100000000000001</v>
      </c>
      <c r="B28" s="639">
        <v>0.4468107413232621</v>
      </c>
      <c r="C28" s="74" t="s">
        <v>49</v>
      </c>
      <c r="D28" s="53"/>
      <c r="G28" s="624"/>
      <c r="H28" s="623"/>
      <c r="I28" s="625"/>
      <c r="J28" s="625"/>
      <c r="K28" s="625"/>
      <c r="L28" s="623"/>
    </row>
    <row r="29" spans="1:12" x14ac:dyDescent="0.25">
      <c r="A29" s="75">
        <v>17.2</v>
      </c>
      <c r="B29" s="639">
        <v>0.51713782081415094</v>
      </c>
      <c r="C29" s="74" t="s">
        <v>48</v>
      </c>
      <c r="D29" s="53"/>
      <c r="G29" s="624"/>
      <c r="H29" s="623"/>
      <c r="I29" s="625"/>
      <c r="J29" s="625"/>
      <c r="K29" s="625"/>
      <c r="L29" s="623"/>
    </row>
    <row r="30" spans="1:12" x14ac:dyDescent="0.25">
      <c r="A30" s="72">
        <v>18</v>
      </c>
      <c r="B30" s="639">
        <v>0.29631559584128819</v>
      </c>
      <c r="C30" s="74" t="s">
        <v>24</v>
      </c>
      <c r="D30" s="53"/>
      <c r="G30" s="624"/>
      <c r="H30" s="623"/>
      <c r="I30" s="625"/>
      <c r="J30" s="625"/>
      <c r="K30" s="625"/>
      <c r="L30" s="623"/>
    </row>
    <row r="31" spans="1:12" x14ac:dyDescent="0.25">
      <c r="A31" s="72">
        <v>18.100000000000001</v>
      </c>
      <c r="B31" s="639">
        <v>0.27715272355337872</v>
      </c>
      <c r="C31" s="74" t="s">
        <v>53</v>
      </c>
      <c r="D31" s="53"/>
      <c r="G31" s="624"/>
      <c r="H31" s="623"/>
      <c r="I31" s="625"/>
      <c r="J31" s="625"/>
      <c r="K31" s="625"/>
      <c r="L31" s="623"/>
    </row>
    <row r="32" spans="1:12" x14ac:dyDescent="0.25">
      <c r="A32" s="72">
        <v>18.2</v>
      </c>
      <c r="B32" s="639">
        <v>0.45537835425866957</v>
      </c>
      <c r="C32" s="74" t="s">
        <v>52</v>
      </c>
      <c r="D32" s="53"/>
      <c r="G32" s="624"/>
      <c r="H32" s="623"/>
      <c r="I32" s="625"/>
      <c r="J32" s="625"/>
      <c r="K32" s="625"/>
      <c r="L32" s="623"/>
    </row>
    <row r="33" spans="1:12" x14ac:dyDescent="0.25">
      <c r="A33" s="72">
        <v>19.2</v>
      </c>
      <c r="B33" s="639">
        <v>0.79714001147810298</v>
      </c>
      <c r="C33" s="74" t="s">
        <v>50</v>
      </c>
      <c r="D33" s="53"/>
      <c r="G33" s="624"/>
      <c r="H33" s="623"/>
      <c r="I33" s="625"/>
      <c r="J33" s="625"/>
      <c r="K33" s="625"/>
      <c r="L33" s="623"/>
    </row>
    <row r="34" spans="1:12" x14ac:dyDescent="0.25">
      <c r="A34" s="72">
        <v>19.399999999999999</v>
      </c>
      <c r="B34" s="639">
        <v>0.60359287612097057</v>
      </c>
      <c r="C34" s="74" t="s">
        <v>39</v>
      </c>
      <c r="D34" s="53"/>
      <c r="G34" s="624"/>
      <c r="H34" s="623"/>
      <c r="I34" s="625"/>
      <c r="J34" s="625"/>
      <c r="K34" s="625"/>
      <c r="L34" s="623"/>
    </row>
    <row r="35" spans="1:12" x14ac:dyDescent="0.25">
      <c r="A35" s="72">
        <v>21.1</v>
      </c>
      <c r="B35" s="639">
        <v>1.2893927100650311</v>
      </c>
      <c r="C35" s="74" t="s">
        <v>51</v>
      </c>
      <c r="D35" s="53"/>
      <c r="G35" s="624"/>
      <c r="H35" s="623"/>
      <c r="I35" s="625"/>
      <c r="J35" s="625"/>
      <c r="K35" s="625"/>
      <c r="L35" s="623"/>
    </row>
    <row r="36" spans="1:12" x14ac:dyDescent="0.25">
      <c r="A36" s="72">
        <v>21.2</v>
      </c>
      <c r="B36" s="639">
        <v>1.0774383820781797</v>
      </c>
      <c r="C36" s="74" t="s">
        <v>40</v>
      </c>
      <c r="D36" s="53"/>
      <c r="G36" s="624"/>
      <c r="H36" s="623"/>
      <c r="I36" s="625"/>
      <c r="J36" s="625"/>
      <c r="K36" s="625"/>
      <c r="L36" s="623"/>
    </row>
    <row r="37" spans="1:12" x14ac:dyDescent="0.25">
      <c r="A37" s="72">
        <v>22</v>
      </c>
      <c r="B37" s="639">
        <v>0.6519437854692447</v>
      </c>
      <c r="C37" s="74" t="s">
        <v>8</v>
      </c>
      <c r="D37" s="53"/>
      <c r="G37" s="624"/>
      <c r="H37" s="623"/>
      <c r="I37" s="625"/>
      <c r="J37" s="625"/>
      <c r="K37" s="625"/>
      <c r="L37" s="623"/>
    </row>
    <row r="38" spans="1:12" x14ac:dyDescent="0.25">
      <c r="A38" s="72">
        <v>23</v>
      </c>
      <c r="B38" s="639">
        <v>0.72899075775394995</v>
      </c>
      <c r="C38" s="74" t="s">
        <v>16</v>
      </c>
      <c r="D38" s="53"/>
      <c r="G38" s="624"/>
      <c r="H38" s="623"/>
      <c r="I38" s="625"/>
      <c r="J38" s="625"/>
      <c r="K38" s="625"/>
      <c r="L38" s="623"/>
    </row>
    <row r="39" spans="1:12" x14ac:dyDescent="0.25">
      <c r="A39" s="72">
        <v>24</v>
      </c>
      <c r="B39" s="639">
        <v>0.83164737171143055</v>
      </c>
      <c r="C39" s="74" t="s">
        <v>25</v>
      </c>
      <c r="D39" s="53"/>
      <c r="G39" s="624"/>
      <c r="H39" s="623"/>
      <c r="I39" s="625"/>
      <c r="J39" s="625"/>
      <c r="K39" s="625"/>
      <c r="L39" s="623"/>
    </row>
    <row r="40" spans="1:12" x14ac:dyDescent="0.25">
      <c r="A40" s="76">
        <v>26</v>
      </c>
      <c r="B40" s="639">
        <v>0.84804352403544381</v>
      </c>
      <c r="C40" s="74" t="s">
        <v>13</v>
      </c>
      <c r="D40" s="53"/>
      <c r="G40" s="624"/>
      <c r="H40" s="623"/>
      <c r="I40" s="625"/>
      <c r="J40" s="625"/>
      <c r="K40" s="625"/>
      <c r="L40" s="623"/>
    </row>
    <row r="41" spans="1:12" x14ac:dyDescent="0.25">
      <c r="A41" s="76">
        <v>27</v>
      </c>
      <c r="B41" s="639">
        <v>0.93501172007717126</v>
      </c>
      <c r="C41" s="74" t="s">
        <v>12</v>
      </c>
      <c r="D41" s="53"/>
      <c r="G41" s="624"/>
      <c r="H41" s="623"/>
      <c r="I41" s="625"/>
      <c r="J41" s="625"/>
      <c r="K41" s="625"/>
      <c r="L41" s="623"/>
    </row>
    <row r="42" spans="1:12" x14ac:dyDescent="0.25">
      <c r="A42" s="68"/>
      <c r="B42" s="68"/>
      <c r="C42" s="68"/>
      <c r="D42" s="53"/>
    </row>
    <row r="43" spans="1:12" x14ac:dyDescent="0.25">
      <c r="A43" s="68"/>
      <c r="B43" s="68"/>
      <c r="C43" s="68"/>
      <c r="D43" s="53"/>
    </row>
    <row r="44" spans="1:12" x14ac:dyDescent="0.25">
      <c r="A44" s="68"/>
      <c r="B44" s="68"/>
      <c r="C44" s="68"/>
      <c r="D44" s="53"/>
    </row>
    <row r="45" spans="1:12" x14ac:dyDescent="0.25">
      <c r="A45" s="68"/>
      <c r="B45" s="68"/>
      <c r="C45" s="68"/>
      <c r="D45" s="53"/>
    </row>
    <row r="46" spans="1:12" x14ac:dyDescent="0.25">
      <c r="A46" s="68"/>
      <c r="B46" s="68"/>
      <c r="C46" s="68"/>
      <c r="D46" s="53"/>
    </row>
    <row r="47" spans="1:12" x14ac:dyDescent="0.25">
      <c r="D47" s="53"/>
    </row>
    <row r="48" spans="1:12" x14ac:dyDescent="0.25">
      <c r="D48" s="53"/>
    </row>
    <row r="49" spans="4:4" x14ac:dyDescent="0.25">
      <c r="D49" s="53"/>
    </row>
    <row r="50" spans="4:4" x14ac:dyDescent="0.25">
      <c r="D50" s="53"/>
    </row>
    <row r="51" spans="4:4" x14ac:dyDescent="0.25">
      <c r="D51" s="53"/>
    </row>
    <row r="52" spans="4:4" x14ac:dyDescent="0.25">
      <c r="D52" s="53"/>
    </row>
    <row r="53" spans="4:4" x14ac:dyDescent="0.25">
      <c r="D53" s="53"/>
    </row>
    <row r="54" spans="4:4" x14ac:dyDescent="0.25">
      <c r="D54" s="53"/>
    </row>
    <row r="55" spans="4:4" x14ac:dyDescent="0.25">
      <c r="D55" s="53"/>
    </row>
  </sheetData>
  <sheetProtection algorithmName="SHA-512" hashValue="BhptLZ3eaFKz8N36UZUuNiOzEyEMDKXIqAFJGvRr6yxyC9eiv+PI/Q6Zx2kOdHTPCGxXcV0OI1qoeyQoqGIrBg==" saltValue="9Wn7iLDJI/ELfkvgJcJXBg==" spinCount="100000" sheet="1" objects="1" scenarios="1" formatColumns="0" formatRows="0" sort="0"/>
  <printOptions horizontalCentered="1"/>
  <pageMargins left="0.45" right="0.45" top="0.5" bottom="0.5" header="0.3" footer="0.3"/>
  <pageSetup orientation="portrait" r:id="rId1"/>
  <headerFooter>
    <oddFooter>&amp;CPrior Approval Application
(Leverage Factor)&amp;RPage R2&amp;L01/11/2022 Edition</oddFooter>
  </headerFooter>
  <legacyDrawing r:id="rId2"/>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19">
    <tabColor rgb="FF92D050"/>
  </sheetPr>
  <dimension ref="A1:N55"/>
  <sheetViews>
    <sheetView zoomScaleNormal="100" zoomScaleSheetLayoutView="100" workbookViewId="0">
      <selection activeCell="B6" sqref="B6"/>
    </sheetView>
  </sheetViews>
  <sheetFormatPr defaultRowHeight="15" x14ac:dyDescent="0.25"/>
  <cols>
    <col min="1" max="1" width="17.28515625" style="268" customWidth="1"/>
    <col min="2" max="3" width="15.7109375" style="268" customWidth="1"/>
    <col min="4" max="4" width="54.7109375" style="268" bestFit="1" customWidth="1"/>
    <col min="5" max="10" width="9.140625" style="268"/>
    <col min="11" max="14" width="9.42578125" style="268" bestFit="1" customWidth="1"/>
    <col min="15" max="16384" width="9.140625" style="268"/>
  </cols>
  <sheetData>
    <row r="1" spans="1:11" ht="18.75" x14ac:dyDescent="0.3">
      <c r="A1" s="78" t="s">
        <v>136</v>
      </c>
      <c r="B1" s="51"/>
      <c r="C1" s="52"/>
      <c r="H1" s="51"/>
    </row>
    <row r="2" spans="1:11" x14ac:dyDescent="0.25">
      <c r="A2" s="50" t="s">
        <v>120</v>
      </c>
      <c r="B2" s="536" t="s">
        <v>320</v>
      </c>
      <c r="C2" s="52"/>
      <c r="H2" s="52"/>
    </row>
    <row r="3" spans="1:11" x14ac:dyDescent="0.25">
      <c r="A3" s="50" t="s">
        <v>137</v>
      </c>
      <c r="B3" s="537" t="s">
        <v>745</v>
      </c>
      <c r="C3" s="64"/>
      <c r="H3" s="52"/>
    </row>
    <row r="4" spans="1:11" x14ac:dyDescent="0.25">
      <c r="A4" s="213" t="s">
        <v>127</v>
      </c>
      <c r="B4" s="64">
        <v>2020</v>
      </c>
      <c r="C4" s="64"/>
      <c r="H4" s="52"/>
    </row>
    <row r="5" spans="1:11" x14ac:dyDescent="0.25">
      <c r="A5" s="66" t="s">
        <v>122</v>
      </c>
      <c r="B5" s="532" t="s">
        <v>294</v>
      </c>
      <c r="C5" s="52"/>
      <c r="H5" s="52"/>
    </row>
    <row r="6" spans="1:11" x14ac:dyDescent="0.25">
      <c r="A6" s="50" t="s">
        <v>128</v>
      </c>
      <c r="B6" s="535">
        <v>44491</v>
      </c>
      <c r="C6" s="52"/>
      <c r="H6" s="52"/>
    </row>
    <row r="7" spans="1:11" x14ac:dyDescent="0.25">
      <c r="A7" s="50"/>
      <c r="B7" s="65"/>
      <c r="C7" s="52"/>
      <c r="H7" s="52"/>
    </row>
    <row r="8" spans="1:11" x14ac:dyDescent="0.25">
      <c r="A8" s="50"/>
      <c r="B8" s="56"/>
      <c r="C8" s="52"/>
      <c r="H8" s="52"/>
    </row>
    <row r="9" spans="1:11" x14ac:dyDescent="0.25">
      <c r="A9" s="269"/>
      <c r="B9" s="269">
        <v>1</v>
      </c>
      <c r="C9" s="269">
        <v>2</v>
      </c>
      <c r="D9" s="269">
        <v>3</v>
      </c>
      <c r="E9" s="52"/>
      <c r="H9" s="51"/>
    </row>
    <row r="10" spans="1:11" ht="45" x14ac:dyDescent="0.25">
      <c r="A10" s="276" t="s">
        <v>59</v>
      </c>
      <c r="B10" s="739" t="s">
        <v>138</v>
      </c>
      <c r="C10" s="739" t="s">
        <v>139</v>
      </c>
      <c r="D10" s="277" t="s">
        <v>119</v>
      </c>
      <c r="E10" s="54"/>
      <c r="H10" s="53"/>
    </row>
    <row r="11" spans="1:11" x14ac:dyDescent="0.25">
      <c r="A11" s="270">
        <v>1</v>
      </c>
      <c r="B11" s="738">
        <v>0.49987916017975204</v>
      </c>
      <c r="C11" s="740">
        <v>0.99087016939343342</v>
      </c>
      <c r="D11" s="271" t="s">
        <v>17</v>
      </c>
      <c r="E11" s="54"/>
      <c r="I11" s="51"/>
      <c r="J11" s="51"/>
      <c r="K11" s="51"/>
    </row>
    <row r="12" spans="1:11" x14ac:dyDescent="0.25">
      <c r="A12" s="270">
        <v>2.1</v>
      </c>
      <c r="B12" s="738">
        <v>0.48378394701008326</v>
      </c>
      <c r="C12" s="740">
        <v>0.84058086144651389</v>
      </c>
      <c r="D12" s="271" t="s">
        <v>9</v>
      </c>
      <c r="E12" s="54"/>
      <c r="I12" s="51"/>
      <c r="J12" s="51"/>
      <c r="K12" s="51"/>
    </row>
    <row r="13" spans="1:11" x14ac:dyDescent="0.25">
      <c r="A13" s="270">
        <v>3</v>
      </c>
      <c r="B13" s="738">
        <v>0.47626559004248142</v>
      </c>
      <c r="C13" s="740">
        <v>0.98537116230549782</v>
      </c>
      <c r="D13" s="271" t="s">
        <v>44</v>
      </c>
      <c r="E13" s="54"/>
      <c r="I13" s="51"/>
      <c r="J13" s="51"/>
      <c r="K13" s="51"/>
    </row>
    <row r="14" spans="1:11" x14ac:dyDescent="0.25">
      <c r="A14" s="270">
        <v>4</v>
      </c>
      <c r="B14" s="738">
        <v>0.51820928506931496</v>
      </c>
      <c r="C14" s="740">
        <v>0.89610551426840934</v>
      </c>
      <c r="D14" s="271" t="s">
        <v>45</v>
      </c>
      <c r="E14" s="54"/>
      <c r="I14" s="51"/>
      <c r="J14" s="51"/>
      <c r="K14" s="51"/>
    </row>
    <row r="15" spans="1:11" x14ac:dyDescent="0.25">
      <c r="A15" s="270">
        <v>5</v>
      </c>
      <c r="B15" s="738">
        <v>0.48838031971370827</v>
      </c>
      <c r="C15" s="740">
        <v>1.7434755596365439</v>
      </c>
      <c r="D15" s="271" t="s">
        <v>124</v>
      </c>
      <c r="E15" s="54"/>
      <c r="I15" s="51"/>
      <c r="J15" s="51"/>
      <c r="K15" s="51"/>
    </row>
    <row r="16" spans="1:11" x14ac:dyDescent="0.25">
      <c r="A16" s="270">
        <v>5.0999999999999996</v>
      </c>
      <c r="B16" s="738">
        <v>0.48296506859491667</v>
      </c>
      <c r="C16" s="740">
        <v>0.85550159934999637</v>
      </c>
      <c r="D16" s="271" t="s">
        <v>43</v>
      </c>
      <c r="E16" s="54"/>
      <c r="I16" s="51"/>
      <c r="J16" s="51"/>
      <c r="K16" s="51"/>
    </row>
    <row r="17" spans="1:11" x14ac:dyDescent="0.25">
      <c r="A17" s="270">
        <v>5.2</v>
      </c>
      <c r="B17" s="738">
        <v>0.49801722570468882</v>
      </c>
      <c r="C17" s="740">
        <v>2.8433306647870635</v>
      </c>
      <c r="D17" s="271" t="s">
        <v>42</v>
      </c>
      <c r="E17" s="54"/>
      <c r="I17" s="51"/>
      <c r="J17" s="51"/>
      <c r="K17" s="51"/>
    </row>
    <row r="18" spans="1:11" x14ac:dyDescent="0.25">
      <c r="A18" s="270">
        <v>9</v>
      </c>
      <c r="B18" s="738">
        <v>0.27279693855486054</v>
      </c>
      <c r="C18" s="740">
        <v>0.38732053946044664</v>
      </c>
      <c r="D18" s="271" t="s">
        <v>20</v>
      </c>
      <c r="E18" s="54"/>
      <c r="I18" s="51"/>
      <c r="J18" s="51"/>
      <c r="K18" s="51"/>
    </row>
    <row r="19" spans="1:11" x14ac:dyDescent="0.25">
      <c r="A19" s="270">
        <v>11</v>
      </c>
      <c r="B19" s="738">
        <v>0.5513965098272936</v>
      </c>
      <c r="C19" s="740">
        <v>2.9614351978812086</v>
      </c>
      <c r="D19" s="272" t="s">
        <v>21</v>
      </c>
      <c r="E19" s="54"/>
      <c r="I19" s="51"/>
      <c r="J19" s="51"/>
      <c r="K19" s="51"/>
    </row>
    <row r="20" spans="1:11" x14ac:dyDescent="0.25">
      <c r="A20" s="270">
        <v>11.1</v>
      </c>
      <c r="B20" s="738">
        <v>0.67476924555863593</v>
      </c>
      <c r="C20" s="740">
        <v>4.9398113713816283</v>
      </c>
      <c r="D20" s="272" t="s">
        <v>47</v>
      </c>
      <c r="E20" s="54"/>
      <c r="I20" s="51"/>
      <c r="J20" s="51"/>
      <c r="K20" s="51"/>
    </row>
    <row r="21" spans="1:11" x14ac:dyDescent="0.25">
      <c r="A21" s="270">
        <v>11.2</v>
      </c>
      <c r="B21" s="738">
        <v>0.50895514678413967</v>
      </c>
      <c r="C21" s="740">
        <v>2.4306102143445778</v>
      </c>
      <c r="D21" s="272" t="s">
        <v>46</v>
      </c>
      <c r="E21" s="54"/>
      <c r="I21" s="51"/>
      <c r="J21" s="51"/>
      <c r="K21" s="51"/>
    </row>
    <row r="22" spans="1:11" x14ac:dyDescent="0.25">
      <c r="A22" s="270" t="s">
        <v>328</v>
      </c>
      <c r="B22" s="738">
        <f>B19</f>
        <v>0.5513965098272936</v>
      </c>
      <c r="C22" s="740">
        <f t="shared" ref="C22:C24" si="0">C19</f>
        <v>2.9614351978812086</v>
      </c>
      <c r="D22" s="273" t="s">
        <v>326</v>
      </c>
      <c r="E22" s="54"/>
      <c r="I22" s="51"/>
      <c r="J22" s="51"/>
      <c r="K22" s="51"/>
    </row>
    <row r="23" spans="1:11" x14ac:dyDescent="0.25">
      <c r="A23" s="270" t="s">
        <v>329</v>
      </c>
      <c r="B23" s="738">
        <f>B20</f>
        <v>0.67476924555863593</v>
      </c>
      <c r="C23" s="740">
        <f t="shared" si="0"/>
        <v>4.9398113713816283</v>
      </c>
      <c r="D23" s="273" t="s">
        <v>327</v>
      </c>
      <c r="E23" s="54"/>
      <c r="I23" s="51"/>
      <c r="J23" s="51"/>
      <c r="K23" s="51"/>
    </row>
    <row r="24" spans="1:11" x14ac:dyDescent="0.25">
      <c r="A24" s="270" t="s">
        <v>330</v>
      </c>
      <c r="B24" s="738">
        <f>B21</f>
        <v>0.50895514678413967</v>
      </c>
      <c r="C24" s="740">
        <f t="shared" si="0"/>
        <v>2.4306102143445778</v>
      </c>
      <c r="D24" s="273" t="s">
        <v>324</v>
      </c>
      <c r="E24" s="54"/>
      <c r="I24" s="51"/>
      <c r="J24" s="51"/>
      <c r="K24" s="51"/>
    </row>
    <row r="25" spans="1:11" x14ac:dyDescent="0.25">
      <c r="A25" s="270">
        <v>12</v>
      </c>
      <c r="B25" s="738">
        <v>0.49705353764381821</v>
      </c>
      <c r="C25" s="740">
        <v>1</v>
      </c>
      <c r="D25" s="272" t="s">
        <v>14</v>
      </c>
      <c r="E25" s="54"/>
      <c r="I25" s="51"/>
      <c r="J25" s="51"/>
      <c r="K25" s="51"/>
    </row>
    <row r="26" spans="1:11" x14ac:dyDescent="0.25">
      <c r="A26" s="270" t="s">
        <v>331</v>
      </c>
      <c r="B26" s="738">
        <f>B25</f>
        <v>0.49705353764381821</v>
      </c>
      <c r="C26" s="740">
        <f>C25</f>
        <v>1</v>
      </c>
      <c r="D26" s="273" t="s">
        <v>325</v>
      </c>
      <c r="E26" s="54"/>
      <c r="I26" s="51"/>
      <c r="J26" s="51"/>
      <c r="K26" s="51"/>
    </row>
    <row r="27" spans="1:11" x14ac:dyDescent="0.25">
      <c r="A27" s="274">
        <v>17</v>
      </c>
      <c r="B27" s="738">
        <v>0.59636953890563449</v>
      </c>
      <c r="C27" s="740">
        <v>3.0642917842230175</v>
      </c>
      <c r="D27" s="272" t="s">
        <v>23</v>
      </c>
      <c r="E27" s="54"/>
      <c r="I27" s="51"/>
      <c r="J27" s="51"/>
      <c r="K27" s="51"/>
    </row>
    <row r="28" spans="1:11" x14ac:dyDescent="0.25">
      <c r="A28" s="274">
        <v>17.100000000000001</v>
      </c>
      <c r="B28" s="738">
        <v>0.56568767471509529</v>
      </c>
      <c r="C28" s="740">
        <v>3.3328987445991727</v>
      </c>
      <c r="D28" s="272" t="s">
        <v>49</v>
      </c>
      <c r="E28" s="54"/>
      <c r="I28" s="51"/>
      <c r="J28" s="51"/>
      <c r="K28" s="51"/>
    </row>
    <row r="29" spans="1:11" x14ac:dyDescent="0.25">
      <c r="A29" s="274">
        <v>17.2</v>
      </c>
      <c r="B29" s="738">
        <v>0.632873472562686</v>
      </c>
      <c r="C29" s="740">
        <v>2.6457942427499086</v>
      </c>
      <c r="D29" s="272" t="s">
        <v>48</v>
      </c>
      <c r="E29" s="54"/>
      <c r="I29" s="51"/>
      <c r="J29" s="51"/>
      <c r="K29" s="51"/>
    </row>
    <row r="30" spans="1:11" x14ac:dyDescent="0.25">
      <c r="A30" s="270">
        <v>18</v>
      </c>
      <c r="B30" s="738">
        <v>0.50474210667146391</v>
      </c>
      <c r="C30" s="740">
        <v>4.9890532462862716</v>
      </c>
      <c r="D30" s="272" t="s">
        <v>24</v>
      </c>
      <c r="E30" s="54"/>
      <c r="I30" s="51"/>
      <c r="J30" s="51"/>
      <c r="K30" s="51"/>
    </row>
    <row r="31" spans="1:11" x14ac:dyDescent="0.25">
      <c r="A31" s="270">
        <v>18.100000000000001</v>
      </c>
      <c r="B31" s="738">
        <v>0.50886063434916773</v>
      </c>
      <c r="C31" s="740">
        <v>5.0939821587790437</v>
      </c>
      <c r="D31" s="272" t="s">
        <v>53</v>
      </c>
      <c r="E31" s="54"/>
      <c r="I31" s="51"/>
      <c r="J31" s="51"/>
      <c r="K31" s="51"/>
    </row>
    <row r="32" spans="1:11" x14ac:dyDescent="0.25">
      <c r="A32" s="270">
        <v>18.2</v>
      </c>
      <c r="B32" s="738">
        <v>0.48393572021563874</v>
      </c>
      <c r="C32" s="740">
        <v>4.4849988899839444</v>
      </c>
      <c r="D32" s="272" t="s">
        <v>52</v>
      </c>
      <c r="E32" s="54"/>
      <c r="I32" s="51"/>
      <c r="J32" s="51"/>
      <c r="K32" s="51"/>
    </row>
    <row r="33" spans="1:14" x14ac:dyDescent="0.25">
      <c r="A33" s="270">
        <v>19.2</v>
      </c>
      <c r="B33" s="738">
        <v>0.32984149635237803</v>
      </c>
      <c r="C33" s="740">
        <v>1.2289421602119517</v>
      </c>
      <c r="D33" s="272" t="s">
        <v>50</v>
      </c>
      <c r="E33" s="54"/>
      <c r="I33" s="51"/>
      <c r="J33" s="51"/>
      <c r="K33" s="51"/>
    </row>
    <row r="34" spans="1:14" x14ac:dyDescent="0.25">
      <c r="A34" s="270">
        <v>19.399999999999999</v>
      </c>
      <c r="B34" s="738">
        <v>0.47397950677621931</v>
      </c>
      <c r="C34" s="740">
        <v>1.6737264255562208</v>
      </c>
      <c r="D34" s="272" t="s">
        <v>39</v>
      </c>
      <c r="E34" s="54"/>
      <c r="I34" s="51"/>
      <c r="J34" s="51"/>
      <c r="K34" s="51"/>
    </row>
    <row r="35" spans="1:14" x14ac:dyDescent="0.25">
      <c r="A35" s="270">
        <v>21.1</v>
      </c>
      <c r="B35" s="738">
        <v>0.33549281014277643</v>
      </c>
      <c r="C35" s="740">
        <v>7.309859769299859E-2</v>
      </c>
      <c r="D35" s="272" t="s">
        <v>51</v>
      </c>
      <c r="E35" s="54"/>
      <c r="I35" s="51"/>
      <c r="J35" s="51"/>
      <c r="K35" s="51"/>
    </row>
    <row r="36" spans="1:14" x14ac:dyDescent="0.25">
      <c r="A36" s="270">
        <v>21.2</v>
      </c>
      <c r="B36" s="738">
        <v>0.45708595176689898</v>
      </c>
      <c r="C36" s="740">
        <v>0.31161970699853347</v>
      </c>
      <c r="D36" s="272" t="s">
        <v>40</v>
      </c>
      <c r="E36" s="54"/>
      <c r="I36" s="51"/>
      <c r="J36" s="51"/>
      <c r="K36" s="51"/>
    </row>
    <row r="37" spans="1:14" x14ac:dyDescent="0.25">
      <c r="A37" s="270">
        <v>22</v>
      </c>
      <c r="B37" s="738">
        <v>0.3813489240383941</v>
      </c>
      <c r="C37" s="740">
        <v>1.5320931041824319</v>
      </c>
      <c r="D37" s="272" t="s">
        <v>8</v>
      </c>
      <c r="E37" s="54"/>
      <c r="I37" s="51"/>
      <c r="J37" s="51"/>
      <c r="K37" s="51"/>
    </row>
    <row r="38" spans="1:14" x14ac:dyDescent="0.25">
      <c r="A38" s="270">
        <v>23</v>
      </c>
      <c r="B38" s="738">
        <v>0.58692844591892313</v>
      </c>
      <c r="C38" s="740">
        <v>2.6569693326058865</v>
      </c>
      <c r="D38" s="272" t="s">
        <v>16</v>
      </c>
      <c r="E38" s="54"/>
      <c r="I38" s="51"/>
      <c r="J38" s="51"/>
      <c r="K38" s="51"/>
    </row>
    <row r="39" spans="1:14" x14ac:dyDescent="0.25">
      <c r="A39" s="270">
        <v>24</v>
      </c>
      <c r="B39" s="738">
        <v>0.60157882093965775</v>
      </c>
      <c r="C39" s="740">
        <v>3.2689752038350917</v>
      </c>
      <c r="D39" s="272" t="s">
        <v>25</v>
      </c>
      <c r="E39" s="54"/>
      <c r="I39" s="51"/>
      <c r="J39" s="51"/>
      <c r="K39" s="51"/>
    </row>
    <row r="40" spans="1:14" x14ac:dyDescent="0.25">
      <c r="A40" s="275">
        <v>26</v>
      </c>
      <c r="B40" s="738">
        <v>0.54034635677167031</v>
      </c>
      <c r="C40" s="740">
        <v>0.69423202979333387</v>
      </c>
      <c r="D40" s="272" t="s">
        <v>13</v>
      </c>
      <c r="E40" s="54"/>
      <c r="I40" s="51"/>
      <c r="J40" s="51"/>
      <c r="K40" s="51"/>
    </row>
    <row r="41" spans="1:14" x14ac:dyDescent="0.25">
      <c r="A41" s="275">
        <v>27</v>
      </c>
      <c r="B41" s="738">
        <v>0.53559355669250563</v>
      </c>
      <c r="C41" s="740">
        <v>1.3358894349054864</v>
      </c>
      <c r="D41" s="272" t="s">
        <v>12</v>
      </c>
      <c r="E41" s="54"/>
      <c r="I41" s="51"/>
      <c r="J41" s="51"/>
      <c r="K41" s="51"/>
    </row>
    <row r="42" spans="1:14" x14ac:dyDescent="0.25">
      <c r="H42" s="51"/>
    </row>
    <row r="45" spans="1:14" x14ac:dyDescent="0.25">
      <c r="I45" s="51"/>
      <c r="J45" s="51"/>
      <c r="K45" s="51"/>
      <c r="L45" s="54"/>
      <c r="M45" s="54"/>
      <c r="N45" s="54"/>
    </row>
    <row r="46" spans="1:14" x14ac:dyDescent="0.25">
      <c r="E46" s="54"/>
      <c r="I46" s="55"/>
      <c r="J46" s="55"/>
      <c r="K46" s="52"/>
      <c r="L46" s="52"/>
      <c r="M46" s="52"/>
      <c r="N46" s="52"/>
    </row>
    <row r="47" spans="1:14" x14ac:dyDescent="0.25">
      <c r="E47" s="54"/>
    </row>
    <row r="48" spans="1:14" x14ac:dyDescent="0.25">
      <c r="E48" s="54"/>
    </row>
    <row r="49" spans="5:6" x14ac:dyDescent="0.25">
      <c r="E49" s="54"/>
    </row>
    <row r="50" spans="5:6" x14ac:dyDescent="0.25">
      <c r="E50" s="54"/>
    </row>
    <row r="51" spans="5:6" x14ac:dyDescent="0.25">
      <c r="E51" s="54"/>
    </row>
    <row r="52" spans="5:6" x14ac:dyDescent="0.25">
      <c r="E52" s="54"/>
    </row>
    <row r="53" spans="5:6" x14ac:dyDescent="0.25">
      <c r="E53" s="54"/>
      <c r="F53" s="54"/>
    </row>
    <row r="54" spans="5:6" x14ac:dyDescent="0.25">
      <c r="E54" s="54"/>
      <c r="F54" s="54"/>
    </row>
    <row r="55" spans="5:6" x14ac:dyDescent="0.25">
      <c r="E55" s="54"/>
      <c r="F55" s="54"/>
    </row>
  </sheetData>
  <sheetProtection algorithmName="SHA-512" hashValue="XR0MjILiPApp2VIB6gwqTazW0VuIFB/zvopfuh9tlm+iwNx4h+nkx+Wtml4v+FORINnSCnt6aNTHQwSXTc3tmQ==" saltValue="10gIHcZiwydO8iAWEfsyVA==" spinCount="100000" sheet="1" objects="1" scenarios="1" formatColumns="0" formatRows="0" sort="0"/>
  <printOptions horizontalCentered="1"/>
  <pageMargins left="0.45" right="0.45" top="0.5" bottom="0.5" header="0.3" footer="0.3"/>
  <pageSetup scale="92" orientation="portrait" r:id="rId1"/>
  <headerFooter>
    <oddFooter>&amp;CPrior Approval Rate Application
(Reserves Ratio)&amp;RPage R3&amp;L01/11/2022 Edition</oddFooter>
  </headerFooter>
  <legacy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20">
    <tabColor rgb="FF92D050"/>
  </sheetPr>
  <dimension ref="A1:D44"/>
  <sheetViews>
    <sheetView view="pageBreakPreview" zoomScaleNormal="100" zoomScaleSheetLayoutView="100" workbookViewId="0">
      <selection activeCell="B8" sqref="B8"/>
    </sheetView>
  </sheetViews>
  <sheetFormatPr defaultRowHeight="15" x14ac:dyDescent="0.25"/>
  <cols>
    <col min="1" max="1" width="17.28515625" customWidth="1"/>
    <col min="2" max="3" width="15.7109375" customWidth="1"/>
    <col min="4" max="4" width="55.42578125" bestFit="1" customWidth="1"/>
  </cols>
  <sheetData>
    <row r="1" spans="1:4" ht="18.75" x14ac:dyDescent="0.25">
      <c r="A1" s="79" t="s">
        <v>143</v>
      </c>
      <c r="B1" s="67"/>
      <c r="C1" s="77"/>
      <c r="D1" s="68"/>
    </row>
    <row r="2" spans="1:4" x14ac:dyDescent="0.25">
      <c r="A2" s="66" t="s">
        <v>120</v>
      </c>
      <c r="B2" s="536" t="s">
        <v>320</v>
      </c>
      <c r="C2" s="77"/>
      <c r="D2" s="68"/>
    </row>
    <row r="3" spans="1:4" x14ac:dyDescent="0.25">
      <c r="A3" s="66"/>
      <c r="B3" s="532" t="s">
        <v>280</v>
      </c>
      <c r="C3" s="77"/>
      <c r="D3" s="68"/>
    </row>
    <row r="4" spans="1:4" x14ac:dyDescent="0.25">
      <c r="A4" s="50" t="s">
        <v>135</v>
      </c>
      <c r="B4" s="533">
        <v>2021</v>
      </c>
      <c r="C4" s="77"/>
      <c r="D4" s="68"/>
    </row>
    <row r="5" spans="1:4" x14ac:dyDescent="0.25">
      <c r="A5" s="213" t="s">
        <v>127</v>
      </c>
      <c r="B5" s="64">
        <v>2020</v>
      </c>
      <c r="C5" s="77"/>
      <c r="D5" s="68"/>
    </row>
    <row r="6" spans="1:4" x14ac:dyDescent="0.25">
      <c r="A6" s="66" t="s">
        <v>122</v>
      </c>
      <c r="B6" s="532" t="s">
        <v>293</v>
      </c>
      <c r="C6" s="77"/>
      <c r="D6" s="68"/>
    </row>
    <row r="7" spans="1:4" x14ac:dyDescent="0.25">
      <c r="A7" s="66" t="s">
        <v>128</v>
      </c>
      <c r="B7" s="538">
        <v>44491</v>
      </c>
      <c r="C7" s="77"/>
      <c r="D7" s="68"/>
    </row>
    <row r="8" spans="1:4" x14ac:dyDescent="0.25">
      <c r="A8" s="66"/>
      <c r="B8" s="70"/>
      <c r="C8" s="77"/>
      <c r="D8" s="68"/>
    </row>
    <row r="9" spans="1:4" x14ac:dyDescent="0.25">
      <c r="A9" s="63"/>
      <c r="B9" s="63">
        <v>1</v>
      </c>
      <c r="C9" s="63">
        <v>2</v>
      </c>
      <c r="D9" s="63">
        <v>3</v>
      </c>
    </row>
    <row r="10" spans="1:4" ht="30" x14ac:dyDescent="0.25">
      <c r="A10" s="63" t="s">
        <v>59</v>
      </c>
      <c r="B10" s="80" t="s">
        <v>153</v>
      </c>
      <c r="C10" s="80" t="s">
        <v>154</v>
      </c>
      <c r="D10" s="80" t="s">
        <v>119</v>
      </c>
    </row>
    <row r="11" spans="1:4" x14ac:dyDescent="0.25">
      <c r="A11" s="57">
        <v>1</v>
      </c>
      <c r="B11" s="741">
        <v>9730494</v>
      </c>
      <c r="C11" s="741">
        <v>325983</v>
      </c>
      <c r="D11" s="58" t="s">
        <v>17</v>
      </c>
    </row>
    <row r="12" spans="1:4" x14ac:dyDescent="0.25">
      <c r="A12" s="57">
        <v>2.1</v>
      </c>
      <c r="B12" s="741">
        <v>12832735</v>
      </c>
      <c r="C12" s="741">
        <v>433529</v>
      </c>
      <c r="D12" s="58" t="s">
        <v>9</v>
      </c>
    </row>
    <row r="13" spans="1:4" x14ac:dyDescent="0.25">
      <c r="A13" s="57">
        <v>3</v>
      </c>
      <c r="B13" s="741">
        <v>3217279</v>
      </c>
      <c r="C13" s="741">
        <v>59202</v>
      </c>
      <c r="D13" s="58" t="s">
        <v>44</v>
      </c>
    </row>
    <row r="14" spans="1:4" x14ac:dyDescent="0.25">
      <c r="A14" s="57">
        <v>4</v>
      </c>
      <c r="B14" s="741">
        <v>71201621</v>
      </c>
      <c r="C14" s="741">
        <v>2100173</v>
      </c>
      <c r="D14" s="58" t="s">
        <v>45</v>
      </c>
    </row>
    <row r="15" spans="1:4" x14ac:dyDescent="0.25">
      <c r="A15" s="57">
        <v>5</v>
      </c>
      <c r="B15" s="640">
        <f>B16+B17</f>
        <v>27755211</v>
      </c>
      <c r="C15" s="640">
        <f>C16+C17</f>
        <v>3334733</v>
      </c>
      <c r="D15" s="58" t="s">
        <v>124</v>
      </c>
    </row>
    <row r="16" spans="1:4" x14ac:dyDescent="0.25">
      <c r="A16" s="57">
        <v>5.0999999999999996</v>
      </c>
      <c r="B16" s="741">
        <v>19549086</v>
      </c>
      <c r="C16" s="741">
        <v>824194</v>
      </c>
      <c r="D16" s="58" t="s">
        <v>43</v>
      </c>
    </row>
    <row r="17" spans="1:4" x14ac:dyDescent="0.25">
      <c r="A17" s="57">
        <v>5.2</v>
      </c>
      <c r="B17" s="741">
        <v>8206125</v>
      </c>
      <c r="C17" s="741">
        <v>2510539</v>
      </c>
      <c r="D17" s="58" t="s">
        <v>42</v>
      </c>
    </row>
    <row r="18" spans="1:4" x14ac:dyDescent="0.25">
      <c r="A18" s="57">
        <v>9</v>
      </c>
      <c r="B18" s="741">
        <v>16350631</v>
      </c>
      <c r="C18" s="741">
        <v>428340</v>
      </c>
      <c r="D18" s="58" t="s">
        <v>20</v>
      </c>
    </row>
    <row r="19" spans="1:4" x14ac:dyDescent="0.25">
      <c r="A19" s="57">
        <v>11</v>
      </c>
      <c r="B19" s="741">
        <v>5592166</v>
      </c>
      <c r="C19" s="741">
        <v>2280537</v>
      </c>
      <c r="D19" s="59" t="s">
        <v>21</v>
      </c>
    </row>
    <row r="20" spans="1:4" ht="17.25" x14ac:dyDescent="0.25">
      <c r="A20" s="57">
        <v>11.1</v>
      </c>
      <c r="B20" s="640">
        <f>B19</f>
        <v>5592166</v>
      </c>
      <c r="C20" s="640">
        <f>C19</f>
        <v>2280537</v>
      </c>
      <c r="D20" s="59" t="s">
        <v>145</v>
      </c>
    </row>
    <row r="21" spans="1:4" ht="17.25" x14ac:dyDescent="0.25">
      <c r="A21" s="57">
        <v>11.2</v>
      </c>
      <c r="B21" s="640">
        <f>B19</f>
        <v>5592166</v>
      </c>
      <c r="C21" s="640">
        <f>C19</f>
        <v>2280537</v>
      </c>
      <c r="D21" s="59" t="s">
        <v>146</v>
      </c>
    </row>
    <row r="22" spans="1:4" x14ac:dyDescent="0.25">
      <c r="A22" s="57" t="s">
        <v>328</v>
      </c>
      <c r="B22" s="640">
        <f>B19</f>
        <v>5592166</v>
      </c>
      <c r="C22" s="640">
        <f>C19</f>
        <v>2280537</v>
      </c>
      <c r="D22" s="221" t="s">
        <v>326</v>
      </c>
    </row>
    <row r="23" spans="1:4" ht="17.25" x14ac:dyDescent="0.25">
      <c r="A23" s="57" t="s">
        <v>329</v>
      </c>
      <c r="B23" s="640">
        <f>B19</f>
        <v>5592166</v>
      </c>
      <c r="C23" s="640">
        <f>C19</f>
        <v>2280537</v>
      </c>
      <c r="D23" s="221" t="s">
        <v>332</v>
      </c>
    </row>
    <row r="24" spans="1:4" ht="17.25" x14ac:dyDescent="0.25">
      <c r="A24" s="57" t="s">
        <v>330</v>
      </c>
      <c r="B24" s="640">
        <f>B19</f>
        <v>5592166</v>
      </c>
      <c r="C24" s="640">
        <f>C19</f>
        <v>2280537</v>
      </c>
      <c r="D24" s="221" t="s">
        <v>333</v>
      </c>
    </row>
    <row r="25" spans="1:4" x14ac:dyDescent="0.25">
      <c r="A25" s="57">
        <v>12</v>
      </c>
      <c r="B25" s="741">
        <v>309341</v>
      </c>
      <c r="C25" s="741">
        <v>19332</v>
      </c>
      <c r="D25" s="59" t="s">
        <v>14</v>
      </c>
    </row>
    <row r="26" spans="1:4" x14ac:dyDescent="0.25">
      <c r="A26" s="57" t="s">
        <v>331</v>
      </c>
      <c r="B26" s="640">
        <f>B25</f>
        <v>309341</v>
      </c>
      <c r="C26" s="640">
        <f>C25</f>
        <v>19332</v>
      </c>
      <c r="D26" s="221" t="s">
        <v>325</v>
      </c>
    </row>
    <row r="27" spans="1:4" x14ac:dyDescent="0.25">
      <c r="A27" s="60">
        <v>17</v>
      </c>
      <c r="B27" s="640">
        <f>B28+B29</f>
        <v>51187428</v>
      </c>
      <c r="C27" s="640">
        <f>C28+C29</f>
        <v>9463764</v>
      </c>
      <c r="D27" s="59" t="s">
        <v>23</v>
      </c>
    </row>
    <row r="28" spans="1:4" ht="17.25" x14ac:dyDescent="0.25">
      <c r="A28" s="60">
        <v>17.100000000000001</v>
      </c>
      <c r="B28" s="741">
        <v>34734688</v>
      </c>
      <c r="C28" s="741">
        <v>5770520</v>
      </c>
      <c r="D28" s="59" t="s">
        <v>147</v>
      </c>
    </row>
    <row r="29" spans="1:4" ht="17.25" x14ac:dyDescent="0.25">
      <c r="A29" s="60">
        <v>17.2</v>
      </c>
      <c r="B29" s="741">
        <v>16452740</v>
      </c>
      <c r="C29" s="741">
        <v>3693244</v>
      </c>
      <c r="D29" s="59" t="s">
        <v>148</v>
      </c>
    </row>
    <row r="30" spans="1:4" x14ac:dyDescent="0.25">
      <c r="A30" s="57">
        <v>18</v>
      </c>
      <c r="B30" s="741">
        <v>1978561</v>
      </c>
      <c r="C30" s="741">
        <v>897309</v>
      </c>
      <c r="D30" s="59" t="s">
        <v>24</v>
      </c>
    </row>
    <row r="31" spans="1:4" ht="17.25" x14ac:dyDescent="0.25">
      <c r="A31" s="57">
        <v>18.100000000000001</v>
      </c>
      <c r="B31" s="640">
        <f>B30</f>
        <v>1978561</v>
      </c>
      <c r="C31" s="640">
        <f>C30</f>
        <v>897309</v>
      </c>
      <c r="D31" s="59" t="s">
        <v>149</v>
      </c>
    </row>
    <row r="32" spans="1:4" ht="17.25" x14ac:dyDescent="0.25">
      <c r="A32" s="57">
        <v>18.2</v>
      </c>
      <c r="B32" s="640">
        <f>B30</f>
        <v>1978561</v>
      </c>
      <c r="C32" s="640">
        <f>C30</f>
        <v>897309</v>
      </c>
      <c r="D32" s="59" t="s">
        <v>150</v>
      </c>
    </row>
    <row r="33" spans="1:4" x14ac:dyDescent="0.25">
      <c r="A33" s="57">
        <v>19.2</v>
      </c>
      <c r="B33" s="741">
        <v>74745517</v>
      </c>
      <c r="C33" s="741">
        <v>4483019</v>
      </c>
      <c r="D33" s="59" t="s">
        <v>50</v>
      </c>
    </row>
    <row r="34" spans="1:4" x14ac:dyDescent="0.25">
      <c r="A34" s="57">
        <v>19.399999999999999</v>
      </c>
      <c r="B34" s="741">
        <v>22855995</v>
      </c>
      <c r="C34" s="741">
        <v>2431124</v>
      </c>
      <c r="D34" s="59" t="s">
        <v>39</v>
      </c>
    </row>
    <row r="35" spans="1:4" x14ac:dyDescent="0.25">
      <c r="A35" s="57">
        <v>21.1</v>
      </c>
      <c r="B35" s="741">
        <v>55843680</v>
      </c>
      <c r="C35" s="741">
        <v>276993</v>
      </c>
      <c r="D35" s="59" t="s">
        <v>51</v>
      </c>
    </row>
    <row r="36" spans="1:4" x14ac:dyDescent="0.25">
      <c r="A36" s="57">
        <v>21.2</v>
      </c>
      <c r="B36" s="741">
        <v>5459703</v>
      </c>
      <c r="C36" s="741">
        <v>92472</v>
      </c>
      <c r="D36" s="59" t="s">
        <v>40</v>
      </c>
    </row>
    <row r="37" spans="1:4" x14ac:dyDescent="0.25">
      <c r="A37" s="57">
        <v>22</v>
      </c>
      <c r="B37" s="741">
        <v>1255778</v>
      </c>
      <c r="C37" s="741">
        <v>129995</v>
      </c>
      <c r="D37" s="59" t="s">
        <v>8</v>
      </c>
    </row>
    <row r="38" spans="1:4" x14ac:dyDescent="0.25">
      <c r="A38" s="57">
        <v>23</v>
      </c>
      <c r="B38" s="741">
        <v>561799</v>
      </c>
      <c r="C38" s="741">
        <v>-26800</v>
      </c>
      <c r="D38" s="59" t="s">
        <v>16</v>
      </c>
    </row>
    <row r="39" spans="1:4" x14ac:dyDescent="0.25">
      <c r="A39" s="57">
        <v>24</v>
      </c>
      <c r="B39" s="741">
        <v>1572324</v>
      </c>
      <c r="C39" s="741">
        <v>208817</v>
      </c>
      <c r="D39" s="59" t="s">
        <v>25</v>
      </c>
    </row>
    <row r="40" spans="1:4" x14ac:dyDescent="0.25">
      <c r="A40" s="61">
        <v>26</v>
      </c>
      <c r="B40" s="741">
        <v>324517</v>
      </c>
      <c r="C40" s="741">
        <v>9262</v>
      </c>
      <c r="D40" s="59" t="s">
        <v>13</v>
      </c>
    </row>
    <row r="41" spans="1:4" x14ac:dyDescent="0.25">
      <c r="A41" s="61">
        <v>27</v>
      </c>
      <c r="B41" s="741">
        <v>1122646</v>
      </c>
      <c r="C41" s="741">
        <v>39624</v>
      </c>
      <c r="D41" s="59" t="s">
        <v>12</v>
      </c>
    </row>
    <row r="42" spans="1:4" x14ac:dyDescent="0.25">
      <c r="A42" s="11"/>
      <c r="B42" s="11"/>
      <c r="C42" s="11"/>
      <c r="D42" s="11"/>
    </row>
    <row r="43" spans="1:4" ht="17.25" x14ac:dyDescent="0.25">
      <c r="A43" s="14" t="s">
        <v>151</v>
      </c>
    </row>
    <row r="44" spans="1:4" ht="17.25" customHeight="1" x14ac:dyDescent="0.25">
      <c r="A44" s="2" t="s">
        <v>152</v>
      </c>
    </row>
  </sheetData>
  <sheetProtection algorithmName="SHA-512" hashValue="pmipxkCJQvgD0v2P4/tfZqjjuBUcHJ0oUV+ZV9gbVAtBRBure8WfKINXKzOlUVXnUNmERt/Ua6I6icJlpwND+A==" saltValue="OE2fpW/Vw3DZHmsF1WHJvA==" spinCount="100000" sheet="1" objects="1" scenarios="1" formatColumns="0" formatRows="0" sort="0"/>
  <pageMargins left="0.7" right="0.7" top="0.75" bottom="0.75" header="0.3" footer="0.3"/>
  <pageSetup scale="86" orientation="portrait" r:id="rId1"/>
  <headerFooter>
    <oddFooter>&amp;L01/11/2022 Edition</oddFooter>
  </headerFooter>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5">
    <tabColor rgb="FF92D050"/>
  </sheetPr>
  <dimension ref="A1:D41"/>
  <sheetViews>
    <sheetView view="pageBreakPreview" zoomScaleNormal="100" zoomScaleSheetLayoutView="100" workbookViewId="0"/>
  </sheetViews>
  <sheetFormatPr defaultRowHeight="15" x14ac:dyDescent="0.25"/>
  <cols>
    <col min="1" max="1" width="26.42578125" style="272" customWidth="1"/>
    <col min="2" max="2" width="27.42578125" style="272" customWidth="1"/>
    <col min="3" max="3" width="15.7109375" style="272" customWidth="1"/>
    <col min="4" max="4" width="27.42578125" style="272" customWidth="1"/>
    <col min="5" max="16384" width="9.140625" style="272"/>
  </cols>
  <sheetData>
    <row r="1" spans="1:4" s="647" customFormat="1" ht="18.75" x14ac:dyDescent="0.25">
      <c r="A1" s="644" t="s">
        <v>442</v>
      </c>
      <c r="B1" s="646"/>
      <c r="C1" s="645"/>
      <c r="D1" s="646"/>
    </row>
    <row r="2" spans="1:4" s="647" customFormat="1" x14ac:dyDescent="0.25">
      <c r="A2" s="648" t="s">
        <v>120</v>
      </c>
      <c r="B2" s="649" t="s">
        <v>722</v>
      </c>
      <c r="C2" s="649"/>
      <c r="D2" s="646"/>
    </row>
    <row r="3" spans="1:4" s="647" customFormat="1" x14ac:dyDescent="0.25">
      <c r="A3" s="650" t="s">
        <v>135</v>
      </c>
      <c r="B3" s="651">
        <v>2018</v>
      </c>
      <c r="C3" s="651"/>
      <c r="D3" s="646"/>
    </row>
    <row r="4" spans="1:4" s="647" customFormat="1" x14ac:dyDescent="0.25">
      <c r="A4" s="648" t="s">
        <v>122</v>
      </c>
      <c r="B4" s="652" t="s">
        <v>293</v>
      </c>
      <c r="C4" s="652"/>
      <c r="D4" s="646"/>
    </row>
    <row r="5" spans="1:4" s="647" customFormat="1" x14ac:dyDescent="0.25">
      <c r="A5" s="648" t="s">
        <v>128</v>
      </c>
      <c r="B5" s="538">
        <v>43154</v>
      </c>
      <c r="C5" s="538"/>
      <c r="D5" s="646"/>
    </row>
    <row r="6" spans="1:4" s="647" customFormat="1" x14ac:dyDescent="0.25">
      <c r="A6" s="669"/>
      <c r="B6" s="669"/>
      <c r="C6" s="669"/>
      <c r="D6" s="669"/>
    </row>
    <row r="7" spans="1:4" s="647" customFormat="1" ht="15.75" thickBot="1" x14ac:dyDescent="0.3">
      <c r="A7" s="648"/>
      <c r="B7" s="653">
        <v>1</v>
      </c>
      <c r="C7" s="653"/>
      <c r="D7" s="653"/>
    </row>
    <row r="8" spans="1:4" s="647" customFormat="1" ht="15.75" thickBot="1" x14ac:dyDescent="0.3">
      <c r="A8" s="671"/>
      <c r="B8" s="672" t="s">
        <v>722</v>
      </c>
      <c r="C8" s="653"/>
      <c r="D8" s="653"/>
    </row>
    <row r="9" spans="1:4" s="647" customFormat="1" ht="15.75" thickBot="1" x14ac:dyDescent="0.3">
      <c r="A9" s="659"/>
      <c r="B9" s="668">
        <v>0.21</v>
      </c>
      <c r="C9" s="684"/>
      <c r="D9" s="684"/>
    </row>
    <row r="10" spans="1:4" s="647" customFormat="1" x14ac:dyDescent="0.25">
      <c r="A10" s="673" t="s">
        <v>449</v>
      </c>
      <c r="B10" s="674"/>
      <c r="C10" s="685"/>
      <c r="D10" s="686"/>
    </row>
    <row r="11" spans="1:4" s="647" customFormat="1" x14ac:dyDescent="0.25">
      <c r="A11" s="675" t="s">
        <v>450</v>
      </c>
      <c r="B11" s="676">
        <v>0.21</v>
      </c>
      <c r="C11" s="686"/>
      <c r="D11" s="686"/>
    </row>
    <row r="12" spans="1:4" s="647" customFormat="1" x14ac:dyDescent="0.25">
      <c r="A12" s="675" t="s">
        <v>451</v>
      </c>
      <c r="B12" s="676">
        <v>0.21</v>
      </c>
      <c r="C12" s="686"/>
      <c r="D12" s="686"/>
    </row>
    <row r="13" spans="1:4" s="647" customFormat="1" x14ac:dyDescent="0.25">
      <c r="A13" s="675" t="s">
        <v>452</v>
      </c>
      <c r="B13" s="676">
        <v>0.21</v>
      </c>
      <c r="C13" s="686"/>
      <c r="D13" s="686"/>
    </row>
    <row r="14" spans="1:4" s="647" customFormat="1" x14ac:dyDescent="0.25">
      <c r="A14" s="677" t="s">
        <v>453</v>
      </c>
      <c r="B14" s="676"/>
      <c r="C14" s="686"/>
      <c r="D14" s="686"/>
    </row>
    <row r="15" spans="1:4" s="647" customFormat="1" x14ac:dyDescent="0.25">
      <c r="A15" s="675" t="s">
        <v>450</v>
      </c>
      <c r="B15" s="676">
        <v>0.21</v>
      </c>
      <c r="C15" s="686"/>
      <c r="D15" s="686"/>
    </row>
    <row r="16" spans="1:4" s="647" customFormat="1" x14ac:dyDescent="0.25">
      <c r="A16" s="675" t="s">
        <v>451</v>
      </c>
      <c r="B16" s="676">
        <v>0.21</v>
      </c>
      <c r="C16" s="686"/>
      <c r="D16" s="686"/>
    </row>
    <row r="17" spans="1:4" s="647" customFormat="1" x14ac:dyDescent="0.25">
      <c r="A17" s="675" t="s">
        <v>452</v>
      </c>
      <c r="B17" s="676">
        <v>0.21</v>
      </c>
      <c r="C17" s="686"/>
      <c r="D17" s="686"/>
    </row>
    <row r="18" spans="1:4" s="647" customFormat="1" x14ac:dyDescent="0.25">
      <c r="A18" s="678" t="s">
        <v>454</v>
      </c>
      <c r="B18" s="676"/>
      <c r="C18" s="686"/>
      <c r="D18" s="686"/>
    </row>
    <row r="19" spans="1:4" s="647" customFormat="1" x14ac:dyDescent="0.25">
      <c r="A19" s="675" t="s">
        <v>450</v>
      </c>
      <c r="B19" s="676">
        <f>0.25*21%</f>
        <v>5.2499999999999998E-2</v>
      </c>
      <c r="C19" s="686"/>
      <c r="D19" s="686"/>
    </row>
    <row r="20" spans="1:4" s="647" customFormat="1" x14ac:dyDescent="0.25">
      <c r="A20" s="675" t="s">
        <v>451</v>
      </c>
      <c r="B20" s="676">
        <f>0.25*21%</f>
        <v>5.2499999999999998E-2</v>
      </c>
      <c r="C20" s="686"/>
      <c r="D20" s="686"/>
    </row>
    <row r="21" spans="1:4" x14ac:dyDescent="0.25">
      <c r="A21" s="675" t="s">
        <v>452</v>
      </c>
      <c r="B21" s="676">
        <f>0.25*21%</f>
        <v>5.2499999999999998E-2</v>
      </c>
      <c r="C21" s="686"/>
      <c r="D21" s="686"/>
    </row>
    <row r="22" spans="1:4" x14ac:dyDescent="0.25">
      <c r="A22" s="679" t="s">
        <v>456</v>
      </c>
      <c r="B22" s="676"/>
      <c r="C22" s="686"/>
      <c r="D22" s="686"/>
    </row>
    <row r="23" spans="1:4" x14ac:dyDescent="0.25">
      <c r="A23" s="675" t="s">
        <v>457</v>
      </c>
      <c r="B23" s="676">
        <v>0.13125000000000001</v>
      </c>
      <c r="C23" s="686"/>
      <c r="D23" s="686"/>
    </row>
    <row r="24" spans="1:4" ht="14.25" customHeight="1" x14ac:dyDescent="0.25">
      <c r="A24" s="675" t="s">
        <v>458</v>
      </c>
      <c r="B24" s="676">
        <v>0.21</v>
      </c>
      <c r="C24" s="686"/>
      <c r="D24" s="686"/>
    </row>
    <row r="25" spans="1:4" x14ac:dyDescent="0.25">
      <c r="A25" s="678" t="s">
        <v>460</v>
      </c>
      <c r="B25" s="676">
        <v>0.13125000000000001</v>
      </c>
      <c r="C25" s="686"/>
      <c r="D25" s="686"/>
    </row>
    <row r="26" spans="1:4" x14ac:dyDescent="0.25">
      <c r="A26" s="678" t="s">
        <v>462</v>
      </c>
      <c r="B26" s="676">
        <v>0.21</v>
      </c>
      <c r="C26" s="686"/>
      <c r="D26" s="686"/>
    </row>
    <row r="27" spans="1:4" x14ac:dyDescent="0.25">
      <c r="A27" s="678" t="s">
        <v>464</v>
      </c>
      <c r="B27" s="676">
        <v>0.21</v>
      </c>
      <c r="C27" s="686"/>
      <c r="D27" s="686"/>
    </row>
    <row r="28" spans="1:4" x14ac:dyDescent="0.25">
      <c r="A28" s="678" t="s">
        <v>466</v>
      </c>
      <c r="B28" s="676">
        <v>0.21</v>
      </c>
      <c r="C28" s="686"/>
      <c r="D28" s="686"/>
    </row>
    <row r="29" spans="1:4" x14ac:dyDescent="0.25">
      <c r="A29" s="678" t="s">
        <v>468</v>
      </c>
      <c r="B29" s="676"/>
      <c r="C29" s="686"/>
      <c r="D29" s="686"/>
    </row>
    <row r="30" spans="1:4" x14ac:dyDescent="0.25">
      <c r="A30" s="675" t="s">
        <v>457</v>
      </c>
      <c r="B30" s="676">
        <v>0.13125000000000001</v>
      </c>
      <c r="C30" s="686"/>
      <c r="D30" s="686"/>
    </row>
    <row r="31" spans="1:4" x14ac:dyDescent="0.25">
      <c r="A31" s="675" t="s">
        <v>458</v>
      </c>
      <c r="B31" s="676">
        <v>0.21</v>
      </c>
      <c r="C31" s="686"/>
      <c r="D31" s="686"/>
    </row>
    <row r="32" spans="1:4" ht="15.75" thickBot="1" x14ac:dyDescent="0.3">
      <c r="A32" s="680" t="s">
        <v>470</v>
      </c>
      <c r="B32" s="681"/>
      <c r="C32" s="686"/>
      <c r="D32" s="686"/>
    </row>
    <row r="33" spans="1:4" ht="16.5" thickTop="1" thickBot="1" x14ac:dyDescent="0.3">
      <c r="A33" s="682" t="s">
        <v>729</v>
      </c>
      <c r="B33" s="683">
        <v>0.21</v>
      </c>
      <c r="C33" s="687"/>
      <c r="D33" s="687"/>
    </row>
    <row r="34" spans="1:4" x14ac:dyDescent="0.25">
      <c r="A34" s="274"/>
      <c r="B34" s="654"/>
      <c r="C34" s="654"/>
      <c r="D34" s="654"/>
    </row>
    <row r="35" spans="1:4" x14ac:dyDescent="0.25">
      <c r="A35" s="274"/>
      <c r="B35" s="654"/>
      <c r="C35" s="654"/>
      <c r="D35" s="654"/>
    </row>
    <row r="36" spans="1:4" x14ac:dyDescent="0.25">
      <c r="A36" s="274"/>
      <c r="B36" s="654"/>
      <c r="C36" s="654"/>
      <c r="D36" s="654"/>
    </row>
    <row r="37" spans="1:4" x14ac:dyDescent="0.25">
      <c r="A37" s="655"/>
      <c r="B37" s="654"/>
      <c r="C37" s="654"/>
      <c r="D37" s="654"/>
    </row>
    <row r="38" spans="1:4" x14ac:dyDescent="0.25">
      <c r="A38" s="655"/>
      <c r="B38" s="654"/>
      <c r="C38" s="654"/>
      <c r="D38" s="654"/>
    </row>
    <row r="39" spans="1:4" x14ac:dyDescent="0.25">
      <c r="A39" s="656"/>
      <c r="B39" s="656"/>
      <c r="C39" s="656"/>
      <c r="D39" s="656"/>
    </row>
    <row r="40" spans="1:4" x14ac:dyDescent="0.25">
      <c r="A40" s="657"/>
    </row>
    <row r="41" spans="1:4" ht="17.25" customHeight="1" x14ac:dyDescent="0.25">
      <c r="A41" s="658"/>
    </row>
  </sheetData>
  <sheetProtection algorithmName="SHA-512" hashValue="FV6mEpG3gQJ5+ITpkA5zrHGP2IzpN7CAzaJzhRZEUaAp7G2Kz4LvfDaBU/0iUCRQNsd+r5ehg94tTDpMSIhTNg==" saltValue="dF0N2O5S2VNIIWuncxdrng==" spinCount="100000" sheet="1" objects="1" scenarios="1" formatColumns="0" formatRows="0" sort="0"/>
  <pageMargins left="0.7" right="0.7" top="0.75" bottom="0.75" header="0.3" footer="0.3"/>
  <pageSetup scale="93" orientation="portrait" r:id="rId1"/>
  <headerFooter>
    <oddFooter>&amp;L01/11/2022 Edition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38</vt:i4>
      </vt:variant>
      <vt:variant>
        <vt:lpstr>Named Ranges</vt:lpstr>
      </vt:variant>
      <vt:variant>
        <vt:i4>968</vt:i4>
      </vt:variant>
    </vt:vector>
  </HeadingPairs>
  <TitlesOfParts>
    <vt:vector size="1006" baseType="lpstr">
      <vt:lpstr>Instructions</vt:lpstr>
      <vt:lpstr>1.General</vt:lpstr>
      <vt:lpstr>2.Summary</vt:lpstr>
      <vt:lpstr>3.1YieldFIT</vt:lpstr>
      <vt:lpstr>3.2YieldFIT</vt:lpstr>
      <vt:lpstr>4.1Excluded Exp</vt:lpstr>
      <vt:lpstr>4.2Excluded Exp</vt:lpstr>
      <vt:lpstr>5.CDI Parameters</vt:lpstr>
      <vt:lpstr>6.1Ratemaking Data</vt:lpstr>
      <vt:lpstr>6.2Ratemaking Data</vt:lpstr>
      <vt:lpstr>6.3Ratemaking Data</vt:lpstr>
      <vt:lpstr>6.4Ratemaking Data</vt:lpstr>
      <vt:lpstr>6.5Ratemaking Data</vt:lpstr>
      <vt:lpstr>6.6Ratemaking Data</vt:lpstr>
      <vt:lpstr>6.7Ratemaking Data</vt:lpstr>
      <vt:lpstr>6.8Ratemaking Data</vt:lpstr>
      <vt:lpstr>6.9Ratemaking Data</vt:lpstr>
      <vt:lpstr>6.10Ratemaking Data</vt:lpstr>
      <vt:lpstr>7.1Rate Change Calculation</vt:lpstr>
      <vt:lpstr>7.2Rate Change Calculation</vt:lpstr>
      <vt:lpstr>7.3Rate Change Calculation</vt:lpstr>
      <vt:lpstr>7.4Rate Change Calculation</vt:lpstr>
      <vt:lpstr>7.5Rate Change Calculation</vt:lpstr>
      <vt:lpstr>7.6Rate Change Calculation</vt:lpstr>
      <vt:lpstr>7.7Rate Change Calculation</vt:lpstr>
      <vt:lpstr>7.8Rate Change Calculation</vt:lpstr>
      <vt:lpstr>7.9Rate Change Calculation</vt:lpstr>
      <vt:lpstr>7.10Rate Change Calculation</vt:lpstr>
      <vt:lpstr>8.1LCM Calculation</vt:lpstr>
      <vt:lpstr>8.2LCM Calculation</vt:lpstr>
      <vt:lpstr>8.3LCM Calculation</vt:lpstr>
      <vt:lpstr>8.4LCM Calculation</vt:lpstr>
      <vt:lpstr>8.5LCM Calculation</vt:lpstr>
      <vt:lpstr>8.6LCM Calculation</vt:lpstr>
      <vt:lpstr>8.7LCM Calculation</vt:lpstr>
      <vt:lpstr>8.8LCM Calculation</vt:lpstr>
      <vt:lpstr>8.9LCM Calculation</vt:lpstr>
      <vt:lpstr>8.10LCM Calculation</vt:lpstr>
      <vt:lpstr>'7.10Rate Change Calculation'!Anc_Inc_perExp</vt:lpstr>
      <vt:lpstr>'7.1Rate Change Calculation'!Anc_Inc_perExp</vt:lpstr>
      <vt:lpstr>'7.2Rate Change Calculation'!Anc_Inc_perExp</vt:lpstr>
      <vt:lpstr>'7.3Rate Change Calculation'!Anc_Inc_perExp</vt:lpstr>
      <vt:lpstr>'7.4Rate Change Calculation'!Anc_Inc_perExp</vt:lpstr>
      <vt:lpstr>'7.5Rate Change Calculation'!Anc_Inc_perExp</vt:lpstr>
      <vt:lpstr>'7.6Rate Change Calculation'!Anc_Inc_perExp</vt:lpstr>
      <vt:lpstr>'7.7Rate Change Calculation'!Anc_Inc_perExp</vt:lpstr>
      <vt:lpstr>'7.8Rate Change Calculation'!Anc_Inc_perExp</vt:lpstr>
      <vt:lpstr>'7.9Rate Change Calculation'!Anc_Inc_perExp</vt:lpstr>
      <vt:lpstr>'7.10Rate Change Calculation'!Anc_Income</vt:lpstr>
      <vt:lpstr>'7.1Rate Change Calculation'!Anc_Income</vt:lpstr>
      <vt:lpstr>'7.2Rate Change Calculation'!Anc_Income</vt:lpstr>
      <vt:lpstr>'7.3Rate Change Calculation'!Anc_Income</vt:lpstr>
      <vt:lpstr>'7.4Rate Change Calculation'!Anc_Income</vt:lpstr>
      <vt:lpstr>'7.5Rate Change Calculation'!Anc_Income</vt:lpstr>
      <vt:lpstr>'7.6Rate Change Calculation'!Anc_Income</vt:lpstr>
      <vt:lpstr>'7.7Rate Change Calculation'!Anc_Income</vt:lpstr>
      <vt:lpstr>'7.8Rate Change Calculation'!Anc_Income</vt:lpstr>
      <vt:lpstr>'7.9Rate Change Calculation'!Anc_Income</vt:lpstr>
      <vt:lpstr>'8.10LCM Calculation'!AOE_Load</vt:lpstr>
      <vt:lpstr>'8.1LCM Calculation'!AOE_Load</vt:lpstr>
      <vt:lpstr>'8.2LCM Calculation'!AOE_Load</vt:lpstr>
      <vt:lpstr>'8.3LCM Calculation'!AOE_Load</vt:lpstr>
      <vt:lpstr>'8.4LCM Calculation'!AOE_Load</vt:lpstr>
      <vt:lpstr>'8.5LCM Calculation'!AOE_Load</vt:lpstr>
      <vt:lpstr>'8.6LCM Calculation'!AOE_Load</vt:lpstr>
      <vt:lpstr>'8.7LCM Calculation'!AOE_Load</vt:lpstr>
      <vt:lpstr>'8.8LCM Calculation'!AOE_Load</vt:lpstr>
      <vt:lpstr>'8.9LCM Calculation'!AOE_Load</vt:lpstr>
      <vt:lpstr>'7.10Rate Change Calculation'!CAT_Adj</vt:lpstr>
      <vt:lpstr>'7.1Rate Change Calculation'!CAT_Adj</vt:lpstr>
      <vt:lpstr>'7.2Rate Change Calculation'!CAT_Adj</vt:lpstr>
      <vt:lpstr>'7.3Rate Change Calculation'!CAT_Adj</vt:lpstr>
      <vt:lpstr>'7.4Rate Change Calculation'!CAT_Adj</vt:lpstr>
      <vt:lpstr>'7.5Rate Change Calculation'!CAT_Adj</vt:lpstr>
      <vt:lpstr>'7.6Rate Change Calculation'!CAT_Adj</vt:lpstr>
      <vt:lpstr>'7.7Rate Change Calculation'!CAT_Adj</vt:lpstr>
      <vt:lpstr>'7.8Rate Change Calculation'!CAT_Adj</vt:lpstr>
      <vt:lpstr>'7.9Rate Change Calculation'!CAT_Adj</vt:lpstr>
      <vt:lpstr>CDI_FileNo</vt:lpstr>
      <vt:lpstr>'7.10Rate Change Calculation'!CHANGE_AT_MAX</vt:lpstr>
      <vt:lpstr>'7.1Rate Change Calculation'!CHANGE_AT_MAX</vt:lpstr>
      <vt:lpstr>'7.2Rate Change Calculation'!CHANGE_AT_MAX</vt:lpstr>
      <vt:lpstr>'7.3Rate Change Calculation'!CHANGE_AT_MAX</vt:lpstr>
      <vt:lpstr>'7.4Rate Change Calculation'!CHANGE_AT_MAX</vt:lpstr>
      <vt:lpstr>'7.5Rate Change Calculation'!CHANGE_AT_MAX</vt:lpstr>
      <vt:lpstr>'7.6Rate Change Calculation'!CHANGE_AT_MAX</vt:lpstr>
      <vt:lpstr>'7.7Rate Change Calculation'!CHANGE_AT_MAX</vt:lpstr>
      <vt:lpstr>'7.8Rate Change Calculation'!CHANGE_AT_MAX</vt:lpstr>
      <vt:lpstr>'7.9Rate Change Calculation'!CHANGE_AT_MAX</vt:lpstr>
      <vt:lpstr>'7.10Rate Change Calculation'!CHANGE_AT_MIN</vt:lpstr>
      <vt:lpstr>'7.1Rate Change Calculation'!CHANGE_AT_MIN</vt:lpstr>
      <vt:lpstr>'7.2Rate Change Calculation'!CHANGE_AT_MIN</vt:lpstr>
      <vt:lpstr>'7.3Rate Change Calculation'!CHANGE_AT_MIN</vt:lpstr>
      <vt:lpstr>'7.4Rate Change Calculation'!CHANGE_AT_MIN</vt:lpstr>
      <vt:lpstr>'7.5Rate Change Calculation'!CHANGE_AT_MIN</vt:lpstr>
      <vt:lpstr>'7.6Rate Change Calculation'!CHANGE_AT_MIN</vt:lpstr>
      <vt:lpstr>'7.7Rate Change Calculation'!CHANGE_AT_MIN</vt:lpstr>
      <vt:lpstr>'7.8Rate Change Calculation'!CHANGE_AT_MIN</vt:lpstr>
      <vt:lpstr>'7.9Rate Change Calculation'!CHANGE_AT_MIN</vt:lpstr>
      <vt:lpstr>Co_Name</vt:lpstr>
      <vt:lpstr>'7.10Rate Change Calculation'!Comm_Rate</vt:lpstr>
      <vt:lpstr>'7.1Rate Change Calculation'!Comm_Rate</vt:lpstr>
      <vt:lpstr>'7.2Rate Change Calculation'!Comm_Rate</vt:lpstr>
      <vt:lpstr>'7.3Rate Change Calculation'!Comm_Rate</vt:lpstr>
      <vt:lpstr>'7.4Rate Change Calculation'!Comm_Rate</vt:lpstr>
      <vt:lpstr>'7.5Rate Change Calculation'!Comm_Rate</vt:lpstr>
      <vt:lpstr>'7.6Rate Change Calculation'!Comm_Rate</vt:lpstr>
      <vt:lpstr>'7.7Rate Change Calculation'!Comm_Rate</vt:lpstr>
      <vt:lpstr>'7.8Rate Change Calculation'!Comm_Rate</vt:lpstr>
      <vt:lpstr>'7.9Rate Change Calculation'!Comm_Rate</vt:lpstr>
      <vt:lpstr>'7.10Rate Change Calculation'!Comp_Trend</vt:lpstr>
      <vt:lpstr>'7.1Rate Change Calculation'!Comp_Trend</vt:lpstr>
      <vt:lpstr>'7.2Rate Change Calculation'!Comp_Trend</vt:lpstr>
      <vt:lpstr>'7.3Rate Change Calculation'!Comp_Trend</vt:lpstr>
      <vt:lpstr>'7.4Rate Change Calculation'!Comp_Trend</vt:lpstr>
      <vt:lpstr>'7.5Rate Change Calculation'!Comp_Trend</vt:lpstr>
      <vt:lpstr>'7.6Rate Change Calculation'!Comp_Trend</vt:lpstr>
      <vt:lpstr>'7.7Rate Change Calculation'!Comp_Trend</vt:lpstr>
      <vt:lpstr>'7.8Rate Change Calculation'!Comp_Trend</vt:lpstr>
      <vt:lpstr>'7.9Rate Change Calculation'!Comp_Trend</vt:lpstr>
      <vt:lpstr>Completed_By</vt:lpstr>
      <vt:lpstr>Completed_Date</vt:lpstr>
      <vt:lpstr>'7.10Rate Change Calculation'!CompLoss_Rein</vt:lpstr>
      <vt:lpstr>'7.1Rate Change Calculation'!CompLoss_Rein</vt:lpstr>
      <vt:lpstr>'7.2Rate Change Calculation'!CompLoss_Rein</vt:lpstr>
      <vt:lpstr>'7.3Rate Change Calculation'!CompLoss_Rein</vt:lpstr>
      <vt:lpstr>'7.4Rate Change Calculation'!CompLoss_Rein</vt:lpstr>
      <vt:lpstr>'7.5Rate Change Calculation'!CompLoss_Rein</vt:lpstr>
      <vt:lpstr>'7.6Rate Change Calculation'!CompLoss_Rein</vt:lpstr>
      <vt:lpstr>'7.7Rate Change Calculation'!CompLoss_Rein</vt:lpstr>
      <vt:lpstr>'7.8Rate Change Calculation'!CompLoss_Rein</vt:lpstr>
      <vt:lpstr>'7.9Rate Change Calculation'!CompLoss_Rein</vt:lpstr>
      <vt:lpstr>'7.10Rate Change Calculation'!CompLossDCCE_perExp</vt:lpstr>
      <vt:lpstr>'7.1Rate Change Calculation'!CompLossDCCE_perExp</vt:lpstr>
      <vt:lpstr>'7.2Rate Change Calculation'!CompLossDCCE_perExp</vt:lpstr>
      <vt:lpstr>'7.3Rate Change Calculation'!CompLossDCCE_perExp</vt:lpstr>
      <vt:lpstr>'7.4Rate Change Calculation'!CompLossDCCE_perExp</vt:lpstr>
      <vt:lpstr>'7.5Rate Change Calculation'!CompLossDCCE_perExp</vt:lpstr>
      <vt:lpstr>'7.6Rate Change Calculation'!CompLossDCCE_perExp</vt:lpstr>
      <vt:lpstr>'7.7Rate Change Calculation'!CompLossDCCE_perExp</vt:lpstr>
      <vt:lpstr>'7.8Rate Change Calculation'!CompLossDCCE_perExp</vt:lpstr>
      <vt:lpstr>'7.9Rate Change Calculation'!CompLossDCCE_perExp</vt:lpstr>
      <vt:lpstr>Covg01</vt:lpstr>
      <vt:lpstr>Covg02</vt:lpstr>
      <vt:lpstr>Covg03</vt:lpstr>
      <vt:lpstr>Covg04</vt:lpstr>
      <vt:lpstr>Covg05</vt:lpstr>
      <vt:lpstr>Covg06</vt:lpstr>
      <vt:lpstr>Covg07</vt:lpstr>
      <vt:lpstr>Covg08</vt:lpstr>
      <vt:lpstr>Covg09</vt:lpstr>
      <vt:lpstr>Covg10</vt:lpstr>
      <vt:lpstr>CovgEntry_Indicator</vt:lpstr>
      <vt:lpstr>'7.10Rate Change Calculation'!Credibility</vt:lpstr>
      <vt:lpstr>'7.1Rate Change Calculation'!Credibility</vt:lpstr>
      <vt:lpstr>'7.2Rate Change Calculation'!Credibility</vt:lpstr>
      <vt:lpstr>'7.3Rate Change Calculation'!Credibility</vt:lpstr>
      <vt:lpstr>'7.4Rate Change Calculation'!Credibility</vt:lpstr>
      <vt:lpstr>'7.5Rate Change Calculation'!Credibility</vt:lpstr>
      <vt:lpstr>'7.6Rate Change Calculation'!Credibility</vt:lpstr>
      <vt:lpstr>'7.7Rate Change Calculation'!Credibility</vt:lpstr>
      <vt:lpstr>'7.8Rate Change Calculation'!Credibility</vt:lpstr>
      <vt:lpstr>'7.9Rate Change Calculation'!Credibility</vt:lpstr>
      <vt:lpstr>'7.10Rate Change Calculation'!CredLossDCCE_perExp</vt:lpstr>
      <vt:lpstr>'7.1Rate Change Calculation'!CredLossDCCE_perExp</vt:lpstr>
      <vt:lpstr>'7.2Rate Change Calculation'!CredLossDCCE_perExp</vt:lpstr>
      <vt:lpstr>'7.3Rate Change Calculation'!CredLossDCCE_perExp</vt:lpstr>
      <vt:lpstr>'7.4Rate Change Calculation'!CredLossDCCE_perExp</vt:lpstr>
      <vt:lpstr>'7.5Rate Change Calculation'!CredLossDCCE_perExp</vt:lpstr>
      <vt:lpstr>'7.6Rate Change Calculation'!CredLossDCCE_perExp</vt:lpstr>
      <vt:lpstr>'7.7Rate Change Calculation'!CredLossDCCE_perExp</vt:lpstr>
      <vt:lpstr>'7.8Rate Change Calculation'!CredLossDCCE_perExp</vt:lpstr>
      <vt:lpstr>'7.9Rate Change Calculation'!CredLossDCCE_perExp</vt:lpstr>
      <vt:lpstr>'8.10LCM Calculation'!Curr_LCM</vt:lpstr>
      <vt:lpstr>'8.1LCM Calculation'!Curr_LCM</vt:lpstr>
      <vt:lpstr>'8.2LCM Calculation'!Curr_LCM</vt:lpstr>
      <vt:lpstr>'8.3LCM Calculation'!Curr_LCM</vt:lpstr>
      <vt:lpstr>'8.4LCM Calculation'!Curr_LCM</vt:lpstr>
      <vt:lpstr>'8.5LCM Calculation'!Curr_LCM</vt:lpstr>
      <vt:lpstr>'8.6LCM Calculation'!Curr_LCM</vt:lpstr>
      <vt:lpstr>'8.7LCM Calculation'!Curr_LCM</vt:lpstr>
      <vt:lpstr>'8.8LCM Calculation'!Curr_LCM</vt:lpstr>
      <vt:lpstr>'8.9LCM Calculation'!Curr_LCM</vt:lpstr>
      <vt:lpstr>'8.10LCM Calculation'!CURR_LOSS_COST_MUL_WITH_MOD</vt:lpstr>
      <vt:lpstr>'8.2LCM Calculation'!CURR_LOSS_COST_MUL_WITH_MOD</vt:lpstr>
      <vt:lpstr>'8.3LCM Calculation'!CURR_LOSS_COST_MUL_WITH_MOD</vt:lpstr>
      <vt:lpstr>'8.4LCM Calculation'!CURR_LOSS_COST_MUL_WITH_MOD</vt:lpstr>
      <vt:lpstr>'8.5LCM Calculation'!CURR_LOSS_COST_MUL_WITH_MOD</vt:lpstr>
      <vt:lpstr>'8.6LCM Calculation'!CURR_LOSS_COST_MUL_WITH_MOD</vt:lpstr>
      <vt:lpstr>'8.7LCM Calculation'!CURR_LOSS_COST_MUL_WITH_MOD</vt:lpstr>
      <vt:lpstr>'8.8LCM Calculation'!CURR_LOSS_COST_MUL_WITH_MOD</vt:lpstr>
      <vt:lpstr>'8.9LCM Calculation'!CURR_LOSS_COST_MUL_WITH_MOD</vt:lpstr>
      <vt:lpstr>CURR_LOSS_COST_MUL_WITH_MOD</vt:lpstr>
      <vt:lpstr>'7.10Rate Change Calculation'!DCCE</vt:lpstr>
      <vt:lpstr>'7.1Rate Change Calculation'!DCCE</vt:lpstr>
      <vt:lpstr>'7.2Rate Change Calculation'!DCCE</vt:lpstr>
      <vt:lpstr>'7.3Rate Change Calculation'!DCCE</vt:lpstr>
      <vt:lpstr>'7.4Rate Change Calculation'!DCCE</vt:lpstr>
      <vt:lpstr>'7.5Rate Change Calculation'!DCCE</vt:lpstr>
      <vt:lpstr>'7.6Rate Change Calculation'!DCCE</vt:lpstr>
      <vt:lpstr>'7.7Rate Change Calculation'!DCCE</vt:lpstr>
      <vt:lpstr>'7.8Rate Change Calculation'!DCCE</vt:lpstr>
      <vt:lpstr>'7.9Rate Change Calculation'!DCCE</vt:lpstr>
      <vt:lpstr>'7.10Rate Change Calculation'!DCCE_Adjusted</vt:lpstr>
      <vt:lpstr>'7.1Rate Change Calculation'!DCCE_Adjusted</vt:lpstr>
      <vt:lpstr>'7.2Rate Change Calculation'!DCCE_Adjusted</vt:lpstr>
      <vt:lpstr>'7.3Rate Change Calculation'!DCCE_Adjusted</vt:lpstr>
      <vt:lpstr>'7.4Rate Change Calculation'!DCCE_Adjusted</vt:lpstr>
      <vt:lpstr>'7.5Rate Change Calculation'!DCCE_Adjusted</vt:lpstr>
      <vt:lpstr>'7.6Rate Change Calculation'!DCCE_Adjusted</vt:lpstr>
      <vt:lpstr>'7.7Rate Change Calculation'!DCCE_Adjusted</vt:lpstr>
      <vt:lpstr>'7.8Rate Change Calculation'!DCCE_Adjusted</vt:lpstr>
      <vt:lpstr>'7.9Rate Change Calculation'!DCCE_Adjusted</vt:lpstr>
      <vt:lpstr>'7.10Rate Change Calculation'!DCCE_AnnualTrend</vt:lpstr>
      <vt:lpstr>'7.1Rate Change Calculation'!DCCE_AnnualTrend</vt:lpstr>
      <vt:lpstr>'7.2Rate Change Calculation'!DCCE_AnnualTrend</vt:lpstr>
      <vt:lpstr>'7.3Rate Change Calculation'!DCCE_AnnualTrend</vt:lpstr>
      <vt:lpstr>'7.4Rate Change Calculation'!DCCE_AnnualTrend</vt:lpstr>
      <vt:lpstr>'7.5Rate Change Calculation'!DCCE_AnnualTrend</vt:lpstr>
      <vt:lpstr>'7.6Rate Change Calculation'!DCCE_AnnualTrend</vt:lpstr>
      <vt:lpstr>'7.7Rate Change Calculation'!DCCE_AnnualTrend</vt:lpstr>
      <vt:lpstr>'7.8Rate Change Calculation'!DCCE_AnnualTrend</vt:lpstr>
      <vt:lpstr>'7.9Rate Change Calculation'!DCCE_AnnualTrend</vt:lpstr>
      <vt:lpstr>'7.10Rate Change Calculation'!DCCE_Devt</vt:lpstr>
      <vt:lpstr>'7.1Rate Change Calculation'!DCCE_Devt</vt:lpstr>
      <vt:lpstr>'7.2Rate Change Calculation'!DCCE_Devt</vt:lpstr>
      <vt:lpstr>'7.3Rate Change Calculation'!DCCE_Devt</vt:lpstr>
      <vt:lpstr>'7.4Rate Change Calculation'!DCCE_Devt</vt:lpstr>
      <vt:lpstr>'7.5Rate Change Calculation'!DCCE_Devt</vt:lpstr>
      <vt:lpstr>'7.6Rate Change Calculation'!DCCE_Devt</vt:lpstr>
      <vt:lpstr>'7.7Rate Change Calculation'!DCCE_Devt</vt:lpstr>
      <vt:lpstr>'7.8Rate Change Calculation'!DCCE_Devt</vt:lpstr>
      <vt:lpstr>'7.9Rate Change Calculation'!DCCE_Devt</vt:lpstr>
      <vt:lpstr>'7.10Rate Change Calculation'!DCCE_Trend</vt:lpstr>
      <vt:lpstr>'7.1Rate Change Calculation'!DCCE_Trend</vt:lpstr>
      <vt:lpstr>'7.2Rate Change Calculation'!DCCE_Trend</vt:lpstr>
      <vt:lpstr>'7.3Rate Change Calculation'!DCCE_Trend</vt:lpstr>
      <vt:lpstr>'7.4Rate Change Calculation'!DCCE_Trend</vt:lpstr>
      <vt:lpstr>'7.5Rate Change Calculation'!DCCE_Trend</vt:lpstr>
      <vt:lpstr>'7.6Rate Change Calculation'!DCCE_Trend</vt:lpstr>
      <vt:lpstr>'7.7Rate Change Calculation'!DCCE_Trend</vt:lpstr>
      <vt:lpstr>'7.8Rate Change Calculation'!DCCE_Trend</vt:lpstr>
      <vt:lpstr>'7.9Rate Change Calculation'!DCCE_Trend</vt:lpstr>
      <vt:lpstr>Detailed_LineCode01</vt:lpstr>
      <vt:lpstr>Detailed_LineCode02</vt:lpstr>
      <vt:lpstr>Detailed_LineCode03</vt:lpstr>
      <vt:lpstr>Detailed_LineCode04</vt:lpstr>
      <vt:lpstr>Detailed_LineCode05</vt:lpstr>
      <vt:lpstr>Detailed_LineCode06</vt:lpstr>
      <vt:lpstr>Detailed_LineCode07</vt:lpstr>
      <vt:lpstr>Detailed_LineCode08</vt:lpstr>
      <vt:lpstr>Detailed_LineCode09</vt:lpstr>
      <vt:lpstr>Detailed_LineCode10</vt:lpstr>
      <vt:lpstr>Detailed_LineDesc01</vt:lpstr>
      <vt:lpstr>Detailed_LineDesc02</vt:lpstr>
      <vt:lpstr>Detailed_LineDesc03</vt:lpstr>
      <vt:lpstr>Detailed_LineDesc04</vt:lpstr>
      <vt:lpstr>Detailed_LineDesc05</vt:lpstr>
      <vt:lpstr>Detailed_LineDesc06</vt:lpstr>
      <vt:lpstr>Detailed_LineDesc07</vt:lpstr>
      <vt:lpstr>Detailed_LineDesc08</vt:lpstr>
      <vt:lpstr>Detailed_LineDesc09</vt:lpstr>
      <vt:lpstr>Detailed_LineDesc10</vt:lpstr>
      <vt:lpstr>Edition_Date</vt:lpstr>
      <vt:lpstr>EffDate_Prior01</vt:lpstr>
      <vt:lpstr>EffDate_Prior02</vt:lpstr>
      <vt:lpstr>EffDate_Prior03</vt:lpstr>
      <vt:lpstr>EffDate_Prior04</vt:lpstr>
      <vt:lpstr>EffDate_Prior05</vt:lpstr>
      <vt:lpstr>EffDate_Prior06</vt:lpstr>
      <vt:lpstr>EffDate_Prior07</vt:lpstr>
      <vt:lpstr>EffDate_Prior08</vt:lpstr>
      <vt:lpstr>EffDate_Prior09</vt:lpstr>
      <vt:lpstr>EffDate_Prior10</vt:lpstr>
      <vt:lpstr>EffDate_Proposed</vt:lpstr>
      <vt:lpstr>EffStd_Final01</vt:lpstr>
      <vt:lpstr>EffStd_Final02</vt:lpstr>
      <vt:lpstr>EffStd_Final03</vt:lpstr>
      <vt:lpstr>EffStd_Final04</vt:lpstr>
      <vt:lpstr>EffStd_Final05</vt:lpstr>
      <vt:lpstr>EffStd_Final06</vt:lpstr>
      <vt:lpstr>EffStd_Final07</vt:lpstr>
      <vt:lpstr>EffStd_Final08</vt:lpstr>
      <vt:lpstr>EffStd_Final09</vt:lpstr>
      <vt:lpstr>EffStd_Final10</vt:lpstr>
      <vt:lpstr>EffStd_Var01</vt:lpstr>
      <vt:lpstr>EffStd_Var02</vt:lpstr>
      <vt:lpstr>EffStd_Var03</vt:lpstr>
      <vt:lpstr>EffStd_Var04</vt:lpstr>
      <vt:lpstr>EffStd_Var05</vt:lpstr>
      <vt:lpstr>EffStd_Var06</vt:lpstr>
      <vt:lpstr>EffStd_Var07</vt:lpstr>
      <vt:lpstr>EffStd_Var08</vt:lpstr>
      <vt:lpstr>EffStd_Var09</vt:lpstr>
      <vt:lpstr>EffStd_Var10</vt:lpstr>
      <vt:lpstr>EffStd_VarReq01</vt:lpstr>
      <vt:lpstr>EffStd_VarReq02</vt:lpstr>
      <vt:lpstr>EffStd_VarReq03</vt:lpstr>
      <vt:lpstr>EffStd_VarReq04</vt:lpstr>
      <vt:lpstr>EffStd_VarReq05</vt:lpstr>
      <vt:lpstr>EffStd_VarReq06</vt:lpstr>
      <vt:lpstr>EffStd_VarReq07</vt:lpstr>
      <vt:lpstr>EffStd_VarReq08</vt:lpstr>
      <vt:lpstr>EffStd_VarReq09</vt:lpstr>
      <vt:lpstr>EffStd_VarReq10</vt:lpstr>
      <vt:lpstr>EffStd_Wtd01</vt:lpstr>
      <vt:lpstr>EffStd_Wtd02</vt:lpstr>
      <vt:lpstr>EffStd_Wtd03</vt:lpstr>
      <vt:lpstr>EffStd_Wtd04</vt:lpstr>
      <vt:lpstr>EffStd_Wtd05</vt:lpstr>
      <vt:lpstr>EffStd_Wtd06</vt:lpstr>
      <vt:lpstr>EffStd_Wtd07</vt:lpstr>
      <vt:lpstr>EffStd_Wtd08</vt:lpstr>
      <vt:lpstr>EffStd_Wtd09</vt:lpstr>
      <vt:lpstr>EffStd_Wtd10</vt:lpstr>
      <vt:lpstr>Error00</vt:lpstr>
      <vt:lpstr>Error01</vt:lpstr>
      <vt:lpstr>Error02</vt:lpstr>
      <vt:lpstr>Error03</vt:lpstr>
      <vt:lpstr>Error04</vt:lpstr>
      <vt:lpstr>Error05</vt:lpstr>
      <vt:lpstr>Error06</vt:lpstr>
      <vt:lpstr>Error07</vt:lpstr>
      <vt:lpstr>Error08</vt:lpstr>
      <vt:lpstr>Error09</vt:lpstr>
      <vt:lpstr>Error10</vt:lpstr>
      <vt:lpstr>Error11</vt:lpstr>
      <vt:lpstr>Error12</vt:lpstr>
      <vt:lpstr>Error13</vt:lpstr>
      <vt:lpstr>Error14</vt:lpstr>
      <vt:lpstr>Error15</vt:lpstr>
      <vt:lpstr>Error16</vt:lpstr>
      <vt:lpstr>'6.10Ratemaking Data'!Error17</vt:lpstr>
      <vt:lpstr>'6.1Ratemaking Data'!Error17</vt:lpstr>
      <vt:lpstr>'6.2Ratemaking Data'!Error17</vt:lpstr>
      <vt:lpstr>'6.3Ratemaking Data'!Error17</vt:lpstr>
      <vt:lpstr>'6.4Ratemaking Data'!Error17</vt:lpstr>
      <vt:lpstr>'6.5Ratemaking Data'!Error17</vt:lpstr>
      <vt:lpstr>'6.6Ratemaking Data'!Error17</vt:lpstr>
      <vt:lpstr>'6.7Ratemaking Data'!Error17</vt:lpstr>
      <vt:lpstr>'6.8Ratemaking Data'!Error17</vt:lpstr>
      <vt:lpstr>'6.9Ratemaking Data'!Error17</vt:lpstr>
      <vt:lpstr>'6.10Ratemaking Data'!Error18</vt:lpstr>
      <vt:lpstr>'6.1Ratemaking Data'!Error18</vt:lpstr>
      <vt:lpstr>'6.2Ratemaking Data'!Error18</vt:lpstr>
      <vt:lpstr>'6.3Ratemaking Data'!Error18</vt:lpstr>
      <vt:lpstr>'6.4Ratemaking Data'!Error18</vt:lpstr>
      <vt:lpstr>'6.5Ratemaking Data'!Error18</vt:lpstr>
      <vt:lpstr>'6.6Ratemaking Data'!Error18</vt:lpstr>
      <vt:lpstr>'6.7Ratemaking Data'!Error18</vt:lpstr>
      <vt:lpstr>'6.8Ratemaking Data'!Error18</vt:lpstr>
      <vt:lpstr>'6.9Ratemaking Data'!Error18</vt:lpstr>
      <vt:lpstr>'6.10Ratemaking Data'!Error19</vt:lpstr>
      <vt:lpstr>'6.1Ratemaking Data'!Error19</vt:lpstr>
      <vt:lpstr>'6.2Ratemaking Data'!Error19</vt:lpstr>
      <vt:lpstr>'6.3Ratemaking Data'!Error19</vt:lpstr>
      <vt:lpstr>'6.4Ratemaking Data'!Error19</vt:lpstr>
      <vt:lpstr>'6.5Ratemaking Data'!Error19</vt:lpstr>
      <vt:lpstr>'6.6Ratemaking Data'!Error19</vt:lpstr>
      <vt:lpstr>'6.7Ratemaking Data'!Error19</vt:lpstr>
      <vt:lpstr>'6.8Ratemaking Data'!Error19</vt:lpstr>
      <vt:lpstr>'6.9Ratemaking Data'!Error19</vt:lpstr>
      <vt:lpstr>'6.10Ratemaking Data'!Error20</vt:lpstr>
      <vt:lpstr>'6.1Ratemaking Data'!Error20</vt:lpstr>
      <vt:lpstr>'6.2Ratemaking Data'!Error20</vt:lpstr>
      <vt:lpstr>'6.3Ratemaking Data'!Error20</vt:lpstr>
      <vt:lpstr>'6.4Ratemaking Data'!Error20</vt:lpstr>
      <vt:lpstr>'6.5Ratemaking Data'!Error20</vt:lpstr>
      <vt:lpstr>'6.6Ratemaking Data'!Error20</vt:lpstr>
      <vt:lpstr>'6.7Ratemaking Data'!Error20</vt:lpstr>
      <vt:lpstr>'6.8Ratemaking Data'!Error20</vt:lpstr>
      <vt:lpstr>'6.9Ratemaking Data'!Error20</vt:lpstr>
      <vt:lpstr>'6.10Ratemaking Data'!Error21</vt:lpstr>
      <vt:lpstr>'6.1Ratemaking Data'!Error21</vt:lpstr>
      <vt:lpstr>'6.2Ratemaking Data'!Error21</vt:lpstr>
      <vt:lpstr>'6.3Ratemaking Data'!Error21</vt:lpstr>
      <vt:lpstr>'6.4Ratemaking Data'!Error21</vt:lpstr>
      <vt:lpstr>'6.5Ratemaking Data'!Error21</vt:lpstr>
      <vt:lpstr>'6.6Ratemaking Data'!Error21</vt:lpstr>
      <vt:lpstr>'6.7Ratemaking Data'!Error21</vt:lpstr>
      <vt:lpstr>'6.8Ratemaking Data'!Error21</vt:lpstr>
      <vt:lpstr>'6.9Ratemaking Data'!Error21</vt:lpstr>
      <vt:lpstr>'6.10Ratemaking Data'!Error22</vt:lpstr>
      <vt:lpstr>'6.1Ratemaking Data'!Error22</vt:lpstr>
      <vt:lpstr>'6.2Ratemaking Data'!Error22</vt:lpstr>
      <vt:lpstr>'6.3Ratemaking Data'!Error22</vt:lpstr>
      <vt:lpstr>'6.4Ratemaking Data'!Error22</vt:lpstr>
      <vt:lpstr>'6.5Ratemaking Data'!Error22</vt:lpstr>
      <vt:lpstr>'6.6Ratemaking Data'!Error22</vt:lpstr>
      <vt:lpstr>'6.7Ratemaking Data'!Error22</vt:lpstr>
      <vt:lpstr>'6.8Ratemaking Data'!Error22</vt:lpstr>
      <vt:lpstr>'6.9Ratemaking Data'!Error22</vt:lpstr>
      <vt:lpstr>'6.10Ratemaking Data'!Error23</vt:lpstr>
      <vt:lpstr>'6.1Ratemaking Data'!Error23</vt:lpstr>
      <vt:lpstr>'6.2Ratemaking Data'!Error23</vt:lpstr>
      <vt:lpstr>'6.3Ratemaking Data'!Error23</vt:lpstr>
      <vt:lpstr>'6.4Ratemaking Data'!Error23</vt:lpstr>
      <vt:lpstr>'6.5Ratemaking Data'!Error23</vt:lpstr>
      <vt:lpstr>'6.6Ratemaking Data'!Error23</vt:lpstr>
      <vt:lpstr>'6.7Ratemaking Data'!Error23</vt:lpstr>
      <vt:lpstr>'6.8Ratemaking Data'!Error23</vt:lpstr>
      <vt:lpstr>'6.9Ratemaking Data'!Error23</vt:lpstr>
      <vt:lpstr>'6.10Ratemaking Data'!Error24</vt:lpstr>
      <vt:lpstr>'6.1Ratemaking Data'!Error24</vt:lpstr>
      <vt:lpstr>'6.2Ratemaking Data'!Error24</vt:lpstr>
      <vt:lpstr>'6.3Ratemaking Data'!Error24</vt:lpstr>
      <vt:lpstr>'6.4Ratemaking Data'!Error24</vt:lpstr>
      <vt:lpstr>'6.5Ratemaking Data'!Error24</vt:lpstr>
      <vt:lpstr>'6.6Ratemaking Data'!Error24</vt:lpstr>
      <vt:lpstr>'6.7Ratemaking Data'!Error24</vt:lpstr>
      <vt:lpstr>'6.8Ratemaking Data'!Error24</vt:lpstr>
      <vt:lpstr>'6.9Ratemaking Data'!Error24</vt:lpstr>
      <vt:lpstr>'6.10Ratemaking Data'!Error25</vt:lpstr>
      <vt:lpstr>'6.1Ratemaking Data'!Error25</vt:lpstr>
      <vt:lpstr>'6.2Ratemaking Data'!Error25</vt:lpstr>
      <vt:lpstr>'6.3Ratemaking Data'!Error25</vt:lpstr>
      <vt:lpstr>'6.4Ratemaking Data'!Error25</vt:lpstr>
      <vt:lpstr>'6.5Ratemaking Data'!Error25</vt:lpstr>
      <vt:lpstr>'6.6Ratemaking Data'!Error25</vt:lpstr>
      <vt:lpstr>'6.7Ratemaking Data'!Error25</vt:lpstr>
      <vt:lpstr>'6.8Ratemaking Data'!Error25</vt:lpstr>
      <vt:lpstr>'6.9Ratemaking Data'!Error25</vt:lpstr>
      <vt:lpstr>'6.10Ratemaking Data'!Error26</vt:lpstr>
      <vt:lpstr>'6.1Ratemaking Data'!Error26</vt:lpstr>
      <vt:lpstr>'6.2Ratemaking Data'!Error26</vt:lpstr>
      <vt:lpstr>'6.3Ratemaking Data'!Error26</vt:lpstr>
      <vt:lpstr>'6.4Ratemaking Data'!Error26</vt:lpstr>
      <vt:lpstr>'6.5Ratemaking Data'!Error26</vt:lpstr>
      <vt:lpstr>'6.6Ratemaking Data'!Error26</vt:lpstr>
      <vt:lpstr>'6.7Ratemaking Data'!Error26</vt:lpstr>
      <vt:lpstr>'6.8Ratemaking Data'!Error26</vt:lpstr>
      <vt:lpstr>'6.9Ratemaking Data'!Error26</vt:lpstr>
      <vt:lpstr>'6.10Ratemaking Data'!Error27</vt:lpstr>
      <vt:lpstr>'6.1Ratemaking Data'!Error27</vt:lpstr>
      <vt:lpstr>'6.2Ratemaking Data'!Error27</vt:lpstr>
      <vt:lpstr>'6.3Ratemaking Data'!Error27</vt:lpstr>
      <vt:lpstr>'6.4Ratemaking Data'!Error27</vt:lpstr>
      <vt:lpstr>'6.5Ratemaking Data'!Error27</vt:lpstr>
      <vt:lpstr>'6.6Ratemaking Data'!Error27</vt:lpstr>
      <vt:lpstr>'6.7Ratemaking Data'!Error27</vt:lpstr>
      <vt:lpstr>'6.8Ratemaking Data'!Error27</vt:lpstr>
      <vt:lpstr>'6.9Ratemaking Data'!Error27</vt:lpstr>
      <vt:lpstr>'6.10Ratemaking Data'!Error28</vt:lpstr>
      <vt:lpstr>'6.1Ratemaking Data'!Error28</vt:lpstr>
      <vt:lpstr>'6.2Ratemaking Data'!Error28</vt:lpstr>
      <vt:lpstr>'6.3Ratemaking Data'!Error28</vt:lpstr>
      <vt:lpstr>'6.4Ratemaking Data'!Error28</vt:lpstr>
      <vt:lpstr>'6.5Ratemaking Data'!Error28</vt:lpstr>
      <vt:lpstr>'6.6Ratemaking Data'!Error28</vt:lpstr>
      <vt:lpstr>'6.7Ratemaking Data'!Error28</vt:lpstr>
      <vt:lpstr>'6.8Ratemaking Data'!Error28</vt:lpstr>
      <vt:lpstr>'6.9Ratemaking Data'!Error28</vt:lpstr>
      <vt:lpstr>'6.10Ratemaking Data'!Error29</vt:lpstr>
      <vt:lpstr>'6.1Ratemaking Data'!Error29</vt:lpstr>
      <vt:lpstr>'6.2Ratemaking Data'!Error29</vt:lpstr>
      <vt:lpstr>'6.3Ratemaking Data'!Error29</vt:lpstr>
      <vt:lpstr>'6.4Ratemaking Data'!Error29</vt:lpstr>
      <vt:lpstr>'6.5Ratemaking Data'!Error29</vt:lpstr>
      <vt:lpstr>'6.6Ratemaking Data'!Error29</vt:lpstr>
      <vt:lpstr>'6.7Ratemaking Data'!Error29</vt:lpstr>
      <vt:lpstr>'6.8Ratemaking Data'!Error29</vt:lpstr>
      <vt:lpstr>'6.9Ratemaking Data'!Error29</vt:lpstr>
      <vt:lpstr>'6.10Ratemaking Data'!Error30</vt:lpstr>
      <vt:lpstr>'6.1Ratemaking Data'!Error30</vt:lpstr>
      <vt:lpstr>'6.2Ratemaking Data'!Error30</vt:lpstr>
      <vt:lpstr>'6.3Ratemaking Data'!Error30</vt:lpstr>
      <vt:lpstr>'6.4Ratemaking Data'!Error30</vt:lpstr>
      <vt:lpstr>'6.5Ratemaking Data'!Error30</vt:lpstr>
      <vt:lpstr>'6.6Ratemaking Data'!Error30</vt:lpstr>
      <vt:lpstr>'6.7Ratemaking Data'!Error30</vt:lpstr>
      <vt:lpstr>'6.8Ratemaking Data'!Error30</vt:lpstr>
      <vt:lpstr>'6.9Ratemaking Data'!Error30</vt:lpstr>
      <vt:lpstr>'6.10Ratemaking Data'!Error31</vt:lpstr>
      <vt:lpstr>'6.1Ratemaking Data'!Error31</vt:lpstr>
      <vt:lpstr>'6.2Ratemaking Data'!Error31</vt:lpstr>
      <vt:lpstr>'6.3Ratemaking Data'!Error31</vt:lpstr>
      <vt:lpstr>'6.4Ratemaking Data'!Error31</vt:lpstr>
      <vt:lpstr>'6.5Ratemaking Data'!Error31</vt:lpstr>
      <vt:lpstr>'6.6Ratemaking Data'!Error31</vt:lpstr>
      <vt:lpstr>'6.7Ratemaking Data'!Error31</vt:lpstr>
      <vt:lpstr>'6.8Ratemaking Data'!Error31</vt:lpstr>
      <vt:lpstr>'6.9Ratemaking Data'!Error31</vt:lpstr>
      <vt:lpstr>'6.10Ratemaking Data'!Error32</vt:lpstr>
      <vt:lpstr>'6.1Ratemaking Data'!Error32</vt:lpstr>
      <vt:lpstr>'6.2Ratemaking Data'!Error32</vt:lpstr>
      <vt:lpstr>'6.3Ratemaking Data'!Error32</vt:lpstr>
      <vt:lpstr>'6.4Ratemaking Data'!Error32</vt:lpstr>
      <vt:lpstr>'6.5Ratemaking Data'!Error32</vt:lpstr>
      <vt:lpstr>'6.6Ratemaking Data'!Error32</vt:lpstr>
      <vt:lpstr>'6.7Ratemaking Data'!Error32</vt:lpstr>
      <vt:lpstr>'6.8Ratemaking Data'!Error32</vt:lpstr>
      <vt:lpstr>'6.9Ratemaking Data'!Error32</vt:lpstr>
      <vt:lpstr>Error34</vt:lpstr>
      <vt:lpstr>Error35</vt:lpstr>
      <vt:lpstr>Error36</vt:lpstr>
      <vt:lpstr>Error37</vt:lpstr>
      <vt:lpstr>Error38</vt:lpstr>
      <vt:lpstr>'7.10Rate Change Calculation'!Exposures_Earned</vt:lpstr>
      <vt:lpstr>'7.1Rate Change Calculation'!Exposures_Earned</vt:lpstr>
      <vt:lpstr>'7.2Rate Change Calculation'!Exposures_Earned</vt:lpstr>
      <vt:lpstr>'7.3Rate Change Calculation'!Exposures_Earned</vt:lpstr>
      <vt:lpstr>'7.4Rate Change Calculation'!Exposures_Earned</vt:lpstr>
      <vt:lpstr>'7.5Rate Change Calculation'!Exposures_Earned</vt:lpstr>
      <vt:lpstr>'7.6Rate Change Calculation'!Exposures_Earned</vt:lpstr>
      <vt:lpstr>'7.7Rate Change Calculation'!Exposures_Earned</vt:lpstr>
      <vt:lpstr>'7.8Rate Change Calculation'!Exposures_Earned</vt:lpstr>
      <vt:lpstr>'7.9Rate Change Calculation'!Exposures_Earned</vt:lpstr>
      <vt:lpstr>ExpRatio_Actual01</vt:lpstr>
      <vt:lpstr>ExpRatio_Actual02</vt:lpstr>
      <vt:lpstr>ExpRatio_Actual03</vt:lpstr>
      <vt:lpstr>ExpRatio_Actual04</vt:lpstr>
      <vt:lpstr>ExpRatio_Actual05</vt:lpstr>
      <vt:lpstr>ExpRatio_Actual06</vt:lpstr>
      <vt:lpstr>ExpRatio_Actual07</vt:lpstr>
      <vt:lpstr>ExpRatio_Actual08</vt:lpstr>
      <vt:lpstr>ExpRatio_Actual09</vt:lpstr>
      <vt:lpstr>ExpRatio_Actual10</vt:lpstr>
      <vt:lpstr>ExpRatio_Excluded</vt:lpstr>
      <vt:lpstr>FIT_Inv</vt:lpstr>
      <vt:lpstr>FIT_UW</vt:lpstr>
      <vt:lpstr>General_Line</vt:lpstr>
      <vt:lpstr>INV_TAX_RATE</vt:lpstr>
      <vt:lpstr>'7.10Rate Change Calculation'!InvInc_Fixed</vt:lpstr>
      <vt:lpstr>'7.1Rate Change Calculation'!InvInc_Fixed</vt:lpstr>
      <vt:lpstr>'7.2Rate Change Calculation'!InvInc_Fixed</vt:lpstr>
      <vt:lpstr>'7.3Rate Change Calculation'!InvInc_Fixed</vt:lpstr>
      <vt:lpstr>'7.4Rate Change Calculation'!InvInc_Fixed</vt:lpstr>
      <vt:lpstr>'7.5Rate Change Calculation'!InvInc_Fixed</vt:lpstr>
      <vt:lpstr>'7.6Rate Change Calculation'!InvInc_Fixed</vt:lpstr>
      <vt:lpstr>'7.7Rate Change Calculation'!InvInc_Fixed</vt:lpstr>
      <vt:lpstr>'7.8Rate Change Calculation'!InvInc_Fixed</vt:lpstr>
      <vt:lpstr>'7.9Rate Change Calculation'!InvInc_Fixed</vt:lpstr>
      <vt:lpstr>'7.10Rate Change Calculation'!InvInc_Variable</vt:lpstr>
      <vt:lpstr>'7.1Rate Change Calculation'!InvInc_Variable</vt:lpstr>
      <vt:lpstr>'7.2Rate Change Calculation'!InvInc_Variable</vt:lpstr>
      <vt:lpstr>'7.3Rate Change Calculation'!InvInc_Variable</vt:lpstr>
      <vt:lpstr>'7.4Rate Change Calculation'!InvInc_Variable</vt:lpstr>
      <vt:lpstr>'7.5Rate Change Calculation'!InvInc_Variable</vt:lpstr>
      <vt:lpstr>'7.6Rate Change Calculation'!InvInc_Variable</vt:lpstr>
      <vt:lpstr>'7.7Rate Change Calculation'!InvInc_Variable</vt:lpstr>
      <vt:lpstr>'7.8Rate Change Calculation'!InvInc_Variable</vt:lpstr>
      <vt:lpstr>'7.9Rate Change Calculation'!InvInc_Variable</vt:lpstr>
      <vt:lpstr>LCM_Indicator</vt:lpstr>
      <vt:lpstr>LevFact_Final01</vt:lpstr>
      <vt:lpstr>LevFact_Final02</vt:lpstr>
      <vt:lpstr>LevFact_Final03</vt:lpstr>
      <vt:lpstr>LevFact_Final04</vt:lpstr>
      <vt:lpstr>LevFact_Final05</vt:lpstr>
      <vt:lpstr>LevFact_Final06</vt:lpstr>
      <vt:lpstr>LevFact_Final07</vt:lpstr>
      <vt:lpstr>LevFact_Final08</vt:lpstr>
      <vt:lpstr>LevFact_Final09</vt:lpstr>
      <vt:lpstr>LevFact_Final10</vt:lpstr>
      <vt:lpstr>List_AggMeth</vt:lpstr>
      <vt:lpstr>List_AOELoad</vt:lpstr>
      <vt:lpstr>List_DetailLine</vt:lpstr>
      <vt:lpstr>List_GeneralLine</vt:lpstr>
      <vt:lpstr>List_LineType</vt:lpstr>
      <vt:lpstr>List_Variances</vt:lpstr>
      <vt:lpstr>List_YNIndicator</vt:lpstr>
      <vt:lpstr>List_YNnaIndicator</vt:lpstr>
      <vt:lpstr>'7.10Rate Change Calculation'!Loss_AnnualTrend</vt:lpstr>
      <vt:lpstr>'7.1Rate Change Calculation'!Loss_AnnualTrend</vt:lpstr>
      <vt:lpstr>'7.2Rate Change Calculation'!Loss_AnnualTrend</vt:lpstr>
      <vt:lpstr>'7.3Rate Change Calculation'!Loss_AnnualTrend</vt:lpstr>
      <vt:lpstr>'7.4Rate Change Calculation'!Loss_AnnualTrend</vt:lpstr>
      <vt:lpstr>'7.5Rate Change Calculation'!Loss_AnnualTrend</vt:lpstr>
      <vt:lpstr>'7.6Rate Change Calculation'!Loss_AnnualTrend</vt:lpstr>
      <vt:lpstr>'7.7Rate Change Calculation'!Loss_AnnualTrend</vt:lpstr>
      <vt:lpstr>'7.8Rate Change Calculation'!Loss_AnnualTrend</vt:lpstr>
      <vt:lpstr>'7.9Rate Change Calculation'!Loss_AnnualTrend</vt:lpstr>
      <vt:lpstr>'7.10Rate Change Calculation'!Loss_Devt</vt:lpstr>
      <vt:lpstr>'7.1Rate Change Calculation'!Loss_Devt</vt:lpstr>
      <vt:lpstr>'7.2Rate Change Calculation'!Loss_Devt</vt:lpstr>
      <vt:lpstr>'7.3Rate Change Calculation'!Loss_Devt</vt:lpstr>
      <vt:lpstr>'7.4Rate Change Calculation'!Loss_Devt</vt:lpstr>
      <vt:lpstr>'7.5Rate Change Calculation'!Loss_Devt</vt:lpstr>
      <vt:lpstr>'7.6Rate Change Calculation'!Loss_Devt</vt:lpstr>
      <vt:lpstr>'7.7Rate Change Calculation'!Loss_Devt</vt:lpstr>
      <vt:lpstr>'7.8Rate Change Calculation'!Loss_Devt</vt:lpstr>
      <vt:lpstr>'7.9Rate Change Calculation'!Loss_Devt</vt:lpstr>
      <vt:lpstr>'7.10Rate Change Calculation'!Loss_Trend</vt:lpstr>
      <vt:lpstr>'7.1Rate Change Calculation'!Loss_Trend</vt:lpstr>
      <vt:lpstr>'7.2Rate Change Calculation'!Loss_Trend</vt:lpstr>
      <vt:lpstr>'7.3Rate Change Calculation'!Loss_Trend</vt:lpstr>
      <vt:lpstr>'7.4Rate Change Calculation'!Loss_Trend</vt:lpstr>
      <vt:lpstr>'7.5Rate Change Calculation'!Loss_Trend</vt:lpstr>
      <vt:lpstr>'7.6Rate Change Calculation'!Loss_Trend</vt:lpstr>
      <vt:lpstr>'7.7Rate Change Calculation'!Loss_Trend</vt:lpstr>
      <vt:lpstr>'7.8Rate Change Calculation'!Loss_Trend</vt:lpstr>
      <vt:lpstr>'7.9Rate Change Calculation'!Loss_Trend</vt:lpstr>
      <vt:lpstr>'8.10LCM Calculation'!LossCost_PctChg_AO</vt:lpstr>
      <vt:lpstr>'8.1LCM Calculation'!LossCost_PctChg_AO</vt:lpstr>
      <vt:lpstr>'8.2LCM Calculation'!LossCost_PctChg_AO</vt:lpstr>
      <vt:lpstr>'8.3LCM Calculation'!LossCost_PctChg_AO</vt:lpstr>
      <vt:lpstr>'8.4LCM Calculation'!LossCost_PctChg_AO</vt:lpstr>
      <vt:lpstr>'8.5LCM Calculation'!LossCost_PctChg_AO</vt:lpstr>
      <vt:lpstr>'8.6LCM Calculation'!LossCost_PctChg_AO</vt:lpstr>
      <vt:lpstr>'8.7LCM Calculation'!LossCost_PctChg_AO</vt:lpstr>
      <vt:lpstr>'8.8LCM Calculation'!LossCost_PctChg_AO</vt:lpstr>
      <vt:lpstr>'8.9LCM Calculation'!LossCost_PctChg_AO</vt:lpstr>
      <vt:lpstr>'8.10LCM Calculation'!LossCost_PctChg_Co</vt:lpstr>
      <vt:lpstr>'8.1LCM Calculation'!LossCost_PctChg_Co</vt:lpstr>
      <vt:lpstr>'8.2LCM Calculation'!LossCost_PctChg_Co</vt:lpstr>
      <vt:lpstr>'8.3LCM Calculation'!LossCost_PctChg_Co</vt:lpstr>
      <vt:lpstr>'8.4LCM Calculation'!LossCost_PctChg_Co</vt:lpstr>
      <vt:lpstr>'8.5LCM Calculation'!LossCost_PctChg_Co</vt:lpstr>
      <vt:lpstr>'8.6LCM Calculation'!LossCost_PctChg_Co</vt:lpstr>
      <vt:lpstr>'8.7LCM Calculation'!LossCost_PctChg_Co</vt:lpstr>
      <vt:lpstr>'8.8LCM Calculation'!LossCost_PctChg_Co</vt:lpstr>
      <vt:lpstr>'8.9LCM Calculation'!LossCost_PctChg_Co</vt:lpstr>
      <vt:lpstr>'7.10Rate Change Calculation'!LossDCCE_perExp</vt:lpstr>
      <vt:lpstr>'7.1Rate Change Calculation'!LossDCCE_perExp</vt:lpstr>
      <vt:lpstr>'7.2Rate Change Calculation'!LossDCCE_perExp</vt:lpstr>
      <vt:lpstr>'7.3Rate Change Calculation'!LossDCCE_perExp</vt:lpstr>
      <vt:lpstr>'7.4Rate Change Calculation'!LossDCCE_perExp</vt:lpstr>
      <vt:lpstr>'7.5Rate Change Calculation'!LossDCCE_perExp</vt:lpstr>
      <vt:lpstr>'7.6Rate Change Calculation'!LossDCCE_perExp</vt:lpstr>
      <vt:lpstr>'7.7Rate Change Calculation'!LossDCCE_perExp</vt:lpstr>
      <vt:lpstr>'7.8Rate Change Calculation'!LossDCCE_perExp</vt:lpstr>
      <vt:lpstr>'7.9Rate Change Calculation'!LossDCCE_perExp</vt:lpstr>
      <vt:lpstr>'7.10Rate Change Calculation'!Losses</vt:lpstr>
      <vt:lpstr>'7.1Rate Change Calculation'!Losses</vt:lpstr>
      <vt:lpstr>'7.2Rate Change Calculation'!Losses</vt:lpstr>
      <vt:lpstr>'7.3Rate Change Calculation'!Losses</vt:lpstr>
      <vt:lpstr>'7.4Rate Change Calculation'!Losses</vt:lpstr>
      <vt:lpstr>'7.5Rate Change Calculation'!Losses</vt:lpstr>
      <vt:lpstr>'7.6Rate Change Calculation'!Losses</vt:lpstr>
      <vt:lpstr>'7.7Rate Change Calculation'!Losses</vt:lpstr>
      <vt:lpstr>'7.8Rate Change Calculation'!Losses</vt:lpstr>
      <vt:lpstr>'7.9Rate Change Calculation'!Losses</vt:lpstr>
      <vt:lpstr>'7.10Rate Change Calculation'!Losses_Adjusted</vt:lpstr>
      <vt:lpstr>'7.1Rate Change Calculation'!Losses_Adjusted</vt:lpstr>
      <vt:lpstr>'7.2Rate Change Calculation'!Losses_Adjusted</vt:lpstr>
      <vt:lpstr>'7.3Rate Change Calculation'!Losses_Adjusted</vt:lpstr>
      <vt:lpstr>'7.4Rate Change Calculation'!Losses_Adjusted</vt:lpstr>
      <vt:lpstr>'7.5Rate Change Calculation'!Losses_Adjusted</vt:lpstr>
      <vt:lpstr>'7.6Rate Change Calculation'!Losses_Adjusted</vt:lpstr>
      <vt:lpstr>'7.7Rate Change Calculation'!Losses_Adjusted</vt:lpstr>
      <vt:lpstr>'7.8Rate Change Calculation'!Losses_Adjusted</vt:lpstr>
      <vt:lpstr>'7.9Rate Change Calculation'!Losses_Adjusted</vt:lpstr>
      <vt:lpstr>'7.10Rate Change Calculation'!Max_Denom</vt:lpstr>
      <vt:lpstr>'7.1Rate Change Calculation'!Max_Denom</vt:lpstr>
      <vt:lpstr>'7.2Rate Change Calculation'!Max_Denom</vt:lpstr>
      <vt:lpstr>'7.3Rate Change Calculation'!Max_Denom</vt:lpstr>
      <vt:lpstr>'7.4Rate Change Calculation'!Max_Denom</vt:lpstr>
      <vt:lpstr>'7.5Rate Change Calculation'!Max_Denom</vt:lpstr>
      <vt:lpstr>'7.6Rate Change Calculation'!Max_Denom</vt:lpstr>
      <vt:lpstr>'7.7Rate Change Calculation'!Max_Denom</vt:lpstr>
      <vt:lpstr>'7.8Rate Change Calculation'!Max_Denom</vt:lpstr>
      <vt:lpstr>'7.9Rate Change Calculation'!Max_Denom</vt:lpstr>
      <vt:lpstr>'8.10LCM Calculation'!Max_EffStdBasedLCM</vt:lpstr>
      <vt:lpstr>'8.1LCM Calculation'!Max_EffStdBasedLCM</vt:lpstr>
      <vt:lpstr>'8.2LCM Calculation'!Max_EffStdBasedLCM</vt:lpstr>
      <vt:lpstr>'8.3LCM Calculation'!Max_EffStdBasedLCM</vt:lpstr>
      <vt:lpstr>'8.4LCM Calculation'!Max_EffStdBasedLCM</vt:lpstr>
      <vt:lpstr>'8.5LCM Calculation'!Max_EffStdBasedLCM</vt:lpstr>
      <vt:lpstr>'8.6LCM Calculation'!Max_EffStdBasedLCM</vt:lpstr>
      <vt:lpstr>'8.7LCM Calculation'!Max_EffStdBasedLCM</vt:lpstr>
      <vt:lpstr>'8.8LCM Calculation'!Max_EffStdBasedLCM</vt:lpstr>
      <vt:lpstr>'8.9LCM Calculation'!Max_EffStdBasedLCM</vt:lpstr>
      <vt:lpstr>'8.10LCM Calculation'!MAX_LCM</vt:lpstr>
      <vt:lpstr>'8.1LCM Calculation'!MAX_LCM</vt:lpstr>
      <vt:lpstr>'8.2LCM Calculation'!MAX_LCM</vt:lpstr>
      <vt:lpstr>'8.3LCM Calculation'!MAX_LCM</vt:lpstr>
      <vt:lpstr>'8.4LCM Calculation'!MAX_LCM</vt:lpstr>
      <vt:lpstr>'8.5LCM Calculation'!MAX_LCM</vt:lpstr>
      <vt:lpstr>'8.6LCM Calculation'!MAX_LCM</vt:lpstr>
      <vt:lpstr>'8.7LCM Calculation'!MAX_LCM</vt:lpstr>
      <vt:lpstr>'8.8LCM Calculation'!MAX_LCM</vt:lpstr>
      <vt:lpstr>'8.9LCM Calculation'!MAX_LCM</vt:lpstr>
      <vt:lpstr>'7.10Rate Change Calculation'!Max_Premium</vt:lpstr>
      <vt:lpstr>'7.1Rate Change Calculation'!Max_Premium</vt:lpstr>
      <vt:lpstr>'7.2Rate Change Calculation'!Max_Premium</vt:lpstr>
      <vt:lpstr>'7.3Rate Change Calculation'!Max_Premium</vt:lpstr>
      <vt:lpstr>'7.4Rate Change Calculation'!Max_Premium</vt:lpstr>
      <vt:lpstr>'7.5Rate Change Calculation'!Max_Premium</vt:lpstr>
      <vt:lpstr>'7.6Rate Change Calculation'!Max_Premium</vt:lpstr>
      <vt:lpstr>'7.7Rate Change Calculation'!Max_Premium</vt:lpstr>
      <vt:lpstr>'7.8Rate Change Calculation'!Max_Premium</vt:lpstr>
      <vt:lpstr>'7.9Rate Change Calculation'!Max_Premium</vt:lpstr>
      <vt:lpstr>'7.10Rate Change Calculation'!Max_Profit</vt:lpstr>
      <vt:lpstr>'7.1Rate Change Calculation'!Max_Profit</vt:lpstr>
      <vt:lpstr>'7.2Rate Change Calculation'!Max_Profit</vt:lpstr>
      <vt:lpstr>'7.3Rate Change Calculation'!Max_Profit</vt:lpstr>
      <vt:lpstr>'7.4Rate Change Calculation'!Max_Profit</vt:lpstr>
      <vt:lpstr>'7.5Rate Change Calculation'!Max_Profit</vt:lpstr>
      <vt:lpstr>'7.6Rate Change Calculation'!Max_Profit</vt:lpstr>
      <vt:lpstr>'7.7Rate Change Calculation'!Max_Profit</vt:lpstr>
      <vt:lpstr>'7.8Rate Change Calculation'!Max_Profit</vt:lpstr>
      <vt:lpstr>'7.9Rate Change Calculation'!Max_Profit</vt:lpstr>
      <vt:lpstr>'7.10Rate Change Calculation'!Min_Denom</vt:lpstr>
      <vt:lpstr>'7.1Rate Change Calculation'!Min_Denom</vt:lpstr>
      <vt:lpstr>'7.2Rate Change Calculation'!Min_Denom</vt:lpstr>
      <vt:lpstr>'7.3Rate Change Calculation'!Min_Denom</vt:lpstr>
      <vt:lpstr>'7.4Rate Change Calculation'!Min_Denom</vt:lpstr>
      <vt:lpstr>'7.5Rate Change Calculation'!Min_Denom</vt:lpstr>
      <vt:lpstr>'7.6Rate Change Calculation'!Min_Denom</vt:lpstr>
      <vt:lpstr>'7.7Rate Change Calculation'!Min_Denom</vt:lpstr>
      <vt:lpstr>'7.8Rate Change Calculation'!Min_Denom</vt:lpstr>
      <vt:lpstr>'7.9Rate Change Calculation'!Min_Denom</vt:lpstr>
      <vt:lpstr>'7.10Rate Change Calculation'!Min_Premium</vt:lpstr>
      <vt:lpstr>'7.1Rate Change Calculation'!Min_Premium</vt:lpstr>
      <vt:lpstr>'7.2Rate Change Calculation'!Min_Premium</vt:lpstr>
      <vt:lpstr>'7.3Rate Change Calculation'!Min_Premium</vt:lpstr>
      <vt:lpstr>'7.4Rate Change Calculation'!Min_Premium</vt:lpstr>
      <vt:lpstr>'7.5Rate Change Calculation'!Min_Premium</vt:lpstr>
      <vt:lpstr>'7.6Rate Change Calculation'!Min_Premium</vt:lpstr>
      <vt:lpstr>'7.7Rate Change Calculation'!Min_Premium</vt:lpstr>
      <vt:lpstr>'7.8Rate Change Calculation'!Min_Premium</vt:lpstr>
      <vt:lpstr>'7.9Rate Change Calculation'!Min_Premium</vt:lpstr>
      <vt:lpstr>'7.10Rate Change Calculation'!Min_Profit</vt:lpstr>
      <vt:lpstr>'7.1Rate Change Calculation'!Min_Profit</vt:lpstr>
      <vt:lpstr>'7.2Rate Change Calculation'!Min_Profit</vt:lpstr>
      <vt:lpstr>'7.3Rate Change Calculation'!Min_Profit</vt:lpstr>
      <vt:lpstr>'7.4Rate Change Calculation'!Min_Profit</vt:lpstr>
      <vt:lpstr>'7.5Rate Change Calculation'!Min_Profit</vt:lpstr>
      <vt:lpstr>'7.6Rate Change Calculation'!Min_Profit</vt:lpstr>
      <vt:lpstr>'7.7Rate Change Calculation'!Min_Profit</vt:lpstr>
      <vt:lpstr>'7.8Rate Change Calculation'!Min_Profit</vt:lpstr>
      <vt:lpstr>'7.9Rate Change Calculation'!Min_Profit</vt:lpstr>
      <vt:lpstr>'7.10Rate Change Calculation'!Misc_Fees</vt:lpstr>
      <vt:lpstr>'7.1Rate Change Calculation'!Misc_Fees</vt:lpstr>
      <vt:lpstr>'7.2Rate Change Calculation'!Misc_Fees</vt:lpstr>
      <vt:lpstr>'7.3Rate Change Calculation'!Misc_Fees</vt:lpstr>
      <vt:lpstr>'7.4Rate Change Calculation'!Misc_Fees</vt:lpstr>
      <vt:lpstr>'7.5Rate Change Calculation'!Misc_Fees</vt:lpstr>
      <vt:lpstr>'7.6Rate Change Calculation'!Misc_Fees</vt:lpstr>
      <vt:lpstr>'7.7Rate Change Calculation'!Misc_Fees</vt:lpstr>
      <vt:lpstr>'7.8Rate Change Calculation'!Misc_Fees</vt:lpstr>
      <vt:lpstr>'7.9Rate Change Calculation'!Misc_Fees</vt:lpstr>
      <vt:lpstr>MstRcntDataYr</vt:lpstr>
      <vt:lpstr>'7.10Rate Change Calculation'!Net_AnnualTrend</vt:lpstr>
      <vt:lpstr>'7.1Rate Change Calculation'!Net_AnnualTrend</vt:lpstr>
      <vt:lpstr>'7.2Rate Change Calculation'!Net_AnnualTrend</vt:lpstr>
      <vt:lpstr>'7.3Rate Change Calculation'!Net_AnnualTrend</vt:lpstr>
      <vt:lpstr>'7.4Rate Change Calculation'!Net_AnnualTrend</vt:lpstr>
      <vt:lpstr>'7.5Rate Change Calculation'!Net_AnnualTrend</vt:lpstr>
      <vt:lpstr>'7.6Rate Change Calculation'!Net_AnnualTrend</vt:lpstr>
      <vt:lpstr>'7.7Rate Change Calculation'!Net_AnnualTrend</vt:lpstr>
      <vt:lpstr>'7.8Rate Change Calculation'!Net_AnnualTrend</vt:lpstr>
      <vt:lpstr>'7.9Rate Change Calculation'!Net_AnnualTrend</vt:lpstr>
      <vt:lpstr>New_Program</vt:lpstr>
      <vt:lpstr>'8.10LCM Calculation'!Other_RateImpact</vt:lpstr>
      <vt:lpstr>'8.1LCM Calculation'!Other_RateImpact</vt:lpstr>
      <vt:lpstr>'8.2LCM Calculation'!Other_RateImpact</vt:lpstr>
      <vt:lpstr>'8.3LCM Calculation'!Other_RateImpact</vt:lpstr>
      <vt:lpstr>'8.4LCM Calculation'!Other_RateImpact</vt:lpstr>
      <vt:lpstr>'8.5LCM Calculation'!Other_RateImpact</vt:lpstr>
      <vt:lpstr>'8.6LCM Calculation'!Other_RateImpact</vt:lpstr>
      <vt:lpstr>'8.7LCM Calculation'!Other_RateImpact</vt:lpstr>
      <vt:lpstr>'8.8LCM Calculation'!Other_RateImpact</vt:lpstr>
      <vt:lpstr>'8.9LCM Calculation'!Other_RateImpact</vt:lpstr>
      <vt:lpstr>Pct_Cap</vt:lpstr>
      <vt:lpstr>Pct_Dir</vt:lpstr>
      <vt:lpstr>Pct_Ind</vt:lpstr>
      <vt:lpstr>'7.10Rate Change Calculation'!Prem_Adj</vt:lpstr>
      <vt:lpstr>'7.1Rate Change Calculation'!Prem_Adj</vt:lpstr>
      <vt:lpstr>'7.2Rate Change Calculation'!Prem_Adj</vt:lpstr>
      <vt:lpstr>'7.3Rate Change Calculation'!Prem_Adj</vt:lpstr>
      <vt:lpstr>'7.4Rate Change Calculation'!Prem_Adj</vt:lpstr>
      <vt:lpstr>'7.5Rate Change Calculation'!Prem_Adj</vt:lpstr>
      <vt:lpstr>'7.6Rate Change Calculation'!Prem_Adj</vt:lpstr>
      <vt:lpstr>'7.7Rate Change Calculation'!Prem_Adj</vt:lpstr>
      <vt:lpstr>'7.8Rate Change Calculation'!Prem_Adj</vt:lpstr>
      <vt:lpstr>'7.9Rate Change Calculation'!Prem_Adj</vt:lpstr>
      <vt:lpstr>'7.10Rate Change Calculation'!Prem_Adjusted</vt:lpstr>
      <vt:lpstr>'7.1Rate Change Calculation'!Prem_Adjusted</vt:lpstr>
      <vt:lpstr>'7.2Rate Change Calculation'!Prem_Adjusted</vt:lpstr>
      <vt:lpstr>'7.3Rate Change Calculation'!Prem_Adjusted</vt:lpstr>
      <vt:lpstr>'7.4Rate Change Calculation'!Prem_Adjusted</vt:lpstr>
      <vt:lpstr>'7.5Rate Change Calculation'!Prem_Adjusted</vt:lpstr>
      <vt:lpstr>'7.6Rate Change Calculation'!Prem_Adjusted</vt:lpstr>
      <vt:lpstr>'7.7Rate Change Calculation'!Prem_Adjusted</vt:lpstr>
      <vt:lpstr>'7.8Rate Change Calculation'!Prem_Adjusted</vt:lpstr>
      <vt:lpstr>'7.9Rate Change Calculation'!Prem_Adjusted</vt:lpstr>
      <vt:lpstr>'7.10Rate Change Calculation'!Prem_AnnualTrend</vt:lpstr>
      <vt:lpstr>'7.1Rate Change Calculation'!Prem_AnnualTrend</vt:lpstr>
      <vt:lpstr>'7.2Rate Change Calculation'!Prem_AnnualTrend</vt:lpstr>
      <vt:lpstr>'7.3Rate Change Calculation'!Prem_AnnualTrend</vt:lpstr>
      <vt:lpstr>'7.4Rate Change Calculation'!Prem_AnnualTrend</vt:lpstr>
      <vt:lpstr>'7.5Rate Change Calculation'!Prem_AnnualTrend</vt:lpstr>
      <vt:lpstr>'7.6Rate Change Calculation'!Prem_AnnualTrend</vt:lpstr>
      <vt:lpstr>'7.7Rate Change Calculation'!Prem_AnnualTrend</vt:lpstr>
      <vt:lpstr>'7.8Rate Change Calculation'!Prem_AnnualTrend</vt:lpstr>
      <vt:lpstr>'7.9Rate Change Calculation'!Prem_AnnualTrend</vt:lpstr>
      <vt:lpstr>'7.10Rate Change Calculation'!Prem_Current</vt:lpstr>
      <vt:lpstr>'7.1Rate Change Calculation'!Prem_Current</vt:lpstr>
      <vt:lpstr>'7.2Rate Change Calculation'!Prem_Current</vt:lpstr>
      <vt:lpstr>'7.3Rate Change Calculation'!Prem_Current</vt:lpstr>
      <vt:lpstr>'7.4Rate Change Calculation'!Prem_Current</vt:lpstr>
      <vt:lpstr>'7.5Rate Change Calculation'!Prem_Current</vt:lpstr>
      <vt:lpstr>'7.6Rate Change Calculation'!Prem_Current</vt:lpstr>
      <vt:lpstr>'7.7Rate Change Calculation'!Prem_Current</vt:lpstr>
      <vt:lpstr>'7.8Rate Change Calculation'!Prem_Current</vt:lpstr>
      <vt:lpstr>'7.9Rate Change Calculation'!Prem_Current</vt:lpstr>
      <vt:lpstr>'7.10Rate Change Calculation'!Prem_Earned</vt:lpstr>
      <vt:lpstr>'7.1Rate Change Calculation'!Prem_Earned</vt:lpstr>
      <vt:lpstr>'7.2Rate Change Calculation'!Prem_Earned</vt:lpstr>
      <vt:lpstr>'7.3Rate Change Calculation'!Prem_Earned</vt:lpstr>
      <vt:lpstr>'7.4Rate Change Calculation'!Prem_Earned</vt:lpstr>
      <vt:lpstr>'7.5Rate Change Calculation'!Prem_Earned</vt:lpstr>
      <vt:lpstr>'7.6Rate Change Calculation'!Prem_Earned</vt:lpstr>
      <vt:lpstr>'7.7Rate Change Calculation'!Prem_Earned</vt:lpstr>
      <vt:lpstr>'7.8Rate Change Calculation'!Prem_Earned</vt:lpstr>
      <vt:lpstr>'7.9Rate Change Calculation'!Prem_Earned</vt:lpstr>
      <vt:lpstr>'7.10Rate Change Calculation'!Prem_Trend</vt:lpstr>
      <vt:lpstr>'7.1Rate Change Calculation'!Prem_Trend</vt:lpstr>
      <vt:lpstr>'7.2Rate Change Calculation'!Prem_Trend</vt:lpstr>
      <vt:lpstr>'7.3Rate Change Calculation'!Prem_Trend</vt:lpstr>
      <vt:lpstr>'7.4Rate Change Calculation'!Prem_Trend</vt:lpstr>
      <vt:lpstr>'7.5Rate Change Calculation'!Prem_Trend</vt:lpstr>
      <vt:lpstr>'7.6Rate Change Calculation'!Prem_Trend</vt:lpstr>
      <vt:lpstr>'7.7Rate Change Calculation'!Prem_Trend</vt:lpstr>
      <vt:lpstr>'7.8Rate Change Calculation'!Prem_Trend</vt:lpstr>
      <vt:lpstr>'7.9Rate Change Calculation'!Prem_Trend</vt:lpstr>
      <vt:lpstr>'7.10Rate Change Calculation'!Prem_Written</vt:lpstr>
      <vt:lpstr>'7.1Rate Change Calculation'!Prem_Written</vt:lpstr>
      <vt:lpstr>'7.2Rate Change Calculation'!Prem_Written</vt:lpstr>
      <vt:lpstr>'7.3Rate Change Calculation'!Prem_Written</vt:lpstr>
      <vt:lpstr>'7.4Rate Change Calculation'!Prem_Written</vt:lpstr>
      <vt:lpstr>'7.5Rate Change Calculation'!Prem_Written</vt:lpstr>
      <vt:lpstr>'7.6Rate Change Calculation'!Prem_Written</vt:lpstr>
      <vt:lpstr>'7.7Rate Change Calculation'!Prem_Written</vt:lpstr>
      <vt:lpstr>'7.8Rate Change Calculation'!Prem_Written</vt:lpstr>
      <vt:lpstr>'7.9Rate Change Calculation'!Prem_Written</vt:lpstr>
      <vt:lpstr>PremTaxRate</vt:lpstr>
      <vt:lpstr>'1.General'!Print_Area</vt:lpstr>
      <vt:lpstr>'2.Summary'!Print_Area</vt:lpstr>
      <vt:lpstr>'3.1YieldFIT'!Print_Area</vt:lpstr>
      <vt:lpstr>'3.2YieldFIT'!Print_Area</vt:lpstr>
      <vt:lpstr>'4.1Excluded Exp'!Print_Area</vt:lpstr>
      <vt:lpstr>'4.2Excluded Exp'!Print_Area</vt:lpstr>
      <vt:lpstr>'5.CDI Parameters'!Print_Area</vt:lpstr>
      <vt:lpstr>'6.10Ratemaking Data'!Print_Area</vt:lpstr>
      <vt:lpstr>'6.1Ratemaking Data'!Print_Area</vt:lpstr>
      <vt:lpstr>'6.2Ratemaking Data'!Print_Area</vt:lpstr>
      <vt:lpstr>'6.3Ratemaking Data'!Print_Area</vt:lpstr>
      <vt:lpstr>'6.4Ratemaking Data'!Print_Area</vt:lpstr>
      <vt:lpstr>'6.5Ratemaking Data'!Print_Area</vt:lpstr>
      <vt:lpstr>'6.6Ratemaking Data'!Print_Area</vt:lpstr>
      <vt:lpstr>'6.7Ratemaking Data'!Print_Area</vt:lpstr>
      <vt:lpstr>'6.8Ratemaking Data'!Print_Area</vt:lpstr>
      <vt:lpstr>'6.9Ratemaking Data'!Print_Area</vt:lpstr>
      <vt:lpstr>'7.10Rate Change Calculation'!Print_Area</vt:lpstr>
      <vt:lpstr>'7.1Rate Change Calculation'!Print_Area</vt:lpstr>
      <vt:lpstr>'7.2Rate Change Calculation'!Print_Area</vt:lpstr>
      <vt:lpstr>'7.3Rate Change Calculation'!Print_Area</vt:lpstr>
      <vt:lpstr>'7.4Rate Change Calculation'!Print_Area</vt:lpstr>
      <vt:lpstr>'7.5Rate Change Calculation'!Print_Area</vt:lpstr>
      <vt:lpstr>'7.6Rate Change Calculation'!Print_Area</vt:lpstr>
      <vt:lpstr>'7.7Rate Change Calculation'!Print_Area</vt:lpstr>
      <vt:lpstr>'7.8Rate Change Calculation'!Print_Area</vt:lpstr>
      <vt:lpstr>'7.9Rate Change Calculation'!Print_Area</vt:lpstr>
      <vt:lpstr>'8.10LCM Calculation'!Print_Area</vt:lpstr>
      <vt:lpstr>'8.1LCM Calculation'!Print_Area</vt:lpstr>
      <vt:lpstr>'8.2LCM Calculation'!Print_Area</vt:lpstr>
      <vt:lpstr>'8.3LCM Calculation'!Print_Area</vt:lpstr>
      <vt:lpstr>'8.4LCM Calculation'!Print_Area</vt:lpstr>
      <vt:lpstr>'8.5LCM Calculation'!Print_Area</vt:lpstr>
      <vt:lpstr>'8.6LCM Calculation'!Print_Area</vt:lpstr>
      <vt:lpstr>'8.7LCM Calculation'!Print_Area</vt:lpstr>
      <vt:lpstr>'8.8LCM Calculation'!Print_Area</vt:lpstr>
      <vt:lpstr>'8.9LCM Calculation'!Print_Area</vt:lpstr>
      <vt:lpstr>'Efficiency Standard'!Print_Area</vt:lpstr>
      <vt:lpstr>'Federal Income Tax Rate'!Print_Area</vt:lpstr>
      <vt:lpstr>'Incurred Loss &amp; DCCE'!Print_Area</vt:lpstr>
      <vt:lpstr>Instructions!Print_Area</vt:lpstr>
      <vt:lpstr>'Leverage Factor'!Print_Area</vt:lpstr>
      <vt:lpstr>'Reserves Ratio'!Print_Area</vt:lpstr>
      <vt:lpstr>Settings!Print_Area</vt:lpstr>
      <vt:lpstr>'7.10Rate Change Calculation'!Projected</vt:lpstr>
      <vt:lpstr>'7.1Rate Change Calculation'!Projected</vt:lpstr>
      <vt:lpstr>'7.2Rate Change Calculation'!Projected</vt:lpstr>
      <vt:lpstr>'7.3Rate Change Calculation'!Projected</vt:lpstr>
      <vt:lpstr>'7.4Rate Change Calculation'!Projected</vt:lpstr>
      <vt:lpstr>'7.5Rate Change Calculation'!Projected</vt:lpstr>
      <vt:lpstr>'7.6Rate Change Calculation'!Projected</vt:lpstr>
      <vt:lpstr>'7.7Rate Change Calculation'!Projected</vt:lpstr>
      <vt:lpstr>'7.8Rate Change Calculation'!Projected</vt:lpstr>
      <vt:lpstr>'7.9Rate Change Calculation'!Projected</vt:lpstr>
      <vt:lpstr>'7.10Rate Change Calculation'!Rein_CHANGE_AT_MAX</vt:lpstr>
      <vt:lpstr>'7.1Rate Change Calculation'!Rein_CHANGE_AT_MAX</vt:lpstr>
      <vt:lpstr>'7.2Rate Change Calculation'!Rein_CHANGE_AT_MAX</vt:lpstr>
      <vt:lpstr>'7.3Rate Change Calculation'!Rein_CHANGE_AT_MAX</vt:lpstr>
      <vt:lpstr>'7.4Rate Change Calculation'!Rein_CHANGE_AT_MAX</vt:lpstr>
      <vt:lpstr>'7.5Rate Change Calculation'!Rein_CHANGE_AT_MAX</vt:lpstr>
      <vt:lpstr>'7.6Rate Change Calculation'!Rein_CHANGE_AT_MAX</vt:lpstr>
      <vt:lpstr>'7.7Rate Change Calculation'!Rein_CHANGE_AT_MAX</vt:lpstr>
      <vt:lpstr>'7.8Rate Change Calculation'!Rein_CHANGE_AT_MAX</vt:lpstr>
      <vt:lpstr>'7.9Rate Change Calculation'!Rein_CHANGE_AT_MAX</vt:lpstr>
      <vt:lpstr>Rein_Indicator</vt:lpstr>
      <vt:lpstr>'7.10Rate Change Calculation'!Rein_Prem</vt:lpstr>
      <vt:lpstr>'7.1Rate Change Calculation'!Rein_Prem</vt:lpstr>
      <vt:lpstr>'7.2Rate Change Calculation'!Rein_Prem</vt:lpstr>
      <vt:lpstr>'7.3Rate Change Calculation'!Rein_Prem</vt:lpstr>
      <vt:lpstr>'7.4Rate Change Calculation'!Rein_Prem</vt:lpstr>
      <vt:lpstr>'7.5Rate Change Calculation'!Rein_Prem</vt:lpstr>
      <vt:lpstr>'7.6Rate Change Calculation'!Rein_Prem</vt:lpstr>
      <vt:lpstr>'7.7Rate Change Calculation'!Rein_Prem</vt:lpstr>
      <vt:lpstr>'7.8Rate Change Calculation'!Rein_Prem</vt:lpstr>
      <vt:lpstr>'7.9Rate Change Calculation'!Rein_Prem</vt:lpstr>
      <vt:lpstr>'7.10Rate Change Calculation'!Rein_Recov</vt:lpstr>
      <vt:lpstr>'7.1Rate Change Calculation'!Rein_Recov</vt:lpstr>
      <vt:lpstr>'7.2Rate Change Calculation'!Rein_Recov</vt:lpstr>
      <vt:lpstr>'7.3Rate Change Calculation'!Rein_Recov</vt:lpstr>
      <vt:lpstr>'7.4Rate Change Calculation'!Rein_Recov</vt:lpstr>
      <vt:lpstr>'7.5Rate Change Calculation'!Rein_Recov</vt:lpstr>
      <vt:lpstr>'7.6Rate Change Calculation'!Rein_Recov</vt:lpstr>
      <vt:lpstr>'7.7Rate Change Calculation'!Rein_Recov</vt:lpstr>
      <vt:lpstr>'7.8Rate Change Calculation'!Rein_Recov</vt:lpstr>
      <vt:lpstr>'7.9Rate Change Calculation'!Rein_Recov</vt:lpstr>
      <vt:lpstr>'7.10Rate Change Calculation'!ReinMax_Premium</vt:lpstr>
      <vt:lpstr>'7.1Rate Change Calculation'!ReinMax_Premium</vt:lpstr>
      <vt:lpstr>'7.2Rate Change Calculation'!ReinMax_Premium</vt:lpstr>
      <vt:lpstr>'7.3Rate Change Calculation'!ReinMax_Premium</vt:lpstr>
      <vt:lpstr>'7.4Rate Change Calculation'!ReinMax_Premium</vt:lpstr>
      <vt:lpstr>'7.5Rate Change Calculation'!ReinMax_Premium</vt:lpstr>
      <vt:lpstr>'7.6Rate Change Calculation'!ReinMax_Premium</vt:lpstr>
      <vt:lpstr>'7.7Rate Change Calculation'!ReinMax_Premium</vt:lpstr>
      <vt:lpstr>'7.8Rate Change Calculation'!ReinMax_Premium</vt:lpstr>
      <vt:lpstr>'7.9Rate Change Calculation'!ReinMax_Premium</vt:lpstr>
      <vt:lpstr>'7.10Rate Change Calculation'!ReinPrem_perExp</vt:lpstr>
      <vt:lpstr>'7.1Rate Change Calculation'!ReinPrem_perExp</vt:lpstr>
      <vt:lpstr>'7.2Rate Change Calculation'!ReinPrem_perExp</vt:lpstr>
      <vt:lpstr>'7.3Rate Change Calculation'!ReinPrem_perExp</vt:lpstr>
      <vt:lpstr>'7.4Rate Change Calculation'!ReinPrem_perExp</vt:lpstr>
      <vt:lpstr>'7.5Rate Change Calculation'!ReinPrem_perExp</vt:lpstr>
      <vt:lpstr>'7.6Rate Change Calculation'!ReinPrem_perExp</vt:lpstr>
      <vt:lpstr>'7.7Rate Change Calculation'!ReinPrem_perExp</vt:lpstr>
      <vt:lpstr>'7.8Rate Change Calculation'!ReinPrem_perExp</vt:lpstr>
      <vt:lpstr>'7.9Rate Change Calculation'!ReinPrem_perExp</vt:lpstr>
      <vt:lpstr>'7.10Rate Change Calculation'!ReinRec_perExp</vt:lpstr>
      <vt:lpstr>'7.1Rate Change Calculation'!ReinRec_perExp</vt:lpstr>
      <vt:lpstr>'7.2Rate Change Calculation'!ReinRec_perExp</vt:lpstr>
      <vt:lpstr>'7.3Rate Change Calculation'!ReinRec_perExp</vt:lpstr>
      <vt:lpstr>'7.4Rate Change Calculation'!ReinRec_perExp</vt:lpstr>
      <vt:lpstr>'7.5Rate Change Calculation'!ReinRec_perExp</vt:lpstr>
      <vt:lpstr>'7.6Rate Change Calculation'!ReinRec_perExp</vt:lpstr>
      <vt:lpstr>'7.7Rate Change Calculation'!ReinRec_perExp</vt:lpstr>
      <vt:lpstr>'7.8Rate Change Calculation'!ReinRec_perExp</vt:lpstr>
      <vt:lpstr>'7.9Rate Change Calculation'!ReinRec_perExp</vt:lpstr>
      <vt:lpstr>ResRatio_Loss01</vt:lpstr>
      <vt:lpstr>ResRatio_Loss02</vt:lpstr>
      <vt:lpstr>ResRatio_Loss03</vt:lpstr>
      <vt:lpstr>ResRatio_Loss04</vt:lpstr>
      <vt:lpstr>ResRatio_Loss05</vt:lpstr>
      <vt:lpstr>ResRatio_Loss06</vt:lpstr>
      <vt:lpstr>ResRatio_Loss07</vt:lpstr>
      <vt:lpstr>ResRatio_Loss08</vt:lpstr>
      <vt:lpstr>ResRatio_Loss09</vt:lpstr>
      <vt:lpstr>ResRatio_Loss10</vt:lpstr>
      <vt:lpstr>ResRatio_UPR01</vt:lpstr>
      <vt:lpstr>ResRatio_UPR02</vt:lpstr>
      <vt:lpstr>ResRatio_UPR03</vt:lpstr>
      <vt:lpstr>ResRatio_UPR04</vt:lpstr>
      <vt:lpstr>ResRatio_UPR05</vt:lpstr>
      <vt:lpstr>ResRatio_UPR06</vt:lpstr>
      <vt:lpstr>ResRatio_UPR07</vt:lpstr>
      <vt:lpstr>ResRatio_UPR08</vt:lpstr>
      <vt:lpstr>ResRatio_UPR09</vt:lpstr>
      <vt:lpstr>ResRatio_UPR10</vt:lpstr>
      <vt:lpstr>ROR_Max</vt:lpstr>
      <vt:lpstr>ROR_Min</vt:lpstr>
      <vt:lpstr>ROR_RiskFree</vt:lpstr>
      <vt:lpstr>ROR_RiskFree_Date</vt:lpstr>
      <vt:lpstr>SERFF_Filing_Date</vt:lpstr>
      <vt:lpstr>'7.10Rate Change Calculation'!SurplusRatio</vt:lpstr>
      <vt:lpstr>'7.1Rate Change Calculation'!SurplusRatio</vt:lpstr>
      <vt:lpstr>'7.2Rate Change Calculation'!SurplusRatio</vt:lpstr>
      <vt:lpstr>'7.3Rate Change Calculation'!SurplusRatio</vt:lpstr>
      <vt:lpstr>'7.4Rate Change Calculation'!SurplusRatio</vt:lpstr>
      <vt:lpstr>'7.5Rate Change Calculation'!SurplusRatio</vt:lpstr>
      <vt:lpstr>'7.6Rate Change Calculation'!SurplusRatio</vt:lpstr>
      <vt:lpstr>'7.7Rate Change Calculation'!SurplusRatio</vt:lpstr>
      <vt:lpstr>'7.8Rate Change Calculation'!SurplusRatio</vt:lpstr>
      <vt:lpstr>'7.9Rate Change Calculation'!SurplusRatio</vt:lpstr>
      <vt:lpstr>Table_EffStd</vt:lpstr>
      <vt:lpstr>Table_IncdLossDCCE</vt:lpstr>
      <vt:lpstr>Table_LevFact</vt:lpstr>
      <vt:lpstr>Table_ResRatio</vt:lpstr>
      <vt:lpstr>'7.10Rate Change Calculation'!TCRLP_perExp</vt:lpstr>
      <vt:lpstr>'7.1Rate Change Calculation'!TCRLP_perExp</vt:lpstr>
      <vt:lpstr>'7.2Rate Change Calculation'!TCRLP_perExp</vt:lpstr>
      <vt:lpstr>'7.3Rate Change Calculation'!TCRLP_perExp</vt:lpstr>
      <vt:lpstr>'7.4Rate Change Calculation'!TCRLP_perExp</vt:lpstr>
      <vt:lpstr>'7.5Rate Change Calculation'!TCRLP_perExp</vt:lpstr>
      <vt:lpstr>'7.6Rate Change Calculation'!TCRLP_perExp</vt:lpstr>
      <vt:lpstr>'7.7Rate Change Calculation'!TCRLP_perExp</vt:lpstr>
      <vt:lpstr>'7.8Rate Change Calculation'!TCRLP_perExp</vt:lpstr>
      <vt:lpstr>'7.9Rate Change Calculation'!TCRLP_perExp</vt:lpstr>
      <vt:lpstr>update_effstd</vt:lpstr>
      <vt:lpstr>update_LCMdata</vt:lpstr>
      <vt:lpstr>update_leverage</vt:lpstr>
      <vt:lpstr>update_reserveratios</vt:lpstr>
      <vt:lpstr>'7.10Rate Change Calculation'!UW_Profit</vt:lpstr>
      <vt:lpstr>'7.1Rate Change Calculation'!UW_Profit</vt:lpstr>
      <vt:lpstr>'7.2Rate Change Calculation'!UW_Profit</vt:lpstr>
      <vt:lpstr>'7.3Rate Change Calculation'!UW_Profit</vt:lpstr>
      <vt:lpstr>'7.4Rate Change Calculation'!UW_Profit</vt:lpstr>
      <vt:lpstr>'7.5Rate Change Calculation'!UW_Profit</vt:lpstr>
      <vt:lpstr>'7.6Rate Change Calculation'!UW_Profit</vt:lpstr>
      <vt:lpstr>'7.7Rate Change Calculation'!UW_Profit</vt:lpstr>
      <vt:lpstr>'7.8Rate Change Calculation'!UW_Profit</vt:lpstr>
      <vt:lpstr>'7.9Rate Change Calculation'!UW_Profit</vt:lpstr>
      <vt:lpstr>Yield</vt:lpstr>
    </vt:vector>
  </TitlesOfParts>
  <Company>California Department of Insurance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WehmuellerL</dc:creator>
  <cp:lastModifiedBy>Maria Bunner</cp:lastModifiedBy>
  <cp:lastPrinted>2021-05-24T23:18:46Z</cp:lastPrinted>
  <dcterms:created xsi:type="dcterms:W3CDTF">2014-04-24T17:59:28Z</dcterms:created>
  <dcterms:modified xsi:type="dcterms:W3CDTF">2023-03-09T19:16:18Z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261ecbe3-7ba9-4124-b9d7-ffd820687beb_Enabled">
    <vt:lpwstr>true</vt:lpwstr>
  </property>
  <property fmtid="{D5CDD505-2E9C-101B-9397-08002B2CF9AE}" pid="3" name="MSIP_Label_261ecbe3-7ba9-4124-b9d7-ffd820687beb_SetDate">
    <vt:lpwstr>2022-04-18T13:43:27Z</vt:lpwstr>
  </property>
  <property fmtid="{D5CDD505-2E9C-101B-9397-08002B2CF9AE}" pid="4" name="MSIP_Label_261ecbe3-7ba9-4124-b9d7-ffd820687beb_Method">
    <vt:lpwstr>Standard</vt:lpwstr>
  </property>
  <property fmtid="{D5CDD505-2E9C-101B-9397-08002B2CF9AE}" pid="5" name="MSIP_Label_261ecbe3-7ba9-4124-b9d7-ffd820687beb_Name">
    <vt:lpwstr>261ecbe3-7ba9-4124-b9d7-ffd820687beb</vt:lpwstr>
  </property>
  <property fmtid="{D5CDD505-2E9C-101B-9397-08002B2CF9AE}" pid="6" name="MSIP_Label_261ecbe3-7ba9-4124-b9d7-ffd820687beb_SiteId">
    <vt:lpwstr>fa23982e-6646-4a33-a5c4-1a848d02fcc4</vt:lpwstr>
  </property>
  <property fmtid="{D5CDD505-2E9C-101B-9397-08002B2CF9AE}" pid="7" name="MSIP_Label_261ecbe3-7ba9-4124-b9d7-ffd820687beb_ActionId">
    <vt:lpwstr>5667c75d-3e7d-441a-8d2f-81651f8eaab2</vt:lpwstr>
  </property>
  <property fmtid="{D5CDD505-2E9C-101B-9397-08002B2CF9AE}" pid="8" name="MSIP_Label_261ecbe3-7ba9-4124-b9d7-ffd820687beb_ContentBits">
    <vt:lpwstr>0</vt:lpwstr>
  </property>
</Properties>
</file>