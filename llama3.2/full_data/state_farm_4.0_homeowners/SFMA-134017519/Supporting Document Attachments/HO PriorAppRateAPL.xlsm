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2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21.xml" ContentType="application/vnd.openxmlformats-officedocument.drawing+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22.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drawings/drawing23.xml" ContentType="application/vnd.openxmlformats-officedocument.drawing+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drawings/drawing24.xml" ContentType="application/vnd.openxmlformats-officedocument.drawing+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4\HO RDP 4-1 UG\HO Filing\"/>
    </mc:Choice>
  </mc:AlternateContent>
  <xr:revisionPtr revIDLastSave="0" documentId="13_ncr:1_{5A1C3FEC-E717-445E-8A55-EE738C25044B}" xr6:coauthVersionLast="47" xr6:coauthVersionMax="47" xr10:uidLastSave="{00000000-0000-0000-0000-000000000000}"/>
  <bookViews>
    <workbookView xWindow="-120" yWindow="-120" windowWidth="29040" windowHeight="15840" tabRatio="905"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5" r:id="rId25"/>
    <sheet name="12.12Model Disclosure" sheetId="57" r:id="rId26"/>
    <sheet name="12.13Model Disclosure" sheetId="58" r:id="rId27"/>
    <sheet name="12.14Model Disclosure" sheetId="56" r:id="rId28"/>
    <sheet name="12.15Model Disclosure" sheetId="54" r:id="rId29"/>
  </sheets>
  <functionGroups builtInGroupCount="19"/>
  <externalReferences>
    <externalReference r:id="rId30"/>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27">'12.14Model Disclosure'!$B$9</definedName>
    <definedName name="Model_Catastrophe" localSheetId="28">'12.15Model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27">'12.14Model Disclosure'!$G$9</definedName>
    <definedName name="Model_NonCatastrophe" localSheetId="28">'12.15Model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27">'12.14Model Disclosure'!$G$13</definedName>
    <definedName name="Model_Other" localSheetId="28">'12.15Model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27">'12.14Model Disclosure'!$G$12</definedName>
    <definedName name="Model_OverallRateLevel" localSheetId="28">'12.15Model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27">'12.14Model Disclosure'!$B$13</definedName>
    <definedName name="Model_RateSegmentation" localSheetId="28">'12.15Model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27">'12.14Model Disclosure'!$L$38</definedName>
    <definedName name="Model_Refresh" localSheetId="28">'12.15Model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27">'12.14Model Disclosure'!$G$38</definedName>
    <definedName name="Model_Revision" localSheetId="28">'12.15Model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27">'12.14Model Disclosure'!$B$39</definedName>
    <definedName name="Model_RevisionNo" localSheetId="28">'12.15Model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27">'12.14Model Disclosure'!$A$1:$P$49</definedName>
    <definedName name="_xlnm.Print_Area" localSheetId="28">'12.15Model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27">'12.14Model Disclosure'!$B$12</definedName>
    <definedName name="UW_Model" localSheetId="28">'12.15Model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58" l="1"/>
  <c r="K44" i="58"/>
  <c r="P1" i="58"/>
  <c r="I47" i="57"/>
  <c r="K44" i="57"/>
  <c r="P1" i="57"/>
  <c r="I47" i="56" l="1"/>
  <c r="K44" i="56"/>
  <c r="P1" i="56"/>
  <c r="I47" i="55"/>
  <c r="K44" i="55"/>
  <c r="P1" i="55"/>
  <c r="I47" i="54"/>
  <c r="K44" i="54"/>
  <c r="P1" i="54"/>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F21" i="6"/>
  <c r="F20" i="6"/>
  <c r="F19" i="6"/>
  <c r="F18" i="6"/>
  <c r="F17" i="6"/>
  <c r="F16" i="6"/>
  <c r="F15" i="6"/>
  <c r="F14" i="6"/>
  <c r="F13" i="6"/>
  <c r="F12" i="6"/>
  <c r="I1" i="2"/>
  <c r="B20" i="1"/>
  <c r="B11" i="30" s="1"/>
  <c r="P2" i="57" l="1"/>
  <c r="P2" i="58"/>
  <c r="P2" i="55"/>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<sst xmlns="http://schemas.openxmlformats.org/spreadsheetml/2006/main" count="2026" uniqueCount="568">
  <si>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</si>
  <si>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</si>
  <si>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</si>
  <si>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</si>
  <si>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</si>
  <si>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</si>
  <si>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</si>
  <si>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</si>
  <si>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</si>
  <si>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</si>
  <si>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</si>
  <si>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</si>
  <si>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</si>
  <si>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</si>
  <si>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</si>
  <si>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</si>
  <si>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</si>
  <si>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</si>
  <si>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</si>
  <si>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</si>
  <si>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</si>
  <si>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</si>
  <si>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</si>
  <si>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</si>
  <si>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</si>
  <si>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</si>
  <si>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</si>
  <si>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</si>
  <si>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</si>
  <si>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</si>
  <si>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</si>
  <si>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</si>
  <si>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</si>
  <si>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</si>
  <si>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</si>
  <si>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</si>
  <si>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</si>
  <si>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</si>
  <si>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</si>
  <si>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</si>
  <si>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</si>
  <si>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</si>
  <si>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</si>
  <si>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</si>
  <si>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</si>
  <si>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</si>
  <si>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</si>
  <si>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</si>
  <si>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</si>
  <si>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</si>
  <si>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</si>
  <si>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</si>
  <si>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</si>
  <si>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</si>
  <si>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</si>
  <si>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</si>
  <si>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</si>
  <si>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</si>
  <si>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</si>
  <si>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</si>
  <si>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</si>
  <si>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</si>
  <si>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</si>
  <si>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</si>
  <si>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</si>
  <si>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</si>
  <si>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</si>
  <si>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</si>
  <si>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</si>
  <si>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</si>
  <si>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</si>
  <si>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</si>
  <si>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</si>
  <si>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</si>
  <si>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</si>
  <si>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</si>
  <si>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</si>
  <si>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</si>
  <si>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</si>
  <si>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</si>
  <si>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</si>
  <si>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</si>
  <si>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</si>
  <si>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</si>
  <si>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</si>
  <si>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</si>
  <si>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</si>
  <si>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</si>
  <si>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</si>
  <si>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</si>
  <si>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</si>
  <si>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</si>
  <si>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</si>
  <si>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</si>
  <si>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</si>
  <si>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</si>
  <si>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</si>
  <si>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</si>
  <si>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</si>
  <si>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</si>
  <si>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</si>
  <si>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</si>
  <si>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</si>
  <si>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</si>
  <si>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</si>
  <si>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</si>
  <si>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</si>
  <si>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</si>
  <si>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</si>
  <si>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</si>
  <si>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</si>
  <si>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</si>
  <si>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</si>
  <si>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</si>
  <si>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</si>
  <si>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</si>
  <si>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</si>
  <si>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</si>
  <si>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</si>
  <si>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</si>
  <si>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</si>
  <si>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</si>
  <si>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</si>
  <si>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</si>
  <si>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</si>
  <si>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</si>
  <si>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</si>
  <si>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</si>
  <si>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</si>
  <si>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</si>
  <si>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</si>
  <si>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</si>
  <si>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</si>
  <si>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</si>
  <si>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</si>
  <si>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</si>
  <si>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</si>
  <si>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</si>
  <si>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</si>
  <si>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</si>
  <si>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</si>
  <si>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</si>
  <si>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</si>
  <si>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</si>
  <si>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</si>
  <si>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</si>
  <si>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</si>
  <si>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</si>
  <si>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</si>
  <si>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</si>
  <si>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</si>
  <si>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</si>
  <si>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</si>
  <si>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</si>
  <si>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</si>
  <si>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</si>
  <si>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</si>
  <si>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</si>
  <si>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</si>
  <si>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</si>
  <si>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</si>
  <si>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</si>
  <si>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</si>
  <si>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</si>
  <si>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</si>
  <si>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</si>
  <si>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</si>
  <si>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</si>
  <si>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</si>
  <si>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</si>
  <si>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</si>
  <si>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</si>
  <si>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</si>
  <si>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</si>
  <si>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</si>
  <si>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</si>
  <si>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</si>
  <si>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</si>
  <si>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</si>
  <si>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</si>
  <si>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</si>
  <si>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</si>
  <si>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</si>
  <si>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</si>
  <si>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</si>
  <si>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</si>
  <si>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</si>
  <si>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</si>
  <si>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</si>
  <si>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</si>
  <si>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</si>
  <si>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</si>
  <si>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</si>
  <si>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</si>
  <si>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</si>
  <si>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</si>
  <si>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</si>
  <si>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</si>
  <si>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</si>
  <si>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</si>
  <si>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</si>
  <si>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</si>
  <si>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</si>
  <si>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</si>
  <si>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</si>
  <si>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</si>
  <si>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</si>
  <si>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</si>
  <si>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</si>
  <si>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</si>
  <si>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</si>
  <si>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</si>
  <si>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</si>
  <si>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</si>
  <si>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</si>
  <si>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</si>
  <si>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</si>
  <si>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</si>
  <si>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</si>
  <si>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</si>
  <si>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</si>
  <si>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</si>
  <si>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</si>
  <si>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</si>
  <si>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</si>
  <si>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</si>
  <si>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</si>
  <si>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</si>
  <si>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</si>
  <si>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</si>
  <si>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</si>
  <si>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</si>
  <si>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</si>
  <si>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</si>
  <si>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</si>
  <si>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</si>
  <si>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</si>
  <si>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</si>
  <si>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</si>
  <si>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</si>
  <si>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</si>
  <si>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</si>
  <si>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</si>
  <si>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</si>
  <si>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</si>
  <si>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</si>
  <si>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</si>
  <si>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</si>
  <si>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</si>
  <si>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</si>
  <si>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</si>
  <si>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</si>
  <si>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</si>
  <si>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</si>
  <si>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</si>
  <si>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</si>
  <si>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</si>
  <si>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</si>
  <si>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</si>
  <si>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</si>
  <si>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</si>
  <si>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</si>
  <si>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</si>
  <si>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</si>
  <si>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</si>
  <si>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</si>
  <si>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</si>
  <si>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</si>
  <si>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</si>
  <si>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</si>
  <si>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</si>
  <si>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</si>
  <si>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</si>
  <si>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</si>
  <si>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</si>
  <si>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</si>
  <si>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</si>
  <si>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</si>
  <si>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</si>
  <si>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</si>
  <si>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</si>
  <si>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</si>
  <si>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</si>
  <si>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</si>
  <si>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</si>
  <si>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</si>
  <si>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</si>
  <si>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</si>
  <si>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</si>
  <si>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</si>
  <si>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</si>
  <si>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</si>
  <si>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</si>
  <si>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</si>
  <si>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</si>
  <si>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</si>
  <si>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</si>
  <si>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</si>
  <si>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</si>
  <si>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</si>
  <si>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</si>
  <si>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</si>
  <si>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</si>
  <si>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</si>
  <si>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</si>
  <si>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</si>
  <si>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</si>
  <si>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</si>
  <si>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</si>
  <si>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</si>
  <si>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</si>
  <si>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</si>
  <si>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</si>
  <si>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</si>
  <si>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</si>
  <si>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</si>
  <si>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</si>
  <si>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</si>
  <si>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</si>
  <si>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</si>
  <si>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</si>
  <si>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</si>
  <si>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</si>
  <si>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</si>
  <si>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</si>
  <si>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</si>
  <si>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</si>
  <si>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</si>
  <si>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</si>
  <si>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</si>
  <si>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</si>
  <si>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</si>
  <si>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</si>
  <si>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</si>
  <si>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</si>
  <si>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</si>
  <si>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</si>
  <si>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</si>
  <si>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</si>
  <si>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</si>
  <si>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</si>
  <si>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</si>
  <si>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</si>
  <si>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</si>
  <si>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</si>
  <si>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</si>
  <si>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</si>
  <si>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</si>
  <si>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</si>
  <si>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</si>
  <si>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</si>
  <si>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</si>
  <si>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</si>
  <si>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</si>
  <si>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</si>
  <si>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</si>
  <si>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</si>
  <si>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</si>
  <si>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</si>
  <si>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</si>
  <si>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</si>
  <si>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</si>
  <si>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</si>
  <si>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</si>
  <si>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</si>
  <si>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</si>
  <si>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</si>
  <si>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</si>
  <si>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</si>
  <si>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</si>
  <si>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</si>
  <si>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</si>
  <si>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</si>
  <si>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</si>
  <si>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</si>
  <si>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</si>
  <si>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</si>
  <si>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</si>
  <si>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</si>
  <si>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</si>
  <si>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</si>
  <si>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</si>
  <si>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</si>
  <si>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</si>
  <si>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</si>
  <si>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</si>
  <si>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</si>
  <si>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</si>
  <si>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</si>
  <si>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</si>
  <si>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</si>
  <si>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</si>
  <si>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</si>
  <si>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</si>
  <si>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</si>
  <si>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</si>
  <si>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</si>
  <si>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</si>
  <si>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</si>
  <si>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</si>
  <si>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</si>
  <si>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</si>
  <si>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</si>
  <si>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</si>
  <si>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</si>
  <si>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</si>
  <si>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</si>
  <si>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</si>
  <si>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</si>
  <si>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</si>
  <si>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</si>
  <si>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</si>
  <si>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</si>
  <si>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</si>
  <si>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</si>
  <si>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</si>
  <si>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</si>
  <si>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</si>
  <si>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</si>
  <si>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</si>
  <si>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</si>
  <si>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</si>
  <si>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</si>
  <si>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</si>
  <si>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</si>
  <si>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</si>
  <si>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</si>
  <si>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</si>
  <si>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</si>
  <si>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</si>
  <si>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</si>
  <si>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</si>
  <si>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</si>
  <si>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</si>
  <si>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</si>
  <si>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</si>
  <si>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</si>
  <si>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</si>
  <si>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</si>
  <si>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</si>
  <si>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</si>
  <si>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</si>
  <si>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</si>
  <si>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</si>
  <si>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</si>
  <si>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</si>
  <si>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</si>
  <si>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</si>
  <si>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</si>
  <si>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</si>
  <si>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</si>
  <si>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</si>
  <si>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</si>
  <si>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</si>
  <si>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</si>
  <si>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</si>
  <si>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</si>
  <si>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</si>
  <si>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</si>
  <si>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</si>
  <si>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</si>
  <si>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</si>
  <si>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</si>
  <si>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</si>
  <si>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</si>
  <si>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</si>
  <si>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</si>
  <si>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</si>
  <si>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</si>
  <si>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</si>
  <si>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</si>
  <si>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</si>
  <si>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</si>
  <si>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</si>
  <si>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</si>
  <si>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</si>
  <si>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</si>
  <si>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</si>
  <si>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</si>
  <si>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</si>
  <si>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</si>
  <si>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</si>
  <si>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</si>
  <si>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</si>
  <si>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</si>
  <si>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</si>
  <si>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</si>
  <si>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</si>
  <si>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</si>
  <si>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</si>
  <si>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</si>
  <si>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</si>
  <si>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</si>
  <si>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</si>
  <si>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</si>
  <si>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</si>
  <si>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</si>
  <si>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</si>
  <si>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</si>
  <si>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</si>
  <si>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</si>
  <si>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</si>
  <si>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</si>
  <si>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</si>
  <si>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</si>
  <si>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</si>
  <si>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</si>
  <si>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</si>
  <si>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</si>
  <si>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</si>
  <si>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</si>
  <si>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</si>
  <si>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</si>
  <si>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</si>
  <si>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</si>
  <si>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</si>
  <si>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</si>
  <si>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</si>
  <si>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</si>
  <si>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</si>
  <si>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</si>
  <si>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</si>
  <si>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</si>
  <si>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</si>
  <si>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</si>
  <si>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</si>
  <si>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</si>
  <si>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</si>
  <si>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23-613</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</si>
  <si>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</si>
  <si>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</si>
  <si>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</si>
  <si>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</si>
  <si>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</si>
  <si>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</si>
  <si>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</si>
  <si>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</si>
  <si>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</si>
  <si>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RMS RiskLink 21.0</t>
  </si>
  <si>
    <t>Simulation of stochastic event set</t>
  </si>
  <si>
    <t>SFMA-133569018</t>
  </si>
  <si>
    <t>Risk Management Solutions, Inc</t>
  </si>
  <si>
    <t>N/A</t>
  </si>
  <si>
    <t>CoreLogic RQE v21.0</t>
  </si>
  <si>
    <t>CoreLogic, Inc.</t>
  </si>
  <si>
    <t>AIR Touchstone v9.0</t>
  </si>
  <si>
    <t>AIR Worldwide Corporation</t>
  </si>
  <si>
    <t>RMS RiskLink 17.0.1</t>
  </si>
  <si>
    <t>CoreLogic RQE v17.0</t>
  </si>
  <si>
    <t xml:space="preserve">CoreLogic, Inc. </t>
  </si>
  <si>
    <t>AIR Touchstone v6.0</t>
  </si>
  <si>
    <t>CoreLogic RQE v19.2</t>
  </si>
  <si>
    <t>AIR Touchstone v8.0</t>
  </si>
  <si>
    <t>Impact Forecasting ELEMENTS v14</t>
  </si>
  <si>
    <t>AON Impact Forecasting</t>
  </si>
  <si>
    <t>CoreLogic, Inc</t>
  </si>
  <si>
    <t>GRID Fire Model</t>
  </si>
  <si>
    <t>Corelogic Brushfire</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</si>
  <si>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</si>
  <si>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</si>
  <si>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</si>
  <si>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HO-46962</t>
  </si>
  <si>
    <t>24-426</t>
  </si>
  <si>
    <t>CoreLogic RQE v23</t>
  </si>
  <si>
    <t>AIR Touchstone v10</t>
  </si>
  <si>
    <t>Impact Forecasting ELEMENTS v16</t>
  </si>
  <si>
    <t>RMS RiskLink 23</t>
  </si>
  <si>
    <t>Vg7IDUxX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</si>
</sst>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0" fontId="9" fillId="2" borderId="53" xfId="0" applyFont="1" applyFill="1" applyBorder="1" applyAlignment="1">
      <alignment horizontal="left" vertical="center"/>
    </xf>
    <xf numFmtId="0" fontId="0" fillId="0" borderId="53" xfId="0"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2" borderId="38" xfId="0" applyFont="1" applyFill="1" applyBorder="1" applyAlignment="1">
      <alignment horizontal="left"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0" fontId="58" fillId="0" borderId="0" xfId="0" applyFont="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58" fillId="0" borderId="0" xfId="0" applyNumberFormat="1" applyFont="1" applyAlignment="1" applyProtection="1">
      <alignment horizontal="left" vertical="top"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49" fontId="58" fillId="2" borderId="38" xfId="0" applyNumberFormat="1" applyFont="1" applyFill="1" applyBorder="1" applyAlignment="1" applyProtection="1">
      <alignment horizontal="left" vertical="top" wrapText="1"/>
      <protection locked="0"/>
    </xf>
    <xf numFmtId="0" fontId="58" fillId="0" borderId="0" xfId="0" applyFont="1" applyAlignment="1">
      <alignment horizontal="left" vertical="center" wrapText="1"/>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30">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checked="Checked" fmlaLink="B9" lockText="1" noThreeD="1"/>
</file>

<file path=xl/ctrlProps/ctrlProp111.xml><?xml version="1.0" encoding="utf-8"?>
<formControlPr xmlns="http://schemas.microsoft.com/office/spreadsheetml/2009/9/main" objectType="CheckBox" fmlaLink="G9" lockText="1" noThreeD="1"/>
</file>

<file path=xl/ctrlProps/ctrlProp112.xml><?xml version="1.0" encoding="utf-8"?>
<formControlPr xmlns="http://schemas.microsoft.com/office/spreadsheetml/2009/9/main" objectType="CheckBox" checked="Checked"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checked="Checked"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checked="Checked"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checked="Checked" fmlaLink="L33" lockText="1" noThreeD="1"/>
</file>

<file path=xl/ctrlProps/ctrlProp145.xml><?xml version="1.0" encoding="utf-8"?>
<formControlPr xmlns="http://schemas.microsoft.com/office/spreadsheetml/2009/9/main" objectType="CheckBox" checked="Checked" fmlaLink="B9" lockText="1" noThreeD="1"/>
</file>

<file path=xl/ctrlProps/ctrlProp146.xml><?xml version="1.0" encoding="utf-8"?>
<formControlPr xmlns="http://schemas.microsoft.com/office/spreadsheetml/2009/9/main" objectType="CheckBox" fmlaLink="G9" lockText="1" noThreeD="1"/>
</file>

<file path=xl/ctrlProps/ctrlProp147.xml><?xml version="1.0" encoding="utf-8"?>
<formControlPr xmlns="http://schemas.microsoft.com/office/spreadsheetml/2009/9/main" objectType="CheckBox" checked="Checked"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checked="Checked"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fmlaLink="G29" lockText="1" noThreeD="1"/>
</file>

<file path=xl/ctrlProps/ctrlProp164.xml><?xml version="1.0" encoding="utf-8"?>
<formControlPr xmlns="http://schemas.microsoft.com/office/spreadsheetml/2009/9/main" objectType="CheckBox" checked="Checked"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fmlaLink="B44" lockText="1" noThreeD="1"/>
</file>

<file path=xl/ctrlProps/ctrlProp169.xml><?xml version="1.0" encoding="utf-8"?>
<formControlPr xmlns="http://schemas.microsoft.com/office/spreadsheetml/2009/9/main" objectType="CheckBox" checked="Checked"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checked="Checked" fmlaLink="L33" lockText="1" noThreeD="1"/>
</file>

<file path=xl/ctrlProps/ctrlProp180.xml><?xml version="1.0" encoding="utf-8"?>
<formControlPr xmlns="http://schemas.microsoft.com/office/spreadsheetml/2009/9/main" objectType="CheckBox" checked="Checked"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checked="Checked"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checked="Checked"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checked="Checked"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checked="Checked" fmlaLink="G44" lockText="1" noThreeD="1"/>
</file>

<file path=xl/ctrlProps/ctrlProp205.xml><?xml version="1.0" encoding="utf-8"?>
<formControlPr xmlns="http://schemas.microsoft.com/office/spreadsheetml/2009/9/main" objectType="CheckBox" checked="Checked"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checked="Checked" fmlaLink="L33" lockText="1" noThreeD="1"/>
</file>

<file path=xl/ctrlProps/ctrlProp215.xml><?xml version="1.0" encoding="utf-8"?>
<formControlPr xmlns="http://schemas.microsoft.com/office/spreadsheetml/2009/9/main" objectType="CheckBox" checked="Checked"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checked="Checked"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fmlaLink="B12" lockText="1" noThreeD="1"/>
</file>

<file path=xl/ctrlProps/ctrlProp226.xml><?xml version="1.0" encoding="utf-8"?>
<formControlPr xmlns="http://schemas.microsoft.com/office/spreadsheetml/2009/9/main" objectType="CheckBox" checked="Checked"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checked="Checked"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checked="Checked" fmlaLink="G44" lockText="1" noThreeD="1"/>
</file>

<file path=xl/ctrlProps/ctrlProp240.xml><?xml version="1.0" encoding="utf-8"?>
<formControlPr xmlns="http://schemas.microsoft.com/office/spreadsheetml/2009/9/main" objectType="CheckBox" checked="Checked"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checked="Checked" fmlaLink="L33" lockText="1" noThreeD="1"/>
</file>

<file path=xl/ctrlProps/ctrlProp250.xml><?xml version="1.0" encoding="utf-8"?>
<formControlPr xmlns="http://schemas.microsoft.com/office/spreadsheetml/2009/9/main" objectType="CheckBox" checked="Checked"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checked="Checked"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fmlaLink="B12" lockText="1" noThreeD="1"/>
</file>

<file path=xl/ctrlProps/ctrlProp261.xml><?xml version="1.0" encoding="utf-8"?>
<formControlPr xmlns="http://schemas.microsoft.com/office/spreadsheetml/2009/9/main" objectType="CheckBox" checked="Checked"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checked="Checked"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checked="Checked" fmlaLink="G44" lockText="1" noThreeD="1"/>
</file>

<file path=xl/ctrlProps/ctrlProp275.xml><?xml version="1.0" encoding="utf-8"?>
<formControlPr xmlns="http://schemas.microsoft.com/office/spreadsheetml/2009/9/main" objectType="CheckBox" checked="Checked"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checked="Checked" fmlaLink="L33"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checked="Checked"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checked="Checked"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checked="Checked"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checked="Checked" fmlaLink="G44" lockText="1" noThreeD="1"/>
</file>

<file path=xl/ctrlProps/ctrlProp310.xml><?xml version="1.0" encoding="utf-8"?>
<formControlPr xmlns="http://schemas.microsoft.com/office/spreadsheetml/2009/9/main" objectType="CheckBox" checked="Checked"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checked="Checked" fmlaLink="L33" lockText="1" noThreeD="1"/>
</file>

<file path=xl/ctrlProps/ctrlProp320.xml><?xml version="1.0" encoding="utf-8"?>
<formControlPr xmlns="http://schemas.microsoft.com/office/spreadsheetml/2009/9/main" objectType="CheckBox" checked="Checked"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checked="Checked"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checked="Checked"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checked="Checked"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checked="Checked" fmlaLink="G44" lockText="1" noThreeD="1"/>
</file>

<file path=xl/ctrlProps/ctrlProp345.xml><?xml version="1.0" encoding="utf-8"?>
<formControlPr xmlns="http://schemas.microsoft.com/office/spreadsheetml/2009/9/main" objectType="CheckBox" checked="Checked"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checked="Checked" fmlaLink="L33" lockText="1" noThreeD="1"/>
</file>

<file path=xl/ctrlProps/ctrlProp355.xml><?xml version="1.0" encoding="utf-8"?>
<formControlPr xmlns="http://schemas.microsoft.com/office/spreadsheetml/2009/9/main" objectType="CheckBox" checked="Checked"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checked="Checked"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checked="Checked"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checked="Checked"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checked="Checked" fmlaLink="G44" lockText="1" noThreeD="1"/>
</file>

<file path=xl/ctrlProps/ctrlProp380.xml><?xml version="1.0" encoding="utf-8"?>
<formControlPr xmlns="http://schemas.microsoft.com/office/spreadsheetml/2009/9/main" objectType="CheckBox" checked="Checked"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checked="Checked" fmlaLink="L33" lockText="1" noThreeD="1"/>
</file>

<file path=xl/ctrlProps/ctrlProp390.xml><?xml version="1.0" encoding="utf-8"?>
<formControlPr xmlns="http://schemas.microsoft.com/office/spreadsheetml/2009/9/main" objectType="CheckBox" checked="Checked"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checked="Checked"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checked="Checked"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checked="Checked"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checked="Checked" fmlaLink="G44" lockText="1" noThreeD="1"/>
</file>

<file path=xl/ctrlProps/ctrlProp415.xml><?xml version="1.0" encoding="utf-8"?>
<formControlPr xmlns="http://schemas.microsoft.com/office/spreadsheetml/2009/9/main" objectType="CheckBox" checked="Checked"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checked="Checked" fmlaLink="L33" lockText="1" noThreeD="1"/>
</file>

<file path=xl/ctrlProps/ctrlProp425.xml><?xml version="1.0" encoding="utf-8"?>
<formControlPr xmlns="http://schemas.microsoft.com/office/spreadsheetml/2009/9/main" objectType="CheckBox" checked="Checked" fmlaLink="B9" lockText="1" noThreeD="1"/>
</file>

<file path=xl/ctrlProps/ctrlProp426.xml><?xml version="1.0" encoding="utf-8"?>
<formControlPr xmlns="http://schemas.microsoft.com/office/spreadsheetml/2009/9/main" objectType="CheckBox"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checked="Checked" fmlaLink="G17" lockText="1" noThreeD="1"/>
</file>

<file path=xl/ctrlProps/ctrlProp431.xml><?xml version="1.0" encoding="utf-8"?>
<formControlPr xmlns="http://schemas.microsoft.com/office/spreadsheetml/2009/9/main" objectType="CheckBox" checked="Checked"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checked="Checked" fmlaLink="B12" lockText="1" noThreeD="1"/>
</file>

<file path=xl/ctrlProps/ctrlProp436.xml><?xml version="1.0" encoding="utf-8"?>
<formControlPr xmlns="http://schemas.microsoft.com/office/spreadsheetml/2009/9/main" objectType="CheckBox"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fmlaLink="B25" lockText="1" noThreeD="1"/>
</file>

<file path=xl/ctrlProps/ctrlProp439.xml><?xml version="1.0" encoding="utf-8"?>
<formControlPr xmlns="http://schemas.microsoft.com/office/spreadsheetml/2009/9/main" objectType="CheckBox"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fmlaLink="G29" lockText="1" noThreeD="1"/>
</file>

<file path=xl/ctrlProps/ctrlProp444.xml><?xml version="1.0" encoding="utf-8"?>
<formControlPr xmlns="http://schemas.microsoft.com/office/spreadsheetml/2009/9/main" objectType="CheckBox" checked="Checked"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checked="Checked"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fmlaLink="B44" lockText="1" noThreeD="1"/>
</file>

<file path=xl/ctrlProps/ctrlProp449.xml><?xml version="1.0" encoding="utf-8"?>
<formControlPr xmlns="http://schemas.microsoft.com/office/spreadsheetml/2009/9/main" objectType="CheckBox" checked="Checked" fmlaLink="G44" lockText="1" noThreeD="1"/>
</file>

<file path=xl/ctrlProps/ctrlProp450.xml><?xml version="1.0" encoding="utf-8"?>
<formControlPr xmlns="http://schemas.microsoft.com/office/spreadsheetml/2009/9/main" objectType="CheckBox"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checked="Checked" fmlaLink="L33" lockText="1" noThreeD="1"/>
</file>

<file path=xl/ctrlProps/ctrlProp460.xml><?xml version="1.0" encoding="utf-8"?>
<formControlPr xmlns="http://schemas.microsoft.com/office/spreadsheetml/2009/9/main" objectType="CheckBox" checked="Checked" fmlaLink="B9" lockText="1" noThreeD="1"/>
</file>

<file path=xl/ctrlProps/ctrlProp461.xml><?xml version="1.0" encoding="utf-8"?>
<formControlPr xmlns="http://schemas.microsoft.com/office/spreadsheetml/2009/9/main" objectType="CheckBox" fmlaLink="G9" lockText="1" noThreeD="1"/>
</file>

<file path=xl/ctrlProps/ctrlProp462.xml><?xml version="1.0" encoding="utf-8"?>
<formControlPr xmlns="http://schemas.microsoft.com/office/spreadsheetml/2009/9/main" objectType="CheckBox" fmlaLink="G12" lockText="1" noThreeD="1"/>
</file>

<file path=xl/ctrlProps/ctrlProp463.xml><?xml version="1.0" encoding="utf-8"?>
<formControlPr xmlns="http://schemas.microsoft.com/office/spreadsheetml/2009/9/main" objectType="CheckBox" fmlaLink="G13"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checked="Checked" fmlaLink="G17" lockText="1" noThreeD="1"/>
</file>

<file path=xl/ctrlProps/ctrlProp466.xml><?xml version="1.0" encoding="utf-8"?>
<formControlPr xmlns="http://schemas.microsoft.com/office/spreadsheetml/2009/9/main" objectType="CheckBox" checked="Checked"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checked="Checked" fmlaLink="B12" lockText="1" noThreeD="1"/>
</file>

<file path=xl/ctrlProps/ctrlProp471.xml><?xml version="1.0" encoding="utf-8"?>
<formControlPr xmlns="http://schemas.microsoft.com/office/spreadsheetml/2009/9/main" objectType="CheckBox" fmlaLink="B13" lockText="1" noThreeD="1"/>
</file>

<file path=xl/ctrlProps/ctrlProp472.xml><?xml version="1.0" encoding="utf-8"?>
<formControlPr xmlns="http://schemas.microsoft.com/office/spreadsheetml/2009/9/main" objectType="CheckBox" fmlaLink="B21" lockText="1" noThreeD="1"/>
</file>

<file path=xl/ctrlProps/ctrlProp473.xml><?xml version="1.0" encoding="utf-8"?>
<formControlPr xmlns="http://schemas.microsoft.com/office/spreadsheetml/2009/9/main" objectType="CheckBox" fmlaLink="B25" lockText="1" noThreeD="1"/>
</file>

<file path=xl/ctrlProps/ctrlProp474.xml><?xml version="1.0" encoding="utf-8"?>
<formControlPr xmlns="http://schemas.microsoft.com/office/spreadsheetml/2009/9/main" objectType="CheckBox" fmlaLink="G25" lockText="1" noThreeD="1"/>
</file>

<file path=xl/ctrlProps/ctrlProp475.xml><?xml version="1.0" encoding="utf-8"?>
<formControlPr xmlns="http://schemas.microsoft.com/office/spreadsheetml/2009/9/main" objectType="CheckBox" fmlaLink="L25" lockText="1" noThreeD="1"/>
</file>

<file path=xl/ctrlProps/ctrlProp476.xml><?xml version="1.0" encoding="utf-8"?>
<formControlPr xmlns="http://schemas.microsoft.com/office/spreadsheetml/2009/9/main" objectType="CheckBox" fmlaLink="G21" lockText="1" noThreeD="1"/>
</file>

<file path=xl/ctrlProps/ctrlProp477.xml><?xml version="1.0" encoding="utf-8"?>
<formControlPr xmlns="http://schemas.microsoft.com/office/spreadsheetml/2009/9/main" objectType="CheckBox" fmlaLink="B29" lockText="1" noThreeD="1"/>
</file>

<file path=xl/ctrlProps/ctrlProp478.xml><?xml version="1.0" encoding="utf-8"?>
<formControlPr xmlns="http://schemas.microsoft.com/office/spreadsheetml/2009/9/main" objectType="CheckBox" fmlaLink="G29" lockText="1" noThreeD="1"/>
</file>

<file path=xl/ctrlProps/ctrlProp479.xml><?xml version="1.0" encoding="utf-8"?>
<formControlPr xmlns="http://schemas.microsoft.com/office/spreadsheetml/2009/9/main" objectType="CheckBox" checked="Checked" fmlaLink="L29" lockText="1" noThreeD="1"/>
</file>

<file path=xl/ctrlProps/ctrlProp480.xml><?xml version="1.0" encoding="utf-8"?>
<formControlPr xmlns="http://schemas.microsoft.com/office/spreadsheetml/2009/9/main" objectType="CheckBox" fmlaLink="B38" lockText="1" noThreeD="1"/>
</file>

<file path=xl/ctrlProps/ctrlProp481.xml><?xml version="1.0" encoding="utf-8"?>
<formControlPr xmlns="http://schemas.microsoft.com/office/spreadsheetml/2009/9/main" objectType="CheckBox" checked="Checked" fmlaLink="G38" lockText="1" noThreeD="1"/>
</file>

<file path=xl/ctrlProps/ctrlProp482.xml><?xml version="1.0" encoding="utf-8"?>
<formControlPr xmlns="http://schemas.microsoft.com/office/spreadsheetml/2009/9/main" objectType="CheckBox" fmlaLink="L38" lockText="1" noThreeD="1"/>
</file>

<file path=xl/ctrlProps/ctrlProp483.xml><?xml version="1.0" encoding="utf-8"?>
<formControlPr xmlns="http://schemas.microsoft.com/office/spreadsheetml/2009/9/main" objectType="CheckBox" fmlaLink="B44" lockText="1" noThreeD="1"/>
</file>

<file path=xl/ctrlProps/ctrlProp484.xml><?xml version="1.0" encoding="utf-8"?>
<formControlPr xmlns="http://schemas.microsoft.com/office/spreadsheetml/2009/9/main" objectType="CheckBox" checked="Checked" fmlaLink="G44" lockText="1" noThreeD="1"/>
</file>

<file path=xl/ctrlProps/ctrlProp485.xml><?xml version="1.0" encoding="utf-8"?>
<formControlPr xmlns="http://schemas.microsoft.com/office/spreadsheetml/2009/9/main" objectType="CheckBox" fmlaLink="B39" lockText="1" noThreeD="1"/>
</file>

<file path=xl/ctrlProps/ctrlProp486.xml><?xml version="1.0" encoding="utf-8"?>
<formControlPr xmlns="http://schemas.microsoft.com/office/spreadsheetml/2009/9/main" objectType="CheckBox" fmlaLink="B18" lockText="1" noThreeD="1"/>
</file>

<file path=xl/ctrlProps/ctrlProp487.xml><?xml version="1.0" encoding="utf-8"?>
<formControlPr xmlns="http://schemas.microsoft.com/office/spreadsheetml/2009/9/main" objectType="CheckBox" fmlaLink="B32" lockText="1" noThreeD="1"/>
</file>

<file path=xl/ctrlProps/ctrlProp488.xml><?xml version="1.0" encoding="utf-8"?>
<formControlPr xmlns="http://schemas.microsoft.com/office/spreadsheetml/2009/9/main" objectType="CheckBox" fmlaLink="B33" lockText="1" noThreeD="1"/>
</file>

<file path=xl/ctrlProps/ctrlProp489.xml><?xml version="1.0" encoding="utf-8"?>
<formControlPr xmlns="http://schemas.microsoft.com/office/spreadsheetml/2009/9/main" objectType="CheckBox" fmlaLink="B34" lockText="1" noThreeD="1"/>
</file>

<file path=xl/ctrlProps/ctrlProp490.xml><?xml version="1.0" encoding="utf-8"?>
<formControlPr xmlns="http://schemas.microsoft.com/office/spreadsheetml/2009/9/main" objectType="CheckBox" fmlaLink="G32" lockText="1" noThreeD="1"/>
</file>

<file path=xl/ctrlProps/ctrlProp491.xml><?xml version="1.0" encoding="utf-8"?>
<formControlPr xmlns="http://schemas.microsoft.com/office/spreadsheetml/2009/9/main" objectType="CheckBox" fmlaLink="G33" lockText="1" noThreeD="1"/>
</file>

<file path=xl/ctrlProps/ctrlProp492.xml><?xml version="1.0" encoding="utf-8"?>
<formControlPr xmlns="http://schemas.microsoft.com/office/spreadsheetml/2009/9/main" objectType="CheckBox" fmlaLink="G34" lockText="1" noThreeD="1"/>
</file>

<file path=xl/ctrlProps/ctrlProp493.xml><?xml version="1.0" encoding="utf-8"?>
<formControlPr xmlns="http://schemas.microsoft.com/office/spreadsheetml/2009/9/main" objectType="CheckBox" fmlaLink="L32" lockText="1" noThreeD="1"/>
</file>

<file path=xl/ctrlProps/ctrlProp494.xml><?xml version="1.0" encoding="utf-8"?>
<formControlPr xmlns="http://schemas.microsoft.com/office/spreadsheetml/2009/9/main" objectType="CheckBox" checked="Checked" fmlaLink="L33" lockText="1" noThreeD="1"/>
</file>

<file path=xl/ctrlProps/ctrlProp495.xml><?xml version="1.0" encoding="utf-8"?>
<formControlPr xmlns="http://schemas.microsoft.com/office/spreadsheetml/2009/9/main" objectType="CheckBox" checked="Checked" fmlaLink="B9" lockText="1" noThreeD="1"/>
</file>

<file path=xl/ctrlProps/ctrlProp496.xml><?xml version="1.0" encoding="utf-8"?>
<formControlPr xmlns="http://schemas.microsoft.com/office/spreadsheetml/2009/9/main" objectType="CheckBox" fmlaLink="G9" lockText="1" noThreeD="1"/>
</file>

<file path=xl/ctrlProps/ctrlProp497.xml><?xml version="1.0" encoding="utf-8"?>
<formControlPr xmlns="http://schemas.microsoft.com/office/spreadsheetml/2009/9/main" objectType="CheckBox" fmlaLink="G12" lockText="1" noThreeD="1"/>
</file>

<file path=xl/ctrlProps/ctrlProp498.xml><?xml version="1.0" encoding="utf-8"?>
<formControlPr xmlns="http://schemas.microsoft.com/office/spreadsheetml/2009/9/main" objectType="CheckBox" fmlaLink="G13" lockText="1" noThreeD="1"/>
</file>

<file path=xl/ctrlProps/ctrlProp499.xml><?xml version="1.0" encoding="utf-8"?>
<formControlPr xmlns="http://schemas.microsoft.com/office/spreadsheetml/2009/9/main" objectType="CheckBox" fmlaLink="G16" lockText="1" noThreeD="1"/>
</file>

<file path=xl/ctrlProps/ctrlProp500.xml><?xml version="1.0" encoding="utf-8"?>
<formControlPr xmlns="http://schemas.microsoft.com/office/spreadsheetml/2009/9/main" objectType="CheckBox" checked="Checked" fmlaLink="G17" lockText="1" noThreeD="1"/>
</file>

<file path=xl/ctrlProps/ctrlProp501.xml><?xml version="1.0" encoding="utf-8"?>
<formControlPr xmlns="http://schemas.microsoft.com/office/spreadsheetml/2009/9/main" objectType="CheckBox" fmlaLink="L16" lockText="1" noThreeD="1"/>
</file>

<file path=xl/ctrlProps/ctrlProp502.xml><?xml version="1.0" encoding="utf-8"?>
<formControlPr xmlns="http://schemas.microsoft.com/office/spreadsheetml/2009/9/main" objectType="CheckBox" fmlaLink="L17" lockText="1" noThreeD="1"/>
</file>

<file path=xl/ctrlProps/ctrlProp503.xml><?xml version="1.0" encoding="utf-8"?>
<formControlPr xmlns="http://schemas.microsoft.com/office/spreadsheetml/2009/9/main" objectType="CheckBox" fmlaLink="B16" lockText="1" noThreeD="1"/>
</file>

<file path=xl/ctrlProps/ctrlProp504.xml><?xml version="1.0" encoding="utf-8"?>
<formControlPr xmlns="http://schemas.microsoft.com/office/spreadsheetml/2009/9/main" objectType="CheckBox" fmlaLink="B17" lockText="1" noThreeD="1"/>
</file>

<file path=xl/ctrlProps/ctrlProp505.xml><?xml version="1.0" encoding="utf-8"?>
<formControlPr xmlns="http://schemas.microsoft.com/office/spreadsheetml/2009/9/main" objectType="CheckBox" checked="Checked" fmlaLink="B12" lockText="1" noThreeD="1"/>
</file>

<file path=xl/ctrlProps/ctrlProp506.xml><?xml version="1.0" encoding="utf-8"?>
<formControlPr xmlns="http://schemas.microsoft.com/office/spreadsheetml/2009/9/main" objectType="CheckBox" fmlaLink="B13" lockText="1" noThreeD="1"/>
</file>

<file path=xl/ctrlProps/ctrlProp507.xml><?xml version="1.0" encoding="utf-8"?>
<formControlPr xmlns="http://schemas.microsoft.com/office/spreadsheetml/2009/9/main" objectType="CheckBox" fmlaLink="B21" lockText="1" noThreeD="1"/>
</file>

<file path=xl/ctrlProps/ctrlProp508.xml><?xml version="1.0" encoding="utf-8"?>
<formControlPr xmlns="http://schemas.microsoft.com/office/spreadsheetml/2009/9/main" objectType="CheckBox" fmlaLink="B25" lockText="1" noThreeD="1"/>
</file>

<file path=xl/ctrlProps/ctrlProp509.xml><?xml version="1.0" encoding="utf-8"?>
<formControlPr xmlns="http://schemas.microsoft.com/office/spreadsheetml/2009/9/main" objectType="CheckBox" fmlaLink="G25" lockText="1" noThreeD="1"/>
</file>

<file path=xl/ctrlProps/ctrlProp510.xml><?xml version="1.0" encoding="utf-8"?>
<formControlPr xmlns="http://schemas.microsoft.com/office/spreadsheetml/2009/9/main" objectType="CheckBox" fmlaLink="L25" lockText="1" noThreeD="1"/>
</file>

<file path=xl/ctrlProps/ctrlProp511.xml><?xml version="1.0" encoding="utf-8"?>
<formControlPr xmlns="http://schemas.microsoft.com/office/spreadsheetml/2009/9/main" objectType="CheckBox" fmlaLink="G21" lockText="1" noThreeD="1"/>
</file>

<file path=xl/ctrlProps/ctrlProp512.xml><?xml version="1.0" encoding="utf-8"?>
<formControlPr xmlns="http://schemas.microsoft.com/office/spreadsheetml/2009/9/main" objectType="CheckBox" fmlaLink="B29" lockText="1" noThreeD="1"/>
</file>

<file path=xl/ctrlProps/ctrlProp513.xml><?xml version="1.0" encoding="utf-8"?>
<formControlPr xmlns="http://schemas.microsoft.com/office/spreadsheetml/2009/9/main" objectType="CheckBox" fmlaLink="G29" lockText="1" noThreeD="1"/>
</file>

<file path=xl/ctrlProps/ctrlProp514.xml><?xml version="1.0" encoding="utf-8"?>
<formControlPr xmlns="http://schemas.microsoft.com/office/spreadsheetml/2009/9/main" objectType="CheckBox" checked="Checked" fmlaLink="L29" lockText="1" noThreeD="1"/>
</file>

<file path=xl/ctrlProps/ctrlProp515.xml><?xml version="1.0" encoding="utf-8"?>
<formControlPr xmlns="http://schemas.microsoft.com/office/spreadsheetml/2009/9/main" objectType="CheckBox" fmlaLink="B38" lockText="1" noThreeD="1"/>
</file>

<file path=xl/ctrlProps/ctrlProp516.xml><?xml version="1.0" encoding="utf-8"?>
<formControlPr xmlns="http://schemas.microsoft.com/office/spreadsheetml/2009/9/main" objectType="CheckBox" checked="Checked" fmlaLink="G38" lockText="1" noThreeD="1"/>
</file>

<file path=xl/ctrlProps/ctrlProp517.xml><?xml version="1.0" encoding="utf-8"?>
<formControlPr xmlns="http://schemas.microsoft.com/office/spreadsheetml/2009/9/main" objectType="CheckBox" fmlaLink="L38" lockText="1" noThreeD="1"/>
</file>

<file path=xl/ctrlProps/ctrlProp518.xml><?xml version="1.0" encoding="utf-8"?>
<formControlPr xmlns="http://schemas.microsoft.com/office/spreadsheetml/2009/9/main" objectType="CheckBox" fmlaLink="B44" lockText="1" noThreeD="1"/>
</file>

<file path=xl/ctrlProps/ctrlProp519.xml><?xml version="1.0" encoding="utf-8"?>
<formControlPr xmlns="http://schemas.microsoft.com/office/spreadsheetml/2009/9/main" objectType="CheckBox" checked="Checked" fmlaLink="G44" lockText="1" noThreeD="1"/>
</file>

<file path=xl/ctrlProps/ctrlProp520.xml><?xml version="1.0" encoding="utf-8"?>
<formControlPr xmlns="http://schemas.microsoft.com/office/spreadsheetml/2009/9/main" objectType="CheckBox" fmlaLink="B39" lockText="1" noThreeD="1"/>
</file>

<file path=xl/ctrlProps/ctrlProp521.xml><?xml version="1.0" encoding="utf-8"?>
<formControlPr xmlns="http://schemas.microsoft.com/office/spreadsheetml/2009/9/main" objectType="CheckBox" fmlaLink="B18" lockText="1" noThreeD="1"/>
</file>

<file path=xl/ctrlProps/ctrlProp522.xml><?xml version="1.0" encoding="utf-8"?>
<formControlPr xmlns="http://schemas.microsoft.com/office/spreadsheetml/2009/9/main" objectType="CheckBox" fmlaLink="B32" lockText="1" noThreeD="1"/>
</file>

<file path=xl/ctrlProps/ctrlProp523.xml><?xml version="1.0" encoding="utf-8"?>
<formControlPr xmlns="http://schemas.microsoft.com/office/spreadsheetml/2009/9/main" objectType="CheckBox" fmlaLink="B33" lockText="1" noThreeD="1"/>
</file>

<file path=xl/ctrlProps/ctrlProp524.xml><?xml version="1.0" encoding="utf-8"?>
<formControlPr xmlns="http://schemas.microsoft.com/office/spreadsheetml/2009/9/main" objectType="CheckBox" fmlaLink="B34" lockText="1" noThreeD="1"/>
</file>

<file path=xl/ctrlProps/ctrlProp525.xml><?xml version="1.0" encoding="utf-8"?>
<formControlPr xmlns="http://schemas.microsoft.com/office/spreadsheetml/2009/9/main" objectType="CheckBox" fmlaLink="G32" lockText="1" noThreeD="1"/>
</file>

<file path=xl/ctrlProps/ctrlProp526.xml><?xml version="1.0" encoding="utf-8"?>
<formControlPr xmlns="http://schemas.microsoft.com/office/spreadsheetml/2009/9/main" objectType="CheckBox" fmlaLink="G33" lockText="1" noThreeD="1"/>
</file>

<file path=xl/ctrlProps/ctrlProp527.xml><?xml version="1.0" encoding="utf-8"?>
<formControlPr xmlns="http://schemas.microsoft.com/office/spreadsheetml/2009/9/main" objectType="CheckBox" fmlaLink="G34" lockText="1" noThreeD="1"/>
</file>

<file path=xl/ctrlProps/ctrlProp528.xml><?xml version="1.0" encoding="utf-8"?>
<formControlPr xmlns="http://schemas.microsoft.com/office/spreadsheetml/2009/9/main" objectType="CheckBox" fmlaLink="L32" lockText="1" noThreeD="1"/>
</file>

<file path=xl/ctrlProps/ctrlProp529.xml><?xml version="1.0" encoding="utf-8"?>
<formControlPr xmlns="http://schemas.microsoft.com/office/spreadsheetml/2009/9/main" objectType="CheckBox" checked="Checked" fmlaLink="L33" lockText="1" noThreeD="1"/>
</file>

<file path=xl/ctrlProps/ctrlProp530.xml><?xml version="1.0" encoding="utf-8"?>
<formControlPr xmlns="http://schemas.microsoft.com/office/spreadsheetml/2009/9/main" objectType="CheckBox" checked="Checked" fmlaLink="B9" lockText="1" noThreeD="1"/>
</file>

<file path=xl/ctrlProps/ctrlProp531.xml><?xml version="1.0" encoding="utf-8"?>
<formControlPr xmlns="http://schemas.microsoft.com/office/spreadsheetml/2009/9/main" objectType="CheckBox" fmlaLink="G9" lockText="1" noThreeD="1"/>
</file>

<file path=xl/ctrlProps/ctrlProp532.xml><?xml version="1.0" encoding="utf-8"?>
<formControlPr xmlns="http://schemas.microsoft.com/office/spreadsheetml/2009/9/main" objectType="CheckBox" fmlaLink="G12" lockText="1" noThreeD="1"/>
</file>

<file path=xl/ctrlProps/ctrlProp533.xml><?xml version="1.0" encoding="utf-8"?>
<formControlPr xmlns="http://schemas.microsoft.com/office/spreadsheetml/2009/9/main" objectType="CheckBox" fmlaLink="G13" lockText="1" noThreeD="1"/>
</file>

<file path=xl/ctrlProps/ctrlProp534.xml><?xml version="1.0" encoding="utf-8"?>
<formControlPr xmlns="http://schemas.microsoft.com/office/spreadsheetml/2009/9/main" objectType="CheckBox" fmlaLink="G16" lockText="1" noThreeD="1"/>
</file>

<file path=xl/ctrlProps/ctrlProp535.xml><?xml version="1.0" encoding="utf-8"?>
<formControlPr xmlns="http://schemas.microsoft.com/office/spreadsheetml/2009/9/main" objectType="CheckBox" fmlaLink="G17" lockText="1" noThreeD="1"/>
</file>

<file path=xl/ctrlProps/ctrlProp536.xml><?xml version="1.0" encoding="utf-8"?>
<formControlPr xmlns="http://schemas.microsoft.com/office/spreadsheetml/2009/9/main" objectType="CheckBox" checked="Checked" fmlaLink="L16" lockText="1" noThreeD="1"/>
</file>

<file path=xl/ctrlProps/ctrlProp537.xml><?xml version="1.0" encoding="utf-8"?>
<formControlPr xmlns="http://schemas.microsoft.com/office/spreadsheetml/2009/9/main" objectType="CheckBox" fmlaLink="L17" lockText="1" noThreeD="1"/>
</file>

<file path=xl/ctrlProps/ctrlProp538.xml><?xml version="1.0" encoding="utf-8"?>
<formControlPr xmlns="http://schemas.microsoft.com/office/spreadsheetml/2009/9/main" objectType="CheckBox" fmlaLink="B16" lockText="1" noThreeD="1"/>
</file>

<file path=xl/ctrlProps/ctrlProp539.xml><?xml version="1.0" encoding="utf-8"?>
<formControlPr xmlns="http://schemas.microsoft.com/office/spreadsheetml/2009/9/main" objectType="CheckBox" fmlaLink="B17" lockText="1" noThreeD="1"/>
</file>

<file path=xl/ctrlProps/ctrlProp540.xml><?xml version="1.0" encoding="utf-8"?>
<formControlPr xmlns="http://schemas.microsoft.com/office/spreadsheetml/2009/9/main" objectType="CheckBox" checked="Checked" fmlaLink="B12" lockText="1" noThreeD="1"/>
</file>

<file path=xl/ctrlProps/ctrlProp541.xml><?xml version="1.0" encoding="utf-8"?>
<formControlPr xmlns="http://schemas.microsoft.com/office/spreadsheetml/2009/9/main" objectType="CheckBox" fmlaLink="B13" lockText="1" noThreeD="1"/>
</file>

<file path=xl/ctrlProps/ctrlProp542.xml><?xml version="1.0" encoding="utf-8"?>
<formControlPr xmlns="http://schemas.microsoft.com/office/spreadsheetml/2009/9/main" objectType="CheckBox" fmlaLink="B21" lockText="1" noThreeD="1"/>
</file>

<file path=xl/ctrlProps/ctrlProp543.xml><?xml version="1.0" encoding="utf-8"?>
<formControlPr xmlns="http://schemas.microsoft.com/office/spreadsheetml/2009/9/main" objectType="CheckBox" fmlaLink="B25" lockText="1" noThreeD="1"/>
</file>

<file path=xl/ctrlProps/ctrlProp544.xml><?xml version="1.0" encoding="utf-8"?>
<formControlPr xmlns="http://schemas.microsoft.com/office/spreadsheetml/2009/9/main" objectType="CheckBox" fmlaLink="G25" lockText="1" noThreeD="1"/>
</file>

<file path=xl/ctrlProps/ctrlProp545.xml><?xml version="1.0" encoding="utf-8"?>
<formControlPr xmlns="http://schemas.microsoft.com/office/spreadsheetml/2009/9/main" objectType="CheckBox" fmlaLink="L25" lockText="1" noThreeD="1"/>
</file>

<file path=xl/ctrlProps/ctrlProp546.xml><?xml version="1.0" encoding="utf-8"?>
<formControlPr xmlns="http://schemas.microsoft.com/office/spreadsheetml/2009/9/main" objectType="CheckBox" fmlaLink="G21" lockText="1" noThreeD="1"/>
</file>

<file path=xl/ctrlProps/ctrlProp547.xml><?xml version="1.0" encoding="utf-8"?>
<formControlPr xmlns="http://schemas.microsoft.com/office/spreadsheetml/2009/9/main" objectType="CheckBox" fmlaLink="B29" lockText="1" noThreeD="1"/>
</file>

<file path=xl/ctrlProps/ctrlProp548.xml><?xml version="1.0" encoding="utf-8"?>
<formControlPr xmlns="http://schemas.microsoft.com/office/spreadsheetml/2009/9/main" objectType="CheckBox" fmlaLink="G29" lockText="1" noThreeD="1"/>
</file>

<file path=xl/ctrlProps/ctrlProp549.xml><?xml version="1.0" encoding="utf-8"?>
<formControlPr xmlns="http://schemas.microsoft.com/office/spreadsheetml/2009/9/main" objectType="CheckBox" checked="Checked" fmlaLink="L29" lockText="1" noThreeD="1"/>
</file>

<file path=xl/ctrlProps/ctrlProp550.xml><?xml version="1.0" encoding="utf-8"?>
<formControlPr xmlns="http://schemas.microsoft.com/office/spreadsheetml/2009/9/main" objectType="CheckBox" fmlaLink="B38" lockText="1" noThreeD="1"/>
</file>

<file path=xl/ctrlProps/ctrlProp551.xml><?xml version="1.0" encoding="utf-8"?>
<formControlPr xmlns="http://schemas.microsoft.com/office/spreadsheetml/2009/9/main" objectType="CheckBox" checked="Checked" fmlaLink="G38" lockText="1" noThreeD="1"/>
</file>

<file path=xl/ctrlProps/ctrlProp552.xml><?xml version="1.0" encoding="utf-8"?>
<formControlPr xmlns="http://schemas.microsoft.com/office/spreadsheetml/2009/9/main" objectType="CheckBox" fmlaLink="L38" lockText="1" noThreeD="1"/>
</file>

<file path=xl/ctrlProps/ctrlProp553.xml><?xml version="1.0" encoding="utf-8"?>
<formControlPr xmlns="http://schemas.microsoft.com/office/spreadsheetml/2009/9/main" objectType="CheckBox" fmlaLink="B44" lockText="1" noThreeD="1"/>
</file>

<file path=xl/ctrlProps/ctrlProp554.xml><?xml version="1.0" encoding="utf-8"?>
<formControlPr xmlns="http://schemas.microsoft.com/office/spreadsheetml/2009/9/main" objectType="CheckBox" checked="Checked" fmlaLink="G44" lockText="1" noThreeD="1"/>
</file>

<file path=xl/ctrlProps/ctrlProp555.xml><?xml version="1.0" encoding="utf-8"?>
<formControlPr xmlns="http://schemas.microsoft.com/office/spreadsheetml/2009/9/main" objectType="CheckBox" fmlaLink="B39" lockText="1" noThreeD="1"/>
</file>

<file path=xl/ctrlProps/ctrlProp556.xml><?xml version="1.0" encoding="utf-8"?>
<formControlPr xmlns="http://schemas.microsoft.com/office/spreadsheetml/2009/9/main" objectType="CheckBox" fmlaLink="B18" lockText="1" noThreeD="1"/>
</file>

<file path=xl/ctrlProps/ctrlProp557.xml><?xml version="1.0" encoding="utf-8"?>
<formControlPr xmlns="http://schemas.microsoft.com/office/spreadsheetml/2009/9/main" objectType="CheckBox" fmlaLink="B32" lockText="1" noThreeD="1"/>
</file>

<file path=xl/ctrlProps/ctrlProp558.xml><?xml version="1.0" encoding="utf-8"?>
<formControlPr xmlns="http://schemas.microsoft.com/office/spreadsheetml/2009/9/main" objectType="CheckBox" fmlaLink="B33" lockText="1" noThreeD="1"/>
</file>

<file path=xl/ctrlProps/ctrlProp559.xml><?xml version="1.0" encoding="utf-8"?>
<formControlPr xmlns="http://schemas.microsoft.com/office/spreadsheetml/2009/9/main" objectType="CheckBox" fmlaLink="B34" lockText="1" noThreeD="1"/>
</file>

<file path=xl/ctrlProps/ctrlProp560.xml><?xml version="1.0" encoding="utf-8"?>
<formControlPr xmlns="http://schemas.microsoft.com/office/spreadsheetml/2009/9/main" objectType="CheckBox" fmlaLink="G32" lockText="1" noThreeD="1"/>
</file>

<file path=xl/ctrlProps/ctrlProp561.xml><?xml version="1.0" encoding="utf-8"?>
<formControlPr xmlns="http://schemas.microsoft.com/office/spreadsheetml/2009/9/main" objectType="CheckBox" fmlaLink="G33" lockText="1" noThreeD="1"/>
</file>

<file path=xl/ctrlProps/ctrlProp562.xml><?xml version="1.0" encoding="utf-8"?>
<formControlPr xmlns="http://schemas.microsoft.com/office/spreadsheetml/2009/9/main" objectType="CheckBox" fmlaLink="G34" lockText="1" noThreeD="1"/>
</file>

<file path=xl/ctrlProps/ctrlProp563.xml><?xml version="1.0" encoding="utf-8"?>
<formControlPr xmlns="http://schemas.microsoft.com/office/spreadsheetml/2009/9/main" objectType="CheckBox" fmlaLink="L32" lockText="1" noThreeD="1"/>
</file>

<file path=xl/ctrlProps/ctrlProp564.xml><?xml version="1.0" encoding="utf-8"?>
<formControlPr xmlns="http://schemas.microsoft.com/office/spreadsheetml/2009/9/main" objectType="CheckBox" checked="Checked" fmlaLink="L33" lockText="1" noThreeD="1"/>
</file>

<file path=xl/ctrlProps/ctrlProp565.xml><?xml version="1.0" encoding="utf-8"?>
<formControlPr xmlns="http://schemas.microsoft.com/office/spreadsheetml/2009/9/main" objectType="CheckBox" fmlaLink="B9" lockText="1" noThreeD="1"/>
</file>

<file path=xl/ctrlProps/ctrlProp566.xml><?xml version="1.0" encoding="utf-8"?>
<formControlPr xmlns="http://schemas.microsoft.com/office/spreadsheetml/2009/9/main" objectType="CheckBox" checked="Checked" fmlaLink="G9" lockText="1" noThreeD="1"/>
</file>

<file path=xl/ctrlProps/ctrlProp567.xml><?xml version="1.0" encoding="utf-8"?>
<formControlPr xmlns="http://schemas.microsoft.com/office/spreadsheetml/2009/9/main" objectType="CheckBox" fmlaLink="G12" lockText="1" noThreeD="1"/>
</file>

<file path=xl/ctrlProps/ctrlProp568.xml><?xml version="1.0" encoding="utf-8"?>
<formControlPr xmlns="http://schemas.microsoft.com/office/spreadsheetml/2009/9/main" objectType="CheckBox" fmlaLink="G13" lockText="1" noThreeD="1"/>
</file>

<file path=xl/ctrlProps/ctrlProp569.xml><?xml version="1.0" encoding="utf-8"?>
<formControlPr xmlns="http://schemas.microsoft.com/office/spreadsheetml/2009/9/main" objectType="CheckBox" fmlaLink="G16" lockText="1" noThreeD="1"/>
</file>

<file path=xl/ctrlProps/ctrlProp570.xml><?xml version="1.0" encoding="utf-8"?>
<formControlPr xmlns="http://schemas.microsoft.com/office/spreadsheetml/2009/9/main" objectType="CheckBox" fmlaLink="G17" lockText="1" noThreeD="1"/>
</file>

<file path=xl/ctrlProps/ctrlProp571.xml><?xml version="1.0" encoding="utf-8"?>
<formControlPr xmlns="http://schemas.microsoft.com/office/spreadsheetml/2009/9/main" objectType="CheckBox" fmlaLink="L16" lockText="1" noThreeD="1"/>
</file>

<file path=xl/ctrlProps/ctrlProp572.xml><?xml version="1.0" encoding="utf-8"?>
<formControlPr xmlns="http://schemas.microsoft.com/office/spreadsheetml/2009/9/main" objectType="CheckBox" fmlaLink="L17" lockText="1" noThreeD="1"/>
</file>

<file path=xl/ctrlProps/ctrlProp573.xml><?xml version="1.0" encoding="utf-8"?>
<formControlPr xmlns="http://schemas.microsoft.com/office/spreadsheetml/2009/9/main" objectType="CheckBox" fmlaLink="B16" lockText="1" noThreeD="1"/>
</file>

<file path=xl/ctrlProps/ctrlProp574.xml><?xml version="1.0" encoding="utf-8"?>
<formControlPr xmlns="http://schemas.microsoft.com/office/spreadsheetml/2009/9/main" objectType="CheckBox" fmlaLink="B17" lockText="1" noThreeD="1"/>
</file>

<file path=xl/ctrlProps/ctrlProp575.xml><?xml version="1.0" encoding="utf-8"?>
<formControlPr xmlns="http://schemas.microsoft.com/office/spreadsheetml/2009/9/main" objectType="CheckBox" fmlaLink="B12" lockText="1" noThreeD="1"/>
</file>

<file path=xl/ctrlProps/ctrlProp576.xml><?xml version="1.0" encoding="utf-8"?>
<formControlPr xmlns="http://schemas.microsoft.com/office/spreadsheetml/2009/9/main" objectType="CheckBox" checked="Checked" fmlaLink="B13" lockText="1" noThreeD="1"/>
</file>

<file path=xl/ctrlProps/ctrlProp577.xml><?xml version="1.0" encoding="utf-8"?>
<formControlPr xmlns="http://schemas.microsoft.com/office/spreadsheetml/2009/9/main" objectType="CheckBox" fmlaLink="B21" lockText="1" noThreeD="1"/>
</file>

<file path=xl/ctrlProps/ctrlProp578.xml><?xml version="1.0" encoding="utf-8"?>
<formControlPr xmlns="http://schemas.microsoft.com/office/spreadsheetml/2009/9/main" objectType="CheckBox" checked="Checked" fmlaLink="B25" lockText="1" noThreeD="1"/>
</file>

<file path=xl/ctrlProps/ctrlProp579.xml><?xml version="1.0" encoding="utf-8"?>
<formControlPr xmlns="http://schemas.microsoft.com/office/spreadsheetml/2009/9/main" objectType="CheckBox" checked="Checked" fmlaLink="G25" lockText="1" noThreeD="1"/>
</file>

<file path=xl/ctrlProps/ctrlProp580.xml><?xml version="1.0" encoding="utf-8"?>
<formControlPr xmlns="http://schemas.microsoft.com/office/spreadsheetml/2009/9/main" objectType="CheckBox" fmlaLink="L25" lockText="1" noThreeD="1"/>
</file>

<file path=xl/ctrlProps/ctrlProp581.xml><?xml version="1.0" encoding="utf-8"?>
<formControlPr xmlns="http://schemas.microsoft.com/office/spreadsheetml/2009/9/main" objectType="CheckBox" fmlaLink="G21" lockText="1" noThreeD="1"/>
</file>

<file path=xl/ctrlProps/ctrlProp582.xml><?xml version="1.0" encoding="utf-8"?>
<formControlPr xmlns="http://schemas.microsoft.com/office/spreadsheetml/2009/9/main" objectType="CheckBox" fmlaLink="B29" lockText="1" noThreeD="1"/>
</file>

<file path=xl/ctrlProps/ctrlProp583.xml><?xml version="1.0" encoding="utf-8"?>
<formControlPr xmlns="http://schemas.microsoft.com/office/spreadsheetml/2009/9/main" objectType="CheckBox" checked="Checked" fmlaLink="G29" lockText="1" noThreeD="1"/>
</file>

<file path=xl/ctrlProps/ctrlProp584.xml><?xml version="1.0" encoding="utf-8"?>
<formControlPr xmlns="http://schemas.microsoft.com/office/spreadsheetml/2009/9/main" objectType="CheckBox" fmlaLink="L29" lockText="1" noThreeD="1"/>
</file>

<file path=xl/ctrlProps/ctrlProp585.xml><?xml version="1.0" encoding="utf-8"?>
<formControlPr xmlns="http://schemas.microsoft.com/office/spreadsheetml/2009/9/main" objectType="CheckBox" fmlaLink="B38" lockText="1" noThreeD="1"/>
</file>

<file path=xl/ctrlProps/ctrlProp586.xml><?xml version="1.0" encoding="utf-8"?>
<formControlPr xmlns="http://schemas.microsoft.com/office/spreadsheetml/2009/9/main" objectType="CheckBox" fmlaLink="G38" lockText="1" noThreeD="1"/>
</file>

<file path=xl/ctrlProps/ctrlProp587.xml><?xml version="1.0" encoding="utf-8"?>
<formControlPr xmlns="http://schemas.microsoft.com/office/spreadsheetml/2009/9/main" objectType="CheckBox" fmlaLink="L38" lockText="1" noThreeD="1"/>
</file>

<file path=xl/ctrlProps/ctrlProp588.xml><?xml version="1.0" encoding="utf-8"?>
<formControlPr xmlns="http://schemas.microsoft.com/office/spreadsheetml/2009/9/main" objectType="CheckBox" checked="Checked" fmlaLink="B44" lockText="1" noThreeD="1"/>
</file>

<file path=xl/ctrlProps/ctrlProp589.xml><?xml version="1.0" encoding="utf-8"?>
<formControlPr xmlns="http://schemas.microsoft.com/office/spreadsheetml/2009/9/main" objectType="CheckBox" fmlaLink="G44" lockText="1" noThreeD="1"/>
</file>

<file path=xl/ctrlProps/ctrlProp590.xml><?xml version="1.0" encoding="utf-8"?>
<formControlPr xmlns="http://schemas.microsoft.com/office/spreadsheetml/2009/9/main" objectType="CheckBox" checked="Checked" fmlaLink="B39" lockText="1" noThreeD="1"/>
</file>

<file path=xl/ctrlProps/ctrlProp591.xml><?xml version="1.0" encoding="utf-8"?>
<formControlPr xmlns="http://schemas.microsoft.com/office/spreadsheetml/2009/9/main" objectType="CheckBox" fmlaLink="B18" lockText="1" noThreeD="1"/>
</file>

<file path=xl/ctrlProps/ctrlProp592.xml><?xml version="1.0" encoding="utf-8"?>
<formControlPr xmlns="http://schemas.microsoft.com/office/spreadsheetml/2009/9/main" objectType="CheckBox" fmlaLink="B32" lockText="1" noThreeD="1"/>
</file>

<file path=xl/ctrlProps/ctrlProp593.xml><?xml version="1.0" encoding="utf-8"?>
<formControlPr xmlns="http://schemas.microsoft.com/office/spreadsheetml/2009/9/main" objectType="CheckBox" fmlaLink="B33" lockText="1" noThreeD="1"/>
</file>

<file path=xl/ctrlProps/ctrlProp594.xml><?xml version="1.0" encoding="utf-8"?>
<formControlPr xmlns="http://schemas.microsoft.com/office/spreadsheetml/2009/9/main" objectType="CheckBox" fmlaLink="B34" lockText="1" noThreeD="1"/>
</file>

<file path=xl/ctrlProps/ctrlProp595.xml><?xml version="1.0" encoding="utf-8"?>
<formControlPr xmlns="http://schemas.microsoft.com/office/spreadsheetml/2009/9/main" objectType="CheckBox" checked="Checked" fmlaLink="G32" lockText="1" noThreeD="1"/>
</file>

<file path=xl/ctrlProps/ctrlProp596.xml><?xml version="1.0" encoding="utf-8"?>
<formControlPr xmlns="http://schemas.microsoft.com/office/spreadsheetml/2009/9/main" objectType="CheckBox" fmlaLink="G33" lockText="1" noThreeD="1"/>
</file>

<file path=xl/ctrlProps/ctrlProp597.xml><?xml version="1.0" encoding="utf-8"?>
<formControlPr xmlns="http://schemas.microsoft.com/office/spreadsheetml/2009/9/main" objectType="CheckBox" fmlaLink="G34" lockText="1" noThreeD="1"/>
</file>

<file path=xl/ctrlProps/ctrlProp598.xml><?xml version="1.0" encoding="utf-8"?>
<formControlPr xmlns="http://schemas.microsoft.com/office/spreadsheetml/2009/9/main" objectType="CheckBox" fmlaLink="L32" lockText="1" noThreeD="1"/>
</file>

<file path=xl/ctrlProps/ctrlProp599.xml><?xml version="1.0" encoding="utf-8"?>
<formControlPr xmlns="http://schemas.microsoft.com/office/spreadsheetml/2009/9/main" objectType="CheckBox" fmlaLink="L33" lockText="1" noThreeD="1"/>
</file>

<file path=xl/ctrlProps/ctrlProp600.xml><?xml version="1.0" encoding="utf-8"?>
<formControlPr xmlns="http://schemas.microsoft.com/office/spreadsheetml/2009/9/main" objectType="CheckBox" fmlaLink="B9" lockText="1" noThreeD="1"/>
</file>

<file path=xl/ctrlProps/ctrlProp601.xml><?xml version="1.0" encoding="utf-8"?>
<formControlPr xmlns="http://schemas.microsoft.com/office/spreadsheetml/2009/9/main" objectType="CheckBox" checked="Checked" fmlaLink="G9" lockText="1" noThreeD="1"/>
</file>

<file path=xl/ctrlProps/ctrlProp602.xml><?xml version="1.0" encoding="utf-8"?>
<formControlPr xmlns="http://schemas.microsoft.com/office/spreadsheetml/2009/9/main" objectType="CheckBox" fmlaLink="G12" lockText="1" noThreeD="1"/>
</file>

<file path=xl/ctrlProps/ctrlProp603.xml><?xml version="1.0" encoding="utf-8"?>
<formControlPr xmlns="http://schemas.microsoft.com/office/spreadsheetml/2009/9/main" objectType="CheckBox" fmlaLink="G13" lockText="1" noThreeD="1"/>
</file>

<file path=xl/ctrlProps/ctrlProp604.xml><?xml version="1.0" encoding="utf-8"?>
<formControlPr xmlns="http://schemas.microsoft.com/office/spreadsheetml/2009/9/main" objectType="CheckBox" fmlaLink="G16" lockText="1" noThreeD="1"/>
</file>

<file path=xl/ctrlProps/ctrlProp605.xml><?xml version="1.0" encoding="utf-8"?>
<formControlPr xmlns="http://schemas.microsoft.com/office/spreadsheetml/2009/9/main" objectType="CheckBox" fmlaLink="G17" lockText="1" noThreeD="1"/>
</file>

<file path=xl/ctrlProps/ctrlProp606.xml><?xml version="1.0" encoding="utf-8"?>
<formControlPr xmlns="http://schemas.microsoft.com/office/spreadsheetml/2009/9/main" objectType="CheckBox" fmlaLink="L16" lockText="1" noThreeD="1"/>
</file>

<file path=xl/ctrlProps/ctrlProp607.xml><?xml version="1.0" encoding="utf-8"?>
<formControlPr xmlns="http://schemas.microsoft.com/office/spreadsheetml/2009/9/main" objectType="CheckBox" fmlaLink="L17" lockText="1" noThreeD="1"/>
</file>

<file path=xl/ctrlProps/ctrlProp608.xml><?xml version="1.0" encoding="utf-8"?>
<formControlPr xmlns="http://schemas.microsoft.com/office/spreadsheetml/2009/9/main" objectType="CheckBox" fmlaLink="B16" lockText="1" noThreeD="1"/>
</file>

<file path=xl/ctrlProps/ctrlProp609.xml><?xml version="1.0" encoding="utf-8"?>
<formControlPr xmlns="http://schemas.microsoft.com/office/spreadsheetml/2009/9/main" objectType="CheckBox" fmlaLink="B17" lockText="1" noThreeD="1"/>
</file>

<file path=xl/ctrlProps/ctrlProp610.xml><?xml version="1.0" encoding="utf-8"?>
<formControlPr xmlns="http://schemas.microsoft.com/office/spreadsheetml/2009/9/main" objectType="CheckBox" checked="Checked" fmlaLink="B12" lockText="1" noThreeD="1"/>
</file>

<file path=xl/ctrlProps/ctrlProp611.xml><?xml version="1.0" encoding="utf-8"?>
<formControlPr xmlns="http://schemas.microsoft.com/office/spreadsheetml/2009/9/main" objectType="CheckBox" fmlaLink="B13" lockText="1" noThreeD="1"/>
</file>

<file path=xl/ctrlProps/ctrlProp612.xml><?xml version="1.0" encoding="utf-8"?>
<formControlPr xmlns="http://schemas.microsoft.com/office/spreadsheetml/2009/9/main" objectType="CheckBox" fmlaLink="B21" lockText="1" noThreeD="1"/>
</file>

<file path=xl/ctrlProps/ctrlProp613.xml><?xml version="1.0" encoding="utf-8"?>
<formControlPr xmlns="http://schemas.microsoft.com/office/spreadsheetml/2009/9/main" objectType="CheckBox" fmlaLink="B25" lockText="1" noThreeD="1"/>
</file>

<file path=xl/ctrlProps/ctrlProp614.xml><?xml version="1.0" encoding="utf-8"?>
<formControlPr xmlns="http://schemas.microsoft.com/office/spreadsheetml/2009/9/main" objectType="CheckBox" fmlaLink="G25" lockText="1" noThreeD="1"/>
</file>

<file path=xl/ctrlProps/ctrlProp615.xml><?xml version="1.0" encoding="utf-8"?>
<formControlPr xmlns="http://schemas.microsoft.com/office/spreadsheetml/2009/9/main" objectType="CheckBox" checked="Checked" fmlaLink="L25" lockText="1" noThreeD="1"/>
</file>

<file path=xl/ctrlProps/ctrlProp616.xml><?xml version="1.0" encoding="utf-8"?>
<formControlPr xmlns="http://schemas.microsoft.com/office/spreadsheetml/2009/9/main" objectType="CheckBox" fmlaLink="G21" lockText="1" noThreeD="1"/>
</file>

<file path=xl/ctrlProps/ctrlProp617.xml><?xml version="1.0" encoding="utf-8"?>
<formControlPr xmlns="http://schemas.microsoft.com/office/spreadsheetml/2009/9/main" objectType="CheckBox" fmlaLink="B29" lockText="1" noThreeD="1"/>
</file>

<file path=xl/ctrlProps/ctrlProp618.xml><?xml version="1.0" encoding="utf-8"?>
<formControlPr xmlns="http://schemas.microsoft.com/office/spreadsheetml/2009/9/main" objectType="CheckBox" fmlaLink="G29" lockText="1" noThreeD="1"/>
</file>

<file path=xl/ctrlProps/ctrlProp619.xml><?xml version="1.0" encoding="utf-8"?>
<formControlPr xmlns="http://schemas.microsoft.com/office/spreadsheetml/2009/9/main" objectType="CheckBox" checked="Checked" fmlaLink="L29" lockText="1" noThreeD="1"/>
</file>

<file path=xl/ctrlProps/ctrlProp620.xml><?xml version="1.0" encoding="utf-8"?>
<formControlPr xmlns="http://schemas.microsoft.com/office/spreadsheetml/2009/9/main" objectType="CheckBox" fmlaLink="B38" lockText="1" noThreeD="1"/>
</file>

<file path=xl/ctrlProps/ctrlProp621.xml><?xml version="1.0" encoding="utf-8"?>
<formControlPr xmlns="http://schemas.microsoft.com/office/spreadsheetml/2009/9/main" objectType="CheckBox" fmlaLink="G38" lockText="1" noThreeD="1"/>
</file>

<file path=xl/ctrlProps/ctrlProp622.xml><?xml version="1.0" encoding="utf-8"?>
<formControlPr xmlns="http://schemas.microsoft.com/office/spreadsheetml/2009/9/main" objectType="CheckBox" fmlaLink="L38" lockText="1" noThreeD="1"/>
</file>

<file path=xl/ctrlProps/ctrlProp623.xml><?xml version="1.0" encoding="utf-8"?>
<formControlPr xmlns="http://schemas.microsoft.com/office/spreadsheetml/2009/9/main" objectType="CheckBox" fmlaLink="B44" lockText="1" noThreeD="1"/>
</file>

<file path=xl/ctrlProps/ctrlProp624.xml><?xml version="1.0" encoding="utf-8"?>
<formControlPr xmlns="http://schemas.microsoft.com/office/spreadsheetml/2009/9/main" objectType="CheckBox" checked="Checked" fmlaLink="G44" lockText="1" noThreeD="1"/>
</file>

<file path=xl/ctrlProps/ctrlProp625.xml><?xml version="1.0" encoding="utf-8"?>
<formControlPr xmlns="http://schemas.microsoft.com/office/spreadsheetml/2009/9/main" objectType="CheckBox" checked="Checked" fmlaLink="B39" lockText="1" noThreeD="1"/>
</file>

<file path=xl/ctrlProps/ctrlProp626.xml><?xml version="1.0" encoding="utf-8"?>
<formControlPr xmlns="http://schemas.microsoft.com/office/spreadsheetml/2009/9/main" objectType="CheckBox" fmlaLink="B18" lockText="1" noThreeD="1"/>
</file>

<file path=xl/ctrlProps/ctrlProp627.xml><?xml version="1.0" encoding="utf-8"?>
<formControlPr xmlns="http://schemas.microsoft.com/office/spreadsheetml/2009/9/main" objectType="CheckBox" fmlaLink="B32" lockText="1" noThreeD="1"/>
</file>

<file path=xl/ctrlProps/ctrlProp628.xml><?xml version="1.0" encoding="utf-8"?>
<formControlPr xmlns="http://schemas.microsoft.com/office/spreadsheetml/2009/9/main" objectType="CheckBox" fmlaLink="B33" lockText="1" noThreeD="1"/>
</file>

<file path=xl/ctrlProps/ctrlProp629.xml><?xml version="1.0" encoding="utf-8"?>
<formControlPr xmlns="http://schemas.microsoft.com/office/spreadsheetml/2009/9/main" objectType="CheckBox" fmlaLink="B34" lockText="1" noThreeD="1"/>
</file>

<file path=xl/ctrlProps/ctrlProp630.xml><?xml version="1.0" encoding="utf-8"?>
<formControlPr xmlns="http://schemas.microsoft.com/office/spreadsheetml/2009/9/main" objectType="CheckBox" fmlaLink="G32" lockText="1" noThreeD="1"/>
</file>

<file path=xl/ctrlProps/ctrlProp631.xml><?xml version="1.0" encoding="utf-8"?>
<formControlPr xmlns="http://schemas.microsoft.com/office/spreadsheetml/2009/9/main" objectType="CheckBox" fmlaLink="G33" lockText="1" noThreeD="1"/>
</file>

<file path=xl/ctrlProps/ctrlProp632.xml><?xml version="1.0" encoding="utf-8"?>
<formControlPr xmlns="http://schemas.microsoft.com/office/spreadsheetml/2009/9/main" objectType="CheckBox" checked="Checked" fmlaLink="G34" lockText="1" noThreeD="1"/>
</file>

<file path=xl/ctrlProps/ctrlProp633.xml><?xml version="1.0" encoding="utf-8"?>
<formControlPr xmlns="http://schemas.microsoft.com/office/spreadsheetml/2009/9/main" objectType="CheckBox" fmlaLink="L32" lockText="1" noThreeD="1"/>
</file>

<file path=xl/ctrlProps/ctrlProp63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094" name="Check Box 14" hidden="1">
              <a:extLst>
                <a:ext uri="{63B3BB69-23CF-44E3-9099-C40C66FF867C}">
                  <a14:compatExt spid="_x0000_s174094"/>
                </a:ext>
                <a:ext uri="{FF2B5EF4-FFF2-40B4-BE49-F238E27FC236}">
                  <a16:creationId xmlns:a16="http://schemas.microsoft.com/office/drawing/2014/main" id="{00000000-0008-0000-0500-00000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095" name="Check Box 15" hidden="1">
              <a:extLst>
                <a:ext uri="{63B3BB69-23CF-44E3-9099-C40C66FF867C}">
                  <a14:compatExt spid="_x0000_s174095"/>
                </a:ext>
                <a:ext uri="{FF2B5EF4-FFF2-40B4-BE49-F238E27FC236}">
                  <a16:creationId xmlns:a16="http://schemas.microsoft.com/office/drawing/2014/main" id="{00000000-0008-0000-0500-00000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096" name="Check Box 16" hidden="1">
              <a:extLst>
                <a:ext uri="{63B3BB69-23CF-44E3-9099-C40C66FF867C}">
                  <a14:compatExt spid="_x0000_s174096"/>
                </a:ext>
                <a:ext uri="{FF2B5EF4-FFF2-40B4-BE49-F238E27FC236}">
                  <a16:creationId xmlns:a16="http://schemas.microsoft.com/office/drawing/2014/main" id="{00000000-0008-0000-0500-00001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097" name="Check Box 17" hidden="1">
              <a:extLst>
                <a:ext uri="{63B3BB69-23CF-44E3-9099-C40C66FF867C}">
                  <a14:compatExt spid="_x0000_s174097"/>
                </a:ext>
                <a:ext uri="{FF2B5EF4-FFF2-40B4-BE49-F238E27FC236}">
                  <a16:creationId xmlns:a16="http://schemas.microsoft.com/office/drawing/2014/main" id="{00000000-0008-0000-0500-00001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098" name="Check Box 18" hidden="1">
              <a:extLst>
                <a:ext uri="{63B3BB69-23CF-44E3-9099-C40C66FF867C}">
                  <a14:compatExt spid="_x0000_s174098"/>
                </a:ext>
                <a:ext uri="{FF2B5EF4-FFF2-40B4-BE49-F238E27FC236}">
                  <a16:creationId xmlns:a16="http://schemas.microsoft.com/office/drawing/2014/main" id="{00000000-0008-0000-0500-00001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8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8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8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8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8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8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8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8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8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8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8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8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8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8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8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8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8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8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8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8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8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8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8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8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8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8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8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8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8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8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8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8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8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8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8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9681" name="Check Box Cat" descr="Catastrophe Model" hidden="1">
              <a:extLst>
                <a:ext uri="{63B3BB69-23CF-44E3-9099-C40C66FF867C}">
                  <a14:compatExt spid="_x0000_s199681"/>
                </a:ext>
                <a:ext uri="{FF2B5EF4-FFF2-40B4-BE49-F238E27FC236}">
                  <a16:creationId xmlns:a16="http://schemas.microsoft.com/office/drawing/2014/main" id="{00000000-0008-0000-1900-000001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9682" name="Check Box NonCat" descr="Non-Catastrophe Model" hidden="1">
              <a:extLst>
                <a:ext uri="{63B3BB69-23CF-44E3-9099-C40C66FF867C}">
                  <a14:compatExt spid="_x0000_s199682"/>
                </a:ext>
                <a:ext uri="{FF2B5EF4-FFF2-40B4-BE49-F238E27FC236}">
                  <a16:creationId xmlns:a16="http://schemas.microsoft.com/office/drawing/2014/main" id="{00000000-0008-0000-1900-000002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9683" name="Check Box OverallRateLvl" descr="Overall Rate Level" hidden="1">
              <a:extLst>
                <a:ext uri="{63B3BB69-23CF-44E3-9099-C40C66FF867C}">
                  <a14:compatExt spid="_x0000_s199683"/>
                </a:ext>
                <a:ext uri="{FF2B5EF4-FFF2-40B4-BE49-F238E27FC236}">
                  <a16:creationId xmlns:a16="http://schemas.microsoft.com/office/drawing/2014/main" id="{00000000-0008-0000-1900-000003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9684" name="Check Box 4" descr="Other Model Usage" hidden="1">
              <a:extLst>
                <a:ext uri="{63B3BB69-23CF-44E3-9099-C40C66FF867C}">
                  <a14:compatExt spid="_x0000_s199684"/>
                </a:ext>
                <a:ext uri="{FF2B5EF4-FFF2-40B4-BE49-F238E27FC236}">
                  <a16:creationId xmlns:a16="http://schemas.microsoft.com/office/drawing/2014/main" id="{00000000-0008-0000-1900-000004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9685" name="Check Box 5" hidden="1">
              <a:extLst>
                <a:ext uri="{63B3BB69-23CF-44E3-9099-C40C66FF867C}">
                  <a14:compatExt spid="_x0000_s199685"/>
                </a:ext>
                <a:ext uri="{FF2B5EF4-FFF2-40B4-BE49-F238E27FC236}">
                  <a16:creationId xmlns:a16="http://schemas.microsoft.com/office/drawing/2014/main" id="{00000000-0008-0000-1900-000005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9686" name="Check Box 6" hidden="1">
              <a:extLst>
                <a:ext uri="{63B3BB69-23CF-44E3-9099-C40C66FF867C}">
                  <a14:compatExt spid="_x0000_s199686"/>
                </a:ext>
                <a:ext uri="{FF2B5EF4-FFF2-40B4-BE49-F238E27FC236}">
                  <a16:creationId xmlns:a16="http://schemas.microsoft.com/office/drawing/2014/main" id="{00000000-0008-0000-1900-000006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9687" name="Check Box 7" hidden="1">
              <a:extLst>
                <a:ext uri="{63B3BB69-23CF-44E3-9099-C40C66FF867C}">
                  <a14:compatExt spid="_x0000_s199687"/>
                </a:ext>
                <a:ext uri="{FF2B5EF4-FFF2-40B4-BE49-F238E27FC236}">
                  <a16:creationId xmlns:a16="http://schemas.microsoft.com/office/drawing/2014/main" id="{00000000-0008-0000-1900-000007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9688" name="Check Box 8" hidden="1">
              <a:extLst>
                <a:ext uri="{63B3BB69-23CF-44E3-9099-C40C66FF867C}">
                  <a14:compatExt spid="_x0000_s199688"/>
                </a:ext>
                <a:ext uri="{FF2B5EF4-FFF2-40B4-BE49-F238E27FC236}">
                  <a16:creationId xmlns:a16="http://schemas.microsoft.com/office/drawing/2014/main" id="{00000000-0008-0000-1900-000008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9689" name="Check Box 9" hidden="1">
              <a:extLst>
                <a:ext uri="{63B3BB69-23CF-44E3-9099-C40C66FF867C}">
                  <a14:compatExt spid="_x0000_s199689"/>
                </a:ext>
                <a:ext uri="{FF2B5EF4-FFF2-40B4-BE49-F238E27FC236}">
                  <a16:creationId xmlns:a16="http://schemas.microsoft.com/office/drawing/2014/main" id="{00000000-0008-0000-1900-000009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9690" name="Check Box 10" hidden="1">
              <a:extLst>
                <a:ext uri="{63B3BB69-23CF-44E3-9099-C40C66FF867C}">
                  <a14:compatExt spid="_x0000_s199690"/>
                </a:ext>
                <a:ext uri="{FF2B5EF4-FFF2-40B4-BE49-F238E27FC236}">
                  <a16:creationId xmlns:a16="http://schemas.microsoft.com/office/drawing/2014/main" id="{00000000-0008-0000-1900-00000A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9691" name="Check Box 11" descr="Underwriting Eligibility" hidden="1">
              <a:extLst>
                <a:ext uri="{63B3BB69-23CF-44E3-9099-C40C66FF867C}">
                  <a14:compatExt spid="_x0000_s199691"/>
                </a:ext>
                <a:ext uri="{FF2B5EF4-FFF2-40B4-BE49-F238E27FC236}">
                  <a16:creationId xmlns:a16="http://schemas.microsoft.com/office/drawing/2014/main" id="{00000000-0008-0000-1900-00000B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9692" name="Check Box RateSeg" descr="Rate Segmentation" hidden="1">
              <a:extLst>
                <a:ext uri="{63B3BB69-23CF-44E3-9099-C40C66FF867C}">
                  <a14:compatExt spid="_x0000_s199692"/>
                </a:ext>
                <a:ext uri="{FF2B5EF4-FFF2-40B4-BE49-F238E27FC236}">
                  <a16:creationId xmlns:a16="http://schemas.microsoft.com/office/drawing/2014/main" id="{00000000-0008-0000-1900-00000C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9693" name="Check Box 13" hidden="1">
              <a:extLst>
                <a:ext uri="{63B3BB69-23CF-44E3-9099-C40C66FF867C}">
                  <a14:compatExt spid="_x0000_s199693"/>
                </a:ext>
                <a:ext uri="{FF2B5EF4-FFF2-40B4-BE49-F238E27FC236}">
                  <a16:creationId xmlns:a16="http://schemas.microsoft.com/office/drawing/2014/main" id="{00000000-0008-0000-1900-00000D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9694" name="Check Box 14" hidden="1">
              <a:extLst>
                <a:ext uri="{63B3BB69-23CF-44E3-9099-C40C66FF867C}">
                  <a14:compatExt spid="_x0000_s199694"/>
                </a:ext>
                <a:ext uri="{FF2B5EF4-FFF2-40B4-BE49-F238E27FC236}">
                  <a16:creationId xmlns:a16="http://schemas.microsoft.com/office/drawing/2014/main" id="{00000000-0008-0000-1900-00000E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9695" name="Check Box 15" hidden="1">
              <a:extLst>
                <a:ext uri="{63B3BB69-23CF-44E3-9099-C40C66FF867C}">
                  <a14:compatExt spid="_x0000_s199695"/>
                </a:ext>
                <a:ext uri="{FF2B5EF4-FFF2-40B4-BE49-F238E27FC236}">
                  <a16:creationId xmlns:a16="http://schemas.microsoft.com/office/drawing/2014/main" id="{00000000-0008-0000-1900-00000F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9696" name="Check Box 16" hidden="1">
              <a:extLst>
                <a:ext uri="{63B3BB69-23CF-44E3-9099-C40C66FF867C}">
                  <a14:compatExt spid="_x0000_s199696"/>
                </a:ext>
                <a:ext uri="{FF2B5EF4-FFF2-40B4-BE49-F238E27FC236}">
                  <a16:creationId xmlns:a16="http://schemas.microsoft.com/office/drawing/2014/main" id="{00000000-0008-0000-1900-000010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9697" name="Check Box 17" hidden="1">
              <a:extLst>
                <a:ext uri="{63B3BB69-23CF-44E3-9099-C40C66FF867C}">
                  <a14:compatExt spid="_x0000_s199697"/>
                </a:ext>
                <a:ext uri="{FF2B5EF4-FFF2-40B4-BE49-F238E27FC236}">
                  <a16:creationId xmlns:a16="http://schemas.microsoft.com/office/drawing/2014/main" id="{00000000-0008-0000-1900-000011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9698" name="Check Box 18" descr="Cluster Analysis" hidden="1">
              <a:extLst>
                <a:ext uri="{63B3BB69-23CF-44E3-9099-C40C66FF867C}">
                  <a14:compatExt spid="_x0000_s199698"/>
                </a:ext>
                <a:ext uri="{FF2B5EF4-FFF2-40B4-BE49-F238E27FC236}">
                  <a16:creationId xmlns:a16="http://schemas.microsoft.com/office/drawing/2014/main" id="{00000000-0008-0000-1900-000012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9699" name="Check Box 19" descr="Decision Trees" hidden="1">
              <a:extLst>
                <a:ext uri="{63B3BB69-23CF-44E3-9099-C40C66FF867C}">
                  <a14:compatExt spid="_x0000_s199699"/>
                </a:ext>
                <a:ext uri="{FF2B5EF4-FFF2-40B4-BE49-F238E27FC236}">
                  <a16:creationId xmlns:a16="http://schemas.microsoft.com/office/drawing/2014/main" id="{00000000-0008-0000-1900-000013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9700" name="Check Box 20" descr="Generalized Linear Model" hidden="1">
              <a:extLst>
                <a:ext uri="{63B3BB69-23CF-44E3-9099-C40C66FF867C}">
                  <a14:compatExt spid="_x0000_s199700"/>
                </a:ext>
                <a:ext uri="{FF2B5EF4-FFF2-40B4-BE49-F238E27FC236}">
                  <a16:creationId xmlns:a16="http://schemas.microsoft.com/office/drawing/2014/main" id="{00000000-0008-0000-1900-000014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9701" name="Check Box 21" descr="New/Initial" hidden="1">
              <a:extLst>
                <a:ext uri="{63B3BB69-23CF-44E3-9099-C40C66FF867C}">
                  <a14:compatExt spid="_x0000_s199701"/>
                </a:ext>
                <a:ext uri="{FF2B5EF4-FFF2-40B4-BE49-F238E27FC236}">
                  <a16:creationId xmlns:a16="http://schemas.microsoft.com/office/drawing/2014/main" id="{00000000-0008-0000-1900-000015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9702" name="Check Box 22" descr="Revision to Existing Model" hidden="1">
              <a:extLst>
                <a:ext uri="{63B3BB69-23CF-44E3-9099-C40C66FF867C}">
                  <a14:compatExt spid="_x0000_s199702"/>
                </a:ext>
                <a:ext uri="{FF2B5EF4-FFF2-40B4-BE49-F238E27FC236}">
                  <a16:creationId xmlns:a16="http://schemas.microsoft.com/office/drawing/2014/main" id="{00000000-0008-0000-1900-000016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9703" name="Check Box 23" descr="Refresh of Data to Existing Model" hidden="1">
              <a:extLst>
                <a:ext uri="{63B3BB69-23CF-44E3-9099-C40C66FF867C}">
                  <a14:compatExt spid="_x0000_s199703"/>
                </a:ext>
                <a:ext uri="{FF2B5EF4-FFF2-40B4-BE49-F238E27FC236}">
                  <a16:creationId xmlns:a16="http://schemas.microsoft.com/office/drawing/2014/main" id="{00000000-0008-0000-1900-000017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9704" name="Check Box 24" descr="Company Developed (&quot;In-House&quot;)" hidden="1">
              <a:extLst>
                <a:ext uri="{63B3BB69-23CF-44E3-9099-C40C66FF867C}">
                  <a14:compatExt spid="_x0000_s199704"/>
                </a:ext>
                <a:ext uri="{FF2B5EF4-FFF2-40B4-BE49-F238E27FC236}">
                  <a16:creationId xmlns:a16="http://schemas.microsoft.com/office/drawing/2014/main" id="{00000000-0008-0000-1900-000018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9705" name="Check Box 25" descr="Outside Firm" hidden="1">
              <a:extLst>
                <a:ext uri="{63B3BB69-23CF-44E3-9099-C40C66FF867C}">
                  <a14:compatExt spid="_x0000_s199705"/>
                </a:ext>
                <a:ext uri="{FF2B5EF4-FFF2-40B4-BE49-F238E27FC236}">
                  <a16:creationId xmlns:a16="http://schemas.microsoft.com/office/drawing/2014/main" id="{00000000-0008-0000-1900-000019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9706" name="Check Box 26" descr="No Revision to Existing Model" hidden="1">
              <a:extLst>
                <a:ext uri="{63B3BB69-23CF-44E3-9099-C40C66FF867C}">
                  <a14:compatExt spid="_x0000_s199706"/>
                </a:ext>
                <a:ext uri="{FF2B5EF4-FFF2-40B4-BE49-F238E27FC236}">
                  <a16:creationId xmlns:a16="http://schemas.microsoft.com/office/drawing/2014/main" id="{00000000-0008-0000-1900-00001A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9707" name="Check Box 27" hidden="1">
              <a:extLst>
                <a:ext uri="{63B3BB69-23CF-44E3-9099-C40C66FF867C}">
                  <a14:compatExt spid="_x0000_s199707"/>
                </a:ext>
                <a:ext uri="{FF2B5EF4-FFF2-40B4-BE49-F238E27FC236}">
                  <a16:creationId xmlns:a16="http://schemas.microsoft.com/office/drawing/2014/main" id="{00000000-0008-0000-1900-00001B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9708" name="Check Box 28" descr="Cluster Analysis" hidden="1">
              <a:extLst>
                <a:ext uri="{63B3BB69-23CF-44E3-9099-C40C66FF867C}">
                  <a14:compatExt spid="_x0000_s199708"/>
                </a:ext>
                <a:ext uri="{FF2B5EF4-FFF2-40B4-BE49-F238E27FC236}">
                  <a16:creationId xmlns:a16="http://schemas.microsoft.com/office/drawing/2014/main" id="{00000000-0008-0000-1900-00001C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9709" name="Check Box 29" descr="Logistic Regression" hidden="1">
              <a:extLst>
                <a:ext uri="{63B3BB69-23CF-44E3-9099-C40C66FF867C}">
                  <a14:compatExt spid="_x0000_s199709"/>
                </a:ext>
                <a:ext uri="{FF2B5EF4-FFF2-40B4-BE49-F238E27FC236}">
                  <a16:creationId xmlns:a16="http://schemas.microsoft.com/office/drawing/2014/main" id="{00000000-0008-0000-1900-00001D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9710" name="Check Box 30" descr="Neural Network" hidden="1">
              <a:extLst>
                <a:ext uri="{63B3BB69-23CF-44E3-9099-C40C66FF867C}">
                  <a14:compatExt spid="_x0000_s199710"/>
                </a:ext>
                <a:ext uri="{FF2B5EF4-FFF2-40B4-BE49-F238E27FC236}">
                  <a16:creationId xmlns:a16="http://schemas.microsoft.com/office/drawing/2014/main" id="{00000000-0008-0000-1900-00001E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9711" name="Check Box 31" descr="Decision Trees" hidden="1">
              <a:extLst>
                <a:ext uri="{63B3BB69-23CF-44E3-9099-C40C66FF867C}">
                  <a14:compatExt spid="_x0000_s199711"/>
                </a:ext>
                <a:ext uri="{FF2B5EF4-FFF2-40B4-BE49-F238E27FC236}">
                  <a16:creationId xmlns:a16="http://schemas.microsoft.com/office/drawing/2014/main" id="{00000000-0008-0000-1900-00001F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9712" name="Check Box 32" descr="Machine Learning" hidden="1">
              <a:extLst>
                <a:ext uri="{63B3BB69-23CF-44E3-9099-C40C66FF867C}">
                  <a14:compatExt spid="_x0000_s199712"/>
                </a:ext>
                <a:ext uri="{FF2B5EF4-FFF2-40B4-BE49-F238E27FC236}">
                  <a16:creationId xmlns:a16="http://schemas.microsoft.com/office/drawing/2014/main" id="{00000000-0008-0000-1900-000020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9713" name="Check Box 33" descr="Machine Learning" hidden="1">
              <a:extLst>
                <a:ext uri="{63B3BB69-23CF-44E3-9099-C40C66FF867C}">
                  <a14:compatExt spid="_x0000_s199713"/>
                </a:ext>
                <a:ext uri="{FF2B5EF4-FFF2-40B4-BE49-F238E27FC236}">
                  <a16:creationId xmlns:a16="http://schemas.microsoft.com/office/drawing/2014/main" id="{00000000-0008-0000-1900-000021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9714" name="Check Box 34" descr="Logistic Regression" hidden="1">
              <a:extLst>
                <a:ext uri="{63B3BB69-23CF-44E3-9099-C40C66FF867C}">
                  <a14:compatExt spid="_x0000_s199714"/>
                </a:ext>
                <a:ext uri="{FF2B5EF4-FFF2-40B4-BE49-F238E27FC236}">
                  <a16:creationId xmlns:a16="http://schemas.microsoft.com/office/drawing/2014/main" id="{00000000-0008-0000-1900-000022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9715" name="Check Box 35" descr="Neural Network" hidden="1">
              <a:extLst>
                <a:ext uri="{63B3BB69-23CF-44E3-9099-C40C66FF867C}">
                  <a14:compatExt spid="_x0000_s199715"/>
                </a:ext>
                <a:ext uri="{FF2B5EF4-FFF2-40B4-BE49-F238E27FC236}">
                  <a16:creationId xmlns:a16="http://schemas.microsoft.com/office/drawing/2014/main" id="{00000000-0008-0000-1900-0000230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200705" name="Check Box Cat" descr="Catastrophe Model" hidden="1">
              <a:extLst>
                <a:ext uri="{63B3BB69-23CF-44E3-9099-C40C66FF867C}">
                  <a14:compatExt spid="_x0000_s200705"/>
                </a:ext>
                <a:ext uri="{FF2B5EF4-FFF2-40B4-BE49-F238E27FC236}">
                  <a16:creationId xmlns:a16="http://schemas.microsoft.com/office/drawing/2014/main" id="{00000000-0008-0000-1A00-000001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200706" name="Check Box NonCat" descr="Non-Catastrophe Model" hidden="1">
              <a:extLst>
                <a:ext uri="{63B3BB69-23CF-44E3-9099-C40C66FF867C}">
                  <a14:compatExt spid="_x0000_s200706"/>
                </a:ext>
                <a:ext uri="{FF2B5EF4-FFF2-40B4-BE49-F238E27FC236}">
                  <a16:creationId xmlns:a16="http://schemas.microsoft.com/office/drawing/2014/main" id="{00000000-0008-0000-1A00-000002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200707" name="Check Box OverallRateLvl" descr="Overall Rate Level" hidden="1">
              <a:extLst>
                <a:ext uri="{63B3BB69-23CF-44E3-9099-C40C66FF867C}">
                  <a14:compatExt spid="_x0000_s200707"/>
                </a:ext>
                <a:ext uri="{FF2B5EF4-FFF2-40B4-BE49-F238E27FC236}">
                  <a16:creationId xmlns:a16="http://schemas.microsoft.com/office/drawing/2014/main" id="{00000000-0008-0000-1A00-000003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200708" name="Check Box 4" descr="Other Model Usage" hidden="1">
              <a:extLst>
                <a:ext uri="{63B3BB69-23CF-44E3-9099-C40C66FF867C}">
                  <a14:compatExt spid="_x0000_s200708"/>
                </a:ext>
                <a:ext uri="{FF2B5EF4-FFF2-40B4-BE49-F238E27FC236}">
                  <a16:creationId xmlns:a16="http://schemas.microsoft.com/office/drawing/2014/main" id="{00000000-0008-0000-1A00-000004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200709" name="Check Box 5" hidden="1">
              <a:extLst>
                <a:ext uri="{63B3BB69-23CF-44E3-9099-C40C66FF867C}">
                  <a14:compatExt spid="_x0000_s200709"/>
                </a:ext>
                <a:ext uri="{FF2B5EF4-FFF2-40B4-BE49-F238E27FC236}">
                  <a16:creationId xmlns:a16="http://schemas.microsoft.com/office/drawing/2014/main" id="{00000000-0008-0000-1A00-000005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200710" name="Check Box 6" hidden="1">
              <a:extLst>
                <a:ext uri="{63B3BB69-23CF-44E3-9099-C40C66FF867C}">
                  <a14:compatExt spid="_x0000_s200710"/>
                </a:ext>
                <a:ext uri="{FF2B5EF4-FFF2-40B4-BE49-F238E27FC236}">
                  <a16:creationId xmlns:a16="http://schemas.microsoft.com/office/drawing/2014/main" id="{00000000-0008-0000-1A00-000006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200711" name="Check Box 7" hidden="1">
              <a:extLst>
                <a:ext uri="{63B3BB69-23CF-44E3-9099-C40C66FF867C}">
                  <a14:compatExt spid="_x0000_s200711"/>
                </a:ext>
                <a:ext uri="{FF2B5EF4-FFF2-40B4-BE49-F238E27FC236}">
                  <a16:creationId xmlns:a16="http://schemas.microsoft.com/office/drawing/2014/main" id="{00000000-0008-0000-1A00-000007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200712" name="Check Box 8" hidden="1">
              <a:extLst>
                <a:ext uri="{63B3BB69-23CF-44E3-9099-C40C66FF867C}">
                  <a14:compatExt spid="_x0000_s200712"/>
                </a:ext>
                <a:ext uri="{FF2B5EF4-FFF2-40B4-BE49-F238E27FC236}">
                  <a16:creationId xmlns:a16="http://schemas.microsoft.com/office/drawing/2014/main" id="{00000000-0008-0000-1A00-000008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200713" name="Check Box 9" hidden="1">
              <a:extLst>
                <a:ext uri="{63B3BB69-23CF-44E3-9099-C40C66FF867C}">
                  <a14:compatExt spid="_x0000_s200713"/>
                </a:ext>
                <a:ext uri="{FF2B5EF4-FFF2-40B4-BE49-F238E27FC236}">
                  <a16:creationId xmlns:a16="http://schemas.microsoft.com/office/drawing/2014/main" id="{00000000-0008-0000-1A00-000009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200714" name="Check Box 10" hidden="1">
              <a:extLst>
                <a:ext uri="{63B3BB69-23CF-44E3-9099-C40C66FF867C}">
                  <a14:compatExt spid="_x0000_s200714"/>
                </a:ext>
                <a:ext uri="{FF2B5EF4-FFF2-40B4-BE49-F238E27FC236}">
                  <a16:creationId xmlns:a16="http://schemas.microsoft.com/office/drawing/2014/main" id="{00000000-0008-0000-1A00-00000A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200715" name="Check Box 11" descr="Underwriting Eligibility" hidden="1">
              <a:extLst>
                <a:ext uri="{63B3BB69-23CF-44E3-9099-C40C66FF867C}">
                  <a14:compatExt spid="_x0000_s200715"/>
                </a:ext>
                <a:ext uri="{FF2B5EF4-FFF2-40B4-BE49-F238E27FC236}">
                  <a16:creationId xmlns:a16="http://schemas.microsoft.com/office/drawing/2014/main" id="{00000000-0008-0000-1A00-00000B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200716" name="Check Box RateSeg" descr="Rate Segmentation" hidden="1">
              <a:extLst>
                <a:ext uri="{63B3BB69-23CF-44E3-9099-C40C66FF867C}">
                  <a14:compatExt spid="_x0000_s200716"/>
                </a:ext>
                <a:ext uri="{FF2B5EF4-FFF2-40B4-BE49-F238E27FC236}">
                  <a16:creationId xmlns:a16="http://schemas.microsoft.com/office/drawing/2014/main" id="{00000000-0008-0000-1A00-00000C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200717" name="Check Box 13" hidden="1">
              <a:extLst>
                <a:ext uri="{63B3BB69-23CF-44E3-9099-C40C66FF867C}">
                  <a14:compatExt spid="_x0000_s200717"/>
                </a:ext>
                <a:ext uri="{FF2B5EF4-FFF2-40B4-BE49-F238E27FC236}">
                  <a16:creationId xmlns:a16="http://schemas.microsoft.com/office/drawing/2014/main" id="{00000000-0008-0000-1A00-00000D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200718" name="Check Box 14" hidden="1">
              <a:extLst>
                <a:ext uri="{63B3BB69-23CF-44E3-9099-C40C66FF867C}">
                  <a14:compatExt spid="_x0000_s200718"/>
                </a:ext>
                <a:ext uri="{FF2B5EF4-FFF2-40B4-BE49-F238E27FC236}">
                  <a16:creationId xmlns:a16="http://schemas.microsoft.com/office/drawing/2014/main" id="{00000000-0008-0000-1A00-00000E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200719" name="Check Box 15" hidden="1">
              <a:extLst>
                <a:ext uri="{63B3BB69-23CF-44E3-9099-C40C66FF867C}">
                  <a14:compatExt spid="_x0000_s200719"/>
                </a:ext>
                <a:ext uri="{FF2B5EF4-FFF2-40B4-BE49-F238E27FC236}">
                  <a16:creationId xmlns:a16="http://schemas.microsoft.com/office/drawing/2014/main" id="{00000000-0008-0000-1A00-00000F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200720" name="Check Box 16" hidden="1">
              <a:extLst>
                <a:ext uri="{63B3BB69-23CF-44E3-9099-C40C66FF867C}">
                  <a14:compatExt spid="_x0000_s200720"/>
                </a:ext>
                <a:ext uri="{FF2B5EF4-FFF2-40B4-BE49-F238E27FC236}">
                  <a16:creationId xmlns:a16="http://schemas.microsoft.com/office/drawing/2014/main" id="{00000000-0008-0000-1A00-000010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200721" name="Check Box 17" hidden="1">
              <a:extLst>
                <a:ext uri="{63B3BB69-23CF-44E3-9099-C40C66FF867C}">
                  <a14:compatExt spid="_x0000_s200721"/>
                </a:ext>
                <a:ext uri="{FF2B5EF4-FFF2-40B4-BE49-F238E27FC236}">
                  <a16:creationId xmlns:a16="http://schemas.microsoft.com/office/drawing/2014/main" id="{00000000-0008-0000-1A00-000011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200722" name="Check Box 18" descr="Cluster Analysis" hidden="1">
              <a:extLst>
                <a:ext uri="{63B3BB69-23CF-44E3-9099-C40C66FF867C}">
                  <a14:compatExt spid="_x0000_s200722"/>
                </a:ext>
                <a:ext uri="{FF2B5EF4-FFF2-40B4-BE49-F238E27FC236}">
                  <a16:creationId xmlns:a16="http://schemas.microsoft.com/office/drawing/2014/main" id="{00000000-0008-0000-1A00-000012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200723" name="Check Box 19" descr="Decision Trees" hidden="1">
              <a:extLst>
                <a:ext uri="{63B3BB69-23CF-44E3-9099-C40C66FF867C}">
                  <a14:compatExt spid="_x0000_s200723"/>
                </a:ext>
                <a:ext uri="{FF2B5EF4-FFF2-40B4-BE49-F238E27FC236}">
                  <a16:creationId xmlns:a16="http://schemas.microsoft.com/office/drawing/2014/main" id="{00000000-0008-0000-1A00-000013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200724" name="Check Box 20" descr="Generalized Linear Model" hidden="1">
              <a:extLst>
                <a:ext uri="{63B3BB69-23CF-44E3-9099-C40C66FF867C}">
                  <a14:compatExt spid="_x0000_s200724"/>
                </a:ext>
                <a:ext uri="{FF2B5EF4-FFF2-40B4-BE49-F238E27FC236}">
                  <a16:creationId xmlns:a16="http://schemas.microsoft.com/office/drawing/2014/main" id="{00000000-0008-0000-1A00-000014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200725" name="Check Box 21" descr="New/Initial" hidden="1">
              <a:extLst>
                <a:ext uri="{63B3BB69-23CF-44E3-9099-C40C66FF867C}">
                  <a14:compatExt spid="_x0000_s200725"/>
                </a:ext>
                <a:ext uri="{FF2B5EF4-FFF2-40B4-BE49-F238E27FC236}">
                  <a16:creationId xmlns:a16="http://schemas.microsoft.com/office/drawing/2014/main" id="{00000000-0008-0000-1A00-000015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200726" name="Check Box 22" descr="Revision to Existing Model" hidden="1">
              <a:extLst>
                <a:ext uri="{63B3BB69-23CF-44E3-9099-C40C66FF867C}">
                  <a14:compatExt spid="_x0000_s200726"/>
                </a:ext>
                <a:ext uri="{FF2B5EF4-FFF2-40B4-BE49-F238E27FC236}">
                  <a16:creationId xmlns:a16="http://schemas.microsoft.com/office/drawing/2014/main" id="{00000000-0008-0000-1A00-000016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200727" name="Check Box 23" descr="Refresh of Data to Existing Model" hidden="1">
              <a:extLst>
                <a:ext uri="{63B3BB69-23CF-44E3-9099-C40C66FF867C}">
                  <a14:compatExt spid="_x0000_s200727"/>
                </a:ext>
                <a:ext uri="{FF2B5EF4-FFF2-40B4-BE49-F238E27FC236}">
                  <a16:creationId xmlns:a16="http://schemas.microsoft.com/office/drawing/2014/main" id="{00000000-0008-0000-1A00-000017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200728" name="Check Box 24" descr="Company Developed (&quot;In-House&quot;)" hidden="1">
              <a:extLst>
                <a:ext uri="{63B3BB69-23CF-44E3-9099-C40C66FF867C}">
                  <a14:compatExt spid="_x0000_s200728"/>
                </a:ext>
                <a:ext uri="{FF2B5EF4-FFF2-40B4-BE49-F238E27FC236}">
                  <a16:creationId xmlns:a16="http://schemas.microsoft.com/office/drawing/2014/main" id="{00000000-0008-0000-1A00-000018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200729" name="Check Box 25" descr="Outside Firm" hidden="1">
              <a:extLst>
                <a:ext uri="{63B3BB69-23CF-44E3-9099-C40C66FF867C}">
                  <a14:compatExt spid="_x0000_s200729"/>
                </a:ext>
                <a:ext uri="{FF2B5EF4-FFF2-40B4-BE49-F238E27FC236}">
                  <a16:creationId xmlns:a16="http://schemas.microsoft.com/office/drawing/2014/main" id="{00000000-0008-0000-1A00-000019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200730" name="Check Box 26" descr="No Revision to Existing Model" hidden="1">
              <a:extLst>
                <a:ext uri="{63B3BB69-23CF-44E3-9099-C40C66FF867C}">
                  <a14:compatExt spid="_x0000_s200730"/>
                </a:ext>
                <a:ext uri="{FF2B5EF4-FFF2-40B4-BE49-F238E27FC236}">
                  <a16:creationId xmlns:a16="http://schemas.microsoft.com/office/drawing/2014/main" id="{00000000-0008-0000-1A00-00001A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200731" name="Check Box 27" hidden="1">
              <a:extLst>
                <a:ext uri="{63B3BB69-23CF-44E3-9099-C40C66FF867C}">
                  <a14:compatExt spid="_x0000_s200731"/>
                </a:ext>
                <a:ext uri="{FF2B5EF4-FFF2-40B4-BE49-F238E27FC236}">
                  <a16:creationId xmlns:a16="http://schemas.microsoft.com/office/drawing/2014/main" id="{00000000-0008-0000-1A00-00001B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200732" name="Check Box 28" descr="Cluster Analysis" hidden="1">
              <a:extLst>
                <a:ext uri="{63B3BB69-23CF-44E3-9099-C40C66FF867C}">
                  <a14:compatExt spid="_x0000_s200732"/>
                </a:ext>
                <a:ext uri="{FF2B5EF4-FFF2-40B4-BE49-F238E27FC236}">
                  <a16:creationId xmlns:a16="http://schemas.microsoft.com/office/drawing/2014/main" id="{00000000-0008-0000-1A00-00001C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200733" name="Check Box 29" descr="Logistic Regression" hidden="1">
              <a:extLst>
                <a:ext uri="{63B3BB69-23CF-44E3-9099-C40C66FF867C}">
                  <a14:compatExt spid="_x0000_s200733"/>
                </a:ext>
                <a:ext uri="{FF2B5EF4-FFF2-40B4-BE49-F238E27FC236}">
                  <a16:creationId xmlns:a16="http://schemas.microsoft.com/office/drawing/2014/main" id="{00000000-0008-0000-1A00-00001D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200734" name="Check Box 30" descr="Neural Network" hidden="1">
              <a:extLst>
                <a:ext uri="{63B3BB69-23CF-44E3-9099-C40C66FF867C}">
                  <a14:compatExt spid="_x0000_s200734"/>
                </a:ext>
                <a:ext uri="{FF2B5EF4-FFF2-40B4-BE49-F238E27FC236}">
                  <a16:creationId xmlns:a16="http://schemas.microsoft.com/office/drawing/2014/main" id="{00000000-0008-0000-1A00-00001E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200735" name="Check Box 31" descr="Decision Trees" hidden="1">
              <a:extLst>
                <a:ext uri="{63B3BB69-23CF-44E3-9099-C40C66FF867C}">
                  <a14:compatExt spid="_x0000_s200735"/>
                </a:ext>
                <a:ext uri="{FF2B5EF4-FFF2-40B4-BE49-F238E27FC236}">
                  <a16:creationId xmlns:a16="http://schemas.microsoft.com/office/drawing/2014/main" id="{00000000-0008-0000-1A00-00001F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200736" name="Check Box 32" descr="Machine Learning" hidden="1">
              <a:extLst>
                <a:ext uri="{63B3BB69-23CF-44E3-9099-C40C66FF867C}">
                  <a14:compatExt spid="_x0000_s200736"/>
                </a:ext>
                <a:ext uri="{FF2B5EF4-FFF2-40B4-BE49-F238E27FC236}">
                  <a16:creationId xmlns:a16="http://schemas.microsoft.com/office/drawing/2014/main" id="{00000000-0008-0000-1A00-000020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200737" name="Check Box 33" descr="Machine Learning" hidden="1">
              <a:extLst>
                <a:ext uri="{63B3BB69-23CF-44E3-9099-C40C66FF867C}">
                  <a14:compatExt spid="_x0000_s200737"/>
                </a:ext>
                <a:ext uri="{FF2B5EF4-FFF2-40B4-BE49-F238E27FC236}">
                  <a16:creationId xmlns:a16="http://schemas.microsoft.com/office/drawing/2014/main" id="{00000000-0008-0000-1A00-000021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200738" name="Check Box 34" descr="Logistic Regression" hidden="1">
              <a:extLst>
                <a:ext uri="{63B3BB69-23CF-44E3-9099-C40C66FF867C}">
                  <a14:compatExt spid="_x0000_s200738"/>
                </a:ext>
                <a:ext uri="{FF2B5EF4-FFF2-40B4-BE49-F238E27FC236}">
                  <a16:creationId xmlns:a16="http://schemas.microsoft.com/office/drawing/2014/main" id="{00000000-0008-0000-1A00-000022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200739" name="Check Box 35" descr="Neural Network" hidden="1">
              <a:extLst>
                <a:ext uri="{63B3BB69-23CF-44E3-9099-C40C66FF867C}">
                  <a14:compatExt spid="_x0000_s200739"/>
                </a:ext>
                <a:ext uri="{FF2B5EF4-FFF2-40B4-BE49-F238E27FC236}">
                  <a16:creationId xmlns:a16="http://schemas.microsoft.com/office/drawing/2014/main" id="{00000000-0008-0000-1A00-0000231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B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B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B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B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B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B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B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B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B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B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B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B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B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B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B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B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B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B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B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B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B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B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B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B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B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B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B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B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B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B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B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B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B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B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B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C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C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C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C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C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C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C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C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C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C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C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C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C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C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C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C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C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C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C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C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C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C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C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C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C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C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C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C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C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C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C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C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C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C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C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21" Type="http://schemas.openxmlformats.org/officeDocument/2006/relationships/ctrlProp" Target="../ctrlProps/ctrlProp477.xml"/><Relationship Id="rId34" Type="http://schemas.openxmlformats.org/officeDocument/2006/relationships/ctrlProp" Target="../ctrlProps/ctrlProp49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drawing" Target="../drawings/drawing20.x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1" Type="http://schemas.openxmlformats.org/officeDocument/2006/relationships/printerSettings" Target="../printerSettings/printerSettings25.bin"/><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 Id="rId8" Type="http://schemas.openxmlformats.org/officeDocument/2006/relationships/ctrlProp" Target="../ctrlProps/ctrlProp464.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04.xml"/><Relationship Id="rId18" Type="http://schemas.openxmlformats.org/officeDocument/2006/relationships/ctrlProp" Target="../ctrlProps/ctrlProp509.xml"/><Relationship Id="rId26" Type="http://schemas.openxmlformats.org/officeDocument/2006/relationships/ctrlProp" Target="../ctrlProps/ctrlProp517.xml"/><Relationship Id="rId21" Type="http://schemas.openxmlformats.org/officeDocument/2006/relationships/ctrlProp" Target="../ctrlProps/ctrlProp512.xml"/><Relationship Id="rId34" Type="http://schemas.openxmlformats.org/officeDocument/2006/relationships/ctrlProp" Target="../ctrlProps/ctrlProp525.xml"/><Relationship Id="rId7" Type="http://schemas.openxmlformats.org/officeDocument/2006/relationships/ctrlProp" Target="../ctrlProps/ctrlProp498.xml"/><Relationship Id="rId12" Type="http://schemas.openxmlformats.org/officeDocument/2006/relationships/ctrlProp" Target="../ctrlProps/ctrlProp503.xml"/><Relationship Id="rId17" Type="http://schemas.openxmlformats.org/officeDocument/2006/relationships/ctrlProp" Target="../ctrlProps/ctrlProp508.xml"/><Relationship Id="rId25" Type="http://schemas.openxmlformats.org/officeDocument/2006/relationships/ctrlProp" Target="../ctrlProps/ctrlProp516.xml"/><Relationship Id="rId33" Type="http://schemas.openxmlformats.org/officeDocument/2006/relationships/ctrlProp" Target="../ctrlProps/ctrlProp524.xml"/><Relationship Id="rId38" Type="http://schemas.openxmlformats.org/officeDocument/2006/relationships/ctrlProp" Target="../ctrlProps/ctrlProp529.xml"/><Relationship Id="rId2" Type="http://schemas.openxmlformats.org/officeDocument/2006/relationships/drawing" Target="../drawings/drawing21.xml"/><Relationship Id="rId16" Type="http://schemas.openxmlformats.org/officeDocument/2006/relationships/ctrlProp" Target="../ctrlProps/ctrlProp507.xml"/><Relationship Id="rId20" Type="http://schemas.openxmlformats.org/officeDocument/2006/relationships/ctrlProp" Target="../ctrlProps/ctrlProp511.xml"/><Relationship Id="rId29" Type="http://schemas.openxmlformats.org/officeDocument/2006/relationships/ctrlProp" Target="../ctrlProps/ctrlProp520.xml"/><Relationship Id="rId1" Type="http://schemas.openxmlformats.org/officeDocument/2006/relationships/printerSettings" Target="../printerSettings/printerSettings26.bin"/><Relationship Id="rId6" Type="http://schemas.openxmlformats.org/officeDocument/2006/relationships/ctrlProp" Target="../ctrlProps/ctrlProp497.xml"/><Relationship Id="rId11" Type="http://schemas.openxmlformats.org/officeDocument/2006/relationships/ctrlProp" Target="../ctrlProps/ctrlProp502.xml"/><Relationship Id="rId24" Type="http://schemas.openxmlformats.org/officeDocument/2006/relationships/ctrlProp" Target="../ctrlProps/ctrlProp515.xml"/><Relationship Id="rId32" Type="http://schemas.openxmlformats.org/officeDocument/2006/relationships/ctrlProp" Target="../ctrlProps/ctrlProp523.xml"/><Relationship Id="rId37" Type="http://schemas.openxmlformats.org/officeDocument/2006/relationships/ctrlProp" Target="../ctrlProps/ctrlProp528.xml"/><Relationship Id="rId5" Type="http://schemas.openxmlformats.org/officeDocument/2006/relationships/ctrlProp" Target="../ctrlProps/ctrlProp496.xml"/><Relationship Id="rId15" Type="http://schemas.openxmlformats.org/officeDocument/2006/relationships/ctrlProp" Target="../ctrlProps/ctrlProp506.xml"/><Relationship Id="rId23" Type="http://schemas.openxmlformats.org/officeDocument/2006/relationships/ctrlProp" Target="../ctrlProps/ctrlProp514.xml"/><Relationship Id="rId28" Type="http://schemas.openxmlformats.org/officeDocument/2006/relationships/ctrlProp" Target="../ctrlProps/ctrlProp519.xml"/><Relationship Id="rId36" Type="http://schemas.openxmlformats.org/officeDocument/2006/relationships/ctrlProp" Target="../ctrlProps/ctrlProp527.xml"/><Relationship Id="rId10" Type="http://schemas.openxmlformats.org/officeDocument/2006/relationships/ctrlProp" Target="../ctrlProps/ctrlProp501.xml"/><Relationship Id="rId19" Type="http://schemas.openxmlformats.org/officeDocument/2006/relationships/ctrlProp" Target="../ctrlProps/ctrlProp510.xml"/><Relationship Id="rId31" Type="http://schemas.openxmlformats.org/officeDocument/2006/relationships/ctrlProp" Target="../ctrlProps/ctrlProp522.xml"/><Relationship Id="rId4" Type="http://schemas.openxmlformats.org/officeDocument/2006/relationships/ctrlProp" Target="../ctrlProps/ctrlProp495.xml"/><Relationship Id="rId9" Type="http://schemas.openxmlformats.org/officeDocument/2006/relationships/ctrlProp" Target="../ctrlProps/ctrlProp500.xml"/><Relationship Id="rId14" Type="http://schemas.openxmlformats.org/officeDocument/2006/relationships/ctrlProp" Target="../ctrlProps/ctrlProp505.xml"/><Relationship Id="rId22" Type="http://schemas.openxmlformats.org/officeDocument/2006/relationships/ctrlProp" Target="../ctrlProps/ctrlProp513.xml"/><Relationship Id="rId27" Type="http://schemas.openxmlformats.org/officeDocument/2006/relationships/ctrlProp" Target="../ctrlProps/ctrlProp518.xml"/><Relationship Id="rId30" Type="http://schemas.openxmlformats.org/officeDocument/2006/relationships/ctrlProp" Target="../ctrlProps/ctrlProp521.xml"/><Relationship Id="rId35" Type="http://schemas.openxmlformats.org/officeDocument/2006/relationships/ctrlProp" Target="../ctrlProps/ctrlProp526.xml"/><Relationship Id="rId8" Type="http://schemas.openxmlformats.org/officeDocument/2006/relationships/ctrlProp" Target="../ctrlProps/ctrlProp499.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39.xml"/><Relationship Id="rId18" Type="http://schemas.openxmlformats.org/officeDocument/2006/relationships/ctrlProp" Target="../ctrlProps/ctrlProp544.xml"/><Relationship Id="rId26" Type="http://schemas.openxmlformats.org/officeDocument/2006/relationships/ctrlProp" Target="../ctrlProps/ctrlProp552.xml"/><Relationship Id="rId21" Type="http://schemas.openxmlformats.org/officeDocument/2006/relationships/ctrlProp" Target="../ctrlProps/ctrlProp547.xml"/><Relationship Id="rId34" Type="http://schemas.openxmlformats.org/officeDocument/2006/relationships/ctrlProp" Target="../ctrlProps/ctrlProp560.xml"/><Relationship Id="rId7" Type="http://schemas.openxmlformats.org/officeDocument/2006/relationships/ctrlProp" Target="../ctrlProps/ctrlProp533.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2" Type="http://schemas.openxmlformats.org/officeDocument/2006/relationships/drawing" Target="../drawings/drawing22.xml"/><Relationship Id="rId16" Type="http://schemas.openxmlformats.org/officeDocument/2006/relationships/ctrlProp" Target="../ctrlProps/ctrlProp542.xml"/><Relationship Id="rId20" Type="http://schemas.openxmlformats.org/officeDocument/2006/relationships/ctrlProp" Target="../ctrlProps/ctrlProp546.xml"/><Relationship Id="rId29" Type="http://schemas.openxmlformats.org/officeDocument/2006/relationships/ctrlProp" Target="../ctrlProps/ctrlProp555.xml"/><Relationship Id="rId1" Type="http://schemas.openxmlformats.org/officeDocument/2006/relationships/printerSettings" Target="../printerSettings/printerSettings27.bin"/><Relationship Id="rId6" Type="http://schemas.openxmlformats.org/officeDocument/2006/relationships/ctrlProp" Target="../ctrlProps/ctrlProp532.xml"/><Relationship Id="rId11" Type="http://schemas.openxmlformats.org/officeDocument/2006/relationships/ctrlProp" Target="../ctrlProps/ctrlProp537.xml"/><Relationship Id="rId24" Type="http://schemas.openxmlformats.org/officeDocument/2006/relationships/ctrlProp" Target="../ctrlProps/ctrlProp550.xml"/><Relationship Id="rId32" Type="http://schemas.openxmlformats.org/officeDocument/2006/relationships/ctrlProp" Target="../ctrlProps/ctrlProp558.xml"/><Relationship Id="rId37" Type="http://schemas.openxmlformats.org/officeDocument/2006/relationships/ctrlProp" Target="../ctrlProps/ctrlProp563.xml"/><Relationship Id="rId5" Type="http://schemas.openxmlformats.org/officeDocument/2006/relationships/ctrlProp" Target="../ctrlProps/ctrlProp531.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10" Type="http://schemas.openxmlformats.org/officeDocument/2006/relationships/ctrlProp" Target="../ctrlProps/ctrlProp536.xml"/><Relationship Id="rId19" Type="http://schemas.openxmlformats.org/officeDocument/2006/relationships/ctrlProp" Target="../ctrlProps/ctrlProp545.xml"/><Relationship Id="rId31" Type="http://schemas.openxmlformats.org/officeDocument/2006/relationships/ctrlProp" Target="../ctrlProps/ctrlProp557.xml"/><Relationship Id="rId4" Type="http://schemas.openxmlformats.org/officeDocument/2006/relationships/ctrlProp" Target="../ctrlProps/ctrlProp530.xml"/><Relationship Id="rId9" Type="http://schemas.openxmlformats.org/officeDocument/2006/relationships/ctrlProp" Target="../ctrlProps/ctrlProp535.xml"/><Relationship Id="rId14" Type="http://schemas.openxmlformats.org/officeDocument/2006/relationships/ctrlProp" Target="../ctrlProps/ctrlProp540.xml"/><Relationship Id="rId22" Type="http://schemas.openxmlformats.org/officeDocument/2006/relationships/ctrlProp" Target="../ctrlProps/ctrlProp548.xml"/><Relationship Id="rId27" Type="http://schemas.openxmlformats.org/officeDocument/2006/relationships/ctrlProp" Target="../ctrlProps/ctrlProp553.xml"/><Relationship Id="rId30" Type="http://schemas.openxmlformats.org/officeDocument/2006/relationships/ctrlProp" Target="../ctrlProps/ctrlProp556.xml"/><Relationship Id="rId35" Type="http://schemas.openxmlformats.org/officeDocument/2006/relationships/ctrlProp" Target="../ctrlProps/ctrlProp561.xml"/><Relationship Id="rId8" Type="http://schemas.openxmlformats.org/officeDocument/2006/relationships/ctrlProp" Target="../ctrlProps/ctrlProp534.xml"/><Relationship Id="rId3" Type="http://schemas.openxmlformats.org/officeDocument/2006/relationships/vmlDrawing" Target="../drawings/vmlDrawing22.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574.xml"/><Relationship Id="rId18" Type="http://schemas.openxmlformats.org/officeDocument/2006/relationships/ctrlProp" Target="../ctrlProps/ctrlProp579.xml"/><Relationship Id="rId26" Type="http://schemas.openxmlformats.org/officeDocument/2006/relationships/ctrlProp" Target="../ctrlProps/ctrlProp587.xml"/><Relationship Id="rId21" Type="http://schemas.openxmlformats.org/officeDocument/2006/relationships/ctrlProp" Target="../ctrlProps/ctrlProp582.xml"/><Relationship Id="rId34" Type="http://schemas.openxmlformats.org/officeDocument/2006/relationships/ctrlProp" Target="../ctrlProps/ctrlProp595.xml"/><Relationship Id="rId7" Type="http://schemas.openxmlformats.org/officeDocument/2006/relationships/ctrlProp" Target="../ctrlProps/ctrlProp568.xml"/><Relationship Id="rId12" Type="http://schemas.openxmlformats.org/officeDocument/2006/relationships/ctrlProp" Target="../ctrlProps/ctrlProp573.xml"/><Relationship Id="rId17" Type="http://schemas.openxmlformats.org/officeDocument/2006/relationships/ctrlProp" Target="../ctrlProps/ctrlProp578.xml"/><Relationship Id="rId25" Type="http://schemas.openxmlformats.org/officeDocument/2006/relationships/ctrlProp" Target="../ctrlProps/ctrlProp586.xml"/><Relationship Id="rId33" Type="http://schemas.openxmlformats.org/officeDocument/2006/relationships/ctrlProp" Target="../ctrlProps/ctrlProp594.xml"/><Relationship Id="rId38" Type="http://schemas.openxmlformats.org/officeDocument/2006/relationships/ctrlProp" Target="../ctrlProps/ctrlProp599.xml"/><Relationship Id="rId2" Type="http://schemas.openxmlformats.org/officeDocument/2006/relationships/drawing" Target="../drawings/drawing23.xml"/><Relationship Id="rId16" Type="http://schemas.openxmlformats.org/officeDocument/2006/relationships/ctrlProp" Target="../ctrlProps/ctrlProp577.xml"/><Relationship Id="rId20" Type="http://schemas.openxmlformats.org/officeDocument/2006/relationships/ctrlProp" Target="../ctrlProps/ctrlProp581.xml"/><Relationship Id="rId29" Type="http://schemas.openxmlformats.org/officeDocument/2006/relationships/ctrlProp" Target="../ctrlProps/ctrlProp590.xml"/><Relationship Id="rId1" Type="http://schemas.openxmlformats.org/officeDocument/2006/relationships/printerSettings" Target="../printerSettings/printerSettings28.bin"/><Relationship Id="rId6" Type="http://schemas.openxmlformats.org/officeDocument/2006/relationships/ctrlProp" Target="../ctrlProps/ctrlProp567.xml"/><Relationship Id="rId11" Type="http://schemas.openxmlformats.org/officeDocument/2006/relationships/ctrlProp" Target="../ctrlProps/ctrlProp572.xml"/><Relationship Id="rId24" Type="http://schemas.openxmlformats.org/officeDocument/2006/relationships/ctrlProp" Target="../ctrlProps/ctrlProp585.xml"/><Relationship Id="rId32" Type="http://schemas.openxmlformats.org/officeDocument/2006/relationships/ctrlProp" Target="../ctrlProps/ctrlProp593.xml"/><Relationship Id="rId37" Type="http://schemas.openxmlformats.org/officeDocument/2006/relationships/ctrlProp" Target="../ctrlProps/ctrlProp598.xml"/><Relationship Id="rId5" Type="http://schemas.openxmlformats.org/officeDocument/2006/relationships/ctrlProp" Target="../ctrlProps/ctrlProp566.xml"/><Relationship Id="rId15" Type="http://schemas.openxmlformats.org/officeDocument/2006/relationships/ctrlProp" Target="../ctrlProps/ctrlProp576.xml"/><Relationship Id="rId23" Type="http://schemas.openxmlformats.org/officeDocument/2006/relationships/ctrlProp" Target="../ctrlProps/ctrlProp584.xml"/><Relationship Id="rId28" Type="http://schemas.openxmlformats.org/officeDocument/2006/relationships/ctrlProp" Target="../ctrlProps/ctrlProp589.xml"/><Relationship Id="rId36" Type="http://schemas.openxmlformats.org/officeDocument/2006/relationships/ctrlProp" Target="../ctrlProps/ctrlProp597.xml"/><Relationship Id="rId10" Type="http://schemas.openxmlformats.org/officeDocument/2006/relationships/ctrlProp" Target="../ctrlProps/ctrlProp571.xml"/><Relationship Id="rId19" Type="http://schemas.openxmlformats.org/officeDocument/2006/relationships/ctrlProp" Target="../ctrlProps/ctrlProp580.xml"/><Relationship Id="rId31" Type="http://schemas.openxmlformats.org/officeDocument/2006/relationships/ctrlProp" Target="../ctrlProps/ctrlProp592.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 Id="rId22" Type="http://schemas.openxmlformats.org/officeDocument/2006/relationships/ctrlProp" Target="../ctrlProps/ctrlProp583.xml"/><Relationship Id="rId27" Type="http://schemas.openxmlformats.org/officeDocument/2006/relationships/ctrlProp" Target="../ctrlProps/ctrlProp588.xml"/><Relationship Id="rId30" Type="http://schemas.openxmlformats.org/officeDocument/2006/relationships/ctrlProp" Target="../ctrlProps/ctrlProp591.xml"/><Relationship Id="rId35" Type="http://schemas.openxmlformats.org/officeDocument/2006/relationships/ctrlProp" Target="../ctrlProps/ctrlProp596.xml"/><Relationship Id="rId8" Type="http://schemas.openxmlformats.org/officeDocument/2006/relationships/ctrlProp" Target="../ctrlProps/ctrlProp569.xml"/><Relationship Id="rId3" Type="http://schemas.openxmlformats.org/officeDocument/2006/relationships/vmlDrawing" Target="../drawings/vmlDrawing23.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609.xml"/><Relationship Id="rId18" Type="http://schemas.openxmlformats.org/officeDocument/2006/relationships/ctrlProp" Target="../ctrlProps/ctrlProp614.xml"/><Relationship Id="rId26" Type="http://schemas.openxmlformats.org/officeDocument/2006/relationships/ctrlProp" Target="../ctrlProps/ctrlProp622.xml"/><Relationship Id="rId21" Type="http://schemas.openxmlformats.org/officeDocument/2006/relationships/ctrlProp" Target="../ctrlProps/ctrlProp617.xml"/><Relationship Id="rId34" Type="http://schemas.openxmlformats.org/officeDocument/2006/relationships/ctrlProp" Target="../ctrlProps/ctrlProp630.xml"/><Relationship Id="rId7" Type="http://schemas.openxmlformats.org/officeDocument/2006/relationships/ctrlProp" Target="../ctrlProps/ctrlProp603.xml"/><Relationship Id="rId12" Type="http://schemas.openxmlformats.org/officeDocument/2006/relationships/ctrlProp" Target="../ctrlProps/ctrlProp608.xml"/><Relationship Id="rId17" Type="http://schemas.openxmlformats.org/officeDocument/2006/relationships/ctrlProp" Target="../ctrlProps/ctrlProp613.xml"/><Relationship Id="rId25" Type="http://schemas.openxmlformats.org/officeDocument/2006/relationships/ctrlProp" Target="../ctrlProps/ctrlProp621.xml"/><Relationship Id="rId33" Type="http://schemas.openxmlformats.org/officeDocument/2006/relationships/ctrlProp" Target="../ctrlProps/ctrlProp629.xml"/><Relationship Id="rId38" Type="http://schemas.openxmlformats.org/officeDocument/2006/relationships/ctrlProp" Target="../ctrlProps/ctrlProp634.xml"/><Relationship Id="rId2" Type="http://schemas.openxmlformats.org/officeDocument/2006/relationships/drawing" Target="../drawings/drawing24.xml"/><Relationship Id="rId16" Type="http://schemas.openxmlformats.org/officeDocument/2006/relationships/ctrlProp" Target="../ctrlProps/ctrlProp612.xml"/><Relationship Id="rId20" Type="http://schemas.openxmlformats.org/officeDocument/2006/relationships/ctrlProp" Target="../ctrlProps/ctrlProp616.xml"/><Relationship Id="rId29" Type="http://schemas.openxmlformats.org/officeDocument/2006/relationships/ctrlProp" Target="../ctrlProps/ctrlProp625.xml"/><Relationship Id="rId1" Type="http://schemas.openxmlformats.org/officeDocument/2006/relationships/printerSettings" Target="../printerSettings/printerSettings29.bin"/><Relationship Id="rId6" Type="http://schemas.openxmlformats.org/officeDocument/2006/relationships/ctrlProp" Target="../ctrlProps/ctrlProp602.xml"/><Relationship Id="rId11" Type="http://schemas.openxmlformats.org/officeDocument/2006/relationships/ctrlProp" Target="../ctrlProps/ctrlProp607.xml"/><Relationship Id="rId24" Type="http://schemas.openxmlformats.org/officeDocument/2006/relationships/ctrlProp" Target="../ctrlProps/ctrlProp620.xml"/><Relationship Id="rId32" Type="http://schemas.openxmlformats.org/officeDocument/2006/relationships/ctrlProp" Target="../ctrlProps/ctrlProp628.xml"/><Relationship Id="rId37" Type="http://schemas.openxmlformats.org/officeDocument/2006/relationships/ctrlProp" Target="../ctrlProps/ctrlProp633.xml"/><Relationship Id="rId5" Type="http://schemas.openxmlformats.org/officeDocument/2006/relationships/ctrlProp" Target="../ctrlProps/ctrlProp601.xml"/><Relationship Id="rId15" Type="http://schemas.openxmlformats.org/officeDocument/2006/relationships/ctrlProp" Target="../ctrlProps/ctrlProp611.xml"/><Relationship Id="rId23" Type="http://schemas.openxmlformats.org/officeDocument/2006/relationships/ctrlProp" Target="../ctrlProps/ctrlProp619.xml"/><Relationship Id="rId28" Type="http://schemas.openxmlformats.org/officeDocument/2006/relationships/ctrlProp" Target="../ctrlProps/ctrlProp624.xml"/><Relationship Id="rId36" Type="http://schemas.openxmlformats.org/officeDocument/2006/relationships/ctrlProp" Target="../ctrlProps/ctrlProp632.xml"/><Relationship Id="rId10" Type="http://schemas.openxmlformats.org/officeDocument/2006/relationships/ctrlProp" Target="../ctrlProps/ctrlProp606.xml"/><Relationship Id="rId19" Type="http://schemas.openxmlformats.org/officeDocument/2006/relationships/ctrlProp" Target="../ctrlProps/ctrlProp615.xml"/><Relationship Id="rId31" Type="http://schemas.openxmlformats.org/officeDocument/2006/relationships/ctrlProp" Target="../ctrlProps/ctrlProp627.xml"/><Relationship Id="rId4" Type="http://schemas.openxmlformats.org/officeDocument/2006/relationships/ctrlProp" Target="../ctrlProps/ctrlProp600.xml"/><Relationship Id="rId9" Type="http://schemas.openxmlformats.org/officeDocument/2006/relationships/ctrlProp" Target="../ctrlProps/ctrlProp605.xml"/><Relationship Id="rId14" Type="http://schemas.openxmlformats.org/officeDocument/2006/relationships/ctrlProp" Target="../ctrlProps/ctrlProp610.xml"/><Relationship Id="rId22" Type="http://schemas.openxmlformats.org/officeDocument/2006/relationships/ctrlProp" Target="../ctrlProps/ctrlProp618.xml"/><Relationship Id="rId27" Type="http://schemas.openxmlformats.org/officeDocument/2006/relationships/ctrlProp" Target="../ctrlProps/ctrlProp623.xml"/><Relationship Id="rId30" Type="http://schemas.openxmlformats.org/officeDocument/2006/relationships/ctrlProp" Target="../ctrlProps/ctrlProp626.xml"/><Relationship Id="rId35" Type="http://schemas.openxmlformats.org/officeDocument/2006/relationships/ctrlProp" Target="../ctrlProps/ctrlProp631.xml"/><Relationship Id="rId8" Type="http://schemas.openxmlformats.org/officeDocument/2006/relationships/ctrlProp" Target="../ctrlProps/ctrlProp604.xml"/><Relationship Id="rId3"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567</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222</v>
      </c>
      <c r="B24" s="154" t="str">
        <f>IF(ISBLANK('1.General'!$B$7),"",'1.General'!$B$7)</f>
        <v>Nicole Pettis</v>
      </c>
    </row>
    <row r="25" spans="1:6" x14ac:dyDescent="0.25">
      <c r="A25" s="56" t="s">
        <v>223</v>
      </c>
      <c r="B25" s="155">
        <f>IF(ISBLANK('1.General'!$E$7),"",'1.General'!$E$7)</f>
        <v>45371</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1</v>
      </c>
    </row>
    <row r="30" spans="1:6" x14ac:dyDescent="0.25">
      <c r="A30" s="56" t="s">
        <v>368</v>
      </c>
      <c r="B30" s="315" t="b">
        <f>IF('3.Filing Type and Checklist'!E11="Y",TRUE,FALSE)</f>
        <v>0</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11</v>
      </c>
    </row>
    <row r="5" spans="1:27" ht="45" customHeight="1" x14ac:dyDescent="0.25">
      <c r="A5" s="175" t="s">
        <v>255</v>
      </c>
      <c r="B5" s="176"/>
      <c r="C5" s="9"/>
      <c r="D5" s="177">
        <v>2</v>
      </c>
      <c r="E5" s="139"/>
      <c r="F5" s="178">
        <v>16</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395">
        <f>Y4-1</f>
        <v>10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0</v>
      </c>
      <c r="W16" s="374" t="str">
        <f t="shared" si="0"/>
        <v>A28,</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1</v>
      </c>
      <c r="W17" s="374" t="str">
        <f t="shared" si="0"/>
        <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1</v>
      </c>
      <c r="W41" s="374" t="str">
        <f t="shared" si="0"/>
        <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422</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301</v>
      </c>
      <c r="M50" s="370">
        <v>62</v>
      </c>
      <c r="N50" s="371" t="s">
        <v>422</v>
      </c>
      <c r="O50" s="371"/>
      <c r="P50" s="371">
        <v>1</v>
      </c>
      <c r="Q50" s="371"/>
      <c r="R50" s="371">
        <v>1</v>
      </c>
      <c r="S50" s="371"/>
      <c r="T50" s="372">
        <v>1</v>
      </c>
      <c r="U50" s="373"/>
      <c r="V50" s="339">
        <f t="shared" si="4"/>
        <v>0</v>
      </c>
      <c r="W50" s="374" t="str">
        <f t="shared" si="0"/>
        <v>A62,</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0</v>
      </c>
      <c r="W52" s="374" t="str">
        <f t="shared" si="0"/>
        <v>A64,</v>
      </c>
    </row>
    <row r="53" spans="9:23" ht="30" customHeight="1" x14ac:dyDescent="0.25">
      <c r="I53" s="13"/>
      <c r="L53" s="335" t="s">
        <v>489</v>
      </c>
      <c r="M53" s="370">
        <v>65</v>
      </c>
      <c r="N53" s="371" t="s">
        <v>422</v>
      </c>
      <c r="O53" s="371"/>
      <c r="P53" s="371">
        <v>1</v>
      </c>
      <c r="Q53" s="371"/>
      <c r="R53" s="371">
        <v>1</v>
      </c>
      <c r="S53" s="371"/>
      <c r="T53" s="372"/>
      <c r="U53" s="373"/>
      <c r="V53" s="339">
        <f t="shared" si="4"/>
        <v>0</v>
      </c>
      <c r="W53" s="374" t="str">
        <f t="shared" si="0"/>
        <v>A65,</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isH+Re0DQtY5IIVdn7CxXeuOZi5lIh3LDGE6xhIOuMN1ybWwKksZU2PGzd0pdSdhXhB+2XHuDt+muvZJTba+AQ==" saltValue="F359id6iXtaY4T0MCL25qQ=="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oVN+RbcDx/GdEc3N+IsJIFPXsdI48XtWJojfXTTEuaGUEMQtFGtsr2KSIoPdbNZAgM8G5m1ldwdbdsWh7DDrng==" saltValue="S737+aDgaKgcIZaVJoyi1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B7" sqref="B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302</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45371</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561</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07"/>
      <c r="I14" s="508"/>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07"/>
      <c r="I16" s="508"/>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05"/>
      <c r="I18" s="50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05"/>
      <c r="I20" s="50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03"/>
      <c r="D22" s="504"/>
      <c r="E22" s="7"/>
      <c r="F22" s="7"/>
      <c r="G22" s="36" t="s">
        <v>19</v>
      </c>
      <c r="H22" s="511"/>
      <c r="I22" s="512"/>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05" t="str">
        <f>IF(ISBLANK(H22)," ",H22+60)</f>
        <v xml:space="preserve"> </v>
      </c>
      <c r="I24" s="50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07"/>
      <c r="I26" s="508"/>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09"/>
      <c r="I28" s="510"/>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13" t="s">
        <v>527</v>
      </c>
      <c r="C32" s="514"/>
      <c r="D32" s="514"/>
      <c r="E32" s="515"/>
      <c r="F32" s="7"/>
      <c r="G32" s="36" t="s">
        <v>20</v>
      </c>
      <c r="H32" s="507"/>
      <c r="I32" s="508"/>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13" t="s">
        <v>44</v>
      </c>
      <c r="C34" s="514"/>
      <c r="D34" s="514"/>
      <c r="E34" s="515"/>
      <c r="F34" s="7"/>
      <c r="G34" s="36" t="s">
        <v>32</v>
      </c>
      <c r="H34" s="39"/>
      <c r="I34" s="39"/>
      <c r="J34" s="215"/>
      <c r="K34" s="220"/>
      <c r="L34" s="300"/>
      <c r="M34" s="317" t="b">
        <f>IF(FilingType_Rate=TRUE,TRUE,FALSE)</f>
        <v>0</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0</v>
      </c>
      <c r="N36" s="316" t="b">
        <f>IF(K14=1,TRUE,FALSE)</f>
        <v>0</v>
      </c>
    </row>
    <row r="37" spans="1:14" ht="18" customHeight="1" x14ac:dyDescent="0.25">
      <c r="A37" s="18" t="s">
        <v>9</v>
      </c>
      <c r="B37" s="7"/>
      <c r="C37" s="503" t="s">
        <v>562</v>
      </c>
      <c r="D37" s="504"/>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21"/>
      <c r="I40" s="521"/>
      <c r="J40" s="214"/>
      <c r="K40" s="222"/>
      <c r="L40" s="308"/>
      <c r="M40" s="7"/>
    </row>
    <row r="41" spans="1:14" ht="15.75" customHeight="1" x14ac:dyDescent="0.25">
      <c r="A41" s="7" t="s">
        <v>464</v>
      </c>
      <c r="B41" s="7"/>
      <c r="C41" s="7"/>
      <c r="D41" s="7"/>
      <c r="E41" s="7"/>
      <c r="F41" s="7"/>
      <c r="G41" s="36" t="s">
        <v>22</v>
      </c>
      <c r="H41" s="502"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02"/>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21"/>
      <c r="I43" s="522"/>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13" t="s">
        <v>529</v>
      </c>
      <c r="C45" s="514"/>
      <c r="D45" s="514"/>
      <c r="E45" s="515"/>
      <c r="F45" s="7"/>
      <c r="G45" s="7"/>
      <c r="H45" s="7"/>
      <c r="I45" s="7"/>
      <c r="J45" s="7"/>
      <c r="K45" s="7"/>
      <c r="L45" s="307"/>
      <c r="M45" s="7"/>
    </row>
    <row r="46" spans="1:14" ht="18" customHeight="1" x14ac:dyDescent="0.25">
      <c r="A46" s="7" t="s">
        <v>23</v>
      </c>
      <c r="B46" s="513" t="s">
        <v>530</v>
      </c>
      <c r="C46" s="514"/>
      <c r="D46" s="514"/>
      <c r="E46" s="515"/>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16" t="s">
        <v>531</v>
      </c>
      <c r="D51" s="517"/>
      <c r="E51" s="518"/>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13" t="s">
        <v>532</v>
      </c>
      <c r="C53" s="514"/>
      <c r="D53" s="514"/>
      <c r="E53" s="514"/>
      <c r="F53" s="514"/>
      <c r="G53" s="514"/>
      <c r="H53" s="514"/>
      <c r="I53" s="514"/>
      <c r="J53" s="515"/>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13" t="s">
        <v>533</v>
      </c>
      <c r="C55" s="514"/>
      <c r="D55" s="514"/>
      <c r="E55" s="514"/>
      <c r="F55" s="514"/>
      <c r="G55" s="514"/>
      <c r="H55" s="514"/>
      <c r="I55" s="514"/>
      <c r="J55" s="515"/>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13" t="s">
        <v>534</v>
      </c>
      <c r="C57" s="514"/>
      <c r="D57" s="514"/>
      <c r="E57" s="515"/>
      <c r="F57" s="7" t="s">
        <v>55</v>
      </c>
      <c r="G57" s="513" t="s">
        <v>535</v>
      </c>
      <c r="H57" s="514"/>
      <c r="I57" s="514"/>
      <c r="J57" s="515"/>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13" t="s">
        <v>536</v>
      </c>
      <c r="C59" s="514"/>
      <c r="D59" s="514"/>
      <c r="E59" s="514"/>
      <c r="F59" s="514"/>
      <c r="G59" s="514"/>
      <c r="H59" s="514"/>
      <c r="I59" s="514"/>
      <c r="J59" s="515"/>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13" t="s">
        <v>537</v>
      </c>
      <c r="C61" s="514"/>
      <c r="D61" s="514"/>
      <c r="E61" s="514"/>
      <c r="F61" s="514"/>
      <c r="G61" s="514"/>
      <c r="H61" s="514"/>
      <c r="I61" s="514"/>
      <c r="J61" s="515"/>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20"/>
      <c r="B69" s="520"/>
      <c r="C69" s="7"/>
      <c r="D69" s="523"/>
      <c r="E69" s="523"/>
      <c r="F69" s="523"/>
      <c r="H69" s="519"/>
      <c r="I69" s="519"/>
      <c r="J69" s="519"/>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AYWXD2wtQtxGS35xjddQpxq5CbHuPiRxD52r3cGewigQkOhp7bVFK2torm4xRasJ/hONo1Hcus0Qvnijx5hO6Q==" saltValue="LoQ4AVWHJa9EskljfuDwjw==" spinCount="100000" sheet="1" objects="1" scenarios="1" formatColumns="0" formatRows="0" sort="0"/>
  <mergeCells count="28">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 ref="H14:I14"/>
    <mergeCell ref="H16:I16"/>
    <mergeCell ref="H18:I18"/>
    <mergeCell ref="H20:I20"/>
    <mergeCell ref="H22:I22"/>
    <mergeCell ref="H41:I41"/>
    <mergeCell ref="C22:D22"/>
    <mergeCell ref="C37:D37"/>
    <mergeCell ref="H24:I24"/>
    <mergeCell ref="H26:I26"/>
    <mergeCell ref="H28:I28"/>
    <mergeCell ref="H32:I32"/>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Mduvk0KBFKfa81dYcTH+PHnOPbn/UBZJEFOQvZSD23jVC3NUNGZKmcS9B3xwY3SqZchVmq121wc8x5nooYIItA==" saltValue="sUNOShb9K6no+88UV9f4TQ==" spinCount="100000" sheet="1" objects="1" scenarios="1" formatColumns="0" formatRows="0" sort="0"/>
  <conditionalFormatting sqref="B16">
    <cfRule type="expression" dxfId="29" priority="15">
      <formula>NOT(ISBLANK(B13))</formula>
    </cfRule>
  </conditionalFormatting>
  <conditionalFormatting sqref="B22">
    <cfRule type="expression" dxfId="28" priority="14">
      <formula>NOT(ISBLANK(B19))</formula>
    </cfRule>
  </conditionalFormatting>
  <conditionalFormatting sqref="B28">
    <cfRule type="expression" dxfId="27" priority="13">
      <formula>NOT(ISBLANK(B25))</formula>
    </cfRule>
  </conditionalFormatting>
  <conditionalFormatting sqref="B34">
    <cfRule type="expression" dxfId="26" priority="12">
      <formula>NOT(ISBLANK(B31))</formula>
    </cfRule>
  </conditionalFormatting>
  <conditionalFormatting sqref="B40">
    <cfRule type="expression" dxfId="25" priority="11">
      <formula>NOT(ISBLANK(B37))</formula>
    </cfRule>
  </conditionalFormatting>
  <conditionalFormatting sqref="B46">
    <cfRule type="expression" dxfId="24" priority="10">
      <formula>NOT(ISBLANK(B43))</formula>
    </cfRule>
  </conditionalFormatting>
  <conditionalFormatting sqref="B52">
    <cfRule type="expression" dxfId="23" priority="9">
      <formula>NOT(ISBLANK(B49))</formula>
    </cfRule>
  </conditionalFormatting>
  <conditionalFormatting sqref="B58">
    <cfRule type="expression" dxfId="22" priority="8">
      <formula>NOT(ISBLANK(B55))</formula>
    </cfRule>
  </conditionalFormatting>
  <conditionalFormatting sqref="B64">
    <cfRule type="expression" dxfId="21" priority="7">
      <formula>NOT(ISBLANK(B61))</formula>
    </cfRule>
  </conditionalFormatting>
  <conditionalFormatting sqref="B70">
    <cfRule type="expression" dxfId="20" priority="6">
      <formula>NOT(ISBLANK(B67))</formula>
    </cfRule>
  </conditionalFormatting>
  <conditionalFormatting sqref="B76">
    <cfRule type="expression" dxfId="19" priority="5">
      <formula>NOT(ISBLANK(B73))</formula>
    </cfRule>
  </conditionalFormatting>
  <conditionalFormatting sqref="B82">
    <cfRule type="expression" dxfId="18" priority="4">
      <formula>NOT(ISBLANK(B79))</formula>
    </cfRule>
  </conditionalFormatting>
  <conditionalFormatting sqref="B88">
    <cfRule type="expression" dxfId="17" priority="3">
      <formula>NOT(ISBLANK(B85))</formula>
    </cfRule>
  </conditionalFormatting>
  <conditionalFormatting sqref="B94">
    <cfRule type="expression" dxfId="16" priority="2">
      <formula>NOT(ISBLANK(B91))</formula>
    </cfRule>
  </conditionalFormatting>
  <conditionalFormatting sqref="B100">
    <cfRule type="expression" dxfId="15"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F13" sqref="F13"/>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424</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5</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6</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ht="21" customHeight="1" x14ac:dyDescent="0.25">
      <c r="A20" s="40"/>
      <c r="B20" s="40"/>
      <c r="C20" s="13" t="s">
        <v>377</v>
      </c>
      <c r="D20" s="13"/>
      <c r="E20" s="13"/>
    </row>
    <row r="21" spans="1:7" ht="21" hidden="1" customHeight="1" x14ac:dyDescent="0.25">
      <c r="A21" s="40"/>
      <c r="B21" s="40"/>
      <c r="C21" s="13" t="s">
        <v>288</v>
      </c>
      <c r="D21" s="13"/>
      <c r="E21" s="13"/>
    </row>
    <row r="22" spans="1:7" ht="21" customHeight="1" x14ac:dyDescent="0.25">
      <c r="A22" s="40"/>
      <c r="B22" s="40"/>
      <c r="C22" s="13" t="s">
        <v>394</v>
      </c>
      <c r="D22" s="13"/>
      <c r="E22" s="13"/>
    </row>
    <row r="23" spans="1:7" ht="21" hidden="1" customHeight="1" x14ac:dyDescent="0.25">
      <c r="A23" s="40"/>
      <c r="B23" s="40"/>
      <c r="C23" s="13" t="s">
        <v>289</v>
      </c>
      <c r="D23" s="13"/>
      <c r="E23" s="13"/>
    </row>
    <row r="24" spans="1:7" ht="21" hidden="1" customHeight="1" x14ac:dyDescent="0.25">
      <c r="A24" s="40"/>
      <c r="B24" s="40"/>
      <c r="C24" s="13" t="s">
        <v>297</v>
      </c>
      <c r="D24" s="13"/>
      <c r="E24" s="13"/>
    </row>
    <row r="25" spans="1:7" ht="21" hidden="1" customHeight="1" x14ac:dyDescent="0.25">
      <c r="A25" s="40"/>
      <c r="B25" s="40"/>
      <c r="C25" s="13" t="s">
        <v>357</v>
      </c>
      <c r="D25" s="13"/>
      <c r="E25" s="13"/>
    </row>
    <row r="26" spans="1:7" ht="21" hidden="1" customHeight="1" x14ac:dyDescent="0.25">
      <c r="A26" s="40"/>
      <c r="B26" s="40"/>
      <c r="C26" s="13" t="s">
        <v>298</v>
      </c>
      <c r="D26" s="13"/>
      <c r="E26" s="13"/>
    </row>
    <row r="27" spans="1:7" ht="21" hidden="1" customHeight="1" x14ac:dyDescent="0.25">
      <c r="A27" s="40"/>
      <c r="B27" s="40"/>
      <c r="C27" s="13" t="s">
        <v>299</v>
      </c>
      <c r="D27" s="13"/>
      <c r="E27" s="13"/>
    </row>
    <row r="28" spans="1:7" ht="21" hidden="1" customHeight="1" x14ac:dyDescent="0.25">
      <c r="A28" s="40"/>
      <c r="B28" s="40"/>
      <c r="C28" s="13" t="s">
        <v>300</v>
      </c>
      <c r="D28" s="13"/>
      <c r="E28" s="13"/>
    </row>
    <row r="29" spans="1:7" ht="21" customHeight="1" x14ac:dyDescent="0.25">
      <c r="A29" s="40"/>
      <c r="B29" s="40"/>
      <c r="C29" s="13" t="s">
        <v>405</v>
      </c>
      <c r="D29" s="13"/>
      <c r="E29" s="13"/>
    </row>
    <row r="30" spans="1:7" ht="21" hidden="1" customHeight="1" x14ac:dyDescent="0.25">
      <c r="A30" s="40"/>
      <c r="B30" s="40"/>
      <c r="C30" s="13" t="s">
        <v>76</v>
      </c>
      <c r="D30" s="13"/>
      <c r="E30" s="13"/>
    </row>
    <row r="31" spans="1:7" ht="21" customHeight="1" x14ac:dyDescent="0.25">
      <c r="A31" s="40"/>
      <c r="B31" s="40"/>
      <c r="C31" s="13" t="s">
        <v>456</v>
      </c>
      <c r="D31" s="13"/>
      <c r="E31" s="13"/>
    </row>
    <row r="32" spans="1:7" ht="21" customHeight="1" x14ac:dyDescent="0.25">
      <c r="A32" s="40"/>
      <c r="B32" s="40"/>
      <c r="C32" s="139" t="s">
        <v>493</v>
      </c>
      <c r="D32" s="13"/>
      <c r="E32" s="13"/>
    </row>
    <row r="33" spans="1:7" ht="21" hidden="1" customHeight="1" x14ac:dyDescent="0.25">
      <c r="A33" s="40"/>
      <c r="B33" s="40"/>
      <c r="C33" s="139" t="s">
        <v>494</v>
      </c>
      <c r="D33" s="13"/>
      <c r="E33" s="13"/>
    </row>
    <row r="34" spans="1:7" ht="21" customHeight="1" x14ac:dyDescent="0.25">
      <c r="A34" s="40"/>
      <c r="B34" s="40"/>
      <c r="C34" s="139" t="s">
        <v>457</v>
      </c>
      <c r="D34" s="13"/>
      <c r="E34" s="13"/>
    </row>
    <row r="35" spans="1:7" ht="21" customHeight="1" x14ac:dyDescent="0.25">
      <c r="A35" s="40"/>
      <c r="B35" s="40"/>
      <c r="C35" s="139" t="s">
        <v>291</v>
      </c>
      <c r="D35" s="139"/>
      <c r="E35" s="139"/>
      <c r="F35" s="139"/>
      <c r="G35" s="139"/>
    </row>
    <row r="36" spans="1:7" ht="21" customHeight="1" x14ac:dyDescent="0.25">
      <c r="A36" s="40"/>
      <c r="B36" s="40"/>
      <c r="C36" s="13" t="s">
        <v>283</v>
      </c>
      <c r="D36" s="13"/>
      <c r="E36" s="13"/>
    </row>
    <row r="37" spans="1:7" ht="21" hidden="1" customHeight="1" x14ac:dyDescent="0.25">
      <c r="A37" s="40"/>
      <c r="B37" s="40"/>
      <c r="C37" s="13" t="s">
        <v>284</v>
      </c>
      <c r="D37" s="13"/>
      <c r="E37" s="13"/>
    </row>
    <row r="38" spans="1:7" ht="21" hidden="1" customHeight="1" x14ac:dyDescent="0.25">
      <c r="A38" s="40"/>
      <c r="B38" s="40"/>
      <c r="C38" s="13" t="s">
        <v>285</v>
      </c>
      <c r="D38" s="13"/>
      <c r="E38" s="13"/>
    </row>
    <row r="39" spans="1:7" ht="21" hidden="1" customHeight="1" x14ac:dyDescent="0.25">
      <c r="A39" s="40"/>
      <c r="B39" s="40"/>
      <c r="C39" s="13" t="s">
        <v>286</v>
      </c>
      <c r="D39" s="13"/>
      <c r="E39" s="13"/>
    </row>
    <row r="40" spans="1:7" ht="21" hidden="1" customHeight="1" x14ac:dyDescent="0.25">
      <c r="A40" s="40"/>
      <c r="B40" s="40"/>
      <c r="C40" s="13" t="s">
        <v>385</v>
      </c>
      <c r="D40" s="13"/>
      <c r="E40" s="13"/>
    </row>
    <row r="41" spans="1:7" ht="21" hidden="1" customHeight="1" x14ac:dyDescent="0.25">
      <c r="A41" s="40"/>
      <c r="B41" s="40"/>
      <c r="C41" s="13" t="s">
        <v>287</v>
      </c>
      <c r="D41" s="13"/>
      <c r="E41" s="13"/>
    </row>
    <row r="42" spans="1:7" ht="21" hidden="1" customHeight="1" x14ac:dyDescent="0.25">
      <c r="A42" s="40"/>
      <c r="B42" s="40"/>
      <c r="C42" s="13" t="s">
        <v>386</v>
      </c>
      <c r="D42" s="13"/>
      <c r="E42" s="13"/>
    </row>
    <row r="43" spans="1:7" ht="21" hidden="1" customHeight="1" x14ac:dyDescent="0.25">
      <c r="A43" s="40"/>
      <c r="B43" s="40"/>
      <c r="C43" s="13" t="s">
        <v>387</v>
      </c>
      <c r="D43" s="13"/>
      <c r="E43" s="13"/>
    </row>
    <row r="44" spans="1:7" ht="21" hidden="1" customHeight="1" x14ac:dyDescent="0.25">
      <c r="A44" s="40"/>
      <c r="B44" s="40"/>
      <c r="C44" s="13" t="s">
        <v>293</v>
      </c>
      <c r="D44" s="13"/>
      <c r="E44" s="13"/>
    </row>
    <row r="45" spans="1:7" ht="21" hidden="1" customHeight="1" x14ac:dyDescent="0.25">
      <c r="A45" s="40"/>
      <c r="B45" s="40"/>
      <c r="C45" s="13" t="s">
        <v>294</v>
      </c>
      <c r="D45" s="13"/>
      <c r="E45" s="13"/>
    </row>
    <row r="46" spans="1:7" ht="21" hidden="1" customHeight="1" x14ac:dyDescent="0.25">
      <c r="A46" s="40"/>
      <c r="B46" s="40"/>
      <c r="C46" s="13" t="s">
        <v>295</v>
      </c>
      <c r="D46" s="13"/>
      <c r="E46" s="13"/>
    </row>
    <row r="47" spans="1:7" ht="21" hidden="1" customHeight="1" x14ac:dyDescent="0.25">
      <c r="A47" s="40"/>
      <c r="B47" s="40"/>
      <c r="C47" s="13" t="s">
        <v>402</v>
      </c>
      <c r="D47" s="13"/>
      <c r="E47" s="13"/>
    </row>
    <row r="48" spans="1:7" ht="21" hidden="1" customHeight="1" x14ac:dyDescent="0.25">
      <c r="A48" s="40"/>
      <c r="B48" s="40"/>
      <c r="C48" s="13" t="s">
        <v>328</v>
      </c>
      <c r="D48" s="13"/>
      <c r="E48" s="13"/>
    </row>
    <row r="49" spans="1:7" ht="21" hidden="1" customHeight="1" x14ac:dyDescent="0.25">
      <c r="A49" s="40"/>
      <c r="B49" s="40"/>
      <c r="C49" s="13" t="s">
        <v>320</v>
      </c>
      <c r="D49" s="13"/>
      <c r="E49" s="13"/>
    </row>
    <row r="50" spans="1:7" ht="21" hidden="1" customHeight="1" x14ac:dyDescent="0.25">
      <c r="A50" s="40"/>
      <c r="B50" s="40"/>
      <c r="C50" s="13" t="s">
        <v>321</v>
      </c>
      <c r="D50" s="13"/>
      <c r="E50" s="13"/>
    </row>
    <row r="51" spans="1:7" ht="21" hidden="1" customHeight="1" x14ac:dyDescent="0.25">
      <c r="A51" s="40"/>
      <c r="B51" s="40"/>
      <c r="C51" s="13" t="s">
        <v>322</v>
      </c>
      <c r="D51" s="13"/>
      <c r="E51" s="13"/>
    </row>
    <row r="52" spans="1:7" ht="21" hidden="1" customHeight="1" x14ac:dyDescent="0.25">
      <c r="A52" s="40"/>
      <c r="B52" s="40"/>
      <c r="C52" s="13" t="s">
        <v>323</v>
      </c>
      <c r="D52" s="13"/>
      <c r="E52" s="13"/>
    </row>
    <row r="53" spans="1:7" ht="21" customHeight="1" x14ac:dyDescent="0.25">
      <c r="A53" s="40"/>
      <c r="B53" s="40"/>
      <c r="C53" s="13" t="s">
        <v>404</v>
      </c>
      <c r="D53" s="13"/>
      <c r="E53" s="13"/>
    </row>
    <row r="54" spans="1:7" ht="21" customHeight="1" x14ac:dyDescent="0.25">
      <c r="A54" s="40"/>
      <c r="B54" s="40"/>
      <c r="C54" s="13" t="s">
        <v>324</v>
      </c>
      <c r="D54" s="13"/>
      <c r="E54" s="13"/>
    </row>
    <row r="55" spans="1:7" ht="21" hidden="1" customHeight="1" x14ac:dyDescent="0.25">
      <c r="A55" s="40"/>
      <c r="B55" s="40"/>
      <c r="C55" s="13" t="s">
        <v>333</v>
      </c>
      <c r="D55" s="13"/>
      <c r="E55" s="13"/>
    </row>
    <row r="56" spans="1:7" ht="21" hidden="1" customHeight="1" x14ac:dyDescent="0.25">
      <c r="A56" s="40"/>
      <c r="B56" s="40"/>
      <c r="C56" s="13" t="s">
        <v>332</v>
      </c>
      <c r="D56" s="13"/>
      <c r="E56" s="13"/>
    </row>
    <row r="57" spans="1:7" ht="21" customHeight="1" x14ac:dyDescent="0.25">
      <c r="A57" s="40"/>
      <c r="B57" s="40"/>
      <c r="C57" s="139" t="s">
        <v>77</v>
      </c>
      <c r="D57" s="139"/>
      <c r="E57" s="139"/>
    </row>
    <row r="58" spans="1:7" ht="21" hidden="1" customHeight="1" x14ac:dyDescent="0.25">
      <c r="A58" s="40"/>
      <c r="B58" s="40"/>
      <c r="C58" s="139" t="s">
        <v>388</v>
      </c>
      <c r="D58" s="139"/>
      <c r="E58" s="139"/>
    </row>
    <row r="59" spans="1:7" ht="21" hidden="1" customHeight="1" x14ac:dyDescent="0.25">
      <c r="A59" s="40"/>
      <c r="B59" s="40"/>
      <c r="C59" s="139" t="s">
        <v>389</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301</v>
      </c>
      <c r="D62" s="139"/>
      <c r="E62" s="139"/>
    </row>
    <row r="63" spans="1:7" ht="21" hidden="1" customHeight="1" x14ac:dyDescent="0.25">
      <c r="A63" s="40"/>
      <c r="B63" s="40"/>
      <c r="C63" s="139" t="s">
        <v>329</v>
      </c>
      <c r="D63" s="139"/>
      <c r="E63" s="139"/>
    </row>
    <row r="64" spans="1:7" ht="21" hidden="1" customHeight="1" x14ac:dyDescent="0.25">
      <c r="A64" s="329" t="s">
        <v>391</v>
      </c>
      <c r="B64" s="40"/>
      <c r="D64" s="327"/>
      <c r="E64" s="327"/>
      <c r="F64" s="328"/>
      <c r="G64" s="328"/>
    </row>
    <row r="65" spans="1:7" ht="17.25" hidden="1"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1xUiG0gZHfil9A0N6+Q1YPQ1kHKKJ73Nci3XgJbt30tCxmnIBiuy5IsDT2vRfpvW9DKm1DG89L/2PMWYZzjzjA==" saltValue="qJJLhsKRtd+k8kPHdlFtEQ=="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094" r:id="rId16" name="Check Box 1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095" r:id="rId17" name="Check Box 1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096" r:id="rId18" name="Check Box 1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097" r:id="rId19" name="Check Box 1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098" r:id="rId20" name="Check Box 1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EPSRCngmKLqYUhG82Nw2KaAURU+TUZ5zlDfmYgiGqokJgkSkE5SWAIMSmQK6RDN5Ww0ZRD6KwZuDXFIUizhKNg==" saltValue="rufVGjETJH5tYIWKCte3Kw=="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IxD4Smn/aCKpWZpVaUELHlSABLFOTQIE6rNJTafALd0Uv1YtlX+fP2fGHbQk8zZKABaITxrVPQ+V7ZZmDJs+kQ==" saltValue="QGVZzd5tpP4h1Ftyg6Pg2g=="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yZ9zVBrLzeu7DcrANqSfnCJVCp4gwGSSl/czCoNoj/L5GgLx1/IRuNZcp1e+XEJauQIc2rIX7bfMBjqwbsK4hw==" saltValue="iR8Zr0vKR3jZxrIIiEy1qw==" spinCount="100000" sheet="1" objects="1" scenarios="1" formatColumns="0" formatRows="0" sort="0"/>
  <mergeCells count="30">
    <mergeCell ref="B199:C199"/>
    <mergeCell ref="B206:C206"/>
    <mergeCell ref="B213:C213"/>
    <mergeCell ref="B220:C220"/>
    <mergeCell ref="B227:C227"/>
    <mergeCell ref="B164:C164"/>
    <mergeCell ref="B171:C171"/>
    <mergeCell ref="B178:C178"/>
    <mergeCell ref="B185:C185"/>
    <mergeCell ref="B192:C192"/>
    <mergeCell ref="B129:C129"/>
    <mergeCell ref="B136:C136"/>
    <mergeCell ref="B143:C143"/>
    <mergeCell ref="B150:C150"/>
    <mergeCell ref="B157:C157"/>
    <mergeCell ref="B94:C94"/>
    <mergeCell ref="B101:C101"/>
    <mergeCell ref="B108:C108"/>
    <mergeCell ref="B115:C115"/>
    <mergeCell ref="B122:C122"/>
    <mergeCell ref="B52:C52"/>
    <mergeCell ref="B24:C24"/>
    <mergeCell ref="B31:C31"/>
    <mergeCell ref="B38:C38"/>
    <mergeCell ref="B45:C45"/>
    <mergeCell ref="B59:C59"/>
    <mergeCell ref="B66:C66"/>
    <mergeCell ref="B73:C73"/>
    <mergeCell ref="B80:C80"/>
    <mergeCell ref="B87:C87"/>
  </mergeCells>
  <printOptions horizontalCentered="1"/>
  <pageMargins left="0.45" right="0.45" top="0.5" bottom="0.5" header="0.3" footer="0.05"/>
  <pageSetup scale="73"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6QdnFnmBjiV8bzoP+kUbkn+w2NPMvoreTUJRMpUlUKLEBSLYCIzc8RJ3wKkiHo59U/tzYbAeBftZsRB2bBFFaQ==" saltValue="ftTQkeSqygUVqBaAS+XMfA=="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279</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TtT1+GW1akB6B8tJDuXuf8g7Li4sN2WvPR2cL/aPxbHby9eIOmHvGDJQpIdX7M0DOjqjfBYSbInBwXGMBt6VSA==" saltValue="LY05hw/oDBOrQGtKuomc3Q=="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31" t="s">
        <v>462</v>
      </c>
      <c r="C21" s="532"/>
      <c r="D21" s="539"/>
      <c r="E21" s="539"/>
      <c r="F21" s="539"/>
      <c r="G21" s="539"/>
      <c r="H21" s="539"/>
      <c r="I21" s="539"/>
      <c r="J21" s="539"/>
      <c r="K21" s="539"/>
      <c r="L21" s="540"/>
      <c r="M21" s="501" t="str">
        <f>IF(LEN(TRIM(CLEAN(D21)))=0,"←ERROR! Detailed explanation was not provided.","")</f>
        <v>←ERROR! Detailed explanation was not provided.</v>
      </c>
      <c r="N21" s="55"/>
      <c r="O21" s="55"/>
    </row>
    <row r="22" spans="1:15" ht="105" hidden="1" customHeight="1" x14ac:dyDescent="0.25">
      <c r="A22" s="404"/>
      <c r="B22" s="531" t="s">
        <v>460</v>
      </c>
      <c r="C22" s="532"/>
      <c r="D22" s="533"/>
      <c r="E22" s="533"/>
      <c r="F22" s="533"/>
      <c r="G22" s="533"/>
      <c r="H22" s="533"/>
      <c r="I22" s="533"/>
      <c r="J22" s="533"/>
      <c r="K22" s="533"/>
      <c r="L22" s="534"/>
      <c r="N22" s="55"/>
      <c r="O22" s="55"/>
    </row>
    <row r="23" spans="1:15" ht="45.95" hidden="1" customHeight="1" x14ac:dyDescent="0.25">
      <c r="A23" s="397"/>
      <c r="B23" s="531" t="s">
        <v>461</v>
      </c>
      <c r="C23" s="532"/>
      <c r="D23" s="533"/>
      <c r="E23" s="533"/>
      <c r="F23" s="533"/>
      <c r="G23" s="533"/>
      <c r="H23" s="533"/>
      <c r="I23" s="533"/>
      <c r="J23" s="533"/>
      <c r="K23" s="533"/>
      <c r="L23" s="534"/>
      <c r="N23" s="55"/>
      <c r="O23" s="55"/>
    </row>
    <row r="24" spans="1:15" ht="45.95" hidden="1" customHeight="1" x14ac:dyDescent="0.25">
      <c r="A24" s="397"/>
      <c r="B24" s="531" t="s">
        <v>488</v>
      </c>
      <c r="C24" s="532"/>
      <c r="D24" s="533"/>
      <c r="E24" s="533"/>
      <c r="F24" s="533"/>
      <c r="G24" s="533"/>
      <c r="H24" s="533"/>
      <c r="I24" s="533"/>
      <c r="J24" s="533"/>
      <c r="K24" s="533"/>
      <c r="L24" s="534"/>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45"/>
      <c r="C25" s="545"/>
      <c r="D25" s="538"/>
      <c r="E25" s="538"/>
      <c r="F25" s="538"/>
      <c r="G25" s="538"/>
      <c r="H25" s="538"/>
      <c r="I25" s="538"/>
      <c r="J25" s="538"/>
      <c r="K25" s="538"/>
      <c r="L25" s="538"/>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46" t="s">
        <v>462</v>
      </c>
      <c r="C28" s="547"/>
      <c r="D28" s="541"/>
      <c r="E28" s="542"/>
      <c r="F28" s="542"/>
      <c r="G28" s="542"/>
      <c r="H28" s="542"/>
      <c r="I28" s="542"/>
      <c r="J28" s="542"/>
      <c r="K28" s="542"/>
      <c r="L28" s="543"/>
      <c r="M28" s="501" t="str">
        <f>IF(LEN(TRIM(CLEAN(D28)))=0,"←ERROR! Detailed explanation was not provided.","")</f>
        <v>←ERROR! Detailed explanation was not provided.</v>
      </c>
      <c r="N28" s="55"/>
      <c r="O28" s="55"/>
    </row>
    <row r="29" spans="1:15" ht="105" hidden="1" customHeight="1" x14ac:dyDescent="0.25">
      <c r="A29" s="405"/>
      <c r="B29" s="528" t="s">
        <v>460</v>
      </c>
      <c r="C29" s="529"/>
      <c r="D29" s="541"/>
      <c r="E29" s="542"/>
      <c r="F29" s="542"/>
      <c r="G29" s="542"/>
      <c r="H29" s="542"/>
      <c r="I29" s="542"/>
      <c r="J29" s="542"/>
      <c r="K29" s="542"/>
      <c r="L29" s="543"/>
      <c r="N29" s="55"/>
      <c r="O29" s="55"/>
    </row>
    <row r="30" spans="1:15" ht="45.95" hidden="1" customHeight="1" x14ac:dyDescent="0.25">
      <c r="A30" s="398"/>
      <c r="B30" s="528" t="s">
        <v>461</v>
      </c>
      <c r="C30" s="529"/>
      <c r="D30" s="541"/>
      <c r="E30" s="542"/>
      <c r="F30" s="542"/>
      <c r="G30" s="542"/>
      <c r="H30" s="542"/>
      <c r="I30" s="542"/>
      <c r="J30" s="542"/>
      <c r="K30" s="542"/>
      <c r="L30" s="543"/>
      <c r="N30" s="55"/>
      <c r="O30" s="55"/>
    </row>
    <row r="31" spans="1:15" ht="45.95" hidden="1" customHeight="1" x14ac:dyDescent="0.25">
      <c r="A31" s="398"/>
      <c r="B31" s="528" t="s">
        <v>488</v>
      </c>
      <c r="C31" s="529"/>
      <c r="D31" s="541"/>
      <c r="E31" s="542"/>
      <c r="F31" s="542"/>
      <c r="G31" s="542"/>
      <c r="H31" s="542"/>
      <c r="I31" s="542"/>
      <c r="J31" s="542"/>
      <c r="K31" s="542"/>
      <c r="L31" s="543"/>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30"/>
      <c r="C32" s="530"/>
      <c r="D32" s="544"/>
      <c r="E32" s="544"/>
      <c r="F32" s="544"/>
      <c r="G32" s="544"/>
      <c r="H32" s="544"/>
      <c r="I32" s="544"/>
      <c r="J32" s="544"/>
      <c r="K32" s="544"/>
      <c r="L32" s="544"/>
      <c r="N32" s="55"/>
      <c r="O32" s="55"/>
    </row>
    <row r="33" spans="1:15" x14ac:dyDescent="0.25">
      <c r="A33" s="463">
        <f>A19-1</f>
        <v>-1</v>
      </c>
      <c r="B33" s="476" t="s">
        <v>196</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36" t="s">
        <v>462</v>
      </c>
      <c r="C35" s="537"/>
      <c r="D35" s="533"/>
      <c r="E35" s="533"/>
      <c r="F35" s="533"/>
      <c r="G35" s="533"/>
      <c r="H35" s="533"/>
      <c r="I35" s="533"/>
      <c r="J35" s="533"/>
      <c r="K35" s="533"/>
      <c r="L35" s="534"/>
      <c r="M35" s="501" t="str">
        <f>IF(LEN(TRIM(CLEAN(D35)))=0,"←ERROR! Detailed explanation was not provided.","")</f>
        <v>←ERROR! Detailed explanation was not provided.</v>
      </c>
      <c r="N35" s="55"/>
      <c r="O35" s="55"/>
    </row>
    <row r="36" spans="1:15" ht="105" customHeight="1" x14ac:dyDescent="0.25">
      <c r="A36" s="404"/>
      <c r="B36" s="536" t="s">
        <v>460</v>
      </c>
      <c r="C36" s="537"/>
      <c r="D36" s="533"/>
      <c r="E36" s="533"/>
      <c r="F36" s="533"/>
      <c r="G36" s="533"/>
      <c r="H36" s="533"/>
      <c r="I36" s="533"/>
      <c r="J36" s="533"/>
      <c r="K36" s="533"/>
      <c r="L36" s="534"/>
      <c r="N36" s="55"/>
      <c r="O36" s="55"/>
    </row>
    <row r="37" spans="1:15" ht="45.95" customHeight="1" x14ac:dyDescent="0.25">
      <c r="A37" s="397"/>
      <c r="B37" s="536" t="s">
        <v>461</v>
      </c>
      <c r="C37" s="537"/>
      <c r="D37" s="533"/>
      <c r="E37" s="533"/>
      <c r="F37" s="533"/>
      <c r="G37" s="533"/>
      <c r="H37" s="533"/>
      <c r="I37" s="533"/>
      <c r="J37" s="533"/>
      <c r="K37" s="533"/>
      <c r="L37" s="534"/>
      <c r="N37" s="55"/>
      <c r="O37" s="55"/>
    </row>
    <row r="38" spans="1:15" ht="45.95" customHeight="1" x14ac:dyDescent="0.25">
      <c r="A38" s="397"/>
      <c r="B38" s="536" t="s">
        <v>488</v>
      </c>
      <c r="C38" s="537"/>
      <c r="D38" s="533"/>
      <c r="E38" s="533"/>
      <c r="F38" s="533"/>
      <c r="G38" s="533"/>
      <c r="H38" s="533"/>
      <c r="I38" s="533"/>
      <c r="J38" s="533"/>
      <c r="K38" s="533"/>
      <c r="L38" s="534"/>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35"/>
      <c r="C39" s="535"/>
      <c r="D39" s="538"/>
      <c r="E39" s="538"/>
      <c r="F39" s="538"/>
      <c r="G39" s="538"/>
      <c r="H39" s="538"/>
      <c r="I39" s="538"/>
      <c r="J39" s="538"/>
      <c r="K39" s="538"/>
      <c r="L39" s="538"/>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67" t="s">
        <v>462</v>
      </c>
      <c r="C42" s="568"/>
      <c r="D42" s="564"/>
      <c r="E42" s="564"/>
      <c r="F42" s="564"/>
      <c r="G42" s="564"/>
      <c r="H42" s="564"/>
      <c r="I42" s="564"/>
      <c r="J42" s="564"/>
      <c r="K42" s="564"/>
      <c r="L42" s="565"/>
      <c r="M42" s="501" t="str">
        <f>IF(LEN(TRIM(CLEAN(D42)))=0,"←ERROR! Detailed explanation was not provided.","")</f>
        <v>←ERROR! Detailed explanation was not provided.</v>
      </c>
      <c r="N42" s="55"/>
      <c r="O42" s="55"/>
    </row>
    <row r="43" spans="1:15" ht="120" customHeight="1" x14ac:dyDescent="0.25">
      <c r="A43" s="405"/>
      <c r="B43" s="567" t="s">
        <v>460</v>
      </c>
      <c r="C43" s="568"/>
      <c r="D43" s="564"/>
      <c r="E43" s="564"/>
      <c r="F43" s="564"/>
      <c r="G43" s="564"/>
      <c r="H43" s="564"/>
      <c r="I43" s="564"/>
      <c r="J43" s="564"/>
      <c r="K43" s="564"/>
      <c r="L43" s="565"/>
      <c r="N43" s="55"/>
      <c r="O43" s="55"/>
    </row>
    <row r="44" spans="1:15" ht="45.95" customHeight="1" x14ac:dyDescent="0.25">
      <c r="A44" s="398"/>
      <c r="B44" s="567" t="s">
        <v>461</v>
      </c>
      <c r="C44" s="568"/>
      <c r="D44" s="564"/>
      <c r="E44" s="564"/>
      <c r="F44" s="564"/>
      <c r="G44" s="564"/>
      <c r="H44" s="564"/>
      <c r="I44" s="564"/>
      <c r="J44" s="564"/>
      <c r="K44" s="564"/>
      <c r="L44" s="565"/>
      <c r="N44" s="55"/>
      <c r="O44" s="55"/>
    </row>
    <row r="45" spans="1:15" ht="60.95" customHeight="1" x14ac:dyDescent="0.25">
      <c r="A45" s="398"/>
      <c r="B45" s="567" t="s">
        <v>488</v>
      </c>
      <c r="C45" s="568"/>
      <c r="D45" s="564"/>
      <c r="E45" s="564"/>
      <c r="F45" s="564"/>
      <c r="G45" s="564"/>
      <c r="H45" s="564"/>
      <c r="I45" s="564"/>
      <c r="J45" s="564"/>
      <c r="K45" s="564"/>
      <c r="L45" s="565"/>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69"/>
      <c r="C46" s="570"/>
      <c r="D46" s="566"/>
      <c r="E46" s="566"/>
      <c r="F46" s="566"/>
      <c r="G46" s="566"/>
      <c r="H46" s="566"/>
      <c r="I46" s="566"/>
      <c r="J46" s="566"/>
      <c r="K46" s="566"/>
      <c r="L46" s="566"/>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36" t="s">
        <v>462</v>
      </c>
      <c r="C49" s="537"/>
      <c r="D49" s="533"/>
      <c r="E49" s="533"/>
      <c r="F49" s="533"/>
      <c r="G49" s="533"/>
      <c r="H49" s="533"/>
      <c r="I49" s="533"/>
      <c r="J49" s="533"/>
      <c r="K49" s="533"/>
      <c r="L49" s="534"/>
      <c r="M49" s="501" t="str">
        <f>IF(LEN(TRIM(CLEAN(D49)))=0,"←ERROR! Detailed explanation was not provided.","")</f>
        <v>←ERROR! Detailed explanation was not provided.</v>
      </c>
      <c r="N49" s="55"/>
      <c r="O49" s="55"/>
    </row>
    <row r="50" spans="1:15" ht="120" customHeight="1" x14ac:dyDescent="0.25">
      <c r="A50" s="404"/>
      <c r="B50" s="536" t="s">
        <v>460</v>
      </c>
      <c r="C50" s="537"/>
      <c r="D50" s="533"/>
      <c r="E50" s="533"/>
      <c r="F50" s="533"/>
      <c r="G50" s="533"/>
      <c r="H50" s="533"/>
      <c r="I50" s="533"/>
      <c r="J50" s="533"/>
      <c r="K50" s="533"/>
      <c r="L50" s="534"/>
      <c r="N50" s="55"/>
      <c r="O50" s="55"/>
    </row>
    <row r="51" spans="1:15" ht="45.95" customHeight="1" x14ac:dyDescent="0.25">
      <c r="A51" s="397"/>
      <c r="B51" s="536" t="s">
        <v>461</v>
      </c>
      <c r="C51" s="537"/>
      <c r="D51" s="533"/>
      <c r="E51" s="533"/>
      <c r="F51" s="533"/>
      <c r="G51" s="533"/>
      <c r="H51" s="533"/>
      <c r="I51" s="533"/>
      <c r="J51" s="533"/>
      <c r="K51" s="533"/>
      <c r="L51" s="534"/>
      <c r="N51" s="55"/>
      <c r="O51" s="55"/>
    </row>
    <row r="52" spans="1:15" ht="60.95" customHeight="1" x14ac:dyDescent="0.25">
      <c r="A52" s="397"/>
      <c r="B52" s="536" t="s">
        <v>488</v>
      </c>
      <c r="C52" s="537"/>
      <c r="D52" s="533"/>
      <c r="E52" s="533"/>
      <c r="F52" s="533"/>
      <c r="G52" s="533"/>
      <c r="H52" s="533"/>
      <c r="I52" s="533"/>
      <c r="J52" s="533"/>
      <c r="K52" s="533"/>
      <c r="L52" s="534"/>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58"/>
      <c r="C53" s="559"/>
      <c r="D53" s="557"/>
      <c r="E53" s="557"/>
      <c r="F53" s="557"/>
      <c r="G53" s="557"/>
      <c r="H53" s="557"/>
      <c r="I53" s="557"/>
      <c r="J53" s="557"/>
      <c r="K53" s="557"/>
      <c r="L53" s="557"/>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60" t="s">
        <v>462</v>
      </c>
      <c r="C56" s="561"/>
      <c r="D56" s="564"/>
      <c r="E56" s="564"/>
      <c r="F56" s="564"/>
      <c r="G56" s="564"/>
      <c r="H56" s="564"/>
      <c r="I56" s="564"/>
      <c r="J56" s="564"/>
      <c r="K56" s="564"/>
      <c r="L56" s="565"/>
      <c r="M56" s="501" t="str">
        <f>IF(LEN(TRIM(CLEAN(D56)))=0,"←ERROR! Detailed explanation was not provided.","")</f>
        <v>←ERROR! Detailed explanation was not provided.</v>
      </c>
      <c r="N56" s="55"/>
      <c r="O56" s="55"/>
    </row>
    <row r="57" spans="1:15" ht="120" customHeight="1" x14ac:dyDescent="0.25">
      <c r="A57" s="405"/>
      <c r="B57" s="560" t="s">
        <v>460</v>
      </c>
      <c r="C57" s="561"/>
      <c r="D57" s="564"/>
      <c r="E57" s="564"/>
      <c r="F57" s="564"/>
      <c r="G57" s="564"/>
      <c r="H57" s="564"/>
      <c r="I57" s="564"/>
      <c r="J57" s="564"/>
      <c r="K57" s="564"/>
      <c r="L57" s="565"/>
      <c r="N57" s="55"/>
      <c r="O57" s="55"/>
    </row>
    <row r="58" spans="1:15" ht="45.95" customHeight="1" x14ac:dyDescent="0.25">
      <c r="A58" s="398"/>
      <c r="B58" s="560" t="s">
        <v>461</v>
      </c>
      <c r="C58" s="561"/>
      <c r="D58" s="564"/>
      <c r="E58" s="564"/>
      <c r="F58" s="564"/>
      <c r="G58" s="564"/>
      <c r="H58" s="564"/>
      <c r="I58" s="564"/>
      <c r="J58" s="564"/>
      <c r="K58" s="564"/>
      <c r="L58" s="565"/>
      <c r="N58" s="55"/>
      <c r="O58" s="55"/>
    </row>
    <row r="59" spans="1:15" ht="60.95" customHeight="1" x14ac:dyDescent="0.25">
      <c r="A59" s="398"/>
      <c r="B59" s="560" t="s">
        <v>488</v>
      </c>
      <c r="C59" s="561"/>
      <c r="D59" s="564"/>
      <c r="E59" s="564"/>
      <c r="F59" s="564"/>
      <c r="G59" s="564"/>
      <c r="H59" s="564"/>
      <c r="I59" s="564"/>
      <c r="J59" s="564"/>
      <c r="K59" s="564"/>
      <c r="L59" s="565"/>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62"/>
      <c r="C60" s="563"/>
      <c r="D60" s="544"/>
      <c r="E60" s="544"/>
      <c r="F60" s="544"/>
      <c r="G60" s="544"/>
      <c r="H60" s="544"/>
      <c r="I60" s="544"/>
      <c r="J60" s="544"/>
      <c r="K60" s="544"/>
      <c r="L60" s="544"/>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48"/>
      <c r="C68" s="549"/>
      <c r="D68" s="549"/>
      <c r="E68" s="549"/>
      <c r="F68" s="549"/>
      <c r="G68" s="549"/>
      <c r="H68" s="549"/>
      <c r="I68" s="549"/>
      <c r="J68" s="549"/>
      <c r="K68" s="549"/>
      <c r="L68" s="550"/>
    </row>
    <row r="69" spans="2:12" x14ac:dyDescent="0.25">
      <c r="B69" s="551"/>
      <c r="C69" s="552"/>
      <c r="D69" s="552"/>
      <c r="E69" s="552"/>
      <c r="F69" s="552"/>
      <c r="G69" s="552"/>
      <c r="H69" s="552"/>
      <c r="I69" s="552"/>
      <c r="J69" s="552"/>
      <c r="K69" s="552"/>
      <c r="L69" s="553"/>
    </row>
    <row r="70" spans="2:12" x14ac:dyDescent="0.25">
      <c r="B70" s="551"/>
      <c r="C70" s="552"/>
      <c r="D70" s="552"/>
      <c r="E70" s="552"/>
      <c r="F70" s="552"/>
      <c r="G70" s="552"/>
      <c r="H70" s="552"/>
      <c r="I70" s="552"/>
      <c r="J70" s="552"/>
      <c r="K70" s="552"/>
      <c r="L70" s="553"/>
    </row>
    <row r="71" spans="2:12" x14ac:dyDescent="0.25">
      <c r="B71" s="551"/>
      <c r="C71" s="552"/>
      <c r="D71" s="552"/>
      <c r="E71" s="552"/>
      <c r="F71" s="552"/>
      <c r="G71" s="552"/>
      <c r="H71" s="552"/>
      <c r="I71" s="552"/>
      <c r="J71" s="552"/>
      <c r="K71" s="552"/>
      <c r="L71" s="553"/>
    </row>
    <row r="72" spans="2:12" x14ac:dyDescent="0.25">
      <c r="B72" s="551"/>
      <c r="C72" s="552"/>
      <c r="D72" s="552"/>
      <c r="E72" s="552"/>
      <c r="F72" s="552"/>
      <c r="G72" s="552"/>
      <c r="H72" s="552"/>
      <c r="I72" s="552"/>
      <c r="J72" s="552"/>
      <c r="K72" s="552"/>
      <c r="L72" s="553"/>
    </row>
    <row r="73" spans="2:12" x14ac:dyDescent="0.25">
      <c r="B73" s="551"/>
      <c r="C73" s="552"/>
      <c r="D73" s="552"/>
      <c r="E73" s="552"/>
      <c r="F73" s="552"/>
      <c r="G73" s="552"/>
      <c r="H73" s="552"/>
      <c r="I73" s="552"/>
      <c r="J73" s="552"/>
      <c r="K73" s="552"/>
      <c r="L73" s="553"/>
    </row>
    <row r="74" spans="2:12" x14ac:dyDescent="0.25">
      <c r="B74" s="551"/>
      <c r="C74" s="552"/>
      <c r="D74" s="552"/>
      <c r="E74" s="552"/>
      <c r="F74" s="552"/>
      <c r="G74" s="552"/>
      <c r="H74" s="552"/>
      <c r="I74" s="552"/>
      <c r="J74" s="552"/>
      <c r="K74" s="552"/>
      <c r="L74" s="553"/>
    </row>
    <row r="75" spans="2:12" x14ac:dyDescent="0.25">
      <c r="B75" s="551"/>
      <c r="C75" s="552"/>
      <c r="D75" s="552"/>
      <c r="E75" s="552"/>
      <c r="F75" s="552"/>
      <c r="G75" s="552"/>
      <c r="H75" s="552"/>
      <c r="I75" s="552"/>
      <c r="J75" s="552"/>
      <c r="K75" s="552"/>
      <c r="L75" s="553"/>
    </row>
    <row r="76" spans="2:12" ht="15.75" thickBot="1" x14ac:dyDescent="0.3">
      <c r="B76" s="554"/>
      <c r="C76" s="555"/>
      <c r="D76" s="555"/>
      <c r="E76" s="555"/>
      <c r="F76" s="555"/>
      <c r="G76" s="555"/>
      <c r="H76" s="555"/>
      <c r="I76" s="555"/>
      <c r="J76" s="555"/>
      <c r="K76" s="555"/>
      <c r="L76" s="556"/>
    </row>
  </sheetData>
  <sheetProtection algorithmName="SHA-512" hashValue="vR+Eq+fggEyxU8ZZPdAy7RY3r8llr+5oxN6Cpo/lhTIe/C6cxxkL2JNJyvpokF7jUrOXV/+yQvWwjxXMArGfpg==" saltValue="Pd3LiWgcXXxcLz3bOZl4fQ==" spinCount="100000" sheet="1" objects="1" scenarios="1" formatColumns="0" formatRows="0" sort="0"/>
  <mergeCells count="61">
    <mergeCell ref="B49:C49"/>
    <mergeCell ref="B50:C50"/>
    <mergeCell ref="B51:C51"/>
    <mergeCell ref="B52:C52"/>
    <mergeCell ref="D49:L49"/>
    <mergeCell ref="D50:L50"/>
    <mergeCell ref="D51:L51"/>
    <mergeCell ref="D52:L52"/>
    <mergeCell ref="D45:L45"/>
    <mergeCell ref="D46:L46"/>
    <mergeCell ref="B42:C42"/>
    <mergeCell ref="B43:C43"/>
    <mergeCell ref="B44:C44"/>
    <mergeCell ref="B45:C45"/>
    <mergeCell ref="B46:C46"/>
    <mergeCell ref="D42:L42"/>
    <mergeCell ref="D43:L43"/>
    <mergeCell ref="D44:L44"/>
    <mergeCell ref="B68:L76"/>
    <mergeCell ref="D53:L53"/>
    <mergeCell ref="B53:C53"/>
    <mergeCell ref="B56:C56"/>
    <mergeCell ref="B57:C57"/>
    <mergeCell ref="B58:C58"/>
    <mergeCell ref="B59:C59"/>
    <mergeCell ref="D60:L60"/>
    <mergeCell ref="B60:C60"/>
    <mergeCell ref="D59:L59"/>
    <mergeCell ref="D58:L58"/>
    <mergeCell ref="D57:L57"/>
    <mergeCell ref="D56:L56"/>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D35:L35"/>
    <mergeCell ref="D36:L36"/>
    <mergeCell ref="D37:L37"/>
    <mergeCell ref="B39:C39"/>
    <mergeCell ref="B38:C38"/>
    <mergeCell ref="B35:C35"/>
    <mergeCell ref="B36:C36"/>
    <mergeCell ref="D38:L38"/>
    <mergeCell ref="D39:L39"/>
    <mergeCell ref="B30:C30"/>
    <mergeCell ref="B31:C31"/>
    <mergeCell ref="B32:C32"/>
    <mergeCell ref="B21:C21"/>
    <mergeCell ref="B22:C2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21" zoomScaleNormal="100" zoomScaleSheetLayoutView="100" workbookViewId="0"/>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6nEauQobiO1D6FUhDkSxkIkF4wvdYDsBnYgtHvr9zxGpNSLJ7o37AZFjeaET28W+eNr6duyLiUcAW09FFPsj6A==" saltValue="xydenZxQzklZwGUdv+fIrw=="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h6Lq9Dom3L+f3u9K/k89KfDAsTFZQVBh/usKCDoXmuoqxpkRcBS70VQxP9iAb4P6qf+Xh9I20H0YeLMjcoxXAA==" saltValue="MYZSA7fCZcG6mchH6ozVHw==" spinCount="100000" sheet="1" objects="1" scenarios="1" formatColumns="0" formatRows="0" sort="0"/>
  <mergeCells count="10">
    <mergeCell ref="A18:G19"/>
    <mergeCell ref="A21:G22"/>
    <mergeCell ref="A24:G25"/>
    <mergeCell ref="A27:G28"/>
    <mergeCell ref="A30:G31"/>
    <mergeCell ref="A33:G34"/>
    <mergeCell ref="A36:G37"/>
    <mergeCell ref="A39:G40"/>
    <mergeCell ref="A42:G43"/>
    <mergeCell ref="A45:G46"/>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13" t="s">
        <v>538</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541</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m/yXHGG6W13ACp1shYTlgj3OX4Anqc6l2ex+JoQLy4uDOD/ZPaAP2ncRpt7pOpW2COXB2c9hNrtUj37/ccCNg==" saltValue="gRPsqgDjLuUJviufiKtio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I21" sqref="I21"/>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13" t="s">
        <v>543</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UgMibBb147IocUhq4ZEXTyg7UlV/wasi9AIneAPZqgPGI5Q1B8NIRCZt537gcoTt9gTiJnn9l5IJYIaqD/ziIA==" saltValue="ttKQVM/FPYocZepFXHPz3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E6" sqref="E6:J6"/>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13" t="s">
        <v>545</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546</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WOWWPKzjOROtstOvDy6Cw7+ATLRZt4wT7Fl22qoX1bo6kdM2lKt25eKO3/ZNeTeKuk5B/FjFXqhrmHZD/5HTjQ==" saltValue="dMS4Q5acXUM0A27sfqzps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topLeftCell="A17"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547</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541</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1jaigx4OeSTShK4WotLbEaaxSX2caX/shI5KNm9EejdPnYNhRMvL8in+o9QGbIDeoRT0mgUTya/VkH7i7HxFLg==" saltValue="KxmyXxyURHM6PrrMHadrJ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N29" sqref="N29:O29"/>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548</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549</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QgFCV+getmYVG4M2M4LXHAcfEP29CZt8UWH8kAtF85RhPXEw5pasjQP4PX+2n6LygmHwBv2cqSmJhCY30AeOtA==" saltValue="ya37mi5gvLxRNSJsdsOM7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topLeftCell="A4" zoomScaleNormal="115" zoomScaleSheetLayoutView="100" workbookViewId="0">
      <selection activeCell="E6" sqref="E6:J6"/>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550</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546</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4MkZ4iaXxY8IzWoB/ZDpciXIkptgWTQmO73u0T2Eby3rek98k/rx/EK4toEAo7beLffnTTyDqc1EUsRw5CnYQA==" saltValue="97ICh0mNwCSN/iedJ1VBE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topLeftCell="A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551</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NTRqQV0HexaQoZXmjbYketv9tiWsjk0DYmaBMPtmtqF7LyrgNu/jFvOf3BmCdphZu4kA0bjqloosT/7w7OECjA==" saltValue="Cp7FgLGESOqgauTD/Wegf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552</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546</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N5Dw19yeKwkBVSULjIpIZZW1YHXv3njZwA8ZZ2IKQNR4KbiQBCIg4HtxyVDhH+ahm3CqkIImZQLCYXHJCK5ATg==" saltValue="h0EZzyGbsODyCf9X4pU/x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553</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554</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TjeeX/aIWg+gVgsvKlClMQcO9wc9A52Ru1/7XqOrXtqJFw9UwQEyoIVjIkWkJ6csrfPeiLlyyRPUAOPna9G+Gw==" saltValue="mXb7mt0sz10DhnzHi9UiB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topLeftCell="A4"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563</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555</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MKZP6MopX+8XLRxXL52yvKo4EdozScjEMobwHVjDJBaRVpjp/+OcwLVLDhqyln7yHH7wHqhJbKWbkBrXe9HIQ==" saltValue="rKOZrfzhaptmmSGU7/Kym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48666-291C-41D9-804A-1F98820A344E}">
  <sheetPr codeName="Sheet24">
    <tabColor rgb="FF0000FF"/>
  </sheetPr>
  <dimension ref="A1:P48"/>
  <sheetViews>
    <sheetView showGridLines="0" view="pageBreakPreview" topLeftCell="A11"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564</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546</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A7mCANMLVVZ84AvE1ozGK5mm8ut6mQHrztKswHMxTyi5jBjdQPsyE5dXyISaeXpDXzAeTsvUv3V3Vo2WYVk51A==" saltValue="Og+xW/rhHzPDu84mx/UYG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46225-2B28-4F40-AABB-5FBB3D868B2D}">
  <sheetPr codeName="Sheet26">
    <tabColor rgb="FF0000FF"/>
  </sheetPr>
  <dimension ref="A1:P48"/>
  <sheetViews>
    <sheetView showGridLines="0" view="pageBreakPreview" zoomScaleNormal="115" zoomScaleSheetLayoutView="100" workbookViewId="0">
      <selection activeCell="O10" sqref="O10"/>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565</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554</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k0CY5c9gJ/kQWupG/3qvndroKTC0RNwcARLY+jkIhMQDZH86sPsRAy7ZPipcbOAgTeKxohN4Bf8kCnM2EgxpxA==" saltValue="KkY8OymMJAPwdt0NZuqvp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9682"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9683"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9684"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968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968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968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968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968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969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9691"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9692"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969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969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969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969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969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969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969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970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970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9702"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9703"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970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970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970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970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970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970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971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971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971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971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971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971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AEBF-82F5-4596-B52C-EB402D0370EA}">
  <sheetPr codeName="Sheet27">
    <tabColor rgb="FF0000FF"/>
  </sheetPr>
  <dimension ref="A1:P48"/>
  <sheetViews>
    <sheetView showGridLines="0" view="pageBreakPreview" topLeftCell="A8"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566</v>
      </c>
      <c r="F6" s="514"/>
      <c r="G6" s="514"/>
      <c r="H6" s="514"/>
      <c r="I6" s="514"/>
      <c r="J6" s="515"/>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13"/>
      <c r="E18" s="515"/>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13"/>
      <c r="O25" s="515"/>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13" t="s">
        <v>539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1</v>
      </c>
      <c r="H38" s="578" t="s">
        <v>431</v>
      </c>
      <c r="I38" s="578"/>
      <c r="J38" s="578"/>
      <c r="L38" s="55" t="b">
        <v>0</v>
      </c>
      <c r="M38" t="s">
        <v>430</v>
      </c>
    </row>
    <row r="39" spans="1:15" ht="15.75" customHeight="1" x14ac:dyDescent="0.25">
      <c r="B39" s="55" t="b">
        <v>0</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541</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8jLc3ZUItPVCfgBO8e8O/W/m3U8YS9TzAQP1zLaIWNEfZ/buiLyG0Vqdq8buyjyk1YiT1kqsVhn70GXndLTPtQ==" saltValue="TKOxwxwTBt92RNwxjA+Sb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20070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20070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20070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20070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20071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20071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20071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20071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20071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20071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20071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20071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20071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20071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20072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20072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20072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20072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20072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20072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20072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20072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20072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20072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20073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20073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20073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20073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20073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20073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20073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20073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20073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20073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97A1-A9E6-49F0-BD4D-95B43F67CED5}">
  <sheetPr codeName="Sheet25">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556</v>
      </c>
      <c r="F6" s="514"/>
      <c r="G6" s="514"/>
      <c r="H6" s="514"/>
      <c r="I6" s="514"/>
      <c r="J6" s="515"/>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1</v>
      </c>
      <c r="C25" t="s">
        <v>439</v>
      </c>
      <c r="G25" s="55" t="b">
        <v>1</v>
      </c>
      <c r="H25" t="s">
        <v>438</v>
      </c>
      <c r="L25" s="55" t="b">
        <v>0</v>
      </c>
      <c r="M25" t="s">
        <v>451</v>
      </c>
      <c r="N25" s="513"/>
      <c r="O25" s="515"/>
    </row>
    <row r="26" spans="1:15" ht="15.75" customHeight="1" x14ac:dyDescent="0.25">
      <c r="B26" s="55"/>
      <c r="G26" s="55"/>
    </row>
    <row r="28" spans="1:15" ht="15.75" customHeight="1" x14ac:dyDescent="0.25">
      <c r="A28" s="187" t="s">
        <v>515</v>
      </c>
    </row>
    <row r="29" spans="1:15" ht="15.75" customHeight="1" x14ac:dyDescent="0.25">
      <c r="B29" s="55" t="b">
        <v>0</v>
      </c>
      <c r="C29" t="s">
        <v>507</v>
      </c>
      <c r="G29" s="55" t="b">
        <v>1</v>
      </c>
      <c r="H29" t="s">
        <v>502</v>
      </c>
      <c r="L29" s="55" t="b">
        <v>0</v>
      </c>
      <c r="M29" t="s">
        <v>503</v>
      </c>
      <c r="N29" s="513"/>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1</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13"/>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528</v>
      </c>
      <c r="N40" s="515"/>
    </row>
    <row r="41" spans="1:15" ht="15.75" customHeight="1" x14ac:dyDescent="0.25">
      <c r="K41" s="8" t="s">
        <v>428</v>
      </c>
      <c r="M41" s="513" t="s">
        <v>540</v>
      </c>
      <c r="N41" s="515"/>
    </row>
    <row r="43" spans="1:15" ht="15.75" customHeight="1" x14ac:dyDescent="0.25">
      <c r="A43" s="1" t="s">
        <v>427</v>
      </c>
    </row>
    <row r="44" spans="1:15" ht="15.75" customHeight="1" x14ac:dyDescent="0.25">
      <c r="B44" s="55" t="b">
        <v>1</v>
      </c>
      <c r="C44" t="s">
        <v>426</v>
      </c>
      <c r="G44" s="55" t="b">
        <v>0</v>
      </c>
      <c r="H44" t="s">
        <v>513</v>
      </c>
      <c r="K44" s="8" t="str">
        <f>IF(G44=TRUE,"Name of Outside Firm:","")</f>
        <v/>
      </c>
      <c r="M44" s="513"/>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b56fdH8jsEs0Y9MejZFT/q+oubhcZ9lEPUJp1r1/zAoKmpPyc9CFL770g91eSTlks22O8iufq8iH1WsT2uty+g==" saltValue="nh8E6DzF+NsB29WZKBMGo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DB9C0-6831-4E33-AA11-837058DEC404}">
  <sheetPr codeName="Sheet23">
    <tabColor rgb="FF0000FF"/>
  </sheetPr>
  <dimension ref="A1:P48"/>
  <sheetViews>
    <sheetView showGridLines="0" view="pageBreakPreview" zoomScaleNormal="115" zoomScaleSheetLayoutView="100" workbookViewId="0">
      <selection activeCell="M41" sqref="M41:N41"/>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13" t="s">
        <v>557</v>
      </c>
      <c r="F6" s="514"/>
      <c r="G6" s="514"/>
      <c r="H6" s="514"/>
      <c r="I6" s="514"/>
      <c r="J6" s="515"/>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13"/>
      <c r="J13" s="514"/>
      <c r="K13" s="515"/>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13"/>
      <c r="E18" s="515"/>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0</v>
      </c>
      <c r="C25" t="s">
        <v>439</v>
      </c>
      <c r="G25" s="55" t="b">
        <v>0</v>
      </c>
      <c r="H25" t="s">
        <v>438</v>
      </c>
      <c r="L25" s="55" t="b">
        <v>1</v>
      </c>
      <c r="M25" t="s">
        <v>451</v>
      </c>
      <c r="N25" s="513" t="s">
        <v>558</v>
      </c>
      <c r="O25" s="515"/>
    </row>
    <row r="26" spans="1:15" ht="15.75" customHeight="1" x14ac:dyDescent="0.25">
      <c r="B26" s="55"/>
      <c r="G26" s="55"/>
    </row>
    <row r="28" spans="1:15" ht="15.75" customHeight="1" x14ac:dyDescent="0.25">
      <c r="A28" s="187" t="s">
        <v>515</v>
      </c>
    </row>
    <row r="29" spans="1:15" ht="15.75" customHeight="1" x14ac:dyDescent="0.25">
      <c r="B29" s="55" t="b">
        <v>0</v>
      </c>
      <c r="C29" t="s">
        <v>507</v>
      </c>
      <c r="G29" s="55" t="b">
        <v>0</v>
      </c>
      <c r="H29" t="s">
        <v>502</v>
      </c>
      <c r="L29" s="55" t="b">
        <v>1</v>
      </c>
      <c r="M29" t="s">
        <v>503</v>
      </c>
      <c r="N29" s="513" t="s">
        <v>559</v>
      </c>
      <c r="O29" s="515"/>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1</v>
      </c>
      <c r="H34" s="55" t="s">
        <v>512</v>
      </c>
      <c r="I34" s="513" t="s">
        <v>560</v>
      </c>
      <c r="J34" s="515"/>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13" t="s">
        <v>542</v>
      </c>
      <c r="N40" s="515"/>
    </row>
    <row r="41" spans="1:15" ht="15.75" customHeight="1" x14ac:dyDescent="0.25">
      <c r="K41" s="8" t="s">
        <v>428</v>
      </c>
      <c r="M41" s="513" t="s">
        <v>542</v>
      </c>
      <c r="N41" s="515"/>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13" t="s">
        <v>544</v>
      </c>
      <c r="N44" s="514"/>
      <c r="O44" s="515"/>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UQJ+bc6ngcYUEXCcYoxtimMb5GE9dKtrlR8saZfkMqNHMehch+Xd/bn90UODtws9rbT/4YknYGV0YJDfgqcXhw==" saltValue="bkY4Q0Yfs98xsfrC//JGh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189</vt:i4>
      </vt:variant>
    </vt:vector>
  </HeadingPairs>
  <TitlesOfParts>
    <vt:vector size="214"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12.14Model Disclosure</vt:lpstr>
      <vt:lpstr>12.15Model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'12.14Model Disclosure'!Model_Catastrophe</vt:lpstr>
      <vt:lpstr>'12.15Model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'12.14Model Disclosure'!Model_NonCatastrophe</vt:lpstr>
      <vt:lpstr>'12.15Model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'12.14Model Disclosure'!Model_Other</vt:lpstr>
      <vt:lpstr>'12.15Model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'12.14Model Disclosure'!Model_OverallRateLevel</vt:lpstr>
      <vt:lpstr>'12.15Model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'12.14Model Disclosure'!Model_RateSegmentation</vt:lpstr>
      <vt:lpstr>'12.15Model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'12.14Model Disclosure'!Model_Refresh</vt:lpstr>
      <vt:lpstr>'12.15Model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'12.14Model Disclosure'!Model_Revision</vt:lpstr>
      <vt:lpstr>'12.15Model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'12.14Model Disclosure'!Model_RevisionNo</vt:lpstr>
      <vt:lpstr>'12.15Model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'12.14Model Disclosure'!Print_Area</vt:lpstr>
      <vt:lpstr>'12.15Model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'12.14Model Disclosure'!UW_Model</vt:lpstr>
      <vt:lpstr>'12.15Model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2024-02-01T15:24:07Z</cp:lastPrinted>
  <dcterms:created xsi:type="dcterms:W3CDTF">2014-04-24T17:59:28Z</dcterms:created>
  <dcterms:modified xsi:type="dcterms:W3CDTF">2024-03-20T15:25:11Z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