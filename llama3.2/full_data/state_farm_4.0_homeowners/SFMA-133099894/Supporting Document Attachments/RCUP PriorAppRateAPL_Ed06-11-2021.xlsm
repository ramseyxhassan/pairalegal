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7.xml" ContentType="application/vnd.openxmlformats-officedocument.drawing+xml"/>
  <Override PartName="/xl/ctrlProps/ctrlProp83.xml" ContentType="application/vnd.ms-excel.controlproperties+xml"/>
  <Override PartName="/xl/ctrlProps/ctrlProp84.xml" ContentType="application/vnd.ms-excel.controlproperties+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9.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2\HO RDP RCUP 2-1-22 UG\RCUP Filing\"/>
    </mc:Choice>
  </mc:AlternateContent>
  <bookViews>
    <workbookView xWindow="0" yWindow="45" windowWidth="14430" windowHeight="11700" tabRatio="866" firstSheet="2" activeTab="3"/>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s>
  <functionGroups builtInGroupCount="18"/>
  <externalReferences>
    <externalReference r:id="rId1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'9.Forms'!$A$10:$A$19</definedName>
    <definedName name="General_Line">Settings!$B$22</definedName>
    <definedName name="List_GeneralLine">References!$F$6:$F$26</definedName>
    <definedName name="List_LineType">References!$D$6:$D$8</definedName>
    <definedName name="List_Variances">References!$H$6:$I$28</definedName>
    <definedName name="List_YNIndicator">References!$B$6:$B$7</definedName>
    <definedName name="List_YNnaIndicator">References!$B$6:$B$8</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4">'2.Group'!$A$1:$F$103</definedName>
    <definedName name="_xlnm.Print_Area" localSheetId="5">'3.Filing Type and Checklist'!$A$1:$G$62</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'9.Forms'!$A$1:$M$45</definedName>
    <definedName name="_xlnm.Print_Area" localSheetId="2">Instructions!$A$1:$B$9</definedName>
    <definedName name="_xlnm.Print_Area" localSheetId="0">Settings!$A$1:$B$34</definedName>
    <definedName name="_xlnm.Print_Titles" localSheetId="4">'2.Group'!$1:$11</definedName>
    <definedName name="_xlnm.Print_Titles" localSheetId="8">'6.Program Detail'!$1:$3</definedName>
    <definedName name="_xlnm.Print_Titles" localSheetId="11">'9.Forms'!$1:$9</definedName>
    <definedName name="SuperGroup">"Drop Down 117"</definedName>
  </definedNames>
  <calcPr calcId="152511"/>
</workbook>
</file>

<file path=xl/calcChain.xml><?xml version="1.0" encoding="utf-8"?>
<calcChain xmlns="http://schemas.openxmlformats.org/spreadsheetml/2006/main">
  <c r="N19" i="21" l="1"/>
  <c r="N18" i="21"/>
  <c r="N17" i="21"/>
  <c r="N16" i="21"/>
  <c r="N15" i="21"/>
  <c r="N14" i="21"/>
  <c r="N13" i="21"/>
  <c r="N12" i="21"/>
  <c r="A10" i="21"/>
  <c r="A12" i="21" s="1"/>
  <c r="A14" i="21" s="1"/>
  <c r="A16" i="21" s="1"/>
  <c r="A18" i="21" s="1"/>
  <c r="G8" i="17" l="1"/>
  <c r="G7" i="17" l="1"/>
  <c r="L30" i="2" l="1"/>
  <c r="N11" i="21"/>
  <c r="N10" i="21" l="1"/>
  <c r="L32" i="2" l="1"/>
  <c r="L28" i="2"/>
  <c r="H12" i="5" l="1"/>
  <c r="N17" i="3" l="1"/>
  <c r="O17" i="3"/>
  <c r="P17" i="3"/>
  <c r="Q17" i="3"/>
  <c r="R17" i="3"/>
  <c r="S17" i="3"/>
  <c r="T17" i="3"/>
  <c r="U17" i="3"/>
  <c r="V17" i="3"/>
  <c r="W17" i="3"/>
  <c r="X17" i="3"/>
  <c r="Y17" i="3"/>
  <c r="Z17" i="3"/>
  <c r="AA17" i="3"/>
  <c r="AB17" i="3"/>
  <c r="AC17" i="3"/>
  <c r="AD17" i="3"/>
  <c r="AE17" i="3"/>
  <c r="AF17" i="3"/>
  <c r="AG17" i="3"/>
  <c r="AH17" i="3"/>
  <c r="AI17" i="3"/>
  <c r="AJ17" i="3"/>
  <c r="AK17" i="3"/>
  <c r="AL17" i="3"/>
  <c r="AM17" i="3"/>
  <c r="AN17" i="3"/>
  <c r="AO17" i="3"/>
  <c r="AP17" i="3"/>
  <c r="AQ17" i="3"/>
  <c r="AR17" i="3"/>
  <c r="AS17" i="3"/>
  <c r="M17" i="3"/>
  <c r="M48" i="3"/>
  <c r="M44" i="3"/>
  <c r="N48" i="3"/>
  <c r="O48" i="3"/>
  <c r="P48" i="3"/>
  <c r="Q48" i="3"/>
  <c r="R48" i="3"/>
  <c r="S48" i="3"/>
  <c r="T48" i="3"/>
  <c r="U48" i="3"/>
  <c r="V48" i="3"/>
  <c r="W48" i="3"/>
  <c r="X48" i="3"/>
  <c r="Y48" i="3"/>
  <c r="Z48" i="3"/>
  <c r="AD48" i="3"/>
  <c r="AE48" i="3"/>
  <c r="AF48" i="3"/>
  <c r="AG48" i="3"/>
  <c r="AH48" i="3"/>
  <c r="AI48" i="3"/>
  <c r="AJ48" i="3"/>
  <c r="AK48" i="3"/>
  <c r="AL48" i="3"/>
  <c r="AM48" i="3"/>
  <c r="AN48" i="3"/>
  <c r="AO48" i="3"/>
  <c r="AP48" i="3"/>
  <c r="AQ48" i="3"/>
  <c r="AR48" i="3"/>
  <c r="AS48" i="3"/>
  <c r="N44" i="3"/>
  <c r="O44" i="3"/>
  <c r="P44" i="3"/>
  <c r="Q44" i="3"/>
  <c r="R44" i="3"/>
  <c r="S44" i="3"/>
  <c r="T44" i="3"/>
  <c r="U44" i="3"/>
  <c r="V44" i="3"/>
  <c r="W44" i="3"/>
  <c r="X44" i="3"/>
  <c r="Y44" i="3"/>
  <c r="Z44" i="3"/>
  <c r="AA44" i="3"/>
  <c r="AB44" i="3"/>
  <c r="AC44" i="3"/>
  <c r="AD44" i="3"/>
  <c r="AE44" i="3"/>
  <c r="AF44" i="3"/>
  <c r="AG44" i="3"/>
  <c r="AH44" i="3"/>
  <c r="AI44" i="3"/>
  <c r="AJ44" i="3"/>
  <c r="AK44" i="3"/>
  <c r="AL44" i="3"/>
  <c r="AM44" i="3"/>
  <c r="AN44" i="3"/>
  <c r="AO44" i="3"/>
  <c r="AP44" i="3"/>
  <c r="AQ44" i="3"/>
  <c r="AR44" i="3"/>
  <c r="AS44" i="3"/>
  <c r="F28" i="23" l="1"/>
  <c r="A39" i="2" l="1"/>
  <c r="B13" i="4" l="1"/>
  <c r="B28" i="1" l="1"/>
  <c r="B32" i="1" s="1"/>
  <c r="E24" i="2" l="1"/>
  <c r="AS5" i="3" l="1"/>
  <c r="AL5" i="3"/>
  <c r="AK5" i="3"/>
  <c r="AJ5" i="3"/>
  <c r="AR5" i="3"/>
  <c r="AQ5" i="3"/>
  <c r="AP5" i="3"/>
  <c r="AO5" i="3"/>
  <c r="AN5" i="3"/>
  <c r="AM5" i="3"/>
  <c r="AI5" i="3"/>
  <c r="AH5" i="3"/>
  <c r="AG5" i="3"/>
  <c r="AF5" i="3"/>
  <c r="AE5" i="3"/>
  <c r="AC5" i="3" l="1"/>
  <c r="R5" i="3"/>
  <c r="S5" i="3"/>
  <c r="T5" i="3"/>
  <c r="AD5" i="3" l="1"/>
  <c r="AB5" i="3"/>
  <c r="AA5" i="3"/>
  <c r="Z5" i="3"/>
  <c r="Y5" i="3"/>
  <c r="X5" i="3"/>
  <c r="W5" i="3"/>
  <c r="V5" i="3"/>
  <c r="U5" i="3"/>
  <c r="Q5" i="3"/>
  <c r="P5" i="3"/>
  <c r="O5" i="3"/>
  <c r="N5" i="3"/>
  <c r="M5" i="3"/>
  <c r="B29" i="1" l="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4" i="2"/>
  <c r="M34" i="2"/>
  <c r="N36" i="2" l="1"/>
  <c r="N30" i="2"/>
  <c r="M30" i="2"/>
  <c r="B23" i="1" l="1"/>
  <c r="G9" i="6" l="1"/>
  <c r="G8" i="6"/>
  <c r="B15" i="4" l="1"/>
  <c r="A16" i="4"/>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J1" i="31" s="1"/>
  <c r="B24" i="1"/>
  <c r="E20" i="16"/>
  <c r="E13" i="16"/>
  <c r="G47" i="18" l="1"/>
  <c r="G23" i="18"/>
  <c r="I28" i="3"/>
  <c r="F19" i="15"/>
  <c r="F21" i="15" s="1"/>
  <c r="E19" i="15"/>
  <c r="E21" i="15" s="1"/>
  <c r="D19" i="15"/>
  <c r="D21" i="15" s="1"/>
  <c r="B22" i="1"/>
  <c r="J2" i="31" s="1"/>
  <c r="B4" i="31" s="1"/>
  <c r="D22" i="6"/>
  <c r="F21" i="6"/>
  <c r="F20" i="6"/>
  <c r="F19" i="6"/>
  <c r="F18" i="6"/>
  <c r="F17" i="6"/>
  <c r="F16" i="6"/>
  <c r="F15" i="6"/>
  <c r="F14" i="6"/>
  <c r="F13" i="6"/>
  <c r="F12" i="6"/>
  <c r="I1" i="2"/>
  <c r="B20" i="1"/>
  <c r="G24" i="15" l="1"/>
  <c r="D6" i="6"/>
  <c r="A30" i="18"/>
  <c r="A45" i="18"/>
  <c r="A33" i="18"/>
  <c r="A36" i="18"/>
  <c r="A39" i="18"/>
  <c r="A42" i="18"/>
  <c r="A21" i="18"/>
  <c r="A18" i="18"/>
  <c r="A27" i="18"/>
  <c r="A24" i="18"/>
  <c r="E2" i="16"/>
  <c r="F22" i="6"/>
  <c r="F2" i="4"/>
  <c r="E1" i="16"/>
  <c r="F2" i="17"/>
  <c r="I2" i="2"/>
  <c r="F2" i="6"/>
  <c r="D2" i="23"/>
  <c r="M2" i="21"/>
  <c r="G2" i="5"/>
  <c r="G2" i="18"/>
  <c r="F2" i="15"/>
  <c r="G1" i="18"/>
  <c r="D1" i="23"/>
  <c r="F1" i="15"/>
  <c r="M1" i="21"/>
  <c r="F1" i="17"/>
  <c r="F1" i="6"/>
  <c r="G1" i="5"/>
  <c r="F1" i="4"/>
</calcChain>
</file>

<file path=xl/comments1.xml><?xml version="1.0" encoding="utf-8"?>
<comments xmlns="http://schemas.openxmlformats.org/spreadsheetml/2006/main">
  <authors>
    <author>Lynne, Wehmueller</author>
  </authors>
  <commentList>
    <comment ref="B6" authorId="0" shapeId="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<sst xmlns="http://schemas.openxmlformats.org/spreadsheetml/2006/main" count="2629" uniqueCount="512">
  <si>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</si>
  <si>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</si>
  <si>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</si>
  <si>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</si>
  <si>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</si>
  <si>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</si>
  <si>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</si>
  <si>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</si>
  <si>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</si>
  <si>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</si>
  <si>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</si>
  <si>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</si>
  <si>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</si>
  <si>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</si>
  <si>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</si>
  <si>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</si>
  <si>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</si>
  <si>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</si>
  <si>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</si>
  <si>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</si>
  <si>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</si>
  <si>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</si>
  <si>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</si>
  <si>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</si>
  <si>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</si>
  <si>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</si>
  <si>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</si>
  <si>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</si>
  <si>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</si>
  <si>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</si>
  <si>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</si>
  <si>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</si>
  <si>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</si>
  <si>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</si>
  <si>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</si>
  <si>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</si>
  <si>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</si>
  <si>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</si>
  <si>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</si>
  <si>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</si>
  <si>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</si>
  <si>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</si>
  <si>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</si>
  <si>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</si>
  <si>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</si>
  <si>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</si>
  <si>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</si>
  <si>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</si>
  <si>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</si>
  <si>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</si>
  <si>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</si>
  <si>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</si>
  <si>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</si>
  <si>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</si>
  <si>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</si>
  <si>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</si>
  <si>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</si>
  <si>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</si>
  <si>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</si>
  <si>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</si>
  <si>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Authorized Signature</t>
  </si>
  <si>
    <t>Date of Filing</t>
  </si>
  <si>
    <t>Telephone #</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</si>
  <si>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</si>
  <si>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</si>
  <si>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</si>
  <si>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</si>
  <si>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</si>
  <si>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</si>
  <si>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</si>
  <si>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</si>
  <si>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</si>
  <si>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</si>
  <si>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</si>
  <si>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</si>
  <si>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</si>
  <si>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</si>
  <si>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</si>
  <si>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</si>
  <si>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</si>
  <si>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</si>
  <si>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</si>
  <si>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</si>
  <si>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</si>
  <si>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</si>
  <si>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</si>
  <si>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</si>
  <si>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</si>
  <si>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</si>
  <si>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</si>
  <si>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</si>
  <si>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</si>
  <si>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</si>
  <si>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</si>
  <si>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</si>
  <si>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</si>
  <si>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</si>
  <si>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</si>
  <si>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</si>
  <si>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</si>
  <si>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</si>
  <si>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</si>
  <si>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</si>
  <si>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</si>
  <si>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</si>
  <si>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</si>
  <si>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</si>
  <si>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</si>
  <si>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</si>
  <si>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</si>
  <si>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</si>
  <si>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</si>
  <si>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</si>
  <si>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</si>
  <si>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</si>
  <si>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</si>
  <si>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</si>
  <si>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</si>
  <si>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</si>
  <si>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</si>
  <si>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</si>
  <si>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</si>
  <si>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</si>
  <si>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</si>
  <si>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</si>
  <si>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</si>
  <si>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</si>
  <si>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</si>
  <si>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</si>
  <si>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</si>
  <si>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</si>
  <si>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</si>
  <si>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</si>
  <si>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</si>
  <si>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</si>
  <si>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</si>
  <si>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</si>
  <si>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</si>
  <si>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</si>
  <si>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</si>
  <si>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</si>
  <si>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</si>
  <si>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</si>
  <si>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</si>
  <si>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</si>
  <si>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</si>
  <si>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</si>
  <si>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</si>
  <si>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</si>
  <si>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</si>
  <si>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</si>
  <si>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</si>
  <si>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</si>
  <si>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</si>
  <si>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</si>
  <si>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</si>
  <si>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</si>
  <si>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</si>
  <si>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</si>
  <si>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</si>
  <si>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</si>
  <si>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</si>
  <si>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</si>
  <si>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</si>
  <si>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</si>
  <si>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</si>
  <si>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</si>
  <si>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</si>
  <si>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</si>
  <si>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</si>
  <si>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</si>
  <si>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</si>
  <si>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</si>
  <si>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</si>
  <si>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</si>
  <si>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</si>
  <si>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</si>
  <si>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</si>
  <si>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</si>
  <si>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</si>
  <si>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</si>
  <si>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</si>
  <si>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</si>
  <si>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</si>
  <si>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</si>
  <si>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</si>
  <si>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</si>
  <si>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</si>
  <si>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</si>
  <si>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</si>
  <si>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</si>
  <si>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</si>
  <si>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</si>
  <si>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</si>
  <si>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</si>
  <si>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</si>
  <si>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Category</t>
  </si>
  <si>
    <t>% Impact</t>
  </si>
  <si>
    <t>Coverage Change Reflects</t>
  </si>
  <si>
    <t>Coverage Change Includes</t>
  </si>
  <si>
    <t>Broadening?</t>
  </si>
  <si>
    <t>Rate Impact?</t>
  </si>
  <si>
    <t>Application</t>
  </si>
  <si>
    <t>Endorsement</t>
  </si>
  <si>
    <t>Policy</t>
  </si>
  <si>
    <t>Other Advisory Organization</t>
  </si>
  <si>
    <t>Insurance Services Organization (ISO)</t>
  </si>
  <si>
    <t>Company</t>
  </si>
  <si>
    <t>New, mandatory</t>
  </si>
  <si>
    <t>Replacement, mandatory</t>
  </si>
  <si>
    <t>Withdrawn, mandatory</t>
  </si>
  <si>
    <t>Proposed</t>
  </si>
  <si>
    <t>Legend of Response Codes</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</si>
  <si>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</si>
  <si>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</si>
  <si>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</si>
  <si>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</si>
  <si>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</si>
  <si>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</si>
  <si>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</si>
  <si>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</si>
  <si>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</si>
  <si>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</si>
  <si>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</si>
  <si>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</si>
  <si>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</si>
  <si>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</si>
  <si>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</si>
  <si>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</si>
  <si>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</si>
  <si>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</si>
  <si>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</si>
  <si>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</si>
  <si>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</si>
  <si>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</si>
  <si>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</si>
  <si>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</si>
  <si>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</si>
  <si>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</si>
  <si>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</si>
  <si>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</si>
  <si>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</si>
  <si>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</si>
  <si>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</si>
  <si>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</si>
  <si>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</si>
  <si>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</si>
  <si>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</si>
  <si>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</si>
  <si>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</si>
  <si>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</si>
  <si>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</si>
  <si>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</si>
  <si>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</si>
  <si>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</si>
  <si>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</si>
  <si>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</si>
  <si>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</si>
  <si>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</si>
  <si>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</si>
  <si>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</si>
  <si>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</si>
  <si>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</si>
  <si>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</si>
  <si>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</si>
  <si>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</si>
  <si>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</si>
  <si>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</si>
  <si>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</si>
  <si>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</si>
  <si>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</si>
  <si>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</si>
  <si>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</si>
  <si>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</si>
  <si>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</si>
  <si>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</si>
  <si>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</si>
  <si>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</si>
  <si>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</si>
  <si>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</si>
  <si>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</si>
  <si>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</si>
  <si>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Factor or Charge</t>
  </si>
  <si>
    <t>If (1), (2) or (5) above is checked, provide the following:</t>
  </si>
  <si>
    <t>(b) A copy of the current and proposed manual page corresponding to the rule or underwriting guideline</t>
  </si>
  <si>
    <t>($, % or Description)</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</si>
  <si>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</si>
  <si>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</si>
  <si>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</si>
  <si>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</si>
  <si>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</si>
  <si>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</si>
  <si>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</si>
  <si>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</si>
  <si>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</si>
  <si>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</si>
  <si>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</si>
  <si>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</si>
  <si>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</si>
  <si>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</si>
  <si>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</si>
  <si>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</si>
  <si>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</si>
  <si>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</si>
  <si>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</si>
  <si>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</si>
  <si>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</si>
  <si>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</si>
  <si>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</si>
  <si>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</si>
  <si>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</si>
  <si>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</si>
  <si>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</si>
  <si>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</si>
  <si>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</si>
  <si>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</si>
  <si>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</si>
  <si>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</si>
  <si>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</si>
  <si>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</si>
  <si>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</si>
  <si>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</si>
  <si>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</si>
  <si>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</si>
  <si>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</si>
  <si>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</si>
  <si>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</si>
  <si>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</si>
  <si>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</si>
  <si>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</si>
  <si>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</si>
  <si>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</si>
  <si>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</si>
  <si>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</si>
  <si>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</si>
  <si>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</si>
  <si>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</si>
  <si>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</si>
  <si>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</si>
  <si>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</si>
  <si>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</si>
  <si>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</si>
  <si>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</si>
  <si>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</si>
  <si>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</si>
  <si>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</si>
  <si>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</si>
  <si>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</si>
  <si>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</si>
  <si>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</si>
  <si>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I declare under penalty of perjury under the laws of the State of California, that the information filed is true, complete, and</t>
  </si>
  <si>
    <t>segment of the filed rating plan.</t>
  </si>
  <si>
    <t>correct, and that price optimization methods or models have not been used in the development of the final rates for any</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</si>
  <si>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</si>
  <si>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</si>
  <si>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</si>
  <si>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</si>
  <si>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</si>
  <si>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</si>
  <si>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</si>
  <si>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</si>
  <si>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</si>
  <si>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</si>
  <si>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</si>
  <si>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</si>
  <si>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</si>
  <si>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</si>
  <si>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</si>
  <si>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</si>
  <si>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</si>
  <si>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</si>
  <si>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</si>
  <si>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</si>
  <si>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</si>
  <si>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</si>
  <si>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</si>
  <si>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</si>
  <si>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</si>
  <si>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</si>
  <si>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</si>
  <si>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</si>
  <si>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</si>
  <si>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</si>
  <si>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</si>
  <si>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</si>
  <si>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</si>
  <si>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</si>
  <si>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</si>
  <si>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</si>
  <si>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</si>
  <si>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</si>
  <si>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</si>
  <si>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 provide the CDI File # under which the current form is approved.</t>
    </r>
  </si>
  <si>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</si>
  <si>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</si>
  <si>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</si>
  <si>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</si>
  <si>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</si>
  <si>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</si>
  <si>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</si>
  <si>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</si>
  <si>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</si>
  <si>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</si>
  <si>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</si>
  <si>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</si>
  <si>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Is this a New Program filing?</t>
  </si>
  <si>
    <t>Is this a Rate filing?</t>
  </si>
  <si>
    <t>Is this a Rule filing?</t>
  </si>
  <si>
    <t>Do the Rule change(s) have a rate impact?</t>
  </si>
  <si>
    <t>Is this a Form filing?</t>
  </si>
  <si>
    <t>Do the Form change(s) have a rate impact?</t>
  </si>
  <si>
    <t>Does this filing include a request(s) for Variance?</t>
  </si>
  <si>
    <t>PDF</t>
  </si>
  <si>
    <t>Excel</t>
  </si>
  <si>
    <t>Exhibit 5  - Premium Trend Factor</t>
  </si>
  <si>
    <t>Exhibit 7  - Loss and Defense &amp; Cost Containment Expense (DCCE) Development Factors</t>
  </si>
  <si>
    <t>Exhibit 8 - Loss and DCCE Trend</t>
  </si>
  <si>
    <t>Prior Approval Rate Template</t>
  </si>
  <si>
    <t>Standard Exhibits Template</t>
  </si>
  <si>
    <t>Underwriting Guidelines</t>
  </si>
  <si>
    <t>Complete Printed Rate and Rule Manual Pages</t>
  </si>
  <si>
    <t>Filing Type and Filing Checklist, Page 3</t>
  </si>
  <si>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</si>
  <si>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list all advisory organization forms.</t>
    </r>
  </si>
  <si>
    <t>Checklist Item</t>
  </si>
  <si>
    <t>Filing Type</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</si>
  <si>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</si>
  <si>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</si>
  <si>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</si>
  <si>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</si>
  <si>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</si>
  <si>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</si>
  <si>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</si>
  <si>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</si>
  <si>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</si>
  <si>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</si>
  <si>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</si>
  <si>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Rate Only</t>
  </si>
  <si>
    <t>Rate &amp; Rule (Rate impact) &amp; Form (Rate Impact)</t>
  </si>
  <si>
    <t>Rate &amp; Rule (Rate impact) &amp; Form</t>
  </si>
  <si>
    <t>Rate &amp; Rule &amp; Form (Rate Impact)</t>
  </si>
  <si>
    <t>Rate &amp; Rule &amp; Form</t>
  </si>
  <si>
    <t>Rule (Rate impact) &amp; Form</t>
  </si>
  <si>
    <t>Rule &amp; Form (Rate Impact)</t>
  </si>
  <si>
    <t>Rule (Rate impact) &amp; Form (Rate Impact)</t>
  </si>
  <si>
    <t>Rate &amp; Rule (Rate impact)</t>
  </si>
  <si>
    <t>Rate &amp; Rule</t>
  </si>
  <si>
    <t>Rule (Rate impact) Only</t>
  </si>
  <si>
    <t>Rate &amp; Form (Rate Impact)</t>
  </si>
  <si>
    <t>Rate &amp; Form</t>
  </si>
  <si>
    <t>Form (Rate Impact) Only</t>
  </si>
  <si>
    <t>Form Only</t>
  </si>
  <si>
    <t>Rule Only</t>
  </si>
  <si>
    <t>Rule &amp; Form</t>
  </si>
  <si>
    <t>New Program</t>
  </si>
  <si>
    <t>Rate Only with Variance</t>
  </si>
  <si>
    <t>Rate &amp; Rule (Rate impact) &amp; Form (Rate Impact) with Variance</t>
  </si>
  <si>
    <t>Rate &amp; Rule (Rate impact) &amp; Form with Variance</t>
  </si>
  <si>
    <t>Rate &amp; Rule &amp; Form (Rate Impact) with Variance</t>
  </si>
  <si>
    <t>Rate &amp; Rule &amp; Form with Variance</t>
  </si>
  <si>
    <t>Rule (Rate impact) &amp; Form with Variance</t>
  </si>
  <si>
    <t>Rule &amp; Form (Rate Impact) with Variance</t>
  </si>
  <si>
    <t>Rule (Rate impact) &amp; Form (Rate Impact) with Variance</t>
  </si>
  <si>
    <t>Rate &amp; Rule (Rate impact) with Variance</t>
  </si>
  <si>
    <t>Rate &amp; Rule with Variance</t>
  </si>
  <si>
    <t>Rule (Rate impact) Only with Variance</t>
  </si>
  <si>
    <t>Rate &amp; Form (Rate Impact) with Variance</t>
  </si>
  <si>
    <t>Rate &amp; Form with Variance</t>
  </si>
  <si>
    <t>Form (Rate Impact) Only with Variance</t>
  </si>
  <si>
    <t>New Program with Variance</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</si>
  <si>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</si>
  <si>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</si>
  <si>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</si>
  <si>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</si>
  <si>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</si>
  <si>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</si>
  <si>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</si>
  <si>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New, optional (elective)</t>
  </si>
  <si>
    <t>Replacement, optional (required)</t>
  </si>
  <si>
    <t>Replacement, optional (elective)</t>
  </si>
  <si>
    <t>Withdrawn, optional (required)</t>
  </si>
  <si>
    <t>Withdrawn, optional (elective)</t>
  </si>
  <si>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t>
    </r>
    <r>
      <rPr>
        <i/>
        <sz val="11"/>
        <color theme="1"/>
        <rFont val="Calibri"/>
        <family val="2"/>
        <scheme val="minor"/>
      </rPr>
      <t>some</t>
    </r>
    <r>
      <rPr>
        <sz val="11"/>
        <color theme="1"/>
        <rFont val="Calibri"/>
        <family val="2"/>
        <scheme val="minor"/>
      </rPr>
      <t xml:space="preserv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</si>
  <si>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</si>
  <si>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New, optional (required)</t>
  </si>
  <si>
    <t>Other (Describe in box below)</t>
  </si>
  <si>
    <t>Please provide additional information below for forms indicated as "Other" under Type Code, Source Code, and/or Category Code.</t>
  </si>
  <si>
    <r>
      <t xml:space="preserve">  Mandatory - refers to forms that the </t>
    </r>
    <r>
      <rPr>
        <u/>
        <sz val="11"/>
        <color theme="1"/>
        <rFont val="Calibri"/>
        <family val="2"/>
        <scheme val="minor"/>
      </rPr>
      <t>insurer</t>
    </r>
    <r>
      <rPr>
        <sz val="11"/>
        <color theme="1"/>
        <rFont val="Calibri"/>
        <family val="2"/>
        <scheme val="minor"/>
      </rPr>
      <t xml:space="preserve"> attaches to </t>
    </r>
    <r>
      <rPr>
        <i/>
        <sz val="11"/>
        <color theme="1"/>
        <rFont val="Calibri"/>
        <family val="2"/>
        <scheme val="minor"/>
      </rPr>
      <t>all</t>
    </r>
    <r>
      <rPr>
        <sz val="11"/>
        <color theme="1"/>
        <rFont val="Calibri"/>
        <family val="2"/>
        <scheme val="minor"/>
      </rPr>
      <t xml:space="preserve"> policies.  </t>
    </r>
  </si>
  <si>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</si>
  <si>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</si>
  <si>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</si>
  <si>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</si>
  <si>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</si>
  <si>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</si>
  <si>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Change_Fees</t>
  </si>
  <si>
    <t>06/11/2021</t>
  </si>
  <si>
    <t>Nicole Pettis</t>
  </si>
  <si>
    <t>None</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</si>
  <si>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</si>
  <si>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</si>
  <si>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</si>
  <si>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</si>
  <si>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</si>
  <si>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</si>
  <si>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</si>
  <si>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</si>
  <si>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(309) 766-2471</t>
  </si>
  <si>
    <r>
      <t>5.</t>
    </r>
    <r>
      <rPr>
        <sz val="11"/>
        <color theme="1"/>
        <rFont val="Calibri"/>
        <family val="2"/>
        <scheme val="minor"/>
      </rPr>
      <t xml:space="preserve">    Does this filing include a variance request?</t>
    </r>
  </si>
  <si>
    <t>Rental Condominium Unitowners</t>
  </si>
  <si>
    <t>21-1811</t>
  </si>
  <si>
    <t>RU-44714</t>
  </si>
  <si>
    <t>kQIXrukf</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</si>
</sst>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5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sz val="11"/>
      <color rgb="FF0070C0"/>
      <name val="Calibri"/>
      <family val="2"/>
      <scheme val="minor"/>
    </font>
    <font>
      <u/>
      <sz val="11"/>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8" tint="0.59999389629810485"/>
        <bgColor indexed="64"/>
      </patternFill>
    </fill>
  </fills>
  <borders count="84">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24">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20" xfId="0" applyNumberFormat="1" applyFont="1" applyBorder="1" applyAlignment="1">
      <alignment vertical="center"/>
    </xf>
    <xf numFmtId="168" fontId="9" fillId="0" borderId="20"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8" xfId="0" applyFont="1" applyFill="1" applyBorder="1" applyAlignment="1">
      <alignment horizontal="left" vertical="center"/>
    </xf>
    <xf numFmtId="166" fontId="7" fillId="3" borderId="18" xfId="3" applyNumberFormat="1" applyFont="1" applyFill="1" applyBorder="1" applyAlignment="1">
      <alignment horizontal="center" vertical="center"/>
    </xf>
    <xf numFmtId="5" fontId="0" fillId="3" borderId="24" xfId="0" applyNumberFormat="1" applyFill="1" applyBorder="1" applyAlignment="1">
      <alignment vertical="center"/>
    </xf>
    <xf numFmtId="5" fontId="0" fillId="3" borderId="25" xfId="0" applyNumberFormat="1" applyFill="1" applyBorder="1" applyAlignment="1">
      <alignment vertical="center"/>
    </xf>
    <xf numFmtId="5" fontId="7" fillId="3" borderId="26" xfId="0" applyNumberFormat="1" applyFont="1" applyFill="1" applyBorder="1" applyAlignment="1">
      <alignment vertical="center"/>
    </xf>
    <xf numFmtId="0" fontId="7" fillId="3" borderId="27" xfId="0" applyFont="1" applyFill="1" applyBorder="1" applyAlignment="1">
      <alignment horizontal="center" vertical="center"/>
    </xf>
    <xf numFmtId="166" fontId="7" fillId="3" borderId="18" xfId="3" applyNumberFormat="1" applyFont="1" applyFill="1" applyBorder="1" applyAlignment="1">
      <alignment vertical="center"/>
    </xf>
    <xf numFmtId="5" fontId="7" fillId="3" borderId="18" xfId="0" applyNumberFormat="1" applyFont="1" applyFill="1" applyBorder="1" applyAlignment="1">
      <alignment vertical="center"/>
    </xf>
    <xf numFmtId="37" fontId="7" fillId="3" borderId="18" xfId="3" applyNumberFormat="1" applyFont="1" applyFill="1" applyBorder="1" applyAlignment="1">
      <alignment vertical="center"/>
    </xf>
    <xf numFmtId="37" fontId="7" fillId="3" borderId="26" xfId="3" applyNumberFormat="1" applyFont="1" applyFill="1" applyBorder="1" applyAlignment="1">
      <alignment vertical="center"/>
    </xf>
    <xf numFmtId="0" fontId="26" fillId="0" borderId="0" xfId="0" applyFont="1" applyAlignment="1">
      <alignment horizontal="centerContinuous"/>
    </xf>
    <xf numFmtId="0" fontId="7" fillId="0" borderId="28" xfId="0" applyFont="1" applyBorder="1" applyAlignment="1">
      <alignment horizontal="center" vertical="center" wrapText="1"/>
    </xf>
    <xf numFmtId="167" fontId="23" fillId="0" borderId="29" xfId="0" applyNumberFormat="1" applyFont="1" applyBorder="1" applyAlignment="1">
      <alignment horizontal="center" vertical="center"/>
    </xf>
    <xf numFmtId="0" fontId="7" fillId="0" borderId="11" xfId="0" applyFont="1" applyBorder="1" applyAlignment="1">
      <alignment horizontal="center" vertical="center"/>
    </xf>
    <xf numFmtId="0" fontId="7" fillId="0" borderId="30" xfId="0" applyFont="1" applyBorder="1" applyAlignment="1">
      <alignment horizontal="left" vertical="center" indent="1"/>
    </xf>
    <xf numFmtId="0" fontId="7" fillId="0" borderId="31" xfId="0" applyFont="1" applyBorder="1" applyAlignment="1">
      <alignment horizontal="left" indent="1"/>
    </xf>
    <xf numFmtId="37" fontId="9" fillId="0" borderId="32" xfId="0" applyNumberFormat="1" applyFont="1" applyBorder="1" applyAlignment="1">
      <alignment vertical="center"/>
    </xf>
    <xf numFmtId="49" fontId="0" fillId="0" borderId="33" xfId="0" applyNumberFormat="1" applyBorder="1" applyAlignment="1">
      <alignment horizontal="center" vertical="center"/>
    </xf>
    <xf numFmtId="37" fontId="0" fillId="0" borderId="27" xfId="0" applyNumberFormat="1" applyBorder="1" applyAlignment="1">
      <alignment horizontal="center" vertical="center"/>
    </xf>
    <xf numFmtId="168" fontId="9" fillId="0" borderId="19" xfId="0" applyNumberFormat="1" applyFont="1" applyBorder="1" applyAlignment="1">
      <alignment vertical="center"/>
    </xf>
    <xf numFmtId="0" fontId="7" fillId="0" borderId="36" xfId="0" applyFont="1" applyBorder="1" applyAlignment="1">
      <alignment horizontal="center" vertical="center" wrapText="1"/>
    </xf>
    <xf numFmtId="0" fontId="7" fillId="0" borderId="9" xfId="0" applyFont="1" applyBorder="1" applyAlignment="1">
      <alignment horizontal="left" indent="1"/>
    </xf>
    <xf numFmtId="0" fontId="0" fillId="0" borderId="37" xfId="0" applyBorder="1" applyAlignment="1">
      <alignment horizontal="left" vertical="center" indent="1"/>
    </xf>
    <xf numFmtId="0" fontId="0" fillId="0" borderId="38" xfId="0" applyBorder="1" applyAlignment="1">
      <alignment horizontal="left" vertical="center" indent="1"/>
    </xf>
    <xf numFmtId="0" fontId="0" fillId="0" borderId="38" xfId="0" applyBorder="1" applyAlignment="1">
      <alignment horizontal="left" vertical="center" indent="2"/>
    </xf>
    <xf numFmtId="0" fontId="0" fillId="0" borderId="39"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7" fillId="0" borderId="8" xfId="0" applyFont="1" applyBorder="1" applyAlignment="1">
      <alignment vertical="center"/>
    </xf>
    <xf numFmtId="0" fontId="0" fillId="0" borderId="7" xfId="0" applyBorder="1"/>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40" xfId="0" applyFont="1" applyFill="1" applyBorder="1" applyAlignment="1">
      <alignment horizontal="center" vertical="center"/>
    </xf>
    <xf numFmtId="0" fontId="7" fillId="0" borderId="0" xfId="0" applyFont="1" applyAlignment="1">
      <alignment horizontal="center" vertical="center"/>
    </xf>
    <xf numFmtId="0" fontId="7" fillId="4" borderId="40"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1" xfId="0" applyFont="1" applyFill="1" applyBorder="1" applyAlignment="1">
      <alignment horizontal="center" vertical="center"/>
    </xf>
    <xf numFmtId="0" fontId="0" fillId="4" borderId="21" xfId="0" applyFill="1" applyBorder="1" applyAlignment="1">
      <alignment vertical="center"/>
    </xf>
    <xf numFmtId="0" fontId="13" fillId="4" borderId="21"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1" xfId="0" applyFont="1" applyFill="1" applyBorder="1" applyAlignment="1">
      <alignment horizontal="center" vertical="center"/>
    </xf>
    <xf numFmtId="0" fontId="13" fillId="4" borderId="23" xfId="0" applyFont="1" applyFill="1" applyBorder="1" applyAlignment="1">
      <alignment horizontal="center" vertical="center"/>
    </xf>
    <xf numFmtId="0" fontId="13" fillId="4" borderId="23" xfId="0" applyFont="1" applyFill="1" applyBorder="1" applyAlignment="1">
      <alignment vertical="center"/>
    </xf>
    <xf numFmtId="0" fontId="7" fillId="4" borderId="21"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7" xfId="0" applyFont="1" applyBorder="1" applyAlignment="1">
      <alignment horizontal="centerContinuous" vertical="center"/>
    </xf>
    <xf numFmtId="0" fontId="7" fillId="0" borderId="5" xfId="0" applyFont="1" applyBorder="1"/>
    <xf numFmtId="0" fontId="7" fillId="0" borderId="10" xfId="0" applyFont="1" applyBorder="1" applyAlignment="1">
      <alignment horizontal="center" vertical="center"/>
    </xf>
    <xf numFmtId="49" fontId="9" fillId="0" borderId="0" xfId="0" applyNumberFormat="1" applyFont="1" applyBorder="1"/>
    <xf numFmtId="0" fontId="0" fillId="0" borderId="5" xfId="0" applyBorder="1"/>
    <xf numFmtId="0" fontId="7" fillId="0" borderId="34" xfId="0" applyFont="1" applyBorder="1" applyAlignment="1">
      <alignment horizontal="centerContinuous" vertical="center"/>
    </xf>
    <xf numFmtId="0" fontId="7" fillId="0" borderId="40" xfId="0" applyFont="1" applyBorder="1"/>
    <xf numFmtId="0" fontId="7" fillId="0" borderId="46" xfId="0" applyFont="1" applyBorder="1" applyAlignment="1">
      <alignment horizontal="centerContinuous" vertical="center"/>
    </xf>
    <xf numFmtId="0" fontId="7" fillId="0" borderId="27" xfId="0" applyFont="1" applyBorder="1" applyAlignment="1">
      <alignment horizontal="center" vertical="center"/>
    </xf>
    <xf numFmtId="167" fontId="0" fillId="0" borderId="0" xfId="0" applyNumberFormat="1"/>
    <xf numFmtId="0" fontId="7" fillId="0" borderId="18" xfId="0" applyFont="1" applyBorder="1" applyAlignment="1">
      <alignment horizontal="center" vertical="center"/>
    </xf>
    <xf numFmtId="0" fontId="7" fillId="0" borderId="46" xfId="0" applyFont="1" applyBorder="1"/>
    <xf numFmtId="49" fontId="9" fillId="0" borderId="2" xfId="0" applyNumberFormat="1" applyFont="1" applyBorder="1"/>
    <xf numFmtId="167" fontId="0" fillId="0" borderId="6" xfId="0" applyNumberFormat="1" applyBorder="1" applyAlignment="1">
      <alignment horizontal="center"/>
    </xf>
    <xf numFmtId="167" fontId="0" fillId="0" borderId="0" xfId="0" applyNumberFormat="1" applyBorder="1" applyAlignment="1">
      <alignment horizontal="center"/>
    </xf>
    <xf numFmtId="49" fontId="9" fillId="0" borderId="5" xfId="0" applyNumberFormat="1" applyFont="1" applyBorder="1"/>
    <xf numFmtId="167" fontId="0" fillId="0" borderId="6" xfId="0" applyNumberFormat="1" applyBorder="1" applyAlignment="1">
      <alignment horizontal="center" vertical="center"/>
    </xf>
    <xf numFmtId="49" fontId="9" fillId="0" borderId="7" xfId="0" applyNumberFormat="1" applyFont="1" applyBorder="1"/>
    <xf numFmtId="167" fontId="0" fillId="0" borderId="8" xfId="0" applyNumberFormat="1" applyBorder="1" applyAlignment="1">
      <alignment horizontal="center" vertical="center"/>
    </xf>
    <xf numFmtId="49" fontId="9" fillId="0" borderId="10" xfId="0" applyNumberFormat="1" applyFont="1" applyBorder="1"/>
    <xf numFmtId="0" fontId="7" fillId="0" borderId="10" xfId="0" applyFont="1" applyBorder="1"/>
    <xf numFmtId="37" fontId="0" fillId="0" borderId="47" xfId="0" applyNumberFormat="1" applyBorder="1" applyAlignment="1">
      <alignment horizontal="left" vertical="center"/>
    </xf>
    <xf numFmtId="0" fontId="7" fillId="0" borderId="23" xfId="0" applyFont="1" applyBorder="1"/>
    <xf numFmtId="0" fontId="7" fillId="0" borderId="4" xfId="0" applyFont="1" applyBorder="1" applyAlignment="1">
      <alignment horizontal="left" vertical="center"/>
    </xf>
    <xf numFmtId="49" fontId="9" fillId="0" borderId="14" xfId="0" applyNumberFormat="1" applyFont="1" applyBorder="1" applyAlignment="1" applyProtection="1">
      <alignment horizontal="center" vertical="center"/>
      <protection locked="0"/>
    </xf>
    <xf numFmtId="0" fontId="9" fillId="0" borderId="24" xfId="0" applyFont="1" applyBorder="1" applyAlignment="1" applyProtection="1">
      <alignment horizontal="center" vertical="center"/>
      <protection locked="0"/>
    </xf>
    <xf numFmtId="0" fontId="9" fillId="0" borderId="14" xfId="0" applyFont="1" applyBorder="1" applyAlignment="1" applyProtection="1">
      <alignment horizontal="center" vertical="center"/>
      <protection locked="0"/>
    </xf>
    <xf numFmtId="49" fontId="9" fillId="0" borderId="48" xfId="0" quotePrefix="1" applyNumberFormat="1" applyFont="1" applyBorder="1" applyAlignment="1" applyProtection="1">
      <alignment horizontal="center" vertical="center"/>
      <protection locked="0"/>
    </xf>
    <xf numFmtId="0" fontId="9" fillId="0" borderId="49" xfId="0" applyFont="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0" fontId="9" fillId="0" borderId="25" xfId="0" applyFont="1" applyBorder="1" applyAlignment="1" applyProtection="1">
      <alignment horizontal="center" vertical="center"/>
      <protection locked="0"/>
    </xf>
    <xf numFmtId="0" fontId="9" fillId="0" borderId="15" xfId="0" applyFont="1" applyBorder="1" applyAlignment="1" applyProtection="1">
      <alignment horizontal="center" vertical="center"/>
      <protection locked="0"/>
    </xf>
    <xf numFmtId="49" fontId="9" fillId="0" borderId="44" xfId="0" applyNumberFormat="1" applyFont="1" applyBorder="1" applyAlignment="1" applyProtection="1">
      <alignment horizontal="center" vertical="center"/>
      <protection locked="0"/>
    </xf>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0" fontId="0" fillId="0" borderId="35" xfId="0" applyBorder="1" applyAlignment="1">
      <alignment horizontal="lef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3" xfId="0" applyBorder="1" applyAlignment="1">
      <alignment horizontal="left" vertical="center" indent="1"/>
    </xf>
    <xf numFmtId="0" fontId="0" fillId="0" borderId="44" xfId="0" applyBorder="1" applyAlignment="1">
      <alignment horizontal="left" vertical="center" indent="1"/>
    </xf>
    <xf numFmtId="0" fontId="0" fillId="0" borderId="44" xfId="0" applyBorder="1" applyAlignment="1">
      <alignment horizontal="left" vertical="center" indent="2"/>
    </xf>
    <xf numFmtId="0" fontId="0" fillId="0" borderId="45"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5" xfId="0" applyNumberFormat="1" applyFont="1" applyFill="1" applyBorder="1" applyAlignment="1">
      <alignment horizontal="right" vertical="center"/>
    </xf>
    <xf numFmtId="5" fontId="13" fillId="3" borderId="35" xfId="0" applyNumberFormat="1" applyFont="1" applyFill="1" applyBorder="1" applyAlignment="1">
      <alignment horizontal="right" vertical="center"/>
    </xf>
    <xf numFmtId="37" fontId="13" fillId="3" borderId="35"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52" xfId="3" applyNumberFormat="1" applyFont="1" applyBorder="1" applyAlignment="1" applyProtection="1">
      <alignment horizontal="center" vertical="center"/>
      <protection locked="0"/>
    </xf>
    <xf numFmtId="7" fontId="9" fillId="0" borderId="53" xfId="0" applyNumberFormat="1" applyFont="1" applyBorder="1" applyProtection="1">
      <protection locked="0"/>
    </xf>
    <xf numFmtId="10" fontId="9" fillId="0" borderId="53" xfId="3" applyNumberFormat="1" applyFont="1" applyBorder="1" applyProtection="1">
      <protection locked="0"/>
    </xf>
    <xf numFmtId="49" fontId="9" fillId="0" borderId="53"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1" xfId="0" applyFont="1" applyFill="1" applyBorder="1" applyAlignment="1" applyProtection="1">
      <alignment vertical="center"/>
      <protection locked="0"/>
    </xf>
    <xf numFmtId="0" fontId="7" fillId="4" borderId="21"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1"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40" xfId="0" applyFont="1" applyBorder="1" applyAlignment="1">
      <alignment horizontal="centerContinuous"/>
    </xf>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49" fontId="9" fillId="0" borderId="47" xfId="0" applyNumberFormat="1" applyFont="1" applyBorder="1" applyAlignment="1" applyProtection="1">
      <alignment horizontal="center" vertical="center"/>
      <protection locked="0"/>
    </xf>
    <xf numFmtId="49" fontId="9" fillId="0" borderId="35"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49" fontId="9" fillId="0" borderId="17" xfId="0" applyNumberFormat="1" applyFont="1" applyBorder="1" applyAlignment="1" applyProtection="1">
      <alignment horizontal="left" vertical="center" wrapText="1"/>
      <protection locked="0"/>
    </xf>
    <xf numFmtId="0" fontId="9" fillId="5" borderId="15" xfId="0" applyFont="1" applyFill="1" applyBorder="1" applyAlignment="1" applyProtection="1">
      <alignment horizontal="center" vertical="center"/>
    </xf>
    <xf numFmtId="0" fontId="9" fillId="5" borderId="25" xfId="0" applyFont="1" applyFill="1" applyBorder="1" applyAlignment="1" applyProtection="1">
      <alignment horizontal="center" vertical="center"/>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1" xfId="0" applyNumberFormat="1" applyFont="1" applyFill="1" applyBorder="1" applyAlignment="1" applyProtection="1">
      <alignment horizontal="center" vertical="center"/>
    </xf>
    <xf numFmtId="49" fontId="9" fillId="3" borderId="42" xfId="0" applyNumberFormat="1" applyFont="1" applyFill="1" applyBorder="1" applyAlignment="1" applyProtection="1">
      <alignment horizontal="left" vertical="center" wrapText="1"/>
    </xf>
    <xf numFmtId="49" fontId="9" fillId="3" borderId="42" xfId="3" applyNumberFormat="1" applyFont="1" applyFill="1" applyBorder="1" applyAlignment="1" applyProtection="1">
      <alignment horizontal="center" vertical="center"/>
    </xf>
    <xf numFmtId="37" fontId="7" fillId="3" borderId="27" xfId="0" applyNumberFormat="1" applyFont="1" applyFill="1" applyBorder="1" applyAlignment="1" applyProtection="1">
      <alignment horizontal="center" vertical="center"/>
    </xf>
    <xf numFmtId="49" fontId="9" fillId="3" borderId="18" xfId="0" applyNumberFormat="1" applyFont="1" applyFill="1" applyBorder="1" applyAlignment="1" applyProtection="1">
      <alignment horizontal="left" vertical="center" wrapText="1"/>
    </xf>
    <xf numFmtId="49" fontId="9" fillId="3" borderId="18" xfId="3" applyNumberFormat="1" applyFont="1" applyFill="1" applyBorder="1" applyAlignment="1" applyProtection="1">
      <alignment horizontal="center" vertical="center"/>
    </xf>
    <xf numFmtId="37" fontId="7" fillId="3" borderId="18"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1"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6" xfId="3" applyNumberFormat="1" applyFont="1" applyFill="1" applyBorder="1" applyAlignment="1" applyProtection="1">
      <alignment vertical="center"/>
    </xf>
    <xf numFmtId="0" fontId="24" fillId="0" borderId="21" xfId="0" applyNumberFormat="1" applyFont="1" applyBorder="1"/>
    <xf numFmtId="0" fontId="24" fillId="0" borderId="21"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7" xfId="0" applyFont="1" applyFill="1" applyBorder="1" applyAlignment="1">
      <alignment horizontal="center"/>
    </xf>
    <xf numFmtId="49" fontId="9" fillId="0" borderId="53" xfId="0" applyNumberFormat="1" applyFont="1" applyBorder="1" applyAlignment="1" applyProtection="1">
      <alignment horizontal="left"/>
      <protection locked="0"/>
    </xf>
    <xf numFmtId="0" fontId="38" fillId="0" borderId="0" xfId="0" applyFont="1"/>
    <xf numFmtId="164" fontId="21" fillId="0" borderId="53" xfId="0" applyNumberFormat="1" applyFont="1" applyBorder="1" applyAlignment="1" applyProtection="1">
      <alignment horizontal="center" vertical="center"/>
      <protection locked="0"/>
    </xf>
    <xf numFmtId="0" fontId="9" fillId="0" borderId="59" xfId="0" applyFont="1" applyBorder="1" applyAlignment="1" applyProtection="1">
      <alignment horizontal="left" vertical="center" wrapText="1" indent="1"/>
      <protection locked="0"/>
    </xf>
    <xf numFmtId="166" fontId="9" fillId="0" borderId="52"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0" fontId="9" fillId="0" borderId="61" xfId="0" applyFont="1" applyBorder="1" applyAlignment="1" applyProtection="1">
      <alignment horizontal="left" vertical="center" wrapText="1" indent="1"/>
      <protection locked="0"/>
    </xf>
    <xf numFmtId="166" fontId="9" fillId="0" borderId="53" xfId="3" applyNumberFormat="1" applyFont="1" applyBorder="1" applyAlignment="1" applyProtection="1">
      <alignment vertical="center"/>
      <protection locked="0"/>
    </xf>
    <xf numFmtId="5" fontId="9" fillId="0" borderId="62" xfId="0" applyNumberFormat="1" applyFont="1" applyBorder="1" applyAlignment="1" applyProtection="1">
      <alignment vertical="center"/>
      <protection locked="0"/>
    </xf>
    <xf numFmtId="0" fontId="9" fillId="0" borderId="63" xfId="0" applyFont="1" applyBorder="1" applyAlignment="1" applyProtection="1">
      <alignment horizontal="left" vertical="center" wrapText="1" indent="1"/>
      <protection locked="0"/>
    </xf>
    <xf numFmtId="166" fontId="9" fillId="0" borderId="64" xfId="3" applyNumberFormat="1" applyFont="1" applyBorder="1" applyAlignment="1" applyProtection="1">
      <alignment vertical="center"/>
      <protection locked="0"/>
    </xf>
    <xf numFmtId="5" fontId="9" fillId="0" borderId="65" xfId="0" applyNumberFormat="1" applyFont="1" applyBorder="1" applyAlignment="1" applyProtection="1">
      <alignment vertical="center"/>
      <protection locked="0"/>
    </xf>
    <xf numFmtId="49" fontId="9" fillId="0" borderId="59" xfId="0" applyNumberFormat="1" applyFont="1" applyFill="1" applyBorder="1" applyAlignment="1" applyProtection="1">
      <alignment horizontal="left" vertical="center" wrapText="1" indent="1"/>
      <protection locked="0"/>
    </xf>
    <xf numFmtId="49" fontId="9" fillId="0" borderId="52" xfId="3" applyNumberFormat="1" applyFont="1" applyFill="1" applyBorder="1" applyAlignment="1" applyProtection="1">
      <alignment horizontal="center" vertical="center"/>
      <protection locked="0"/>
    </xf>
    <xf numFmtId="37" fontId="9" fillId="0" borderId="52"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49" fontId="9" fillId="0" borderId="61" xfId="0" applyNumberFormat="1" applyFont="1" applyFill="1" applyBorder="1" applyAlignment="1" applyProtection="1">
      <alignment horizontal="left" vertical="center" wrapText="1" indent="1"/>
      <protection locked="0"/>
    </xf>
    <xf numFmtId="49" fontId="9" fillId="0" borderId="53" xfId="3" applyNumberFormat="1" applyFont="1" applyFill="1" applyBorder="1" applyAlignment="1" applyProtection="1">
      <alignment horizontal="center" vertical="center"/>
      <protection locked="0"/>
    </xf>
    <xf numFmtId="37" fontId="9" fillId="0" borderId="53" xfId="0" applyNumberFormat="1" applyFont="1" applyBorder="1" applyAlignment="1" applyProtection="1">
      <alignment vertical="center"/>
      <protection locked="0"/>
    </xf>
    <xf numFmtId="37" fontId="9" fillId="0" borderId="67" xfId="0" applyNumberFormat="1" applyFont="1" applyBorder="1" applyAlignment="1" applyProtection="1">
      <alignment vertical="center"/>
      <protection locked="0"/>
    </xf>
    <xf numFmtId="49" fontId="9" fillId="0" borderId="63" xfId="0" applyNumberFormat="1" applyFont="1" applyFill="1" applyBorder="1" applyAlignment="1" applyProtection="1">
      <alignment horizontal="left" vertical="center" wrapText="1" indent="1"/>
      <protection locked="0"/>
    </xf>
    <xf numFmtId="49" fontId="9" fillId="0" borderId="64" xfId="3" applyNumberFormat="1" applyFont="1" applyFill="1" applyBorder="1" applyAlignment="1" applyProtection="1">
      <alignment horizontal="center" vertical="center"/>
      <protection locked="0"/>
    </xf>
    <xf numFmtId="37" fontId="9" fillId="0" borderId="64" xfId="0" applyNumberFormat="1" applyFont="1" applyBorder="1" applyAlignment="1" applyProtection="1">
      <alignment vertical="center"/>
      <protection locked="0"/>
    </xf>
    <xf numFmtId="37" fontId="9" fillId="0" borderId="68" xfId="0" applyNumberFormat="1" applyFont="1" applyBorder="1" applyAlignment="1" applyProtection="1">
      <alignment vertical="center"/>
      <protection locked="0"/>
    </xf>
    <xf numFmtId="37" fontId="9" fillId="0" borderId="69" xfId="0" applyNumberFormat="1" applyFont="1" applyBorder="1" applyAlignment="1" applyProtection="1">
      <alignment vertical="center"/>
      <protection locked="0"/>
    </xf>
    <xf numFmtId="37" fontId="9" fillId="0" borderId="70" xfId="0" applyNumberFormat="1" applyFont="1" applyBorder="1" applyAlignment="1" applyProtection="1">
      <alignment vertical="center"/>
      <protection locked="0"/>
    </xf>
    <xf numFmtId="37" fontId="9" fillId="0" borderId="71" xfId="0" applyNumberFormat="1" applyFont="1" applyBorder="1" applyAlignment="1" applyProtection="1">
      <alignment vertical="center"/>
      <protection locked="0"/>
    </xf>
    <xf numFmtId="37" fontId="9" fillId="0" borderId="72" xfId="0" applyNumberFormat="1" applyFont="1" applyBorder="1" applyAlignment="1" applyProtection="1">
      <alignment horizontal="right" vertical="center"/>
      <protection locked="0"/>
    </xf>
    <xf numFmtId="37" fontId="9" fillId="0" borderId="73" xfId="0" applyNumberFormat="1" applyFont="1" applyBorder="1" applyAlignment="1" applyProtection="1">
      <alignment horizontal="right" vertical="center"/>
      <protection locked="0"/>
    </xf>
    <xf numFmtId="37" fontId="9" fillId="0" borderId="74" xfId="0" applyNumberFormat="1" applyFont="1" applyBorder="1" applyAlignment="1" applyProtection="1">
      <alignment horizontal="right" vertical="center"/>
      <protection locked="0"/>
    </xf>
    <xf numFmtId="5" fontId="9" fillId="0" borderId="75" xfId="0" applyNumberFormat="1" applyFont="1" applyBorder="1" applyAlignment="1" applyProtection="1">
      <alignment horizontal="right" vertical="center"/>
      <protection locked="0"/>
    </xf>
    <xf numFmtId="5" fontId="9" fillId="0" borderId="73" xfId="0" applyNumberFormat="1" applyFont="1" applyBorder="1" applyAlignment="1" applyProtection="1">
      <alignment horizontal="right" vertical="center"/>
      <protection locked="0"/>
    </xf>
    <xf numFmtId="166" fontId="9" fillId="0" borderId="73" xfId="3" applyNumberFormat="1" applyFont="1" applyBorder="1" applyAlignment="1" applyProtection="1">
      <alignment horizontal="right" vertical="center"/>
      <protection locked="0"/>
    </xf>
    <xf numFmtId="5" fontId="9" fillId="0" borderId="74" xfId="0" applyNumberFormat="1" applyFont="1" applyBorder="1" applyAlignment="1" applyProtection="1">
      <alignment horizontal="right" vertical="center"/>
      <protection locked="0"/>
    </xf>
    <xf numFmtId="37" fontId="9" fillId="0" borderId="75" xfId="0" applyNumberFormat="1" applyFont="1" applyBorder="1" applyAlignment="1" applyProtection="1">
      <alignment horizontal="right" vertical="center"/>
      <protection locked="0"/>
    </xf>
    <xf numFmtId="5" fontId="9" fillId="0" borderId="76"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52" xfId="5" applyNumberFormat="1" applyFont="1" applyFill="1" applyBorder="1" applyProtection="1">
      <protection locked="0"/>
    </xf>
    <xf numFmtId="37" fontId="9" fillId="0" borderId="77" xfId="5" applyNumberFormat="1" applyFont="1" applyFill="1" applyBorder="1" applyProtection="1">
      <protection locked="0"/>
    </xf>
    <xf numFmtId="37" fontId="9" fillId="0" borderId="53" xfId="5" applyNumberFormat="1" applyFont="1" applyFill="1" applyBorder="1" applyProtection="1">
      <protection locked="0"/>
    </xf>
    <xf numFmtId="37" fontId="9" fillId="0" borderId="54" xfId="5" applyNumberFormat="1" applyFont="1" applyFill="1" applyBorder="1" applyProtection="1">
      <protection locked="0"/>
    </xf>
    <xf numFmtId="37" fontId="9" fillId="0" borderId="64" xfId="5" applyNumberFormat="1" applyFont="1" applyFill="1" applyBorder="1" applyProtection="1">
      <protection locked="0"/>
    </xf>
    <xf numFmtId="37" fontId="9" fillId="0" borderId="78" xfId="5" applyNumberFormat="1" applyFont="1" applyFill="1" applyBorder="1" applyProtection="1">
      <protection locked="0"/>
    </xf>
    <xf numFmtId="37" fontId="9" fillId="0" borderId="79" xfId="5" applyNumberFormat="1" applyFont="1" applyFill="1" applyBorder="1" applyProtection="1">
      <protection locked="0"/>
    </xf>
    <xf numFmtId="37" fontId="9" fillId="0" borderId="56" xfId="5" applyNumberFormat="1" applyFont="1" applyFill="1" applyBorder="1" applyProtection="1">
      <protection locked="0"/>
    </xf>
    <xf numFmtId="37" fontId="9" fillId="0" borderId="80" xfId="5" applyNumberFormat="1" applyFont="1" applyFill="1" applyBorder="1" applyProtection="1">
      <protection locked="0"/>
    </xf>
    <xf numFmtId="37" fontId="9" fillId="0" borderId="59" xfId="5" applyNumberFormat="1" applyFont="1" applyFill="1" applyBorder="1" applyProtection="1">
      <protection locked="0"/>
    </xf>
    <xf numFmtId="37" fontId="9" fillId="0" borderId="61" xfId="5" applyNumberFormat="1" applyFont="1" applyFill="1" applyBorder="1" applyProtection="1">
      <protection locked="0"/>
    </xf>
    <xf numFmtId="37" fontId="9" fillId="0" borderId="63"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7" xfId="3" applyNumberFormat="1" applyFont="1" applyFill="1" applyBorder="1" applyAlignment="1">
      <alignment vertical="center"/>
    </xf>
    <xf numFmtId="0" fontId="0" fillId="0" borderId="47" xfId="0" applyBorder="1" applyAlignment="1">
      <alignment horizontal="left" vertical="center"/>
    </xf>
    <xf numFmtId="7" fontId="21" fillId="0" borderId="53"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81" xfId="0" applyFill="1" applyBorder="1" applyAlignment="1" applyProtection="1">
      <alignment vertical="center"/>
    </xf>
    <xf numFmtId="0" fontId="9" fillId="2" borderId="81" xfId="0" applyFont="1" applyFill="1" applyBorder="1" applyAlignment="1" applyProtection="1">
      <alignment horizontal="right" vertical="center"/>
    </xf>
    <xf numFmtId="9" fontId="9" fillId="6" borderId="25" xfId="3" applyFont="1" applyFill="1" applyBorder="1" applyAlignment="1" applyProtection="1">
      <alignment horizontal="center" vertical="center"/>
      <protection locked="0"/>
    </xf>
    <xf numFmtId="9" fontId="9" fillId="0" borderId="24" xfId="3" applyFont="1" applyBorder="1" applyAlignment="1" applyProtection="1">
      <alignment horizontal="center" vertical="center"/>
      <protection locked="0"/>
    </xf>
    <xf numFmtId="0" fontId="9" fillId="5" borderId="14"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0" fontId="9" fillId="6" borderId="14" xfId="0" applyFont="1" applyFill="1" applyBorder="1" applyAlignment="1" applyProtection="1">
      <alignment horizontal="center" vertical="center"/>
      <protection locked="0"/>
    </xf>
    <xf numFmtId="0" fontId="9" fillId="6" borderId="24" xfId="0" applyFont="1" applyFill="1" applyBorder="1" applyAlignment="1" applyProtection="1">
      <alignment horizontal="center" vertical="center"/>
      <protection locked="0"/>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2" xfId="0" applyFont="1" applyFill="1" applyBorder="1" applyAlignment="1">
      <alignment horizontal="center" vertical="center"/>
    </xf>
    <xf numFmtId="0" fontId="24" fillId="3" borderId="40" xfId="0" applyFont="1" applyFill="1" applyBorder="1" applyAlignment="1">
      <alignment horizontal="center" vertical="center"/>
    </xf>
    <xf numFmtId="0" fontId="24" fillId="0" borderId="21" xfId="0" quotePrefix="1" applyFont="1" applyBorder="1" applyProtection="1"/>
    <xf numFmtId="0" fontId="24" fillId="0" borderId="21" xfId="0" quotePrefix="1" applyFont="1" applyBorder="1" applyAlignment="1" applyProtection="1">
      <alignment vertical="center"/>
    </xf>
    <xf numFmtId="0" fontId="24" fillId="0" borderId="21" xfId="0" applyFont="1" applyBorder="1" applyAlignment="1" applyProtection="1">
      <alignment vertical="center"/>
    </xf>
    <xf numFmtId="0" fontId="24" fillId="0" borderId="21" xfId="0" applyFont="1" applyBorder="1" applyProtection="1"/>
    <xf numFmtId="0" fontId="24" fillId="0" borderId="23"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53" xfId="0" applyNumberFormat="1" applyFont="1" applyBorder="1" applyAlignment="1" applyProtection="1">
      <alignment horizontal="center" vertical="center"/>
      <protection locked="0"/>
    </xf>
    <xf numFmtId="0" fontId="24" fillId="3" borderId="22"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47" fillId="0" borderId="21" xfId="0" applyFont="1" applyBorder="1"/>
    <xf numFmtId="0" fontId="47" fillId="0" borderId="21" xfId="0" applyFont="1" applyBorder="1" applyAlignment="1">
      <alignment vertical="center"/>
    </xf>
    <xf numFmtId="0" fontId="47" fillId="0" borderId="7" xfId="0" applyFont="1" applyBorder="1"/>
    <xf numFmtId="0" fontId="47" fillId="0" borderId="23"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53" xfId="0" applyNumberFormat="1" applyFont="1" applyBorder="1" applyAlignment="1" applyProtection="1">
      <alignment horizontal="left"/>
    </xf>
    <xf numFmtId="0" fontId="0" fillId="0" borderId="82"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53" xfId="0" applyNumberFormat="1" applyFont="1" applyBorder="1" applyAlignment="1" applyProtection="1">
      <alignment horizontal="left" vertical="center"/>
      <protection locked="0"/>
    </xf>
    <xf numFmtId="164" fontId="9" fillId="0" borderId="53" xfId="0" applyNumberFormat="1" applyFont="1" applyBorder="1" applyAlignment="1" applyProtection="1">
      <alignment horizontal="center" vertical="center"/>
      <protection locked="0"/>
    </xf>
    <xf numFmtId="0" fontId="9" fillId="0" borderId="53"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0" fillId="4" borderId="0"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0" fillId="4" borderId="0" xfId="0" applyFill="1" applyBorder="1" applyAlignment="1">
      <alignment horizontal="center"/>
    </xf>
    <xf numFmtId="0" fontId="7" fillId="4" borderId="0" xfId="0" applyFont="1" applyFill="1" applyBorder="1" applyAlignment="1">
      <alignment vertical="center"/>
    </xf>
    <xf numFmtId="0" fontId="7" fillId="4" borderId="0" xfId="0" applyFont="1" applyFill="1" applyBorder="1" applyProtection="1"/>
    <xf numFmtId="0" fontId="7" fillId="4" borderId="0" xfId="0" applyFont="1" applyFill="1" applyBorder="1" applyAlignment="1" applyProtection="1">
      <alignment horizontal="center" vertical="center" wrapText="1"/>
    </xf>
    <xf numFmtId="0" fontId="0" fillId="4" borderId="0" xfId="0" applyFill="1" applyBorder="1"/>
    <xf numFmtId="0" fontId="7" fillId="4" borderId="6" xfId="0" applyFont="1" applyFill="1" applyBorder="1" applyAlignment="1">
      <alignment vertical="center"/>
    </xf>
    <xf numFmtId="0" fontId="0" fillId="4" borderId="0" xfId="0" applyFill="1" applyBorder="1" applyAlignment="1">
      <alignment horizontal="lef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0" fillId="4" borderId="9" xfId="0" applyFont="1" applyFill="1" applyBorder="1" applyAlignment="1">
      <alignment horizontal="center"/>
    </xf>
    <xf numFmtId="0" fontId="55" fillId="4" borderId="0" xfId="0" applyFont="1" applyFill="1" applyBorder="1" applyAlignment="1">
      <alignment horizont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4" borderId="0" xfId="0" applyFill="1" applyBorder="1" applyAlignment="1">
      <alignment textRotation="90"/>
    </xf>
    <xf numFmtId="0" fontId="7" fillId="4" borderId="22" xfId="0" applyFont="1" applyFill="1" applyBorder="1" applyAlignment="1">
      <alignment textRotation="90"/>
    </xf>
    <xf numFmtId="0" fontId="7" fillId="4" borderId="83" xfId="0" applyFont="1" applyFill="1" applyBorder="1" applyAlignment="1">
      <alignment textRotation="90"/>
    </xf>
    <xf numFmtId="0" fontId="7" fillId="4" borderId="30" xfId="0" applyFont="1" applyFill="1" applyBorder="1" applyAlignment="1">
      <alignment textRotation="90"/>
    </xf>
    <xf numFmtId="0" fontId="7" fillId="4" borderId="28" xfId="0" applyFont="1" applyFill="1" applyBorder="1" applyAlignment="1">
      <alignment textRotation="90"/>
    </xf>
    <xf numFmtId="0" fontId="0" fillId="7" borderId="4" xfId="0" applyFill="1" applyBorder="1" applyAlignment="1">
      <alignment vertical="center"/>
    </xf>
    <xf numFmtId="0" fontId="0" fillId="7" borderId="5" xfId="0" applyFill="1" applyBorder="1" applyAlignment="1">
      <alignment vertical="center"/>
    </xf>
    <xf numFmtId="0" fontId="0" fillId="7" borderId="6" xfId="0" applyFill="1" applyBorder="1" applyAlignment="1">
      <alignment vertical="center"/>
    </xf>
    <xf numFmtId="0" fontId="0" fillId="7" borderId="7" xfId="0" applyFill="1" applyBorder="1" applyAlignment="1">
      <alignment vertical="center"/>
    </xf>
    <xf numFmtId="0" fontId="0" fillId="7" borderId="6" xfId="0" applyFill="1" applyBorder="1" applyAlignment="1">
      <alignment textRotation="180"/>
    </xf>
    <xf numFmtId="0" fontId="0" fillId="7" borderId="6" xfId="0" applyFill="1" applyBorder="1" applyAlignment="1">
      <alignment horizontal="center"/>
    </xf>
    <xf numFmtId="0" fontId="0" fillId="7" borderId="6" xfId="0" applyFill="1" applyBorder="1"/>
    <xf numFmtId="0" fontId="0" fillId="7" borderId="7" xfId="0" applyFill="1" applyBorder="1"/>
    <xf numFmtId="0" fontId="0" fillId="7" borderId="6" xfId="0" applyFont="1" applyFill="1" applyBorder="1" applyAlignment="1">
      <alignment horizontal="center"/>
    </xf>
    <xf numFmtId="0" fontId="0" fillId="7" borderId="7" xfId="0" applyFill="1" applyBorder="1" applyAlignment="1">
      <alignment horizontal="center"/>
    </xf>
    <xf numFmtId="0" fontId="13" fillId="7" borderId="6" xfId="0" applyFont="1" applyFill="1" applyBorder="1" applyAlignment="1">
      <alignment horizontal="center"/>
    </xf>
    <xf numFmtId="0" fontId="0" fillId="7" borderId="8" xfId="0" applyFont="1" applyFill="1" applyBorder="1" applyAlignment="1">
      <alignment horizontal="center"/>
    </xf>
    <xf numFmtId="0" fontId="0" fillId="7" borderId="10" xfId="0" applyFill="1" applyBorder="1" applyAlignment="1">
      <alignment horizontal="center"/>
    </xf>
    <xf numFmtId="0" fontId="7" fillId="7" borderId="6" xfId="0" applyFont="1" applyFill="1" applyBorder="1"/>
    <xf numFmtId="0" fontId="7" fillId="7" borderId="7" xfId="0" applyFont="1" applyFill="1" applyBorder="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0" borderId="7" xfId="0" applyBorder="1" applyProtection="1"/>
    <xf numFmtId="0" fontId="0" fillId="4" borderId="50" xfId="0" applyFill="1" applyBorder="1" applyAlignment="1">
      <alignment vertical="center"/>
    </xf>
    <xf numFmtId="167" fontId="0" fillId="0" borderId="6" xfId="0" applyNumberFormat="1" applyBorder="1" applyAlignment="1">
      <alignment horizontal="left"/>
    </xf>
    <xf numFmtId="167" fontId="0" fillId="0" borderId="8" xfId="0" applyNumberFormat="1" applyBorder="1" applyAlignment="1">
      <alignment horizontal="left"/>
    </xf>
    <xf numFmtId="0" fontId="0" fillId="0" borderId="2" xfId="0" applyBorder="1" applyAlignment="1">
      <alignment vertical="top"/>
    </xf>
    <xf numFmtId="0" fontId="0" fillId="0" borderId="5" xfId="0" applyBorder="1" applyAlignment="1">
      <alignment vertical="top"/>
    </xf>
    <xf numFmtId="0" fontId="0" fillId="0" borderId="9" xfId="0" applyFill="1" applyBorder="1"/>
    <xf numFmtId="49" fontId="9" fillId="0" borderId="9" xfId="0" applyNumberFormat="1" applyFont="1" applyBorder="1"/>
    <xf numFmtId="167" fontId="0" fillId="0" borderId="9" xfId="0" applyNumberFormat="1" applyBorder="1" applyAlignment="1">
      <alignment horizontal="center"/>
    </xf>
    <xf numFmtId="0" fontId="24" fillId="3" borderId="7" xfId="0" applyFont="1" applyFill="1" applyBorder="1" applyAlignment="1" applyProtection="1">
      <alignment vertical="center"/>
    </xf>
    <xf numFmtId="0" fontId="0" fillId="0" borderId="4" xfId="0" applyFont="1" applyBorder="1" applyAlignment="1">
      <alignment vertical="top"/>
    </xf>
    <xf numFmtId="0" fontId="47" fillId="0" borderId="7" xfId="0" applyFont="1" applyBorder="1" applyAlignment="1">
      <alignment vertical="center"/>
    </xf>
    <xf numFmtId="49" fontId="9" fillId="0" borderId="54" xfId="0" applyNumberFormat="1" applyFont="1" applyBorder="1" applyAlignment="1" applyProtection="1">
      <alignment horizontal="center" vertical="center"/>
      <protection locked="0"/>
    </xf>
    <xf numFmtId="49" fontId="9" fillId="0" borderId="55" xfId="0" applyNumberFormat="1" applyFont="1" applyBorder="1" applyAlignment="1" applyProtection="1">
      <alignment horizontal="center" vertical="center"/>
      <protection locked="0"/>
    </xf>
    <xf numFmtId="164" fontId="9" fillId="2" borderId="58" xfId="0" applyNumberFormat="1" applyFont="1" applyFill="1" applyBorder="1" applyAlignment="1" applyProtection="1">
      <alignment horizontal="left" vertical="center"/>
    </xf>
    <xf numFmtId="164" fontId="0" fillId="0" borderId="58" xfId="0" applyNumberFormat="1" applyBorder="1" applyAlignment="1" applyProtection="1">
      <alignment horizontal="left" vertical="center"/>
    </xf>
    <xf numFmtId="49" fontId="9" fillId="2" borderId="58" xfId="0" applyNumberFormat="1" applyFont="1" applyFill="1" applyBorder="1" applyAlignment="1" applyProtection="1">
      <alignment horizontal="left" vertical="center"/>
    </xf>
    <xf numFmtId="49" fontId="0" fillId="0" borderId="58" xfId="0" applyNumberFormat="1" applyBorder="1" applyAlignment="1">
      <alignment horizontal="left" vertical="center"/>
    </xf>
    <xf numFmtId="0" fontId="9" fillId="2" borderId="58" xfId="0" applyNumberFormat="1" applyFont="1" applyFill="1" applyBorder="1" applyAlignment="1" applyProtection="1">
      <alignment horizontal="left" vertical="center"/>
    </xf>
    <xf numFmtId="0" fontId="0" fillId="0" borderId="58" xfId="0" applyNumberFormat="1" applyBorder="1" applyAlignment="1" applyProtection="1">
      <alignment horizontal="left" vertical="center"/>
    </xf>
    <xf numFmtId="164" fontId="0" fillId="0" borderId="58" xfId="0" applyNumberFormat="1" applyBorder="1" applyAlignment="1">
      <alignment horizontal="left" vertical="center"/>
    </xf>
    <xf numFmtId="164" fontId="9" fillId="2" borderId="58" xfId="0" applyNumberFormat="1" applyFont="1" applyFill="1" applyBorder="1" applyAlignment="1" applyProtection="1">
      <alignment horizontal="left" vertical="center"/>
      <protection locked="0"/>
    </xf>
    <xf numFmtId="164" fontId="0" fillId="0" borderId="58" xfId="0" applyNumberFormat="1" applyBorder="1" applyAlignment="1" applyProtection="1">
      <alignment horizontal="left" vertical="center"/>
      <protection locked="0"/>
    </xf>
    <xf numFmtId="49" fontId="9" fillId="0" borderId="56" xfId="0" applyNumberFormat="1" applyFont="1" applyBorder="1" applyAlignment="1" applyProtection="1">
      <alignment horizontal="center" vertical="center"/>
      <protection locked="0"/>
    </xf>
    <xf numFmtId="49" fontId="13" fillId="0" borderId="54" xfId="0" applyNumberFormat="1" applyFont="1" applyBorder="1" applyAlignment="1" applyProtection="1">
      <alignment horizontal="center" vertical="center"/>
      <protection locked="0"/>
    </xf>
    <xf numFmtId="49" fontId="13" fillId="0" borderId="55" xfId="0" applyNumberFormat="1" applyFont="1" applyBorder="1" applyAlignment="1" applyProtection="1">
      <alignment horizontal="center" vertical="center"/>
      <protection locked="0"/>
    </xf>
    <xf numFmtId="49" fontId="9" fillId="0" borderId="54" xfId="0" applyNumberFormat="1" applyFont="1" applyBorder="1" applyAlignment="1" applyProtection="1">
      <alignment horizontal="left" vertical="center"/>
      <protection locked="0"/>
    </xf>
    <xf numFmtId="49" fontId="9" fillId="0" borderId="56" xfId="0" applyNumberFormat="1" applyFont="1" applyBorder="1" applyAlignment="1" applyProtection="1">
      <alignment horizontal="left" vertical="center"/>
      <protection locked="0"/>
    </xf>
    <xf numFmtId="49" fontId="9" fillId="0" borderId="55" xfId="0" applyNumberFormat="1" applyFont="1" applyBorder="1" applyAlignment="1" applyProtection="1">
      <alignment horizontal="left" vertical="center"/>
      <protection locked="0"/>
    </xf>
    <xf numFmtId="0" fontId="9" fillId="0" borderId="54"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8" xfId="3" applyNumberFormat="1" applyFont="1" applyFill="1" applyBorder="1" applyAlignment="1" applyProtection="1">
      <alignment horizontal="left" vertical="center"/>
    </xf>
    <xf numFmtId="170" fontId="9" fillId="0" borderId="54" xfId="0" applyNumberFormat="1" applyFont="1" applyBorder="1" applyAlignment="1" applyProtection="1">
      <alignment horizontal="center" vertical="center"/>
      <protection locked="0"/>
    </xf>
    <xf numFmtId="170" fontId="9" fillId="0" borderId="56" xfId="0" applyNumberFormat="1" applyFont="1" applyBorder="1" applyAlignment="1" applyProtection="1">
      <alignment horizontal="center" vertical="center"/>
      <protection locked="0"/>
    </xf>
    <xf numFmtId="170" fontId="9" fillId="0" borderId="55" xfId="0" applyNumberFormat="1" applyFont="1" applyBorder="1" applyAlignment="1" applyProtection="1">
      <alignment horizontal="center" vertical="center"/>
      <protection locked="0"/>
    </xf>
    <xf numFmtId="0" fontId="9" fillId="0" borderId="83" xfId="0" applyFont="1" applyBorder="1" applyAlignment="1" applyProtection="1">
      <alignment horizontal="left" vertical="top" wrapText="1"/>
      <protection locked="0"/>
    </xf>
    <xf numFmtId="0" fontId="9" fillId="0" borderId="30" xfId="0" applyFont="1" applyBorder="1" applyAlignment="1" applyProtection="1">
      <alignment horizontal="left" vertical="top" wrapText="1"/>
      <protection locked="0"/>
    </xf>
    <xf numFmtId="0" fontId="9" fillId="0" borderId="28"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37" fontId="0" fillId="0" borderId="21" xfId="0" applyNumberFormat="1" applyBorder="1" applyAlignment="1">
      <alignment horizontal="center" vertical="center" shrinkToFit="1"/>
    </xf>
    <xf numFmtId="37" fontId="0" fillId="0" borderId="50" xfId="0" applyNumberFormat="1" applyBorder="1" applyAlignment="1">
      <alignment horizontal="center" vertical="center" shrinkToFit="1"/>
    </xf>
    <xf numFmtId="0" fontId="0" fillId="0" borderId="6"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37" fontId="0" fillId="0" borderId="51" xfId="0" applyNumberFormat="1" applyBorder="1" applyAlignment="1">
      <alignment horizontal="center" vertical="center" shrinkToFi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cellXfs>
  <cellStyles count="7">
    <cellStyle name="Comma" xfId="5" builtinId="3"/>
    <cellStyle name="Hyperlink" xfId="1" builtinId="8"/>
    <cellStyle name="Normal" xfId="0" builtinId="0"/>
    <cellStyle name="Normal 2" xfId="2"/>
    <cellStyle name="Normal 2 2" xfId="6"/>
    <cellStyle name="Percent" xfId="3" builtinId="5"/>
    <cellStyle name="Percent 3" xfId="4"/>
  </cellStyles>
  <dxfs count="15">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1" dropStyle="combo" dx="16" fmlaLink="References!$F$5" fmlaRange="List_GeneralLine" sel="14"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Drop" dropLines="2" dropStyle="combo" dx="16" fmlaLink="$F$6" fmlaRange="List_YNIndicator" sel="2" val="0"/>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fmlaLink="No_Fees"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fmlaLink="Change_Fees" lockText="1"/>
</file>

<file path=xl/ctrlProps/ctrlProp83.xml><?xml version="1.0" encoding="utf-8"?>
<formControlPr xmlns="http://schemas.microsoft.com/office/spreadsheetml/2009/9/main" objectType="Button"/>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fmlaLink="$E$12"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checked="Checked" lockText="1"/>
</file>

<file path=xl/ctrlProps/ctrlProp91.xml><?xml version="1.0" encoding="utf-8"?>
<formControlPr xmlns="http://schemas.microsoft.com/office/spreadsheetml/2009/9/main" objectType="CheckBox" checked="Checked" lockText="1"/>
</file>

<file path=xl/ctrlProps/ctrlProp92.xml><?xml version="1.0" encoding="utf-8"?>
<formControlPr xmlns="http://schemas.microsoft.com/office/spreadsheetml/2009/9/main" objectType="Drop" dropLines="23" dropStyle="combo" dx="16" fmlaLink="$H$23" fmlaRange="References!$H$6:$H$28" sel="23" val="0"/>
</file>

<file path=xl/ctrlProps/ctrlProp93.xml><?xml version="1.0" encoding="utf-8"?>
<formControlPr xmlns="http://schemas.microsoft.com/office/spreadsheetml/2009/9/main" objectType="Drop" dropLines="23" dropStyle="combo" dx="16" fmlaLink="$H$26" fmlaRange="References!$H$6:$H$28" sel="23" val="0"/>
</file>

<file path=xl/ctrlProps/ctrlProp94.xml><?xml version="1.0" encoding="utf-8"?>
<formControlPr xmlns="http://schemas.microsoft.com/office/spreadsheetml/2009/9/main" objectType="Drop" dropLines="23" dropStyle="combo" dx="16" fmlaLink="$H$29" fmlaRange="References!$H$6:$H$28" sel="23" val="0"/>
</file>

<file path=xl/ctrlProps/ctrlProp95.xml><?xml version="1.0" encoding="utf-8"?>
<formControlPr xmlns="http://schemas.microsoft.com/office/spreadsheetml/2009/9/main" objectType="Drop" dropLines="23" dropStyle="combo" dx="16" fmlaLink="$H$16" fmlaRange="References!$H$6:$H$28" sel="23" val="0"/>
</file>

<file path=xl/ctrlProps/ctrlProp96.xml><?xml version="1.0" encoding="utf-8"?>
<formControlPr xmlns="http://schemas.microsoft.com/office/spreadsheetml/2009/9/main" objectType="Drop" dropLines="23" dropStyle="combo" dx="16" fmlaLink="$H$20" fmlaRange="References!$H$6:$H$28" sel="23" val="0"/>
</file>

<file path=xl/ctrlProps/ctrlProp97.xml><?xml version="1.0" encoding="utf-8"?>
<formControlPr xmlns="http://schemas.microsoft.com/office/spreadsheetml/2009/9/main" objectType="Drop" dropLines="23" dropStyle="combo" dx="16" fmlaLink="$H$32" fmlaRange="References!$H$6:$H$28" sel="23" val="0"/>
</file>

<file path=xl/ctrlProps/ctrlProp98.xml><?xml version="1.0" encoding="utf-8"?>
<formControlPr xmlns="http://schemas.microsoft.com/office/spreadsheetml/2009/9/main" objectType="Drop" dropLines="23" dropStyle="combo" dx="16" fmlaLink="$H$35" fmlaRange="References!$H$6:$H$28" sel="23" val="0"/>
</file>

<file path=xl/ctrlProps/ctrlProp99.xml><?xml version="1.0" encoding="utf-8"?>
<formControlPr xmlns="http://schemas.microsoft.com/office/spreadsheetml/2009/9/main" objectType="Drop" dropLines="23" dropStyle="combo" dx="16" fmlaLink="$H$38" fmlaRange="References!$H$6:$H$28" sel="23" val="0"/>
</file>

<file path=xl/ctrlProps/ctrlProp100.xml><?xml version="1.0" encoding="utf-8"?>
<formControlPr xmlns="http://schemas.microsoft.com/office/spreadsheetml/2009/9/main" objectType="Drop" dropLines="23" dropStyle="combo" dx="16" fmlaLink="$H$41" fmlaRange="References!$H$6:$H$28" sel="23" val="0"/>
</file>

<file path=xl/ctrlProps/ctrlProp101.xml><?xml version="1.0" encoding="utf-8"?>
<formControlPr xmlns="http://schemas.microsoft.com/office/spreadsheetml/2009/9/main" objectType="Drop" dropLines="23" dropStyle="combo" dx="16" fmlaLink="$H$44" fmlaRange="References!$H$6:$H$28" sel="23"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74754" name="Check Box 2" hidden="1">
              <a:extLst>
                <a:ext uri="{63B3BB69-23CF-44E3-9099-C40C66FF867C}">
                  <a14:compatExt spid="_x0000_s747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74755" name="Check Box 3" hidden="1">
              <a:extLst>
                <a:ext uri="{63B3BB69-23CF-44E3-9099-C40C66FF867C}">
                  <a14:compatExt spid="_x0000_s747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27</xdr:row>
          <xdr:rowOff>19050</xdr:rowOff>
        </xdr:to>
        <xdr:sp macro="" textlink="">
          <xdr:nvSpPr>
            <xdr:cNvPr id="74756" name="Check Box 4" hidden="1">
              <a:extLst>
                <a:ext uri="{63B3BB69-23CF-44E3-9099-C40C66FF867C}">
                  <a14:compatExt spid="_x0000_s747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27</xdr:row>
          <xdr:rowOff>19050</xdr:rowOff>
        </xdr:to>
        <xdr:sp macro="" textlink="">
          <xdr:nvSpPr>
            <xdr:cNvPr id="74757" name="Check Box 5" hidden="1">
              <a:extLst>
                <a:ext uri="{63B3BB69-23CF-44E3-9099-C40C66FF867C}">
                  <a14:compatExt spid="_x0000_s747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29</xdr:row>
          <xdr:rowOff>19050</xdr:rowOff>
        </xdr:to>
        <xdr:sp macro="" textlink="">
          <xdr:nvSpPr>
            <xdr:cNvPr id="74758" name="Check Box 6" hidden="1">
              <a:extLst>
                <a:ext uri="{63B3BB69-23CF-44E3-9099-C40C66FF867C}">
                  <a14:compatExt spid="_x0000_s747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29</xdr:row>
          <xdr:rowOff>19050</xdr:rowOff>
        </xdr:to>
        <xdr:sp macro="" textlink="">
          <xdr:nvSpPr>
            <xdr:cNvPr id="74759" name="Check Box 7" hidden="1">
              <a:extLst>
                <a:ext uri="{63B3BB69-23CF-44E3-9099-C40C66FF867C}">
                  <a14:compatExt spid="_x0000_s747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47</xdr:row>
          <xdr:rowOff>19050</xdr:rowOff>
        </xdr:to>
        <xdr:sp macro="" textlink="">
          <xdr:nvSpPr>
            <xdr:cNvPr id="74760" name="Check Box 8" hidden="1">
              <a:extLst>
                <a:ext uri="{63B3BB69-23CF-44E3-9099-C40C66FF867C}">
                  <a14:compatExt spid="_x0000_s747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19050</xdr:rowOff>
        </xdr:to>
        <xdr:sp macro="" textlink="">
          <xdr:nvSpPr>
            <xdr:cNvPr id="74761" name="Check Box 9" hidden="1">
              <a:extLst>
                <a:ext uri="{63B3BB69-23CF-44E3-9099-C40C66FF867C}">
                  <a14:compatExt spid="_x0000_s747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51</xdr:row>
          <xdr:rowOff>19050</xdr:rowOff>
        </xdr:to>
        <xdr:sp macro="" textlink="">
          <xdr:nvSpPr>
            <xdr:cNvPr id="74762" name="Check Box 10" hidden="1">
              <a:extLst>
                <a:ext uri="{63B3BB69-23CF-44E3-9099-C40C66FF867C}">
                  <a14:compatExt spid="_x0000_s747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51</xdr:row>
          <xdr:rowOff>19050</xdr:rowOff>
        </xdr:to>
        <xdr:sp macro="" textlink="">
          <xdr:nvSpPr>
            <xdr:cNvPr id="74763" name="Check Box 11" hidden="1">
              <a:extLst>
                <a:ext uri="{63B3BB69-23CF-44E3-9099-C40C66FF867C}">
                  <a14:compatExt spid="_x0000_s747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0</xdr:rowOff>
        </xdr:from>
        <xdr:to>
          <xdr:col>0</xdr:col>
          <xdr:colOff>295275</xdr:colOff>
          <xdr:row>54</xdr:row>
          <xdr:rowOff>19050</xdr:rowOff>
        </xdr:to>
        <xdr:sp macro="" textlink="">
          <xdr:nvSpPr>
            <xdr:cNvPr id="74764" name="Check Box 12" hidden="1">
              <a:extLst>
                <a:ext uri="{63B3BB69-23CF-44E3-9099-C40C66FF867C}">
                  <a14:compatExt spid="_x0000_s747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55</xdr:row>
          <xdr:rowOff>19050</xdr:rowOff>
        </xdr:to>
        <xdr:sp macro="" textlink="">
          <xdr:nvSpPr>
            <xdr:cNvPr id="74765" name="Check Box 13" hidden="1">
              <a:extLst>
                <a:ext uri="{63B3BB69-23CF-44E3-9099-C40C66FF867C}">
                  <a14:compatExt spid="_x0000_s747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0</xdr:rowOff>
        </xdr:from>
        <xdr:to>
          <xdr:col>0</xdr:col>
          <xdr:colOff>295275</xdr:colOff>
          <xdr:row>58</xdr:row>
          <xdr:rowOff>19050</xdr:rowOff>
        </xdr:to>
        <xdr:sp macro="" textlink="">
          <xdr:nvSpPr>
            <xdr:cNvPr id="74766" name="Check Box 14" hidden="1">
              <a:extLst>
                <a:ext uri="{63B3BB69-23CF-44E3-9099-C40C66FF867C}">
                  <a14:compatExt spid="_x0000_s747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142875</xdr:colOff>
          <xdr:row>5</xdr:row>
          <xdr:rowOff>9525</xdr:rowOff>
        </xdr:to>
        <xdr:sp macro="" textlink="">
          <xdr:nvSpPr>
            <xdr:cNvPr id="20481" name="Button 1" hidden="1">
              <a:extLst>
                <a:ext uri="{63B3BB69-23CF-44E3-9099-C40C66FF867C}">
                  <a14:compatExt spid="_x0000_s20481"/>
                </a:ext>
                <a:ext uri="{FF2B5EF4-FFF2-40B4-BE49-F238E27FC236}">
                  <a16:creationId xmlns=""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5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3</xdr:row>
          <xdr:rowOff>276225</xdr:rowOff>
        </xdr:from>
        <xdr:to>
          <xdr:col>11</xdr:col>
          <xdr:colOff>38100</xdr:colOff>
          <xdr:row>5</xdr:row>
          <xdr:rowOff>9525</xdr:rowOff>
        </xdr:to>
        <xdr:sp macro="" textlink="">
          <xdr:nvSpPr>
            <xdr:cNvPr id="20484" name="Button 4" hidden="1">
              <a:extLst>
                <a:ext uri="{63B3BB69-23CF-44E3-9099-C40C66FF867C}">
                  <a14:compatExt spid="_x0000_s20484"/>
                </a:ext>
                <a:ext uri="{FF2B5EF4-FFF2-40B4-BE49-F238E27FC236}">
                  <a16:creationId xmlns=""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5 Forms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26" Type="http://schemas.openxmlformats.org/officeDocument/2006/relationships/ctrlProp" Target="../ctrlProps/ctrlProp61.xml"/><Relationship Id="rId39" Type="http://schemas.openxmlformats.org/officeDocument/2006/relationships/ctrlProp" Target="../ctrlProps/ctrlProp74.xml"/><Relationship Id="rId3" Type="http://schemas.openxmlformats.org/officeDocument/2006/relationships/vmlDrawing" Target="../drawings/vmlDrawing6.vml"/><Relationship Id="rId21" Type="http://schemas.openxmlformats.org/officeDocument/2006/relationships/ctrlProp" Target="../ctrlProps/ctrlProp56.xml"/><Relationship Id="rId34" Type="http://schemas.openxmlformats.org/officeDocument/2006/relationships/ctrlProp" Target="../ctrlProps/ctrlProp69.xml"/><Relationship Id="rId42" Type="http://schemas.openxmlformats.org/officeDocument/2006/relationships/ctrlProp" Target="../ctrlProps/ctrlProp77.xml"/><Relationship Id="rId47" Type="http://schemas.openxmlformats.org/officeDocument/2006/relationships/ctrlProp" Target="../ctrlProps/ctrlProp82.x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5" Type="http://schemas.openxmlformats.org/officeDocument/2006/relationships/ctrlProp" Target="../ctrlProps/ctrlProp60.xml"/><Relationship Id="rId33" Type="http://schemas.openxmlformats.org/officeDocument/2006/relationships/ctrlProp" Target="../ctrlProps/ctrlProp68.xml"/><Relationship Id="rId38" Type="http://schemas.openxmlformats.org/officeDocument/2006/relationships/ctrlProp" Target="../ctrlProps/ctrlProp73.xml"/><Relationship Id="rId46"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51.xml"/><Relationship Id="rId20" Type="http://schemas.openxmlformats.org/officeDocument/2006/relationships/ctrlProp" Target="../ctrlProps/ctrlProp55.xml"/><Relationship Id="rId29" Type="http://schemas.openxmlformats.org/officeDocument/2006/relationships/ctrlProp" Target="../ctrlProps/ctrlProp64.xml"/><Relationship Id="rId41" Type="http://schemas.openxmlformats.org/officeDocument/2006/relationships/ctrlProp" Target="../ctrlProps/ctrlProp76.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11" Type="http://schemas.openxmlformats.org/officeDocument/2006/relationships/ctrlProp" Target="../ctrlProps/ctrlProp46.xml"/><Relationship Id="rId24" Type="http://schemas.openxmlformats.org/officeDocument/2006/relationships/ctrlProp" Target="../ctrlProps/ctrlProp59.xml"/><Relationship Id="rId32" Type="http://schemas.openxmlformats.org/officeDocument/2006/relationships/ctrlProp" Target="../ctrlProps/ctrlProp67.xml"/><Relationship Id="rId37" Type="http://schemas.openxmlformats.org/officeDocument/2006/relationships/ctrlProp" Target="../ctrlProps/ctrlProp72.xml"/><Relationship Id="rId40" Type="http://schemas.openxmlformats.org/officeDocument/2006/relationships/ctrlProp" Target="../ctrlProps/ctrlProp75.xml"/><Relationship Id="rId45" Type="http://schemas.openxmlformats.org/officeDocument/2006/relationships/ctrlProp" Target="../ctrlProps/ctrlProp80.xml"/><Relationship Id="rId5" Type="http://schemas.openxmlformats.org/officeDocument/2006/relationships/ctrlProp" Target="../ctrlProps/ctrlProp40.xml"/><Relationship Id="rId15" Type="http://schemas.openxmlformats.org/officeDocument/2006/relationships/ctrlProp" Target="../ctrlProps/ctrlProp50.xml"/><Relationship Id="rId23" Type="http://schemas.openxmlformats.org/officeDocument/2006/relationships/ctrlProp" Target="../ctrlProps/ctrlProp58.xml"/><Relationship Id="rId28" Type="http://schemas.openxmlformats.org/officeDocument/2006/relationships/ctrlProp" Target="../ctrlProps/ctrlProp63.xml"/><Relationship Id="rId36" Type="http://schemas.openxmlformats.org/officeDocument/2006/relationships/ctrlProp" Target="../ctrlProps/ctrlProp71.xml"/><Relationship Id="rId10" Type="http://schemas.openxmlformats.org/officeDocument/2006/relationships/ctrlProp" Target="../ctrlProps/ctrlProp45.xml"/><Relationship Id="rId19" Type="http://schemas.openxmlformats.org/officeDocument/2006/relationships/ctrlProp" Target="../ctrlProps/ctrlProp54.xml"/><Relationship Id="rId31" Type="http://schemas.openxmlformats.org/officeDocument/2006/relationships/ctrlProp" Target="../ctrlProps/ctrlProp66.xml"/><Relationship Id="rId44" Type="http://schemas.openxmlformats.org/officeDocument/2006/relationships/ctrlProp" Target="../ctrlProps/ctrlProp79.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 Id="rId22" Type="http://schemas.openxmlformats.org/officeDocument/2006/relationships/ctrlProp" Target="../ctrlProps/ctrlProp57.xml"/><Relationship Id="rId27" Type="http://schemas.openxmlformats.org/officeDocument/2006/relationships/ctrlProp" Target="../ctrlProps/ctrlProp62.xml"/><Relationship Id="rId30" Type="http://schemas.openxmlformats.org/officeDocument/2006/relationships/ctrlProp" Target="../ctrlProps/ctrlProp65.xml"/><Relationship Id="rId35" Type="http://schemas.openxmlformats.org/officeDocument/2006/relationships/ctrlProp" Target="../ctrlProps/ctrlProp70.xml"/><Relationship Id="rId43" Type="http://schemas.openxmlformats.org/officeDocument/2006/relationships/ctrlProp" Target="../ctrlProps/ctrlProp7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8.vml"/><Relationship Id="rId7" Type="http://schemas.openxmlformats.org/officeDocument/2006/relationships/ctrlProp" Target="../ctrlProps/ctrlProp88.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9.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F34"/>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5" x14ac:dyDescent="0.25">
      <c r="A1" s="219" t="s">
        <v>116</v>
      </c>
      <c r="B1" s="71"/>
    </row>
    <row r="2" spans="1:5" x14ac:dyDescent="0.25">
      <c r="A2" s="71"/>
      <c r="B2" s="71"/>
    </row>
    <row r="3" spans="1:5" x14ac:dyDescent="0.25">
      <c r="A3" s="71" t="s">
        <v>261</v>
      </c>
      <c r="B3" s="71"/>
    </row>
    <row r="4" spans="1:5" x14ac:dyDescent="0.25">
      <c r="A4" s="220"/>
      <c r="B4" s="71"/>
    </row>
    <row r="5" spans="1:5" x14ac:dyDescent="0.25">
      <c r="A5" s="220" t="s">
        <v>298</v>
      </c>
      <c r="B5" s="71" t="s">
        <v>511</v>
      </c>
    </row>
    <row r="6" spans="1:5" x14ac:dyDescent="0.25">
      <c r="A6" s="220"/>
      <c r="B6" s="71"/>
    </row>
    <row r="7" spans="1:5" x14ac:dyDescent="0.25">
      <c r="A7" s="71" t="s">
        <v>262</v>
      </c>
      <c r="B7" s="71"/>
    </row>
    <row r="8" spans="1:5" x14ac:dyDescent="0.25">
      <c r="A8" s="220"/>
      <c r="B8" s="71"/>
    </row>
    <row r="9" spans="1:5" x14ac:dyDescent="0.25">
      <c r="A9" s="220"/>
      <c r="B9" s="71"/>
    </row>
    <row r="10" spans="1:5" x14ac:dyDescent="0.25">
      <c r="A10" s="71" t="s">
        <v>75</v>
      </c>
      <c r="B10" s="221" t="s">
        <v>495</v>
      </c>
    </row>
    <row r="11" spans="1:5" x14ac:dyDescent="0.25">
      <c r="A11" s="71" t="s">
        <v>257</v>
      </c>
      <c r="B11" s="222"/>
    </row>
    <row r="12" spans="1:5" x14ac:dyDescent="0.25">
      <c r="A12" s="71"/>
      <c r="B12" s="222"/>
    </row>
    <row r="13" spans="1:5" x14ac:dyDescent="0.25">
      <c r="A13" s="71" t="s">
        <v>190</v>
      </c>
      <c r="B13" s="222"/>
    </row>
    <row r="14" spans="1:5" x14ac:dyDescent="0.25">
      <c r="A14" s="71"/>
      <c r="B14" s="222"/>
    </row>
    <row r="15" spans="1:5" x14ac:dyDescent="0.25">
      <c r="A15" s="71" t="s">
        <v>268</v>
      </c>
      <c r="B15" s="222"/>
      <c r="E15" t="s">
        <v>327</v>
      </c>
    </row>
    <row r="16" spans="1:5" x14ac:dyDescent="0.25">
      <c r="A16" s="71" t="s">
        <v>269</v>
      </c>
      <c r="B16" s="222"/>
    </row>
    <row r="17" spans="1:6" x14ac:dyDescent="0.25">
      <c r="A17" s="71"/>
      <c r="B17" s="222"/>
    </row>
    <row r="18" spans="1:6" x14ac:dyDescent="0.25">
      <c r="A18" s="71"/>
      <c r="B18" s="222"/>
    </row>
    <row r="19" spans="1:6" x14ac:dyDescent="0.25">
      <c r="A19" s="223" t="s">
        <v>270</v>
      </c>
      <c r="B19" s="222"/>
    </row>
    <row r="20" spans="1:6" x14ac:dyDescent="0.25">
      <c r="A20" s="71" t="s">
        <v>67</v>
      </c>
      <c r="B20" s="203" t="str">
        <f>B10&amp;" Edition"</f>
        <v>06/11/2021 Edition</v>
      </c>
    </row>
    <row r="21" spans="1:6" x14ac:dyDescent="0.25">
      <c r="A21" s="71" t="s">
        <v>65</v>
      </c>
      <c r="B21" s="204" t="str">
        <f>IF(ISBLANK('1.General'!$B$45),"",'1.General'!$B$45)</f>
        <v>State Farm General Insurance Company</v>
      </c>
    </row>
    <row r="22" spans="1:6" x14ac:dyDescent="0.25">
      <c r="A22" s="71" t="s">
        <v>66</v>
      </c>
      <c r="B22" s="204" t="str">
        <f>INDEX(List_GeneralLine,References!$F$5,1)</f>
        <v>Homeowners</v>
      </c>
    </row>
    <row r="23" spans="1:6" x14ac:dyDescent="0.25">
      <c r="A23" s="71" t="s">
        <v>118</v>
      </c>
      <c r="B23" s="204" t="str">
        <f>IF(ISBLANK('1.General'!$H$14),"",'1.General'!$H$14)</f>
        <v/>
      </c>
    </row>
    <row r="24" spans="1:6" x14ac:dyDescent="0.25">
      <c r="A24" s="71" t="s">
        <v>238</v>
      </c>
      <c r="B24" s="206" t="str">
        <f>IF(ISBLANK('1.General'!$B$7),"",'1.General'!$B$7)</f>
        <v>Nicole Pettis</v>
      </c>
    </row>
    <row r="25" spans="1:6" x14ac:dyDescent="0.25">
      <c r="A25" s="71" t="s">
        <v>239</v>
      </c>
      <c r="B25" s="205">
        <f>IF(ISBLANK('1.General'!$E$7),"",'1.General'!$E$7)</f>
        <v>44553</v>
      </c>
      <c r="F25" t="s">
        <v>327</v>
      </c>
    </row>
    <row r="26" spans="1:6" x14ac:dyDescent="0.25">
      <c r="A26" s="71" t="s">
        <v>236</v>
      </c>
      <c r="B26" s="205" t="str">
        <f>IF(ISBLANK('4.Proposed Impact'!$D$9),"",'4.Proposed Impact'!$D$9)</f>
        <v/>
      </c>
    </row>
    <row r="27" spans="1:6" x14ac:dyDescent="0.25">
      <c r="A27" s="71" t="s">
        <v>296</v>
      </c>
      <c r="B27" s="206" t="b">
        <v>0</v>
      </c>
    </row>
    <row r="28" spans="1:6" x14ac:dyDescent="0.25">
      <c r="A28" s="71" t="s">
        <v>387</v>
      </c>
      <c r="B28" s="395" t="b">
        <f>IF('3.Filing Type and Checklist'!E7="Y",TRUE,FALSE)</f>
        <v>0</v>
      </c>
    </row>
    <row r="29" spans="1:6" x14ac:dyDescent="0.25">
      <c r="A29" s="71" t="s">
        <v>388</v>
      </c>
      <c r="B29" s="395" t="b">
        <f>IF('3.Filing Type and Checklist'!E8="Y",TRUE,FALSE)</f>
        <v>1</v>
      </c>
    </row>
    <row r="30" spans="1:6" x14ac:dyDescent="0.25">
      <c r="A30" s="71" t="s">
        <v>389</v>
      </c>
      <c r="B30" s="395" t="b">
        <f>IF('3.Filing Type and Checklist'!E10="Y",TRUE,FALSE)</f>
        <v>0</v>
      </c>
    </row>
    <row r="31" spans="1:6" x14ac:dyDescent="0.25">
      <c r="A31" s="71" t="s">
        <v>390</v>
      </c>
      <c r="B31" s="395" t="b">
        <f>IF('3.Filing Type and Checklist'!E6="Y",TRUE,FALSE)</f>
        <v>0</v>
      </c>
    </row>
    <row r="32" spans="1:6" x14ac:dyDescent="0.25">
      <c r="A32" s="71" t="s">
        <v>391</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400</v>
      </c>
      <c r="B33" s="71"/>
    </row>
    <row r="34" spans="1:2" x14ac:dyDescent="0.25">
      <c r="A34" s="71" t="s">
        <v>494</v>
      </c>
      <c r="B34" s="206" t="b">
        <v>0</v>
      </c>
    </row>
  </sheetData>
  <sheetProtection formatColumns="0" formatRows="0" sort="0"/>
  <pageMargins left="0.7" right="0.7" top="0.75" bottom="0.75" header="0.3" footer="0.3"/>
  <pageSetup scale="83" orientation="portrait" r:id="rId1"/>
  <headerFooter>
    <oddFooter>&amp;L06/11/2021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pageSetUpPr fitToPage="1"/>
  </sheetPr>
  <dimension ref="A1:CF78"/>
  <sheetViews>
    <sheetView zoomScale="80" zoomScaleNormal="80" workbookViewId="0">
      <selection activeCell="AS31" sqref="AS1:AS1048576"/>
    </sheetView>
  </sheetViews>
  <sheetFormatPr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7" width="3.7109375" style="49" bestFit="1" customWidth="1"/>
    <col min="18" max="20" width="3.7109375" style="49" customWidth="1"/>
    <col min="21" max="28" width="3.7109375" style="49" bestFit="1" customWidth="1"/>
    <col min="29" max="29" width="3.7109375" style="49" customWidth="1"/>
    <col min="30" max="46" width="3.7109375" style="49" bestFit="1" customWidth="1"/>
    <col min="47" max="47" width="5.5703125" style="49" bestFit="1" customWidth="1"/>
    <col min="48" max="16384" width="9.140625" style="49"/>
  </cols>
  <sheetData>
    <row r="1" spans="1:51" ht="15.75" thickBot="1" x14ac:dyDescent="0.3">
      <c r="A1" s="219" t="s">
        <v>116</v>
      </c>
      <c r="H1" s="351"/>
    </row>
    <row r="2" spans="1:51" x14ac:dyDescent="0.25">
      <c r="B2" s="135" t="s">
        <v>108</v>
      </c>
      <c r="C2" s="136"/>
      <c r="D2" s="137" t="s">
        <v>109</v>
      </c>
      <c r="E2" s="136"/>
      <c r="F2" s="135" t="s">
        <v>186</v>
      </c>
      <c r="G2" s="136"/>
      <c r="H2" s="138" t="s">
        <v>110</v>
      </c>
      <c r="I2" s="139" t="s">
        <v>292</v>
      </c>
      <c r="L2" s="138" t="s">
        <v>426</v>
      </c>
      <c r="M2" s="424"/>
      <c r="N2" s="424"/>
      <c r="O2" s="424"/>
      <c r="P2" s="424"/>
      <c r="Q2" s="424"/>
      <c r="R2" s="424"/>
      <c r="S2" s="424"/>
      <c r="T2" s="424"/>
      <c r="U2" s="424"/>
      <c r="V2" s="424"/>
      <c r="W2" s="424"/>
      <c r="X2" s="424"/>
      <c r="Y2" s="424"/>
      <c r="Z2" s="424"/>
      <c r="AA2" s="424"/>
      <c r="AB2" s="424"/>
      <c r="AC2" s="424"/>
      <c r="AD2" s="424"/>
      <c r="AE2" s="424"/>
      <c r="AF2" s="424"/>
      <c r="AG2" s="424"/>
      <c r="AH2" s="424"/>
      <c r="AI2" s="424"/>
      <c r="AJ2" s="424"/>
      <c r="AK2" s="424"/>
      <c r="AL2" s="424"/>
      <c r="AM2" s="424"/>
      <c r="AN2" s="424"/>
      <c r="AO2" s="424"/>
      <c r="AP2" s="424"/>
      <c r="AQ2" s="424"/>
      <c r="AR2" s="424"/>
      <c r="AS2" s="424"/>
      <c r="AT2" s="446"/>
      <c r="AU2" s="447"/>
    </row>
    <row r="3" spans="1:51" ht="15.75" thickBot="1" x14ac:dyDescent="0.3">
      <c r="B3" s="140" t="s">
        <v>111</v>
      </c>
      <c r="C3" s="136"/>
      <c r="D3" s="148" t="s">
        <v>188</v>
      </c>
      <c r="F3" s="142"/>
      <c r="H3" s="143"/>
      <c r="I3" s="144"/>
      <c r="L3" s="143"/>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c r="AQ3" s="425"/>
      <c r="AR3" s="425"/>
      <c r="AS3" s="425"/>
      <c r="AT3" s="448"/>
      <c r="AU3" s="449"/>
    </row>
    <row r="4" spans="1:51" ht="300.75" thickBot="1" x14ac:dyDescent="0.3">
      <c r="B4" s="140" t="s">
        <v>187</v>
      </c>
      <c r="C4" s="192"/>
      <c r="D4" s="141"/>
      <c r="F4" s="142"/>
      <c r="H4" s="143"/>
      <c r="I4" s="144"/>
      <c r="L4" s="143"/>
      <c r="M4" s="442" t="s">
        <v>437</v>
      </c>
      <c r="N4" s="443" t="s">
        <v>438</v>
      </c>
      <c r="O4" s="444" t="s">
        <v>439</v>
      </c>
      <c r="P4" s="444" t="s">
        <v>440</v>
      </c>
      <c r="Q4" s="444" t="s">
        <v>441</v>
      </c>
      <c r="R4" s="444" t="s">
        <v>442</v>
      </c>
      <c r="S4" s="444" t="s">
        <v>443</v>
      </c>
      <c r="T4" s="445" t="s">
        <v>444</v>
      </c>
      <c r="U4" s="443" t="s">
        <v>445</v>
      </c>
      <c r="V4" s="444" t="s">
        <v>446</v>
      </c>
      <c r="W4" s="445" t="s">
        <v>447</v>
      </c>
      <c r="X4" s="443" t="s">
        <v>448</v>
      </c>
      <c r="Y4" s="444" t="s">
        <v>449</v>
      </c>
      <c r="Z4" s="445" t="s">
        <v>450</v>
      </c>
      <c r="AA4" s="442" t="s">
        <v>451</v>
      </c>
      <c r="AB4" s="442" t="s">
        <v>452</v>
      </c>
      <c r="AC4" s="442" t="s">
        <v>453</v>
      </c>
      <c r="AD4" s="442" t="s">
        <v>454</v>
      </c>
      <c r="AE4" s="442" t="s">
        <v>455</v>
      </c>
      <c r="AF4" s="444" t="s">
        <v>456</v>
      </c>
      <c r="AG4" s="444" t="s">
        <v>457</v>
      </c>
      <c r="AH4" s="444" t="s">
        <v>458</v>
      </c>
      <c r="AI4" s="444" t="s">
        <v>459</v>
      </c>
      <c r="AJ4" s="444" t="s">
        <v>460</v>
      </c>
      <c r="AK4" s="444" t="s">
        <v>461</v>
      </c>
      <c r="AL4" s="445" t="s">
        <v>462</v>
      </c>
      <c r="AM4" s="443" t="s">
        <v>463</v>
      </c>
      <c r="AN4" s="444" t="s">
        <v>464</v>
      </c>
      <c r="AO4" s="445" t="s">
        <v>465</v>
      </c>
      <c r="AP4" s="443" t="s">
        <v>466</v>
      </c>
      <c r="AQ4" s="444" t="s">
        <v>467</v>
      </c>
      <c r="AR4" s="445" t="s">
        <v>468</v>
      </c>
      <c r="AS4" s="443" t="s">
        <v>469</v>
      </c>
      <c r="AT4" s="448"/>
      <c r="AU4" s="449"/>
    </row>
    <row r="5" spans="1:51" ht="55.5" x14ac:dyDescent="0.25">
      <c r="A5" s="228" t="s">
        <v>271</v>
      </c>
      <c r="B5" s="229"/>
      <c r="C5" s="189"/>
      <c r="D5" s="230">
        <v>2</v>
      </c>
      <c r="E5" s="231"/>
      <c r="F5" s="232">
        <v>14</v>
      </c>
      <c r="G5" s="231"/>
      <c r="H5" s="233"/>
      <c r="I5" s="234"/>
      <c r="J5" s="231"/>
      <c r="L5" s="426" t="s">
        <v>425</v>
      </c>
      <c r="M5" s="441" t="str">
        <f>M6&amp;M7&amp;M8&amp;M9&amp;M10&amp;M11&amp;M12</f>
        <v>NYNNNNN</v>
      </c>
      <c r="N5" s="441" t="str">
        <f t="shared" ref="N5:AD5" si="0">N6&amp;N7&amp;N8&amp;N9&amp;N10&amp;N11&amp;N12</f>
        <v>NYYYYYN</v>
      </c>
      <c r="O5" s="441" t="str">
        <f t="shared" si="0"/>
        <v>NYYYYNN</v>
      </c>
      <c r="P5" s="441" t="str">
        <f t="shared" si="0"/>
        <v>NYYNYYN</v>
      </c>
      <c r="Q5" s="441" t="str">
        <f t="shared" si="0"/>
        <v>NYYNYNN</v>
      </c>
      <c r="R5" s="441" t="str">
        <f>R6&amp;R7&amp;R8&amp;R9&amp;R10&amp;R11&amp;R12</f>
        <v>NNYYYNN</v>
      </c>
      <c r="S5" s="441" t="str">
        <f>S6&amp;S7&amp;S8&amp;S9&amp;S10&amp;S11&amp;S12</f>
        <v>NNYNYYN</v>
      </c>
      <c r="T5" s="441" t="str">
        <f>T6&amp;T7&amp;T8&amp;T9&amp;T10&amp;T11&amp;T12</f>
        <v>NNYYYYN</v>
      </c>
      <c r="U5" s="441" t="str">
        <f t="shared" si="0"/>
        <v>NYYYNNN</v>
      </c>
      <c r="V5" s="441" t="str">
        <f t="shared" si="0"/>
        <v>NYYNNNN</v>
      </c>
      <c r="W5" s="441" t="str">
        <f t="shared" si="0"/>
        <v>NNYYNNN</v>
      </c>
      <c r="X5" s="441" t="str">
        <f t="shared" si="0"/>
        <v>NYNNYYN</v>
      </c>
      <c r="Y5" s="441" t="str">
        <f t="shared" si="0"/>
        <v>NYNNYNN</v>
      </c>
      <c r="Z5" s="441" t="str">
        <f t="shared" si="0"/>
        <v>NNNNYYN</v>
      </c>
      <c r="AA5" s="441" t="str">
        <f t="shared" si="0"/>
        <v>NNNNYNN</v>
      </c>
      <c r="AB5" s="441" t="str">
        <f t="shared" si="0"/>
        <v>NNYNNNN</v>
      </c>
      <c r="AC5" s="441" t="str">
        <f t="shared" si="0"/>
        <v>NNYNYNN</v>
      </c>
      <c r="AD5" s="441" t="str">
        <f t="shared" si="0"/>
        <v>YNNNNNN</v>
      </c>
      <c r="AE5" s="441" t="str">
        <f>AE6&amp;AE7&amp;AE8&amp;AE9&amp;AE10&amp;AE11&amp;AE12</f>
        <v>NYNNNNY</v>
      </c>
      <c r="AF5" s="441" t="str">
        <f t="shared" ref="AF5:AS5" si="1">AF6&amp;AF7&amp;AF8&amp;AF9&amp;AF10&amp;AF11&amp;AF12</f>
        <v>NYYYYYY</v>
      </c>
      <c r="AG5" s="441" t="str">
        <f t="shared" si="1"/>
        <v>NYYYYNY</v>
      </c>
      <c r="AH5" s="441" t="str">
        <f t="shared" si="1"/>
        <v>NYYNYYY</v>
      </c>
      <c r="AI5" s="441" t="str">
        <f t="shared" si="1"/>
        <v>NYYNYNY</v>
      </c>
      <c r="AJ5" s="441" t="str">
        <f>AJ6&amp;AJ7&amp;AJ8&amp;AJ9&amp;AJ10&amp;AJ11&amp;AJ12</f>
        <v>NNYYYNY</v>
      </c>
      <c r="AK5" s="441" t="str">
        <f>AK6&amp;AK7&amp;AK8&amp;AK9&amp;AK10&amp;AK11&amp;AK12</f>
        <v>NNYNYYY</v>
      </c>
      <c r="AL5" s="441" t="str">
        <f>AL6&amp;AL7&amp;AL8&amp;AL9&amp;AL10&amp;AL11&amp;AL12</f>
        <v>NNYYYYY</v>
      </c>
      <c r="AM5" s="441" t="str">
        <f t="shared" si="1"/>
        <v>NYYYNNY</v>
      </c>
      <c r="AN5" s="441" t="str">
        <f t="shared" si="1"/>
        <v>NYYNNNY</v>
      </c>
      <c r="AO5" s="441" t="str">
        <f t="shared" si="1"/>
        <v>NNYYNNY</v>
      </c>
      <c r="AP5" s="441" t="str">
        <f t="shared" si="1"/>
        <v>NYNNYYY</v>
      </c>
      <c r="AQ5" s="441" t="str">
        <f t="shared" si="1"/>
        <v>NYNNYNY</v>
      </c>
      <c r="AR5" s="441" t="str">
        <f t="shared" si="1"/>
        <v>NNNNYYY</v>
      </c>
      <c r="AS5" s="441" t="str">
        <f t="shared" si="1"/>
        <v>YNNNNNY</v>
      </c>
      <c r="AT5" s="450"/>
      <c r="AU5" s="449"/>
    </row>
    <row r="6" spans="1:51" ht="30" x14ac:dyDescent="0.25">
      <c r="B6" s="145" t="s">
        <v>5</v>
      </c>
      <c r="C6" s="52"/>
      <c r="D6" s="141" t="s">
        <v>28</v>
      </c>
      <c r="F6" s="142"/>
      <c r="H6" s="130" t="s">
        <v>87</v>
      </c>
      <c r="I6" s="131" t="s">
        <v>241</v>
      </c>
      <c r="L6" s="427" t="s">
        <v>405</v>
      </c>
      <c r="M6" s="428" t="s">
        <v>6</v>
      </c>
      <c r="N6" s="428" t="s">
        <v>6</v>
      </c>
      <c r="O6" s="428" t="s">
        <v>6</v>
      </c>
      <c r="P6" s="428" t="s">
        <v>6</v>
      </c>
      <c r="Q6" s="428" t="s">
        <v>6</v>
      </c>
      <c r="R6" s="428" t="s">
        <v>6</v>
      </c>
      <c r="S6" s="428" t="s">
        <v>6</v>
      </c>
      <c r="T6" s="428" t="s">
        <v>6</v>
      </c>
      <c r="U6" s="428" t="s">
        <v>6</v>
      </c>
      <c r="V6" s="428" t="s">
        <v>6</v>
      </c>
      <c r="W6" s="428" t="s">
        <v>6</v>
      </c>
      <c r="X6" s="428" t="s">
        <v>6</v>
      </c>
      <c r="Y6" s="428" t="s">
        <v>6</v>
      </c>
      <c r="Z6" s="428" t="s">
        <v>6</v>
      </c>
      <c r="AA6" s="428" t="s">
        <v>6</v>
      </c>
      <c r="AB6" s="428" t="s">
        <v>6</v>
      </c>
      <c r="AC6" s="428" t="s">
        <v>6</v>
      </c>
      <c r="AD6" s="428" t="s">
        <v>5</v>
      </c>
      <c r="AE6" s="428" t="s">
        <v>6</v>
      </c>
      <c r="AF6" s="428" t="s">
        <v>6</v>
      </c>
      <c r="AG6" s="428" t="s">
        <v>6</v>
      </c>
      <c r="AH6" s="428" t="s">
        <v>6</v>
      </c>
      <c r="AI6" s="428" t="s">
        <v>6</v>
      </c>
      <c r="AJ6" s="428" t="s">
        <v>6</v>
      </c>
      <c r="AK6" s="428" t="s">
        <v>6</v>
      </c>
      <c r="AL6" s="428" t="s">
        <v>6</v>
      </c>
      <c r="AM6" s="428" t="s">
        <v>6</v>
      </c>
      <c r="AN6" s="428" t="s">
        <v>6</v>
      </c>
      <c r="AO6" s="428" t="s">
        <v>6</v>
      </c>
      <c r="AP6" s="428" t="s">
        <v>6</v>
      </c>
      <c r="AQ6" s="428" t="s">
        <v>6</v>
      </c>
      <c r="AR6" s="428" t="s">
        <v>6</v>
      </c>
      <c r="AS6" s="428" t="s">
        <v>5</v>
      </c>
      <c r="AT6" s="451"/>
      <c r="AU6" s="449"/>
    </row>
    <row r="7" spans="1:51" ht="30" x14ac:dyDescent="0.25">
      <c r="B7" s="145" t="s">
        <v>6</v>
      </c>
      <c r="C7" s="52"/>
      <c r="D7" s="141" t="s">
        <v>29</v>
      </c>
      <c r="F7" s="142" t="s">
        <v>34</v>
      </c>
      <c r="H7" s="130" t="s">
        <v>88</v>
      </c>
      <c r="I7" s="131" t="s">
        <v>242</v>
      </c>
      <c r="L7" s="427" t="s">
        <v>406</v>
      </c>
      <c r="M7" s="428" t="s">
        <v>5</v>
      </c>
      <c r="N7" s="428" t="s">
        <v>5</v>
      </c>
      <c r="O7" s="428" t="s">
        <v>5</v>
      </c>
      <c r="P7" s="428" t="s">
        <v>5</v>
      </c>
      <c r="Q7" s="428" t="s">
        <v>5</v>
      </c>
      <c r="R7" s="428" t="s">
        <v>6</v>
      </c>
      <c r="S7" s="428" t="s">
        <v>6</v>
      </c>
      <c r="T7" s="428" t="s">
        <v>6</v>
      </c>
      <c r="U7" s="428" t="s">
        <v>5</v>
      </c>
      <c r="V7" s="428" t="s">
        <v>5</v>
      </c>
      <c r="W7" s="428" t="s">
        <v>6</v>
      </c>
      <c r="X7" s="428" t="s">
        <v>5</v>
      </c>
      <c r="Y7" s="428" t="s">
        <v>5</v>
      </c>
      <c r="Z7" s="428" t="s">
        <v>6</v>
      </c>
      <c r="AA7" s="428" t="s">
        <v>6</v>
      </c>
      <c r="AB7" s="428" t="s">
        <v>6</v>
      </c>
      <c r="AC7" s="428" t="s">
        <v>6</v>
      </c>
      <c r="AD7" s="428" t="s">
        <v>6</v>
      </c>
      <c r="AE7" s="428" t="s">
        <v>5</v>
      </c>
      <c r="AF7" s="428" t="s">
        <v>5</v>
      </c>
      <c r="AG7" s="428" t="s">
        <v>5</v>
      </c>
      <c r="AH7" s="428" t="s">
        <v>5</v>
      </c>
      <c r="AI7" s="428" t="s">
        <v>5</v>
      </c>
      <c r="AJ7" s="428" t="s">
        <v>6</v>
      </c>
      <c r="AK7" s="428" t="s">
        <v>6</v>
      </c>
      <c r="AL7" s="428" t="s">
        <v>6</v>
      </c>
      <c r="AM7" s="428" t="s">
        <v>5</v>
      </c>
      <c r="AN7" s="428" t="s">
        <v>5</v>
      </c>
      <c r="AO7" s="428" t="s">
        <v>6</v>
      </c>
      <c r="AP7" s="428" t="s">
        <v>5</v>
      </c>
      <c r="AQ7" s="428" t="s">
        <v>5</v>
      </c>
      <c r="AR7" s="428" t="s">
        <v>6</v>
      </c>
      <c r="AS7" s="428" t="s">
        <v>6</v>
      </c>
      <c r="AT7" s="451"/>
      <c r="AU7" s="449"/>
    </row>
    <row r="8" spans="1:51" ht="30.75" thickBot="1" x14ac:dyDescent="0.3">
      <c r="B8" s="146" t="s">
        <v>53</v>
      </c>
      <c r="C8" s="52"/>
      <c r="D8" s="468"/>
      <c r="F8" s="142" t="s">
        <v>35</v>
      </c>
      <c r="H8" s="130" t="s">
        <v>89</v>
      </c>
      <c r="I8" s="131" t="s">
        <v>243</v>
      </c>
      <c r="L8" s="427" t="s">
        <v>407</v>
      </c>
      <c r="M8" s="428" t="s">
        <v>6</v>
      </c>
      <c r="N8" s="428" t="s">
        <v>5</v>
      </c>
      <c r="O8" s="428" t="s">
        <v>5</v>
      </c>
      <c r="P8" s="428" t="s">
        <v>5</v>
      </c>
      <c r="Q8" s="428" t="s">
        <v>5</v>
      </c>
      <c r="R8" s="428" t="s">
        <v>5</v>
      </c>
      <c r="S8" s="428" t="s">
        <v>5</v>
      </c>
      <c r="T8" s="428" t="s">
        <v>5</v>
      </c>
      <c r="U8" s="428" t="s">
        <v>5</v>
      </c>
      <c r="V8" s="428" t="s">
        <v>5</v>
      </c>
      <c r="W8" s="428" t="s">
        <v>5</v>
      </c>
      <c r="X8" s="428" t="s">
        <v>6</v>
      </c>
      <c r="Y8" s="428" t="s">
        <v>6</v>
      </c>
      <c r="Z8" s="428" t="s">
        <v>6</v>
      </c>
      <c r="AA8" s="428" t="s">
        <v>6</v>
      </c>
      <c r="AB8" s="428" t="s">
        <v>5</v>
      </c>
      <c r="AC8" s="428" t="s">
        <v>5</v>
      </c>
      <c r="AD8" s="428" t="s">
        <v>6</v>
      </c>
      <c r="AE8" s="428" t="s">
        <v>6</v>
      </c>
      <c r="AF8" s="428" t="s">
        <v>5</v>
      </c>
      <c r="AG8" s="428" t="s">
        <v>5</v>
      </c>
      <c r="AH8" s="428" t="s">
        <v>5</v>
      </c>
      <c r="AI8" s="428" t="s">
        <v>5</v>
      </c>
      <c r="AJ8" s="428" t="s">
        <v>5</v>
      </c>
      <c r="AK8" s="428" t="s">
        <v>5</v>
      </c>
      <c r="AL8" s="428" t="s">
        <v>5</v>
      </c>
      <c r="AM8" s="428" t="s">
        <v>5</v>
      </c>
      <c r="AN8" s="428" t="s">
        <v>5</v>
      </c>
      <c r="AO8" s="428" t="s">
        <v>5</v>
      </c>
      <c r="AP8" s="428" t="s">
        <v>6</v>
      </c>
      <c r="AQ8" s="428" t="s">
        <v>6</v>
      </c>
      <c r="AR8" s="428" t="s">
        <v>6</v>
      </c>
      <c r="AS8" s="428" t="s">
        <v>6</v>
      </c>
      <c r="AT8" s="451"/>
      <c r="AU8" s="449"/>
    </row>
    <row r="9" spans="1:51" ht="30" x14ac:dyDescent="0.25">
      <c r="F9" s="142" t="s">
        <v>36</v>
      </c>
      <c r="H9" s="130" t="s">
        <v>90</v>
      </c>
      <c r="I9" s="131" t="s">
        <v>244</v>
      </c>
      <c r="L9" s="427" t="s">
        <v>408</v>
      </c>
      <c r="M9" s="428" t="s">
        <v>6</v>
      </c>
      <c r="N9" s="428" t="s">
        <v>5</v>
      </c>
      <c r="O9" s="428" t="s">
        <v>5</v>
      </c>
      <c r="P9" s="428" t="s">
        <v>6</v>
      </c>
      <c r="Q9" s="428" t="s">
        <v>6</v>
      </c>
      <c r="R9" s="428" t="s">
        <v>5</v>
      </c>
      <c r="S9" s="428" t="s">
        <v>6</v>
      </c>
      <c r="T9" s="428" t="s">
        <v>5</v>
      </c>
      <c r="U9" s="428" t="s">
        <v>5</v>
      </c>
      <c r="V9" s="428" t="s">
        <v>6</v>
      </c>
      <c r="W9" s="428" t="s">
        <v>5</v>
      </c>
      <c r="X9" s="428" t="s">
        <v>6</v>
      </c>
      <c r="Y9" s="428" t="s">
        <v>6</v>
      </c>
      <c r="Z9" s="428" t="s">
        <v>6</v>
      </c>
      <c r="AA9" s="428" t="s">
        <v>6</v>
      </c>
      <c r="AB9" s="428" t="s">
        <v>6</v>
      </c>
      <c r="AC9" s="428" t="s">
        <v>6</v>
      </c>
      <c r="AD9" s="428" t="s">
        <v>6</v>
      </c>
      <c r="AE9" s="428" t="s">
        <v>6</v>
      </c>
      <c r="AF9" s="428" t="s">
        <v>5</v>
      </c>
      <c r="AG9" s="428" t="s">
        <v>5</v>
      </c>
      <c r="AH9" s="428" t="s">
        <v>6</v>
      </c>
      <c r="AI9" s="428" t="s">
        <v>6</v>
      </c>
      <c r="AJ9" s="428" t="s">
        <v>5</v>
      </c>
      <c r="AK9" s="428" t="s">
        <v>6</v>
      </c>
      <c r="AL9" s="428" t="s">
        <v>5</v>
      </c>
      <c r="AM9" s="428" t="s">
        <v>5</v>
      </c>
      <c r="AN9" s="428" t="s">
        <v>6</v>
      </c>
      <c r="AO9" s="428" t="s">
        <v>5</v>
      </c>
      <c r="AP9" s="428" t="s">
        <v>6</v>
      </c>
      <c r="AQ9" s="428" t="s">
        <v>6</v>
      </c>
      <c r="AR9" s="428" t="s">
        <v>6</v>
      </c>
      <c r="AS9" s="428" t="s">
        <v>6</v>
      </c>
      <c r="AT9" s="451"/>
      <c r="AU9" s="449"/>
    </row>
    <row r="10" spans="1:51" ht="30" x14ac:dyDescent="0.25">
      <c r="F10" s="142" t="s">
        <v>37</v>
      </c>
      <c r="H10" s="130" t="s">
        <v>91</v>
      </c>
      <c r="I10" s="131" t="s">
        <v>245</v>
      </c>
      <c r="L10" s="427" t="s">
        <v>409</v>
      </c>
      <c r="M10" s="428" t="s">
        <v>6</v>
      </c>
      <c r="N10" s="428" t="s">
        <v>5</v>
      </c>
      <c r="O10" s="428" t="s">
        <v>5</v>
      </c>
      <c r="P10" s="428" t="s">
        <v>5</v>
      </c>
      <c r="Q10" s="428" t="s">
        <v>5</v>
      </c>
      <c r="R10" s="428" t="s">
        <v>5</v>
      </c>
      <c r="S10" s="428" t="s">
        <v>5</v>
      </c>
      <c r="T10" s="428" t="s">
        <v>5</v>
      </c>
      <c r="U10" s="428" t="s">
        <v>6</v>
      </c>
      <c r="V10" s="428" t="s">
        <v>6</v>
      </c>
      <c r="W10" s="428" t="s">
        <v>6</v>
      </c>
      <c r="X10" s="428" t="s">
        <v>5</v>
      </c>
      <c r="Y10" s="428" t="s">
        <v>5</v>
      </c>
      <c r="Z10" s="428" t="s">
        <v>5</v>
      </c>
      <c r="AA10" s="428" t="s">
        <v>5</v>
      </c>
      <c r="AB10" s="428" t="s">
        <v>6</v>
      </c>
      <c r="AC10" s="428" t="s">
        <v>5</v>
      </c>
      <c r="AD10" s="428" t="s">
        <v>6</v>
      </c>
      <c r="AE10" s="428" t="s">
        <v>6</v>
      </c>
      <c r="AF10" s="428" t="s">
        <v>5</v>
      </c>
      <c r="AG10" s="428" t="s">
        <v>5</v>
      </c>
      <c r="AH10" s="428" t="s">
        <v>5</v>
      </c>
      <c r="AI10" s="428" t="s">
        <v>5</v>
      </c>
      <c r="AJ10" s="428" t="s">
        <v>5</v>
      </c>
      <c r="AK10" s="428" t="s">
        <v>5</v>
      </c>
      <c r="AL10" s="428" t="s">
        <v>5</v>
      </c>
      <c r="AM10" s="428" t="s">
        <v>6</v>
      </c>
      <c r="AN10" s="428" t="s">
        <v>6</v>
      </c>
      <c r="AO10" s="428" t="s">
        <v>6</v>
      </c>
      <c r="AP10" s="428" t="s">
        <v>5</v>
      </c>
      <c r="AQ10" s="428" t="s">
        <v>5</v>
      </c>
      <c r="AR10" s="428" t="s">
        <v>5</v>
      </c>
      <c r="AS10" s="428" t="s">
        <v>6</v>
      </c>
      <c r="AT10" s="451"/>
      <c r="AU10" s="449"/>
    </row>
    <row r="11" spans="1:51" ht="29.25" customHeight="1" x14ac:dyDescent="0.25">
      <c r="F11" s="142" t="s">
        <v>38</v>
      </c>
      <c r="H11" s="130" t="s">
        <v>94</v>
      </c>
      <c r="I11" s="131" t="s">
        <v>246</v>
      </c>
      <c r="L11" s="427" t="s">
        <v>410</v>
      </c>
      <c r="M11" s="428" t="s">
        <v>6</v>
      </c>
      <c r="N11" s="428" t="s">
        <v>5</v>
      </c>
      <c r="O11" s="428" t="s">
        <v>6</v>
      </c>
      <c r="P11" s="428" t="s">
        <v>5</v>
      </c>
      <c r="Q11" s="428" t="s">
        <v>6</v>
      </c>
      <c r="R11" s="428" t="s">
        <v>6</v>
      </c>
      <c r="S11" s="428" t="s">
        <v>5</v>
      </c>
      <c r="T11" s="428" t="s">
        <v>5</v>
      </c>
      <c r="U11" s="428" t="s">
        <v>6</v>
      </c>
      <c r="V11" s="428" t="s">
        <v>6</v>
      </c>
      <c r="W11" s="428" t="s">
        <v>6</v>
      </c>
      <c r="X11" s="428" t="s">
        <v>5</v>
      </c>
      <c r="Y11" s="428" t="s">
        <v>6</v>
      </c>
      <c r="Z11" s="428" t="s">
        <v>5</v>
      </c>
      <c r="AA11" s="428" t="s">
        <v>6</v>
      </c>
      <c r="AB11" s="428" t="s">
        <v>6</v>
      </c>
      <c r="AC11" s="428" t="s">
        <v>6</v>
      </c>
      <c r="AD11" s="428" t="s">
        <v>6</v>
      </c>
      <c r="AE11" s="428" t="s">
        <v>6</v>
      </c>
      <c r="AF11" s="428" t="s">
        <v>5</v>
      </c>
      <c r="AG11" s="428" t="s">
        <v>6</v>
      </c>
      <c r="AH11" s="428" t="s">
        <v>5</v>
      </c>
      <c r="AI11" s="428" t="s">
        <v>6</v>
      </c>
      <c r="AJ11" s="428" t="s">
        <v>6</v>
      </c>
      <c r="AK11" s="428" t="s">
        <v>5</v>
      </c>
      <c r="AL11" s="428" t="s">
        <v>5</v>
      </c>
      <c r="AM11" s="428" t="s">
        <v>6</v>
      </c>
      <c r="AN11" s="428" t="s">
        <v>6</v>
      </c>
      <c r="AO11" s="428" t="s">
        <v>6</v>
      </c>
      <c r="AP11" s="428" t="s">
        <v>5</v>
      </c>
      <c r="AQ11" s="428" t="s">
        <v>6</v>
      </c>
      <c r="AR11" s="428" t="s">
        <v>5</v>
      </c>
      <c r="AS11" s="428" t="s">
        <v>6</v>
      </c>
      <c r="AT11" s="451"/>
      <c r="AU11" s="449"/>
    </row>
    <row r="12" spans="1:51" ht="30" x14ac:dyDescent="0.25">
      <c r="F12" s="142" t="s">
        <v>39</v>
      </c>
      <c r="H12" s="130" t="s">
        <v>92</v>
      </c>
      <c r="I12" s="131" t="s">
        <v>247</v>
      </c>
      <c r="L12" s="427" t="s">
        <v>411</v>
      </c>
      <c r="M12" s="428" t="s">
        <v>6</v>
      </c>
      <c r="N12" s="428" t="s">
        <v>6</v>
      </c>
      <c r="O12" s="428" t="s">
        <v>6</v>
      </c>
      <c r="P12" s="428" t="s">
        <v>6</v>
      </c>
      <c r="Q12" s="428" t="s">
        <v>6</v>
      </c>
      <c r="R12" s="428" t="s">
        <v>6</v>
      </c>
      <c r="S12" s="428" t="s">
        <v>6</v>
      </c>
      <c r="T12" s="428" t="s">
        <v>6</v>
      </c>
      <c r="U12" s="428" t="s">
        <v>6</v>
      </c>
      <c r="V12" s="428" t="s">
        <v>6</v>
      </c>
      <c r="W12" s="428" t="s">
        <v>6</v>
      </c>
      <c r="X12" s="428" t="s">
        <v>6</v>
      </c>
      <c r="Y12" s="428" t="s">
        <v>6</v>
      </c>
      <c r="Z12" s="428" t="s">
        <v>6</v>
      </c>
      <c r="AA12" s="428" t="s">
        <v>6</v>
      </c>
      <c r="AB12" s="428" t="s">
        <v>6</v>
      </c>
      <c r="AC12" s="428" t="s">
        <v>6</v>
      </c>
      <c r="AD12" s="428" t="s">
        <v>6</v>
      </c>
      <c r="AE12" s="428" t="s">
        <v>5</v>
      </c>
      <c r="AF12" s="428" t="s">
        <v>5</v>
      </c>
      <c r="AG12" s="428" t="s">
        <v>5</v>
      </c>
      <c r="AH12" s="428" t="s">
        <v>5</v>
      </c>
      <c r="AI12" s="428" t="s">
        <v>5</v>
      </c>
      <c r="AJ12" s="428" t="s">
        <v>5</v>
      </c>
      <c r="AK12" s="428" t="s">
        <v>5</v>
      </c>
      <c r="AL12" s="428" t="s">
        <v>5</v>
      </c>
      <c r="AM12" s="428" t="s">
        <v>5</v>
      </c>
      <c r="AN12" s="428" t="s">
        <v>5</v>
      </c>
      <c r="AO12" s="428" t="s">
        <v>5</v>
      </c>
      <c r="AP12" s="428" t="s">
        <v>5</v>
      </c>
      <c r="AQ12" s="428" t="s">
        <v>5</v>
      </c>
      <c r="AR12" s="428" t="s">
        <v>5</v>
      </c>
      <c r="AS12" s="428" t="s">
        <v>5</v>
      </c>
      <c r="AT12" s="451"/>
      <c r="AU12" s="449"/>
    </row>
    <row r="13" spans="1:51" ht="30" x14ac:dyDescent="0.25">
      <c r="F13" s="142" t="s">
        <v>40</v>
      </c>
      <c r="H13" s="130" t="s">
        <v>93</v>
      </c>
      <c r="I13" s="131" t="s">
        <v>248</v>
      </c>
      <c r="L13" s="143"/>
      <c r="M13" s="425"/>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5"/>
      <c r="AK13" s="425"/>
      <c r="AL13" s="425"/>
      <c r="AM13" s="425"/>
      <c r="AN13" s="425"/>
      <c r="AO13" s="425"/>
      <c r="AP13" s="425"/>
      <c r="AQ13" s="425"/>
      <c r="AR13" s="425"/>
      <c r="AS13" s="425"/>
      <c r="AT13" s="448"/>
      <c r="AU13" s="449"/>
    </row>
    <row r="14" spans="1:51" ht="30" x14ac:dyDescent="0.25">
      <c r="F14" s="142" t="s">
        <v>41</v>
      </c>
      <c r="H14" s="130" t="s">
        <v>115</v>
      </c>
      <c r="I14" s="131" t="s">
        <v>249</v>
      </c>
      <c r="L14" s="426" t="s">
        <v>424</v>
      </c>
      <c r="M14" s="429"/>
      <c r="N14" s="430"/>
      <c r="O14" s="430"/>
      <c r="P14" s="431"/>
      <c r="Q14" s="432"/>
      <c r="R14" s="432"/>
      <c r="S14" s="432"/>
      <c r="T14" s="432"/>
      <c r="U14" s="432"/>
      <c r="V14" s="432"/>
      <c r="W14" s="432"/>
      <c r="X14" s="432"/>
      <c r="Y14" s="432"/>
      <c r="Z14" s="432"/>
      <c r="AA14" s="432"/>
      <c r="AB14" s="432"/>
      <c r="AC14" s="432"/>
      <c r="AD14" s="432"/>
      <c r="AE14" s="432"/>
      <c r="AF14" s="432"/>
      <c r="AG14" s="432"/>
      <c r="AH14" s="432"/>
      <c r="AI14" s="432"/>
      <c r="AJ14" s="432"/>
      <c r="AK14" s="432"/>
      <c r="AL14" s="432"/>
      <c r="AM14" s="432"/>
      <c r="AN14" s="432"/>
      <c r="AO14" s="432"/>
      <c r="AP14" s="432"/>
      <c r="AQ14" s="432"/>
      <c r="AR14" s="432"/>
      <c r="AS14" s="432"/>
      <c r="AT14" s="452"/>
      <c r="AU14" s="453"/>
      <c r="AV14"/>
      <c r="AW14"/>
      <c r="AX14"/>
      <c r="AY14"/>
    </row>
    <row r="15" spans="1:51" ht="30" x14ac:dyDescent="0.25">
      <c r="F15" s="142" t="s">
        <v>42</v>
      </c>
      <c r="H15" s="130" t="s">
        <v>95</v>
      </c>
      <c r="I15" s="131" t="s">
        <v>250</v>
      </c>
      <c r="L15" s="433" t="s">
        <v>308</v>
      </c>
      <c r="M15" s="434"/>
      <c r="N15" s="434"/>
      <c r="O15" s="432"/>
      <c r="P15" s="432"/>
      <c r="Q15" s="432"/>
      <c r="R15" s="432"/>
      <c r="S15" s="432"/>
      <c r="T15" s="432"/>
      <c r="U15" s="432"/>
      <c r="V15" s="432"/>
      <c r="W15" s="432"/>
      <c r="X15" s="432"/>
      <c r="Y15" s="432"/>
      <c r="Z15" s="432"/>
      <c r="AA15" s="432"/>
      <c r="AB15" s="432"/>
      <c r="AC15" s="432"/>
      <c r="AD15" s="432"/>
      <c r="AE15" s="432"/>
      <c r="AF15" s="432"/>
      <c r="AG15" s="432"/>
      <c r="AH15" s="432"/>
      <c r="AI15" s="432"/>
      <c r="AJ15" s="432"/>
      <c r="AK15" s="432"/>
      <c r="AL15" s="432"/>
      <c r="AM15" s="432"/>
      <c r="AN15" s="432"/>
      <c r="AO15" s="432"/>
      <c r="AP15" s="432"/>
      <c r="AQ15" s="432"/>
      <c r="AR15" s="432"/>
      <c r="AS15" s="432"/>
      <c r="AT15" s="459" t="s">
        <v>412</v>
      </c>
      <c r="AU15" s="460" t="s">
        <v>413</v>
      </c>
      <c r="AV15"/>
      <c r="AW15"/>
      <c r="AX15"/>
      <c r="AY15"/>
    </row>
    <row r="16" spans="1:51" ht="30" x14ac:dyDescent="0.25">
      <c r="F16" s="142" t="s">
        <v>43</v>
      </c>
      <c r="H16" s="130" t="s">
        <v>96</v>
      </c>
      <c r="I16" s="131" t="s">
        <v>251</v>
      </c>
      <c r="L16" s="427" t="s">
        <v>399</v>
      </c>
      <c r="M16" s="435" t="s">
        <v>5</v>
      </c>
      <c r="N16" s="435" t="s">
        <v>5</v>
      </c>
      <c r="O16" s="435" t="s">
        <v>5</v>
      </c>
      <c r="P16" s="435" t="s">
        <v>5</v>
      </c>
      <c r="Q16" s="435" t="s">
        <v>5</v>
      </c>
      <c r="R16" s="435" t="s">
        <v>5</v>
      </c>
      <c r="S16" s="435" t="s">
        <v>5</v>
      </c>
      <c r="T16" s="435" t="s">
        <v>5</v>
      </c>
      <c r="U16" s="435" t="s">
        <v>5</v>
      </c>
      <c r="V16" s="435" t="s">
        <v>5</v>
      </c>
      <c r="W16" s="435" t="s">
        <v>5</v>
      </c>
      <c r="X16" s="435" t="s">
        <v>5</v>
      </c>
      <c r="Y16" s="435" t="s">
        <v>5</v>
      </c>
      <c r="Z16" s="435" t="s">
        <v>5</v>
      </c>
      <c r="AA16" s="435" t="s">
        <v>5</v>
      </c>
      <c r="AB16" s="435" t="s">
        <v>5</v>
      </c>
      <c r="AC16" s="435" t="s">
        <v>5</v>
      </c>
      <c r="AD16" s="435" t="s">
        <v>5</v>
      </c>
      <c r="AE16" s="435" t="s">
        <v>5</v>
      </c>
      <c r="AF16" s="435" t="s">
        <v>5</v>
      </c>
      <c r="AG16" s="435" t="s">
        <v>5</v>
      </c>
      <c r="AH16" s="435" t="s">
        <v>5</v>
      </c>
      <c r="AI16" s="435" t="s">
        <v>5</v>
      </c>
      <c r="AJ16" s="435" t="s">
        <v>5</v>
      </c>
      <c r="AK16" s="435" t="s">
        <v>5</v>
      </c>
      <c r="AL16" s="435" t="s">
        <v>5</v>
      </c>
      <c r="AM16" s="435" t="s">
        <v>5</v>
      </c>
      <c r="AN16" s="435" t="s">
        <v>5</v>
      </c>
      <c r="AO16" s="435" t="s">
        <v>5</v>
      </c>
      <c r="AP16" s="435" t="s">
        <v>5</v>
      </c>
      <c r="AQ16" s="435" t="s">
        <v>5</v>
      </c>
      <c r="AR16" s="435" t="s">
        <v>5</v>
      </c>
      <c r="AS16" s="435" t="s">
        <v>5</v>
      </c>
      <c r="AT16" s="454" t="s">
        <v>5</v>
      </c>
      <c r="AU16" s="455" t="s">
        <v>5</v>
      </c>
      <c r="AV16"/>
      <c r="AW16"/>
      <c r="AX16"/>
      <c r="AY16"/>
    </row>
    <row r="17" spans="6:51" ht="30" x14ac:dyDescent="0.25">
      <c r="F17" s="142" t="s">
        <v>364</v>
      </c>
      <c r="H17" s="130" t="s">
        <v>97</v>
      </c>
      <c r="I17" s="131" t="s">
        <v>252</v>
      </c>
      <c r="L17" s="427" t="s">
        <v>306</v>
      </c>
      <c r="M17" s="438" t="str">
        <f>IF('1.General'!$K$24=1,"Y","N")</f>
        <v>N</v>
      </c>
      <c r="N17" s="438" t="str">
        <f>IF('1.General'!$K$24=1,"Y","N")</f>
        <v>N</v>
      </c>
      <c r="O17" s="438" t="str">
        <f>IF('1.General'!$K$24=1,"Y","N")</f>
        <v>N</v>
      </c>
      <c r="P17" s="438" t="str">
        <f>IF('1.General'!$K$24=1,"Y","N")</f>
        <v>N</v>
      </c>
      <c r="Q17" s="438" t="str">
        <f>IF('1.General'!$K$24=1,"Y","N")</f>
        <v>N</v>
      </c>
      <c r="R17" s="438" t="str">
        <f>IF('1.General'!$K$24=1,"Y","N")</f>
        <v>N</v>
      </c>
      <c r="S17" s="438" t="str">
        <f>IF('1.General'!$K$24=1,"Y","N")</f>
        <v>N</v>
      </c>
      <c r="T17" s="438" t="str">
        <f>IF('1.General'!$K$24=1,"Y","N")</f>
        <v>N</v>
      </c>
      <c r="U17" s="438" t="str">
        <f>IF('1.General'!$K$24=1,"Y","N")</f>
        <v>N</v>
      </c>
      <c r="V17" s="438" t="str">
        <f>IF('1.General'!$K$24=1,"Y","N")</f>
        <v>N</v>
      </c>
      <c r="W17" s="438" t="str">
        <f>IF('1.General'!$K$24=1,"Y","N")</f>
        <v>N</v>
      </c>
      <c r="X17" s="438" t="str">
        <f>IF('1.General'!$K$24=1,"Y","N")</f>
        <v>N</v>
      </c>
      <c r="Y17" s="438" t="str">
        <f>IF('1.General'!$K$24=1,"Y","N")</f>
        <v>N</v>
      </c>
      <c r="Z17" s="438" t="str">
        <f>IF('1.General'!$K$24=1,"Y","N")</f>
        <v>N</v>
      </c>
      <c r="AA17" s="438" t="str">
        <f>IF('1.General'!$K$24=1,"Y","N")</f>
        <v>N</v>
      </c>
      <c r="AB17" s="438" t="str">
        <f>IF('1.General'!$K$24=1,"Y","N")</f>
        <v>N</v>
      </c>
      <c r="AC17" s="438" t="str">
        <f>IF('1.General'!$K$24=1,"Y","N")</f>
        <v>N</v>
      </c>
      <c r="AD17" s="438" t="str">
        <f>IF('1.General'!$K$24=1,"Y","N")</f>
        <v>N</v>
      </c>
      <c r="AE17" s="438" t="str">
        <f>IF('1.General'!$K$24=1,"Y","N")</f>
        <v>N</v>
      </c>
      <c r="AF17" s="438" t="str">
        <f>IF('1.General'!$K$24=1,"Y","N")</f>
        <v>N</v>
      </c>
      <c r="AG17" s="438" t="str">
        <f>IF('1.General'!$K$24=1,"Y","N")</f>
        <v>N</v>
      </c>
      <c r="AH17" s="438" t="str">
        <f>IF('1.General'!$K$24=1,"Y","N")</f>
        <v>N</v>
      </c>
      <c r="AI17" s="438" t="str">
        <f>IF('1.General'!$K$24=1,"Y","N")</f>
        <v>N</v>
      </c>
      <c r="AJ17" s="438" t="str">
        <f>IF('1.General'!$K$24=1,"Y","N")</f>
        <v>N</v>
      </c>
      <c r="AK17" s="438" t="str">
        <f>IF('1.General'!$K$24=1,"Y","N")</f>
        <v>N</v>
      </c>
      <c r="AL17" s="438" t="str">
        <f>IF('1.General'!$K$24=1,"Y","N")</f>
        <v>N</v>
      </c>
      <c r="AM17" s="438" t="str">
        <f>IF('1.General'!$K$24=1,"Y","N")</f>
        <v>N</v>
      </c>
      <c r="AN17" s="438" t="str">
        <f>IF('1.General'!$K$24=1,"Y","N")</f>
        <v>N</v>
      </c>
      <c r="AO17" s="438" t="str">
        <f>IF('1.General'!$K$24=1,"Y","N")</f>
        <v>N</v>
      </c>
      <c r="AP17" s="438" t="str">
        <f>IF('1.General'!$K$24=1,"Y","N")</f>
        <v>N</v>
      </c>
      <c r="AQ17" s="438" t="str">
        <f>IF('1.General'!$K$24=1,"Y","N")</f>
        <v>N</v>
      </c>
      <c r="AR17" s="438" t="str">
        <f>IF('1.General'!$K$24=1,"Y","N")</f>
        <v>N</v>
      </c>
      <c r="AS17" s="438" t="str">
        <f>IF('1.General'!$K$24=1,"Y","N")</f>
        <v>N</v>
      </c>
      <c r="AT17" s="454" t="s">
        <v>5</v>
      </c>
      <c r="AU17" s="455" t="s">
        <v>5</v>
      </c>
      <c r="AV17"/>
      <c r="AW17"/>
      <c r="AX17"/>
      <c r="AY17"/>
    </row>
    <row r="18" spans="6:51" ht="30" x14ac:dyDescent="0.25">
      <c r="F18" s="142" t="s">
        <v>44</v>
      </c>
      <c r="H18" s="130" t="s">
        <v>98</v>
      </c>
      <c r="I18" s="131" t="s">
        <v>253</v>
      </c>
      <c r="L18" s="427" t="s">
        <v>421</v>
      </c>
      <c r="M18" s="435" t="s">
        <v>5</v>
      </c>
      <c r="N18" s="435" t="s">
        <v>5</v>
      </c>
      <c r="O18" s="435" t="s">
        <v>5</v>
      </c>
      <c r="P18" s="435" t="s">
        <v>5</v>
      </c>
      <c r="Q18" s="435" t="s">
        <v>5</v>
      </c>
      <c r="R18" s="435" t="s">
        <v>5</v>
      </c>
      <c r="S18" s="435" t="s">
        <v>5</v>
      </c>
      <c r="T18" s="435" t="s">
        <v>5</v>
      </c>
      <c r="U18" s="435" t="s">
        <v>5</v>
      </c>
      <c r="V18" s="435" t="s">
        <v>5</v>
      </c>
      <c r="W18" s="435" t="s">
        <v>5</v>
      </c>
      <c r="X18" s="435" t="s">
        <v>5</v>
      </c>
      <c r="Y18" s="435" t="s">
        <v>5</v>
      </c>
      <c r="Z18" s="435" t="s">
        <v>5</v>
      </c>
      <c r="AA18" s="435" t="s">
        <v>5</v>
      </c>
      <c r="AB18" s="435" t="s">
        <v>5</v>
      </c>
      <c r="AC18" s="435" t="s">
        <v>5</v>
      </c>
      <c r="AD18" s="435" t="s">
        <v>5</v>
      </c>
      <c r="AE18" s="435" t="s">
        <v>5</v>
      </c>
      <c r="AF18" s="435" t="s">
        <v>5</v>
      </c>
      <c r="AG18" s="435" t="s">
        <v>5</v>
      </c>
      <c r="AH18" s="435" t="s">
        <v>5</v>
      </c>
      <c r="AI18" s="435" t="s">
        <v>5</v>
      </c>
      <c r="AJ18" s="435" t="s">
        <v>5</v>
      </c>
      <c r="AK18" s="435" t="s">
        <v>5</v>
      </c>
      <c r="AL18" s="435" t="s">
        <v>5</v>
      </c>
      <c r="AM18" s="435" t="s">
        <v>5</v>
      </c>
      <c r="AN18" s="435" t="s">
        <v>5</v>
      </c>
      <c r="AO18" s="435" t="s">
        <v>5</v>
      </c>
      <c r="AP18" s="435" t="s">
        <v>5</v>
      </c>
      <c r="AQ18" s="435" t="s">
        <v>5</v>
      </c>
      <c r="AR18" s="435" t="s">
        <v>5</v>
      </c>
      <c r="AS18" s="435" t="s">
        <v>5</v>
      </c>
      <c r="AT18" s="454" t="s">
        <v>5</v>
      </c>
      <c r="AU18" s="455" t="s">
        <v>5</v>
      </c>
      <c r="AV18"/>
      <c r="AW18"/>
      <c r="AX18"/>
      <c r="AY18"/>
    </row>
    <row r="19" spans="6:51" ht="30" x14ac:dyDescent="0.25">
      <c r="F19" s="142" t="s">
        <v>45</v>
      </c>
      <c r="H19" s="130" t="s">
        <v>99</v>
      </c>
      <c r="I19" s="132" t="s">
        <v>254</v>
      </c>
      <c r="L19" s="427" t="s">
        <v>307</v>
      </c>
      <c r="M19" s="435" t="s">
        <v>5</v>
      </c>
      <c r="N19" s="435" t="s">
        <v>5</v>
      </c>
      <c r="O19" s="435" t="s">
        <v>5</v>
      </c>
      <c r="P19" s="435" t="s">
        <v>5</v>
      </c>
      <c r="Q19" s="435" t="s">
        <v>5</v>
      </c>
      <c r="R19" s="435" t="s">
        <v>5</v>
      </c>
      <c r="S19" s="435" t="s">
        <v>5</v>
      </c>
      <c r="T19" s="435" t="s">
        <v>5</v>
      </c>
      <c r="U19" s="435" t="s">
        <v>5</v>
      </c>
      <c r="V19" s="435" t="s">
        <v>5</v>
      </c>
      <c r="W19" s="435" t="s">
        <v>5</v>
      </c>
      <c r="X19" s="435" t="s">
        <v>5</v>
      </c>
      <c r="Y19" s="435" t="s">
        <v>5</v>
      </c>
      <c r="Z19" s="435" t="s">
        <v>5</v>
      </c>
      <c r="AA19" s="435" t="s">
        <v>6</v>
      </c>
      <c r="AB19" s="435" t="s">
        <v>6</v>
      </c>
      <c r="AC19" s="435" t="s">
        <v>6</v>
      </c>
      <c r="AD19" s="435" t="s">
        <v>5</v>
      </c>
      <c r="AE19" s="435" t="s">
        <v>5</v>
      </c>
      <c r="AF19" s="435" t="s">
        <v>5</v>
      </c>
      <c r="AG19" s="435" t="s">
        <v>5</v>
      </c>
      <c r="AH19" s="435" t="s">
        <v>5</v>
      </c>
      <c r="AI19" s="435" t="s">
        <v>5</v>
      </c>
      <c r="AJ19" s="435" t="s">
        <v>5</v>
      </c>
      <c r="AK19" s="435" t="s">
        <v>5</v>
      </c>
      <c r="AL19" s="435" t="s">
        <v>5</v>
      </c>
      <c r="AM19" s="435" t="s">
        <v>5</v>
      </c>
      <c r="AN19" s="435" t="s">
        <v>5</v>
      </c>
      <c r="AO19" s="435" t="s">
        <v>5</v>
      </c>
      <c r="AP19" s="435" t="s">
        <v>5</v>
      </c>
      <c r="AQ19" s="435" t="s">
        <v>5</v>
      </c>
      <c r="AR19" s="435" t="s">
        <v>5</v>
      </c>
      <c r="AS19" s="435" t="s">
        <v>5</v>
      </c>
      <c r="AT19" s="454" t="s">
        <v>5</v>
      </c>
      <c r="AU19" s="455" t="s">
        <v>5</v>
      </c>
      <c r="AV19"/>
      <c r="AW19"/>
      <c r="AX19"/>
      <c r="AY19"/>
    </row>
    <row r="20" spans="6:51" ht="30" x14ac:dyDescent="0.25">
      <c r="F20" s="142" t="s">
        <v>46</v>
      </c>
      <c r="H20" s="130" t="s">
        <v>100</v>
      </c>
      <c r="I20" s="131" t="s">
        <v>255</v>
      </c>
      <c r="L20" s="427" t="s">
        <v>315</v>
      </c>
      <c r="M20" s="435" t="s">
        <v>5</v>
      </c>
      <c r="N20" s="435" t="s">
        <v>5</v>
      </c>
      <c r="O20" s="435" t="s">
        <v>5</v>
      </c>
      <c r="P20" s="435" t="s">
        <v>5</v>
      </c>
      <c r="Q20" s="435" t="s">
        <v>5</v>
      </c>
      <c r="R20" s="435" t="s">
        <v>5</v>
      </c>
      <c r="S20" s="435" t="s">
        <v>5</v>
      </c>
      <c r="T20" s="435" t="s">
        <v>5</v>
      </c>
      <c r="U20" s="435" t="s">
        <v>5</v>
      </c>
      <c r="V20" s="435" t="s">
        <v>5</v>
      </c>
      <c r="W20" s="435" t="s">
        <v>5</v>
      </c>
      <c r="X20" s="435" t="s">
        <v>5</v>
      </c>
      <c r="Y20" s="435" t="s">
        <v>5</v>
      </c>
      <c r="Z20" s="435" t="s">
        <v>5</v>
      </c>
      <c r="AA20" s="435" t="s">
        <v>6</v>
      </c>
      <c r="AB20" s="435" t="s">
        <v>6</v>
      </c>
      <c r="AC20" s="435" t="s">
        <v>6</v>
      </c>
      <c r="AD20" s="435" t="s">
        <v>5</v>
      </c>
      <c r="AE20" s="435" t="s">
        <v>5</v>
      </c>
      <c r="AF20" s="435" t="s">
        <v>5</v>
      </c>
      <c r="AG20" s="435" t="s">
        <v>5</v>
      </c>
      <c r="AH20" s="435" t="s">
        <v>5</v>
      </c>
      <c r="AI20" s="435" t="s">
        <v>5</v>
      </c>
      <c r="AJ20" s="435" t="s">
        <v>5</v>
      </c>
      <c r="AK20" s="435" t="s">
        <v>5</v>
      </c>
      <c r="AL20" s="435" t="s">
        <v>5</v>
      </c>
      <c r="AM20" s="435" t="s">
        <v>5</v>
      </c>
      <c r="AN20" s="435" t="s">
        <v>5</v>
      </c>
      <c r="AO20" s="435" t="s">
        <v>5</v>
      </c>
      <c r="AP20" s="435" t="s">
        <v>5</v>
      </c>
      <c r="AQ20" s="435" t="s">
        <v>5</v>
      </c>
      <c r="AR20" s="435" t="s">
        <v>5</v>
      </c>
      <c r="AS20" s="435" t="s">
        <v>5</v>
      </c>
      <c r="AT20" s="454" t="s">
        <v>5</v>
      </c>
      <c r="AU20" s="455" t="s">
        <v>5</v>
      </c>
      <c r="AV20"/>
      <c r="AW20"/>
      <c r="AX20"/>
      <c r="AY20"/>
    </row>
    <row r="21" spans="6:51" ht="30" x14ac:dyDescent="0.25">
      <c r="F21" s="142" t="s">
        <v>47</v>
      </c>
      <c r="H21" s="130" t="s">
        <v>101</v>
      </c>
      <c r="I21" s="131" t="s">
        <v>369</v>
      </c>
      <c r="L21" s="427" t="s">
        <v>378</v>
      </c>
      <c r="M21" s="435" t="s">
        <v>5</v>
      </c>
      <c r="N21" s="435" t="s">
        <v>5</v>
      </c>
      <c r="O21" s="435" t="s">
        <v>5</v>
      </c>
      <c r="P21" s="435" t="s">
        <v>5</v>
      </c>
      <c r="Q21" s="435" t="s">
        <v>5</v>
      </c>
      <c r="R21" s="435" t="s">
        <v>5</v>
      </c>
      <c r="S21" s="435" t="s">
        <v>5</v>
      </c>
      <c r="T21" s="435" t="s">
        <v>5</v>
      </c>
      <c r="U21" s="435" t="s">
        <v>5</v>
      </c>
      <c r="V21" s="435" t="s">
        <v>5</v>
      </c>
      <c r="W21" s="435" t="s">
        <v>5</v>
      </c>
      <c r="X21" s="435" t="s">
        <v>5</v>
      </c>
      <c r="Y21" s="435" t="s">
        <v>5</v>
      </c>
      <c r="Z21" s="435" t="s">
        <v>5</v>
      </c>
      <c r="AA21" s="435" t="s">
        <v>6</v>
      </c>
      <c r="AB21" s="435" t="s">
        <v>6</v>
      </c>
      <c r="AC21" s="435" t="s">
        <v>6</v>
      </c>
      <c r="AD21" s="435" t="s">
        <v>6</v>
      </c>
      <c r="AE21" s="435" t="s">
        <v>5</v>
      </c>
      <c r="AF21" s="435" t="s">
        <v>5</v>
      </c>
      <c r="AG21" s="435" t="s">
        <v>5</v>
      </c>
      <c r="AH21" s="435" t="s">
        <v>5</v>
      </c>
      <c r="AI21" s="435" t="s">
        <v>5</v>
      </c>
      <c r="AJ21" s="435" t="s">
        <v>5</v>
      </c>
      <c r="AK21" s="435" t="s">
        <v>5</v>
      </c>
      <c r="AL21" s="435" t="s">
        <v>5</v>
      </c>
      <c r="AM21" s="435" t="s">
        <v>5</v>
      </c>
      <c r="AN21" s="435" t="s">
        <v>5</v>
      </c>
      <c r="AO21" s="435" t="s">
        <v>5</v>
      </c>
      <c r="AP21" s="435" t="s">
        <v>5</v>
      </c>
      <c r="AQ21" s="435" t="s">
        <v>5</v>
      </c>
      <c r="AR21" s="435" t="s">
        <v>5</v>
      </c>
      <c r="AS21" s="435" t="s">
        <v>6</v>
      </c>
      <c r="AT21" s="454" t="s">
        <v>5</v>
      </c>
      <c r="AU21" s="455" t="s">
        <v>5</v>
      </c>
      <c r="AV21"/>
      <c r="AW21"/>
      <c r="AX21"/>
      <c r="AY21"/>
    </row>
    <row r="22" spans="6:51" ht="30" x14ac:dyDescent="0.25">
      <c r="F22" s="142" t="s">
        <v>48</v>
      </c>
      <c r="H22" s="130" t="s">
        <v>102</v>
      </c>
      <c r="I22" s="131" t="s">
        <v>370</v>
      </c>
      <c r="L22" s="427" t="s">
        <v>316</v>
      </c>
      <c r="M22" s="435" t="s">
        <v>5</v>
      </c>
      <c r="N22" s="435" t="s">
        <v>5</v>
      </c>
      <c r="O22" s="435" t="s">
        <v>5</v>
      </c>
      <c r="P22" s="435" t="s">
        <v>5</v>
      </c>
      <c r="Q22" s="435" t="s">
        <v>5</v>
      </c>
      <c r="R22" s="435" t="s">
        <v>5</v>
      </c>
      <c r="S22" s="435" t="s">
        <v>5</v>
      </c>
      <c r="T22" s="435" t="s">
        <v>5</v>
      </c>
      <c r="U22" s="435" t="s">
        <v>5</v>
      </c>
      <c r="V22" s="435" t="s">
        <v>5</v>
      </c>
      <c r="W22" s="435" t="s">
        <v>5</v>
      </c>
      <c r="X22" s="435" t="s">
        <v>5</v>
      </c>
      <c r="Y22" s="435" t="s">
        <v>5</v>
      </c>
      <c r="Z22" s="435" t="s">
        <v>5</v>
      </c>
      <c r="AA22" s="435" t="s">
        <v>6</v>
      </c>
      <c r="AB22" s="435" t="s">
        <v>6</v>
      </c>
      <c r="AC22" s="435" t="s">
        <v>6</v>
      </c>
      <c r="AD22" s="435" t="s">
        <v>6</v>
      </c>
      <c r="AE22" s="435" t="s">
        <v>5</v>
      </c>
      <c r="AF22" s="435" t="s">
        <v>5</v>
      </c>
      <c r="AG22" s="435" t="s">
        <v>5</v>
      </c>
      <c r="AH22" s="435" t="s">
        <v>5</v>
      </c>
      <c r="AI22" s="435" t="s">
        <v>5</v>
      </c>
      <c r="AJ22" s="435" t="s">
        <v>5</v>
      </c>
      <c r="AK22" s="435" t="s">
        <v>5</v>
      </c>
      <c r="AL22" s="435" t="s">
        <v>5</v>
      </c>
      <c r="AM22" s="435" t="s">
        <v>5</v>
      </c>
      <c r="AN22" s="435" t="s">
        <v>5</v>
      </c>
      <c r="AO22" s="435" t="s">
        <v>5</v>
      </c>
      <c r="AP22" s="435" t="s">
        <v>5</v>
      </c>
      <c r="AQ22" s="435" t="s">
        <v>5</v>
      </c>
      <c r="AR22" s="435" t="s">
        <v>5</v>
      </c>
      <c r="AS22" s="435" t="s">
        <v>6</v>
      </c>
      <c r="AT22" s="454" t="s">
        <v>5</v>
      </c>
      <c r="AU22" s="455" t="s">
        <v>5</v>
      </c>
      <c r="AV22"/>
      <c r="AW22"/>
      <c r="AX22"/>
      <c r="AY22"/>
    </row>
    <row r="23" spans="6:51" ht="30" x14ac:dyDescent="0.25">
      <c r="F23" s="142" t="s">
        <v>49</v>
      </c>
      <c r="H23" s="130" t="s">
        <v>103</v>
      </c>
      <c r="I23" s="131" t="s">
        <v>371</v>
      </c>
      <c r="L23" s="427" t="s">
        <v>317</v>
      </c>
      <c r="M23" s="435" t="s">
        <v>5</v>
      </c>
      <c r="N23" s="435" t="s">
        <v>5</v>
      </c>
      <c r="O23" s="435" t="s">
        <v>5</v>
      </c>
      <c r="P23" s="435" t="s">
        <v>5</v>
      </c>
      <c r="Q23" s="435" t="s">
        <v>5</v>
      </c>
      <c r="R23" s="435" t="s">
        <v>5</v>
      </c>
      <c r="S23" s="435" t="s">
        <v>5</v>
      </c>
      <c r="T23" s="435" t="s">
        <v>5</v>
      </c>
      <c r="U23" s="435" t="s">
        <v>5</v>
      </c>
      <c r="V23" s="435" t="s">
        <v>5</v>
      </c>
      <c r="W23" s="435" t="s">
        <v>5</v>
      </c>
      <c r="X23" s="435" t="s">
        <v>5</v>
      </c>
      <c r="Y23" s="435" t="s">
        <v>5</v>
      </c>
      <c r="Z23" s="435" t="s">
        <v>5</v>
      </c>
      <c r="AA23" s="435" t="s">
        <v>6</v>
      </c>
      <c r="AB23" s="435" t="s">
        <v>6</v>
      </c>
      <c r="AC23" s="435" t="s">
        <v>6</v>
      </c>
      <c r="AD23" s="435" t="s">
        <v>5</v>
      </c>
      <c r="AE23" s="435" t="s">
        <v>5</v>
      </c>
      <c r="AF23" s="435" t="s">
        <v>5</v>
      </c>
      <c r="AG23" s="435" t="s">
        <v>5</v>
      </c>
      <c r="AH23" s="435" t="s">
        <v>5</v>
      </c>
      <c r="AI23" s="435" t="s">
        <v>5</v>
      </c>
      <c r="AJ23" s="435" t="s">
        <v>5</v>
      </c>
      <c r="AK23" s="435" t="s">
        <v>5</v>
      </c>
      <c r="AL23" s="435" t="s">
        <v>5</v>
      </c>
      <c r="AM23" s="435" t="s">
        <v>5</v>
      </c>
      <c r="AN23" s="435" t="s">
        <v>5</v>
      </c>
      <c r="AO23" s="435" t="s">
        <v>5</v>
      </c>
      <c r="AP23" s="435" t="s">
        <v>5</v>
      </c>
      <c r="AQ23" s="435" t="s">
        <v>5</v>
      </c>
      <c r="AR23" s="435" t="s">
        <v>5</v>
      </c>
      <c r="AS23" s="435" t="s">
        <v>5</v>
      </c>
      <c r="AT23" s="454" t="s">
        <v>5</v>
      </c>
      <c r="AU23" s="455" t="s">
        <v>5</v>
      </c>
      <c r="AV23"/>
      <c r="AW23"/>
      <c r="AX23"/>
      <c r="AY23"/>
    </row>
    <row r="24" spans="6:51" ht="45" x14ac:dyDescent="0.25">
      <c r="F24" s="142" t="s">
        <v>50</v>
      </c>
      <c r="H24" s="130" t="s">
        <v>104</v>
      </c>
      <c r="I24" s="131" t="s">
        <v>372</v>
      </c>
      <c r="L24" s="427" t="s">
        <v>318</v>
      </c>
      <c r="M24" s="435" t="s">
        <v>6</v>
      </c>
      <c r="N24" s="435" t="s">
        <v>5</v>
      </c>
      <c r="O24" s="435" t="s">
        <v>5</v>
      </c>
      <c r="P24" s="435" t="s">
        <v>5</v>
      </c>
      <c r="Q24" s="435" t="s">
        <v>5</v>
      </c>
      <c r="R24" s="435" t="s">
        <v>5</v>
      </c>
      <c r="S24" s="435" t="s">
        <v>5</v>
      </c>
      <c r="T24" s="435" t="s">
        <v>5</v>
      </c>
      <c r="U24" s="435" t="s">
        <v>6</v>
      </c>
      <c r="V24" s="435" t="s">
        <v>6</v>
      </c>
      <c r="W24" s="435" t="s">
        <v>6</v>
      </c>
      <c r="X24" s="435" t="s">
        <v>5</v>
      </c>
      <c r="Y24" s="435" t="s">
        <v>5</v>
      </c>
      <c r="Z24" s="435" t="s">
        <v>5</v>
      </c>
      <c r="AA24" s="435" t="s">
        <v>5</v>
      </c>
      <c r="AB24" s="435" t="s">
        <v>6</v>
      </c>
      <c r="AC24" s="435" t="s">
        <v>5</v>
      </c>
      <c r="AD24" s="435" t="s">
        <v>5</v>
      </c>
      <c r="AE24" s="435" t="s">
        <v>6</v>
      </c>
      <c r="AF24" s="435" t="s">
        <v>5</v>
      </c>
      <c r="AG24" s="435" t="s">
        <v>5</v>
      </c>
      <c r="AH24" s="435" t="s">
        <v>5</v>
      </c>
      <c r="AI24" s="435" t="s">
        <v>5</v>
      </c>
      <c r="AJ24" s="435" t="s">
        <v>5</v>
      </c>
      <c r="AK24" s="435" t="s">
        <v>5</v>
      </c>
      <c r="AL24" s="435" t="s">
        <v>5</v>
      </c>
      <c r="AM24" s="435" t="s">
        <v>6</v>
      </c>
      <c r="AN24" s="435" t="s">
        <v>6</v>
      </c>
      <c r="AO24" s="435" t="s">
        <v>6</v>
      </c>
      <c r="AP24" s="435" t="s">
        <v>5</v>
      </c>
      <c r="AQ24" s="435" t="s">
        <v>5</v>
      </c>
      <c r="AR24" s="435" t="s">
        <v>5</v>
      </c>
      <c r="AS24" s="435" t="s">
        <v>5</v>
      </c>
      <c r="AT24" s="454" t="s">
        <v>5</v>
      </c>
      <c r="AU24" s="455" t="s">
        <v>5</v>
      </c>
      <c r="AV24"/>
      <c r="AW24"/>
      <c r="AX24"/>
      <c r="AY24"/>
    </row>
    <row r="25" spans="6:51" ht="30" x14ac:dyDescent="0.25">
      <c r="F25" s="142" t="s">
        <v>51</v>
      </c>
      <c r="H25" s="130" t="s">
        <v>105</v>
      </c>
      <c r="I25" s="131" t="s">
        <v>373</v>
      </c>
      <c r="L25" s="427" t="s">
        <v>343</v>
      </c>
      <c r="M25" s="435" t="s">
        <v>6</v>
      </c>
      <c r="N25" s="435" t="s">
        <v>5</v>
      </c>
      <c r="O25" s="435" t="s">
        <v>5</v>
      </c>
      <c r="P25" s="435" t="s">
        <v>5</v>
      </c>
      <c r="Q25" s="435" t="s">
        <v>5</v>
      </c>
      <c r="R25" s="435" t="s">
        <v>5</v>
      </c>
      <c r="S25" s="435" t="s">
        <v>5</v>
      </c>
      <c r="T25" s="435" t="s">
        <v>5</v>
      </c>
      <c r="U25" s="435" t="s">
        <v>5</v>
      </c>
      <c r="V25" s="435" t="s">
        <v>5</v>
      </c>
      <c r="W25" s="435" t="s">
        <v>5</v>
      </c>
      <c r="X25" s="435" t="s">
        <v>6</v>
      </c>
      <c r="Y25" s="435" t="s">
        <v>6</v>
      </c>
      <c r="Z25" s="435" t="s">
        <v>6</v>
      </c>
      <c r="AA25" s="435" t="s">
        <v>6</v>
      </c>
      <c r="AB25" s="435" t="s">
        <v>5</v>
      </c>
      <c r="AC25" s="435" t="s">
        <v>5</v>
      </c>
      <c r="AD25" s="435" t="s">
        <v>6</v>
      </c>
      <c r="AE25" s="435" t="s">
        <v>6</v>
      </c>
      <c r="AF25" s="435" t="s">
        <v>5</v>
      </c>
      <c r="AG25" s="435" t="s">
        <v>5</v>
      </c>
      <c r="AH25" s="435" t="s">
        <v>5</v>
      </c>
      <c r="AI25" s="435" t="s">
        <v>5</v>
      </c>
      <c r="AJ25" s="435" t="s">
        <v>5</v>
      </c>
      <c r="AK25" s="435" t="s">
        <v>5</v>
      </c>
      <c r="AL25" s="435" t="s">
        <v>5</v>
      </c>
      <c r="AM25" s="435" t="s">
        <v>5</v>
      </c>
      <c r="AN25" s="435" t="s">
        <v>5</v>
      </c>
      <c r="AO25" s="435" t="s">
        <v>5</v>
      </c>
      <c r="AP25" s="435" t="s">
        <v>6</v>
      </c>
      <c r="AQ25" s="435" t="s">
        <v>6</v>
      </c>
      <c r="AR25" s="435" t="s">
        <v>6</v>
      </c>
      <c r="AS25" s="435" t="s">
        <v>6</v>
      </c>
      <c r="AT25" s="454" t="s">
        <v>5</v>
      </c>
      <c r="AU25" s="455" t="s">
        <v>5</v>
      </c>
      <c r="AV25"/>
      <c r="AW25"/>
      <c r="AX25"/>
      <c r="AY25"/>
    </row>
    <row r="26" spans="6:51" ht="30.75" thickBot="1" x14ac:dyDescent="0.3">
      <c r="F26" s="147" t="s">
        <v>52</v>
      </c>
      <c r="H26" s="130" t="s">
        <v>106</v>
      </c>
      <c r="I26" s="131" t="s">
        <v>374</v>
      </c>
      <c r="L26" s="427" t="s">
        <v>81</v>
      </c>
      <c r="M26" s="435" t="s">
        <v>6</v>
      </c>
      <c r="N26" s="435" t="s">
        <v>6</v>
      </c>
      <c r="O26" s="435" t="s">
        <v>6</v>
      </c>
      <c r="P26" s="435" t="s">
        <v>6</v>
      </c>
      <c r="Q26" s="435" t="s">
        <v>6</v>
      </c>
      <c r="R26" s="435" t="s">
        <v>6</v>
      </c>
      <c r="S26" s="435" t="s">
        <v>6</v>
      </c>
      <c r="T26" s="435" t="s">
        <v>6</v>
      </c>
      <c r="U26" s="435" t="s">
        <v>6</v>
      </c>
      <c r="V26" s="435" t="s">
        <v>6</v>
      </c>
      <c r="W26" s="435" t="s">
        <v>6</v>
      </c>
      <c r="X26" s="435" t="s">
        <v>6</v>
      </c>
      <c r="Y26" s="435" t="s">
        <v>6</v>
      </c>
      <c r="Z26" s="435" t="s">
        <v>6</v>
      </c>
      <c r="AA26" s="435" t="s">
        <v>6</v>
      </c>
      <c r="AB26" s="435" t="s">
        <v>6</v>
      </c>
      <c r="AC26" s="435" t="s">
        <v>6</v>
      </c>
      <c r="AD26" s="435" t="s">
        <v>6</v>
      </c>
      <c r="AE26" s="435" t="s">
        <v>5</v>
      </c>
      <c r="AF26" s="435" t="s">
        <v>5</v>
      </c>
      <c r="AG26" s="435" t="s">
        <v>5</v>
      </c>
      <c r="AH26" s="435" t="s">
        <v>5</v>
      </c>
      <c r="AI26" s="435" t="s">
        <v>5</v>
      </c>
      <c r="AJ26" s="435" t="s">
        <v>5</v>
      </c>
      <c r="AK26" s="435" t="s">
        <v>5</v>
      </c>
      <c r="AL26" s="435" t="s">
        <v>5</v>
      </c>
      <c r="AM26" s="435" t="s">
        <v>5</v>
      </c>
      <c r="AN26" s="435" t="s">
        <v>5</v>
      </c>
      <c r="AO26" s="435" t="s">
        <v>5</v>
      </c>
      <c r="AP26" s="435" t="s">
        <v>5</v>
      </c>
      <c r="AQ26" s="435" t="s">
        <v>5</v>
      </c>
      <c r="AR26" s="435" t="s">
        <v>5</v>
      </c>
      <c r="AS26" s="435" t="s">
        <v>5</v>
      </c>
      <c r="AT26" s="454" t="s">
        <v>5</v>
      </c>
      <c r="AU26" s="455" t="s">
        <v>5</v>
      </c>
      <c r="AV26"/>
      <c r="AW26"/>
      <c r="AX26"/>
      <c r="AY26"/>
    </row>
    <row r="27" spans="6:51" ht="30.75" customHeight="1" x14ac:dyDescent="0.25">
      <c r="H27" s="130" t="s">
        <v>107</v>
      </c>
      <c r="I27" s="131" t="s">
        <v>256</v>
      </c>
      <c r="L27" s="233" t="s">
        <v>309</v>
      </c>
      <c r="M27" s="435"/>
      <c r="N27" s="435"/>
      <c r="O27" s="435"/>
      <c r="P27" s="435"/>
      <c r="Q27" s="435"/>
      <c r="R27" s="435"/>
      <c r="S27" s="435"/>
      <c r="T27" s="435"/>
      <c r="U27" s="435"/>
      <c r="V27" s="435"/>
      <c r="W27" s="435"/>
      <c r="X27" s="435"/>
      <c r="Y27" s="435"/>
      <c r="Z27" s="435"/>
      <c r="AA27" s="435"/>
      <c r="AB27" s="435"/>
      <c r="AC27" s="435"/>
      <c r="AD27" s="435"/>
      <c r="AE27" s="435"/>
      <c r="AF27" s="435"/>
      <c r="AG27" s="435"/>
      <c r="AH27" s="435"/>
      <c r="AI27" s="435"/>
      <c r="AJ27" s="435"/>
      <c r="AK27" s="435"/>
      <c r="AL27" s="435"/>
      <c r="AM27" s="435"/>
      <c r="AN27" s="435"/>
      <c r="AO27" s="435"/>
      <c r="AP27" s="435"/>
      <c r="AQ27" s="435"/>
      <c r="AR27" s="435"/>
      <c r="AS27" s="435"/>
      <c r="AT27" s="454"/>
      <c r="AU27" s="455"/>
      <c r="AV27"/>
      <c r="AW27"/>
      <c r="AX27"/>
      <c r="AY27"/>
    </row>
    <row r="28" spans="6:51" ht="30.75" customHeight="1" thickBot="1" x14ac:dyDescent="0.3">
      <c r="H28" s="133" t="s">
        <v>53</v>
      </c>
      <c r="I28" s="134" t="str">
        <f>""</f>
        <v/>
      </c>
      <c r="L28" s="427" t="s">
        <v>301</v>
      </c>
      <c r="M28" s="435" t="s">
        <v>5</v>
      </c>
      <c r="N28" s="435" t="s">
        <v>5</v>
      </c>
      <c r="O28" s="435" t="s">
        <v>5</v>
      </c>
      <c r="P28" s="435" t="s">
        <v>5</v>
      </c>
      <c r="Q28" s="435" t="s">
        <v>5</v>
      </c>
      <c r="R28" s="435" t="s">
        <v>5</v>
      </c>
      <c r="S28" s="435" t="s">
        <v>5</v>
      </c>
      <c r="T28" s="435" t="s">
        <v>5</v>
      </c>
      <c r="U28" s="435" t="s">
        <v>5</v>
      </c>
      <c r="V28" s="435" t="s">
        <v>5</v>
      </c>
      <c r="W28" s="435" t="s">
        <v>5</v>
      </c>
      <c r="X28" s="435" t="s">
        <v>5</v>
      </c>
      <c r="Y28" s="435" t="s">
        <v>5</v>
      </c>
      <c r="Z28" s="435" t="s">
        <v>5</v>
      </c>
      <c r="AA28" s="435" t="s">
        <v>5</v>
      </c>
      <c r="AB28" s="435" t="s">
        <v>5</v>
      </c>
      <c r="AC28" s="435" t="s">
        <v>5</v>
      </c>
      <c r="AD28" s="435" t="s">
        <v>6</v>
      </c>
      <c r="AE28" s="435" t="s">
        <v>5</v>
      </c>
      <c r="AF28" s="435" t="s">
        <v>5</v>
      </c>
      <c r="AG28" s="435" t="s">
        <v>5</v>
      </c>
      <c r="AH28" s="435" t="s">
        <v>5</v>
      </c>
      <c r="AI28" s="435" t="s">
        <v>5</v>
      </c>
      <c r="AJ28" s="435" t="s">
        <v>5</v>
      </c>
      <c r="AK28" s="435" t="s">
        <v>5</v>
      </c>
      <c r="AL28" s="435" t="s">
        <v>5</v>
      </c>
      <c r="AM28" s="435" t="s">
        <v>5</v>
      </c>
      <c r="AN28" s="435" t="s">
        <v>5</v>
      </c>
      <c r="AO28" s="435" t="s">
        <v>5</v>
      </c>
      <c r="AP28" s="435" t="s">
        <v>5</v>
      </c>
      <c r="AQ28" s="435" t="s">
        <v>5</v>
      </c>
      <c r="AR28" s="435" t="s">
        <v>5</v>
      </c>
      <c r="AS28" s="435" t="s">
        <v>6</v>
      </c>
      <c r="AT28" s="454" t="s">
        <v>5</v>
      </c>
      <c r="AU28" s="455"/>
      <c r="AV28"/>
      <c r="AW28"/>
      <c r="AX28"/>
      <c r="AY28"/>
    </row>
    <row r="29" spans="6:51" ht="30.75" customHeight="1" x14ac:dyDescent="0.25">
      <c r="I29" s="65"/>
      <c r="L29" s="427" t="s">
        <v>302</v>
      </c>
      <c r="M29" s="435" t="s">
        <v>5</v>
      </c>
      <c r="N29" s="435" t="s">
        <v>5</v>
      </c>
      <c r="O29" s="435" t="s">
        <v>5</v>
      </c>
      <c r="P29" s="435" t="s">
        <v>5</v>
      </c>
      <c r="Q29" s="435" t="s">
        <v>5</v>
      </c>
      <c r="R29" s="435" t="s">
        <v>5</v>
      </c>
      <c r="S29" s="435" t="s">
        <v>5</v>
      </c>
      <c r="T29" s="435" t="s">
        <v>5</v>
      </c>
      <c r="U29" s="435" t="s">
        <v>5</v>
      </c>
      <c r="V29" s="435" t="s">
        <v>5</v>
      </c>
      <c r="W29" s="435" t="s">
        <v>5</v>
      </c>
      <c r="X29" s="435" t="s">
        <v>5</v>
      </c>
      <c r="Y29" s="435" t="s">
        <v>5</v>
      </c>
      <c r="Z29" s="435" t="s">
        <v>5</v>
      </c>
      <c r="AA29" s="435" t="s">
        <v>6</v>
      </c>
      <c r="AB29" s="435" t="s">
        <v>6</v>
      </c>
      <c r="AC29" s="435" t="s">
        <v>6</v>
      </c>
      <c r="AD29" s="435" t="s">
        <v>6</v>
      </c>
      <c r="AE29" s="435" t="s">
        <v>5</v>
      </c>
      <c r="AF29" s="435" t="s">
        <v>5</v>
      </c>
      <c r="AG29" s="435" t="s">
        <v>5</v>
      </c>
      <c r="AH29" s="435" t="s">
        <v>5</v>
      </c>
      <c r="AI29" s="435" t="s">
        <v>5</v>
      </c>
      <c r="AJ29" s="435" t="s">
        <v>5</v>
      </c>
      <c r="AK29" s="435" t="s">
        <v>5</v>
      </c>
      <c r="AL29" s="435" t="s">
        <v>5</v>
      </c>
      <c r="AM29" s="435" t="s">
        <v>5</v>
      </c>
      <c r="AN29" s="435" t="s">
        <v>5</v>
      </c>
      <c r="AO29" s="435" t="s">
        <v>5</v>
      </c>
      <c r="AP29" s="435" t="s">
        <v>5</v>
      </c>
      <c r="AQ29" s="435" t="s">
        <v>5</v>
      </c>
      <c r="AR29" s="435" t="s">
        <v>5</v>
      </c>
      <c r="AS29" s="435" t="s">
        <v>6</v>
      </c>
      <c r="AT29" s="454" t="s">
        <v>5</v>
      </c>
      <c r="AU29" s="455" t="s">
        <v>5</v>
      </c>
      <c r="AV29"/>
      <c r="AW29"/>
      <c r="AX29"/>
      <c r="AY29"/>
    </row>
    <row r="30" spans="6:51" ht="30.75" customHeight="1" x14ac:dyDescent="0.25">
      <c r="I30" s="65"/>
      <c r="L30" s="427" t="s">
        <v>303</v>
      </c>
      <c r="M30" s="435" t="s">
        <v>5</v>
      </c>
      <c r="N30" s="435" t="s">
        <v>5</v>
      </c>
      <c r="O30" s="435" t="s">
        <v>5</v>
      </c>
      <c r="P30" s="435" t="s">
        <v>5</v>
      </c>
      <c r="Q30" s="435" t="s">
        <v>5</v>
      </c>
      <c r="R30" s="435" t="s">
        <v>5</v>
      </c>
      <c r="S30" s="435" t="s">
        <v>5</v>
      </c>
      <c r="T30" s="435" t="s">
        <v>5</v>
      </c>
      <c r="U30" s="435" t="s">
        <v>5</v>
      </c>
      <c r="V30" s="435" t="s">
        <v>5</v>
      </c>
      <c r="W30" s="435" t="s">
        <v>5</v>
      </c>
      <c r="X30" s="435" t="s">
        <v>5</v>
      </c>
      <c r="Y30" s="435" t="s">
        <v>5</v>
      </c>
      <c r="Z30" s="435" t="s">
        <v>5</v>
      </c>
      <c r="AA30" s="435" t="s">
        <v>6</v>
      </c>
      <c r="AB30" s="435" t="s">
        <v>6</v>
      </c>
      <c r="AC30" s="435" t="s">
        <v>6</v>
      </c>
      <c r="AD30" s="435" t="s">
        <v>6</v>
      </c>
      <c r="AE30" s="435" t="s">
        <v>5</v>
      </c>
      <c r="AF30" s="435" t="s">
        <v>5</v>
      </c>
      <c r="AG30" s="435" t="s">
        <v>5</v>
      </c>
      <c r="AH30" s="435" t="s">
        <v>5</v>
      </c>
      <c r="AI30" s="435" t="s">
        <v>5</v>
      </c>
      <c r="AJ30" s="435" t="s">
        <v>5</v>
      </c>
      <c r="AK30" s="435" t="s">
        <v>5</v>
      </c>
      <c r="AL30" s="435" t="s">
        <v>5</v>
      </c>
      <c r="AM30" s="435" t="s">
        <v>5</v>
      </c>
      <c r="AN30" s="435" t="s">
        <v>5</v>
      </c>
      <c r="AO30" s="435" t="s">
        <v>5</v>
      </c>
      <c r="AP30" s="435" t="s">
        <v>5</v>
      </c>
      <c r="AQ30" s="435" t="s">
        <v>5</v>
      </c>
      <c r="AR30" s="435" t="s">
        <v>5</v>
      </c>
      <c r="AS30" s="435" t="s">
        <v>6</v>
      </c>
      <c r="AT30" s="454" t="s">
        <v>5</v>
      </c>
      <c r="AU30" s="455" t="s">
        <v>5</v>
      </c>
      <c r="AV30"/>
      <c r="AW30"/>
      <c r="AX30"/>
      <c r="AY30"/>
    </row>
    <row r="31" spans="6:51" ht="30.75" customHeight="1" x14ac:dyDescent="0.25">
      <c r="I31" s="65"/>
      <c r="L31" s="427" t="s">
        <v>304</v>
      </c>
      <c r="M31" s="435" t="s">
        <v>5</v>
      </c>
      <c r="N31" s="435" t="s">
        <v>5</v>
      </c>
      <c r="O31" s="435" t="s">
        <v>5</v>
      </c>
      <c r="P31" s="435" t="s">
        <v>5</v>
      </c>
      <c r="Q31" s="435" t="s">
        <v>5</v>
      </c>
      <c r="R31" s="435" t="s">
        <v>5</v>
      </c>
      <c r="S31" s="435" t="s">
        <v>5</v>
      </c>
      <c r="T31" s="435" t="s">
        <v>5</v>
      </c>
      <c r="U31" s="435" t="s">
        <v>5</v>
      </c>
      <c r="V31" s="435" t="s">
        <v>5</v>
      </c>
      <c r="W31" s="435" t="s">
        <v>5</v>
      </c>
      <c r="X31" s="435" t="s">
        <v>5</v>
      </c>
      <c r="Y31" s="435" t="s">
        <v>5</v>
      </c>
      <c r="Z31" s="435" t="s">
        <v>5</v>
      </c>
      <c r="AA31" s="435" t="s">
        <v>6</v>
      </c>
      <c r="AB31" s="435" t="s">
        <v>6</v>
      </c>
      <c r="AC31" s="435" t="s">
        <v>6</v>
      </c>
      <c r="AD31" s="435" t="s">
        <v>6</v>
      </c>
      <c r="AE31" s="435" t="s">
        <v>5</v>
      </c>
      <c r="AF31" s="435" t="s">
        <v>5</v>
      </c>
      <c r="AG31" s="435" t="s">
        <v>5</v>
      </c>
      <c r="AH31" s="435" t="s">
        <v>5</v>
      </c>
      <c r="AI31" s="435" t="s">
        <v>5</v>
      </c>
      <c r="AJ31" s="435" t="s">
        <v>5</v>
      </c>
      <c r="AK31" s="435" t="s">
        <v>5</v>
      </c>
      <c r="AL31" s="435" t="s">
        <v>5</v>
      </c>
      <c r="AM31" s="435" t="s">
        <v>5</v>
      </c>
      <c r="AN31" s="435" t="s">
        <v>5</v>
      </c>
      <c r="AO31" s="435" t="s">
        <v>5</v>
      </c>
      <c r="AP31" s="435" t="s">
        <v>5</v>
      </c>
      <c r="AQ31" s="435" t="s">
        <v>5</v>
      </c>
      <c r="AR31" s="435" t="s">
        <v>5</v>
      </c>
      <c r="AS31" s="435" t="s">
        <v>6</v>
      </c>
      <c r="AT31" s="454" t="s">
        <v>5</v>
      </c>
      <c r="AU31" s="455" t="s">
        <v>5</v>
      </c>
      <c r="AV31"/>
      <c r="AW31"/>
      <c r="AX31"/>
      <c r="AY31"/>
    </row>
    <row r="32" spans="6:51" ht="30.75" customHeight="1" x14ac:dyDescent="0.25">
      <c r="I32" s="65"/>
      <c r="L32" s="427" t="s">
        <v>414</v>
      </c>
      <c r="M32" s="435" t="s">
        <v>5</v>
      </c>
      <c r="N32" s="435" t="s">
        <v>5</v>
      </c>
      <c r="O32" s="435" t="s">
        <v>5</v>
      </c>
      <c r="P32" s="435" t="s">
        <v>5</v>
      </c>
      <c r="Q32" s="435" t="s">
        <v>5</v>
      </c>
      <c r="R32" s="435" t="s">
        <v>5</v>
      </c>
      <c r="S32" s="435" t="s">
        <v>5</v>
      </c>
      <c r="T32" s="435" t="s">
        <v>5</v>
      </c>
      <c r="U32" s="435" t="s">
        <v>5</v>
      </c>
      <c r="V32" s="435" t="s">
        <v>5</v>
      </c>
      <c r="W32" s="435" t="s">
        <v>5</v>
      </c>
      <c r="X32" s="435" t="s">
        <v>5</v>
      </c>
      <c r="Y32" s="435" t="s">
        <v>5</v>
      </c>
      <c r="Z32" s="435" t="s">
        <v>5</v>
      </c>
      <c r="AA32" s="435" t="s">
        <v>6</v>
      </c>
      <c r="AB32" s="435" t="s">
        <v>6</v>
      </c>
      <c r="AC32" s="435" t="s">
        <v>6</v>
      </c>
      <c r="AD32" s="435" t="s">
        <v>6</v>
      </c>
      <c r="AE32" s="435" t="s">
        <v>5</v>
      </c>
      <c r="AF32" s="435" t="s">
        <v>5</v>
      </c>
      <c r="AG32" s="435" t="s">
        <v>5</v>
      </c>
      <c r="AH32" s="435" t="s">
        <v>5</v>
      </c>
      <c r="AI32" s="435" t="s">
        <v>5</v>
      </c>
      <c r="AJ32" s="435" t="s">
        <v>5</v>
      </c>
      <c r="AK32" s="435" t="s">
        <v>5</v>
      </c>
      <c r="AL32" s="435" t="s">
        <v>5</v>
      </c>
      <c r="AM32" s="435" t="s">
        <v>5</v>
      </c>
      <c r="AN32" s="435" t="s">
        <v>5</v>
      </c>
      <c r="AO32" s="435" t="s">
        <v>5</v>
      </c>
      <c r="AP32" s="435" t="s">
        <v>5</v>
      </c>
      <c r="AQ32" s="435" t="s">
        <v>5</v>
      </c>
      <c r="AR32" s="435" t="s">
        <v>5</v>
      </c>
      <c r="AS32" s="435" t="s">
        <v>6</v>
      </c>
      <c r="AT32" s="454" t="s">
        <v>5</v>
      </c>
      <c r="AU32" s="455" t="s">
        <v>5</v>
      </c>
      <c r="AV32"/>
      <c r="AW32"/>
      <c r="AX32"/>
      <c r="AY32"/>
    </row>
    <row r="33" spans="9:84" ht="30.75" customHeight="1" x14ac:dyDescent="0.25">
      <c r="I33" s="65"/>
      <c r="L33" s="427" t="s">
        <v>305</v>
      </c>
      <c r="M33" s="435" t="s">
        <v>5</v>
      </c>
      <c r="N33" s="435" t="s">
        <v>5</v>
      </c>
      <c r="O33" s="435" t="s">
        <v>5</v>
      </c>
      <c r="P33" s="435" t="s">
        <v>5</v>
      </c>
      <c r="Q33" s="435" t="s">
        <v>5</v>
      </c>
      <c r="R33" s="435" t="s">
        <v>5</v>
      </c>
      <c r="S33" s="435" t="s">
        <v>5</v>
      </c>
      <c r="T33" s="435" t="s">
        <v>5</v>
      </c>
      <c r="U33" s="435" t="s">
        <v>5</v>
      </c>
      <c r="V33" s="435" t="s">
        <v>5</v>
      </c>
      <c r="W33" s="435" t="s">
        <v>5</v>
      </c>
      <c r="X33" s="435" t="s">
        <v>5</v>
      </c>
      <c r="Y33" s="435" t="s">
        <v>5</v>
      </c>
      <c r="Z33" s="435" t="s">
        <v>5</v>
      </c>
      <c r="AA33" s="435" t="s">
        <v>6</v>
      </c>
      <c r="AB33" s="435" t="s">
        <v>6</v>
      </c>
      <c r="AC33" s="435" t="s">
        <v>6</v>
      </c>
      <c r="AD33" s="435" t="s">
        <v>6</v>
      </c>
      <c r="AE33" s="435" t="s">
        <v>5</v>
      </c>
      <c r="AF33" s="435" t="s">
        <v>5</v>
      </c>
      <c r="AG33" s="435" t="s">
        <v>5</v>
      </c>
      <c r="AH33" s="435" t="s">
        <v>5</v>
      </c>
      <c r="AI33" s="435" t="s">
        <v>5</v>
      </c>
      <c r="AJ33" s="435" t="s">
        <v>5</v>
      </c>
      <c r="AK33" s="435" t="s">
        <v>5</v>
      </c>
      <c r="AL33" s="435" t="s">
        <v>5</v>
      </c>
      <c r="AM33" s="435" t="s">
        <v>5</v>
      </c>
      <c r="AN33" s="435" t="s">
        <v>5</v>
      </c>
      <c r="AO33" s="435" t="s">
        <v>5</v>
      </c>
      <c r="AP33" s="435" t="s">
        <v>5</v>
      </c>
      <c r="AQ33" s="435" t="s">
        <v>5</v>
      </c>
      <c r="AR33" s="435" t="s">
        <v>5</v>
      </c>
      <c r="AS33" s="435" t="s">
        <v>6</v>
      </c>
      <c r="AT33" s="454" t="s">
        <v>5</v>
      </c>
      <c r="AU33" s="455" t="s">
        <v>5</v>
      </c>
      <c r="AV33"/>
      <c r="AW33"/>
      <c r="AX33"/>
      <c r="AY33"/>
    </row>
    <row r="34" spans="9:84" ht="30.75" customHeight="1" x14ac:dyDescent="0.25">
      <c r="I34" s="65"/>
      <c r="L34" s="427" t="s">
        <v>415</v>
      </c>
      <c r="M34" s="435" t="s">
        <v>5</v>
      </c>
      <c r="N34" s="435" t="s">
        <v>5</v>
      </c>
      <c r="O34" s="435" t="s">
        <v>5</v>
      </c>
      <c r="P34" s="435" t="s">
        <v>5</v>
      </c>
      <c r="Q34" s="435" t="s">
        <v>5</v>
      </c>
      <c r="R34" s="435" t="s">
        <v>5</v>
      </c>
      <c r="S34" s="435" t="s">
        <v>5</v>
      </c>
      <c r="T34" s="435" t="s">
        <v>5</v>
      </c>
      <c r="U34" s="435" t="s">
        <v>5</v>
      </c>
      <c r="V34" s="435" t="s">
        <v>5</v>
      </c>
      <c r="W34" s="435" t="s">
        <v>5</v>
      </c>
      <c r="X34" s="435" t="s">
        <v>5</v>
      </c>
      <c r="Y34" s="435" t="s">
        <v>5</v>
      </c>
      <c r="Z34" s="435" t="s">
        <v>5</v>
      </c>
      <c r="AA34" s="435" t="s">
        <v>6</v>
      </c>
      <c r="AB34" s="435" t="s">
        <v>6</v>
      </c>
      <c r="AC34" s="435" t="s">
        <v>6</v>
      </c>
      <c r="AD34" s="435" t="s">
        <v>6</v>
      </c>
      <c r="AE34" s="435" t="s">
        <v>5</v>
      </c>
      <c r="AF34" s="435" t="s">
        <v>5</v>
      </c>
      <c r="AG34" s="435" t="s">
        <v>5</v>
      </c>
      <c r="AH34" s="435" t="s">
        <v>5</v>
      </c>
      <c r="AI34" s="435" t="s">
        <v>5</v>
      </c>
      <c r="AJ34" s="435" t="s">
        <v>5</v>
      </c>
      <c r="AK34" s="435" t="s">
        <v>5</v>
      </c>
      <c r="AL34" s="435" t="s">
        <v>5</v>
      </c>
      <c r="AM34" s="435" t="s">
        <v>5</v>
      </c>
      <c r="AN34" s="435" t="s">
        <v>5</v>
      </c>
      <c r="AO34" s="435" t="s">
        <v>5</v>
      </c>
      <c r="AP34" s="435" t="s">
        <v>5</v>
      </c>
      <c r="AQ34" s="435" t="s">
        <v>5</v>
      </c>
      <c r="AR34" s="435" t="s">
        <v>5</v>
      </c>
      <c r="AS34" s="435" t="s">
        <v>6</v>
      </c>
      <c r="AT34" s="454" t="s">
        <v>5</v>
      </c>
      <c r="AU34" s="455" t="s">
        <v>5</v>
      </c>
      <c r="AV34"/>
      <c r="AW34"/>
      <c r="AX34"/>
      <c r="AY34"/>
    </row>
    <row r="35" spans="9:84" ht="30.75" customHeight="1" x14ac:dyDescent="0.25">
      <c r="I35" s="65"/>
      <c r="L35" s="427" t="s">
        <v>416</v>
      </c>
      <c r="M35" s="435" t="s">
        <v>5</v>
      </c>
      <c r="N35" s="435" t="s">
        <v>5</v>
      </c>
      <c r="O35" s="435" t="s">
        <v>5</v>
      </c>
      <c r="P35" s="435" t="s">
        <v>5</v>
      </c>
      <c r="Q35" s="435" t="s">
        <v>5</v>
      </c>
      <c r="R35" s="435" t="s">
        <v>5</v>
      </c>
      <c r="S35" s="435" t="s">
        <v>5</v>
      </c>
      <c r="T35" s="435" t="s">
        <v>5</v>
      </c>
      <c r="U35" s="435" t="s">
        <v>5</v>
      </c>
      <c r="V35" s="435" t="s">
        <v>5</v>
      </c>
      <c r="W35" s="435" t="s">
        <v>5</v>
      </c>
      <c r="X35" s="435" t="s">
        <v>5</v>
      </c>
      <c r="Y35" s="435" t="s">
        <v>5</v>
      </c>
      <c r="Z35" s="435" t="s">
        <v>5</v>
      </c>
      <c r="AA35" s="435" t="s">
        <v>6</v>
      </c>
      <c r="AB35" s="435" t="s">
        <v>6</v>
      </c>
      <c r="AC35" s="435" t="s">
        <v>6</v>
      </c>
      <c r="AD35" s="435" t="s">
        <v>6</v>
      </c>
      <c r="AE35" s="435" t="s">
        <v>5</v>
      </c>
      <c r="AF35" s="435" t="s">
        <v>5</v>
      </c>
      <c r="AG35" s="435" t="s">
        <v>5</v>
      </c>
      <c r="AH35" s="435" t="s">
        <v>5</v>
      </c>
      <c r="AI35" s="435" t="s">
        <v>5</v>
      </c>
      <c r="AJ35" s="435" t="s">
        <v>5</v>
      </c>
      <c r="AK35" s="435" t="s">
        <v>5</v>
      </c>
      <c r="AL35" s="435" t="s">
        <v>5</v>
      </c>
      <c r="AM35" s="435" t="s">
        <v>5</v>
      </c>
      <c r="AN35" s="435" t="s">
        <v>5</v>
      </c>
      <c r="AO35" s="435" t="s">
        <v>5</v>
      </c>
      <c r="AP35" s="435" t="s">
        <v>5</v>
      </c>
      <c r="AQ35" s="435" t="s">
        <v>5</v>
      </c>
      <c r="AR35" s="435" t="s">
        <v>5</v>
      </c>
      <c r="AS35" s="435" t="s">
        <v>6</v>
      </c>
      <c r="AT35" s="454" t="s">
        <v>5</v>
      </c>
      <c r="AU35" s="455" t="s">
        <v>5</v>
      </c>
      <c r="AV35"/>
      <c r="AW35"/>
      <c r="AX35"/>
      <c r="AY35"/>
    </row>
    <row r="36" spans="9:84" ht="30.75" customHeight="1" x14ac:dyDescent="0.25">
      <c r="I36" s="65"/>
      <c r="L36" s="427" t="s">
        <v>311</v>
      </c>
      <c r="M36" s="435" t="s">
        <v>5</v>
      </c>
      <c r="N36" s="435" t="s">
        <v>5</v>
      </c>
      <c r="O36" s="435" t="s">
        <v>5</v>
      </c>
      <c r="P36" s="435" t="s">
        <v>5</v>
      </c>
      <c r="Q36" s="435" t="s">
        <v>5</v>
      </c>
      <c r="R36" s="435" t="s">
        <v>5</v>
      </c>
      <c r="S36" s="435" t="s">
        <v>5</v>
      </c>
      <c r="T36" s="435" t="s">
        <v>5</v>
      </c>
      <c r="U36" s="435" t="s">
        <v>5</v>
      </c>
      <c r="V36" s="435" t="s">
        <v>5</v>
      </c>
      <c r="W36" s="435" t="s">
        <v>5</v>
      </c>
      <c r="X36" s="435" t="s">
        <v>5</v>
      </c>
      <c r="Y36" s="435" t="s">
        <v>5</v>
      </c>
      <c r="Z36" s="435" t="s">
        <v>5</v>
      </c>
      <c r="AA36" s="435" t="s">
        <v>6</v>
      </c>
      <c r="AB36" s="435" t="s">
        <v>6</v>
      </c>
      <c r="AC36" s="435" t="s">
        <v>6</v>
      </c>
      <c r="AD36" s="435" t="s">
        <v>6</v>
      </c>
      <c r="AE36" s="435" t="s">
        <v>5</v>
      </c>
      <c r="AF36" s="435" t="s">
        <v>5</v>
      </c>
      <c r="AG36" s="435" t="s">
        <v>5</v>
      </c>
      <c r="AH36" s="435" t="s">
        <v>5</v>
      </c>
      <c r="AI36" s="435" t="s">
        <v>5</v>
      </c>
      <c r="AJ36" s="435" t="s">
        <v>5</v>
      </c>
      <c r="AK36" s="435" t="s">
        <v>5</v>
      </c>
      <c r="AL36" s="435" t="s">
        <v>5</v>
      </c>
      <c r="AM36" s="435" t="s">
        <v>5</v>
      </c>
      <c r="AN36" s="435" t="s">
        <v>5</v>
      </c>
      <c r="AO36" s="435" t="s">
        <v>5</v>
      </c>
      <c r="AP36" s="435" t="s">
        <v>5</v>
      </c>
      <c r="AQ36" s="435" t="s">
        <v>5</v>
      </c>
      <c r="AR36" s="435" t="s">
        <v>5</v>
      </c>
      <c r="AS36" s="435" t="s">
        <v>6</v>
      </c>
      <c r="AT36" s="454" t="s">
        <v>5</v>
      </c>
      <c r="AU36" s="455" t="s">
        <v>5</v>
      </c>
      <c r="AV36"/>
      <c r="AW36"/>
      <c r="AX36"/>
      <c r="AY36"/>
    </row>
    <row r="37" spans="9:84" ht="30.75" customHeight="1" x14ac:dyDescent="0.25">
      <c r="I37" s="65"/>
      <c r="L37" s="427" t="s">
        <v>312</v>
      </c>
      <c r="M37" s="435" t="s">
        <v>5</v>
      </c>
      <c r="N37" s="435" t="s">
        <v>5</v>
      </c>
      <c r="O37" s="435" t="s">
        <v>5</v>
      </c>
      <c r="P37" s="435" t="s">
        <v>5</v>
      </c>
      <c r="Q37" s="435" t="s">
        <v>5</v>
      </c>
      <c r="R37" s="435" t="s">
        <v>5</v>
      </c>
      <c r="S37" s="435" t="s">
        <v>5</v>
      </c>
      <c r="T37" s="435" t="s">
        <v>5</v>
      </c>
      <c r="U37" s="435" t="s">
        <v>5</v>
      </c>
      <c r="V37" s="435" t="s">
        <v>5</v>
      </c>
      <c r="W37" s="435" t="s">
        <v>5</v>
      </c>
      <c r="X37" s="435" t="s">
        <v>5</v>
      </c>
      <c r="Y37" s="435" t="s">
        <v>5</v>
      </c>
      <c r="Z37" s="435" t="s">
        <v>5</v>
      </c>
      <c r="AA37" s="435" t="s">
        <v>6</v>
      </c>
      <c r="AB37" s="435" t="s">
        <v>6</v>
      </c>
      <c r="AC37" s="435" t="s">
        <v>6</v>
      </c>
      <c r="AD37" s="435" t="s">
        <v>6</v>
      </c>
      <c r="AE37" s="435" t="s">
        <v>5</v>
      </c>
      <c r="AF37" s="435" t="s">
        <v>5</v>
      </c>
      <c r="AG37" s="435" t="s">
        <v>5</v>
      </c>
      <c r="AH37" s="435" t="s">
        <v>5</v>
      </c>
      <c r="AI37" s="435" t="s">
        <v>5</v>
      </c>
      <c r="AJ37" s="435" t="s">
        <v>5</v>
      </c>
      <c r="AK37" s="435" t="s">
        <v>5</v>
      </c>
      <c r="AL37" s="435" t="s">
        <v>5</v>
      </c>
      <c r="AM37" s="435" t="s">
        <v>5</v>
      </c>
      <c r="AN37" s="435" t="s">
        <v>5</v>
      </c>
      <c r="AO37" s="435" t="s">
        <v>5</v>
      </c>
      <c r="AP37" s="435" t="s">
        <v>5</v>
      </c>
      <c r="AQ37" s="435" t="s">
        <v>5</v>
      </c>
      <c r="AR37" s="435" t="s">
        <v>5</v>
      </c>
      <c r="AS37" s="435" t="s">
        <v>6</v>
      </c>
      <c r="AT37" s="454" t="s">
        <v>5</v>
      </c>
      <c r="AU37" s="455" t="s">
        <v>5</v>
      </c>
      <c r="AV37"/>
      <c r="AW37"/>
      <c r="AX37"/>
      <c r="AY37"/>
    </row>
    <row r="38" spans="9:84" ht="30.75" customHeight="1" x14ac:dyDescent="0.25">
      <c r="I38" s="65"/>
      <c r="L38" s="427" t="s">
        <v>313</v>
      </c>
      <c r="M38" s="435" t="s">
        <v>5</v>
      </c>
      <c r="N38" s="435" t="s">
        <v>5</v>
      </c>
      <c r="O38" s="435" t="s">
        <v>5</v>
      </c>
      <c r="P38" s="435" t="s">
        <v>5</v>
      </c>
      <c r="Q38" s="435" t="s">
        <v>5</v>
      </c>
      <c r="R38" s="435" t="s">
        <v>5</v>
      </c>
      <c r="S38" s="435" t="s">
        <v>5</v>
      </c>
      <c r="T38" s="435" t="s">
        <v>5</v>
      </c>
      <c r="U38" s="435" t="s">
        <v>5</v>
      </c>
      <c r="V38" s="435" t="s">
        <v>5</v>
      </c>
      <c r="W38" s="435" t="s">
        <v>5</v>
      </c>
      <c r="X38" s="435" t="s">
        <v>5</v>
      </c>
      <c r="Y38" s="435" t="s">
        <v>5</v>
      </c>
      <c r="Z38" s="435" t="s">
        <v>5</v>
      </c>
      <c r="AA38" s="435" t="s">
        <v>6</v>
      </c>
      <c r="AB38" s="435" t="s">
        <v>6</v>
      </c>
      <c r="AC38" s="435" t="s">
        <v>6</v>
      </c>
      <c r="AD38" s="435" t="s">
        <v>6</v>
      </c>
      <c r="AE38" s="435" t="s">
        <v>5</v>
      </c>
      <c r="AF38" s="435" t="s">
        <v>5</v>
      </c>
      <c r="AG38" s="435" t="s">
        <v>5</v>
      </c>
      <c r="AH38" s="435" t="s">
        <v>5</v>
      </c>
      <c r="AI38" s="435" t="s">
        <v>5</v>
      </c>
      <c r="AJ38" s="435" t="s">
        <v>5</v>
      </c>
      <c r="AK38" s="435" t="s">
        <v>5</v>
      </c>
      <c r="AL38" s="435" t="s">
        <v>5</v>
      </c>
      <c r="AM38" s="435" t="s">
        <v>5</v>
      </c>
      <c r="AN38" s="435" t="s">
        <v>5</v>
      </c>
      <c r="AO38" s="435" t="s">
        <v>5</v>
      </c>
      <c r="AP38" s="435" t="s">
        <v>5</v>
      </c>
      <c r="AQ38" s="435" t="s">
        <v>5</v>
      </c>
      <c r="AR38" s="435" t="s">
        <v>5</v>
      </c>
      <c r="AS38" s="435" t="s">
        <v>6</v>
      </c>
      <c r="AT38" s="454" t="s">
        <v>5</v>
      </c>
      <c r="AU38" s="455" t="s">
        <v>5</v>
      </c>
      <c r="AV38"/>
      <c r="AW38"/>
      <c r="AX38"/>
      <c r="AY38"/>
    </row>
    <row r="39" spans="9:84" ht="30.75" customHeight="1" x14ac:dyDescent="0.25">
      <c r="I39" s="65"/>
      <c r="L39" s="427" t="s">
        <v>314</v>
      </c>
      <c r="M39" s="435" t="s">
        <v>5</v>
      </c>
      <c r="N39" s="435" t="s">
        <v>5</v>
      </c>
      <c r="O39" s="435" t="s">
        <v>5</v>
      </c>
      <c r="P39" s="435" t="s">
        <v>5</v>
      </c>
      <c r="Q39" s="435" t="s">
        <v>5</v>
      </c>
      <c r="R39" s="435" t="s">
        <v>5</v>
      </c>
      <c r="S39" s="435" t="s">
        <v>5</v>
      </c>
      <c r="T39" s="435" t="s">
        <v>5</v>
      </c>
      <c r="U39" s="435" t="s">
        <v>5</v>
      </c>
      <c r="V39" s="435" t="s">
        <v>5</v>
      </c>
      <c r="W39" s="435" t="s">
        <v>5</v>
      </c>
      <c r="X39" s="435" t="s">
        <v>5</v>
      </c>
      <c r="Y39" s="435" t="s">
        <v>5</v>
      </c>
      <c r="Z39" s="435" t="s">
        <v>5</v>
      </c>
      <c r="AA39" s="435" t="s">
        <v>6</v>
      </c>
      <c r="AB39" s="435" t="s">
        <v>6</v>
      </c>
      <c r="AC39" s="435" t="s">
        <v>6</v>
      </c>
      <c r="AD39" s="435" t="s">
        <v>5</v>
      </c>
      <c r="AE39" s="435" t="s">
        <v>5</v>
      </c>
      <c r="AF39" s="435" t="s">
        <v>5</v>
      </c>
      <c r="AG39" s="435" t="s">
        <v>5</v>
      </c>
      <c r="AH39" s="435" t="s">
        <v>5</v>
      </c>
      <c r="AI39" s="435" t="s">
        <v>5</v>
      </c>
      <c r="AJ39" s="435" t="s">
        <v>5</v>
      </c>
      <c r="AK39" s="435" t="s">
        <v>5</v>
      </c>
      <c r="AL39" s="435" t="s">
        <v>5</v>
      </c>
      <c r="AM39" s="435" t="s">
        <v>5</v>
      </c>
      <c r="AN39" s="435" t="s">
        <v>5</v>
      </c>
      <c r="AO39" s="435" t="s">
        <v>5</v>
      </c>
      <c r="AP39" s="435" t="s">
        <v>5</v>
      </c>
      <c r="AQ39" s="435" t="s">
        <v>5</v>
      </c>
      <c r="AR39" s="435" t="s">
        <v>5</v>
      </c>
      <c r="AS39" s="435" t="s">
        <v>5</v>
      </c>
      <c r="AT39" s="454" t="s">
        <v>5</v>
      </c>
      <c r="AU39" s="455" t="s">
        <v>5</v>
      </c>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row>
    <row r="40" spans="9:84" ht="30" customHeight="1" x14ac:dyDescent="0.25">
      <c r="I40" s="65"/>
      <c r="L40" s="427" t="s">
        <v>346</v>
      </c>
      <c r="M40" s="435" t="s">
        <v>6</v>
      </c>
      <c r="N40" s="435" t="s">
        <v>6</v>
      </c>
      <c r="O40" s="435" t="s">
        <v>6</v>
      </c>
      <c r="P40" s="435" t="s">
        <v>6</v>
      </c>
      <c r="Q40" s="435" t="s">
        <v>6</v>
      </c>
      <c r="R40" s="435" t="s">
        <v>6</v>
      </c>
      <c r="S40" s="435" t="s">
        <v>6</v>
      </c>
      <c r="T40" s="435" t="s">
        <v>6</v>
      </c>
      <c r="U40" s="435" t="s">
        <v>6</v>
      </c>
      <c r="V40" s="435" t="s">
        <v>6</v>
      </c>
      <c r="W40" s="435" t="s">
        <v>6</v>
      </c>
      <c r="X40" s="435" t="s">
        <v>6</v>
      </c>
      <c r="Y40" s="435" t="s">
        <v>6</v>
      </c>
      <c r="Z40" s="435" t="s">
        <v>6</v>
      </c>
      <c r="AA40" s="435" t="s">
        <v>6</v>
      </c>
      <c r="AB40" s="435" t="s">
        <v>6</v>
      </c>
      <c r="AC40" s="435" t="s">
        <v>6</v>
      </c>
      <c r="AD40" s="435" t="s">
        <v>6</v>
      </c>
      <c r="AE40" s="435" t="s">
        <v>5</v>
      </c>
      <c r="AF40" s="435" t="s">
        <v>5</v>
      </c>
      <c r="AG40" s="435" t="s">
        <v>5</v>
      </c>
      <c r="AH40" s="435" t="s">
        <v>5</v>
      </c>
      <c r="AI40" s="435" t="s">
        <v>5</v>
      </c>
      <c r="AJ40" s="435" t="s">
        <v>5</v>
      </c>
      <c r="AK40" s="435" t="s">
        <v>5</v>
      </c>
      <c r="AL40" s="435" t="s">
        <v>5</v>
      </c>
      <c r="AM40" s="435" t="s">
        <v>5</v>
      </c>
      <c r="AN40" s="435" t="s">
        <v>5</v>
      </c>
      <c r="AO40" s="435" t="s">
        <v>5</v>
      </c>
      <c r="AP40" s="435" t="s">
        <v>5</v>
      </c>
      <c r="AQ40" s="435" t="s">
        <v>5</v>
      </c>
      <c r="AR40" s="435" t="s">
        <v>5</v>
      </c>
      <c r="AS40" s="435" t="s">
        <v>5</v>
      </c>
      <c r="AT40" s="454" t="s">
        <v>5</v>
      </c>
      <c r="AU40" s="455"/>
      <c r="AV40"/>
      <c r="AW40"/>
      <c r="AX40"/>
      <c r="AY40"/>
    </row>
    <row r="41" spans="9:84" ht="30" customHeight="1" x14ac:dyDescent="0.25">
      <c r="I41" s="65"/>
      <c r="L41" s="427" t="s">
        <v>338</v>
      </c>
      <c r="M41" s="435" t="s">
        <v>5</v>
      </c>
      <c r="N41" s="435" t="s">
        <v>5</v>
      </c>
      <c r="O41" s="435" t="s">
        <v>5</v>
      </c>
      <c r="P41" s="435" t="s">
        <v>5</v>
      </c>
      <c r="Q41" s="435" t="s">
        <v>5</v>
      </c>
      <c r="R41" s="435" t="s">
        <v>5</v>
      </c>
      <c r="S41" s="435" t="s">
        <v>5</v>
      </c>
      <c r="T41" s="435" t="s">
        <v>5</v>
      </c>
      <c r="U41" s="435" t="s">
        <v>5</v>
      </c>
      <c r="V41" s="435" t="s">
        <v>5</v>
      </c>
      <c r="W41" s="435" t="s">
        <v>5</v>
      </c>
      <c r="X41" s="435" t="s">
        <v>5</v>
      </c>
      <c r="Y41" s="435" t="s">
        <v>5</v>
      </c>
      <c r="Z41" s="435" t="s">
        <v>5</v>
      </c>
      <c r="AA41" s="435" t="s">
        <v>6</v>
      </c>
      <c r="AB41" s="435" t="s">
        <v>6</v>
      </c>
      <c r="AC41" s="435" t="s">
        <v>6</v>
      </c>
      <c r="AD41" s="435" t="s">
        <v>6</v>
      </c>
      <c r="AE41" s="435" t="s">
        <v>5</v>
      </c>
      <c r="AF41" s="435" t="s">
        <v>5</v>
      </c>
      <c r="AG41" s="435" t="s">
        <v>5</v>
      </c>
      <c r="AH41" s="435" t="s">
        <v>5</v>
      </c>
      <c r="AI41" s="435" t="s">
        <v>5</v>
      </c>
      <c r="AJ41" s="435" t="s">
        <v>5</v>
      </c>
      <c r="AK41" s="435" t="s">
        <v>5</v>
      </c>
      <c r="AL41" s="435" t="s">
        <v>5</v>
      </c>
      <c r="AM41" s="435" t="s">
        <v>5</v>
      </c>
      <c r="AN41" s="435" t="s">
        <v>5</v>
      </c>
      <c r="AO41" s="435" t="s">
        <v>5</v>
      </c>
      <c r="AP41" s="435" t="s">
        <v>5</v>
      </c>
      <c r="AQ41" s="435" t="s">
        <v>5</v>
      </c>
      <c r="AR41" s="435" t="s">
        <v>5</v>
      </c>
      <c r="AS41" s="435" t="s">
        <v>6</v>
      </c>
      <c r="AT41" s="454" t="s">
        <v>5</v>
      </c>
      <c r="AU41" s="455" t="s">
        <v>5</v>
      </c>
      <c r="AV41"/>
      <c r="AW41"/>
      <c r="AX41"/>
      <c r="AY41"/>
    </row>
    <row r="42" spans="9:84" ht="30" customHeight="1" x14ac:dyDescent="0.25">
      <c r="I42" s="65"/>
      <c r="L42" s="427" t="s">
        <v>339</v>
      </c>
      <c r="M42" s="435" t="s">
        <v>5</v>
      </c>
      <c r="N42" s="435" t="s">
        <v>5</v>
      </c>
      <c r="O42" s="435" t="s">
        <v>5</v>
      </c>
      <c r="P42" s="435" t="s">
        <v>5</v>
      </c>
      <c r="Q42" s="435" t="s">
        <v>5</v>
      </c>
      <c r="R42" s="435" t="s">
        <v>5</v>
      </c>
      <c r="S42" s="435" t="s">
        <v>5</v>
      </c>
      <c r="T42" s="435" t="s">
        <v>5</v>
      </c>
      <c r="U42" s="435" t="s">
        <v>5</v>
      </c>
      <c r="V42" s="435" t="s">
        <v>5</v>
      </c>
      <c r="W42" s="435" t="s">
        <v>5</v>
      </c>
      <c r="X42" s="435" t="s">
        <v>5</v>
      </c>
      <c r="Y42" s="435" t="s">
        <v>5</v>
      </c>
      <c r="Z42" s="435" t="s">
        <v>5</v>
      </c>
      <c r="AA42" s="435" t="s">
        <v>6</v>
      </c>
      <c r="AB42" s="435" t="s">
        <v>6</v>
      </c>
      <c r="AC42" s="435" t="s">
        <v>6</v>
      </c>
      <c r="AD42" s="435" t="s">
        <v>6</v>
      </c>
      <c r="AE42" s="435" t="s">
        <v>5</v>
      </c>
      <c r="AF42" s="435" t="s">
        <v>5</v>
      </c>
      <c r="AG42" s="435" t="s">
        <v>5</v>
      </c>
      <c r="AH42" s="435" t="s">
        <v>5</v>
      </c>
      <c r="AI42" s="435" t="s">
        <v>5</v>
      </c>
      <c r="AJ42" s="435" t="s">
        <v>5</v>
      </c>
      <c r="AK42" s="435" t="s">
        <v>5</v>
      </c>
      <c r="AL42" s="435" t="s">
        <v>5</v>
      </c>
      <c r="AM42" s="435" t="s">
        <v>5</v>
      </c>
      <c r="AN42" s="435" t="s">
        <v>5</v>
      </c>
      <c r="AO42" s="435" t="s">
        <v>5</v>
      </c>
      <c r="AP42" s="435" t="s">
        <v>5</v>
      </c>
      <c r="AQ42" s="435" t="s">
        <v>5</v>
      </c>
      <c r="AR42" s="435" t="s">
        <v>5</v>
      </c>
      <c r="AS42" s="435" t="s">
        <v>6</v>
      </c>
      <c r="AT42" s="454" t="s">
        <v>5</v>
      </c>
      <c r="AU42" s="455" t="s">
        <v>5</v>
      </c>
      <c r="AV42"/>
      <c r="AW42"/>
      <c r="AX42"/>
      <c r="AY42"/>
    </row>
    <row r="43" spans="9:84" ht="30" customHeight="1" x14ac:dyDescent="0.25">
      <c r="I43" s="65"/>
      <c r="L43" s="427" t="s">
        <v>340</v>
      </c>
      <c r="M43" s="435" t="s">
        <v>6</v>
      </c>
      <c r="N43" s="435" t="s">
        <v>6</v>
      </c>
      <c r="O43" s="435" t="s">
        <v>6</v>
      </c>
      <c r="P43" s="435" t="s">
        <v>6</v>
      </c>
      <c r="Q43" s="435" t="s">
        <v>6</v>
      </c>
      <c r="R43" s="435" t="s">
        <v>6</v>
      </c>
      <c r="S43" s="435" t="s">
        <v>6</v>
      </c>
      <c r="T43" s="435" t="s">
        <v>6</v>
      </c>
      <c r="U43" s="435" t="s">
        <v>6</v>
      </c>
      <c r="V43" s="435" t="s">
        <v>6</v>
      </c>
      <c r="W43" s="435" t="s">
        <v>6</v>
      </c>
      <c r="X43" s="435" t="s">
        <v>6</v>
      </c>
      <c r="Y43" s="435" t="s">
        <v>6</v>
      </c>
      <c r="Z43" s="435" t="s">
        <v>6</v>
      </c>
      <c r="AA43" s="435" t="s">
        <v>6</v>
      </c>
      <c r="AB43" s="435" t="s">
        <v>6</v>
      </c>
      <c r="AC43" s="435" t="s">
        <v>6</v>
      </c>
      <c r="AD43" s="435" t="s">
        <v>5</v>
      </c>
      <c r="AE43" s="435" t="s">
        <v>6</v>
      </c>
      <c r="AF43" s="435" t="s">
        <v>6</v>
      </c>
      <c r="AG43" s="435" t="s">
        <v>6</v>
      </c>
      <c r="AH43" s="435" t="s">
        <v>6</v>
      </c>
      <c r="AI43" s="435" t="s">
        <v>6</v>
      </c>
      <c r="AJ43" s="435" t="s">
        <v>6</v>
      </c>
      <c r="AK43" s="435" t="s">
        <v>6</v>
      </c>
      <c r="AL43" s="435" t="s">
        <v>6</v>
      </c>
      <c r="AM43" s="435" t="s">
        <v>6</v>
      </c>
      <c r="AN43" s="435" t="s">
        <v>6</v>
      </c>
      <c r="AO43" s="435" t="s">
        <v>6</v>
      </c>
      <c r="AP43" s="435" t="s">
        <v>6</v>
      </c>
      <c r="AQ43" s="435" t="s">
        <v>6</v>
      </c>
      <c r="AR43" s="435" t="s">
        <v>6</v>
      </c>
      <c r="AS43" s="435" t="s">
        <v>5</v>
      </c>
      <c r="AT43" s="454" t="s">
        <v>5</v>
      </c>
      <c r="AU43" s="455"/>
      <c r="AV43"/>
      <c r="AW43"/>
      <c r="AX43"/>
      <c r="AY43"/>
    </row>
    <row r="44" spans="9:84" ht="30" customHeight="1" x14ac:dyDescent="0.25">
      <c r="I44" s="65"/>
      <c r="L44" s="427" t="s">
        <v>341</v>
      </c>
      <c r="M44" s="438" t="str">
        <f>IF(AND($D$5=2,$F$5=4,'1.General'!$K$39=2),"Y","N")</f>
        <v>N</v>
      </c>
      <c r="N44" s="438" t="str">
        <f>IF(AND($D$5=2,$F$5=4,'1.General'!$K$39=2),"Y","N")</f>
        <v>N</v>
      </c>
      <c r="O44" s="438" t="str">
        <f>IF(AND($D$5=2,$F$5=4,'1.General'!$K$39=2),"Y","N")</f>
        <v>N</v>
      </c>
      <c r="P44" s="438" t="str">
        <f>IF(AND($D$5=2,$F$5=4,'1.General'!$K$39=2),"Y","N")</f>
        <v>N</v>
      </c>
      <c r="Q44" s="438" t="str">
        <f>IF(AND($D$5=2,$F$5=4,'1.General'!$K$39=2),"Y","N")</f>
        <v>N</v>
      </c>
      <c r="R44" s="438" t="str">
        <f>IF(AND($D$5=2,$F$5=4,'1.General'!$K$39=2),"Y","N")</f>
        <v>N</v>
      </c>
      <c r="S44" s="438" t="str">
        <f>IF(AND($D$5=2,$F$5=4,'1.General'!$K$39=2),"Y","N")</f>
        <v>N</v>
      </c>
      <c r="T44" s="438" t="str">
        <f>IF(AND($D$5=2,$F$5=4,'1.General'!$K$39=2),"Y","N")</f>
        <v>N</v>
      </c>
      <c r="U44" s="438" t="str">
        <f>IF(AND($D$5=2,$F$5=4,'1.General'!$K$39=2),"Y","N")</f>
        <v>N</v>
      </c>
      <c r="V44" s="438" t="str">
        <f>IF(AND($D$5=2,$F$5=4,'1.General'!$K$39=2),"Y","N")</f>
        <v>N</v>
      </c>
      <c r="W44" s="438" t="str">
        <f>IF(AND($D$5=2,$F$5=4,'1.General'!$K$39=2),"Y","N")</f>
        <v>N</v>
      </c>
      <c r="X44" s="438" t="str">
        <f>IF(AND($D$5=2,$F$5=4,'1.General'!$K$39=2),"Y","N")</f>
        <v>N</v>
      </c>
      <c r="Y44" s="438" t="str">
        <f>IF(AND($D$5=2,$F$5=4,'1.General'!$K$39=2),"Y","N")</f>
        <v>N</v>
      </c>
      <c r="Z44" s="438" t="str">
        <f>IF(AND($D$5=2,$F$5=4,'1.General'!$K$39=2),"Y","N")</f>
        <v>N</v>
      </c>
      <c r="AA44" s="438" t="str">
        <f>IF(AND($D$5=2,$F$5=4,'1.General'!$K$39=2),"Y","N")</f>
        <v>N</v>
      </c>
      <c r="AB44" s="438" t="str">
        <f>IF(AND($D$5=2,$F$5=4,'1.General'!$K$39=2),"Y","N")</f>
        <v>N</v>
      </c>
      <c r="AC44" s="438" t="str">
        <f>IF(AND($D$5=2,$F$5=4,'1.General'!$K$39=2),"Y","N")</f>
        <v>N</v>
      </c>
      <c r="AD44" s="438" t="str">
        <f>IF(AND($D$5=2,$F$5=4,'1.General'!$K$39=2),"Y","N")</f>
        <v>N</v>
      </c>
      <c r="AE44" s="438" t="str">
        <f>IF(AND($D$5=2,$F$5=4,'1.General'!$K$39=2),"Y","N")</f>
        <v>N</v>
      </c>
      <c r="AF44" s="438" t="str">
        <f>IF(AND($D$5=2,$F$5=4,'1.General'!$K$39=2),"Y","N")</f>
        <v>N</v>
      </c>
      <c r="AG44" s="438" t="str">
        <f>IF(AND($D$5=2,$F$5=4,'1.General'!$K$39=2),"Y","N")</f>
        <v>N</v>
      </c>
      <c r="AH44" s="438" t="str">
        <f>IF(AND($D$5=2,$F$5=4,'1.General'!$K$39=2),"Y","N")</f>
        <v>N</v>
      </c>
      <c r="AI44" s="438" t="str">
        <f>IF(AND($D$5=2,$F$5=4,'1.General'!$K$39=2),"Y","N")</f>
        <v>N</v>
      </c>
      <c r="AJ44" s="438" t="str">
        <f>IF(AND($D$5=2,$F$5=4,'1.General'!$K$39=2),"Y","N")</f>
        <v>N</v>
      </c>
      <c r="AK44" s="438" t="str">
        <f>IF(AND($D$5=2,$F$5=4,'1.General'!$K$39=2),"Y","N")</f>
        <v>N</v>
      </c>
      <c r="AL44" s="438" t="str">
        <f>IF(AND($D$5=2,$F$5=4,'1.General'!$K$39=2),"Y","N")</f>
        <v>N</v>
      </c>
      <c r="AM44" s="438" t="str">
        <f>IF(AND($D$5=2,$F$5=4,'1.General'!$K$39=2),"Y","N")</f>
        <v>N</v>
      </c>
      <c r="AN44" s="438" t="str">
        <f>IF(AND($D$5=2,$F$5=4,'1.General'!$K$39=2),"Y","N")</f>
        <v>N</v>
      </c>
      <c r="AO44" s="438" t="str">
        <f>IF(AND($D$5=2,$F$5=4,'1.General'!$K$39=2),"Y","N")</f>
        <v>N</v>
      </c>
      <c r="AP44" s="438" t="str">
        <f>IF(AND($D$5=2,$F$5=4,'1.General'!$K$39=2),"Y","N")</f>
        <v>N</v>
      </c>
      <c r="AQ44" s="438" t="str">
        <f>IF(AND($D$5=2,$F$5=4,'1.General'!$K$39=2),"Y","N")</f>
        <v>N</v>
      </c>
      <c r="AR44" s="438" t="str">
        <f>IF(AND($D$5=2,$F$5=4,'1.General'!$K$39=2),"Y","N")</f>
        <v>N</v>
      </c>
      <c r="AS44" s="438" t="str">
        <f>IF(AND($D$5=2,$F$5=4,'1.General'!$K$39=2),"Y","N")</f>
        <v>N</v>
      </c>
      <c r="AT44" s="456" t="s">
        <v>5</v>
      </c>
      <c r="AU44" s="455"/>
      <c r="AV44"/>
      <c r="AW44"/>
      <c r="AX44"/>
      <c r="AY44"/>
    </row>
    <row r="45" spans="9:84" ht="30" customHeight="1" x14ac:dyDescent="0.25">
      <c r="I45" s="65"/>
      <c r="L45" s="427" t="s">
        <v>474</v>
      </c>
      <c r="M45" s="435" t="s">
        <v>5</v>
      </c>
      <c r="N45" s="435" t="s">
        <v>5</v>
      </c>
      <c r="O45" s="435" t="s">
        <v>5</v>
      </c>
      <c r="P45" s="435" t="s">
        <v>5</v>
      </c>
      <c r="Q45" s="435" t="s">
        <v>5</v>
      </c>
      <c r="R45" s="435" t="s">
        <v>5</v>
      </c>
      <c r="S45" s="435" t="s">
        <v>5</v>
      </c>
      <c r="T45" s="435" t="s">
        <v>5</v>
      </c>
      <c r="U45" s="435" t="s">
        <v>5</v>
      </c>
      <c r="V45" s="435" t="s">
        <v>5</v>
      </c>
      <c r="W45" s="435" t="s">
        <v>5</v>
      </c>
      <c r="X45" s="435" t="s">
        <v>5</v>
      </c>
      <c r="Y45" s="435" t="s">
        <v>5</v>
      </c>
      <c r="Z45" s="435" t="s">
        <v>5</v>
      </c>
      <c r="AA45" s="435" t="s">
        <v>6</v>
      </c>
      <c r="AB45" s="435" t="s">
        <v>5</v>
      </c>
      <c r="AC45" s="435" t="s">
        <v>5</v>
      </c>
      <c r="AD45" s="435" t="s">
        <v>6</v>
      </c>
      <c r="AE45" s="435" t="s">
        <v>5</v>
      </c>
      <c r="AF45" s="435" t="s">
        <v>5</v>
      </c>
      <c r="AG45" s="435" t="s">
        <v>5</v>
      </c>
      <c r="AH45" s="435" t="s">
        <v>5</v>
      </c>
      <c r="AI45" s="435" t="s">
        <v>5</v>
      </c>
      <c r="AJ45" s="435" t="s">
        <v>5</v>
      </c>
      <c r="AK45" s="435" t="s">
        <v>5</v>
      </c>
      <c r="AL45" s="435" t="s">
        <v>5</v>
      </c>
      <c r="AM45" s="435" t="s">
        <v>5</v>
      </c>
      <c r="AN45" s="435" t="s">
        <v>5</v>
      </c>
      <c r="AO45" s="435" t="s">
        <v>5</v>
      </c>
      <c r="AP45" s="435" t="s">
        <v>5</v>
      </c>
      <c r="AQ45" s="435" t="s">
        <v>5</v>
      </c>
      <c r="AR45" s="435" t="s">
        <v>5</v>
      </c>
      <c r="AS45" s="435" t="s">
        <v>6</v>
      </c>
      <c r="AT45" s="454" t="s">
        <v>5</v>
      </c>
      <c r="AU45" s="455"/>
      <c r="AV45"/>
      <c r="AW45"/>
      <c r="AX45"/>
      <c r="AY45"/>
    </row>
    <row r="46" spans="9:84" ht="30" customHeight="1" x14ac:dyDescent="0.25">
      <c r="I46" s="65"/>
      <c r="L46" s="427" t="s">
        <v>342</v>
      </c>
      <c r="M46" s="435" t="s">
        <v>5</v>
      </c>
      <c r="N46" s="435" t="s">
        <v>5</v>
      </c>
      <c r="O46" s="435" t="s">
        <v>5</v>
      </c>
      <c r="P46" s="435" t="s">
        <v>5</v>
      </c>
      <c r="Q46" s="435" t="s">
        <v>5</v>
      </c>
      <c r="R46" s="435" t="s">
        <v>5</v>
      </c>
      <c r="S46" s="435" t="s">
        <v>5</v>
      </c>
      <c r="T46" s="435" t="s">
        <v>5</v>
      </c>
      <c r="U46" s="435" t="s">
        <v>5</v>
      </c>
      <c r="V46" s="435" t="s">
        <v>5</v>
      </c>
      <c r="W46" s="435" t="s">
        <v>5</v>
      </c>
      <c r="X46" s="435" t="s">
        <v>5</v>
      </c>
      <c r="Y46" s="435" t="s">
        <v>5</v>
      </c>
      <c r="Z46" s="435" t="s">
        <v>5</v>
      </c>
      <c r="AA46" s="435" t="s">
        <v>5</v>
      </c>
      <c r="AB46" s="435" t="s">
        <v>5</v>
      </c>
      <c r="AC46" s="435" t="s">
        <v>5</v>
      </c>
      <c r="AD46" s="435" t="s">
        <v>5</v>
      </c>
      <c r="AE46" s="435" t="s">
        <v>5</v>
      </c>
      <c r="AF46" s="435" t="s">
        <v>5</v>
      </c>
      <c r="AG46" s="435" t="s">
        <v>5</v>
      </c>
      <c r="AH46" s="435" t="s">
        <v>5</v>
      </c>
      <c r="AI46" s="435" t="s">
        <v>5</v>
      </c>
      <c r="AJ46" s="435" t="s">
        <v>5</v>
      </c>
      <c r="AK46" s="435" t="s">
        <v>5</v>
      </c>
      <c r="AL46" s="435" t="s">
        <v>5</v>
      </c>
      <c r="AM46" s="435" t="s">
        <v>5</v>
      </c>
      <c r="AN46" s="435" t="s">
        <v>5</v>
      </c>
      <c r="AO46" s="435" t="s">
        <v>5</v>
      </c>
      <c r="AP46" s="435" t="s">
        <v>5</v>
      </c>
      <c r="AQ46" s="435" t="s">
        <v>5</v>
      </c>
      <c r="AR46" s="435" t="s">
        <v>5</v>
      </c>
      <c r="AS46" s="435" t="s">
        <v>5</v>
      </c>
      <c r="AT46" s="454" t="s">
        <v>5</v>
      </c>
      <c r="AU46" s="455" t="s">
        <v>5</v>
      </c>
      <c r="AV46"/>
      <c r="AW46"/>
      <c r="AX46"/>
      <c r="AY46"/>
    </row>
    <row r="47" spans="9:84" ht="30" customHeight="1" x14ac:dyDescent="0.25">
      <c r="I47" s="65"/>
      <c r="L47" s="427" t="s">
        <v>354</v>
      </c>
      <c r="M47" s="435" t="s">
        <v>5</v>
      </c>
      <c r="N47" s="435" t="s">
        <v>5</v>
      </c>
      <c r="O47" s="435" t="s">
        <v>5</v>
      </c>
      <c r="P47" s="435" t="s">
        <v>5</v>
      </c>
      <c r="Q47" s="435" t="s">
        <v>5</v>
      </c>
      <c r="R47" s="435" t="s">
        <v>5</v>
      </c>
      <c r="S47" s="435" t="s">
        <v>5</v>
      </c>
      <c r="T47" s="435" t="s">
        <v>5</v>
      </c>
      <c r="U47" s="435" t="s">
        <v>5</v>
      </c>
      <c r="V47" s="435" t="s">
        <v>5</v>
      </c>
      <c r="W47" s="435" t="s">
        <v>5</v>
      </c>
      <c r="X47" s="435" t="s">
        <v>5</v>
      </c>
      <c r="Y47" s="435" t="s">
        <v>5</v>
      </c>
      <c r="Z47" s="435" t="s">
        <v>5</v>
      </c>
      <c r="AA47" s="435" t="s">
        <v>6</v>
      </c>
      <c r="AB47" s="435" t="s">
        <v>6</v>
      </c>
      <c r="AC47" s="435" t="s">
        <v>6</v>
      </c>
      <c r="AD47" s="435" t="s">
        <v>6</v>
      </c>
      <c r="AE47" s="435" t="s">
        <v>5</v>
      </c>
      <c r="AF47" s="435" t="s">
        <v>5</v>
      </c>
      <c r="AG47" s="435" t="s">
        <v>5</v>
      </c>
      <c r="AH47" s="435" t="s">
        <v>5</v>
      </c>
      <c r="AI47" s="435" t="s">
        <v>5</v>
      </c>
      <c r="AJ47" s="435" t="s">
        <v>5</v>
      </c>
      <c r="AK47" s="435" t="s">
        <v>5</v>
      </c>
      <c r="AL47" s="435" t="s">
        <v>5</v>
      </c>
      <c r="AM47" s="435" t="s">
        <v>5</v>
      </c>
      <c r="AN47" s="435" t="s">
        <v>5</v>
      </c>
      <c r="AO47" s="435" t="s">
        <v>5</v>
      </c>
      <c r="AP47" s="435" t="s">
        <v>5</v>
      </c>
      <c r="AQ47" s="435" t="s">
        <v>5</v>
      </c>
      <c r="AR47" s="435" t="s">
        <v>5</v>
      </c>
      <c r="AS47" s="435" t="s">
        <v>6</v>
      </c>
      <c r="AT47" s="454" t="s">
        <v>5</v>
      </c>
      <c r="AU47" s="455" t="s">
        <v>5</v>
      </c>
      <c r="AV47"/>
      <c r="AW47"/>
      <c r="AX47"/>
      <c r="AY47"/>
    </row>
    <row r="48" spans="9:84" ht="30" customHeight="1" x14ac:dyDescent="0.25">
      <c r="I48" s="65"/>
      <c r="L48" s="427" t="s">
        <v>353</v>
      </c>
      <c r="M48" s="438" t="str">
        <f>IF('1.General'!$K$26=1,"Y","N")</f>
        <v>N</v>
      </c>
      <c r="N48" s="438" t="str">
        <f>IF('1.General'!$K$26=1,"Y","N")</f>
        <v>N</v>
      </c>
      <c r="O48" s="438" t="str">
        <f>IF('1.General'!$K$26=1,"Y","N")</f>
        <v>N</v>
      </c>
      <c r="P48" s="438" t="str">
        <f>IF('1.General'!$K$26=1,"Y","N")</f>
        <v>N</v>
      </c>
      <c r="Q48" s="438" t="str">
        <f>IF('1.General'!$K$26=1,"Y","N")</f>
        <v>N</v>
      </c>
      <c r="R48" s="438" t="str">
        <f>IF('1.General'!$K$26=1,"Y","N")</f>
        <v>N</v>
      </c>
      <c r="S48" s="438" t="str">
        <f>IF('1.General'!$K$26=1,"Y","N")</f>
        <v>N</v>
      </c>
      <c r="T48" s="438" t="str">
        <f>IF('1.General'!$K$26=1,"Y","N")</f>
        <v>N</v>
      </c>
      <c r="U48" s="438" t="str">
        <f>IF('1.General'!$K$26=1,"Y","N")</f>
        <v>N</v>
      </c>
      <c r="V48" s="438" t="str">
        <f>IF('1.General'!$K$26=1,"Y","N")</f>
        <v>N</v>
      </c>
      <c r="W48" s="438" t="str">
        <f>IF('1.General'!$K$26=1,"Y","N")</f>
        <v>N</v>
      </c>
      <c r="X48" s="438" t="str">
        <f>IF('1.General'!$K$26=1,"Y","N")</f>
        <v>N</v>
      </c>
      <c r="Y48" s="438" t="str">
        <f>IF('1.General'!$K$26=1,"Y","N")</f>
        <v>N</v>
      </c>
      <c r="Z48" s="438" t="str">
        <f>IF('1.General'!$K$26=1,"Y","N")</f>
        <v>N</v>
      </c>
      <c r="AA48" s="435" t="s">
        <v>6</v>
      </c>
      <c r="AB48" s="435" t="s">
        <v>6</v>
      </c>
      <c r="AC48" s="435" t="s">
        <v>6</v>
      </c>
      <c r="AD48" s="438" t="str">
        <f>IF('1.General'!$K$26=1,"Y","N")</f>
        <v>N</v>
      </c>
      <c r="AE48" s="438" t="str">
        <f>IF('1.General'!$K$26=1,"Y","N")</f>
        <v>N</v>
      </c>
      <c r="AF48" s="438" t="str">
        <f>IF('1.General'!$K$26=1,"Y","N")</f>
        <v>N</v>
      </c>
      <c r="AG48" s="438" t="str">
        <f>IF('1.General'!$K$26=1,"Y","N")</f>
        <v>N</v>
      </c>
      <c r="AH48" s="438" t="str">
        <f>IF('1.General'!$K$26=1,"Y","N")</f>
        <v>N</v>
      </c>
      <c r="AI48" s="438" t="str">
        <f>IF('1.General'!$K$26=1,"Y","N")</f>
        <v>N</v>
      </c>
      <c r="AJ48" s="438" t="str">
        <f>IF('1.General'!$K$26=1,"Y","N")</f>
        <v>N</v>
      </c>
      <c r="AK48" s="438" t="str">
        <f>IF('1.General'!$K$26=1,"Y","N")</f>
        <v>N</v>
      </c>
      <c r="AL48" s="438" t="str">
        <f>IF('1.General'!$K$26=1,"Y","N")</f>
        <v>N</v>
      </c>
      <c r="AM48" s="438" t="str">
        <f>IF('1.General'!$K$26=1,"Y","N")</f>
        <v>N</v>
      </c>
      <c r="AN48" s="438" t="str">
        <f>IF('1.General'!$K$26=1,"Y","N")</f>
        <v>N</v>
      </c>
      <c r="AO48" s="438" t="str">
        <f>IF('1.General'!$K$26=1,"Y","N")</f>
        <v>N</v>
      </c>
      <c r="AP48" s="438" t="str">
        <f>IF('1.General'!$K$26=1,"Y","N")</f>
        <v>N</v>
      </c>
      <c r="AQ48" s="438" t="str">
        <f>IF('1.General'!$K$26=1,"Y","N")</f>
        <v>N</v>
      </c>
      <c r="AR48" s="438" t="str">
        <f>IF('1.General'!$K$26=1,"Y","N")</f>
        <v>N</v>
      </c>
      <c r="AS48" s="438" t="str">
        <f>IF('1.General'!$K$26=1,"Y","N")</f>
        <v>N</v>
      </c>
      <c r="AT48" s="456" t="s">
        <v>5</v>
      </c>
      <c r="AU48" s="455" t="s">
        <v>5</v>
      </c>
      <c r="AV48"/>
      <c r="AW48"/>
      <c r="AX48"/>
      <c r="AY48"/>
    </row>
    <row r="49" spans="9:51" ht="30" customHeight="1" x14ac:dyDescent="0.25">
      <c r="I49" s="65"/>
      <c r="L49" s="233" t="s">
        <v>82</v>
      </c>
      <c r="M49" s="435" t="s">
        <v>5</v>
      </c>
      <c r="N49" s="435" t="s">
        <v>5</v>
      </c>
      <c r="O49" s="435" t="s">
        <v>5</v>
      </c>
      <c r="P49" s="435" t="s">
        <v>5</v>
      </c>
      <c r="Q49" s="435" t="s">
        <v>5</v>
      </c>
      <c r="R49" s="435" t="s">
        <v>5</v>
      </c>
      <c r="S49" s="435" t="s">
        <v>5</v>
      </c>
      <c r="T49" s="435" t="s">
        <v>5</v>
      </c>
      <c r="U49" s="435" t="s">
        <v>5</v>
      </c>
      <c r="V49" s="435" t="s">
        <v>5</v>
      </c>
      <c r="W49" s="435" t="s">
        <v>5</v>
      </c>
      <c r="X49" s="435" t="s">
        <v>5</v>
      </c>
      <c r="Y49" s="435" t="s">
        <v>5</v>
      </c>
      <c r="Z49" s="435" t="s">
        <v>5</v>
      </c>
      <c r="AA49" s="435" t="s">
        <v>5</v>
      </c>
      <c r="AB49" s="435" t="s">
        <v>5</v>
      </c>
      <c r="AC49" s="435" t="s">
        <v>5</v>
      </c>
      <c r="AD49" s="435" t="s">
        <v>5</v>
      </c>
      <c r="AE49" s="435" t="s">
        <v>5</v>
      </c>
      <c r="AF49" s="435" t="s">
        <v>5</v>
      </c>
      <c r="AG49" s="435" t="s">
        <v>5</v>
      </c>
      <c r="AH49" s="435" t="s">
        <v>5</v>
      </c>
      <c r="AI49" s="435" t="s">
        <v>5</v>
      </c>
      <c r="AJ49" s="435" t="s">
        <v>5</v>
      </c>
      <c r="AK49" s="435" t="s">
        <v>5</v>
      </c>
      <c r="AL49" s="435" t="s">
        <v>5</v>
      </c>
      <c r="AM49" s="435" t="s">
        <v>5</v>
      </c>
      <c r="AN49" s="435" t="s">
        <v>5</v>
      </c>
      <c r="AO49" s="435" t="s">
        <v>5</v>
      </c>
      <c r="AP49" s="435" t="s">
        <v>5</v>
      </c>
      <c r="AQ49" s="435" t="s">
        <v>5</v>
      </c>
      <c r="AR49" s="435" t="s">
        <v>5</v>
      </c>
      <c r="AS49" s="435" t="s">
        <v>5</v>
      </c>
      <c r="AT49" s="454" t="s">
        <v>5</v>
      </c>
      <c r="AU49" s="455"/>
      <c r="AV49"/>
      <c r="AW49"/>
      <c r="AX49"/>
      <c r="AY49"/>
    </row>
    <row r="50" spans="9:51" ht="30" customHeight="1" x14ac:dyDescent="0.25">
      <c r="I50" s="65"/>
      <c r="L50" s="233" t="s">
        <v>417</v>
      </c>
      <c r="M50" s="435" t="s">
        <v>5</v>
      </c>
      <c r="N50" s="435" t="s">
        <v>5</v>
      </c>
      <c r="O50" s="435" t="s">
        <v>5</v>
      </c>
      <c r="P50" s="435" t="s">
        <v>5</v>
      </c>
      <c r="Q50" s="435" t="s">
        <v>5</v>
      </c>
      <c r="R50" s="435" t="s">
        <v>5</v>
      </c>
      <c r="S50" s="435" t="s">
        <v>5</v>
      </c>
      <c r="T50" s="435" t="s">
        <v>5</v>
      </c>
      <c r="U50" s="435" t="s">
        <v>5</v>
      </c>
      <c r="V50" s="435" t="s">
        <v>5</v>
      </c>
      <c r="W50" s="435" t="s">
        <v>5</v>
      </c>
      <c r="X50" s="435" t="s">
        <v>5</v>
      </c>
      <c r="Y50" s="435" t="s">
        <v>5</v>
      </c>
      <c r="Z50" s="435" t="s">
        <v>5</v>
      </c>
      <c r="AA50" s="435" t="s">
        <v>6</v>
      </c>
      <c r="AB50" s="435" t="s">
        <v>6</v>
      </c>
      <c r="AC50" s="435" t="s">
        <v>6</v>
      </c>
      <c r="AD50" s="435" t="s">
        <v>5</v>
      </c>
      <c r="AE50" s="435" t="s">
        <v>5</v>
      </c>
      <c r="AF50" s="435" t="s">
        <v>5</v>
      </c>
      <c r="AG50" s="435" t="s">
        <v>5</v>
      </c>
      <c r="AH50" s="435" t="s">
        <v>5</v>
      </c>
      <c r="AI50" s="435" t="s">
        <v>5</v>
      </c>
      <c r="AJ50" s="435" t="s">
        <v>5</v>
      </c>
      <c r="AK50" s="435" t="s">
        <v>5</v>
      </c>
      <c r="AL50" s="435" t="s">
        <v>5</v>
      </c>
      <c r="AM50" s="435" t="s">
        <v>5</v>
      </c>
      <c r="AN50" s="435" t="s">
        <v>5</v>
      </c>
      <c r="AO50" s="435" t="s">
        <v>5</v>
      </c>
      <c r="AP50" s="435" t="s">
        <v>5</v>
      </c>
      <c r="AQ50" s="435" t="s">
        <v>5</v>
      </c>
      <c r="AR50" s="435" t="s">
        <v>5</v>
      </c>
      <c r="AS50" s="435" t="s">
        <v>5</v>
      </c>
      <c r="AT50" s="454" t="s">
        <v>5</v>
      </c>
      <c r="AU50" s="455" t="s">
        <v>5</v>
      </c>
      <c r="AV50"/>
      <c r="AW50"/>
      <c r="AX50"/>
      <c r="AY50"/>
    </row>
    <row r="51" spans="9:51" ht="30" customHeight="1" x14ac:dyDescent="0.25">
      <c r="I51" s="65"/>
      <c r="L51" s="233" t="s">
        <v>418</v>
      </c>
      <c r="M51" s="435" t="s">
        <v>5</v>
      </c>
      <c r="N51" s="435" t="s">
        <v>5</v>
      </c>
      <c r="O51" s="435" t="s">
        <v>5</v>
      </c>
      <c r="P51" s="435" t="s">
        <v>5</v>
      </c>
      <c r="Q51" s="435" t="s">
        <v>5</v>
      </c>
      <c r="R51" s="435" t="s">
        <v>5</v>
      </c>
      <c r="S51" s="435" t="s">
        <v>5</v>
      </c>
      <c r="T51" s="435" t="s">
        <v>5</v>
      </c>
      <c r="U51" s="435" t="s">
        <v>5</v>
      </c>
      <c r="V51" s="435" t="s">
        <v>5</v>
      </c>
      <c r="W51" s="435" t="s">
        <v>5</v>
      </c>
      <c r="X51" s="435" t="s">
        <v>5</v>
      </c>
      <c r="Y51" s="435" t="s">
        <v>5</v>
      </c>
      <c r="Z51" s="435" t="s">
        <v>5</v>
      </c>
      <c r="AA51" s="435" t="s">
        <v>6</v>
      </c>
      <c r="AB51" s="435" t="s">
        <v>6</v>
      </c>
      <c r="AC51" s="435" t="s">
        <v>6</v>
      </c>
      <c r="AD51" s="435" t="s">
        <v>6</v>
      </c>
      <c r="AE51" s="435" t="s">
        <v>5</v>
      </c>
      <c r="AF51" s="435" t="s">
        <v>5</v>
      </c>
      <c r="AG51" s="435" t="s">
        <v>5</v>
      </c>
      <c r="AH51" s="435" t="s">
        <v>5</v>
      </c>
      <c r="AI51" s="435" t="s">
        <v>5</v>
      </c>
      <c r="AJ51" s="435" t="s">
        <v>5</v>
      </c>
      <c r="AK51" s="435" t="s">
        <v>5</v>
      </c>
      <c r="AL51" s="435" t="s">
        <v>5</v>
      </c>
      <c r="AM51" s="435" t="s">
        <v>5</v>
      </c>
      <c r="AN51" s="435" t="s">
        <v>5</v>
      </c>
      <c r="AO51" s="435" t="s">
        <v>5</v>
      </c>
      <c r="AP51" s="435" t="s">
        <v>5</v>
      </c>
      <c r="AQ51" s="435" t="s">
        <v>5</v>
      </c>
      <c r="AR51" s="435" t="s">
        <v>5</v>
      </c>
      <c r="AS51" s="435" t="s">
        <v>6</v>
      </c>
      <c r="AT51" s="454" t="s">
        <v>5</v>
      </c>
      <c r="AU51" s="455" t="s">
        <v>5</v>
      </c>
      <c r="AV51"/>
      <c r="AW51"/>
      <c r="AX51"/>
      <c r="AY51"/>
    </row>
    <row r="52" spans="9:51" ht="30" customHeight="1" x14ac:dyDescent="0.25">
      <c r="L52" s="233" t="s">
        <v>420</v>
      </c>
      <c r="M52" s="435" t="s">
        <v>5</v>
      </c>
      <c r="N52" s="435" t="s">
        <v>5</v>
      </c>
      <c r="O52" s="435" t="s">
        <v>5</v>
      </c>
      <c r="P52" s="435" t="s">
        <v>5</v>
      </c>
      <c r="Q52" s="435" t="s">
        <v>5</v>
      </c>
      <c r="R52" s="435" t="s">
        <v>5</v>
      </c>
      <c r="S52" s="435" t="s">
        <v>5</v>
      </c>
      <c r="T52" s="435" t="s">
        <v>5</v>
      </c>
      <c r="U52" s="435" t="s">
        <v>5</v>
      </c>
      <c r="V52" s="435" t="s">
        <v>5</v>
      </c>
      <c r="W52" s="435" t="s">
        <v>5</v>
      </c>
      <c r="X52" s="435" t="s">
        <v>5</v>
      </c>
      <c r="Y52" s="435" t="s">
        <v>5</v>
      </c>
      <c r="Z52" s="435" t="s">
        <v>5</v>
      </c>
      <c r="AA52" s="435" t="s">
        <v>6</v>
      </c>
      <c r="AB52" s="435" t="s">
        <v>5</v>
      </c>
      <c r="AC52" s="435" t="s">
        <v>5</v>
      </c>
      <c r="AD52" s="435" t="s">
        <v>5</v>
      </c>
      <c r="AE52" s="435" t="s">
        <v>5</v>
      </c>
      <c r="AF52" s="435" t="s">
        <v>5</v>
      </c>
      <c r="AG52" s="435" t="s">
        <v>5</v>
      </c>
      <c r="AH52" s="435" t="s">
        <v>5</v>
      </c>
      <c r="AI52" s="435" t="s">
        <v>5</v>
      </c>
      <c r="AJ52" s="435" t="s">
        <v>5</v>
      </c>
      <c r="AK52" s="435" t="s">
        <v>5</v>
      </c>
      <c r="AL52" s="435" t="s">
        <v>5</v>
      </c>
      <c r="AM52" s="435" t="s">
        <v>5</v>
      </c>
      <c r="AN52" s="435" t="s">
        <v>5</v>
      </c>
      <c r="AO52" s="435" t="s">
        <v>5</v>
      </c>
      <c r="AP52" s="435" t="s">
        <v>5</v>
      </c>
      <c r="AQ52" s="435" t="s">
        <v>5</v>
      </c>
      <c r="AR52" s="435" t="s">
        <v>5</v>
      </c>
      <c r="AS52" s="435" t="s">
        <v>5</v>
      </c>
      <c r="AT52" s="454" t="s">
        <v>5</v>
      </c>
      <c r="AU52" s="455"/>
      <c r="AV52"/>
      <c r="AW52"/>
      <c r="AX52"/>
      <c r="AY52"/>
    </row>
    <row r="53" spans="9:51" ht="30" customHeight="1" x14ac:dyDescent="0.25">
      <c r="L53" s="233" t="s">
        <v>419</v>
      </c>
      <c r="M53" s="435" t="s">
        <v>5</v>
      </c>
      <c r="N53" s="435" t="s">
        <v>5</v>
      </c>
      <c r="O53" s="435" t="s">
        <v>5</v>
      </c>
      <c r="P53" s="435" t="s">
        <v>5</v>
      </c>
      <c r="Q53" s="435" t="s">
        <v>5</v>
      </c>
      <c r="R53" s="435" t="s">
        <v>5</v>
      </c>
      <c r="S53" s="435" t="s">
        <v>5</v>
      </c>
      <c r="T53" s="435" t="s">
        <v>5</v>
      </c>
      <c r="U53" s="435" t="s">
        <v>5</v>
      </c>
      <c r="V53" s="435" t="s">
        <v>5</v>
      </c>
      <c r="W53" s="435" t="s">
        <v>5</v>
      </c>
      <c r="X53" s="435" t="s">
        <v>5</v>
      </c>
      <c r="Y53" s="435" t="s">
        <v>5</v>
      </c>
      <c r="Z53" s="435" t="s">
        <v>6</v>
      </c>
      <c r="AA53" s="435" t="s">
        <v>6</v>
      </c>
      <c r="AB53" s="435" t="s">
        <v>5</v>
      </c>
      <c r="AC53" s="435" t="s">
        <v>5</v>
      </c>
      <c r="AD53" s="435" t="s">
        <v>5</v>
      </c>
      <c r="AE53" s="435" t="s">
        <v>5</v>
      </c>
      <c r="AF53" s="435" t="s">
        <v>5</v>
      </c>
      <c r="AG53" s="435" t="s">
        <v>5</v>
      </c>
      <c r="AH53" s="435" t="s">
        <v>5</v>
      </c>
      <c r="AI53" s="435" t="s">
        <v>5</v>
      </c>
      <c r="AJ53" s="435" t="s">
        <v>5</v>
      </c>
      <c r="AK53" s="435" t="s">
        <v>5</v>
      </c>
      <c r="AL53" s="435" t="s">
        <v>5</v>
      </c>
      <c r="AM53" s="435" t="s">
        <v>5</v>
      </c>
      <c r="AN53" s="435" t="s">
        <v>5</v>
      </c>
      <c r="AO53" s="435" t="s">
        <v>5</v>
      </c>
      <c r="AP53" s="435" t="s">
        <v>5</v>
      </c>
      <c r="AQ53" s="435" t="s">
        <v>5</v>
      </c>
      <c r="AR53" s="435" t="s">
        <v>6</v>
      </c>
      <c r="AS53" s="435" t="s">
        <v>5</v>
      </c>
      <c r="AT53" s="454" t="s">
        <v>5</v>
      </c>
      <c r="AU53" s="455"/>
      <c r="AV53"/>
      <c r="AW53"/>
      <c r="AX53"/>
      <c r="AY53"/>
    </row>
    <row r="54" spans="9:51" ht="30" customHeight="1" x14ac:dyDescent="0.25">
      <c r="L54" s="233" t="s">
        <v>319</v>
      </c>
      <c r="M54" s="435" t="s">
        <v>6</v>
      </c>
      <c r="N54" s="435" t="s">
        <v>5</v>
      </c>
      <c r="O54" s="435" t="s">
        <v>5</v>
      </c>
      <c r="P54" s="435" t="s">
        <v>5</v>
      </c>
      <c r="Q54" s="435" t="s">
        <v>5</v>
      </c>
      <c r="R54" s="435" t="s">
        <v>5</v>
      </c>
      <c r="S54" s="435" t="s">
        <v>5</v>
      </c>
      <c r="T54" s="435" t="s">
        <v>5</v>
      </c>
      <c r="U54" s="435" t="s">
        <v>6</v>
      </c>
      <c r="V54" s="435" t="s">
        <v>6</v>
      </c>
      <c r="W54" s="435" t="s">
        <v>6</v>
      </c>
      <c r="X54" s="435" t="s">
        <v>5</v>
      </c>
      <c r="Y54" s="435" t="s">
        <v>5</v>
      </c>
      <c r="Z54" s="435" t="s">
        <v>5</v>
      </c>
      <c r="AA54" s="435" t="s">
        <v>5</v>
      </c>
      <c r="AB54" s="435" t="s">
        <v>6</v>
      </c>
      <c r="AC54" s="435" t="s">
        <v>5</v>
      </c>
      <c r="AD54" s="435" t="s">
        <v>5</v>
      </c>
      <c r="AE54" s="435" t="s">
        <v>6</v>
      </c>
      <c r="AF54" s="435" t="s">
        <v>5</v>
      </c>
      <c r="AG54" s="435" t="s">
        <v>5</v>
      </c>
      <c r="AH54" s="435" t="s">
        <v>5</v>
      </c>
      <c r="AI54" s="435" t="s">
        <v>5</v>
      </c>
      <c r="AJ54" s="435" t="s">
        <v>5</v>
      </c>
      <c r="AK54" s="435" t="s">
        <v>5</v>
      </c>
      <c r="AL54" s="435" t="s">
        <v>5</v>
      </c>
      <c r="AM54" s="435" t="s">
        <v>6</v>
      </c>
      <c r="AN54" s="435" t="s">
        <v>6</v>
      </c>
      <c r="AO54" s="435" t="s">
        <v>6</v>
      </c>
      <c r="AP54" s="435" t="s">
        <v>5</v>
      </c>
      <c r="AQ54" s="435" t="s">
        <v>5</v>
      </c>
      <c r="AR54" s="435" t="s">
        <v>5</v>
      </c>
      <c r="AS54" s="435" t="s">
        <v>5</v>
      </c>
      <c r="AT54" s="454" t="s">
        <v>5</v>
      </c>
      <c r="AU54" s="455"/>
      <c r="AV54"/>
      <c r="AW54"/>
      <c r="AX54"/>
      <c r="AY54"/>
    </row>
    <row r="55" spans="9:51" ht="30" customHeight="1" x14ac:dyDescent="0.25">
      <c r="L55" s="233" t="s">
        <v>347</v>
      </c>
      <c r="M55" s="435" t="s">
        <v>5</v>
      </c>
      <c r="N55" s="435" t="s">
        <v>5</v>
      </c>
      <c r="O55" s="435" t="s">
        <v>5</v>
      </c>
      <c r="P55" s="435" t="s">
        <v>5</v>
      </c>
      <c r="Q55" s="435" t="s">
        <v>5</v>
      </c>
      <c r="R55" s="435" t="s">
        <v>5</v>
      </c>
      <c r="S55" s="435" t="s">
        <v>5</v>
      </c>
      <c r="T55" s="435" t="s">
        <v>5</v>
      </c>
      <c r="U55" s="435" t="s">
        <v>5</v>
      </c>
      <c r="V55" s="435" t="s">
        <v>5</v>
      </c>
      <c r="W55" s="435" t="s">
        <v>5</v>
      </c>
      <c r="X55" s="435" t="s">
        <v>5</v>
      </c>
      <c r="Y55" s="435" t="s">
        <v>5</v>
      </c>
      <c r="Z55" s="435" t="s">
        <v>5</v>
      </c>
      <c r="AA55" s="435" t="s">
        <v>6</v>
      </c>
      <c r="AB55" s="435" t="s">
        <v>6</v>
      </c>
      <c r="AC55" s="435" t="s">
        <v>6</v>
      </c>
      <c r="AD55" s="435" t="s">
        <v>5</v>
      </c>
      <c r="AE55" s="435" t="s">
        <v>5</v>
      </c>
      <c r="AF55" s="435" t="s">
        <v>5</v>
      </c>
      <c r="AG55" s="435" t="s">
        <v>5</v>
      </c>
      <c r="AH55" s="435" t="s">
        <v>5</v>
      </c>
      <c r="AI55" s="435" t="s">
        <v>5</v>
      </c>
      <c r="AJ55" s="435" t="s">
        <v>5</v>
      </c>
      <c r="AK55" s="435" t="s">
        <v>5</v>
      </c>
      <c r="AL55" s="435" t="s">
        <v>5</v>
      </c>
      <c r="AM55" s="435" t="s">
        <v>5</v>
      </c>
      <c r="AN55" s="435" t="s">
        <v>5</v>
      </c>
      <c r="AO55" s="435" t="s">
        <v>5</v>
      </c>
      <c r="AP55" s="435" t="s">
        <v>5</v>
      </c>
      <c r="AQ55" s="435" t="s">
        <v>5</v>
      </c>
      <c r="AR55" s="435" t="s">
        <v>5</v>
      </c>
      <c r="AS55" s="435" t="s">
        <v>5</v>
      </c>
      <c r="AT55" s="454" t="s">
        <v>5</v>
      </c>
      <c r="AU55" s="455"/>
      <c r="AV55"/>
      <c r="AW55"/>
      <c r="AX55"/>
      <c r="AY55"/>
    </row>
    <row r="56" spans="9:51" ht="30" customHeight="1" x14ac:dyDescent="0.25">
      <c r="L56" s="436" t="s">
        <v>422</v>
      </c>
      <c r="M56" s="435" t="s">
        <v>5</v>
      </c>
      <c r="N56" s="435" t="s">
        <v>5</v>
      </c>
      <c r="O56" s="435" t="s">
        <v>5</v>
      </c>
      <c r="P56" s="435" t="s">
        <v>5</v>
      </c>
      <c r="Q56" s="435" t="s">
        <v>5</v>
      </c>
      <c r="R56" s="435" t="s">
        <v>5</v>
      </c>
      <c r="S56" s="435" t="s">
        <v>5</v>
      </c>
      <c r="T56" s="435" t="s">
        <v>5</v>
      </c>
      <c r="U56" s="435" t="s">
        <v>5</v>
      </c>
      <c r="V56" s="435" t="s">
        <v>5</v>
      </c>
      <c r="W56" s="435" t="s">
        <v>5</v>
      </c>
      <c r="X56" s="435" t="s">
        <v>5</v>
      </c>
      <c r="Y56" s="435" t="s">
        <v>5</v>
      </c>
      <c r="Z56" s="435" t="s">
        <v>5</v>
      </c>
      <c r="AA56" s="435" t="s">
        <v>5</v>
      </c>
      <c r="AB56" s="435" t="s">
        <v>5</v>
      </c>
      <c r="AC56" s="435" t="s">
        <v>5</v>
      </c>
      <c r="AD56" s="435" t="s">
        <v>5</v>
      </c>
      <c r="AE56" s="435" t="s">
        <v>5</v>
      </c>
      <c r="AF56" s="435" t="s">
        <v>5</v>
      </c>
      <c r="AG56" s="435" t="s">
        <v>5</v>
      </c>
      <c r="AH56" s="435" t="s">
        <v>5</v>
      </c>
      <c r="AI56" s="435" t="s">
        <v>5</v>
      </c>
      <c r="AJ56" s="435" t="s">
        <v>5</v>
      </c>
      <c r="AK56" s="435" t="s">
        <v>5</v>
      </c>
      <c r="AL56" s="435" t="s">
        <v>5</v>
      </c>
      <c r="AM56" s="435" t="s">
        <v>5</v>
      </c>
      <c r="AN56" s="435" t="s">
        <v>5</v>
      </c>
      <c r="AO56" s="435" t="s">
        <v>5</v>
      </c>
      <c r="AP56" s="435" t="s">
        <v>5</v>
      </c>
      <c r="AQ56" s="435" t="s">
        <v>5</v>
      </c>
      <c r="AR56" s="435" t="s">
        <v>5</v>
      </c>
      <c r="AS56" s="435" t="s">
        <v>5</v>
      </c>
      <c r="AT56" s="454"/>
      <c r="AU56" s="455"/>
      <c r="AV56"/>
      <c r="AW56"/>
      <c r="AX56"/>
      <c r="AY56"/>
    </row>
    <row r="57" spans="9:51" ht="30" customHeight="1" x14ac:dyDescent="0.25">
      <c r="L57" s="436" t="s">
        <v>423</v>
      </c>
      <c r="M57" s="435" t="s">
        <v>6</v>
      </c>
      <c r="N57" s="435" t="s">
        <v>5</v>
      </c>
      <c r="O57" s="435" t="s">
        <v>5</v>
      </c>
      <c r="P57" s="435" t="s">
        <v>5</v>
      </c>
      <c r="Q57" s="435" t="s">
        <v>5</v>
      </c>
      <c r="R57" s="435" t="s">
        <v>5</v>
      </c>
      <c r="S57" s="435" t="s">
        <v>5</v>
      </c>
      <c r="T57" s="435" t="s">
        <v>5</v>
      </c>
      <c r="U57" s="435" t="s">
        <v>6</v>
      </c>
      <c r="V57" s="435" t="s">
        <v>6</v>
      </c>
      <c r="W57" s="435" t="s">
        <v>6</v>
      </c>
      <c r="X57" s="435" t="s">
        <v>5</v>
      </c>
      <c r="Y57" s="435" t="s">
        <v>5</v>
      </c>
      <c r="Z57" s="435" t="s">
        <v>5</v>
      </c>
      <c r="AA57" s="435" t="s">
        <v>5</v>
      </c>
      <c r="AB57" s="435" t="s">
        <v>6</v>
      </c>
      <c r="AC57" s="435" t="s">
        <v>5</v>
      </c>
      <c r="AD57" s="435" t="s">
        <v>5</v>
      </c>
      <c r="AE57" s="435" t="s">
        <v>6</v>
      </c>
      <c r="AF57" s="435" t="s">
        <v>5</v>
      </c>
      <c r="AG57" s="435" t="s">
        <v>5</v>
      </c>
      <c r="AH57" s="435" t="s">
        <v>5</v>
      </c>
      <c r="AI57" s="435" t="s">
        <v>5</v>
      </c>
      <c r="AJ57" s="435" t="s">
        <v>5</v>
      </c>
      <c r="AK57" s="435" t="s">
        <v>5</v>
      </c>
      <c r="AL57" s="435" t="s">
        <v>5</v>
      </c>
      <c r="AM57" s="435" t="s">
        <v>6</v>
      </c>
      <c r="AN57" s="435" t="s">
        <v>6</v>
      </c>
      <c r="AO57" s="435" t="s">
        <v>6</v>
      </c>
      <c r="AP57" s="435" t="s">
        <v>5</v>
      </c>
      <c r="AQ57" s="435" t="s">
        <v>5</v>
      </c>
      <c r="AR57" s="435" t="s">
        <v>5</v>
      </c>
      <c r="AS57" s="435" t="s">
        <v>5</v>
      </c>
      <c r="AT57" s="454"/>
      <c r="AU57" s="455"/>
    </row>
    <row r="58" spans="9:51" ht="30" customHeight="1" thickBot="1" x14ac:dyDescent="0.3">
      <c r="L58" s="440" t="s">
        <v>430</v>
      </c>
      <c r="M58" s="437" t="s">
        <v>6</v>
      </c>
      <c r="N58" s="437" t="s">
        <v>6</v>
      </c>
      <c r="O58" s="437" t="s">
        <v>6</v>
      </c>
      <c r="P58" s="437" t="s">
        <v>6</v>
      </c>
      <c r="Q58" s="437" t="s">
        <v>6</v>
      </c>
      <c r="R58" s="437" t="s">
        <v>6</v>
      </c>
      <c r="S58" s="437" t="s">
        <v>6</v>
      </c>
      <c r="T58" s="437" t="s">
        <v>6</v>
      </c>
      <c r="U58" s="437" t="s">
        <v>6</v>
      </c>
      <c r="V58" s="437" t="s">
        <v>6</v>
      </c>
      <c r="W58" s="437" t="s">
        <v>6</v>
      </c>
      <c r="X58" s="437" t="s">
        <v>6</v>
      </c>
      <c r="Y58" s="437" t="s">
        <v>6</v>
      </c>
      <c r="Z58" s="437" t="s">
        <v>6</v>
      </c>
      <c r="AA58" s="437" t="s">
        <v>6</v>
      </c>
      <c r="AB58" s="437" t="s">
        <v>6</v>
      </c>
      <c r="AC58" s="437" t="s">
        <v>6</v>
      </c>
      <c r="AD58" s="437" t="s">
        <v>5</v>
      </c>
      <c r="AE58" s="437" t="s">
        <v>6</v>
      </c>
      <c r="AF58" s="437" t="s">
        <v>6</v>
      </c>
      <c r="AG58" s="437" t="s">
        <v>6</v>
      </c>
      <c r="AH58" s="437" t="s">
        <v>6</v>
      </c>
      <c r="AI58" s="437" t="s">
        <v>6</v>
      </c>
      <c r="AJ58" s="437" t="s">
        <v>6</v>
      </c>
      <c r="AK58" s="437" t="s">
        <v>6</v>
      </c>
      <c r="AL58" s="437" t="s">
        <v>6</v>
      </c>
      <c r="AM58" s="437" t="s">
        <v>6</v>
      </c>
      <c r="AN58" s="437" t="s">
        <v>6</v>
      </c>
      <c r="AO58" s="437" t="s">
        <v>6</v>
      </c>
      <c r="AP58" s="437" t="s">
        <v>6</v>
      </c>
      <c r="AQ58" s="437" t="s">
        <v>6</v>
      </c>
      <c r="AR58" s="437" t="s">
        <v>6</v>
      </c>
      <c r="AS58" s="437" t="s">
        <v>5</v>
      </c>
      <c r="AT58" s="457"/>
      <c r="AU58" s="458"/>
    </row>
    <row r="59" spans="9:51" ht="30" customHeight="1" x14ac:dyDescent="0.25"/>
    <row r="60" spans="9:51" ht="30" customHeight="1" x14ac:dyDescent="0.25"/>
    <row r="61" spans="9:51" ht="30" customHeight="1" x14ac:dyDescent="0.25"/>
    <row r="62" spans="9:51" ht="30" customHeight="1" x14ac:dyDescent="0.25"/>
    <row r="63" spans="9:51" ht="30" customHeight="1" x14ac:dyDescent="0.25"/>
    <row r="64" spans="9:51"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9wX2S9n5NE6RpC5kGQNpTafv0jYqIgKuWnCdORXWLhsOnoNCn+u91vzDeUlvFUUva2Dqpe5Qk/y231jph2G9sQ==" saltValue="JUSMdaZfCM3qLjuZnSo3uw==" spinCount="100000" sheet="1" objects="1" scenarios="1" formatColumns="0" formatRows="0" sort="0"/>
  <printOptions horizontalCentered="1"/>
  <pageMargins left="0.2" right="0.45" top="0.5" bottom="0.5" header="0.3" footer="0.3"/>
  <pageSetup scale="27" orientation="landscape" r:id="rId1"/>
  <headerFooter>
    <oddFooter>&amp;L06/11/2021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0" tint="-0.14999847407452621"/>
  </sheetPr>
  <dimension ref="A1:B9"/>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52"/>
      <c r="B1" s="353" t="s">
        <v>324</v>
      </c>
    </row>
    <row r="2" spans="1:2" ht="26.25" customHeight="1" x14ac:dyDescent="0.25">
      <c r="A2" s="352"/>
      <c r="B2" s="354"/>
    </row>
    <row r="3" spans="1:2" ht="47.25" x14ac:dyDescent="0.25">
      <c r="A3" s="215"/>
      <c r="B3" s="216" t="s">
        <v>328</v>
      </c>
    </row>
    <row r="4" spans="1:2" ht="27" thickBot="1" x14ac:dyDescent="0.3">
      <c r="A4" s="214"/>
      <c r="B4" s="217" t="s">
        <v>63</v>
      </c>
    </row>
    <row r="5" spans="1:2" ht="15" customHeight="1" x14ac:dyDescent="0.25">
      <c r="A5" s="215"/>
      <c r="B5" s="218"/>
    </row>
    <row r="6" spans="1:2" ht="75" customHeight="1" x14ac:dyDescent="0.25">
      <c r="A6" s="189" t="s">
        <v>321</v>
      </c>
      <c r="B6" s="202" t="s">
        <v>325</v>
      </c>
    </row>
    <row r="7" spans="1:2" ht="75" customHeight="1" x14ac:dyDescent="0.25">
      <c r="A7" s="189" t="s">
        <v>322</v>
      </c>
      <c r="B7" s="202" t="s">
        <v>470</v>
      </c>
    </row>
    <row r="8" spans="1:2" ht="92.25" customHeight="1" x14ac:dyDescent="0.25">
      <c r="A8" s="189" t="s">
        <v>323</v>
      </c>
      <c r="B8" s="350" t="s">
        <v>368</v>
      </c>
    </row>
    <row r="9" spans="1:2" ht="68.25" customHeight="1" x14ac:dyDescent="0.25">
      <c r="A9" s="189" t="s">
        <v>326</v>
      </c>
      <c r="B9" s="202" t="s">
        <v>329</v>
      </c>
    </row>
  </sheetData>
  <sheetProtection algorithmName="SHA-512" hashValue="EOicRK6ZjaXoKZCMtpfniLDH+ztFbJYv0cR1ojm1zvoFz32IilgnYvvEMzk6it3u2RKMashqEG7E/kGJO1P+Dg==" saltValue="LmDaHYzmJJ87wiDSTvo0Lg==" spinCount="100000" sheet="1" objects="1" scenarios="1" formatColumns="0" formatRows="0" sort="0"/>
  <hyperlinks>
    <hyperlink ref="B4" r:id="rId1"/>
  </hyperlinks>
  <pageMargins left="0.7" right="0.7" top="0.75" bottom="0.75" header="0.3" footer="0.3"/>
  <pageSetup scale="87" orientation="portrait" r:id="rId2"/>
  <headerFooter>
    <oddFooter>&amp;CPrior Approval Rate Application&amp;L06/11/2021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00FF"/>
  </sheetPr>
  <dimension ref="A1:R85"/>
  <sheetViews>
    <sheetView showGridLines="0" tabSelected="1" view="pageBreakPreview" zoomScaleNormal="100" zoomScaleSheetLayoutView="100" workbookViewId="0">
      <selection activeCell="D68" sqref="D68"/>
    </sheetView>
  </sheetViews>
  <sheetFormatPr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0.7109375" style="8" customWidth="1"/>
    <col min="12" max="12" width="76.42578125" style="384" customWidth="1"/>
    <col min="13" max="14" width="0.7109375" style="8" customWidth="1"/>
    <col min="15" max="15" width="9.140625" style="8"/>
    <col min="16" max="16" width="17.7109375" style="8" bestFit="1" customWidth="1"/>
    <col min="17" max="16384" width="9.140625" style="8"/>
  </cols>
  <sheetData>
    <row r="1" spans="1:18" ht="15.75" thickBot="1" x14ac:dyDescent="0.3">
      <c r="A1" s="21" t="s">
        <v>71</v>
      </c>
      <c r="D1" s="21" t="s">
        <v>73</v>
      </c>
      <c r="I1" s="36" t="str">
        <f>Co_Name</f>
        <v>State Farm General Insurance Company</v>
      </c>
      <c r="L1" s="377" t="s">
        <v>320</v>
      </c>
    </row>
    <row r="2" spans="1:18" x14ac:dyDescent="0.25">
      <c r="A2" s="21" t="s">
        <v>72</v>
      </c>
      <c r="D2" s="21" t="s">
        <v>74</v>
      </c>
      <c r="I2" s="36" t="str">
        <f>General_Line</f>
        <v>Homeowners</v>
      </c>
      <c r="L2" s="378" t="s">
        <v>112</v>
      </c>
    </row>
    <row r="3" spans="1:18" ht="18" customHeight="1" x14ac:dyDescent="0.25">
      <c r="A3" s="21"/>
      <c r="B3" s="195"/>
      <c r="J3" s="36"/>
      <c r="K3" s="36"/>
      <c r="L3" s="379"/>
    </row>
    <row r="4" spans="1:18" ht="23.25" x14ac:dyDescent="0.25">
      <c r="A4" s="5" t="s">
        <v>331</v>
      </c>
      <c r="B4" s="6"/>
      <c r="C4" s="6"/>
      <c r="D4" s="6"/>
      <c r="E4" s="6"/>
      <c r="F4" s="6"/>
      <c r="G4" s="6"/>
      <c r="H4" s="6"/>
      <c r="I4" s="6"/>
      <c r="J4" s="6"/>
      <c r="K4" s="6"/>
      <c r="L4" s="379"/>
      <c r="M4" s="7"/>
      <c r="R4" s="9"/>
    </row>
    <row r="5" spans="1:18" ht="23.25" customHeight="1" x14ac:dyDescent="0.25">
      <c r="A5" s="5" t="s">
        <v>330</v>
      </c>
      <c r="B5" s="6"/>
      <c r="C5" s="6"/>
      <c r="D5" s="6"/>
      <c r="E5" s="6"/>
      <c r="F5" s="6"/>
      <c r="G5" s="6"/>
      <c r="H5" s="6"/>
      <c r="I5" s="6"/>
      <c r="J5" s="6"/>
      <c r="K5" s="6"/>
      <c r="L5" s="380"/>
      <c r="M5" s="7"/>
      <c r="R5" s="9"/>
    </row>
    <row r="6" spans="1:18" ht="18" customHeight="1" x14ac:dyDescent="0.25">
      <c r="A6" s="5"/>
      <c r="B6" s="6"/>
      <c r="C6" s="6"/>
      <c r="D6" s="6"/>
      <c r="E6" s="6"/>
      <c r="F6" s="6"/>
      <c r="G6" s="6"/>
      <c r="H6" s="6"/>
      <c r="I6" s="6"/>
      <c r="J6" s="6"/>
      <c r="K6" s="6"/>
      <c r="L6" s="380"/>
      <c r="M6" s="7"/>
      <c r="R6" s="9"/>
    </row>
    <row r="7" spans="1:18" ht="18" customHeight="1" x14ac:dyDescent="0.25">
      <c r="A7" s="10" t="s">
        <v>2</v>
      </c>
      <c r="B7" s="402" t="s">
        <v>496</v>
      </c>
      <c r="C7" s="7"/>
      <c r="D7" s="7" t="s">
        <v>1</v>
      </c>
      <c r="E7" s="403">
        <v>44553</v>
      </c>
      <c r="F7" s="11"/>
      <c r="G7" s="7"/>
      <c r="H7" s="7"/>
      <c r="I7" s="7"/>
      <c r="J7" s="7"/>
      <c r="K7" s="7"/>
      <c r="L7" s="381"/>
      <c r="M7" s="7"/>
      <c r="R7" s="9"/>
    </row>
    <row r="8" spans="1:18" ht="9.9499999999999993" customHeight="1" x14ac:dyDescent="0.25">
      <c r="A8" s="7"/>
      <c r="B8" s="7"/>
      <c r="C8" s="7"/>
      <c r="D8" s="7"/>
      <c r="E8" s="7"/>
      <c r="F8" s="7"/>
      <c r="G8" s="7"/>
      <c r="H8" s="7"/>
      <c r="I8" s="7"/>
      <c r="J8" s="7"/>
      <c r="K8" s="7"/>
      <c r="L8" s="381"/>
      <c r="M8" s="7"/>
    </row>
    <row r="9" spans="1:18" ht="18" customHeight="1" x14ac:dyDescent="0.25">
      <c r="A9" s="10" t="s">
        <v>3</v>
      </c>
      <c r="B9" s="402" t="s">
        <v>510</v>
      </c>
      <c r="C9" s="7"/>
      <c r="D9" s="7"/>
      <c r="E9" s="7"/>
      <c r="F9" s="7"/>
      <c r="G9" s="7"/>
      <c r="H9" s="7"/>
      <c r="I9" s="7"/>
      <c r="J9" s="7"/>
      <c r="K9" s="7"/>
      <c r="L9" s="381"/>
      <c r="M9" s="7"/>
    </row>
    <row r="10" spans="1:18" ht="18" customHeight="1" thickBot="1" x14ac:dyDescent="0.3">
      <c r="A10" s="7"/>
      <c r="B10" s="67" t="s">
        <v>86</v>
      </c>
      <c r="C10" s="7"/>
      <c r="D10" s="7"/>
      <c r="E10" s="7"/>
      <c r="F10" s="7"/>
      <c r="J10" s="281"/>
      <c r="K10" s="17"/>
      <c r="L10" s="374"/>
      <c r="M10" s="7"/>
    </row>
    <row r="11" spans="1:18" ht="5.0999999999999996" customHeight="1" x14ac:dyDescent="0.25">
      <c r="A11" s="7"/>
      <c r="B11" s="7"/>
      <c r="C11" s="7"/>
      <c r="D11" s="7"/>
      <c r="E11" s="7"/>
      <c r="F11" s="7"/>
      <c r="G11" s="40"/>
      <c r="H11" s="41"/>
      <c r="I11" s="41"/>
      <c r="J11" s="279"/>
      <c r="K11" s="282"/>
      <c r="L11" s="374"/>
      <c r="M11" s="7"/>
    </row>
    <row r="12" spans="1:18" ht="18" customHeight="1" x14ac:dyDescent="0.25">
      <c r="A12" s="12" t="s">
        <v>10</v>
      </c>
      <c r="B12" s="7"/>
      <c r="C12" s="7"/>
      <c r="D12" s="13"/>
      <c r="E12" s="7"/>
      <c r="F12" s="7"/>
      <c r="G12" s="42" t="s">
        <v>11</v>
      </c>
      <c r="H12" s="43"/>
      <c r="I12" s="276"/>
      <c r="J12" s="286"/>
      <c r="K12" s="287"/>
      <c r="L12" s="374"/>
      <c r="M12" s="7"/>
    </row>
    <row r="13" spans="1:18" ht="5.0999999999999996" customHeight="1" x14ac:dyDescent="0.25">
      <c r="A13" s="12"/>
      <c r="B13" s="7"/>
      <c r="C13" s="7"/>
      <c r="D13" s="13"/>
      <c r="E13" s="7"/>
      <c r="F13" s="7"/>
      <c r="G13" s="42"/>
      <c r="H13" s="43"/>
      <c r="I13" s="43"/>
      <c r="J13" s="276"/>
      <c r="K13" s="283"/>
      <c r="L13" s="374"/>
      <c r="M13" s="7"/>
    </row>
    <row r="14" spans="1:18" ht="18" customHeight="1" x14ac:dyDescent="0.25">
      <c r="A14" s="7" t="s">
        <v>4</v>
      </c>
      <c r="B14" s="7"/>
      <c r="C14" s="7"/>
      <c r="D14" s="13"/>
      <c r="E14" s="358" t="str">
        <f>IF(INDEX(List_YNIndicator,$K$14,1)="N","(Page 11 hidden)","")</f>
        <v>(Page 11 hidden)</v>
      </c>
      <c r="F14" s="7"/>
      <c r="G14" s="44" t="s">
        <v>117</v>
      </c>
      <c r="H14" s="483"/>
      <c r="I14" s="484"/>
      <c r="J14" s="277"/>
      <c r="K14" s="288">
        <v>2</v>
      </c>
      <c r="L14" s="374"/>
      <c r="M14" s="7"/>
    </row>
    <row r="15" spans="1:18" ht="5.0999999999999996" customHeight="1" x14ac:dyDescent="0.25">
      <c r="A15" s="7"/>
      <c r="B15" s="7"/>
      <c r="C15" s="7"/>
      <c r="D15" s="13"/>
      <c r="E15" s="7"/>
      <c r="F15" s="7"/>
      <c r="G15" s="45"/>
      <c r="H15" s="48"/>
      <c r="I15" s="48"/>
      <c r="J15" s="276"/>
      <c r="K15" s="283"/>
      <c r="L15" s="374"/>
      <c r="M15" s="7"/>
    </row>
    <row r="16" spans="1:18" ht="18" customHeight="1" x14ac:dyDescent="0.25">
      <c r="A16" s="7" t="s">
        <v>7</v>
      </c>
      <c r="B16" s="7"/>
      <c r="C16" s="7"/>
      <c r="D16" s="13"/>
      <c r="E16" s="7"/>
      <c r="F16" s="7"/>
      <c r="G16" s="44" t="s">
        <v>17</v>
      </c>
      <c r="H16" s="483"/>
      <c r="I16" s="484"/>
      <c r="J16" s="276"/>
      <c r="K16" s="283"/>
      <c r="L16" s="374"/>
      <c r="M16" s="7"/>
    </row>
    <row r="17" spans="1:14" ht="5.0999999999999996" customHeight="1" x14ac:dyDescent="0.25">
      <c r="A17" s="7"/>
      <c r="B17" s="7"/>
      <c r="C17" s="7"/>
      <c r="D17" s="13"/>
      <c r="E17" s="7"/>
      <c r="F17" s="7"/>
      <c r="G17" s="45"/>
      <c r="H17" s="66"/>
      <c r="I17" s="66"/>
      <c r="J17" s="276"/>
      <c r="K17" s="283"/>
      <c r="L17" s="374"/>
      <c r="M17" s="7"/>
    </row>
    <row r="18" spans="1:14" ht="18" customHeight="1" x14ac:dyDescent="0.25">
      <c r="A18" s="24" t="s">
        <v>8</v>
      </c>
      <c r="B18" s="7"/>
      <c r="C18" s="7"/>
      <c r="D18" s="13"/>
      <c r="E18" s="7"/>
      <c r="F18" s="7"/>
      <c r="G18" s="44" t="s">
        <v>18</v>
      </c>
      <c r="H18" s="481"/>
      <c r="I18" s="487"/>
      <c r="J18" s="277"/>
      <c r="K18" s="282"/>
      <c r="L18" s="374"/>
      <c r="M18" s="7"/>
    </row>
    <row r="19" spans="1:14" ht="5.0999999999999996" customHeight="1" x14ac:dyDescent="0.25">
      <c r="A19" s="15"/>
      <c r="B19" s="7"/>
      <c r="C19" s="7"/>
      <c r="D19" s="13"/>
      <c r="E19" s="7"/>
      <c r="F19" s="7"/>
      <c r="G19" s="44"/>
      <c r="H19" s="362"/>
      <c r="I19" s="48"/>
      <c r="J19" s="277"/>
      <c r="K19" s="282"/>
      <c r="L19" s="374"/>
      <c r="M19" s="7"/>
    </row>
    <row r="20" spans="1:14" ht="18" customHeight="1" x14ac:dyDescent="0.25">
      <c r="A20" s="34" t="s">
        <v>70</v>
      </c>
      <c r="B20" s="7"/>
      <c r="C20" s="7"/>
      <c r="D20" s="13"/>
      <c r="E20" s="7"/>
      <c r="F20" s="7"/>
      <c r="G20" s="44" t="s">
        <v>12</v>
      </c>
      <c r="H20" s="481"/>
      <c r="I20" s="487"/>
      <c r="J20" s="277"/>
      <c r="K20" s="288">
        <v>3</v>
      </c>
      <c r="L20" s="280"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77"/>
      <c r="K21" s="282"/>
      <c r="L21" s="374"/>
      <c r="M21" s="7"/>
    </row>
    <row r="22" spans="1:14" ht="18" customHeight="1" x14ac:dyDescent="0.25">
      <c r="A22" s="24" t="s">
        <v>122</v>
      </c>
      <c r="B22" s="7"/>
      <c r="C22" s="479"/>
      <c r="D22" s="480"/>
      <c r="E22" s="7"/>
      <c r="F22" s="7"/>
      <c r="G22" s="44" t="s">
        <v>19</v>
      </c>
      <c r="H22" s="488"/>
      <c r="I22" s="489"/>
      <c r="J22" s="277"/>
      <c r="K22" s="282"/>
      <c r="L22" s="374"/>
      <c r="M22" s="7"/>
    </row>
    <row r="23" spans="1:14" ht="5.0999999999999996" customHeight="1" x14ac:dyDescent="0.25">
      <c r="A23" s="7"/>
      <c r="B23" s="7"/>
      <c r="C23" s="7"/>
      <c r="D23" s="7"/>
      <c r="E23" s="7"/>
      <c r="F23" s="7"/>
      <c r="G23" s="44"/>
      <c r="H23" s="48"/>
      <c r="I23" s="48"/>
      <c r="J23" s="277"/>
      <c r="K23" s="282"/>
      <c r="L23" s="374"/>
      <c r="M23" s="7"/>
    </row>
    <row r="24" spans="1:14" ht="18" customHeight="1" x14ac:dyDescent="0.25">
      <c r="A24" s="7" t="s">
        <v>401</v>
      </c>
      <c r="B24" s="7"/>
      <c r="C24" s="7"/>
      <c r="D24" s="7"/>
      <c r="E24" s="358" t="str">
        <f>IF(INDEX(List_YNIndicator,$K$24,1)="N","(Page 2 hidden)","")</f>
        <v>(Page 2 hidden)</v>
      </c>
      <c r="F24" s="7"/>
      <c r="G24" s="44" t="s">
        <v>13</v>
      </c>
      <c r="H24" s="481" t="str">
        <f>IF(ISBLANK(H22)," ",H22+60)</f>
        <v xml:space="preserve"> </v>
      </c>
      <c r="I24" s="482"/>
      <c r="J24" s="277"/>
      <c r="K24" s="288">
        <v>2</v>
      </c>
      <c r="L24" s="374"/>
      <c r="M24" s="7"/>
    </row>
    <row r="25" spans="1:14" ht="5.0999999999999996" customHeight="1" x14ac:dyDescent="0.25">
      <c r="A25" s="16"/>
      <c r="B25" s="7"/>
      <c r="C25" s="7"/>
      <c r="D25" s="7"/>
      <c r="E25" s="7"/>
      <c r="F25" s="7"/>
      <c r="G25" s="44"/>
      <c r="H25" s="48"/>
      <c r="I25" s="48"/>
      <c r="J25" s="277"/>
      <c r="K25" s="282"/>
      <c r="L25" s="374"/>
      <c r="M25" s="7"/>
    </row>
    <row r="26" spans="1:14" ht="18" customHeight="1" x14ac:dyDescent="0.25">
      <c r="A26" s="7" t="s">
        <v>471</v>
      </c>
      <c r="B26" s="7"/>
      <c r="C26" s="7"/>
      <c r="D26" s="7"/>
      <c r="E26" s="7"/>
      <c r="F26" s="7"/>
      <c r="G26" s="44" t="s">
        <v>14</v>
      </c>
      <c r="H26" s="483"/>
      <c r="I26" s="484"/>
      <c r="J26" s="277"/>
      <c r="K26" s="288">
        <v>2</v>
      </c>
      <c r="L26" s="374"/>
      <c r="M26" s="7"/>
    </row>
    <row r="27" spans="1:14" ht="5.0999999999999996" customHeight="1" x14ac:dyDescent="0.25">
      <c r="A27" s="7"/>
      <c r="B27" s="7"/>
      <c r="C27" s="7"/>
      <c r="D27" s="7"/>
      <c r="E27" s="7"/>
      <c r="F27" s="7"/>
      <c r="G27" s="44"/>
      <c r="H27" s="363"/>
      <c r="I27" s="363"/>
      <c r="J27" s="277"/>
      <c r="K27" s="282"/>
      <c r="L27" s="374"/>
      <c r="M27" s="7"/>
    </row>
    <row r="28" spans="1:14" ht="15" customHeight="1" x14ac:dyDescent="0.25">
      <c r="A28" s="7" t="s">
        <v>27</v>
      </c>
      <c r="B28" s="7"/>
      <c r="C28" s="7"/>
      <c r="D28" s="7"/>
      <c r="E28" s="7"/>
      <c r="F28" s="7"/>
      <c r="G28" s="44" t="s">
        <v>69</v>
      </c>
      <c r="H28" s="485"/>
      <c r="I28" s="486"/>
      <c r="J28" s="277"/>
      <c r="K28" s="282"/>
      <c r="L28" s="374"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77"/>
      <c r="K29" s="282"/>
      <c r="L29" s="374"/>
      <c r="M29" s="7"/>
    </row>
    <row r="30" spans="1:14" ht="18" customHeight="1" x14ac:dyDescent="0.25">
      <c r="A30" s="7" t="s">
        <v>33</v>
      </c>
      <c r="B30" s="7"/>
      <c r="C30" s="7"/>
      <c r="D30" s="7"/>
      <c r="E30" s="7"/>
      <c r="F30" s="7"/>
      <c r="G30" s="44" t="s">
        <v>21</v>
      </c>
      <c r="H30" s="48"/>
      <c r="I30" s="48"/>
      <c r="J30" s="277"/>
      <c r="K30" s="282"/>
      <c r="L30" s="476" t="str">
        <f>IF(INDEX(List_GeneralLine,References!$F$5,1)="","← ERROR! Select a General Line from the pull-down menu.",
IF(AND(References!$D$5=1,References!$F$5=4),"in one application, with separate Rate Calculation pages in the Prior Approval Rate",""))</f>
        <v/>
      </c>
      <c r="M30" s="397" t="b">
        <f>IF(K24=1,TRUE,FALSE)</f>
        <v>0</v>
      </c>
      <c r="N30" s="396" t="b">
        <f>IF(K24=2,TRUE,FALSE)</f>
        <v>1</v>
      </c>
    </row>
    <row r="31" spans="1:14" ht="5.0999999999999996" customHeight="1" x14ac:dyDescent="0.25">
      <c r="A31" s="7"/>
      <c r="B31" s="7"/>
      <c r="C31" s="7"/>
      <c r="D31" s="7"/>
      <c r="E31" s="7"/>
      <c r="F31" s="7"/>
      <c r="G31" s="44"/>
      <c r="H31" s="66"/>
      <c r="I31" s="66"/>
      <c r="J31" s="277"/>
      <c r="K31" s="282"/>
      <c r="L31" s="374"/>
      <c r="M31" s="397"/>
      <c r="N31" s="396"/>
    </row>
    <row r="32" spans="1:14" ht="18" customHeight="1" x14ac:dyDescent="0.25">
      <c r="A32" s="7" t="s">
        <v>30</v>
      </c>
      <c r="B32" s="493" t="s">
        <v>497</v>
      </c>
      <c r="C32" s="494"/>
      <c r="D32" s="494"/>
      <c r="E32" s="495"/>
      <c r="F32" s="7"/>
      <c r="G32" s="44" t="s">
        <v>20</v>
      </c>
      <c r="H32" s="483"/>
      <c r="I32" s="484"/>
      <c r="J32" s="277"/>
      <c r="K32" s="282"/>
      <c r="L32" s="374" t="str">
        <f>IF(AND(References!$D$5=1,References!$F$5=4),"Template for liability and physical damage coverages.","")</f>
        <v/>
      </c>
      <c r="M32" s="397"/>
      <c r="N32" s="396"/>
    </row>
    <row r="33" spans="1:14" ht="5.0999999999999996" customHeight="1" x14ac:dyDescent="0.25">
      <c r="A33" s="7"/>
      <c r="B33" s="7"/>
      <c r="C33" s="7"/>
      <c r="D33" s="7"/>
      <c r="E33" s="7"/>
      <c r="F33" s="7"/>
      <c r="G33" s="44"/>
      <c r="H33" s="66"/>
      <c r="I33" s="66"/>
      <c r="J33" s="277"/>
      <c r="K33" s="282"/>
      <c r="L33" s="374"/>
      <c r="M33" s="397"/>
      <c r="N33" s="396"/>
    </row>
    <row r="34" spans="1:14" ht="18" customHeight="1" x14ac:dyDescent="0.25">
      <c r="A34" s="7" t="s">
        <v>31</v>
      </c>
      <c r="B34" s="493" t="s">
        <v>508</v>
      </c>
      <c r="C34" s="494"/>
      <c r="D34" s="494"/>
      <c r="E34" s="495"/>
      <c r="F34" s="7"/>
      <c r="G34" s="44" t="s">
        <v>32</v>
      </c>
      <c r="H34" s="48"/>
      <c r="I34" s="48"/>
      <c r="J34" s="278"/>
      <c r="K34" s="284"/>
      <c r="L34" s="374"/>
      <c r="M34" s="397" t="b">
        <f>IF(FilingType_Rate=TRUE,TRUE,FALSE)</f>
        <v>0</v>
      </c>
      <c r="N34" s="396" t="b">
        <f>IF(FilingType_Rule=TRUE,TRUE,FALSE)</f>
        <v>1</v>
      </c>
    </row>
    <row r="35" spans="1:14" ht="5.0999999999999996" customHeight="1" x14ac:dyDescent="0.25">
      <c r="A35" s="7"/>
      <c r="B35" s="23"/>
      <c r="C35" s="23"/>
      <c r="D35" s="23"/>
      <c r="E35" s="23"/>
      <c r="F35" s="7"/>
      <c r="G35" s="44"/>
      <c r="H35" s="48"/>
      <c r="I35" s="48"/>
      <c r="J35" s="277"/>
      <c r="K35" s="282"/>
      <c r="L35" s="374"/>
      <c r="M35" s="397"/>
      <c r="N35" s="396"/>
    </row>
    <row r="36" spans="1:14" ht="18" customHeight="1" x14ac:dyDescent="0.25">
      <c r="A36" s="7" t="s">
        <v>280</v>
      </c>
      <c r="F36" s="7"/>
      <c r="G36" s="46"/>
      <c r="H36" s="48"/>
      <c r="I36" s="48"/>
      <c r="J36" s="277"/>
      <c r="K36" s="282"/>
      <c r="L36" s="385"/>
      <c r="M36" s="397" t="b">
        <f>IF(FilingType_Form=TRUE,TRUE,FALSE)</f>
        <v>0</v>
      </c>
      <c r="N36" s="396" t="b">
        <f>IF(K14=1,TRUE,FALSE)</f>
        <v>0</v>
      </c>
    </row>
    <row r="37" spans="1:14" ht="18" customHeight="1" x14ac:dyDescent="0.25">
      <c r="A37" s="24" t="s">
        <v>9</v>
      </c>
      <c r="B37" s="7"/>
      <c r="C37" s="479" t="s">
        <v>509</v>
      </c>
      <c r="D37" s="480"/>
      <c r="E37" s="7"/>
      <c r="F37" s="7"/>
      <c r="G37" s="44"/>
      <c r="H37" s="48"/>
      <c r="I37" s="48"/>
      <c r="J37" s="277"/>
      <c r="K37" s="282"/>
      <c r="L37" s="385" t="str">
        <f>IF(AND(LEN(TRIM(C37))=0,FilingType_NewProgram=FALSE),"← WARNING! If this filing is not a new program, provide the most recent applicable","")</f>
        <v/>
      </c>
      <c r="M37" s="397" t="b">
        <f>IF(FilingType_NewProgram=TRUE,TRUE,FALSE)</f>
        <v>0</v>
      </c>
      <c r="N37" s="396"/>
    </row>
    <row r="38" spans="1:14" ht="4.5" customHeight="1" x14ac:dyDescent="0.25">
      <c r="A38" s="7"/>
      <c r="B38" s="7"/>
      <c r="C38" s="7"/>
      <c r="D38" s="7"/>
      <c r="E38" s="7"/>
      <c r="F38" s="7"/>
      <c r="G38" s="44"/>
      <c r="H38" s="48"/>
      <c r="I38" s="48"/>
      <c r="J38" s="277"/>
      <c r="K38" s="282"/>
      <c r="L38" s="385"/>
      <c r="M38" s="7"/>
    </row>
    <row r="39" spans="1:14" ht="18" customHeight="1" x14ac:dyDescent="0.25">
      <c r="A39" s="7" t="str">
        <f>IF(AND(References!D5=2,References!F5=4),"Does CIC §1861.16(c) apply (Super Group)?","")</f>
        <v/>
      </c>
      <c r="B39" s="7"/>
      <c r="C39" s="7"/>
      <c r="D39" s="7"/>
      <c r="E39" s="7"/>
      <c r="F39" s="7"/>
      <c r="G39" s="44" t="s">
        <v>22</v>
      </c>
      <c r="H39" s="501"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01"/>
      <c r="J39" s="277"/>
      <c r="K39" s="288">
        <v>1</v>
      </c>
      <c r="L39" s="385"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78"/>
      <c r="K40" s="284"/>
      <c r="L40" s="385"/>
      <c r="M40" s="7"/>
    </row>
    <row r="41" spans="1:14" ht="18" customHeight="1" x14ac:dyDescent="0.25">
      <c r="A41" s="7"/>
      <c r="B41" s="7"/>
      <c r="C41" s="7"/>
      <c r="D41" s="7"/>
      <c r="E41" s="7"/>
      <c r="F41" s="466"/>
      <c r="G41" s="465"/>
      <c r="H41" s="499"/>
      <c r="I41" s="500"/>
      <c r="J41" s="277"/>
      <c r="K41" s="461"/>
      <c r="L41" s="385"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466"/>
      <c r="G42" s="462"/>
      <c r="H42" s="463"/>
      <c r="I42" s="463"/>
      <c r="J42" s="464"/>
      <c r="K42" s="285"/>
      <c r="L42" s="385"/>
      <c r="M42" s="7"/>
    </row>
    <row r="43" spans="1:14" ht="18" customHeight="1" x14ac:dyDescent="0.25">
      <c r="A43" s="12" t="s">
        <v>15</v>
      </c>
      <c r="B43" s="7"/>
      <c r="C43" s="7"/>
      <c r="D43" s="7"/>
      <c r="E43" s="7"/>
      <c r="F43" s="7"/>
      <c r="G43" s="461"/>
      <c r="H43" s="461"/>
      <c r="I43" s="461"/>
      <c r="J43" s="461"/>
      <c r="K43" s="461"/>
      <c r="L43" s="374"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85"/>
      <c r="L44" s="374"/>
      <c r="M44" s="7"/>
    </row>
    <row r="45" spans="1:14" ht="18" customHeight="1" x14ac:dyDescent="0.25">
      <c r="A45" s="7" t="s">
        <v>0</v>
      </c>
      <c r="B45" s="493" t="s">
        <v>498</v>
      </c>
      <c r="C45" s="494"/>
      <c r="D45" s="494"/>
      <c r="E45" s="495"/>
      <c r="F45" s="7"/>
      <c r="G45" s="17"/>
      <c r="H45" s="17"/>
      <c r="I45" s="17"/>
      <c r="J45" s="17"/>
      <c r="K45" s="17"/>
      <c r="L45" s="467"/>
      <c r="M45" s="7"/>
    </row>
    <row r="46" spans="1:14" ht="18" customHeight="1" x14ac:dyDescent="0.25">
      <c r="A46" s="7" t="s">
        <v>23</v>
      </c>
      <c r="B46" s="493" t="s">
        <v>499</v>
      </c>
      <c r="C46" s="494"/>
      <c r="D46" s="494"/>
      <c r="E46" s="495"/>
      <c r="F46" s="7"/>
      <c r="G46" s="17"/>
      <c r="H46" s="17"/>
      <c r="I46" s="17"/>
      <c r="J46" s="17"/>
      <c r="K46" s="17"/>
      <c r="L46" s="381"/>
      <c r="M46" s="7"/>
    </row>
    <row r="47" spans="1:14" ht="5.0999999999999996" customHeight="1" x14ac:dyDescent="0.25">
      <c r="A47" s="7"/>
      <c r="B47" s="7"/>
      <c r="C47" s="7"/>
      <c r="D47" s="7"/>
      <c r="E47" s="7"/>
      <c r="F47" s="7"/>
      <c r="G47" s="17"/>
      <c r="H47" s="17"/>
      <c r="I47" s="17"/>
      <c r="J47" s="17"/>
      <c r="K47" s="17"/>
      <c r="L47" s="381"/>
      <c r="M47" s="7"/>
    </row>
    <row r="48" spans="1:14" ht="18" customHeight="1" x14ac:dyDescent="0.25">
      <c r="A48" s="7" t="s">
        <v>24</v>
      </c>
      <c r="B48" s="386">
        <v>25151</v>
      </c>
      <c r="C48" s="7"/>
      <c r="D48" s="7"/>
      <c r="E48" s="7"/>
      <c r="F48" s="7"/>
      <c r="G48" s="17"/>
      <c r="H48" s="17"/>
      <c r="I48" s="17"/>
      <c r="J48" s="17"/>
      <c r="K48" s="17"/>
      <c r="L48" s="381"/>
      <c r="M48" s="7"/>
    </row>
    <row r="49" spans="1:13" ht="18" customHeight="1" x14ac:dyDescent="0.25">
      <c r="A49" s="7" t="s">
        <v>25</v>
      </c>
      <c r="B49" s="404">
        <v>176</v>
      </c>
      <c r="C49" s="7"/>
      <c r="D49" s="7"/>
      <c r="E49" s="7"/>
      <c r="F49" s="7"/>
      <c r="G49" s="14"/>
      <c r="H49" s="14"/>
      <c r="I49" s="14"/>
      <c r="J49" s="14"/>
      <c r="K49" s="14"/>
      <c r="L49" s="381"/>
      <c r="M49" s="7"/>
    </row>
    <row r="50" spans="1:13" ht="5.0999999999999996" customHeight="1" x14ac:dyDescent="0.25">
      <c r="A50" s="7"/>
      <c r="B50" s="14"/>
      <c r="C50" s="7"/>
      <c r="D50" s="7"/>
      <c r="E50" s="7"/>
      <c r="F50" s="7"/>
      <c r="G50" s="14"/>
      <c r="H50" s="14"/>
      <c r="I50" s="14"/>
      <c r="J50" s="14"/>
      <c r="K50" s="14"/>
      <c r="L50" s="381"/>
      <c r="M50" s="7"/>
    </row>
    <row r="51" spans="1:13" ht="18" customHeight="1" x14ac:dyDescent="0.25">
      <c r="A51" s="7" t="s">
        <v>26</v>
      </c>
      <c r="B51" s="7"/>
      <c r="C51" s="496" t="s">
        <v>500</v>
      </c>
      <c r="D51" s="497"/>
      <c r="E51" s="498"/>
      <c r="F51" s="7"/>
      <c r="G51" s="7"/>
      <c r="H51" s="7"/>
      <c r="I51" s="7"/>
      <c r="J51" s="7"/>
      <c r="K51" s="7"/>
      <c r="L51" s="381"/>
      <c r="M51" s="7"/>
    </row>
    <row r="52" spans="1:13" ht="9.9499999999999993" customHeight="1" x14ac:dyDescent="0.25">
      <c r="A52" s="7"/>
      <c r="B52" s="7"/>
      <c r="C52" s="7"/>
      <c r="D52" s="7"/>
      <c r="E52" s="7"/>
      <c r="F52" s="7"/>
      <c r="G52" s="7"/>
      <c r="H52" s="7"/>
      <c r="I52" s="7"/>
      <c r="J52" s="7"/>
      <c r="K52" s="7"/>
      <c r="L52" s="381"/>
      <c r="M52" s="7"/>
    </row>
    <row r="53" spans="1:13" ht="18" customHeight="1" x14ac:dyDescent="0.25">
      <c r="A53" s="7" t="s">
        <v>54</v>
      </c>
      <c r="B53" s="479" t="s">
        <v>501</v>
      </c>
      <c r="C53" s="490"/>
      <c r="D53" s="490"/>
      <c r="E53" s="490"/>
      <c r="F53" s="490"/>
      <c r="G53" s="490"/>
      <c r="H53" s="490"/>
      <c r="I53" s="490"/>
      <c r="J53" s="480"/>
      <c r="K53" s="264"/>
      <c r="L53" s="381"/>
      <c r="M53" s="7"/>
    </row>
    <row r="54" spans="1:13" ht="9.9499999999999993" customHeight="1" x14ac:dyDescent="0.25">
      <c r="A54" s="7"/>
      <c r="B54" s="18"/>
      <c r="C54" s="18"/>
      <c r="D54" s="18"/>
      <c r="E54" s="18"/>
      <c r="F54" s="18"/>
      <c r="G54" s="18"/>
      <c r="H54" s="18"/>
      <c r="I54" s="18"/>
      <c r="J54" s="18"/>
      <c r="K54" s="18"/>
      <c r="L54" s="381"/>
      <c r="M54" s="7"/>
    </row>
    <row r="55" spans="1:13" ht="18" customHeight="1" x14ac:dyDescent="0.25">
      <c r="A55" s="7" t="s">
        <v>55</v>
      </c>
      <c r="B55" s="479" t="s">
        <v>502</v>
      </c>
      <c r="C55" s="490"/>
      <c r="D55" s="490"/>
      <c r="E55" s="490"/>
      <c r="F55" s="490"/>
      <c r="G55" s="490"/>
      <c r="H55" s="490"/>
      <c r="I55" s="490"/>
      <c r="J55" s="480"/>
      <c r="K55" s="264"/>
      <c r="L55" s="381"/>
      <c r="M55" s="7"/>
    </row>
    <row r="56" spans="1:13" ht="9.9499999999999993" customHeight="1" x14ac:dyDescent="0.25">
      <c r="A56" s="7"/>
      <c r="B56" s="7"/>
      <c r="C56" s="7"/>
      <c r="D56" s="7"/>
      <c r="E56" s="7"/>
      <c r="F56" s="7"/>
      <c r="G56" s="7"/>
      <c r="H56" s="7"/>
      <c r="I56" s="7"/>
      <c r="J56" s="7"/>
      <c r="K56" s="7"/>
      <c r="L56" s="381"/>
      <c r="M56" s="7"/>
    </row>
    <row r="57" spans="1:13" ht="18" customHeight="1" x14ac:dyDescent="0.25">
      <c r="A57" s="7" t="s">
        <v>56</v>
      </c>
      <c r="B57" s="493" t="s">
        <v>53</v>
      </c>
      <c r="C57" s="494"/>
      <c r="D57" s="494"/>
      <c r="E57" s="495"/>
      <c r="F57" s="7" t="s">
        <v>57</v>
      </c>
      <c r="G57" s="493" t="s">
        <v>503</v>
      </c>
      <c r="H57" s="494"/>
      <c r="I57" s="494"/>
      <c r="J57" s="495"/>
      <c r="K57" s="264"/>
      <c r="L57" s="381"/>
      <c r="M57" s="7"/>
    </row>
    <row r="58" spans="1:13" ht="9.9499999999999993" customHeight="1" x14ac:dyDescent="0.25">
      <c r="A58" s="7"/>
      <c r="B58" s="7"/>
      <c r="C58" s="7"/>
      <c r="D58" s="7"/>
      <c r="E58" s="7"/>
      <c r="F58" s="7"/>
      <c r="G58" s="7"/>
      <c r="H58" s="7"/>
      <c r="I58" s="7"/>
      <c r="J58" s="7"/>
      <c r="K58" s="7"/>
      <c r="L58" s="381"/>
      <c r="M58" s="7"/>
    </row>
    <row r="59" spans="1:13" ht="18" customHeight="1" x14ac:dyDescent="0.25">
      <c r="A59" s="7" t="s">
        <v>58</v>
      </c>
      <c r="B59" s="479" t="s">
        <v>504</v>
      </c>
      <c r="C59" s="490"/>
      <c r="D59" s="490"/>
      <c r="E59" s="490"/>
      <c r="F59" s="490"/>
      <c r="G59" s="490"/>
      <c r="H59" s="490"/>
      <c r="I59" s="490"/>
      <c r="J59" s="480"/>
      <c r="K59" s="264"/>
      <c r="L59" s="381"/>
      <c r="M59" s="7"/>
    </row>
    <row r="60" spans="1:13" ht="9.9499999999999993" customHeight="1" x14ac:dyDescent="0.25">
      <c r="A60" s="7"/>
      <c r="B60" s="7"/>
      <c r="C60" s="7"/>
      <c r="D60" s="7"/>
      <c r="E60" s="7"/>
      <c r="F60" s="7"/>
      <c r="G60" s="7"/>
      <c r="H60" s="7"/>
      <c r="I60" s="7"/>
      <c r="J60" s="7"/>
      <c r="K60" s="7"/>
      <c r="L60" s="381"/>
      <c r="M60" s="7"/>
    </row>
    <row r="61" spans="1:13" ht="18" customHeight="1" x14ac:dyDescent="0.25">
      <c r="A61" s="7" t="s">
        <v>59</v>
      </c>
      <c r="B61" s="479" t="s">
        <v>505</v>
      </c>
      <c r="C61" s="490"/>
      <c r="D61" s="490"/>
      <c r="E61" s="490"/>
      <c r="F61" s="490"/>
      <c r="G61" s="490"/>
      <c r="H61" s="490"/>
      <c r="I61" s="490"/>
      <c r="J61" s="480"/>
      <c r="K61" s="264"/>
      <c r="L61" s="381"/>
      <c r="M61" s="7"/>
    </row>
    <row r="62" spans="1:13" ht="9.9499999999999993" customHeight="1" x14ac:dyDescent="0.25">
      <c r="A62" s="7"/>
      <c r="B62" s="7"/>
      <c r="C62" s="7"/>
      <c r="D62" s="7"/>
      <c r="E62" s="7"/>
      <c r="F62" s="7"/>
      <c r="G62" s="7"/>
      <c r="H62" s="7"/>
      <c r="I62" s="7"/>
      <c r="J62" s="7"/>
      <c r="K62" s="7"/>
      <c r="L62" s="381"/>
      <c r="M62" s="7"/>
    </row>
    <row r="63" spans="1:13" ht="9.9499999999999993" customHeight="1" x14ac:dyDescent="0.25">
      <c r="A63" s="7"/>
      <c r="B63" s="7"/>
      <c r="C63" s="7"/>
      <c r="D63" s="7"/>
      <c r="E63" s="7"/>
      <c r="F63" s="7"/>
      <c r="G63" s="7"/>
      <c r="H63" s="7"/>
      <c r="I63" s="7"/>
      <c r="J63" s="7"/>
      <c r="K63" s="7"/>
      <c r="L63" s="381"/>
      <c r="M63" s="7"/>
    </row>
    <row r="64" spans="1:13" ht="18" customHeight="1" x14ac:dyDescent="0.25">
      <c r="A64" s="360" t="s">
        <v>350</v>
      </c>
      <c r="B64" s="6"/>
      <c r="C64" s="6"/>
      <c r="D64" s="6"/>
      <c r="E64" s="6"/>
      <c r="F64" s="6"/>
      <c r="G64" s="6"/>
      <c r="H64" s="6"/>
      <c r="I64" s="6"/>
      <c r="J64" s="6"/>
      <c r="K64" s="6"/>
      <c r="L64" s="381"/>
      <c r="M64" s="7"/>
    </row>
    <row r="65" spans="1:16" ht="18" customHeight="1" x14ac:dyDescent="0.25">
      <c r="A65" s="360" t="s">
        <v>352</v>
      </c>
      <c r="B65" s="7"/>
      <c r="C65" s="7"/>
      <c r="D65" s="7"/>
      <c r="E65" s="7"/>
      <c r="F65" s="7"/>
      <c r="G65" s="7"/>
      <c r="H65" s="7"/>
      <c r="I65" s="7"/>
      <c r="J65" s="7"/>
      <c r="K65" s="7"/>
      <c r="L65" s="381"/>
      <c r="M65" s="7"/>
    </row>
    <row r="66" spans="1:16" ht="18" customHeight="1" x14ac:dyDescent="0.25">
      <c r="A66" s="360" t="s">
        <v>351</v>
      </c>
      <c r="B66" s="7"/>
      <c r="C66" s="7"/>
      <c r="D66" s="7"/>
      <c r="E66" s="7"/>
      <c r="F66" s="7"/>
      <c r="G66" s="7"/>
      <c r="H66" s="7"/>
      <c r="I66" s="7"/>
      <c r="J66" s="7"/>
      <c r="K66" s="7"/>
      <c r="L66" s="381"/>
      <c r="M66" s="7"/>
    </row>
    <row r="67" spans="1:16" ht="18" customHeight="1" x14ac:dyDescent="0.25">
      <c r="A67" s="491"/>
      <c r="B67" s="492"/>
      <c r="C67" s="7"/>
      <c r="D67" s="502">
        <v>44578</v>
      </c>
      <c r="E67" s="503"/>
      <c r="F67" s="504"/>
      <c r="H67" s="479" t="s">
        <v>506</v>
      </c>
      <c r="I67" s="490"/>
      <c r="J67" s="480"/>
      <c r="K67" s="265"/>
      <c r="L67" s="381"/>
      <c r="M67" s="7"/>
    </row>
    <row r="68" spans="1:16" ht="18" customHeight="1" x14ac:dyDescent="0.25">
      <c r="A68" s="19" t="s">
        <v>60</v>
      </c>
      <c r="B68" s="19"/>
      <c r="C68" s="10"/>
      <c r="D68" s="19" t="s">
        <v>61</v>
      </c>
      <c r="E68" s="20"/>
      <c r="F68" s="20"/>
      <c r="G68" s="21"/>
      <c r="H68" s="19" t="s">
        <v>62</v>
      </c>
      <c r="I68" s="19"/>
      <c r="J68" s="19"/>
      <c r="K68" s="19"/>
      <c r="L68" s="381"/>
      <c r="M68" s="7"/>
    </row>
    <row r="69" spans="1:16" ht="9.9499999999999993" customHeight="1" x14ac:dyDescent="0.25">
      <c r="A69" s="7"/>
      <c r="B69" s="7"/>
      <c r="C69" s="7"/>
      <c r="D69" s="7"/>
      <c r="E69" s="7"/>
      <c r="F69" s="7"/>
      <c r="G69" s="7"/>
      <c r="H69" s="7"/>
      <c r="I69" s="7"/>
      <c r="J69" s="7"/>
      <c r="K69" s="7"/>
      <c r="L69" s="381"/>
      <c r="M69" s="7"/>
    </row>
    <row r="70" spans="1:16" ht="18.75" x14ac:dyDescent="0.3">
      <c r="A70" s="32" t="s">
        <v>64</v>
      </c>
      <c r="B70" s="22"/>
      <c r="C70" s="22"/>
      <c r="D70" s="22"/>
      <c r="E70" s="22"/>
      <c r="F70" s="22"/>
      <c r="G70" s="22"/>
      <c r="H70" s="22"/>
      <c r="I70" s="22"/>
      <c r="J70" s="22"/>
      <c r="K70" s="22"/>
      <c r="L70" s="382"/>
    </row>
    <row r="71" spans="1:16" ht="19.5" thickBot="1" x14ac:dyDescent="0.35">
      <c r="A71" s="33" t="s">
        <v>63</v>
      </c>
      <c r="B71" s="22"/>
      <c r="C71" s="22"/>
      <c r="D71" s="22"/>
      <c r="E71" s="22"/>
      <c r="F71" s="22"/>
      <c r="G71" s="22"/>
      <c r="H71" s="22"/>
      <c r="I71" s="22"/>
      <c r="J71" s="22"/>
      <c r="K71" s="22"/>
      <c r="L71" s="383"/>
    </row>
    <row r="72" spans="1:16" ht="4.5" hidden="1" customHeight="1" thickBot="1" x14ac:dyDescent="0.3">
      <c r="L72" s="383"/>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SUwBXNM7g6K7LKyAe7iLiqjj+P4n4XfbxYCnKi6IW2FuKgrwHlw7TQCH8qC3l936nFEQYYOHXyVGao6mC1M+UQ==" saltValue="dZPIN06U8QBfQrD3EqvbWg==" spinCount="100000" sheet="1" objects="1" scenarios="1" formatColumns="0" formatRows="0" sort="0"/>
  <mergeCells count="27">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 ref="H14:I14"/>
    <mergeCell ref="H16:I16"/>
    <mergeCell ref="H18:I18"/>
    <mergeCell ref="H20:I20"/>
    <mergeCell ref="H22:I22"/>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formula1>10000</formula1>
      <formula2>99999</formula2>
    </dataValidation>
    <dataValidation type="whole" allowBlank="1" showErrorMessage="1" errorTitle="Invalid NAIC Group Code" error="The NAIC group code cannot be a number with more than 4 digits." sqref="B49">
      <formula1>0</formula1>
      <formula2>9999</formula2>
    </dataValidation>
  </dataValidations>
  <hyperlinks>
    <hyperlink ref="A71" r:id="rId1"/>
  </hyperlinks>
  <printOptions horizontalCentered="1"/>
  <pageMargins left="0.45" right="0.45" top="0.5" bottom="0.5" header="0.3" footer="0.05"/>
  <pageSetup scale="77" orientation="portrait" r:id="rId2"/>
  <headerFooter>
    <oddFooter xml:space="preserve">&amp;L06/11/2021 Edition
&amp;CPrior Approval Rate Application
Portions of the material contained in this document are protected by copyright owned by the State Farm Mutual Automobile Insurance Company, 2022&amp;RPage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DropDown40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DropDown40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anchor moveWithCells="1">
                  <from>
                    <xdr:col>3</xdr:col>
                    <xdr:colOff>9525</xdr:colOff>
                    <xdr:row>38</xdr:row>
                    <xdr:rowOff>0</xdr:rowOff>
                  </from>
                  <to>
                    <xdr:col>3</xdr:col>
                    <xdr:colOff>419100</xdr:colOff>
                    <xdr:row>38</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71</v>
      </c>
      <c r="C1" s="37" t="s">
        <v>73</v>
      </c>
      <c r="D1" s="8"/>
      <c r="E1" s="21"/>
      <c r="F1" s="36" t="str">
        <f>Co_Name</f>
        <v>State Farm General Insurance Company</v>
      </c>
      <c r="G1" s="8"/>
      <c r="H1" s="8"/>
    </row>
    <row r="2" spans="1:9" x14ac:dyDescent="0.25">
      <c r="A2" s="21" t="s">
        <v>72</v>
      </c>
      <c r="C2" s="37" t="s">
        <v>74</v>
      </c>
      <c r="D2" s="8"/>
      <c r="E2" s="21"/>
      <c r="F2" s="36" t="str">
        <f>General_Line</f>
        <v>Homeowners</v>
      </c>
      <c r="G2" s="8"/>
      <c r="H2" s="8"/>
    </row>
    <row r="3" spans="1:9" ht="11.25" customHeight="1" x14ac:dyDescent="0.25">
      <c r="B3" s="194"/>
      <c r="G3" s="8"/>
    </row>
    <row r="4" spans="1:9" ht="23.25" x14ac:dyDescent="0.25">
      <c r="A4" s="5" t="s">
        <v>345</v>
      </c>
      <c r="B4" s="3"/>
      <c r="C4" s="3"/>
      <c r="D4" s="3"/>
      <c r="E4" s="3"/>
      <c r="F4" s="3"/>
      <c r="G4" s="8"/>
      <c r="H4" s="3"/>
      <c r="I4" s="3"/>
    </row>
    <row r="5" spans="1:9" ht="5.25" customHeight="1" x14ac:dyDescent="0.25">
      <c r="A5" s="2"/>
      <c r="B5" s="7"/>
      <c r="C5" s="7"/>
      <c r="D5" s="7"/>
      <c r="E5" s="7"/>
      <c r="F5" s="371"/>
      <c r="G5" s="8"/>
    </row>
    <row r="6" spans="1:9" ht="9.75" customHeight="1" x14ac:dyDescent="0.25">
      <c r="A6" s="2"/>
      <c r="B6" s="7"/>
      <c r="C6" s="7"/>
      <c r="D6" s="7"/>
      <c r="E6" s="7"/>
      <c r="F6" s="371">
        <v>2</v>
      </c>
      <c r="G6" s="8"/>
    </row>
    <row r="7" spans="1:9" ht="18" customHeight="1" x14ac:dyDescent="0.25">
      <c r="A7" t="s">
        <v>402</v>
      </c>
      <c r="B7" s="7"/>
      <c r="C7" s="7"/>
      <c r="D7" s="7"/>
      <c r="E7" s="7"/>
      <c r="F7" s="371"/>
      <c r="G7" s="8"/>
    </row>
    <row r="8" spans="1:9" ht="18" customHeight="1" x14ac:dyDescent="0.25">
      <c r="A8" s="2" t="s">
        <v>403</v>
      </c>
      <c r="B8" s="7"/>
      <c r="C8" s="7"/>
      <c r="D8" s="7"/>
      <c r="E8" s="7"/>
      <c r="F8" s="371"/>
      <c r="G8" s="8"/>
    </row>
    <row r="9" spans="1:9" ht="11.25" customHeight="1" x14ac:dyDescent="0.25">
      <c r="A9" s="2"/>
      <c r="B9" s="7"/>
      <c r="C9" s="7"/>
      <c r="D9" s="7"/>
      <c r="E9" s="7"/>
      <c r="F9" s="371"/>
      <c r="G9" s="8"/>
    </row>
    <row r="10" spans="1:9" ht="21" customHeight="1" x14ac:dyDescent="0.25">
      <c r="A10" s="26" t="s">
        <v>428</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98" t="str">
        <f>IF(ISBLANK('1.General'!B45:E45),"",'1.General'!B45:E45)</f>
        <v>State Farm General Insurance Company</v>
      </c>
      <c r="C13" s="38"/>
      <c r="E13" s="57" t="s">
        <v>16</v>
      </c>
      <c r="F13" s="300"/>
      <c r="G13" s="8"/>
    </row>
    <row r="14" spans="1:9" ht="18" customHeight="1" x14ac:dyDescent="0.25">
      <c r="E14" s="57"/>
      <c r="F14" s="57" t="s">
        <v>68</v>
      </c>
      <c r="G14" s="8"/>
    </row>
    <row r="15" spans="1:9" ht="18" customHeight="1" x14ac:dyDescent="0.25">
      <c r="A15" s="25" t="s">
        <v>24</v>
      </c>
      <c r="B15" s="399">
        <f>IF(ISBLANK('1.General'!B48),"",'1.General'!B48)</f>
        <v>25151</v>
      </c>
      <c r="C15" s="39"/>
      <c r="G15" s="8"/>
    </row>
    <row r="16" spans="1:9" ht="18" customHeight="1" x14ac:dyDescent="0.25">
      <c r="A16" s="394" t="str">
        <f>IF(B13="","","Proposed Rate Impact:")</f>
        <v>Proposed Rate Impact:</v>
      </c>
      <c r="B16" s="401"/>
      <c r="C16" s="405"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301"/>
      <c r="C19" s="38"/>
      <c r="E19" s="57" t="s">
        <v>16</v>
      </c>
      <c r="F19" s="300"/>
      <c r="G19" s="8"/>
    </row>
    <row r="20" spans="1:7" x14ac:dyDescent="0.25">
      <c r="E20" s="57"/>
      <c r="F20" s="57" t="s">
        <v>68</v>
      </c>
      <c r="G20" s="8"/>
    </row>
    <row r="21" spans="1:7" x14ac:dyDescent="0.25">
      <c r="A21" s="25" t="s">
        <v>24</v>
      </c>
      <c r="B21" s="301"/>
      <c r="C21" s="39"/>
      <c r="G21" s="8"/>
    </row>
    <row r="22" spans="1:7" ht="17.25" x14ac:dyDescent="0.25">
      <c r="A22" t="str">
        <f>IF(B19="","","Proposed Rate Impact:")</f>
        <v/>
      </c>
      <c r="B22" s="400"/>
      <c r="C22" s="406"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301"/>
      <c r="C25" s="38"/>
      <c r="E25" s="57" t="s">
        <v>16</v>
      </c>
      <c r="F25" s="300"/>
      <c r="G25" s="8"/>
    </row>
    <row r="26" spans="1:7" x14ac:dyDescent="0.25">
      <c r="E26" s="57"/>
      <c r="F26" s="57" t="s">
        <v>68</v>
      </c>
      <c r="G26" s="8"/>
    </row>
    <row r="27" spans="1:7" x14ac:dyDescent="0.25">
      <c r="A27" s="25" t="s">
        <v>24</v>
      </c>
      <c r="B27" s="301"/>
      <c r="C27" s="39"/>
      <c r="G27" s="8"/>
    </row>
    <row r="28" spans="1:7" ht="17.25" x14ac:dyDescent="0.25">
      <c r="A28" t="str">
        <f>IF(B25="","","Proposed Rate Impact:")</f>
        <v/>
      </c>
      <c r="B28" s="400"/>
      <c r="C28" s="407"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301"/>
      <c r="C31" s="38"/>
      <c r="E31" s="57" t="s">
        <v>16</v>
      </c>
      <c r="F31" s="300"/>
      <c r="G31" s="8"/>
    </row>
    <row r="32" spans="1:7" x14ac:dyDescent="0.25">
      <c r="E32" s="57"/>
      <c r="F32" s="57" t="s">
        <v>68</v>
      </c>
      <c r="G32" s="8"/>
    </row>
    <row r="33" spans="1:7" x14ac:dyDescent="0.25">
      <c r="A33" s="25" t="s">
        <v>24</v>
      </c>
      <c r="B33" s="301"/>
      <c r="C33" s="39"/>
      <c r="G33" s="8"/>
    </row>
    <row r="34" spans="1:7" ht="17.25" x14ac:dyDescent="0.25">
      <c r="A34" t="str">
        <f>IF(B31="","","Proposed Rate Impact:")</f>
        <v/>
      </c>
      <c r="B34" s="400"/>
      <c r="C34" s="407"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301"/>
      <c r="C37" s="38"/>
      <c r="E37" s="57" t="s">
        <v>16</v>
      </c>
      <c r="F37" s="300"/>
      <c r="G37" s="8"/>
    </row>
    <row r="38" spans="1:7" x14ac:dyDescent="0.25">
      <c r="E38" s="57"/>
      <c r="F38" s="57" t="s">
        <v>68</v>
      </c>
      <c r="G38" s="8"/>
    </row>
    <row r="39" spans="1:7" x14ac:dyDescent="0.25">
      <c r="A39" s="25" t="s">
        <v>24</v>
      </c>
      <c r="B39" s="301"/>
      <c r="C39" s="39"/>
      <c r="G39" s="8"/>
    </row>
    <row r="40" spans="1:7" ht="17.25" x14ac:dyDescent="0.25">
      <c r="A40" t="str">
        <f>IF(B37="","","Proposed Rate Impact:")</f>
        <v/>
      </c>
      <c r="B40" s="400"/>
      <c r="C40" s="407"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301"/>
      <c r="C43" s="38"/>
      <c r="E43" s="57" t="s">
        <v>16</v>
      </c>
      <c r="F43" s="300"/>
      <c r="G43" s="8"/>
    </row>
    <row r="44" spans="1:7" ht="18" customHeight="1" x14ac:dyDescent="0.25">
      <c r="E44" s="57"/>
      <c r="F44" s="57" t="s">
        <v>68</v>
      </c>
      <c r="G44" s="8"/>
    </row>
    <row r="45" spans="1:7" ht="18" customHeight="1" x14ac:dyDescent="0.25">
      <c r="A45" s="25" t="s">
        <v>24</v>
      </c>
      <c r="B45" s="301"/>
      <c r="C45" s="39"/>
      <c r="G45" s="8"/>
    </row>
    <row r="46" spans="1:7" ht="18" customHeight="1" x14ac:dyDescent="0.25">
      <c r="A46" t="str">
        <f>IF(B43="","","Proposed Rate Impact:")</f>
        <v/>
      </c>
      <c r="B46" s="400"/>
      <c r="C46" s="407"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301"/>
      <c r="C49" s="38"/>
      <c r="E49" s="57" t="s">
        <v>16</v>
      </c>
      <c r="F49" s="300"/>
      <c r="G49" s="8"/>
    </row>
    <row r="50" spans="1:7" x14ac:dyDescent="0.25">
      <c r="E50" s="57"/>
      <c r="F50" s="57" t="s">
        <v>68</v>
      </c>
      <c r="G50" s="8"/>
    </row>
    <row r="51" spans="1:7" x14ac:dyDescent="0.25">
      <c r="A51" s="25" t="s">
        <v>24</v>
      </c>
      <c r="B51" s="301"/>
      <c r="C51" s="39"/>
      <c r="G51" s="8"/>
    </row>
    <row r="52" spans="1:7" ht="17.25" x14ac:dyDescent="0.25">
      <c r="A52" t="str">
        <f>IF(B49="","","Proposed Rate Impact:")</f>
        <v/>
      </c>
      <c r="B52" s="400"/>
      <c r="C52" s="407"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301"/>
      <c r="C55" s="38"/>
      <c r="E55" s="57" t="s">
        <v>16</v>
      </c>
      <c r="F55" s="300"/>
      <c r="G55" s="8"/>
    </row>
    <row r="56" spans="1:7" x14ac:dyDescent="0.25">
      <c r="E56" s="57"/>
      <c r="F56" s="57" t="s">
        <v>68</v>
      </c>
      <c r="G56" s="8"/>
    </row>
    <row r="57" spans="1:7" x14ac:dyDescent="0.25">
      <c r="A57" s="25" t="s">
        <v>24</v>
      </c>
      <c r="B57" s="301"/>
      <c r="C57" s="39"/>
      <c r="G57" s="8"/>
    </row>
    <row r="58" spans="1:7" ht="17.25" x14ac:dyDescent="0.25">
      <c r="A58" t="str">
        <f>IF(B55="","","Proposed Rate Impact:")</f>
        <v/>
      </c>
      <c r="B58" s="400"/>
      <c r="C58" s="407"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301"/>
      <c r="C61" s="38"/>
      <c r="E61" s="57" t="s">
        <v>16</v>
      </c>
      <c r="F61" s="300"/>
      <c r="G61" s="8"/>
    </row>
    <row r="62" spans="1:7" x14ac:dyDescent="0.25">
      <c r="E62" s="57"/>
      <c r="F62" s="57" t="s">
        <v>68</v>
      </c>
      <c r="G62" s="8"/>
    </row>
    <row r="63" spans="1:7" ht="15" customHeight="1" x14ac:dyDescent="0.25">
      <c r="A63" s="25" t="s">
        <v>24</v>
      </c>
      <c r="B63" s="301"/>
      <c r="C63" s="39"/>
      <c r="G63" s="8"/>
    </row>
    <row r="64" spans="1:7" ht="17.25" x14ac:dyDescent="0.25">
      <c r="A64" t="str">
        <f>IF(B61="","","Proposed Rate Impact:")</f>
        <v/>
      </c>
      <c r="B64" s="400"/>
      <c r="C64" s="407"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301"/>
      <c r="C67" s="38"/>
      <c r="E67" s="57" t="s">
        <v>16</v>
      </c>
      <c r="F67" s="300"/>
      <c r="G67" s="8"/>
    </row>
    <row r="68" spans="1:7" x14ac:dyDescent="0.25">
      <c r="E68" s="57"/>
      <c r="F68" s="57" t="s">
        <v>68</v>
      </c>
      <c r="G68" s="8"/>
    </row>
    <row r="69" spans="1:7" x14ac:dyDescent="0.25">
      <c r="A69" s="25" t="s">
        <v>24</v>
      </c>
      <c r="B69" s="301"/>
      <c r="C69" s="39"/>
      <c r="G69" s="8"/>
    </row>
    <row r="70" spans="1:7" ht="17.25" x14ac:dyDescent="0.25">
      <c r="A70" t="str">
        <f>IF(B67="","","Proposed Rate Impact:")</f>
        <v/>
      </c>
      <c r="B70" s="400"/>
      <c r="C70" s="407"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301"/>
      <c r="C73" s="38"/>
      <c r="E73" s="57" t="s">
        <v>16</v>
      </c>
      <c r="F73" s="300"/>
      <c r="G73" s="8"/>
    </row>
    <row r="74" spans="1:7" ht="15" hidden="1" customHeight="1" x14ac:dyDescent="0.25">
      <c r="E74" s="57"/>
      <c r="F74" s="57" t="s">
        <v>68</v>
      </c>
      <c r="G74" s="8"/>
    </row>
    <row r="75" spans="1:7" ht="15" hidden="1" customHeight="1" x14ac:dyDescent="0.25">
      <c r="A75" s="25" t="s">
        <v>24</v>
      </c>
      <c r="B75" s="301"/>
      <c r="C75" s="39"/>
      <c r="G75" s="8"/>
    </row>
    <row r="76" spans="1:7" ht="18" hidden="1" customHeight="1" x14ac:dyDescent="0.25">
      <c r="A76" t="str">
        <f>IF(B73="","","Proposed Rate Impact:")</f>
        <v/>
      </c>
      <c r="B76" s="400"/>
      <c r="C76" s="407"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301"/>
      <c r="C79" s="38"/>
      <c r="E79" s="57" t="s">
        <v>16</v>
      </c>
      <c r="F79" s="300"/>
      <c r="G79" s="8"/>
    </row>
    <row r="80" spans="1:7" ht="15" hidden="1" customHeight="1" x14ac:dyDescent="0.25">
      <c r="E80" s="57"/>
      <c r="F80" s="57" t="s">
        <v>68</v>
      </c>
      <c r="G80" s="8"/>
    </row>
    <row r="81" spans="1:7" ht="15" hidden="1" customHeight="1" x14ac:dyDescent="0.25">
      <c r="A81" s="25" t="s">
        <v>24</v>
      </c>
      <c r="B81" s="301"/>
      <c r="C81" s="39"/>
      <c r="G81" s="8"/>
    </row>
    <row r="82" spans="1:7" ht="17.25" hidden="1" x14ac:dyDescent="0.25">
      <c r="A82" t="str">
        <f>IF(B79="","","Proposed Rate Impact:")</f>
        <v/>
      </c>
      <c r="B82" s="400"/>
      <c r="C82" s="407"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301"/>
      <c r="C85" s="38"/>
      <c r="E85" s="57" t="s">
        <v>16</v>
      </c>
      <c r="F85" s="300"/>
      <c r="G85" s="8"/>
    </row>
    <row r="86" spans="1:7" ht="15" hidden="1" customHeight="1" x14ac:dyDescent="0.25">
      <c r="E86" s="57"/>
      <c r="F86" s="57" t="s">
        <v>68</v>
      </c>
      <c r="G86" s="8"/>
    </row>
    <row r="87" spans="1:7" ht="15" hidden="1" customHeight="1" x14ac:dyDescent="0.25">
      <c r="A87" s="25" t="s">
        <v>24</v>
      </c>
      <c r="B87" s="301"/>
      <c r="C87" s="39"/>
      <c r="G87" s="8"/>
    </row>
    <row r="88" spans="1:7" ht="17.25" hidden="1" x14ac:dyDescent="0.25">
      <c r="A88" t="str">
        <f>IF(B85="","","Proposed Rate Impact:")</f>
        <v/>
      </c>
      <c r="B88" s="400"/>
      <c r="C88" s="407"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301"/>
      <c r="C91" s="38"/>
      <c r="E91" s="57" t="s">
        <v>16</v>
      </c>
      <c r="F91" s="300"/>
      <c r="G91" s="8"/>
    </row>
    <row r="92" spans="1:7" ht="15" hidden="1" customHeight="1" x14ac:dyDescent="0.25">
      <c r="E92" s="57"/>
      <c r="F92" s="57" t="s">
        <v>68</v>
      </c>
      <c r="G92" s="8"/>
    </row>
    <row r="93" spans="1:7" ht="15" hidden="1" customHeight="1" x14ac:dyDescent="0.25">
      <c r="A93" s="25" t="s">
        <v>24</v>
      </c>
      <c r="B93" s="301"/>
      <c r="C93" s="39"/>
      <c r="G93" s="8"/>
    </row>
    <row r="94" spans="1:7" ht="17.25" hidden="1" x14ac:dyDescent="0.25">
      <c r="A94" t="str">
        <f>IF(B91="","","Proposed Rate Impact:")</f>
        <v/>
      </c>
      <c r="B94" s="400"/>
      <c r="C94" s="407"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301"/>
      <c r="C97" s="38"/>
      <c r="E97" s="57" t="s">
        <v>16</v>
      </c>
      <c r="F97" s="300"/>
      <c r="G97" s="8"/>
    </row>
    <row r="98" spans="1:7" ht="15" hidden="1" customHeight="1" x14ac:dyDescent="0.25">
      <c r="E98" s="57"/>
      <c r="F98" s="57" t="s">
        <v>68</v>
      </c>
      <c r="G98" s="8"/>
    </row>
    <row r="99" spans="1:7" ht="15" hidden="1" customHeight="1" x14ac:dyDescent="0.25">
      <c r="A99" s="25" t="s">
        <v>24</v>
      </c>
      <c r="B99" s="301"/>
      <c r="C99" s="39"/>
      <c r="G99" s="8"/>
    </row>
    <row r="100" spans="1:7" ht="17.25" hidden="1" x14ac:dyDescent="0.25">
      <c r="A100" t="str">
        <f>IF(B97="","","Proposed Rate Impact:")</f>
        <v/>
      </c>
      <c r="B100" s="400"/>
      <c r="C100" s="407" t="str">
        <f>IF(B97="","","1")</f>
        <v/>
      </c>
      <c r="G100" s="8"/>
    </row>
    <row r="101" spans="1:7" ht="9.75" hidden="1" customHeight="1" x14ac:dyDescent="0.25">
      <c r="A101" s="408"/>
      <c r="B101" s="28"/>
      <c r="C101" s="28"/>
      <c r="D101" s="28"/>
      <c r="E101" s="28"/>
      <c r="F101" s="28"/>
      <c r="G101" s="8"/>
    </row>
    <row r="102" spans="1:7" ht="17.25" x14ac:dyDescent="0.25">
      <c r="A102" s="359" t="s">
        <v>393</v>
      </c>
    </row>
    <row r="103" spans="1:7" x14ac:dyDescent="0.25">
      <c r="A103" s="359" t="s">
        <v>396</v>
      </c>
    </row>
    <row r="105" spans="1:7" hidden="1" x14ac:dyDescent="0.25"/>
  </sheetData>
  <sheetProtection algorithmName="SHA-512" hashValue="/MBlP4LA0WraX45jr5tdV/EL4ffKb5OI9OE7JVNvp38/YFNK3IMcWDmZcwdvafG5uUXLI2XxsYfDKC15egBK4A==" saltValue="RB+18TbJRT3//yGsbNP6fg==" spinCount="100000" sheet="1" objects="1" scenarios="1" formatColumns="0" formatRows="0" sort="0"/>
  <conditionalFormatting sqref="B16">
    <cfRule type="expression" dxfId="14" priority="15">
      <formula>NOT(ISBLANK(B13))</formula>
    </cfRule>
  </conditionalFormatting>
  <conditionalFormatting sqref="B22">
    <cfRule type="expression" dxfId="13" priority="14">
      <formula>NOT(ISBLANK(B19))</formula>
    </cfRule>
  </conditionalFormatting>
  <conditionalFormatting sqref="B28">
    <cfRule type="expression" dxfId="12" priority="13">
      <formula>NOT(ISBLANK(B25))</formula>
    </cfRule>
  </conditionalFormatting>
  <conditionalFormatting sqref="B34">
    <cfRule type="expression" dxfId="11" priority="12">
      <formula>NOT(ISBLANK(B31))</formula>
    </cfRule>
  </conditionalFormatting>
  <conditionalFormatting sqref="B40">
    <cfRule type="expression" dxfId="10" priority="11">
      <formula>NOT(ISBLANK(B37))</formula>
    </cfRule>
  </conditionalFormatting>
  <conditionalFormatting sqref="B46">
    <cfRule type="expression" dxfId="9" priority="10">
      <formula>NOT(ISBLANK(B43))</formula>
    </cfRule>
  </conditionalFormatting>
  <conditionalFormatting sqref="B52">
    <cfRule type="expression" dxfId="8" priority="9">
      <formula>NOT(ISBLANK(B49))</formula>
    </cfRule>
  </conditionalFormatting>
  <conditionalFormatting sqref="B58">
    <cfRule type="expression" dxfId="7" priority="8">
      <formula>NOT(ISBLANK(B55))</formula>
    </cfRule>
  </conditionalFormatting>
  <conditionalFormatting sqref="B64">
    <cfRule type="expression" dxfId="6" priority="7">
      <formula>NOT(ISBLANK(B61))</formula>
    </cfRule>
  </conditionalFormatting>
  <conditionalFormatting sqref="B70">
    <cfRule type="expression" dxfId="5" priority="6">
      <formula>NOT(ISBLANK(B67))</formula>
    </cfRule>
  </conditionalFormatting>
  <conditionalFormatting sqref="B76">
    <cfRule type="expression" dxfId="4" priority="5">
      <formula>NOT(ISBLANK(B73))</formula>
    </cfRule>
  </conditionalFormatting>
  <conditionalFormatting sqref="B82">
    <cfRule type="expression" dxfId="3" priority="4">
      <formula>NOT(ISBLANK(B79))</formula>
    </cfRule>
  </conditionalFormatting>
  <conditionalFormatting sqref="B88">
    <cfRule type="expression" dxfId="2" priority="3">
      <formula>NOT(ISBLANK(B85))</formula>
    </cfRule>
  </conditionalFormatting>
  <conditionalFormatting sqref="B94">
    <cfRule type="expression" dxfId="1" priority="2">
      <formula>NOT(ISBLANK(B91))</formula>
    </cfRule>
  </conditionalFormatting>
  <conditionalFormatting sqref="B100">
    <cfRule type="expression" dxfId="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2&amp;L06/11/2021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FF"/>
    <pageSetUpPr fitToPage="1"/>
  </sheetPr>
  <dimension ref="A1:H138"/>
  <sheetViews>
    <sheetView showGridLines="0" view="pageBreakPreview" zoomScaleNormal="100" zoomScaleSheetLayoutView="100" workbookViewId="0">
      <selection activeCell="D62" sqref="D62"/>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43.140625" bestFit="1" customWidth="1"/>
  </cols>
  <sheetData>
    <row r="1" spans="1:8" x14ac:dyDescent="0.25">
      <c r="A1" s="21" t="s">
        <v>71</v>
      </c>
      <c r="B1" s="21"/>
      <c r="C1" s="8"/>
      <c r="D1" s="37" t="s">
        <v>73</v>
      </c>
      <c r="E1" s="37"/>
      <c r="F1" s="8"/>
      <c r="G1" s="36" t="str">
        <f>Co_Name</f>
        <v>State Farm General Insurance Company</v>
      </c>
    </row>
    <row r="2" spans="1:8" x14ac:dyDescent="0.25">
      <c r="A2" s="21" t="s">
        <v>72</v>
      </c>
      <c r="B2" s="21"/>
      <c r="C2" s="8"/>
      <c r="D2" s="37" t="s">
        <v>74</v>
      </c>
      <c r="E2" s="37"/>
      <c r="F2" s="8"/>
      <c r="G2" s="36" t="str">
        <f>General_Line</f>
        <v>Homeowners</v>
      </c>
    </row>
    <row r="3" spans="1:8" ht="18" customHeight="1" x14ac:dyDescent="0.25">
      <c r="A3" s="8"/>
      <c r="B3" s="8"/>
      <c r="C3" s="195"/>
      <c r="D3" s="8"/>
      <c r="E3" s="8"/>
      <c r="F3" s="8"/>
      <c r="G3" s="8"/>
    </row>
    <row r="4" spans="1:8" ht="23.25" x14ac:dyDescent="0.25">
      <c r="A4" s="5" t="s">
        <v>299</v>
      </c>
      <c r="B4" s="5"/>
      <c r="C4" s="208"/>
      <c r="D4" s="208"/>
      <c r="E4" s="208"/>
      <c r="F4" s="208"/>
      <c r="G4" s="208"/>
    </row>
    <row r="5" spans="1:8" ht="22.5" customHeight="1" x14ac:dyDescent="0.25">
      <c r="A5" s="439" t="s">
        <v>429</v>
      </c>
      <c r="B5" s="5"/>
      <c r="C5" s="208"/>
      <c r="D5" s="208"/>
      <c r="E5" s="208"/>
      <c r="F5" s="208"/>
      <c r="G5" s="208"/>
    </row>
    <row r="6" spans="1:8" ht="21" customHeight="1" x14ac:dyDescent="0.25">
      <c r="A6" s="413" t="s">
        <v>431</v>
      </c>
      <c r="B6" s="413"/>
      <c r="C6" s="413"/>
      <c r="E6" s="227" t="s">
        <v>6</v>
      </c>
      <c r="G6" s="412"/>
    </row>
    <row r="7" spans="1:8" ht="21" customHeight="1" x14ac:dyDescent="0.25">
      <c r="A7" s="413" t="s">
        <v>432</v>
      </c>
      <c r="B7" s="413"/>
      <c r="C7" s="413"/>
      <c r="E7" s="227" t="s">
        <v>6</v>
      </c>
      <c r="G7" s="412"/>
    </row>
    <row r="8" spans="1:8" ht="21" customHeight="1" x14ac:dyDescent="0.25">
      <c r="A8" s="413" t="s">
        <v>491</v>
      </c>
      <c r="B8" s="413"/>
      <c r="C8" s="413"/>
      <c r="E8" s="227" t="s">
        <v>5</v>
      </c>
      <c r="G8" s="412"/>
    </row>
    <row r="9" spans="1:8" ht="21" customHeight="1" x14ac:dyDescent="0.25">
      <c r="A9" s="413" t="s">
        <v>433</v>
      </c>
      <c r="B9" s="413"/>
      <c r="C9" s="413"/>
      <c r="E9" s="227" t="s">
        <v>6</v>
      </c>
      <c r="G9" s="412"/>
    </row>
    <row r="10" spans="1:8" ht="21" customHeight="1" x14ac:dyDescent="0.25">
      <c r="A10" s="413" t="s">
        <v>492</v>
      </c>
      <c r="B10" s="413"/>
      <c r="C10" s="413"/>
      <c r="E10" s="227" t="s">
        <v>6</v>
      </c>
      <c r="G10" s="412"/>
    </row>
    <row r="11" spans="1:8" ht="21" customHeight="1" x14ac:dyDescent="0.25">
      <c r="A11" s="413" t="s">
        <v>434</v>
      </c>
      <c r="B11" s="413"/>
      <c r="C11" s="413"/>
      <c r="E11" s="227" t="s">
        <v>6</v>
      </c>
      <c r="G11" s="412"/>
    </row>
    <row r="12" spans="1:8" ht="21" customHeight="1" x14ac:dyDescent="0.25">
      <c r="A12" s="417" t="s">
        <v>507</v>
      </c>
      <c r="B12" s="413"/>
      <c r="C12" s="413"/>
      <c r="E12" s="227" t="s">
        <v>6</v>
      </c>
      <c r="G12" s="412"/>
      <c r="H12" s="243" t="str">
        <f>IF(E12="","",IF(INDEX(List_YNIndicator,'1.General'!$K$14)=$E$12,"","←ERROR! Input is inconsistent with 1.General."))</f>
        <v/>
      </c>
    </row>
    <row r="13" spans="1:8" ht="21" customHeight="1" x14ac:dyDescent="0.25">
      <c r="A13" s="209" t="s">
        <v>435</v>
      </c>
      <c r="B13" s="414"/>
      <c r="C13" s="410"/>
      <c r="D13" s="411"/>
      <c r="E13" s="411"/>
      <c r="F13" s="411"/>
      <c r="G13" s="412"/>
    </row>
    <row r="14" spans="1:8" ht="21" customHeight="1" x14ac:dyDescent="0.25">
      <c r="A14" s="422" t="s">
        <v>436</v>
      </c>
      <c r="B14" s="415"/>
      <c r="C14" s="410"/>
      <c r="D14" s="411"/>
      <c r="E14" s="411"/>
      <c r="F14" s="411"/>
      <c r="G14" s="412"/>
    </row>
    <row r="15" spans="1:8" ht="23.25" x14ac:dyDescent="0.25">
      <c r="A15" s="5" t="s">
        <v>80</v>
      </c>
      <c r="B15" s="5"/>
      <c r="C15" s="208"/>
      <c r="D15" s="208"/>
      <c r="E15" s="208"/>
      <c r="F15" s="208"/>
      <c r="G15" s="208"/>
    </row>
    <row r="16" spans="1:8" x14ac:dyDescent="0.25">
      <c r="A16" s="416" t="s">
        <v>473</v>
      </c>
      <c r="B16" s="416"/>
      <c r="C16" s="410"/>
      <c r="D16" s="411"/>
      <c r="E16" s="411"/>
      <c r="F16" s="411"/>
      <c r="G16" s="412"/>
    </row>
    <row r="17" spans="1:7" x14ac:dyDescent="0.25">
      <c r="B17" s="416"/>
      <c r="C17" s="410"/>
      <c r="D17" s="411"/>
      <c r="E17" s="411"/>
      <c r="F17" s="411"/>
      <c r="G17" s="412"/>
    </row>
    <row r="18" spans="1:7" x14ac:dyDescent="0.25">
      <c r="A18" s="190" t="s">
        <v>412</v>
      </c>
      <c r="B18" s="190" t="s">
        <v>413</v>
      </c>
      <c r="C18" s="190" t="s">
        <v>308</v>
      </c>
      <c r="D18" s="190"/>
      <c r="E18" s="411"/>
      <c r="F18" s="411"/>
      <c r="G18" s="412"/>
    </row>
    <row r="19" spans="1:7" ht="21" customHeight="1" x14ac:dyDescent="0.25">
      <c r="A19" s="423"/>
      <c r="B19" s="423"/>
      <c r="C19" s="413" t="s">
        <v>399</v>
      </c>
      <c r="D19" s="413"/>
      <c r="E19" s="413"/>
      <c r="F19" s="51"/>
      <c r="G19" s="51"/>
    </row>
    <row r="20" spans="1:7" ht="21" hidden="1" customHeight="1" x14ac:dyDescent="0.25">
      <c r="A20" s="423"/>
      <c r="B20" s="423"/>
      <c r="C20" s="413" t="s">
        <v>306</v>
      </c>
      <c r="D20" s="413"/>
      <c r="E20" s="413"/>
      <c r="F20" s="51"/>
      <c r="G20" s="51"/>
    </row>
    <row r="21" spans="1:7" ht="21" customHeight="1" x14ac:dyDescent="0.25">
      <c r="A21" s="423"/>
      <c r="B21" s="423"/>
      <c r="C21" s="413" t="s">
        <v>427</v>
      </c>
      <c r="D21" s="413"/>
      <c r="E21" s="413"/>
      <c r="F21" s="51"/>
      <c r="G21" s="51"/>
    </row>
    <row r="22" spans="1:7" ht="21" hidden="1" customHeight="1" x14ac:dyDescent="0.25">
      <c r="A22" s="423"/>
      <c r="B22" s="423"/>
      <c r="C22" s="413" t="s">
        <v>307</v>
      </c>
      <c r="D22" s="413"/>
      <c r="E22" s="413"/>
      <c r="F22" s="51"/>
      <c r="G22" s="51"/>
    </row>
    <row r="23" spans="1:7" ht="21" hidden="1" customHeight="1" x14ac:dyDescent="0.25">
      <c r="A23" s="423"/>
      <c r="B23" s="423"/>
      <c r="C23" s="413" t="s">
        <v>315</v>
      </c>
      <c r="D23" s="413"/>
      <c r="E23" s="413"/>
      <c r="F23" s="51"/>
      <c r="G23" s="51"/>
    </row>
    <row r="24" spans="1:7" ht="21" hidden="1" customHeight="1" x14ac:dyDescent="0.25">
      <c r="A24" s="423"/>
      <c r="B24" s="423"/>
      <c r="C24" s="413" t="s">
        <v>378</v>
      </c>
      <c r="D24" s="413"/>
      <c r="E24" s="413"/>
      <c r="F24" s="51"/>
      <c r="G24" s="51"/>
    </row>
    <row r="25" spans="1:7" ht="21" hidden="1" customHeight="1" x14ac:dyDescent="0.25">
      <c r="A25" s="423"/>
      <c r="B25" s="423"/>
      <c r="C25" s="413" t="s">
        <v>316</v>
      </c>
      <c r="D25" s="413"/>
      <c r="E25" s="413"/>
      <c r="F25" s="51"/>
      <c r="G25" s="51"/>
    </row>
    <row r="26" spans="1:7" ht="21" hidden="1" customHeight="1" x14ac:dyDescent="0.25">
      <c r="A26" s="423"/>
      <c r="B26" s="423"/>
      <c r="C26" s="413" t="s">
        <v>317</v>
      </c>
      <c r="D26" s="413"/>
      <c r="E26" s="413"/>
      <c r="F26" s="51"/>
      <c r="G26" s="51"/>
    </row>
    <row r="27" spans="1:7" ht="21" hidden="1" customHeight="1" x14ac:dyDescent="0.25">
      <c r="A27" s="423"/>
      <c r="B27" s="423"/>
      <c r="C27" s="413" t="s">
        <v>318</v>
      </c>
      <c r="D27" s="413"/>
      <c r="E27" s="413"/>
      <c r="F27" s="51"/>
      <c r="G27" s="51"/>
    </row>
    <row r="28" spans="1:7" ht="21" customHeight="1" x14ac:dyDescent="0.25">
      <c r="A28" s="423"/>
      <c r="B28" s="423"/>
      <c r="C28" s="413" t="s">
        <v>475</v>
      </c>
      <c r="D28" s="413"/>
      <c r="E28" s="413"/>
      <c r="F28" s="51"/>
      <c r="G28" s="51"/>
    </row>
    <row r="29" spans="1:7" ht="21" hidden="1" customHeight="1" x14ac:dyDescent="0.25">
      <c r="A29" s="423"/>
      <c r="B29" s="423"/>
      <c r="C29" s="413" t="s">
        <v>81</v>
      </c>
      <c r="D29" s="413"/>
      <c r="E29" s="413"/>
      <c r="F29" s="51"/>
      <c r="G29" s="51"/>
    </row>
    <row r="30" spans="1:7" ht="21" customHeight="1" x14ac:dyDescent="0.25">
      <c r="A30" s="423"/>
      <c r="B30" s="423"/>
      <c r="C30" s="417" t="s">
        <v>309</v>
      </c>
      <c r="D30" s="417"/>
      <c r="E30" s="417"/>
      <c r="F30" s="417"/>
      <c r="G30" s="417"/>
    </row>
    <row r="31" spans="1:7" ht="21" customHeight="1" x14ac:dyDescent="0.25">
      <c r="A31" s="423"/>
      <c r="B31" s="423"/>
      <c r="C31" s="413" t="s">
        <v>301</v>
      </c>
      <c r="D31" s="413"/>
      <c r="E31" s="413"/>
      <c r="F31" s="51"/>
      <c r="G31" s="51"/>
    </row>
    <row r="32" spans="1:7" ht="21" hidden="1" customHeight="1" x14ac:dyDescent="0.25">
      <c r="A32" s="423"/>
      <c r="B32" s="423"/>
      <c r="C32" s="413" t="s">
        <v>302</v>
      </c>
      <c r="D32" s="413"/>
      <c r="E32" s="413"/>
      <c r="F32" s="51"/>
      <c r="G32" s="51"/>
    </row>
    <row r="33" spans="1:7" ht="21" hidden="1" customHeight="1" x14ac:dyDescent="0.25">
      <c r="A33" s="423"/>
      <c r="B33" s="423"/>
      <c r="C33" s="413" t="s">
        <v>303</v>
      </c>
      <c r="D33" s="413"/>
      <c r="E33" s="413"/>
      <c r="F33" s="51"/>
      <c r="G33" s="51"/>
    </row>
    <row r="34" spans="1:7" ht="21" hidden="1" customHeight="1" x14ac:dyDescent="0.25">
      <c r="A34" s="423"/>
      <c r="B34" s="423"/>
      <c r="C34" s="413" t="s">
        <v>304</v>
      </c>
      <c r="D34" s="413"/>
      <c r="E34" s="413"/>
      <c r="F34" s="51"/>
      <c r="G34" s="51"/>
    </row>
    <row r="35" spans="1:7" ht="21" hidden="1" customHeight="1" x14ac:dyDescent="0.25">
      <c r="A35" s="423"/>
      <c r="B35" s="423"/>
      <c r="C35" s="413" t="s">
        <v>414</v>
      </c>
      <c r="D35" s="413"/>
      <c r="E35" s="413"/>
      <c r="F35" s="51"/>
      <c r="G35" s="51"/>
    </row>
    <row r="36" spans="1:7" ht="21" hidden="1" customHeight="1" x14ac:dyDescent="0.25">
      <c r="A36" s="423"/>
      <c r="B36" s="423"/>
      <c r="C36" s="413" t="s">
        <v>305</v>
      </c>
      <c r="D36" s="413"/>
      <c r="E36" s="413"/>
      <c r="F36" s="51"/>
      <c r="G36" s="51"/>
    </row>
    <row r="37" spans="1:7" ht="21" hidden="1" customHeight="1" x14ac:dyDescent="0.25">
      <c r="A37" s="423"/>
      <c r="B37" s="423"/>
      <c r="C37" s="413" t="s">
        <v>415</v>
      </c>
      <c r="D37" s="413"/>
      <c r="E37" s="413"/>
      <c r="F37" s="51"/>
      <c r="G37" s="51"/>
    </row>
    <row r="38" spans="1:7" ht="21" hidden="1" customHeight="1" x14ac:dyDescent="0.25">
      <c r="A38" s="423"/>
      <c r="B38" s="423"/>
      <c r="C38" s="413" t="s">
        <v>416</v>
      </c>
      <c r="D38" s="413"/>
      <c r="E38" s="413"/>
      <c r="F38" s="51"/>
      <c r="G38" s="51"/>
    </row>
    <row r="39" spans="1:7" ht="21" hidden="1" customHeight="1" x14ac:dyDescent="0.25">
      <c r="A39" s="423"/>
      <c r="B39" s="423"/>
      <c r="C39" s="413" t="s">
        <v>311</v>
      </c>
      <c r="D39" s="413"/>
      <c r="E39" s="413"/>
      <c r="F39" s="51"/>
      <c r="G39" s="51"/>
    </row>
    <row r="40" spans="1:7" ht="21" hidden="1" customHeight="1" x14ac:dyDescent="0.25">
      <c r="A40" s="423"/>
      <c r="B40" s="423"/>
      <c r="C40" s="413" t="s">
        <v>312</v>
      </c>
      <c r="D40" s="413"/>
      <c r="E40" s="413"/>
      <c r="F40" s="51"/>
      <c r="G40" s="51"/>
    </row>
    <row r="41" spans="1:7" ht="21" hidden="1" customHeight="1" x14ac:dyDescent="0.25">
      <c r="A41" s="423"/>
      <c r="B41" s="423"/>
      <c r="C41" s="413" t="s">
        <v>313</v>
      </c>
      <c r="D41" s="413"/>
      <c r="E41" s="413"/>
      <c r="F41" s="51"/>
      <c r="G41" s="51"/>
    </row>
    <row r="42" spans="1:7" ht="21" hidden="1" customHeight="1" x14ac:dyDescent="0.25">
      <c r="A42" s="423"/>
      <c r="B42" s="423"/>
      <c r="C42" s="413" t="s">
        <v>472</v>
      </c>
      <c r="D42" s="413"/>
      <c r="E42" s="413"/>
      <c r="F42" s="51"/>
      <c r="G42" s="51"/>
    </row>
    <row r="43" spans="1:7" ht="21" hidden="1" customHeight="1" x14ac:dyDescent="0.25">
      <c r="A43" s="423"/>
      <c r="B43" s="423"/>
      <c r="C43" s="413" t="s">
        <v>346</v>
      </c>
      <c r="D43" s="413"/>
      <c r="E43" s="413"/>
      <c r="F43" s="51"/>
      <c r="G43" s="51"/>
    </row>
    <row r="44" spans="1:7" ht="21" hidden="1" customHeight="1" x14ac:dyDescent="0.25">
      <c r="A44" s="423"/>
      <c r="B44" s="423"/>
      <c r="C44" s="413" t="s">
        <v>338</v>
      </c>
      <c r="D44" s="413"/>
      <c r="E44" s="413"/>
      <c r="F44" s="51"/>
      <c r="G44" s="51"/>
    </row>
    <row r="45" spans="1:7" ht="21" hidden="1" customHeight="1" x14ac:dyDescent="0.25">
      <c r="A45" s="423"/>
      <c r="B45" s="423"/>
      <c r="C45" s="413" t="s">
        <v>339</v>
      </c>
      <c r="D45" s="413"/>
      <c r="E45" s="413"/>
      <c r="F45" s="51"/>
      <c r="G45" s="51"/>
    </row>
    <row r="46" spans="1:7" ht="21" hidden="1" customHeight="1" x14ac:dyDescent="0.25">
      <c r="A46" s="423"/>
      <c r="B46" s="423"/>
      <c r="C46" s="413" t="s">
        <v>340</v>
      </c>
      <c r="D46" s="413"/>
      <c r="E46" s="413"/>
      <c r="F46" s="51"/>
      <c r="G46" s="51"/>
    </row>
    <row r="47" spans="1:7" ht="21" hidden="1" customHeight="1" x14ac:dyDescent="0.25">
      <c r="A47" s="423"/>
      <c r="B47" s="423"/>
      <c r="C47" s="413" t="s">
        <v>341</v>
      </c>
      <c r="D47" s="413"/>
      <c r="E47" s="413"/>
      <c r="F47" s="51"/>
      <c r="G47" s="51"/>
    </row>
    <row r="48" spans="1:7" ht="21" customHeight="1" x14ac:dyDescent="0.25">
      <c r="A48" s="423"/>
      <c r="B48" s="423"/>
      <c r="C48" s="413" t="s">
        <v>474</v>
      </c>
      <c r="D48" s="413"/>
      <c r="E48" s="413"/>
      <c r="F48" s="51"/>
      <c r="G48" s="51"/>
    </row>
    <row r="49" spans="1:7" ht="21" customHeight="1" x14ac:dyDescent="0.25">
      <c r="A49" s="423"/>
      <c r="B49" s="423"/>
      <c r="C49" s="413" t="s">
        <v>342</v>
      </c>
      <c r="D49" s="413"/>
      <c r="E49" s="413"/>
      <c r="F49" s="51"/>
      <c r="G49" s="51"/>
    </row>
    <row r="50" spans="1:7" ht="21" hidden="1" customHeight="1" x14ac:dyDescent="0.25">
      <c r="A50" s="423"/>
      <c r="B50" s="423"/>
      <c r="C50" s="413" t="s">
        <v>354</v>
      </c>
      <c r="D50" s="413"/>
      <c r="E50" s="413"/>
      <c r="F50" s="51"/>
      <c r="G50" s="51"/>
    </row>
    <row r="51" spans="1:7" ht="21" hidden="1" customHeight="1" x14ac:dyDescent="0.25">
      <c r="A51" s="423"/>
      <c r="B51" s="423"/>
      <c r="C51" s="413" t="s">
        <v>353</v>
      </c>
      <c r="D51" s="413"/>
      <c r="E51" s="413"/>
      <c r="F51" s="51"/>
      <c r="G51" s="51"/>
    </row>
    <row r="52" spans="1:7" ht="21" customHeight="1" x14ac:dyDescent="0.25">
      <c r="A52" s="423"/>
      <c r="B52" s="423"/>
      <c r="C52" s="417" t="s">
        <v>82</v>
      </c>
      <c r="D52" s="417"/>
      <c r="E52" s="417"/>
      <c r="F52" s="51"/>
      <c r="G52" s="51"/>
    </row>
    <row r="53" spans="1:7" ht="21" hidden="1" customHeight="1" x14ac:dyDescent="0.25">
      <c r="A53" s="423"/>
      <c r="B53" s="423"/>
      <c r="C53" s="417" t="s">
        <v>417</v>
      </c>
      <c r="D53" s="417"/>
      <c r="E53" s="417"/>
      <c r="F53" s="51"/>
      <c r="G53" s="51"/>
    </row>
    <row r="54" spans="1:7" ht="21" hidden="1" customHeight="1" x14ac:dyDescent="0.25">
      <c r="A54" s="423"/>
      <c r="B54" s="423"/>
      <c r="C54" s="417" t="s">
        <v>418</v>
      </c>
      <c r="D54" s="417"/>
      <c r="E54" s="417"/>
      <c r="F54" s="51"/>
      <c r="G54" s="51"/>
    </row>
    <row r="55" spans="1:7" ht="21" customHeight="1" x14ac:dyDescent="0.25">
      <c r="A55" s="423"/>
      <c r="B55" s="423"/>
      <c r="C55" s="419" t="s">
        <v>420</v>
      </c>
      <c r="D55" s="417"/>
      <c r="E55" s="417"/>
      <c r="F55" s="51"/>
      <c r="G55" s="51"/>
    </row>
    <row r="56" spans="1:7" ht="21" customHeight="1" x14ac:dyDescent="0.25">
      <c r="A56" s="423"/>
      <c r="B56" s="423"/>
      <c r="C56" s="417" t="s">
        <v>419</v>
      </c>
      <c r="D56" s="417"/>
      <c r="E56" s="417"/>
      <c r="F56" s="51"/>
      <c r="G56" s="51"/>
    </row>
    <row r="57" spans="1:7" ht="21" hidden="1" customHeight="1" x14ac:dyDescent="0.25">
      <c r="A57" s="423"/>
      <c r="B57" s="423"/>
      <c r="C57" s="417" t="s">
        <v>319</v>
      </c>
      <c r="D57" s="417"/>
      <c r="E57" s="417"/>
      <c r="F57" s="51"/>
      <c r="G57" s="51"/>
    </row>
    <row r="58" spans="1:7" ht="21" hidden="1" customHeight="1" x14ac:dyDescent="0.25">
      <c r="A58" s="423"/>
      <c r="B58" s="423"/>
      <c r="C58" s="417" t="s">
        <v>347</v>
      </c>
      <c r="D58" s="417"/>
      <c r="E58" s="417"/>
      <c r="F58" s="51"/>
      <c r="G58" s="51"/>
    </row>
    <row r="59" spans="1:7" ht="21" customHeight="1" x14ac:dyDescent="0.25">
      <c r="A59" s="421" t="s">
        <v>422</v>
      </c>
      <c r="B59" s="423"/>
      <c r="D59" s="418"/>
      <c r="E59" s="418"/>
      <c r="F59" s="420"/>
      <c r="G59" s="420"/>
    </row>
    <row r="60" spans="1:7" ht="17.25" hidden="1" x14ac:dyDescent="0.25">
      <c r="A60" s="421" t="s">
        <v>423</v>
      </c>
      <c r="B60" s="409"/>
      <c r="D60" s="418"/>
      <c r="E60" s="418"/>
      <c r="F60" s="420"/>
      <c r="G60" s="420"/>
    </row>
    <row r="61" spans="1:7" hidden="1" x14ac:dyDescent="0.25">
      <c r="A61" s="25" t="s">
        <v>430</v>
      </c>
    </row>
    <row r="62" spans="1:7" x14ac:dyDescent="0.25">
      <c r="A62" s="53" t="s">
        <v>404</v>
      </c>
      <c r="G62" s="49"/>
    </row>
    <row r="63" spans="1:7" x14ac:dyDescent="0.25">
      <c r="G63" s="49"/>
    </row>
    <row r="64" spans="1:7" x14ac:dyDescent="0.25">
      <c r="G64" s="49"/>
    </row>
    <row r="65" spans="7:7" x14ac:dyDescent="0.25">
      <c r="G65" s="49"/>
    </row>
    <row r="66" spans="7:7" x14ac:dyDescent="0.25">
      <c r="G66" s="49"/>
    </row>
    <row r="67" spans="7:7" x14ac:dyDescent="0.25">
      <c r="G67" s="49"/>
    </row>
    <row r="68" spans="7:7" x14ac:dyDescent="0.25">
      <c r="G68" s="49"/>
    </row>
    <row r="69" spans="7:7" x14ac:dyDescent="0.25">
      <c r="G69" s="49"/>
    </row>
    <row r="70" spans="7:7" x14ac:dyDescent="0.25">
      <c r="G70" s="49"/>
    </row>
    <row r="71" spans="7:7" x14ac:dyDescent="0.25">
      <c r="G71" s="49"/>
    </row>
    <row r="72" spans="7:7" x14ac:dyDescent="0.25">
      <c r="G72" s="49"/>
    </row>
    <row r="73" spans="7:7" x14ac:dyDescent="0.25">
      <c r="G73" s="49"/>
    </row>
    <row r="74" spans="7:7" x14ac:dyDescent="0.25">
      <c r="G74" s="49"/>
    </row>
    <row r="75" spans="7:7" x14ac:dyDescent="0.25">
      <c r="G75" s="49"/>
    </row>
    <row r="76" spans="7:7" x14ac:dyDescent="0.25">
      <c r="G76" s="49"/>
    </row>
    <row r="77" spans="7:7" x14ac:dyDescent="0.25">
      <c r="G77" s="49"/>
    </row>
    <row r="78" spans="7:7" x14ac:dyDescent="0.25">
      <c r="G78" s="49"/>
    </row>
    <row r="79" spans="7:7" x14ac:dyDescent="0.25">
      <c r="G79" s="49"/>
    </row>
    <row r="80" spans="7: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sheetData>
  <sheetProtection algorithmName="SHA-512" hashValue="iPbf/IfqiNA9s6pvjPlk7pXK8X/9GUlod5WPs8+oAzotaVfZUmqQfxDONcHAEKE320OaFzll0iMLB0ON6kz0zg==" saltValue="uqspVk8V+XuJAJ8e78fIUQ==" spinCount="100000" sheet="1" objects="1" scenarios="1" formatColumns="0" formatRows="0" sort="0"/>
  <dataValidations count="1">
    <dataValidation type="list" allowBlank="1" showInputMessage="1" showErrorMessage="1" sqref="E6:E12">
      <formula1>"Y,N"</formula1>
    </dataValidation>
  </dataValidations>
  <printOptions horizontalCentered="1"/>
  <pageMargins left="0.45" right="0.45" top="0.5" bottom="0.5" header="0.3" footer="0.05"/>
  <pageSetup scale="77" orientation="portrait" r:id="rId1"/>
  <headerFooter>
    <oddFooter xml:space="preserve">&amp;L06/11/2021 Edition
&amp;CPrior Approval Rate Application
Portions of the material contained in this document are protected by copyright owned by the State Farm Mutual Automobile Insurance Company, 2022&amp;RPage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4" r:id="rId4" name="Check Box 2">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74755" r:id="rId5" name="Check Box 3">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74756" r:id="rId6" name="Check Box 4">
              <controlPr defaultSize="0" autoFill="0" autoLine="0" autoPict="0">
                <anchor moveWithCells="1">
                  <from>
                    <xdr:col>0</xdr:col>
                    <xdr:colOff>0</xdr:colOff>
                    <xdr:row>20</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74757" r:id="rId7" name="Check Box 5">
              <controlPr defaultSize="0" autoFill="0" autoLine="0" autoPict="0">
                <anchor moveWithCells="1">
                  <from>
                    <xdr:col>1</xdr:col>
                    <xdr:colOff>0</xdr:colOff>
                    <xdr:row>20</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74758" r:id="rId8" name="Check Box 6">
              <controlPr defaultSize="0" autoFill="0" autoLine="0" autoPict="0">
                <anchor moveWithCells="1">
                  <from>
                    <xdr:col>0</xdr:col>
                    <xdr:colOff>0</xdr:colOff>
                    <xdr:row>27</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74759" r:id="rId9" name="Check Box 7">
              <controlPr defaultSize="0" autoFill="0" autoLine="0" autoPict="0">
                <anchor moveWithCells="1">
                  <from>
                    <xdr:col>1</xdr:col>
                    <xdr:colOff>0</xdr:colOff>
                    <xdr:row>27</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74760" r:id="rId10" name="Check Box 8">
              <controlPr defaultSize="0" autoFill="0" autoLine="0" autoPict="0">
                <anchor moveWithCells="1">
                  <from>
                    <xdr:col>0</xdr:col>
                    <xdr:colOff>0</xdr:colOff>
                    <xdr:row>30</xdr:row>
                    <xdr:rowOff>0</xdr:rowOff>
                  </from>
                  <to>
                    <xdr:col>0</xdr:col>
                    <xdr:colOff>295275</xdr:colOff>
                    <xdr:row>47</xdr:row>
                    <xdr:rowOff>19050</xdr:rowOff>
                  </to>
                </anchor>
              </controlPr>
            </control>
          </mc:Choice>
        </mc:AlternateContent>
        <mc:AlternateContent xmlns:mc="http://schemas.openxmlformats.org/markup-compatibility/2006">
          <mc:Choice Requires="x14">
            <control shapeId="74761" r:id="rId11" name="Check Box 9">
              <controlPr defaultSize="0" autoFill="0" autoLine="0" autoPict="0">
                <anchor moveWithCells="1">
                  <from>
                    <xdr:col>0</xdr:col>
                    <xdr:colOff>0</xdr:colOff>
                    <xdr:row>47</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74762" r:id="rId12" name="Check Box 10">
              <controlPr defaultSize="0" autoFill="0" autoLine="0" autoPict="0">
                <anchor moveWithCells="1">
                  <from>
                    <xdr:col>0</xdr:col>
                    <xdr:colOff>0</xdr:colOff>
                    <xdr:row>48</xdr:row>
                    <xdr:rowOff>0</xdr:rowOff>
                  </from>
                  <to>
                    <xdr:col>0</xdr:col>
                    <xdr:colOff>295275</xdr:colOff>
                    <xdr:row>51</xdr:row>
                    <xdr:rowOff>19050</xdr:rowOff>
                  </to>
                </anchor>
              </controlPr>
            </control>
          </mc:Choice>
        </mc:AlternateContent>
        <mc:AlternateContent xmlns:mc="http://schemas.openxmlformats.org/markup-compatibility/2006">
          <mc:Choice Requires="x14">
            <control shapeId="74763" r:id="rId13" name="Check Box 11">
              <controlPr defaultSize="0" autoFill="0" autoLine="0" autoPict="0">
                <anchor moveWithCells="1">
                  <from>
                    <xdr:col>1</xdr:col>
                    <xdr:colOff>0</xdr:colOff>
                    <xdr:row>48</xdr:row>
                    <xdr:rowOff>0</xdr:rowOff>
                  </from>
                  <to>
                    <xdr:col>1</xdr:col>
                    <xdr:colOff>295275</xdr:colOff>
                    <xdr:row>51</xdr:row>
                    <xdr:rowOff>19050</xdr:rowOff>
                  </to>
                </anchor>
              </controlPr>
            </control>
          </mc:Choice>
        </mc:AlternateContent>
        <mc:AlternateContent xmlns:mc="http://schemas.openxmlformats.org/markup-compatibility/2006">
          <mc:Choice Requires="x14">
            <control shapeId="74764" r:id="rId14" name="Check Box 12">
              <controlPr defaultSize="0" autoFill="0" autoLine="0" autoPict="0">
                <anchor moveWithCells="1">
                  <from>
                    <xdr:col>0</xdr:col>
                    <xdr:colOff>0</xdr:colOff>
                    <xdr:row>51</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74765" r:id="rId15" name="Check Box 13">
              <controlPr defaultSize="0" autoFill="0" autoLine="0" autoPict="0">
                <anchor moveWithCells="1">
                  <from>
                    <xdr:col>0</xdr:col>
                    <xdr:colOff>0</xdr:colOff>
                    <xdr:row>54</xdr:row>
                    <xdr:rowOff>0</xdr:rowOff>
                  </from>
                  <to>
                    <xdr:col>0</xdr:col>
                    <xdr:colOff>295275</xdr:colOff>
                    <xdr:row>55</xdr:row>
                    <xdr:rowOff>19050</xdr:rowOff>
                  </to>
                </anchor>
              </controlPr>
            </control>
          </mc:Choice>
        </mc:AlternateContent>
        <mc:AlternateContent xmlns:mc="http://schemas.openxmlformats.org/markup-compatibility/2006">
          <mc:Choice Requires="x14">
            <control shapeId="74766" r:id="rId16" name="Check Box 14">
              <controlPr defaultSize="0" autoFill="0" autoLine="0" autoPict="0">
                <anchor moveWithCells="1">
                  <from>
                    <xdr:col>0</xdr:col>
                    <xdr:colOff>0</xdr:colOff>
                    <xdr:row>55</xdr:row>
                    <xdr:rowOff>0</xdr:rowOff>
                  </from>
                  <to>
                    <xdr:col>0</xdr:col>
                    <xdr:colOff>295275</xdr:colOff>
                    <xdr:row>58</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pageSetUpPr fitToPage="1"/>
  </sheetPr>
  <dimension ref="A1:G36"/>
  <sheetViews>
    <sheetView showGridLines="0" view="pageBreakPreview" zoomScaleNormal="100" zoomScaleSheetLayoutView="100" workbookViewId="0">
      <selection activeCell="D62" sqref="D62"/>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75" customWidth="1"/>
  </cols>
  <sheetData>
    <row r="1" spans="1:7" x14ac:dyDescent="0.25">
      <c r="A1" s="21" t="s">
        <v>71</v>
      </c>
      <c r="D1" s="37" t="s">
        <v>73</v>
      </c>
      <c r="F1" s="36" t="str">
        <f>Co_Name</f>
        <v>State Farm General Insurance Company</v>
      </c>
    </row>
    <row r="2" spans="1:7" x14ac:dyDescent="0.25">
      <c r="A2" s="21" t="s">
        <v>72</v>
      </c>
      <c r="D2" s="37" t="s">
        <v>74</v>
      </c>
      <c r="F2" s="36" t="str">
        <f>General_Line</f>
        <v>Homeowners</v>
      </c>
    </row>
    <row r="3" spans="1:7" x14ac:dyDescent="0.25">
      <c r="B3" s="194"/>
    </row>
    <row r="4" spans="1:7" ht="23.25" x14ac:dyDescent="0.25">
      <c r="A4" s="5" t="s">
        <v>300</v>
      </c>
      <c r="B4" s="3"/>
      <c r="C4" s="3"/>
      <c r="D4" s="3"/>
      <c r="E4" s="3"/>
      <c r="F4" s="3"/>
    </row>
    <row r="6" spans="1:7" ht="15.75" x14ac:dyDescent="0.25">
      <c r="B6" s="56" t="s">
        <v>77</v>
      </c>
      <c r="C6" s="27"/>
      <c r="D6" s="355" t="e">
        <f>$D$22</f>
        <v>#DIV/0!</v>
      </c>
    </row>
    <row r="7" spans="1:7" ht="4.5" customHeight="1" x14ac:dyDescent="0.25"/>
    <row r="8" spans="1:7" s="49" customFormat="1" ht="18" customHeight="1" x14ac:dyDescent="0.25">
      <c r="A8" s="55"/>
      <c r="B8" s="56" t="s">
        <v>76</v>
      </c>
      <c r="C8" s="27"/>
      <c r="D8" s="357"/>
      <c r="G8" s="376" t="str">
        <f>IF(ISBLANK(D8),"←ERROR! Enter the Proposed Earned Premium Per Exposure.","")</f>
        <v>←ERROR! Enter the Proposed Earned Premium Per Exposure.</v>
      </c>
    </row>
    <row r="9" spans="1:7" ht="18" customHeight="1" x14ac:dyDescent="0.25">
      <c r="A9" s="55"/>
      <c r="B9" s="56" t="s">
        <v>237</v>
      </c>
      <c r="C9" s="27"/>
      <c r="D9" s="303"/>
      <c r="G9" s="243" t="str">
        <f>IF(ISBLANK(D9),"←ERROR! Enter the Proposed Effective Date.","")</f>
        <v>←ERROR! Enter the Proposed Effective Date.</v>
      </c>
    </row>
    <row r="10" spans="1:7" ht="15.75" thickBot="1" x14ac:dyDescent="0.3">
      <c r="A10" s="54"/>
    </row>
    <row r="11" spans="1:7" ht="33" thickBot="1" x14ac:dyDescent="0.3">
      <c r="A11" s="59"/>
      <c r="B11" s="60" t="s">
        <v>129</v>
      </c>
      <c r="C11" s="60" t="s">
        <v>78</v>
      </c>
      <c r="D11" s="60" t="s">
        <v>375</v>
      </c>
      <c r="E11" s="60" t="s">
        <v>376</v>
      </c>
      <c r="F11" s="61" t="s">
        <v>377</v>
      </c>
    </row>
    <row r="12" spans="1:7" ht="30" customHeight="1" x14ac:dyDescent="0.25">
      <c r="A12" s="62">
        <v>-1</v>
      </c>
      <c r="B12" s="304"/>
      <c r="C12" s="305"/>
      <c r="D12" s="305"/>
      <c r="E12" s="306"/>
      <c r="F12" s="75">
        <f>E12*(1+D12)</f>
        <v>0</v>
      </c>
      <c r="G12" s="243" t="str">
        <f>IF(AND(COUNTA(B12:E12)&gt;=1,COUNTA(B12:E12)&lt;=3),"←ERROR! Fill out each cell in this row.","")</f>
        <v/>
      </c>
    </row>
    <row r="13" spans="1:7" ht="30" customHeight="1" x14ac:dyDescent="0.25">
      <c r="A13" s="63">
        <v>-2</v>
      </c>
      <c r="B13" s="307"/>
      <c r="C13" s="308"/>
      <c r="D13" s="308"/>
      <c r="E13" s="309"/>
      <c r="F13" s="76">
        <f t="shared" ref="F13:F21" si="0">E13*(1+D13)</f>
        <v>0</v>
      </c>
      <c r="G13" s="243" t="str">
        <f t="shared" ref="G13:G21" si="1">IF(AND(COUNTA(B13:E13)&gt;=1,COUNTA(B13:E13)&lt;=3),"←ERROR! Fill out each cell in this row.","")</f>
        <v/>
      </c>
    </row>
    <row r="14" spans="1:7" ht="30" customHeight="1" x14ac:dyDescent="0.25">
      <c r="A14" s="63">
        <v>-3</v>
      </c>
      <c r="B14" s="307"/>
      <c r="C14" s="308"/>
      <c r="D14" s="308"/>
      <c r="E14" s="309"/>
      <c r="F14" s="76">
        <f t="shared" si="0"/>
        <v>0</v>
      </c>
      <c r="G14" s="243" t="str">
        <f t="shared" si="1"/>
        <v/>
      </c>
    </row>
    <row r="15" spans="1:7" ht="30" customHeight="1" x14ac:dyDescent="0.25">
      <c r="A15" s="63">
        <v>-4</v>
      </c>
      <c r="B15" s="307"/>
      <c r="C15" s="308"/>
      <c r="D15" s="308"/>
      <c r="E15" s="309"/>
      <c r="F15" s="76">
        <f t="shared" si="0"/>
        <v>0</v>
      </c>
      <c r="G15" s="243" t="str">
        <f t="shared" si="1"/>
        <v/>
      </c>
    </row>
    <row r="16" spans="1:7" ht="30" customHeight="1" x14ac:dyDescent="0.25">
      <c r="A16" s="63">
        <v>-5</v>
      </c>
      <c r="B16" s="307"/>
      <c r="C16" s="308"/>
      <c r="D16" s="308"/>
      <c r="E16" s="309"/>
      <c r="F16" s="76">
        <f t="shared" si="0"/>
        <v>0</v>
      </c>
      <c r="G16" s="243" t="str">
        <f t="shared" si="1"/>
        <v/>
      </c>
    </row>
    <row r="17" spans="1:7" ht="30" customHeight="1" x14ac:dyDescent="0.25">
      <c r="A17" s="63">
        <v>-6</v>
      </c>
      <c r="B17" s="307"/>
      <c r="C17" s="308"/>
      <c r="D17" s="308"/>
      <c r="E17" s="309"/>
      <c r="F17" s="76">
        <f t="shared" si="0"/>
        <v>0</v>
      </c>
      <c r="G17" s="243" t="str">
        <f t="shared" si="1"/>
        <v/>
      </c>
    </row>
    <row r="18" spans="1:7" ht="30" customHeight="1" x14ac:dyDescent="0.25">
      <c r="A18" s="63">
        <v>-7</v>
      </c>
      <c r="B18" s="307"/>
      <c r="C18" s="308"/>
      <c r="D18" s="308"/>
      <c r="E18" s="309"/>
      <c r="F18" s="76">
        <f t="shared" si="0"/>
        <v>0</v>
      </c>
      <c r="G18" s="243" t="str">
        <f t="shared" si="1"/>
        <v/>
      </c>
    </row>
    <row r="19" spans="1:7" ht="30" customHeight="1" x14ac:dyDescent="0.25">
      <c r="A19" s="63">
        <v>-8</v>
      </c>
      <c r="B19" s="307"/>
      <c r="C19" s="308"/>
      <c r="D19" s="308"/>
      <c r="E19" s="309"/>
      <c r="F19" s="76">
        <f t="shared" si="0"/>
        <v>0</v>
      </c>
      <c r="G19" s="243" t="str">
        <f t="shared" si="1"/>
        <v/>
      </c>
    </row>
    <row r="20" spans="1:7" ht="30" customHeight="1" x14ac:dyDescent="0.25">
      <c r="A20" s="63">
        <v>-9</v>
      </c>
      <c r="B20" s="307"/>
      <c r="C20" s="308"/>
      <c r="D20" s="308"/>
      <c r="E20" s="309"/>
      <c r="F20" s="76">
        <f t="shared" si="0"/>
        <v>0</v>
      </c>
      <c r="G20" s="243" t="str">
        <f t="shared" si="1"/>
        <v/>
      </c>
    </row>
    <row r="21" spans="1:7" ht="30" customHeight="1" x14ac:dyDescent="0.25">
      <c r="A21" s="63">
        <v>-10</v>
      </c>
      <c r="B21" s="310"/>
      <c r="C21" s="311"/>
      <c r="D21" s="311"/>
      <c r="E21" s="312"/>
      <c r="F21" s="76">
        <f t="shared" si="0"/>
        <v>0</v>
      </c>
      <c r="G21" s="243" t="str">
        <f t="shared" si="1"/>
        <v/>
      </c>
    </row>
    <row r="22" spans="1:7" ht="30" customHeight="1" thickBot="1" x14ac:dyDescent="0.3">
      <c r="A22" s="78" t="s">
        <v>79</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394</v>
      </c>
      <c r="D24" s="58"/>
    </row>
    <row r="25" spans="1:7" x14ac:dyDescent="0.25">
      <c r="A25" t="s">
        <v>395</v>
      </c>
      <c r="D25" s="58"/>
    </row>
    <row r="26" spans="1:7" ht="18" customHeight="1" x14ac:dyDescent="0.25">
      <c r="A26" s="50" t="s">
        <v>386</v>
      </c>
    </row>
    <row r="27" spans="1:7" ht="18" customHeight="1" x14ac:dyDescent="0.25">
      <c r="A27" s="359" t="s">
        <v>349</v>
      </c>
    </row>
    <row r="28" spans="1:7" ht="5.0999999999999996" customHeight="1" x14ac:dyDescent="0.25">
      <c r="A28" s="2"/>
    </row>
    <row r="29" spans="1:7" ht="18" customHeight="1" x14ac:dyDescent="0.25">
      <c r="A29" t="s">
        <v>383</v>
      </c>
    </row>
    <row r="30" spans="1:7" ht="18" customHeight="1" x14ac:dyDescent="0.25">
      <c r="A30" s="359" t="s">
        <v>381</v>
      </c>
    </row>
    <row r="31" spans="1:7" ht="18" customHeight="1" x14ac:dyDescent="0.25">
      <c r="A31" s="359" t="s">
        <v>380</v>
      </c>
    </row>
    <row r="32" spans="1:7" ht="5.0999999999999996" customHeight="1" x14ac:dyDescent="0.25">
      <c r="A32" s="359"/>
    </row>
    <row r="33" spans="1:1" ht="17.25" x14ac:dyDescent="0.25">
      <c r="A33" t="s">
        <v>384</v>
      </c>
    </row>
    <row r="34" spans="1:1" ht="18" customHeight="1" x14ac:dyDescent="0.25">
      <c r="A34" s="359" t="s">
        <v>382</v>
      </c>
    </row>
    <row r="35" spans="1:1" ht="5.0999999999999996" customHeight="1" x14ac:dyDescent="0.25">
      <c r="A35" s="2"/>
    </row>
    <row r="36" spans="1:1" ht="17.25" x14ac:dyDescent="0.25">
      <c r="A36" t="s">
        <v>385</v>
      </c>
    </row>
  </sheetData>
  <sheetProtection algorithmName="SHA-512" hashValue="Dm38DL4Ji0JhtBHg6NIcQG3DOPLm0LVasES51lwi49Nh56AY+8AzUtaPRmVVGmPiYz0WAAHR9cYgGLTNkfdvyA==" saltValue="KxN7Miw7FU5W3Q7c79P2JQ==" spinCount="100000" sheet="1" objects="1" scenarios="1" formatColumns="0" formatRows="0" sort="0"/>
  <printOptions horizontalCentered="1"/>
  <pageMargins left="0.45" right="0.45" top="0.5" bottom="0.5" header="0.3" footer="0.05"/>
  <pageSetup scale="79" orientation="portrait" r:id="rId1"/>
  <headerFooter>
    <oddFooter xml:space="preserve">&amp;L06/11/2021 Edition
&amp;CPrior Approval Rate Application
Portions of the material contained in this document are protected by copyright owned by the State Farm Mutual Automobile Insurance Company, 2022&amp;RPage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pageSetUpPr fitToPage="1"/>
  </sheetPr>
  <dimension ref="A1:J29"/>
  <sheetViews>
    <sheetView showGridLines="0" view="pageBreakPreview" zoomScaleNormal="100" zoomScaleSheetLayoutView="100" workbookViewId="0">
      <selection activeCell="D62" sqref="D62"/>
    </sheetView>
  </sheetViews>
  <sheetFormatPr defaultRowHeight="15" x14ac:dyDescent="0.25"/>
  <cols>
    <col min="1" max="1" width="25.85546875" customWidth="1"/>
    <col min="2" max="2" width="39" customWidth="1"/>
    <col min="3" max="3" width="12.7109375" customWidth="1"/>
    <col min="4" max="6" width="15.7109375" customWidth="1"/>
    <col min="7" max="7" width="47" style="375" customWidth="1"/>
  </cols>
  <sheetData>
    <row r="1" spans="1:10" x14ac:dyDescent="0.25">
      <c r="A1" s="21" t="s">
        <v>71</v>
      </c>
      <c r="C1" s="37" t="s">
        <v>73</v>
      </c>
      <c r="F1" s="36" t="str">
        <f>Co_Name</f>
        <v>State Farm General Insurance Company</v>
      </c>
    </row>
    <row r="2" spans="1:10" x14ac:dyDescent="0.25">
      <c r="A2" s="21" t="s">
        <v>72</v>
      </c>
      <c r="C2" s="37" t="s">
        <v>74</v>
      </c>
      <c r="F2" s="36" t="str">
        <f>General_Line</f>
        <v>Homeowners</v>
      </c>
    </row>
    <row r="3" spans="1:10" x14ac:dyDescent="0.25">
      <c r="B3" s="194"/>
    </row>
    <row r="4" spans="1:10" ht="23.25" x14ac:dyDescent="0.25">
      <c r="A4" s="5" t="s">
        <v>310</v>
      </c>
      <c r="B4" s="5"/>
      <c r="C4" s="5"/>
      <c r="D4" s="5"/>
      <c r="E4" s="5"/>
      <c r="F4" s="5"/>
    </row>
    <row r="5" spans="1:10" ht="18.75" x14ac:dyDescent="0.3">
      <c r="A5" s="83" t="s">
        <v>121</v>
      </c>
      <c r="B5" s="83"/>
      <c r="C5" s="83"/>
      <c r="D5" s="83"/>
      <c r="E5" s="83"/>
      <c r="F5" s="83"/>
    </row>
    <row r="6" spans="1:10" ht="15.75" thickBot="1" x14ac:dyDescent="0.3"/>
    <row r="7" spans="1:10" ht="33" thickBot="1" x14ac:dyDescent="0.3">
      <c r="A7" s="72"/>
      <c r="B7" s="60" t="s">
        <v>129</v>
      </c>
      <c r="C7" s="60" t="s">
        <v>130</v>
      </c>
      <c r="D7" s="60" t="s">
        <v>125</v>
      </c>
      <c r="E7" s="60" t="s">
        <v>124</v>
      </c>
      <c r="F7" s="61" t="s">
        <v>123</v>
      </c>
    </row>
    <row r="8" spans="1:10" ht="18" customHeight="1" thickBot="1" x14ac:dyDescent="0.3">
      <c r="A8" s="187"/>
      <c r="B8" s="188"/>
      <c r="C8" s="188"/>
      <c r="D8" s="290" t="e">
        <f>E8-1</f>
        <v>#VALUE!</v>
      </c>
      <c r="E8" s="290" t="e">
        <f>F8-1</f>
        <v>#VALUE!</v>
      </c>
      <c r="F8" s="289" t="s">
        <v>175</v>
      </c>
    </row>
    <row r="9" spans="1:10" ht="30" customHeight="1" x14ac:dyDescent="0.25">
      <c r="A9" s="62">
        <v>-1</v>
      </c>
      <c r="B9" s="313"/>
      <c r="C9" s="314"/>
      <c r="D9" s="315"/>
      <c r="E9" s="315"/>
      <c r="F9" s="316"/>
      <c r="J9" s="373"/>
    </row>
    <row r="10" spans="1:10" ht="30" customHeight="1" x14ac:dyDescent="0.25">
      <c r="A10" s="63">
        <v>-2</v>
      </c>
      <c r="B10" s="317"/>
      <c r="C10" s="318"/>
      <c r="D10" s="319"/>
      <c r="E10" s="319"/>
      <c r="F10" s="320"/>
    </row>
    <row r="11" spans="1:10" ht="30" customHeight="1" x14ac:dyDescent="0.25">
      <c r="A11" s="63">
        <v>-3</v>
      </c>
      <c r="B11" s="317"/>
      <c r="C11" s="318"/>
      <c r="D11" s="319"/>
      <c r="E11" s="319"/>
      <c r="F11" s="320"/>
    </row>
    <row r="12" spans="1:10" ht="30" customHeight="1" x14ac:dyDescent="0.25">
      <c r="A12" s="63">
        <v>-4</v>
      </c>
      <c r="B12" s="317"/>
      <c r="C12" s="318"/>
      <c r="D12" s="319"/>
      <c r="E12" s="319"/>
      <c r="F12" s="320"/>
    </row>
    <row r="13" spans="1:10" ht="30" customHeight="1" x14ac:dyDescent="0.25">
      <c r="A13" s="63">
        <v>-5</v>
      </c>
      <c r="B13" s="317"/>
      <c r="C13" s="318"/>
      <c r="D13" s="319"/>
      <c r="E13" s="319"/>
      <c r="F13" s="320"/>
    </row>
    <row r="14" spans="1:10" ht="30" customHeight="1" x14ac:dyDescent="0.25">
      <c r="A14" s="63">
        <v>-6</v>
      </c>
      <c r="B14" s="317"/>
      <c r="C14" s="318"/>
      <c r="D14" s="319"/>
      <c r="E14" s="319"/>
      <c r="F14" s="320"/>
    </row>
    <row r="15" spans="1:10" ht="30" customHeight="1" x14ac:dyDescent="0.25">
      <c r="A15" s="63">
        <v>-7</v>
      </c>
      <c r="B15" s="317"/>
      <c r="C15" s="318"/>
      <c r="D15" s="319"/>
      <c r="E15" s="319"/>
      <c r="F15" s="320"/>
    </row>
    <row r="16" spans="1:10" ht="30" customHeight="1" x14ac:dyDescent="0.25">
      <c r="A16" s="63">
        <v>-8</v>
      </c>
      <c r="B16" s="317"/>
      <c r="C16" s="318"/>
      <c r="D16" s="319"/>
      <c r="E16" s="319"/>
      <c r="F16" s="320"/>
    </row>
    <row r="17" spans="1:7" ht="30" customHeight="1" x14ac:dyDescent="0.25">
      <c r="A17" s="63">
        <v>-9</v>
      </c>
      <c r="B17" s="317"/>
      <c r="C17" s="318"/>
      <c r="D17" s="319"/>
      <c r="E17" s="319"/>
      <c r="F17" s="320"/>
    </row>
    <row r="18" spans="1:7" ht="30" customHeight="1" x14ac:dyDescent="0.25">
      <c r="A18" s="63">
        <v>-10</v>
      </c>
      <c r="B18" s="321"/>
      <c r="C18" s="322"/>
      <c r="D18" s="323"/>
      <c r="E18" s="323"/>
      <c r="F18" s="324"/>
    </row>
    <row r="19" spans="1:7" ht="30" customHeight="1" thickBot="1" x14ac:dyDescent="0.3">
      <c r="A19" s="78" t="s">
        <v>79</v>
      </c>
      <c r="B19" s="73"/>
      <c r="C19" s="74"/>
      <c r="D19" s="81">
        <f>SUM(D$9:D$18)</f>
        <v>0</v>
      </c>
      <c r="E19" s="81">
        <f>SUM(E$9:E$18)</f>
        <v>0</v>
      </c>
      <c r="F19" s="82">
        <f>SUM(F$9:F$18)</f>
        <v>0</v>
      </c>
    </row>
    <row r="20" spans="1:7" ht="24.95" customHeight="1" x14ac:dyDescent="0.25">
      <c r="A20" s="269" t="s">
        <v>126</v>
      </c>
      <c r="B20" s="270"/>
      <c r="C20" s="271"/>
      <c r="D20" s="325"/>
      <c r="E20" s="326"/>
      <c r="F20" s="327"/>
      <c r="G20" s="376" t="str">
        <f>IF(COUNTA(D20:F20)&lt;3,"←ERROR! Enter Statutory Page 14 Data."," ")</f>
        <v>←ERROR! Enter Statutory Page 14 Data.</v>
      </c>
    </row>
    <row r="21" spans="1:7" ht="24.95" customHeight="1" thickBot="1" x14ac:dyDescent="0.3">
      <c r="A21" s="272" t="s">
        <v>127</v>
      </c>
      <c r="B21" s="273"/>
      <c r="C21" s="274"/>
      <c r="D21" s="275">
        <f>D19-D20</f>
        <v>0</v>
      </c>
      <c r="E21" s="275">
        <f t="shared" ref="E21:F21" si="0">E19-E20</f>
        <v>0</v>
      </c>
      <c r="F21" s="292">
        <f t="shared" si="0"/>
        <v>0</v>
      </c>
    </row>
    <row r="23" spans="1:7" ht="15.75" thickBot="1" x14ac:dyDescent="0.3">
      <c r="A23" t="s">
        <v>128</v>
      </c>
    </row>
    <row r="24" spans="1:7" ht="136.5" customHeight="1" thickBot="1" x14ac:dyDescent="0.3">
      <c r="A24" s="505"/>
      <c r="B24" s="506"/>
      <c r="C24" s="506"/>
      <c r="D24" s="506"/>
      <c r="E24" s="506"/>
      <c r="F24" s="507"/>
      <c r="G24" s="376" t="str">
        <f>IF(AND(ISBLANK(A24),OR(ROUND(D21,0)&lt;&gt;0,ROUND(E21,0)&lt;&gt;0,ROUND(F21,0)&lt;&gt;0)),"← WARNING! Explain any differences.","")</f>
        <v/>
      </c>
    </row>
    <row r="25" spans="1:7" ht="5.0999999999999996" customHeight="1" x14ac:dyDescent="0.25"/>
    <row r="26" spans="1:7" ht="17.25" x14ac:dyDescent="0.25">
      <c r="A26" s="372" t="s">
        <v>379</v>
      </c>
    </row>
    <row r="27" spans="1:7" x14ac:dyDescent="0.25">
      <c r="A27" s="372" t="s">
        <v>397</v>
      </c>
    </row>
    <row r="28" spans="1:7" x14ac:dyDescent="0.25">
      <c r="A28" s="372" t="s">
        <v>398</v>
      </c>
    </row>
    <row r="29" spans="1:7" ht="17.25" x14ac:dyDescent="0.25">
      <c r="A29" t="s">
        <v>131</v>
      </c>
    </row>
  </sheetData>
  <sheetProtection algorithmName="SHA-512" hashValue="oqB3+Rz2LeMk3UBBjXezESkFdQH6pzD3CK7J4BDKgwj58NXdBH0MG1UowD8v47zgdumEaukSTqbjswGywAhYZw==" saltValue="dlVi4fERKnQRIiiQI8ZjiA=="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&amp;L06/11/2021 Edition
&amp;CPrior Approval Rate Application
Portions of the material contained in this document are protected by copyright owned by the State Farm Mutual Automobile Insurance Company, 2022&amp;RPage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00FF"/>
  </sheetPr>
  <dimension ref="A1:J232"/>
  <sheetViews>
    <sheetView showGridLines="0" view="pageBreakPreview" zoomScaleNormal="100" zoomScaleSheetLayoutView="100" workbookViewId="0">
      <selection activeCell="D62" sqref="D62"/>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71</v>
      </c>
      <c r="G1" s="37" t="s">
        <v>73</v>
      </c>
      <c r="J1" s="36" t="str">
        <f>Co_Name</f>
        <v>State Farm General Insurance Company</v>
      </c>
    </row>
    <row r="2" spans="1:10" x14ac:dyDescent="0.25">
      <c r="A2" s="21" t="s">
        <v>72</v>
      </c>
      <c r="G2" s="37" t="s">
        <v>74</v>
      </c>
      <c r="J2" s="36" t="str">
        <f>General_Line</f>
        <v>Homeowners</v>
      </c>
    </row>
    <row r="3" spans="1:10" x14ac:dyDescent="0.25">
      <c r="B3" s="266"/>
    </row>
    <row r="4" spans="1:10" ht="24" thickBot="1" x14ac:dyDescent="0.4">
      <c r="B4" s="337" t="str">
        <f>CONCATENATE("ANNUAL STATEMENT LINE - ", J2,)</f>
        <v>ANNUAL STATEMENT LINE - Homeowners</v>
      </c>
      <c r="C4" s="235"/>
      <c r="D4" s="235"/>
      <c r="E4" s="235"/>
      <c r="F4" s="235"/>
      <c r="G4" s="235"/>
      <c r="H4" s="235"/>
      <c r="I4" s="235"/>
      <c r="J4" s="235"/>
    </row>
    <row r="5" spans="1:10" ht="30.75" thickBot="1" x14ac:dyDescent="0.3">
      <c r="B5" s="236" t="s">
        <v>113</v>
      </c>
      <c r="C5" s="236" t="s">
        <v>272</v>
      </c>
      <c r="D5" s="236" t="s">
        <v>273</v>
      </c>
      <c r="E5" s="236" t="s">
        <v>119</v>
      </c>
      <c r="F5" s="236" t="s">
        <v>274</v>
      </c>
      <c r="G5" s="236" t="s">
        <v>120</v>
      </c>
      <c r="H5" s="236" t="s">
        <v>275</v>
      </c>
      <c r="I5" s="236" t="s">
        <v>276</v>
      </c>
      <c r="J5" s="236" t="s">
        <v>277</v>
      </c>
    </row>
    <row r="6" spans="1:10" x14ac:dyDescent="0.25">
      <c r="A6" s="237" t="s">
        <v>228</v>
      </c>
      <c r="B6" s="295" t="s">
        <v>175</v>
      </c>
      <c r="C6" s="347">
        <v>0</v>
      </c>
      <c r="D6" s="338">
        <v>0</v>
      </c>
      <c r="E6" s="339">
        <v>0</v>
      </c>
      <c r="F6" s="246" t="e">
        <f>E6/$D6</f>
        <v>#DIV/0!</v>
      </c>
      <c r="G6" s="344">
        <v>0</v>
      </c>
      <c r="H6" s="246" t="e">
        <f>G6/$D6</f>
        <v>#DIV/0!</v>
      </c>
      <c r="I6" s="245">
        <f>E6+G6</f>
        <v>0</v>
      </c>
      <c r="J6" s="246" t="e">
        <f>I6/$D6</f>
        <v>#DIV/0!</v>
      </c>
    </row>
    <row r="7" spans="1:10" x14ac:dyDescent="0.25">
      <c r="A7" s="237" t="s">
        <v>229</v>
      </c>
      <c r="B7" s="296" t="e">
        <f>B6-1</f>
        <v>#VALUE!</v>
      </c>
      <c r="C7" s="348">
        <v>0</v>
      </c>
      <c r="D7" s="340">
        <v>0</v>
      </c>
      <c r="E7" s="341">
        <v>0</v>
      </c>
      <c r="F7" s="246" t="e">
        <f>E7/$D7</f>
        <v>#DIV/0!</v>
      </c>
      <c r="G7" s="345">
        <v>0</v>
      </c>
      <c r="H7" s="246" t="e">
        <f>G7/$D7</f>
        <v>#DIV/0!</v>
      </c>
      <c r="I7" s="245">
        <f>E7+G7</f>
        <v>0</v>
      </c>
      <c r="J7" s="246" t="e">
        <f>I7/$D7</f>
        <v>#DIV/0!</v>
      </c>
    </row>
    <row r="8" spans="1:10" x14ac:dyDescent="0.25">
      <c r="A8" s="237" t="s">
        <v>231</v>
      </c>
      <c r="B8" s="297" t="e">
        <f>B7-1</f>
        <v>#VALUE!</v>
      </c>
      <c r="C8" s="349">
        <v>0</v>
      </c>
      <c r="D8" s="342">
        <v>0</v>
      </c>
      <c r="E8" s="343">
        <v>0</v>
      </c>
      <c r="F8" s="247" t="e">
        <f>E8/$D8</f>
        <v>#DIV/0!</v>
      </c>
      <c r="G8" s="346">
        <v>0</v>
      </c>
      <c r="H8" s="247" t="e">
        <f>G8/$D8</f>
        <v>#DIV/0!</v>
      </c>
      <c r="I8" s="254">
        <f>E8+G8</f>
        <v>0</v>
      </c>
      <c r="J8" s="247" t="e">
        <f>I8/$D8</f>
        <v>#DIV/0!</v>
      </c>
    </row>
    <row r="9" spans="1:10" x14ac:dyDescent="0.25">
      <c r="A9" s="237" t="s">
        <v>230</v>
      </c>
      <c r="B9" s="298" t="s">
        <v>278</v>
      </c>
      <c r="C9" s="245">
        <f>AVERAGE(C6:C8)</f>
        <v>0</v>
      </c>
      <c r="D9" s="245">
        <f>AVERAGE(D6:D8)</f>
        <v>0</v>
      </c>
      <c r="E9" s="245">
        <f>AVERAGE(E6:E8)</f>
        <v>0</v>
      </c>
      <c r="F9" s="246" t="e">
        <f>E9/$D9</f>
        <v>#DIV/0!</v>
      </c>
      <c r="G9" s="245">
        <f>AVERAGE(G6:G8)</f>
        <v>0</v>
      </c>
      <c r="H9" s="246" t="e">
        <f>G9/$D9</f>
        <v>#DIV/0!</v>
      </c>
      <c r="I9" s="245">
        <f>AVERAGE(I6:I8)</f>
        <v>0</v>
      </c>
      <c r="J9" s="246" t="e">
        <f>I9/$D9</f>
        <v>#DIV/0!</v>
      </c>
    </row>
    <row r="10" spans="1:10" ht="5.0999999999999996" customHeight="1" x14ac:dyDescent="0.25">
      <c r="A10" s="237"/>
      <c r="B10" s="4"/>
      <c r="C10" s="239"/>
      <c r="D10" s="239"/>
      <c r="E10" s="239"/>
      <c r="F10" s="238"/>
      <c r="G10" s="239"/>
      <c r="H10" s="238"/>
      <c r="I10" s="239"/>
      <c r="J10" s="238"/>
    </row>
    <row r="11" spans="1:10" x14ac:dyDescent="0.25">
      <c r="A11" s="150"/>
      <c r="B11" s="240" t="e">
        <f>"Source: Annual Statement for "&amp;B8&amp;", "&amp;B7&amp;" &amp; "&amp;B6</f>
        <v>#VALUE!</v>
      </c>
      <c r="F11" s="241"/>
    </row>
    <row r="12" spans="1:10" x14ac:dyDescent="0.25">
      <c r="B12" s="370" t="s">
        <v>365</v>
      </c>
      <c r="F12" s="241"/>
    </row>
    <row r="13" spans="1:10" x14ac:dyDescent="0.25">
      <c r="A13" s="150"/>
      <c r="B13" s="240" t="s">
        <v>279</v>
      </c>
    </row>
    <row r="14" spans="1:10" x14ac:dyDescent="0.25">
      <c r="A14" s="150"/>
    </row>
    <row r="15" spans="1:10" x14ac:dyDescent="0.25">
      <c r="A15" s="150"/>
      <c r="B15" s="241" t="s">
        <v>366</v>
      </c>
    </row>
    <row r="16" spans="1:10" ht="30.75" thickBot="1" x14ac:dyDescent="0.3">
      <c r="A16" s="150"/>
      <c r="B16" s="236" t="s">
        <v>113</v>
      </c>
      <c r="C16" s="236" t="s">
        <v>272</v>
      </c>
      <c r="D16" s="236" t="s">
        <v>273</v>
      </c>
      <c r="E16" s="236" t="s">
        <v>119</v>
      </c>
      <c r="F16" s="236" t="s">
        <v>274</v>
      </c>
      <c r="G16" s="236" t="s">
        <v>120</v>
      </c>
      <c r="H16" s="236" t="s">
        <v>275</v>
      </c>
      <c r="I16" s="236" t="s">
        <v>276</v>
      </c>
      <c r="J16" s="236" t="s">
        <v>277</v>
      </c>
    </row>
    <row r="17" spans="1:10" x14ac:dyDescent="0.25">
      <c r="A17" s="237" t="s">
        <v>232</v>
      </c>
      <c r="B17" s="244" t="str">
        <f>$B$6</f>
        <v>YYYY</v>
      </c>
      <c r="C17" s="248">
        <f t="shared" ref="C17:E18" si="0">C26+C33+C40+C47+C54+C61+C68+C75+C82+C89+C96+C103+C110+C117+C124+C131+C138+C145+C152+C159+C166+C173+C180+C187+C194+C201+C208+C215+C222+C229</f>
        <v>0</v>
      </c>
      <c r="D17" s="248">
        <f t="shared" si="0"/>
        <v>0</v>
      </c>
      <c r="E17" s="248">
        <f t="shared" si="0"/>
        <v>0</v>
      </c>
      <c r="F17" s="249" t="e">
        <f>E17/$D17</f>
        <v>#DIV/0!</v>
      </c>
      <c r="G17" s="248">
        <f>G26+G33+G40+G47+G54+G61+G68+G75+G82+G89+G96+G103+G110+G117+G124+G131+G138+G145+G152+G159+G166+G173+G180+G187+G194+G201+G208+G215+G222+G229</f>
        <v>0</v>
      </c>
      <c r="H17" s="249" t="e">
        <f>G17/$D17</f>
        <v>#DIV/0!</v>
      </c>
      <c r="I17" s="248">
        <f>I26+I33+I40+I47+I54+I61+I68+I75+I82+I89+I96+I103+I110+I117+I124+I131+I138+I145+I152+I159+I166+I173+I180+I187+I194+I201+I208+I215+I222+I229</f>
        <v>0</v>
      </c>
      <c r="J17" s="249" t="e">
        <f>I17/$D17</f>
        <v>#DIV/0!</v>
      </c>
    </row>
    <row r="18" spans="1:10" x14ac:dyDescent="0.25">
      <c r="A18" s="237" t="s">
        <v>233</v>
      </c>
      <c r="B18" s="244" t="e">
        <f>$B$7</f>
        <v>#VALUE!</v>
      </c>
      <c r="C18" s="248">
        <f t="shared" si="0"/>
        <v>0</v>
      </c>
      <c r="D18" s="248">
        <f t="shared" si="0"/>
        <v>0</v>
      </c>
      <c r="E18" s="248">
        <f t="shared" si="0"/>
        <v>0</v>
      </c>
      <c r="F18" s="249" t="e">
        <f>E18/$D18</f>
        <v>#DIV/0!</v>
      </c>
      <c r="G18" s="248">
        <f>G27+G34+G41+G48+G55+G62+G69+G76+G83+G90+G97+G104+G111+G118+G125+G132+G139+G146+G153+G160+G167+G174+G181+G188+G195+G202+G209+G216+G223+G230</f>
        <v>0</v>
      </c>
      <c r="H18" s="249" t="e">
        <f>G18/$D18</f>
        <v>#DIV/0!</v>
      </c>
      <c r="I18" s="248">
        <f>I27+I34+I41+I48+I55+I62+I69+I76+I83+I90+I97+I104+I111+I118+I125+I132+I139+I146+I153+I160+I167+I174+I181+I188+I195+I1202+I209+I216+I223+I230</f>
        <v>0</v>
      </c>
      <c r="J18" s="249" t="e">
        <f>I18/$D18</f>
        <v>#DIV/0!</v>
      </c>
    </row>
    <row r="19" spans="1:10" x14ac:dyDescent="0.25">
      <c r="A19" s="237" t="s">
        <v>234</v>
      </c>
      <c r="B19" s="250" t="e">
        <f>$B$8</f>
        <v>#VALUE!</v>
      </c>
      <c r="C19" s="251">
        <f>C28+C35+C42+C49+C56+C63+C70+C77+C84+C91+C98+C105+C112+C119+C126+C133+C140+C147+C154+C161+C168+C175+C182+C189+C196+C203+C210+C217+C224+C231</f>
        <v>0</v>
      </c>
      <c r="D19" s="251">
        <f>D28+D35+D42+D49+D56+D63+D70+D77+D84+D91+D98+D105+D112+D119+D126+D133+D140+D147+D154+D161+D168+D175+D182+D189+D196+D203+D210+D217+D224+D231</f>
        <v>0</v>
      </c>
      <c r="E19" s="251">
        <f>E28+E35+E42+E49+E56+E63+E70+E77+E84+E91+E98+E105+E112+E119+E126+E133+E140+E147+E154+E161+E168+E175+E182+E189+E196+E203+E210+E217+E224+E231</f>
        <v>0</v>
      </c>
      <c r="F19" s="252" t="e">
        <f>E19/$D19</f>
        <v>#DIV/0!</v>
      </c>
      <c r="G19" s="251">
        <f>G28+G35+G42+G49+G56+G63+G70+G77+G84+G91+G98+G105+G112+G119+G126+G133+G140+G147+G154+G161+G168+G175+G181+G189+G196+G203+G210+G217+G224+G231</f>
        <v>0</v>
      </c>
      <c r="H19" s="252" t="e">
        <f>G19/$D19</f>
        <v>#DIV/0!</v>
      </c>
      <c r="I19" s="251">
        <f>I28+I35+I42+I49+I56+I63+I70+I77+I84+I91+I98+I105+I112+I119+I126+I133+I140+I147+I154+I161+I168+I175+I182+I189+I196+I203+I210+I217+I224+I231</f>
        <v>0</v>
      </c>
      <c r="J19" s="252" t="e">
        <f>I19/$D19</f>
        <v>#DIV/0!</v>
      </c>
    </row>
    <row r="20" spans="1:10" x14ac:dyDescent="0.25">
      <c r="A20" s="237" t="s">
        <v>235</v>
      </c>
      <c r="B20" s="244" t="s">
        <v>278</v>
      </c>
      <c r="C20" s="248">
        <f>AVERAGE(C17:C19)</f>
        <v>0</v>
      </c>
      <c r="D20" s="248">
        <f>AVERAGE(D17:D19)</f>
        <v>0</v>
      </c>
      <c r="E20" s="248">
        <f>AVERAGE(E17:E19)</f>
        <v>0</v>
      </c>
      <c r="F20" s="249" t="e">
        <f>E20/$D20</f>
        <v>#DIV/0!</v>
      </c>
      <c r="G20" s="248">
        <f>AVERAGE(G17:G19)</f>
        <v>0</v>
      </c>
      <c r="H20" s="249" t="e">
        <f>G20/$D20</f>
        <v>#DIV/0!</v>
      </c>
      <c r="I20" s="248">
        <f>AVERAGE(I17:I19)</f>
        <v>0</v>
      </c>
      <c r="J20" s="249" t="e">
        <f>I20/$D20</f>
        <v>#DIV/0!</v>
      </c>
    </row>
    <row r="21" spans="1:10" x14ac:dyDescent="0.25">
      <c r="A21" s="150"/>
      <c r="B21" s="4"/>
      <c r="C21" s="242"/>
      <c r="D21" s="242"/>
      <c r="E21" s="242"/>
      <c r="F21" s="238"/>
      <c r="G21" s="242"/>
      <c r="H21" s="238"/>
      <c r="I21" s="242"/>
      <c r="J21" s="238"/>
    </row>
    <row r="22" spans="1:10" x14ac:dyDescent="0.25">
      <c r="A22" s="150"/>
      <c r="B22" s="244" t="s">
        <v>127</v>
      </c>
      <c r="C22" s="253">
        <f>C20-C9</f>
        <v>0</v>
      </c>
      <c r="D22" s="253">
        <f t="shared" ref="D22:J22" si="1">D20-D9</f>
        <v>0</v>
      </c>
      <c r="E22" s="253">
        <f t="shared" si="1"/>
        <v>0</v>
      </c>
      <c r="F22" s="253" t="e">
        <f t="shared" si="1"/>
        <v>#DIV/0!</v>
      </c>
      <c r="G22" s="253">
        <f t="shared" si="1"/>
        <v>0</v>
      </c>
      <c r="H22" s="253" t="e">
        <f t="shared" si="1"/>
        <v>#DIV/0!</v>
      </c>
      <c r="I22" s="253">
        <f>I20-I9</f>
        <v>0</v>
      </c>
      <c r="J22" s="253" t="e">
        <f t="shared" si="1"/>
        <v>#DIV/0!</v>
      </c>
    </row>
    <row r="23" spans="1:10" x14ac:dyDescent="0.25">
      <c r="A23" s="150"/>
      <c r="B23" s="243" t="str">
        <f>IF(OR(C20&lt;&gt;C9,D20&lt;&gt;D9,E20&lt;&gt;E9,G20&lt;&gt;G9,I20&lt;&gt;I9),"ERROR! Total of all forms [Line (8)] must match Annual Statement in [Line (4)] above.  (Round-off will be ignored.)","")</f>
        <v/>
      </c>
    </row>
    <row r="24" spans="1:10" x14ac:dyDescent="0.25">
      <c r="A24" s="150"/>
      <c r="B24" s="508" t="s">
        <v>367</v>
      </c>
      <c r="C24" s="508"/>
    </row>
    <row r="25" spans="1:10" ht="30.75" thickBot="1" x14ac:dyDescent="0.3">
      <c r="A25" s="150"/>
      <c r="B25" s="236" t="s">
        <v>113</v>
      </c>
      <c r="C25" s="236" t="s">
        <v>272</v>
      </c>
      <c r="D25" s="236" t="s">
        <v>273</v>
      </c>
      <c r="E25" s="236" t="s">
        <v>119</v>
      </c>
      <c r="F25" s="236" t="s">
        <v>274</v>
      </c>
      <c r="G25" s="236" t="s">
        <v>120</v>
      </c>
      <c r="H25" s="236" t="s">
        <v>275</v>
      </c>
      <c r="I25" s="236" t="s">
        <v>276</v>
      </c>
      <c r="J25" s="236" t="s">
        <v>277</v>
      </c>
    </row>
    <row r="26" spans="1:10" x14ac:dyDescent="0.25">
      <c r="A26" s="150"/>
      <c r="B26" s="244" t="str">
        <f>$B$6</f>
        <v>YYYY</v>
      </c>
      <c r="C26" s="347">
        <v>0</v>
      </c>
      <c r="D26" s="338">
        <v>0</v>
      </c>
      <c r="E26" s="339">
        <v>0</v>
      </c>
      <c r="F26" s="246" t="e">
        <f>E26/$D26</f>
        <v>#DIV/0!</v>
      </c>
      <c r="G26" s="344">
        <v>0</v>
      </c>
      <c r="H26" s="246" t="e">
        <f>G26/$D26</f>
        <v>#DIV/0!</v>
      </c>
      <c r="I26" s="245">
        <f>E26+G26</f>
        <v>0</v>
      </c>
      <c r="J26" s="246" t="e">
        <f>I26/$D26</f>
        <v>#DIV/0!</v>
      </c>
    </row>
    <row r="27" spans="1:10" x14ac:dyDescent="0.25">
      <c r="A27" s="150"/>
      <c r="B27" s="244" t="e">
        <f>$B$7</f>
        <v>#VALUE!</v>
      </c>
      <c r="C27" s="348">
        <v>0</v>
      </c>
      <c r="D27" s="340">
        <v>0</v>
      </c>
      <c r="E27" s="341">
        <v>0</v>
      </c>
      <c r="F27" s="246" t="e">
        <f>E27/$D27</f>
        <v>#DIV/0!</v>
      </c>
      <c r="G27" s="345">
        <v>0</v>
      </c>
      <c r="H27" s="246" t="e">
        <f>G27/$D27</f>
        <v>#DIV/0!</v>
      </c>
      <c r="I27" s="245">
        <f>E27+G27</f>
        <v>0</v>
      </c>
      <c r="J27" s="246" t="e">
        <f>I27/$D27</f>
        <v>#DIV/0!</v>
      </c>
    </row>
    <row r="28" spans="1:10" x14ac:dyDescent="0.25">
      <c r="A28" s="150"/>
      <c r="B28" s="250" t="e">
        <f>$B$8</f>
        <v>#VALUE!</v>
      </c>
      <c r="C28" s="349">
        <v>0</v>
      </c>
      <c r="D28" s="342">
        <v>0</v>
      </c>
      <c r="E28" s="343">
        <v>0</v>
      </c>
      <c r="F28" s="247" t="e">
        <f>E28/$D28</f>
        <v>#DIV/0!</v>
      </c>
      <c r="G28" s="346">
        <v>0</v>
      </c>
      <c r="H28" s="247" t="e">
        <f>G28/$D28</f>
        <v>#DIV/0!</v>
      </c>
      <c r="I28" s="254">
        <f>E28+G28</f>
        <v>0</v>
      </c>
      <c r="J28" s="247" t="e">
        <f>I28/$D28</f>
        <v>#DIV/0!</v>
      </c>
    </row>
    <row r="29" spans="1:10" x14ac:dyDescent="0.25">
      <c r="A29" s="150"/>
      <c r="B29" s="244" t="s">
        <v>278</v>
      </c>
      <c r="C29" s="245">
        <f>AVERAGE(C26:C28)</f>
        <v>0</v>
      </c>
      <c r="D29" s="245">
        <f>AVERAGE(D26:D28)</f>
        <v>0</v>
      </c>
      <c r="E29" s="245">
        <f>AVERAGE(E26:E28)</f>
        <v>0</v>
      </c>
      <c r="F29" s="246" t="e">
        <f>E29/$D29</f>
        <v>#DIV/0!</v>
      </c>
      <c r="G29" s="245">
        <f>AVERAGE(G26:G28)</f>
        <v>0</v>
      </c>
      <c r="H29" s="246" t="e">
        <f>G29/$D29</f>
        <v>#DIV/0!</v>
      </c>
      <c r="I29" s="245">
        <f>AVERAGE(I26:I28)</f>
        <v>0</v>
      </c>
      <c r="J29" s="246" t="e">
        <f>I29/$D29</f>
        <v>#DIV/0!</v>
      </c>
    </row>
    <row r="30" spans="1:10" x14ac:dyDescent="0.25">
      <c r="A30" s="150"/>
    </row>
    <row r="31" spans="1:10" x14ac:dyDescent="0.25">
      <c r="A31" s="150"/>
      <c r="B31" s="508" t="s">
        <v>367</v>
      </c>
      <c r="C31" s="508"/>
    </row>
    <row r="32" spans="1:10" ht="30.75" thickBot="1" x14ac:dyDescent="0.3">
      <c r="A32" s="150"/>
      <c r="B32" s="236" t="s">
        <v>113</v>
      </c>
      <c r="C32" s="236" t="s">
        <v>272</v>
      </c>
      <c r="D32" s="236" t="s">
        <v>273</v>
      </c>
      <c r="E32" s="236" t="s">
        <v>119</v>
      </c>
      <c r="F32" s="236" t="s">
        <v>274</v>
      </c>
      <c r="G32" s="236" t="s">
        <v>120</v>
      </c>
      <c r="H32" s="236" t="s">
        <v>275</v>
      </c>
      <c r="I32" s="236" t="s">
        <v>276</v>
      </c>
      <c r="J32" s="236" t="s">
        <v>277</v>
      </c>
    </row>
    <row r="33" spans="1:10" x14ac:dyDescent="0.25">
      <c r="A33" s="150"/>
      <c r="B33" s="244" t="str">
        <f>$B$6</f>
        <v>YYYY</v>
      </c>
      <c r="C33" s="347">
        <v>0</v>
      </c>
      <c r="D33" s="338">
        <v>0</v>
      </c>
      <c r="E33" s="339">
        <v>0</v>
      </c>
      <c r="F33" s="246" t="e">
        <f>E33/$D33</f>
        <v>#DIV/0!</v>
      </c>
      <c r="G33" s="344">
        <v>0</v>
      </c>
      <c r="H33" s="246" t="e">
        <f>G33/$D33</f>
        <v>#DIV/0!</v>
      </c>
      <c r="I33" s="245">
        <f>E33+G33</f>
        <v>0</v>
      </c>
      <c r="J33" s="246" t="e">
        <f>I33/$D33</f>
        <v>#DIV/0!</v>
      </c>
    </row>
    <row r="34" spans="1:10" x14ac:dyDescent="0.25">
      <c r="A34" s="150"/>
      <c r="B34" s="244" t="e">
        <f>$B$7</f>
        <v>#VALUE!</v>
      </c>
      <c r="C34" s="348">
        <v>0</v>
      </c>
      <c r="D34" s="340">
        <v>0</v>
      </c>
      <c r="E34" s="341">
        <v>0</v>
      </c>
      <c r="F34" s="246" t="e">
        <f>E34/$D34</f>
        <v>#DIV/0!</v>
      </c>
      <c r="G34" s="345">
        <v>0</v>
      </c>
      <c r="H34" s="246" t="e">
        <f>G34/$D34</f>
        <v>#DIV/0!</v>
      </c>
      <c r="I34" s="245">
        <f>E34+G34</f>
        <v>0</v>
      </c>
      <c r="J34" s="246" t="e">
        <f>I34/$D34</f>
        <v>#DIV/0!</v>
      </c>
    </row>
    <row r="35" spans="1:10" x14ac:dyDescent="0.25">
      <c r="A35" s="150"/>
      <c r="B35" s="250" t="e">
        <f>$B$8</f>
        <v>#VALUE!</v>
      </c>
      <c r="C35" s="349">
        <v>0</v>
      </c>
      <c r="D35" s="342">
        <v>0</v>
      </c>
      <c r="E35" s="343">
        <v>0</v>
      </c>
      <c r="F35" s="247" t="e">
        <f>E35/$D35</f>
        <v>#DIV/0!</v>
      </c>
      <c r="G35" s="346">
        <v>0</v>
      </c>
      <c r="H35" s="247" t="e">
        <f>G35/$D35</f>
        <v>#DIV/0!</v>
      </c>
      <c r="I35" s="254">
        <f>E35+G35</f>
        <v>0</v>
      </c>
      <c r="J35" s="247" t="e">
        <f>I35/$D35</f>
        <v>#DIV/0!</v>
      </c>
    </row>
    <row r="36" spans="1:10" x14ac:dyDescent="0.25">
      <c r="A36" s="150"/>
      <c r="B36" s="244" t="s">
        <v>278</v>
      </c>
      <c r="C36" s="245">
        <f>AVERAGE(C33:C35)</f>
        <v>0</v>
      </c>
      <c r="D36" s="245">
        <f>AVERAGE(D33:D35)</f>
        <v>0</v>
      </c>
      <c r="E36" s="245">
        <f>AVERAGE(E33:E35)</f>
        <v>0</v>
      </c>
      <c r="F36" s="246" t="e">
        <f>E36/$D36</f>
        <v>#DIV/0!</v>
      </c>
      <c r="G36" s="245">
        <f>AVERAGE(G33:G35)</f>
        <v>0</v>
      </c>
      <c r="H36" s="246" t="e">
        <f>G36/$D36</f>
        <v>#DIV/0!</v>
      </c>
      <c r="I36" s="245">
        <f>AVERAGE(I33:I35)</f>
        <v>0</v>
      </c>
      <c r="J36" s="246" t="e">
        <f>I36/$D36</f>
        <v>#DIV/0!</v>
      </c>
    </row>
    <row r="37" spans="1:10" x14ac:dyDescent="0.25">
      <c r="A37" s="150"/>
    </row>
    <row r="38" spans="1:10" x14ac:dyDescent="0.25">
      <c r="A38" s="150"/>
      <c r="B38" s="508" t="s">
        <v>367</v>
      </c>
      <c r="C38" s="508"/>
    </row>
    <row r="39" spans="1:10" ht="30.75" thickBot="1" x14ac:dyDescent="0.3">
      <c r="A39" s="150"/>
      <c r="B39" s="236" t="s">
        <v>113</v>
      </c>
      <c r="C39" s="236" t="s">
        <v>272</v>
      </c>
      <c r="D39" s="236" t="s">
        <v>273</v>
      </c>
      <c r="E39" s="236" t="s">
        <v>119</v>
      </c>
      <c r="F39" s="236" t="s">
        <v>274</v>
      </c>
      <c r="G39" s="236" t="s">
        <v>120</v>
      </c>
      <c r="H39" s="236" t="s">
        <v>275</v>
      </c>
      <c r="I39" s="236" t="s">
        <v>276</v>
      </c>
      <c r="J39" s="236" t="s">
        <v>277</v>
      </c>
    </row>
    <row r="40" spans="1:10" x14ac:dyDescent="0.25">
      <c r="A40" s="150"/>
      <c r="B40" s="244" t="str">
        <f>$B$6</f>
        <v>YYYY</v>
      </c>
      <c r="C40" s="347">
        <v>0</v>
      </c>
      <c r="D40" s="338">
        <v>0</v>
      </c>
      <c r="E40" s="339">
        <v>0</v>
      </c>
      <c r="F40" s="246" t="e">
        <f>E40/$D40</f>
        <v>#DIV/0!</v>
      </c>
      <c r="G40" s="344">
        <v>0</v>
      </c>
      <c r="H40" s="246" t="e">
        <f>G40/$D40</f>
        <v>#DIV/0!</v>
      </c>
      <c r="I40" s="245">
        <f>E40+G40</f>
        <v>0</v>
      </c>
      <c r="J40" s="246" t="e">
        <f>I40/$D40</f>
        <v>#DIV/0!</v>
      </c>
    </row>
    <row r="41" spans="1:10" x14ac:dyDescent="0.25">
      <c r="A41" s="150"/>
      <c r="B41" s="244" t="e">
        <f>$B$7</f>
        <v>#VALUE!</v>
      </c>
      <c r="C41" s="348">
        <v>0</v>
      </c>
      <c r="D41" s="340">
        <v>0</v>
      </c>
      <c r="E41" s="341">
        <v>0</v>
      </c>
      <c r="F41" s="246" t="e">
        <f>E41/$D41</f>
        <v>#DIV/0!</v>
      </c>
      <c r="G41" s="345">
        <v>0</v>
      </c>
      <c r="H41" s="246" t="e">
        <f>G41/$D41</f>
        <v>#DIV/0!</v>
      </c>
      <c r="I41" s="245">
        <f>E41+G41</f>
        <v>0</v>
      </c>
      <c r="J41" s="246" t="e">
        <f>I41/$D41</f>
        <v>#DIV/0!</v>
      </c>
    </row>
    <row r="42" spans="1:10" x14ac:dyDescent="0.25">
      <c r="A42" s="150"/>
      <c r="B42" s="250" t="e">
        <f>$B$8</f>
        <v>#VALUE!</v>
      </c>
      <c r="C42" s="349">
        <v>0</v>
      </c>
      <c r="D42" s="342">
        <v>0</v>
      </c>
      <c r="E42" s="343">
        <v>0</v>
      </c>
      <c r="F42" s="247" t="e">
        <f>E42/$D42</f>
        <v>#DIV/0!</v>
      </c>
      <c r="G42" s="346">
        <v>0</v>
      </c>
      <c r="H42" s="247" t="e">
        <f>G42/$D42</f>
        <v>#DIV/0!</v>
      </c>
      <c r="I42" s="254">
        <f>E42+G42</f>
        <v>0</v>
      </c>
      <c r="J42" s="247" t="e">
        <f>I42/$D42</f>
        <v>#DIV/0!</v>
      </c>
    </row>
    <row r="43" spans="1:10" x14ac:dyDescent="0.25">
      <c r="A43" s="150"/>
      <c r="B43" s="244" t="s">
        <v>278</v>
      </c>
      <c r="C43" s="245">
        <f>AVERAGE(C40:C42)</f>
        <v>0</v>
      </c>
      <c r="D43" s="245">
        <f>AVERAGE(D40:D42)</f>
        <v>0</v>
      </c>
      <c r="E43" s="245">
        <f>AVERAGE(E40:E42)</f>
        <v>0</v>
      </c>
      <c r="F43" s="246" t="e">
        <f>E43/$D43</f>
        <v>#DIV/0!</v>
      </c>
      <c r="G43" s="245">
        <f>AVERAGE(G40:G42)</f>
        <v>0</v>
      </c>
      <c r="H43" s="246" t="e">
        <f>G43/$D43</f>
        <v>#DIV/0!</v>
      </c>
      <c r="I43" s="245">
        <f>AVERAGE(I40:I42)</f>
        <v>0</v>
      </c>
      <c r="J43" s="246" t="e">
        <f>I43/$D43</f>
        <v>#DIV/0!</v>
      </c>
    </row>
    <row r="44" spans="1:10" x14ac:dyDescent="0.25">
      <c r="A44" s="150"/>
    </row>
    <row r="45" spans="1:10" x14ac:dyDescent="0.25">
      <c r="A45" s="150"/>
      <c r="B45" s="508" t="s">
        <v>367</v>
      </c>
      <c r="C45" s="508"/>
    </row>
    <row r="46" spans="1:10" ht="30.75" thickBot="1" x14ac:dyDescent="0.3">
      <c r="A46" s="150"/>
      <c r="B46" s="236" t="s">
        <v>113</v>
      </c>
      <c r="C46" s="236" t="s">
        <v>272</v>
      </c>
      <c r="D46" s="236" t="s">
        <v>273</v>
      </c>
      <c r="E46" s="236" t="s">
        <v>119</v>
      </c>
      <c r="F46" s="236" t="s">
        <v>274</v>
      </c>
      <c r="G46" s="236" t="s">
        <v>120</v>
      </c>
      <c r="H46" s="236" t="s">
        <v>275</v>
      </c>
      <c r="I46" s="236" t="s">
        <v>276</v>
      </c>
      <c r="J46" s="236" t="s">
        <v>277</v>
      </c>
    </row>
    <row r="47" spans="1:10" x14ac:dyDescent="0.25">
      <c r="A47" s="150"/>
      <c r="B47" s="244" t="str">
        <f>$B$6</f>
        <v>YYYY</v>
      </c>
      <c r="C47" s="347">
        <v>0</v>
      </c>
      <c r="D47" s="338">
        <v>0</v>
      </c>
      <c r="E47" s="339">
        <v>0</v>
      </c>
      <c r="F47" s="246" t="e">
        <f>E47/$D47</f>
        <v>#DIV/0!</v>
      </c>
      <c r="G47" s="344">
        <v>0</v>
      </c>
      <c r="H47" s="246" t="e">
        <f>G47/$D47</f>
        <v>#DIV/0!</v>
      </c>
      <c r="I47" s="245">
        <f>E47+G47</f>
        <v>0</v>
      </c>
      <c r="J47" s="246" t="e">
        <f>I47/$D47</f>
        <v>#DIV/0!</v>
      </c>
    </row>
    <row r="48" spans="1:10" x14ac:dyDescent="0.25">
      <c r="A48" s="150"/>
      <c r="B48" s="244" t="e">
        <f>$B$7</f>
        <v>#VALUE!</v>
      </c>
      <c r="C48" s="348">
        <v>0</v>
      </c>
      <c r="D48" s="340">
        <v>0</v>
      </c>
      <c r="E48" s="341">
        <v>0</v>
      </c>
      <c r="F48" s="246" t="e">
        <f>E48/$D48</f>
        <v>#DIV/0!</v>
      </c>
      <c r="G48" s="345">
        <v>0</v>
      </c>
      <c r="H48" s="246" t="e">
        <f>G48/$D48</f>
        <v>#DIV/0!</v>
      </c>
      <c r="I48" s="245">
        <f>E48+G48</f>
        <v>0</v>
      </c>
      <c r="J48" s="246" t="e">
        <f>I48/$D48</f>
        <v>#DIV/0!</v>
      </c>
    </row>
    <row r="49" spans="1:10" x14ac:dyDescent="0.25">
      <c r="A49" s="150"/>
      <c r="B49" s="250" t="e">
        <f>$B$8</f>
        <v>#VALUE!</v>
      </c>
      <c r="C49" s="349">
        <v>0</v>
      </c>
      <c r="D49" s="342">
        <v>0</v>
      </c>
      <c r="E49" s="343">
        <v>0</v>
      </c>
      <c r="F49" s="247" t="e">
        <f>E49/$D49</f>
        <v>#DIV/0!</v>
      </c>
      <c r="G49" s="346">
        <v>0</v>
      </c>
      <c r="H49" s="247" t="e">
        <f>G49/$D49</f>
        <v>#DIV/0!</v>
      </c>
      <c r="I49" s="254">
        <f>E49+G49</f>
        <v>0</v>
      </c>
      <c r="J49" s="247" t="e">
        <f>I49/$D49</f>
        <v>#DIV/0!</v>
      </c>
    </row>
    <row r="50" spans="1:10" x14ac:dyDescent="0.25">
      <c r="A50" s="150"/>
      <c r="B50" s="244" t="s">
        <v>278</v>
      </c>
      <c r="C50" s="245">
        <f>AVERAGE(C47:C49)</f>
        <v>0</v>
      </c>
      <c r="D50" s="245">
        <f>AVERAGE(D47:D49)</f>
        <v>0</v>
      </c>
      <c r="E50" s="245">
        <f>AVERAGE(E47:E49)</f>
        <v>0</v>
      </c>
      <c r="F50" s="246" t="e">
        <f>E50/$D50</f>
        <v>#DIV/0!</v>
      </c>
      <c r="G50" s="245">
        <f>AVERAGE(G47:G49)</f>
        <v>0</v>
      </c>
      <c r="H50" s="246" t="e">
        <f>G50/$D50</f>
        <v>#DIV/0!</v>
      </c>
      <c r="I50" s="245">
        <f>AVERAGE(I47:I49)</f>
        <v>0</v>
      </c>
      <c r="J50" s="246" t="e">
        <f>I50/$D50</f>
        <v>#DIV/0!</v>
      </c>
    </row>
    <row r="51" spans="1:10" x14ac:dyDescent="0.25">
      <c r="A51" s="150"/>
    </row>
    <row r="52" spans="1:10" x14ac:dyDescent="0.25">
      <c r="A52" s="150"/>
      <c r="B52" s="508" t="s">
        <v>367</v>
      </c>
      <c r="C52" s="508"/>
    </row>
    <row r="53" spans="1:10" ht="30.75" thickBot="1" x14ac:dyDescent="0.3">
      <c r="A53" s="150"/>
      <c r="B53" s="236" t="s">
        <v>113</v>
      </c>
      <c r="C53" s="236" t="s">
        <v>272</v>
      </c>
      <c r="D53" s="236" t="s">
        <v>273</v>
      </c>
      <c r="E53" s="236" t="s">
        <v>119</v>
      </c>
      <c r="F53" s="236" t="s">
        <v>274</v>
      </c>
      <c r="G53" s="236" t="s">
        <v>120</v>
      </c>
      <c r="H53" s="236" t="s">
        <v>275</v>
      </c>
      <c r="I53" s="236" t="s">
        <v>276</v>
      </c>
      <c r="J53" s="236" t="s">
        <v>277</v>
      </c>
    </row>
    <row r="54" spans="1:10" x14ac:dyDescent="0.25">
      <c r="A54" s="150"/>
      <c r="B54" s="244" t="str">
        <f>$B$6</f>
        <v>YYYY</v>
      </c>
      <c r="C54" s="347">
        <v>0</v>
      </c>
      <c r="D54" s="338">
        <v>0</v>
      </c>
      <c r="E54" s="339">
        <v>0</v>
      </c>
      <c r="F54" s="246" t="e">
        <f>E54/$D54</f>
        <v>#DIV/0!</v>
      </c>
      <c r="G54" s="344">
        <v>0</v>
      </c>
      <c r="H54" s="246" t="e">
        <f>G54/$D54</f>
        <v>#DIV/0!</v>
      </c>
      <c r="I54" s="245">
        <f>E54+G54</f>
        <v>0</v>
      </c>
      <c r="J54" s="246" t="e">
        <f>I54/$D54</f>
        <v>#DIV/0!</v>
      </c>
    </row>
    <row r="55" spans="1:10" x14ac:dyDescent="0.25">
      <c r="A55" s="150"/>
      <c r="B55" s="244" t="e">
        <f>$B$7</f>
        <v>#VALUE!</v>
      </c>
      <c r="C55" s="348">
        <v>0</v>
      </c>
      <c r="D55" s="340">
        <v>0</v>
      </c>
      <c r="E55" s="341">
        <v>0</v>
      </c>
      <c r="F55" s="246" t="e">
        <f>E55/$D55</f>
        <v>#DIV/0!</v>
      </c>
      <c r="G55" s="345">
        <v>0</v>
      </c>
      <c r="H55" s="246" t="e">
        <f>G55/$D55</f>
        <v>#DIV/0!</v>
      </c>
      <c r="I55" s="245">
        <f>E55+G55</f>
        <v>0</v>
      </c>
      <c r="J55" s="246" t="e">
        <f>I55/$D55</f>
        <v>#DIV/0!</v>
      </c>
    </row>
    <row r="56" spans="1:10" x14ac:dyDescent="0.25">
      <c r="A56" s="150"/>
      <c r="B56" s="250" t="e">
        <f>$B$8</f>
        <v>#VALUE!</v>
      </c>
      <c r="C56" s="349">
        <v>0</v>
      </c>
      <c r="D56" s="342">
        <v>0</v>
      </c>
      <c r="E56" s="343">
        <v>0</v>
      </c>
      <c r="F56" s="247" t="e">
        <f>E56/$D56</f>
        <v>#DIV/0!</v>
      </c>
      <c r="G56" s="346">
        <v>0</v>
      </c>
      <c r="H56" s="247" t="e">
        <f>G56/$D56</f>
        <v>#DIV/0!</v>
      </c>
      <c r="I56" s="254">
        <f>E56+G56</f>
        <v>0</v>
      </c>
      <c r="J56" s="247" t="e">
        <f>I56/$D56</f>
        <v>#DIV/0!</v>
      </c>
    </row>
    <row r="57" spans="1:10" x14ac:dyDescent="0.25">
      <c r="A57" s="150"/>
      <c r="B57" s="244" t="s">
        <v>278</v>
      </c>
      <c r="C57" s="245">
        <f>AVERAGE(C54:C56)</f>
        <v>0</v>
      </c>
      <c r="D57" s="245">
        <f>AVERAGE(D54:D56)</f>
        <v>0</v>
      </c>
      <c r="E57" s="245">
        <f>AVERAGE(E54:E56)</f>
        <v>0</v>
      </c>
      <c r="F57" s="246" t="e">
        <f>E57/$D57</f>
        <v>#DIV/0!</v>
      </c>
      <c r="G57" s="245">
        <f>AVERAGE(G54:G56)</f>
        <v>0</v>
      </c>
      <c r="H57" s="246" t="e">
        <f>G57/$D57</f>
        <v>#DIV/0!</v>
      </c>
      <c r="I57" s="245">
        <f>AVERAGE(I54:I56)</f>
        <v>0</v>
      </c>
      <c r="J57" s="246" t="e">
        <f>I57/$D57</f>
        <v>#DIV/0!</v>
      </c>
    </row>
    <row r="58" spans="1:10" hidden="1" x14ac:dyDescent="0.25">
      <c r="A58" s="150"/>
    </row>
    <row r="59" spans="1:10" hidden="1" x14ac:dyDescent="0.25">
      <c r="A59" s="150"/>
      <c r="B59" s="508" t="s">
        <v>367</v>
      </c>
      <c r="C59" s="508"/>
    </row>
    <row r="60" spans="1:10" ht="30.75" hidden="1" thickBot="1" x14ac:dyDescent="0.3">
      <c r="A60" s="150"/>
      <c r="B60" s="236" t="s">
        <v>113</v>
      </c>
      <c r="C60" s="236" t="s">
        <v>272</v>
      </c>
      <c r="D60" s="236" t="s">
        <v>273</v>
      </c>
      <c r="E60" s="236" t="s">
        <v>119</v>
      </c>
      <c r="F60" s="236" t="s">
        <v>274</v>
      </c>
      <c r="G60" s="236" t="s">
        <v>120</v>
      </c>
      <c r="H60" s="236" t="s">
        <v>275</v>
      </c>
      <c r="I60" s="236" t="s">
        <v>276</v>
      </c>
      <c r="J60" s="236" t="s">
        <v>277</v>
      </c>
    </row>
    <row r="61" spans="1:10" hidden="1" x14ac:dyDescent="0.25">
      <c r="A61" s="150"/>
      <c r="B61" s="244" t="str">
        <f>$B$6</f>
        <v>YYYY</v>
      </c>
      <c r="C61" s="347">
        <v>0</v>
      </c>
      <c r="D61" s="338">
        <v>0</v>
      </c>
      <c r="E61" s="339">
        <v>0</v>
      </c>
      <c r="F61" s="246" t="e">
        <f>E61/$D61</f>
        <v>#DIV/0!</v>
      </c>
      <c r="G61" s="344">
        <v>0</v>
      </c>
      <c r="H61" s="246" t="e">
        <f>G61/$D61</f>
        <v>#DIV/0!</v>
      </c>
      <c r="I61" s="245">
        <f>E61+G61</f>
        <v>0</v>
      </c>
      <c r="J61" s="246" t="e">
        <f>I61/$D61</f>
        <v>#DIV/0!</v>
      </c>
    </row>
    <row r="62" spans="1:10" hidden="1" x14ac:dyDescent="0.25">
      <c r="A62" s="150"/>
      <c r="B62" s="244" t="e">
        <f>$B$7</f>
        <v>#VALUE!</v>
      </c>
      <c r="C62" s="348">
        <v>0</v>
      </c>
      <c r="D62" s="340">
        <v>0</v>
      </c>
      <c r="E62" s="341">
        <v>0</v>
      </c>
      <c r="F62" s="246" t="e">
        <f>E62/$D62</f>
        <v>#DIV/0!</v>
      </c>
      <c r="G62" s="345">
        <v>0</v>
      </c>
      <c r="H62" s="246" t="e">
        <f>G62/$D62</f>
        <v>#DIV/0!</v>
      </c>
      <c r="I62" s="245">
        <f>E62+G62</f>
        <v>0</v>
      </c>
      <c r="J62" s="246" t="e">
        <f>I62/$D62</f>
        <v>#DIV/0!</v>
      </c>
    </row>
    <row r="63" spans="1:10" hidden="1" x14ac:dyDescent="0.25">
      <c r="A63" s="150"/>
      <c r="B63" s="250" t="e">
        <f>$B$8</f>
        <v>#VALUE!</v>
      </c>
      <c r="C63" s="349">
        <v>0</v>
      </c>
      <c r="D63" s="342">
        <v>0</v>
      </c>
      <c r="E63" s="343">
        <v>0</v>
      </c>
      <c r="F63" s="247" t="e">
        <f>E63/$D63</f>
        <v>#DIV/0!</v>
      </c>
      <c r="G63" s="346">
        <v>0</v>
      </c>
      <c r="H63" s="247" t="e">
        <f>G63/$D63</f>
        <v>#DIV/0!</v>
      </c>
      <c r="I63" s="254">
        <f>E63+G63</f>
        <v>0</v>
      </c>
      <c r="J63" s="247" t="e">
        <f>I63/$D63</f>
        <v>#DIV/0!</v>
      </c>
    </row>
    <row r="64" spans="1:10" hidden="1" x14ac:dyDescent="0.25">
      <c r="A64" s="150"/>
      <c r="B64" s="244" t="s">
        <v>278</v>
      </c>
      <c r="C64" s="245">
        <f>AVERAGE(C61:C63)</f>
        <v>0</v>
      </c>
      <c r="D64" s="245">
        <f>AVERAGE(D61:D63)</f>
        <v>0</v>
      </c>
      <c r="E64" s="245">
        <f>AVERAGE(E61:E63)</f>
        <v>0</v>
      </c>
      <c r="F64" s="246" t="e">
        <f>E64/$D64</f>
        <v>#DIV/0!</v>
      </c>
      <c r="G64" s="245">
        <f>AVERAGE(G61:G63)</f>
        <v>0</v>
      </c>
      <c r="H64" s="246" t="e">
        <f>G64/$D64</f>
        <v>#DIV/0!</v>
      </c>
      <c r="I64" s="245">
        <f>AVERAGE(I61:I63)</f>
        <v>0</v>
      </c>
      <c r="J64" s="246" t="e">
        <f>I64/$D64</f>
        <v>#DIV/0!</v>
      </c>
    </row>
    <row r="65" spans="1:10" hidden="1" x14ac:dyDescent="0.25">
      <c r="A65" s="150"/>
    </row>
    <row r="66" spans="1:10" hidden="1" x14ac:dyDescent="0.25">
      <c r="A66" s="150"/>
      <c r="B66" s="508" t="s">
        <v>367</v>
      </c>
      <c r="C66" s="508"/>
    </row>
    <row r="67" spans="1:10" ht="30.75" hidden="1" thickBot="1" x14ac:dyDescent="0.3">
      <c r="A67" s="150"/>
      <c r="B67" s="236" t="s">
        <v>113</v>
      </c>
      <c r="C67" s="236" t="s">
        <v>272</v>
      </c>
      <c r="D67" s="236" t="s">
        <v>273</v>
      </c>
      <c r="E67" s="236" t="s">
        <v>119</v>
      </c>
      <c r="F67" s="236" t="s">
        <v>274</v>
      </c>
      <c r="G67" s="236" t="s">
        <v>120</v>
      </c>
      <c r="H67" s="236" t="s">
        <v>275</v>
      </c>
      <c r="I67" s="236" t="s">
        <v>276</v>
      </c>
      <c r="J67" s="236" t="s">
        <v>277</v>
      </c>
    </row>
    <row r="68" spans="1:10" hidden="1" x14ac:dyDescent="0.25">
      <c r="A68" s="150"/>
      <c r="B68" s="244" t="str">
        <f>$B$6</f>
        <v>YYYY</v>
      </c>
      <c r="C68" s="347">
        <v>0</v>
      </c>
      <c r="D68" s="338">
        <v>0</v>
      </c>
      <c r="E68" s="339">
        <v>0</v>
      </c>
      <c r="F68" s="246" t="e">
        <f>E68/$D68</f>
        <v>#DIV/0!</v>
      </c>
      <c r="G68" s="344">
        <v>0</v>
      </c>
      <c r="H68" s="246" t="e">
        <f>G68/$D68</f>
        <v>#DIV/0!</v>
      </c>
      <c r="I68" s="245">
        <f>E68+G68</f>
        <v>0</v>
      </c>
      <c r="J68" s="246" t="e">
        <f>I68/$D68</f>
        <v>#DIV/0!</v>
      </c>
    </row>
    <row r="69" spans="1:10" hidden="1" x14ac:dyDescent="0.25">
      <c r="A69" s="150"/>
      <c r="B69" s="244" t="e">
        <f>$B$7</f>
        <v>#VALUE!</v>
      </c>
      <c r="C69" s="348">
        <v>0</v>
      </c>
      <c r="D69" s="340">
        <v>0</v>
      </c>
      <c r="E69" s="341">
        <v>0</v>
      </c>
      <c r="F69" s="246" t="e">
        <f>E69/$D69</f>
        <v>#DIV/0!</v>
      </c>
      <c r="G69" s="345">
        <v>0</v>
      </c>
      <c r="H69" s="246" t="e">
        <f>G69/$D69</f>
        <v>#DIV/0!</v>
      </c>
      <c r="I69" s="245">
        <f>E69+G69</f>
        <v>0</v>
      </c>
      <c r="J69" s="246" t="e">
        <f>I69/$D69</f>
        <v>#DIV/0!</v>
      </c>
    </row>
    <row r="70" spans="1:10" hidden="1" x14ac:dyDescent="0.25">
      <c r="A70" s="150"/>
      <c r="B70" s="250" t="e">
        <f>$B$8</f>
        <v>#VALUE!</v>
      </c>
      <c r="C70" s="349">
        <v>0</v>
      </c>
      <c r="D70" s="342">
        <v>0</v>
      </c>
      <c r="E70" s="343">
        <v>0</v>
      </c>
      <c r="F70" s="247" t="e">
        <f>E70/$D70</f>
        <v>#DIV/0!</v>
      </c>
      <c r="G70" s="346">
        <v>0</v>
      </c>
      <c r="H70" s="247" t="e">
        <f>G70/$D70</f>
        <v>#DIV/0!</v>
      </c>
      <c r="I70" s="254">
        <f>E70+G70</f>
        <v>0</v>
      </c>
      <c r="J70" s="247" t="e">
        <f>I70/$D70</f>
        <v>#DIV/0!</v>
      </c>
    </row>
    <row r="71" spans="1:10" hidden="1" x14ac:dyDescent="0.25">
      <c r="A71" s="150"/>
      <c r="B71" s="244" t="s">
        <v>278</v>
      </c>
      <c r="C71" s="245">
        <f>AVERAGE(C68:C70)</f>
        <v>0</v>
      </c>
      <c r="D71" s="245">
        <f>AVERAGE(D68:D70)</f>
        <v>0</v>
      </c>
      <c r="E71" s="245">
        <f>AVERAGE(E68:E70)</f>
        <v>0</v>
      </c>
      <c r="F71" s="246" t="e">
        <f>E71/$D71</f>
        <v>#DIV/0!</v>
      </c>
      <c r="G71" s="245">
        <f>AVERAGE(G68:G70)</f>
        <v>0</v>
      </c>
      <c r="H71" s="246" t="e">
        <f>G71/$D71</f>
        <v>#DIV/0!</v>
      </c>
      <c r="I71" s="245">
        <f>AVERAGE(I68:I70)</f>
        <v>0</v>
      </c>
      <c r="J71" s="246" t="e">
        <f>I71/$D71</f>
        <v>#DIV/0!</v>
      </c>
    </row>
    <row r="72" spans="1:10" hidden="1" x14ac:dyDescent="0.25">
      <c r="A72" s="150"/>
    </row>
    <row r="73" spans="1:10" hidden="1" x14ac:dyDescent="0.25">
      <c r="A73" s="150"/>
      <c r="B73" s="508" t="s">
        <v>367</v>
      </c>
      <c r="C73" s="508"/>
    </row>
    <row r="74" spans="1:10" ht="30.75" hidden="1" thickBot="1" x14ac:dyDescent="0.3">
      <c r="A74" s="150"/>
      <c r="B74" s="236" t="s">
        <v>113</v>
      </c>
      <c r="C74" s="236" t="s">
        <v>272</v>
      </c>
      <c r="D74" s="236" t="s">
        <v>273</v>
      </c>
      <c r="E74" s="236" t="s">
        <v>119</v>
      </c>
      <c r="F74" s="236" t="s">
        <v>274</v>
      </c>
      <c r="G74" s="236" t="s">
        <v>120</v>
      </c>
      <c r="H74" s="236" t="s">
        <v>275</v>
      </c>
      <c r="I74" s="236" t="s">
        <v>276</v>
      </c>
      <c r="J74" s="236" t="s">
        <v>277</v>
      </c>
    </row>
    <row r="75" spans="1:10" hidden="1" x14ac:dyDescent="0.25">
      <c r="A75" s="150"/>
      <c r="B75" s="244" t="str">
        <f>$B$6</f>
        <v>YYYY</v>
      </c>
      <c r="C75" s="347">
        <v>0</v>
      </c>
      <c r="D75" s="338">
        <v>0</v>
      </c>
      <c r="E75" s="339">
        <v>0</v>
      </c>
      <c r="F75" s="246" t="e">
        <f>E75/$D75</f>
        <v>#DIV/0!</v>
      </c>
      <c r="G75" s="344">
        <v>0</v>
      </c>
      <c r="H75" s="246" t="e">
        <f>G75/$D75</f>
        <v>#DIV/0!</v>
      </c>
      <c r="I75" s="245">
        <f>E75+G75</f>
        <v>0</v>
      </c>
      <c r="J75" s="246" t="e">
        <f>I75/$D75</f>
        <v>#DIV/0!</v>
      </c>
    </row>
    <row r="76" spans="1:10" hidden="1" x14ac:dyDescent="0.25">
      <c r="A76" s="150"/>
      <c r="B76" s="244" t="e">
        <f>$B$7</f>
        <v>#VALUE!</v>
      </c>
      <c r="C76" s="348">
        <v>0</v>
      </c>
      <c r="D76" s="340">
        <v>0</v>
      </c>
      <c r="E76" s="341">
        <v>0</v>
      </c>
      <c r="F76" s="246" t="e">
        <f>E76/$D76</f>
        <v>#DIV/0!</v>
      </c>
      <c r="G76" s="345">
        <v>0</v>
      </c>
      <c r="H76" s="246" t="e">
        <f>G76/$D76</f>
        <v>#DIV/0!</v>
      </c>
      <c r="I76" s="245">
        <f>E76+G76</f>
        <v>0</v>
      </c>
      <c r="J76" s="246" t="e">
        <f>I76/$D76</f>
        <v>#DIV/0!</v>
      </c>
    </row>
    <row r="77" spans="1:10" hidden="1" x14ac:dyDescent="0.25">
      <c r="A77" s="150"/>
      <c r="B77" s="250" t="e">
        <f>$B$8</f>
        <v>#VALUE!</v>
      </c>
      <c r="C77" s="349">
        <v>0</v>
      </c>
      <c r="D77" s="342">
        <v>0</v>
      </c>
      <c r="E77" s="343">
        <v>0</v>
      </c>
      <c r="F77" s="247" t="e">
        <f>E77/$D77</f>
        <v>#DIV/0!</v>
      </c>
      <c r="G77" s="346">
        <v>0</v>
      </c>
      <c r="H77" s="247" t="e">
        <f>G77/$D77</f>
        <v>#DIV/0!</v>
      </c>
      <c r="I77" s="254">
        <f>E77+G77</f>
        <v>0</v>
      </c>
      <c r="J77" s="247" t="e">
        <f>I77/$D77</f>
        <v>#DIV/0!</v>
      </c>
    </row>
    <row r="78" spans="1:10" hidden="1" x14ac:dyDescent="0.25">
      <c r="A78" s="150"/>
      <c r="B78" s="244" t="s">
        <v>278</v>
      </c>
      <c r="C78" s="245">
        <f>AVERAGE(C75:C77)</f>
        <v>0</v>
      </c>
      <c r="D78" s="245">
        <f>AVERAGE(D75:D77)</f>
        <v>0</v>
      </c>
      <c r="E78" s="245">
        <f>AVERAGE(E75:E77)</f>
        <v>0</v>
      </c>
      <c r="F78" s="246" t="e">
        <f>E78/$D78</f>
        <v>#DIV/0!</v>
      </c>
      <c r="G78" s="245">
        <f>AVERAGE(G75:G77)</f>
        <v>0</v>
      </c>
      <c r="H78" s="246" t="e">
        <f>G78/$D78</f>
        <v>#DIV/0!</v>
      </c>
      <c r="I78" s="245">
        <f>AVERAGE(I75:I77)</f>
        <v>0</v>
      </c>
      <c r="J78" s="246" t="e">
        <f>I78/$D78</f>
        <v>#DIV/0!</v>
      </c>
    </row>
    <row r="79" spans="1:10" hidden="1" x14ac:dyDescent="0.25">
      <c r="A79" s="150"/>
    </row>
    <row r="80" spans="1:10" hidden="1" x14ac:dyDescent="0.25">
      <c r="A80" s="150"/>
      <c r="B80" s="508" t="s">
        <v>367</v>
      </c>
      <c r="C80" s="508"/>
    </row>
    <row r="81" spans="1:10" ht="30.75" hidden="1" thickBot="1" x14ac:dyDescent="0.3">
      <c r="A81" s="150"/>
      <c r="B81" s="236" t="s">
        <v>113</v>
      </c>
      <c r="C81" s="236" t="s">
        <v>272</v>
      </c>
      <c r="D81" s="236" t="s">
        <v>273</v>
      </c>
      <c r="E81" s="236" t="s">
        <v>119</v>
      </c>
      <c r="F81" s="236" t="s">
        <v>274</v>
      </c>
      <c r="G81" s="236" t="s">
        <v>120</v>
      </c>
      <c r="H81" s="236" t="s">
        <v>275</v>
      </c>
      <c r="I81" s="236" t="s">
        <v>276</v>
      </c>
      <c r="J81" s="236" t="s">
        <v>277</v>
      </c>
    </row>
    <row r="82" spans="1:10" hidden="1" x14ac:dyDescent="0.25">
      <c r="A82" s="150"/>
      <c r="B82" s="244" t="str">
        <f>$B$6</f>
        <v>YYYY</v>
      </c>
      <c r="C82" s="347">
        <v>0</v>
      </c>
      <c r="D82" s="338">
        <v>0</v>
      </c>
      <c r="E82" s="339">
        <v>0</v>
      </c>
      <c r="F82" s="246" t="e">
        <f>E82/$D82</f>
        <v>#DIV/0!</v>
      </c>
      <c r="G82" s="344">
        <v>0</v>
      </c>
      <c r="H82" s="246" t="e">
        <f>G82/$D82</f>
        <v>#DIV/0!</v>
      </c>
      <c r="I82" s="245">
        <f>E82+G82</f>
        <v>0</v>
      </c>
      <c r="J82" s="246" t="e">
        <f>I82/$D82</f>
        <v>#DIV/0!</v>
      </c>
    </row>
    <row r="83" spans="1:10" hidden="1" x14ac:dyDescent="0.25">
      <c r="A83" s="150"/>
      <c r="B83" s="244" t="e">
        <f>$B$7</f>
        <v>#VALUE!</v>
      </c>
      <c r="C83" s="348">
        <v>0</v>
      </c>
      <c r="D83" s="340">
        <v>0</v>
      </c>
      <c r="E83" s="341">
        <v>0</v>
      </c>
      <c r="F83" s="246" t="e">
        <f>E83/$D83</f>
        <v>#DIV/0!</v>
      </c>
      <c r="G83" s="345">
        <v>0</v>
      </c>
      <c r="H83" s="246" t="e">
        <f>G83/$D83</f>
        <v>#DIV/0!</v>
      </c>
      <c r="I83" s="245">
        <f>E83+G83</f>
        <v>0</v>
      </c>
      <c r="J83" s="246" t="e">
        <f>I83/$D83</f>
        <v>#DIV/0!</v>
      </c>
    </row>
    <row r="84" spans="1:10" hidden="1" x14ac:dyDescent="0.25">
      <c r="A84" s="150"/>
      <c r="B84" s="250" t="e">
        <f>$B$8</f>
        <v>#VALUE!</v>
      </c>
      <c r="C84" s="349">
        <v>0</v>
      </c>
      <c r="D84" s="342">
        <v>0</v>
      </c>
      <c r="E84" s="343">
        <v>0</v>
      </c>
      <c r="F84" s="247" t="e">
        <f>E84/$D84</f>
        <v>#DIV/0!</v>
      </c>
      <c r="G84" s="346">
        <v>0</v>
      </c>
      <c r="H84" s="247" t="e">
        <f>G84/$D84</f>
        <v>#DIV/0!</v>
      </c>
      <c r="I84" s="254">
        <f>E84+G84</f>
        <v>0</v>
      </c>
      <c r="J84" s="247" t="e">
        <f>I84/$D84</f>
        <v>#DIV/0!</v>
      </c>
    </row>
    <row r="85" spans="1:10" hidden="1" x14ac:dyDescent="0.25">
      <c r="A85" s="150"/>
      <c r="B85" s="244" t="s">
        <v>278</v>
      </c>
      <c r="C85" s="245">
        <f>AVERAGE(C82:C84)</f>
        <v>0</v>
      </c>
      <c r="D85" s="245">
        <f>AVERAGE(D82:D84)</f>
        <v>0</v>
      </c>
      <c r="E85" s="245">
        <f>AVERAGE(E82:E84)</f>
        <v>0</v>
      </c>
      <c r="F85" s="246" t="e">
        <f>E85/$D85</f>
        <v>#DIV/0!</v>
      </c>
      <c r="G85" s="245">
        <f>AVERAGE(G82:G84)</f>
        <v>0</v>
      </c>
      <c r="H85" s="246" t="e">
        <f>G85/$D85</f>
        <v>#DIV/0!</v>
      </c>
      <c r="I85" s="245">
        <f>AVERAGE(I82:I84)</f>
        <v>0</v>
      </c>
      <c r="J85" s="246" t="e">
        <f>I85/$D85</f>
        <v>#DIV/0!</v>
      </c>
    </row>
    <row r="86" spans="1:10" hidden="1" x14ac:dyDescent="0.25">
      <c r="A86" s="150"/>
    </row>
    <row r="87" spans="1:10" hidden="1" x14ac:dyDescent="0.25">
      <c r="A87" s="150"/>
      <c r="B87" s="508" t="s">
        <v>367</v>
      </c>
      <c r="C87" s="508"/>
    </row>
    <row r="88" spans="1:10" ht="30.75" hidden="1" thickBot="1" x14ac:dyDescent="0.3">
      <c r="A88" s="150"/>
      <c r="B88" s="236" t="s">
        <v>113</v>
      </c>
      <c r="C88" s="236" t="s">
        <v>272</v>
      </c>
      <c r="D88" s="236" t="s">
        <v>273</v>
      </c>
      <c r="E88" s="236" t="s">
        <v>119</v>
      </c>
      <c r="F88" s="236" t="s">
        <v>274</v>
      </c>
      <c r="G88" s="236" t="s">
        <v>120</v>
      </c>
      <c r="H88" s="236" t="s">
        <v>275</v>
      </c>
      <c r="I88" s="236" t="s">
        <v>276</v>
      </c>
      <c r="J88" s="236" t="s">
        <v>277</v>
      </c>
    </row>
    <row r="89" spans="1:10" hidden="1" x14ac:dyDescent="0.25">
      <c r="A89" s="150"/>
      <c r="B89" s="244" t="str">
        <f>$B$6</f>
        <v>YYYY</v>
      </c>
      <c r="C89" s="347">
        <v>0</v>
      </c>
      <c r="D89" s="338">
        <v>0</v>
      </c>
      <c r="E89" s="339">
        <v>0</v>
      </c>
      <c r="F89" s="246" t="e">
        <f>E89/$D89</f>
        <v>#DIV/0!</v>
      </c>
      <c r="G89" s="344">
        <v>0</v>
      </c>
      <c r="H89" s="246" t="e">
        <f>G89/$D89</f>
        <v>#DIV/0!</v>
      </c>
      <c r="I89" s="245">
        <f>E89+G89</f>
        <v>0</v>
      </c>
      <c r="J89" s="246" t="e">
        <f>I89/$D89</f>
        <v>#DIV/0!</v>
      </c>
    </row>
    <row r="90" spans="1:10" hidden="1" x14ac:dyDescent="0.25">
      <c r="A90" s="150"/>
      <c r="B90" s="244" t="e">
        <f>$B$7</f>
        <v>#VALUE!</v>
      </c>
      <c r="C90" s="348">
        <v>0</v>
      </c>
      <c r="D90" s="340">
        <v>0</v>
      </c>
      <c r="E90" s="341">
        <v>0</v>
      </c>
      <c r="F90" s="246" t="e">
        <f>E90/$D90</f>
        <v>#DIV/0!</v>
      </c>
      <c r="G90" s="345">
        <v>0</v>
      </c>
      <c r="H90" s="246" t="e">
        <f>G90/$D90</f>
        <v>#DIV/0!</v>
      </c>
      <c r="I90" s="245">
        <f>E90+G90</f>
        <v>0</v>
      </c>
      <c r="J90" s="246" t="e">
        <f>I90/$D90</f>
        <v>#DIV/0!</v>
      </c>
    </row>
    <row r="91" spans="1:10" hidden="1" x14ac:dyDescent="0.25">
      <c r="A91" s="150"/>
      <c r="B91" s="250" t="e">
        <f>$B$8</f>
        <v>#VALUE!</v>
      </c>
      <c r="C91" s="349">
        <v>0</v>
      </c>
      <c r="D91" s="342">
        <v>0</v>
      </c>
      <c r="E91" s="343">
        <v>0</v>
      </c>
      <c r="F91" s="247" t="e">
        <f>E91/$D91</f>
        <v>#DIV/0!</v>
      </c>
      <c r="G91" s="346">
        <v>0</v>
      </c>
      <c r="H91" s="247" t="e">
        <f>G91/$D91</f>
        <v>#DIV/0!</v>
      </c>
      <c r="I91" s="254">
        <f>E91+G91</f>
        <v>0</v>
      </c>
      <c r="J91" s="247" t="e">
        <f>I91/$D91</f>
        <v>#DIV/0!</v>
      </c>
    </row>
    <row r="92" spans="1:10" hidden="1" x14ac:dyDescent="0.25">
      <c r="A92" s="150"/>
      <c r="B92" s="244" t="s">
        <v>278</v>
      </c>
      <c r="C92" s="245">
        <f>AVERAGE(C89:C91)</f>
        <v>0</v>
      </c>
      <c r="D92" s="245">
        <f>AVERAGE(D89:D91)</f>
        <v>0</v>
      </c>
      <c r="E92" s="245">
        <f>AVERAGE(E89:E91)</f>
        <v>0</v>
      </c>
      <c r="F92" s="246" t="e">
        <f>E92/$D92</f>
        <v>#DIV/0!</v>
      </c>
      <c r="G92" s="245">
        <f>AVERAGE(G89:G91)</f>
        <v>0</v>
      </c>
      <c r="H92" s="246" t="e">
        <f>G92/$D92</f>
        <v>#DIV/0!</v>
      </c>
      <c r="I92" s="245">
        <f>AVERAGE(I89:I91)</f>
        <v>0</v>
      </c>
      <c r="J92" s="246" t="e">
        <f>I92/$D92</f>
        <v>#DIV/0!</v>
      </c>
    </row>
    <row r="93" spans="1:10" hidden="1" x14ac:dyDescent="0.25">
      <c r="A93" s="150"/>
    </row>
    <row r="94" spans="1:10" hidden="1" x14ac:dyDescent="0.25">
      <c r="A94" s="150"/>
      <c r="B94" s="508" t="s">
        <v>367</v>
      </c>
      <c r="C94" s="508"/>
    </row>
    <row r="95" spans="1:10" ht="30.75" hidden="1" thickBot="1" x14ac:dyDescent="0.3">
      <c r="A95" s="150"/>
      <c r="B95" s="236" t="s">
        <v>113</v>
      </c>
      <c r="C95" s="236" t="s">
        <v>272</v>
      </c>
      <c r="D95" s="236" t="s">
        <v>273</v>
      </c>
      <c r="E95" s="236" t="s">
        <v>119</v>
      </c>
      <c r="F95" s="236" t="s">
        <v>274</v>
      </c>
      <c r="G95" s="236" t="s">
        <v>120</v>
      </c>
      <c r="H95" s="236" t="s">
        <v>275</v>
      </c>
      <c r="I95" s="236" t="s">
        <v>276</v>
      </c>
      <c r="J95" s="236" t="s">
        <v>277</v>
      </c>
    </row>
    <row r="96" spans="1:10" hidden="1" x14ac:dyDescent="0.25">
      <c r="A96" s="150"/>
      <c r="B96" s="244" t="str">
        <f>$B$6</f>
        <v>YYYY</v>
      </c>
      <c r="C96" s="347">
        <v>0</v>
      </c>
      <c r="D96" s="338">
        <v>0</v>
      </c>
      <c r="E96" s="339">
        <v>0</v>
      </c>
      <c r="F96" s="246" t="e">
        <f>E96/$D96</f>
        <v>#DIV/0!</v>
      </c>
      <c r="G96" s="344">
        <v>0</v>
      </c>
      <c r="H96" s="246" t="e">
        <f>G96/$D96</f>
        <v>#DIV/0!</v>
      </c>
      <c r="I96" s="245">
        <f>E96+G96</f>
        <v>0</v>
      </c>
      <c r="J96" s="246" t="e">
        <f>I96/$D96</f>
        <v>#DIV/0!</v>
      </c>
    </row>
    <row r="97" spans="1:10" hidden="1" x14ac:dyDescent="0.25">
      <c r="A97" s="150"/>
      <c r="B97" s="244" t="e">
        <f>$B$7</f>
        <v>#VALUE!</v>
      </c>
      <c r="C97" s="348">
        <v>0</v>
      </c>
      <c r="D97" s="340">
        <v>0</v>
      </c>
      <c r="E97" s="341">
        <v>0</v>
      </c>
      <c r="F97" s="246" t="e">
        <f>E97/$D97</f>
        <v>#DIV/0!</v>
      </c>
      <c r="G97" s="345">
        <v>0</v>
      </c>
      <c r="H97" s="246" t="e">
        <f>G97/$D97</f>
        <v>#DIV/0!</v>
      </c>
      <c r="I97" s="245">
        <f>E97+G97</f>
        <v>0</v>
      </c>
      <c r="J97" s="246" t="e">
        <f>I97/$D97</f>
        <v>#DIV/0!</v>
      </c>
    </row>
    <row r="98" spans="1:10" hidden="1" x14ac:dyDescent="0.25">
      <c r="A98" s="150"/>
      <c r="B98" s="250" t="e">
        <f>$B$8</f>
        <v>#VALUE!</v>
      </c>
      <c r="C98" s="349">
        <v>0</v>
      </c>
      <c r="D98" s="342">
        <v>0</v>
      </c>
      <c r="E98" s="343">
        <v>0</v>
      </c>
      <c r="F98" s="247" t="e">
        <f>E98/$D98</f>
        <v>#DIV/0!</v>
      </c>
      <c r="G98" s="346">
        <v>0</v>
      </c>
      <c r="H98" s="247" t="e">
        <f>G98/$D98</f>
        <v>#DIV/0!</v>
      </c>
      <c r="I98" s="254">
        <f>E98+G98</f>
        <v>0</v>
      </c>
      <c r="J98" s="247" t="e">
        <f>I98/$D98</f>
        <v>#DIV/0!</v>
      </c>
    </row>
    <row r="99" spans="1:10" hidden="1" x14ac:dyDescent="0.25">
      <c r="A99" s="150"/>
      <c r="B99" s="244" t="s">
        <v>278</v>
      </c>
      <c r="C99" s="245">
        <f>AVERAGE(C96:C98)</f>
        <v>0</v>
      </c>
      <c r="D99" s="245">
        <f>AVERAGE(D96:D98)</f>
        <v>0</v>
      </c>
      <c r="E99" s="245">
        <f>AVERAGE(E96:E98)</f>
        <v>0</v>
      </c>
      <c r="F99" s="246" t="e">
        <f>E99/$D99</f>
        <v>#DIV/0!</v>
      </c>
      <c r="G99" s="245">
        <f>AVERAGE(G96:G98)</f>
        <v>0</v>
      </c>
      <c r="H99" s="246" t="e">
        <f>G99/$D99</f>
        <v>#DIV/0!</v>
      </c>
      <c r="I99" s="245">
        <f>AVERAGE(I96:I98)</f>
        <v>0</v>
      </c>
      <c r="J99" s="246" t="e">
        <f>I99/$D99</f>
        <v>#DIV/0!</v>
      </c>
    </row>
    <row r="100" spans="1:10" hidden="1" x14ac:dyDescent="0.25">
      <c r="A100" s="150"/>
    </row>
    <row r="101" spans="1:10" hidden="1" x14ac:dyDescent="0.25">
      <c r="A101" s="150"/>
      <c r="B101" s="508" t="s">
        <v>367</v>
      </c>
      <c r="C101" s="508"/>
    </row>
    <row r="102" spans="1:10" ht="30.75" hidden="1" thickBot="1" x14ac:dyDescent="0.3">
      <c r="A102" s="150"/>
      <c r="B102" s="236" t="s">
        <v>113</v>
      </c>
      <c r="C102" s="236" t="s">
        <v>272</v>
      </c>
      <c r="D102" s="236" t="s">
        <v>273</v>
      </c>
      <c r="E102" s="236" t="s">
        <v>119</v>
      </c>
      <c r="F102" s="236" t="s">
        <v>274</v>
      </c>
      <c r="G102" s="236" t="s">
        <v>120</v>
      </c>
      <c r="H102" s="236" t="s">
        <v>275</v>
      </c>
      <c r="I102" s="236" t="s">
        <v>276</v>
      </c>
      <c r="J102" s="236" t="s">
        <v>277</v>
      </c>
    </row>
    <row r="103" spans="1:10" hidden="1" x14ac:dyDescent="0.25">
      <c r="A103" s="150"/>
      <c r="B103" s="244" t="str">
        <f>$B$6</f>
        <v>YYYY</v>
      </c>
      <c r="C103" s="347">
        <v>0</v>
      </c>
      <c r="D103" s="338">
        <v>0</v>
      </c>
      <c r="E103" s="339">
        <v>0</v>
      </c>
      <c r="F103" s="246" t="e">
        <f>E103/$D103</f>
        <v>#DIV/0!</v>
      </c>
      <c r="G103" s="344">
        <v>0</v>
      </c>
      <c r="H103" s="246" t="e">
        <f>G103/$D103</f>
        <v>#DIV/0!</v>
      </c>
      <c r="I103" s="245">
        <f>E103+G103</f>
        <v>0</v>
      </c>
      <c r="J103" s="246" t="e">
        <f>I103/$D103</f>
        <v>#DIV/0!</v>
      </c>
    </row>
    <row r="104" spans="1:10" hidden="1" x14ac:dyDescent="0.25">
      <c r="A104" s="150"/>
      <c r="B104" s="244" t="e">
        <f>$B$7</f>
        <v>#VALUE!</v>
      </c>
      <c r="C104" s="348">
        <v>0</v>
      </c>
      <c r="D104" s="340">
        <v>0</v>
      </c>
      <c r="E104" s="341">
        <v>0</v>
      </c>
      <c r="F104" s="246" t="e">
        <f>E104/$D104</f>
        <v>#DIV/0!</v>
      </c>
      <c r="G104" s="345">
        <v>0</v>
      </c>
      <c r="H104" s="246" t="e">
        <f>G104/$D104</f>
        <v>#DIV/0!</v>
      </c>
      <c r="I104" s="245">
        <f>E104+G104</f>
        <v>0</v>
      </c>
      <c r="J104" s="246" t="e">
        <f>I104/$D104</f>
        <v>#DIV/0!</v>
      </c>
    </row>
    <row r="105" spans="1:10" hidden="1" x14ac:dyDescent="0.25">
      <c r="A105" s="150"/>
      <c r="B105" s="250" t="e">
        <f>$B$8</f>
        <v>#VALUE!</v>
      </c>
      <c r="C105" s="349">
        <v>0</v>
      </c>
      <c r="D105" s="342">
        <v>0</v>
      </c>
      <c r="E105" s="343">
        <v>0</v>
      </c>
      <c r="F105" s="247" t="e">
        <f>E105/$D105</f>
        <v>#DIV/0!</v>
      </c>
      <c r="G105" s="346">
        <v>0</v>
      </c>
      <c r="H105" s="247" t="e">
        <f>G105/$D105</f>
        <v>#DIV/0!</v>
      </c>
      <c r="I105" s="254">
        <f>E105+G105</f>
        <v>0</v>
      </c>
      <c r="J105" s="247" t="e">
        <f>I105/$D105</f>
        <v>#DIV/0!</v>
      </c>
    </row>
    <row r="106" spans="1:10" hidden="1" x14ac:dyDescent="0.25">
      <c r="A106" s="150"/>
      <c r="B106" s="244" t="s">
        <v>278</v>
      </c>
      <c r="C106" s="245">
        <f>AVERAGE(C103:C105)</f>
        <v>0</v>
      </c>
      <c r="D106" s="245">
        <f>AVERAGE(D103:D105)</f>
        <v>0</v>
      </c>
      <c r="E106" s="245">
        <f>AVERAGE(E103:E105)</f>
        <v>0</v>
      </c>
      <c r="F106" s="246" t="e">
        <f>E106/$D106</f>
        <v>#DIV/0!</v>
      </c>
      <c r="G106" s="245">
        <f>AVERAGE(G103:G105)</f>
        <v>0</v>
      </c>
      <c r="H106" s="246" t="e">
        <f>G106/$D106</f>
        <v>#DIV/0!</v>
      </c>
      <c r="I106" s="245">
        <f>AVERAGE(I103:I105)</f>
        <v>0</v>
      </c>
      <c r="J106" s="246" t="e">
        <f>I106/$D106</f>
        <v>#DIV/0!</v>
      </c>
    </row>
    <row r="107" spans="1:10" hidden="1" x14ac:dyDescent="0.25">
      <c r="A107" s="150"/>
    </row>
    <row r="108" spans="1:10" hidden="1" x14ac:dyDescent="0.25">
      <c r="A108" s="150"/>
      <c r="B108" s="508" t="s">
        <v>367</v>
      </c>
      <c r="C108" s="508"/>
    </row>
    <row r="109" spans="1:10" ht="30.75" hidden="1" thickBot="1" x14ac:dyDescent="0.3">
      <c r="A109" s="150"/>
      <c r="B109" s="236" t="s">
        <v>113</v>
      </c>
      <c r="C109" s="236" t="s">
        <v>272</v>
      </c>
      <c r="D109" s="236" t="s">
        <v>273</v>
      </c>
      <c r="E109" s="236" t="s">
        <v>119</v>
      </c>
      <c r="F109" s="236" t="s">
        <v>274</v>
      </c>
      <c r="G109" s="236" t="s">
        <v>120</v>
      </c>
      <c r="H109" s="236" t="s">
        <v>275</v>
      </c>
      <c r="I109" s="236" t="s">
        <v>276</v>
      </c>
      <c r="J109" s="236" t="s">
        <v>277</v>
      </c>
    </row>
    <row r="110" spans="1:10" hidden="1" x14ac:dyDescent="0.25">
      <c r="A110" s="150"/>
      <c r="B110" s="244" t="str">
        <f>$B$6</f>
        <v>YYYY</v>
      </c>
      <c r="C110" s="347">
        <v>0</v>
      </c>
      <c r="D110" s="338">
        <v>0</v>
      </c>
      <c r="E110" s="339">
        <v>0</v>
      </c>
      <c r="F110" s="246" t="e">
        <f>E110/$D110</f>
        <v>#DIV/0!</v>
      </c>
      <c r="G110" s="344">
        <v>0</v>
      </c>
      <c r="H110" s="246" t="e">
        <f>G110/$D110</f>
        <v>#DIV/0!</v>
      </c>
      <c r="I110" s="245">
        <f>E110+G110</f>
        <v>0</v>
      </c>
      <c r="J110" s="246" t="e">
        <f>I110/$D110</f>
        <v>#DIV/0!</v>
      </c>
    </row>
    <row r="111" spans="1:10" hidden="1" x14ac:dyDescent="0.25">
      <c r="A111" s="150"/>
      <c r="B111" s="244" t="e">
        <f>$B$7</f>
        <v>#VALUE!</v>
      </c>
      <c r="C111" s="348">
        <v>0</v>
      </c>
      <c r="D111" s="340">
        <v>0</v>
      </c>
      <c r="E111" s="341">
        <v>0</v>
      </c>
      <c r="F111" s="246" t="e">
        <f>E111/$D111</f>
        <v>#DIV/0!</v>
      </c>
      <c r="G111" s="345">
        <v>0</v>
      </c>
      <c r="H111" s="246" t="e">
        <f>G111/$D111</f>
        <v>#DIV/0!</v>
      </c>
      <c r="I111" s="245">
        <f>E111+G111</f>
        <v>0</v>
      </c>
      <c r="J111" s="246" t="e">
        <f>I111/$D111</f>
        <v>#DIV/0!</v>
      </c>
    </row>
    <row r="112" spans="1:10" hidden="1" x14ac:dyDescent="0.25">
      <c r="A112" s="150"/>
      <c r="B112" s="250" t="e">
        <f>$B$8</f>
        <v>#VALUE!</v>
      </c>
      <c r="C112" s="349">
        <v>0</v>
      </c>
      <c r="D112" s="342">
        <v>0</v>
      </c>
      <c r="E112" s="343">
        <v>0</v>
      </c>
      <c r="F112" s="247" t="e">
        <f>E112/$D112</f>
        <v>#DIV/0!</v>
      </c>
      <c r="G112" s="346">
        <v>0</v>
      </c>
      <c r="H112" s="247" t="e">
        <f>G112/$D112</f>
        <v>#DIV/0!</v>
      </c>
      <c r="I112" s="254">
        <f>E112+G112</f>
        <v>0</v>
      </c>
      <c r="J112" s="247" t="e">
        <f>I112/$D112</f>
        <v>#DIV/0!</v>
      </c>
    </row>
    <row r="113" spans="1:10" hidden="1" x14ac:dyDescent="0.25">
      <c r="A113" s="150"/>
      <c r="B113" s="244" t="s">
        <v>278</v>
      </c>
      <c r="C113" s="245">
        <f>AVERAGE(C110:C112)</f>
        <v>0</v>
      </c>
      <c r="D113" s="245">
        <f>AVERAGE(D110:D112)</f>
        <v>0</v>
      </c>
      <c r="E113" s="245">
        <f>AVERAGE(E110:E112)</f>
        <v>0</v>
      </c>
      <c r="F113" s="246" t="e">
        <f>E113/$D113</f>
        <v>#DIV/0!</v>
      </c>
      <c r="G113" s="245">
        <f>AVERAGE(G110:G112)</f>
        <v>0</v>
      </c>
      <c r="H113" s="246" t="e">
        <f>G113/$D113</f>
        <v>#DIV/0!</v>
      </c>
      <c r="I113" s="245">
        <f>AVERAGE(I110:I112)</f>
        <v>0</v>
      </c>
      <c r="J113" s="246" t="e">
        <f>I113/$D113</f>
        <v>#DIV/0!</v>
      </c>
    </row>
    <row r="114" spans="1:10" hidden="1" x14ac:dyDescent="0.25">
      <c r="A114" s="150"/>
    </row>
    <row r="115" spans="1:10" hidden="1" x14ac:dyDescent="0.25">
      <c r="A115" s="150"/>
      <c r="B115" s="508" t="s">
        <v>367</v>
      </c>
      <c r="C115" s="508"/>
    </row>
    <row r="116" spans="1:10" ht="30.75" hidden="1" thickBot="1" x14ac:dyDescent="0.3">
      <c r="A116" s="150"/>
      <c r="B116" s="236" t="s">
        <v>113</v>
      </c>
      <c r="C116" s="236" t="s">
        <v>272</v>
      </c>
      <c r="D116" s="236" t="s">
        <v>273</v>
      </c>
      <c r="E116" s="236" t="s">
        <v>119</v>
      </c>
      <c r="F116" s="236" t="s">
        <v>274</v>
      </c>
      <c r="G116" s="236" t="s">
        <v>120</v>
      </c>
      <c r="H116" s="236" t="s">
        <v>275</v>
      </c>
      <c r="I116" s="236" t="s">
        <v>276</v>
      </c>
      <c r="J116" s="236" t="s">
        <v>277</v>
      </c>
    </row>
    <row r="117" spans="1:10" hidden="1" x14ac:dyDescent="0.25">
      <c r="A117" s="150"/>
      <c r="B117" s="244" t="str">
        <f>$B$6</f>
        <v>YYYY</v>
      </c>
      <c r="C117" s="347">
        <v>0</v>
      </c>
      <c r="D117" s="338">
        <v>0</v>
      </c>
      <c r="E117" s="339">
        <v>0</v>
      </c>
      <c r="F117" s="246" t="e">
        <f>E117/$D117</f>
        <v>#DIV/0!</v>
      </c>
      <c r="G117" s="344">
        <v>0</v>
      </c>
      <c r="H117" s="246" t="e">
        <f>G117/$D117</f>
        <v>#DIV/0!</v>
      </c>
      <c r="I117" s="245">
        <f>E117+G117</f>
        <v>0</v>
      </c>
      <c r="J117" s="246" t="e">
        <f>I117/$D117</f>
        <v>#DIV/0!</v>
      </c>
    </row>
    <row r="118" spans="1:10" hidden="1" x14ac:dyDescent="0.25">
      <c r="A118" s="150"/>
      <c r="B118" s="244" t="e">
        <f>$B$7</f>
        <v>#VALUE!</v>
      </c>
      <c r="C118" s="348">
        <v>0</v>
      </c>
      <c r="D118" s="340">
        <v>0</v>
      </c>
      <c r="E118" s="341">
        <v>0</v>
      </c>
      <c r="F118" s="246" t="e">
        <f>E118/$D118</f>
        <v>#DIV/0!</v>
      </c>
      <c r="G118" s="345">
        <v>0</v>
      </c>
      <c r="H118" s="246" t="e">
        <f>G118/$D118</f>
        <v>#DIV/0!</v>
      </c>
      <c r="I118" s="245">
        <f>E118+G118</f>
        <v>0</v>
      </c>
      <c r="J118" s="246" t="e">
        <f>I118/$D118</f>
        <v>#DIV/0!</v>
      </c>
    </row>
    <row r="119" spans="1:10" hidden="1" x14ac:dyDescent="0.25">
      <c r="A119" s="150"/>
      <c r="B119" s="250" t="e">
        <f>$B$8</f>
        <v>#VALUE!</v>
      </c>
      <c r="C119" s="349">
        <v>0</v>
      </c>
      <c r="D119" s="342">
        <v>0</v>
      </c>
      <c r="E119" s="343">
        <v>0</v>
      </c>
      <c r="F119" s="247" t="e">
        <f>E119/$D119</f>
        <v>#DIV/0!</v>
      </c>
      <c r="G119" s="346">
        <v>0</v>
      </c>
      <c r="H119" s="247" t="e">
        <f>G119/$D119</f>
        <v>#DIV/0!</v>
      </c>
      <c r="I119" s="254">
        <f>E119+G119</f>
        <v>0</v>
      </c>
      <c r="J119" s="247" t="e">
        <f>I119/$D119</f>
        <v>#DIV/0!</v>
      </c>
    </row>
    <row r="120" spans="1:10" hidden="1" x14ac:dyDescent="0.25">
      <c r="A120" s="150"/>
      <c r="B120" s="244" t="s">
        <v>278</v>
      </c>
      <c r="C120" s="245">
        <f>AVERAGE(C117:C119)</f>
        <v>0</v>
      </c>
      <c r="D120" s="245">
        <f>AVERAGE(D117:D119)</f>
        <v>0</v>
      </c>
      <c r="E120" s="245">
        <f>AVERAGE(E117:E119)</f>
        <v>0</v>
      </c>
      <c r="F120" s="246" t="e">
        <f>E120/$D120</f>
        <v>#DIV/0!</v>
      </c>
      <c r="G120" s="245">
        <f>AVERAGE(G117:G119)</f>
        <v>0</v>
      </c>
      <c r="H120" s="246" t="e">
        <f>G120/$D120</f>
        <v>#DIV/0!</v>
      </c>
      <c r="I120" s="245">
        <f>AVERAGE(I117:I119)</f>
        <v>0</v>
      </c>
      <c r="J120" s="246" t="e">
        <f>I120/$D120</f>
        <v>#DIV/0!</v>
      </c>
    </row>
    <row r="121" spans="1:10" hidden="1" x14ac:dyDescent="0.25">
      <c r="A121" s="150"/>
    </row>
    <row r="122" spans="1:10" hidden="1" x14ac:dyDescent="0.25">
      <c r="A122" s="150"/>
      <c r="B122" s="508" t="s">
        <v>367</v>
      </c>
      <c r="C122" s="508"/>
    </row>
    <row r="123" spans="1:10" ht="30.75" hidden="1" thickBot="1" x14ac:dyDescent="0.3">
      <c r="A123" s="150"/>
      <c r="B123" s="236" t="s">
        <v>113</v>
      </c>
      <c r="C123" s="236" t="s">
        <v>272</v>
      </c>
      <c r="D123" s="236" t="s">
        <v>273</v>
      </c>
      <c r="E123" s="236" t="s">
        <v>119</v>
      </c>
      <c r="F123" s="236" t="s">
        <v>274</v>
      </c>
      <c r="G123" s="236" t="s">
        <v>120</v>
      </c>
      <c r="H123" s="236" t="s">
        <v>275</v>
      </c>
      <c r="I123" s="236" t="s">
        <v>276</v>
      </c>
      <c r="J123" s="236" t="s">
        <v>277</v>
      </c>
    </row>
    <row r="124" spans="1:10" hidden="1" x14ac:dyDescent="0.25">
      <c r="A124" s="150"/>
      <c r="B124" s="244" t="str">
        <f>$B$6</f>
        <v>YYYY</v>
      </c>
      <c r="C124" s="347">
        <v>0</v>
      </c>
      <c r="D124" s="338">
        <v>0</v>
      </c>
      <c r="E124" s="339">
        <v>0</v>
      </c>
      <c r="F124" s="246" t="e">
        <f>E124/$D124</f>
        <v>#DIV/0!</v>
      </c>
      <c r="G124" s="344">
        <v>0</v>
      </c>
      <c r="H124" s="246" t="e">
        <f>G124/$D124</f>
        <v>#DIV/0!</v>
      </c>
      <c r="I124" s="245">
        <f>E124+G124</f>
        <v>0</v>
      </c>
      <c r="J124" s="246" t="e">
        <f>I124/$D124</f>
        <v>#DIV/0!</v>
      </c>
    </row>
    <row r="125" spans="1:10" hidden="1" x14ac:dyDescent="0.25">
      <c r="A125" s="150"/>
      <c r="B125" s="244" t="e">
        <f>$B$7</f>
        <v>#VALUE!</v>
      </c>
      <c r="C125" s="348">
        <v>0</v>
      </c>
      <c r="D125" s="340">
        <v>0</v>
      </c>
      <c r="E125" s="341">
        <v>0</v>
      </c>
      <c r="F125" s="246" t="e">
        <f>E125/$D125</f>
        <v>#DIV/0!</v>
      </c>
      <c r="G125" s="345">
        <v>0</v>
      </c>
      <c r="H125" s="246" t="e">
        <f>G125/$D125</f>
        <v>#DIV/0!</v>
      </c>
      <c r="I125" s="245">
        <f>E125+G125</f>
        <v>0</v>
      </c>
      <c r="J125" s="246" t="e">
        <f>I125/$D125</f>
        <v>#DIV/0!</v>
      </c>
    </row>
    <row r="126" spans="1:10" hidden="1" x14ac:dyDescent="0.25">
      <c r="A126" s="150"/>
      <c r="B126" s="250" t="e">
        <f>$B$8</f>
        <v>#VALUE!</v>
      </c>
      <c r="C126" s="349">
        <v>0</v>
      </c>
      <c r="D126" s="342">
        <v>0</v>
      </c>
      <c r="E126" s="343">
        <v>0</v>
      </c>
      <c r="F126" s="247" t="e">
        <f>E126/$D126</f>
        <v>#DIV/0!</v>
      </c>
      <c r="G126" s="346">
        <v>0</v>
      </c>
      <c r="H126" s="247" t="e">
        <f>G126/$D126</f>
        <v>#DIV/0!</v>
      </c>
      <c r="I126" s="254">
        <f>E126+G126</f>
        <v>0</v>
      </c>
      <c r="J126" s="247" t="e">
        <f>I126/$D126</f>
        <v>#DIV/0!</v>
      </c>
    </row>
    <row r="127" spans="1:10" hidden="1" x14ac:dyDescent="0.25">
      <c r="A127" s="150"/>
      <c r="B127" s="244" t="s">
        <v>278</v>
      </c>
      <c r="C127" s="245">
        <f>AVERAGE(C124:C126)</f>
        <v>0</v>
      </c>
      <c r="D127" s="245">
        <f>AVERAGE(D124:D126)</f>
        <v>0</v>
      </c>
      <c r="E127" s="245">
        <f>AVERAGE(E124:E126)</f>
        <v>0</v>
      </c>
      <c r="F127" s="246" t="e">
        <f>E127/$D127</f>
        <v>#DIV/0!</v>
      </c>
      <c r="G127" s="245">
        <f>AVERAGE(G124:G126)</f>
        <v>0</v>
      </c>
      <c r="H127" s="246" t="e">
        <f>G127/$D127</f>
        <v>#DIV/0!</v>
      </c>
      <c r="I127" s="245">
        <f>AVERAGE(I124:I126)</f>
        <v>0</v>
      </c>
      <c r="J127" s="246" t="e">
        <f>I127/$D127</f>
        <v>#DIV/0!</v>
      </c>
    </row>
    <row r="128" spans="1:10" hidden="1" x14ac:dyDescent="0.25">
      <c r="A128" s="150"/>
    </row>
    <row r="129" spans="1:10" hidden="1" x14ac:dyDescent="0.25">
      <c r="A129" s="150"/>
      <c r="B129" s="508" t="s">
        <v>367</v>
      </c>
      <c r="C129" s="508"/>
    </row>
    <row r="130" spans="1:10" ht="30.75" hidden="1" thickBot="1" x14ac:dyDescent="0.3">
      <c r="A130" s="150"/>
      <c r="B130" s="236" t="s">
        <v>113</v>
      </c>
      <c r="C130" s="236" t="s">
        <v>272</v>
      </c>
      <c r="D130" s="236" t="s">
        <v>273</v>
      </c>
      <c r="E130" s="236" t="s">
        <v>119</v>
      </c>
      <c r="F130" s="236" t="s">
        <v>274</v>
      </c>
      <c r="G130" s="236" t="s">
        <v>120</v>
      </c>
      <c r="H130" s="236" t="s">
        <v>275</v>
      </c>
      <c r="I130" s="236" t="s">
        <v>276</v>
      </c>
      <c r="J130" s="236" t="s">
        <v>277</v>
      </c>
    </row>
    <row r="131" spans="1:10" hidden="1" x14ac:dyDescent="0.25">
      <c r="A131" s="150"/>
      <c r="B131" s="244" t="str">
        <f>$B$6</f>
        <v>YYYY</v>
      </c>
      <c r="C131" s="347">
        <v>0</v>
      </c>
      <c r="D131" s="338">
        <v>0</v>
      </c>
      <c r="E131" s="339">
        <v>0</v>
      </c>
      <c r="F131" s="246" t="e">
        <f>E131/$D131</f>
        <v>#DIV/0!</v>
      </c>
      <c r="G131" s="344">
        <v>0</v>
      </c>
      <c r="H131" s="246" t="e">
        <f>G131/$D131</f>
        <v>#DIV/0!</v>
      </c>
      <c r="I131" s="245">
        <f>E131+G131</f>
        <v>0</v>
      </c>
      <c r="J131" s="246" t="e">
        <f>I131/$D131</f>
        <v>#DIV/0!</v>
      </c>
    </row>
    <row r="132" spans="1:10" hidden="1" x14ac:dyDescent="0.25">
      <c r="A132" s="150"/>
      <c r="B132" s="244" t="e">
        <f>$B$7</f>
        <v>#VALUE!</v>
      </c>
      <c r="C132" s="348">
        <v>0</v>
      </c>
      <c r="D132" s="340">
        <v>0</v>
      </c>
      <c r="E132" s="341">
        <v>0</v>
      </c>
      <c r="F132" s="246" t="e">
        <f>E132/$D132</f>
        <v>#DIV/0!</v>
      </c>
      <c r="G132" s="345">
        <v>0</v>
      </c>
      <c r="H132" s="246" t="e">
        <f>G132/$D132</f>
        <v>#DIV/0!</v>
      </c>
      <c r="I132" s="245">
        <f>E132+G132</f>
        <v>0</v>
      </c>
      <c r="J132" s="246" t="e">
        <f>I132/$D132</f>
        <v>#DIV/0!</v>
      </c>
    </row>
    <row r="133" spans="1:10" hidden="1" x14ac:dyDescent="0.25">
      <c r="A133" s="150"/>
      <c r="B133" s="250" t="e">
        <f>$B$8</f>
        <v>#VALUE!</v>
      </c>
      <c r="C133" s="349">
        <v>0</v>
      </c>
      <c r="D133" s="342">
        <v>0</v>
      </c>
      <c r="E133" s="343">
        <v>0</v>
      </c>
      <c r="F133" s="247" t="e">
        <f>E133/$D133</f>
        <v>#DIV/0!</v>
      </c>
      <c r="G133" s="346">
        <v>0</v>
      </c>
      <c r="H133" s="247" t="e">
        <f>G133/$D133</f>
        <v>#DIV/0!</v>
      </c>
      <c r="I133" s="254">
        <f>E133+G133</f>
        <v>0</v>
      </c>
      <c r="J133" s="247" t="e">
        <f>I133/$D133</f>
        <v>#DIV/0!</v>
      </c>
    </row>
    <row r="134" spans="1:10" hidden="1" x14ac:dyDescent="0.25">
      <c r="A134" s="150"/>
      <c r="B134" s="244" t="s">
        <v>278</v>
      </c>
      <c r="C134" s="245">
        <f>AVERAGE(C131:C133)</f>
        <v>0</v>
      </c>
      <c r="D134" s="245">
        <f>AVERAGE(D131:D133)</f>
        <v>0</v>
      </c>
      <c r="E134" s="245">
        <f>AVERAGE(E131:E133)</f>
        <v>0</v>
      </c>
      <c r="F134" s="246" t="e">
        <f>E134/$D134</f>
        <v>#DIV/0!</v>
      </c>
      <c r="G134" s="245">
        <f>AVERAGE(G131:G133)</f>
        <v>0</v>
      </c>
      <c r="H134" s="246" t="e">
        <f>G134/$D134</f>
        <v>#DIV/0!</v>
      </c>
      <c r="I134" s="245">
        <f>AVERAGE(I131:I133)</f>
        <v>0</v>
      </c>
      <c r="J134" s="246" t="e">
        <f>I134/$D134</f>
        <v>#DIV/0!</v>
      </c>
    </row>
    <row r="135" spans="1:10" hidden="1" x14ac:dyDescent="0.25">
      <c r="A135" s="150"/>
    </row>
    <row r="136" spans="1:10" hidden="1" x14ac:dyDescent="0.25">
      <c r="A136" s="150"/>
      <c r="B136" s="508" t="s">
        <v>367</v>
      </c>
      <c r="C136" s="508"/>
    </row>
    <row r="137" spans="1:10" ht="30.75" hidden="1" thickBot="1" x14ac:dyDescent="0.3">
      <c r="A137" s="150"/>
      <c r="B137" s="236" t="s">
        <v>113</v>
      </c>
      <c r="C137" s="236" t="s">
        <v>272</v>
      </c>
      <c r="D137" s="236" t="s">
        <v>273</v>
      </c>
      <c r="E137" s="236" t="s">
        <v>119</v>
      </c>
      <c r="F137" s="236" t="s">
        <v>274</v>
      </c>
      <c r="G137" s="236" t="s">
        <v>120</v>
      </c>
      <c r="H137" s="236" t="s">
        <v>275</v>
      </c>
      <c r="I137" s="236" t="s">
        <v>276</v>
      </c>
      <c r="J137" s="236" t="s">
        <v>277</v>
      </c>
    </row>
    <row r="138" spans="1:10" hidden="1" x14ac:dyDescent="0.25">
      <c r="A138" s="150"/>
      <c r="B138" s="244" t="str">
        <f>$B$6</f>
        <v>YYYY</v>
      </c>
      <c r="C138" s="347">
        <v>0</v>
      </c>
      <c r="D138" s="338">
        <v>0</v>
      </c>
      <c r="E138" s="339">
        <v>0</v>
      </c>
      <c r="F138" s="246" t="e">
        <f>E138/$D138</f>
        <v>#DIV/0!</v>
      </c>
      <c r="G138" s="344">
        <v>0</v>
      </c>
      <c r="H138" s="246" t="e">
        <f>G138/$D138</f>
        <v>#DIV/0!</v>
      </c>
      <c r="I138" s="245">
        <f>E138+G138</f>
        <v>0</v>
      </c>
      <c r="J138" s="246" t="e">
        <f>I138/$D138</f>
        <v>#DIV/0!</v>
      </c>
    </row>
    <row r="139" spans="1:10" hidden="1" x14ac:dyDescent="0.25">
      <c r="A139" s="150"/>
      <c r="B139" s="244" t="e">
        <f>$B$7</f>
        <v>#VALUE!</v>
      </c>
      <c r="C139" s="348">
        <v>0</v>
      </c>
      <c r="D139" s="340">
        <v>0</v>
      </c>
      <c r="E139" s="341">
        <v>0</v>
      </c>
      <c r="F139" s="246" t="e">
        <f>E139/$D139</f>
        <v>#DIV/0!</v>
      </c>
      <c r="G139" s="345">
        <v>0</v>
      </c>
      <c r="H139" s="246" t="e">
        <f>G139/$D139</f>
        <v>#DIV/0!</v>
      </c>
      <c r="I139" s="245">
        <f>E139+G139</f>
        <v>0</v>
      </c>
      <c r="J139" s="246" t="e">
        <f>I139/$D139</f>
        <v>#DIV/0!</v>
      </c>
    </row>
    <row r="140" spans="1:10" hidden="1" x14ac:dyDescent="0.25">
      <c r="A140" s="150"/>
      <c r="B140" s="250" t="e">
        <f>$B$8</f>
        <v>#VALUE!</v>
      </c>
      <c r="C140" s="349">
        <v>0</v>
      </c>
      <c r="D140" s="342">
        <v>0</v>
      </c>
      <c r="E140" s="343">
        <v>0</v>
      </c>
      <c r="F140" s="247" t="e">
        <f>E140/$D140</f>
        <v>#DIV/0!</v>
      </c>
      <c r="G140" s="346">
        <v>0</v>
      </c>
      <c r="H140" s="247" t="e">
        <f>G140/$D140</f>
        <v>#DIV/0!</v>
      </c>
      <c r="I140" s="254">
        <f>E140+G140</f>
        <v>0</v>
      </c>
      <c r="J140" s="247" t="e">
        <f>I140/$D140</f>
        <v>#DIV/0!</v>
      </c>
    </row>
    <row r="141" spans="1:10" hidden="1" x14ac:dyDescent="0.25">
      <c r="A141" s="150"/>
      <c r="B141" s="244" t="s">
        <v>278</v>
      </c>
      <c r="C141" s="245">
        <f>AVERAGE(C138:C140)</f>
        <v>0</v>
      </c>
      <c r="D141" s="245">
        <f>AVERAGE(D138:D140)</f>
        <v>0</v>
      </c>
      <c r="E141" s="245">
        <f>AVERAGE(E138:E140)</f>
        <v>0</v>
      </c>
      <c r="F141" s="246" t="e">
        <f>E141/$D141</f>
        <v>#DIV/0!</v>
      </c>
      <c r="G141" s="245">
        <f>AVERAGE(G138:G140)</f>
        <v>0</v>
      </c>
      <c r="H141" s="246" t="e">
        <f>G141/$D141</f>
        <v>#DIV/0!</v>
      </c>
      <c r="I141" s="245">
        <f>AVERAGE(I138:I140)</f>
        <v>0</v>
      </c>
      <c r="J141" s="246" t="e">
        <f>I141/$D141</f>
        <v>#DIV/0!</v>
      </c>
    </row>
    <row r="142" spans="1:10" hidden="1" x14ac:dyDescent="0.25">
      <c r="A142" s="150"/>
    </row>
    <row r="143" spans="1:10" hidden="1" x14ac:dyDescent="0.25">
      <c r="A143" s="150"/>
      <c r="B143" s="508" t="s">
        <v>367</v>
      </c>
      <c r="C143" s="508"/>
    </row>
    <row r="144" spans="1:10" ht="30.75" hidden="1" thickBot="1" x14ac:dyDescent="0.3">
      <c r="A144" s="150"/>
      <c r="B144" s="236" t="s">
        <v>113</v>
      </c>
      <c r="C144" s="236" t="s">
        <v>272</v>
      </c>
      <c r="D144" s="236" t="s">
        <v>273</v>
      </c>
      <c r="E144" s="236" t="s">
        <v>119</v>
      </c>
      <c r="F144" s="236" t="s">
        <v>274</v>
      </c>
      <c r="G144" s="236" t="s">
        <v>120</v>
      </c>
      <c r="H144" s="236" t="s">
        <v>275</v>
      </c>
      <c r="I144" s="236" t="s">
        <v>276</v>
      </c>
      <c r="J144" s="236" t="s">
        <v>277</v>
      </c>
    </row>
    <row r="145" spans="1:10" hidden="1" x14ac:dyDescent="0.25">
      <c r="A145" s="150"/>
      <c r="B145" s="244" t="str">
        <f>$B$6</f>
        <v>YYYY</v>
      </c>
      <c r="C145" s="347">
        <v>0</v>
      </c>
      <c r="D145" s="338">
        <v>0</v>
      </c>
      <c r="E145" s="339">
        <v>0</v>
      </c>
      <c r="F145" s="246" t="e">
        <f>E145/$D145</f>
        <v>#DIV/0!</v>
      </c>
      <c r="G145" s="344">
        <v>0</v>
      </c>
      <c r="H145" s="246" t="e">
        <f>G145/$D145</f>
        <v>#DIV/0!</v>
      </c>
      <c r="I145" s="245">
        <f>E145+G145</f>
        <v>0</v>
      </c>
      <c r="J145" s="246" t="e">
        <f>I145/$D145</f>
        <v>#DIV/0!</v>
      </c>
    </row>
    <row r="146" spans="1:10" hidden="1" x14ac:dyDescent="0.25">
      <c r="A146" s="150"/>
      <c r="B146" s="244" t="e">
        <f>$B$7</f>
        <v>#VALUE!</v>
      </c>
      <c r="C146" s="348">
        <v>0</v>
      </c>
      <c r="D146" s="340">
        <v>0</v>
      </c>
      <c r="E146" s="341">
        <v>0</v>
      </c>
      <c r="F146" s="246" t="e">
        <f>E146/$D146</f>
        <v>#DIV/0!</v>
      </c>
      <c r="G146" s="345">
        <v>0</v>
      </c>
      <c r="H146" s="246" t="e">
        <f>G146/$D146</f>
        <v>#DIV/0!</v>
      </c>
      <c r="I146" s="245">
        <f>E146+G146</f>
        <v>0</v>
      </c>
      <c r="J146" s="246" t="e">
        <f>I146/$D146</f>
        <v>#DIV/0!</v>
      </c>
    </row>
    <row r="147" spans="1:10" hidden="1" x14ac:dyDescent="0.25">
      <c r="A147" s="150"/>
      <c r="B147" s="250" t="e">
        <f>$B$8</f>
        <v>#VALUE!</v>
      </c>
      <c r="C147" s="349">
        <v>0</v>
      </c>
      <c r="D147" s="342">
        <v>0</v>
      </c>
      <c r="E147" s="343">
        <v>0</v>
      </c>
      <c r="F147" s="247" t="e">
        <f>E147/$D147</f>
        <v>#DIV/0!</v>
      </c>
      <c r="G147" s="346">
        <v>0</v>
      </c>
      <c r="H147" s="247" t="e">
        <f>G147/$D147</f>
        <v>#DIV/0!</v>
      </c>
      <c r="I147" s="254">
        <f>E147+G147</f>
        <v>0</v>
      </c>
      <c r="J147" s="247" t="e">
        <f>I147/$D147</f>
        <v>#DIV/0!</v>
      </c>
    </row>
    <row r="148" spans="1:10" hidden="1" x14ac:dyDescent="0.25">
      <c r="A148" s="150"/>
      <c r="B148" s="244" t="s">
        <v>278</v>
      </c>
      <c r="C148" s="245">
        <f>AVERAGE(C145:C147)</f>
        <v>0</v>
      </c>
      <c r="D148" s="245">
        <f>AVERAGE(D145:D147)</f>
        <v>0</v>
      </c>
      <c r="E148" s="245">
        <f>AVERAGE(E145:E147)</f>
        <v>0</v>
      </c>
      <c r="F148" s="246" t="e">
        <f>E148/$D148</f>
        <v>#DIV/0!</v>
      </c>
      <c r="G148" s="245">
        <f>AVERAGE(G145:G147)</f>
        <v>0</v>
      </c>
      <c r="H148" s="246" t="e">
        <f>G148/$D148</f>
        <v>#DIV/0!</v>
      </c>
      <c r="I148" s="245">
        <f>AVERAGE(I145:I147)</f>
        <v>0</v>
      </c>
      <c r="J148" s="246" t="e">
        <f>I148/$D148</f>
        <v>#DIV/0!</v>
      </c>
    </row>
    <row r="149" spans="1:10" hidden="1" x14ac:dyDescent="0.25">
      <c r="A149" s="150"/>
    </row>
    <row r="150" spans="1:10" hidden="1" x14ac:dyDescent="0.25">
      <c r="A150" s="150"/>
      <c r="B150" s="508" t="s">
        <v>367</v>
      </c>
      <c r="C150" s="508"/>
    </row>
    <row r="151" spans="1:10" ht="30.75" hidden="1" thickBot="1" x14ac:dyDescent="0.3">
      <c r="A151" s="150"/>
      <c r="B151" s="236" t="s">
        <v>113</v>
      </c>
      <c r="C151" s="236" t="s">
        <v>272</v>
      </c>
      <c r="D151" s="236" t="s">
        <v>273</v>
      </c>
      <c r="E151" s="236" t="s">
        <v>119</v>
      </c>
      <c r="F151" s="236" t="s">
        <v>274</v>
      </c>
      <c r="G151" s="236" t="s">
        <v>120</v>
      </c>
      <c r="H151" s="236" t="s">
        <v>275</v>
      </c>
      <c r="I151" s="236" t="s">
        <v>276</v>
      </c>
      <c r="J151" s="236" t="s">
        <v>277</v>
      </c>
    </row>
    <row r="152" spans="1:10" hidden="1" x14ac:dyDescent="0.25">
      <c r="A152" s="150"/>
      <c r="B152" s="244" t="str">
        <f>$B$6</f>
        <v>YYYY</v>
      </c>
      <c r="C152" s="347">
        <v>0</v>
      </c>
      <c r="D152" s="338">
        <v>0</v>
      </c>
      <c r="E152" s="339">
        <v>0</v>
      </c>
      <c r="F152" s="246" t="e">
        <f>E152/$D152</f>
        <v>#DIV/0!</v>
      </c>
      <c r="G152" s="344">
        <v>0</v>
      </c>
      <c r="H152" s="246" t="e">
        <f>G152/$D152</f>
        <v>#DIV/0!</v>
      </c>
      <c r="I152" s="245">
        <f>E152+G152</f>
        <v>0</v>
      </c>
      <c r="J152" s="246" t="e">
        <f>I152/$D152</f>
        <v>#DIV/0!</v>
      </c>
    </row>
    <row r="153" spans="1:10" hidden="1" x14ac:dyDescent="0.25">
      <c r="A153" s="150"/>
      <c r="B153" s="244" t="e">
        <f>$B$7</f>
        <v>#VALUE!</v>
      </c>
      <c r="C153" s="348">
        <v>0</v>
      </c>
      <c r="D153" s="340">
        <v>0</v>
      </c>
      <c r="E153" s="341">
        <v>0</v>
      </c>
      <c r="F153" s="246" t="e">
        <f>E153/$D153</f>
        <v>#DIV/0!</v>
      </c>
      <c r="G153" s="345">
        <v>0</v>
      </c>
      <c r="H153" s="246" t="e">
        <f>G153/$D153</f>
        <v>#DIV/0!</v>
      </c>
      <c r="I153" s="245">
        <f>E153+G153</f>
        <v>0</v>
      </c>
      <c r="J153" s="246" t="e">
        <f>I153/$D153</f>
        <v>#DIV/0!</v>
      </c>
    </row>
    <row r="154" spans="1:10" hidden="1" x14ac:dyDescent="0.25">
      <c r="A154" s="150"/>
      <c r="B154" s="250" t="e">
        <f>$B$8</f>
        <v>#VALUE!</v>
      </c>
      <c r="C154" s="349">
        <v>0</v>
      </c>
      <c r="D154" s="342">
        <v>0</v>
      </c>
      <c r="E154" s="343">
        <v>0</v>
      </c>
      <c r="F154" s="247" t="e">
        <f>E154/$D154</f>
        <v>#DIV/0!</v>
      </c>
      <c r="G154" s="346">
        <v>0</v>
      </c>
      <c r="H154" s="247" t="e">
        <f>G154/$D154</f>
        <v>#DIV/0!</v>
      </c>
      <c r="I154" s="254">
        <f>E154+G154</f>
        <v>0</v>
      </c>
      <c r="J154" s="247" t="e">
        <f>I154/$D154</f>
        <v>#DIV/0!</v>
      </c>
    </row>
    <row r="155" spans="1:10" hidden="1" x14ac:dyDescent="0.25">
      <c r="A155" s="150"/>
      <c r="B155" s="244" t="s">
        <v>278</v>
      </c>
      <c r="C155" s="245">
        <f>AVERAGE(C152:C154)</f>
        <v>0</v>
      </c>
      <c r="D155" s="245">
        <f>AVERAGE(D152:D154)</f>
        <v>0</v>
      </c>
      <c r="E155" s="245">
        <f>AVERAGE(E152:E154)</f>
        <v>0</v>
      </c>
      <c r="F155" s="246" t="e">
        <f>E155/$D155</f>
        <v>#DIV/0!</v>
      </c>
      <c r="G155" s="245">
        <f>AVERAGE(G152:G154)</f>
        <v>0</v>
      </c>
      <c r="H155" s="246" t="e">
        <f>G155/$D155</f>
        <v>#DIV/0!</v>
      </c>
      <c r="I155" s="245">
        <f>AVERAGE(I152:I154)</f>
        <v>0</v>
      </c>
      <c r="J155" s="246" t="e">
        <f>I155/$D155</f>
        <v>#DIV/0!</v>
      </c>
    </row>
    <row r="156" spans="1:10" hidden="1" x14ac:dyDescent="0.25">
      <c r="A156" s="150"/>
    </row>
    <row r="157" spans="1:10" hidden="1" x14ac:dyDescent="0.25">
      <c r="A157" s="150"/>
      <c r="B157" s="508" t="s">
        <v>367</v>
      </c>
      <c r="C157" s="508"/>
    </row>
    <row r="158" spans="1:10" ht="30.75" hidden="1" thickBot="1" x14ac:dyDescent="0.3">
      <c r="A158" s="150"/>
      <c r="B158" s="236" t="s">
        <v>113</v>
      </c>
      <c r="C158" s="236" t="s">
        <v>272</v>
      </c>
      <c r="D158" s="236" t="s">
        <v>273</v>
      </c>
      <c r="E158" s="236" t="s">
        <v>119</v>
      </c>
      <c r="F158" s="236" t="s">
        <v>274</v>
      </c>
      <c r="G158" s="236" t="s">
        <v>120</v>
      </c>
      <c r="H158" s="236" t="s">
        <v>275</v>
      </c>
      <c r="I158" s="236" t="s">
        <v>276</v>
      </c>
      <c r="J158" s="236" t="s">
        <v>277</v>
      </c>
    </row>
    <row r="159" spans="1:10" hidden="1" x14ac:dyDescent="0.25">
      <c r="A159" s="150"/>
      <c r="B159" s="244" t="str">
        <f>$B$6</f>
        <v>YYYY</v>
      </c>
      <c r="C159" s="347">
        <v>0</v>
      </c>
      <c r="D159" s="338">
        <v>0</v>
      </c>
      <c r="E159" s="339">
        <v>0</v>
      </c>
      <c r="F159" s="246" t="e">
        <f>E159/$D159</f>
        <v>#DIV/0!</v>
      </c>
      <c r="G159" s="344">
        <v>0</v>
      </c>
      <c r="H159" s="246" t="e">
        <f>G159/$D159</f>
        <v>#DIV/0!</v>
      </c>
      <c r="I159" s="245">
        <f>E159+G159</f>
        <v>0</v>
      </c>
      <c r="J159" s="246" t="e">
        <f>I159/$D159</f>
        <v>#DIV/0!</v>
      </c>
    </row>
    <row r="160" spans="1:10" hidden="1" x14ac:dyDescent="0.25">
      <c r="A160" s="150"/>
      <c r="B160" s="244" t="e">
        <f>$B$7</f>
        <v>#VALUE!</v>
      </c>
      <c r="C160" s="348">
        <v>0</v>
      </c>
      <c r="D160" s="340">
        <v>0</v>
      </c>
      <c r="E160" s="341">
        <v>0</v>
      </c>
      <c r="F160" s="246" t="e">
        <f>E160/$D160</f>
        <v>#DIV/0!</v>
      </c>
      <c r="G160" s="345">
        <v>0</v>
      </c>
      <c r="H160" s="246" t="e">
        <f>G160/$D160</f>
        <v>#DIV/0!</v>
      </c>
      <c r="I160" s="245">
        <f>E160+G160</f>
        <v>0</v>
      </c>
      <c r="J160" s="246" t="e">
        <f>I160/$D160</f>
        <v>#DIV/0!</v>
      </c>
    </row>
    <row r="161" spans="1:10" hidden="1" x14ac:dyDescent="0.25">
      <c r="A161" s="150"/>
      <c r="B161" s="250" t="e">
        <f>$B$8</f>
        <v>#VALUE!</v>
      </c>
      <c r="C161" s="349">
        <v>0</v>
      </c>
      <c r="D161" s="342">
        <v>0</v>
      </c>
      <c r="E161" s="343">
        <v>0</v>
      </c>
      <c r="F161" s="247" t="e">
        <f>E161/$D161</f>
        <v>#DIV/0!</v>
      </c>
      <c r="G161" s="346">
        <v>0</v>
      </c>
      <c r="H161" s="247" t="e">
        <f>G161/$D161</f>
        <v>#DIV/0!</v>
      </c>
      <c r="I161" s="254">
        <f>E161+G161</f>
        <v>0</v>
      </c>
      <c r="J161" s="247" t="e">
        <f>I161/$D161</f>
        <v>#DIV/0!</v>
      </c>
    </row>
    <row r="162" spans="1:10" hidden="1" x14ac:dyDescent="0.25">
      <c r="A162" s="150"/>
      <c r="B162" s="244" t="s">
        <v>278</v>
      </c>
      <c r="C162" s="245">
        <f>AVERAGE(C159:C161)</f>
        <v>0</v>
      </c>
      <c r="D162" s="245">
        <f>AVERAGE(D159:D161)</f>
        <v>0</v>
      </c>
      <c r="E162" s="245">
        <f>AVERAGE(E159:E161)</f>
        <v>0</v>
      </c>
      <c r="F162" s="246" t="e">
        <f>E162/$D162</f>
        <v>#DIV/0!</v>
      </c>
      <c r="G162" s="245">
        <f>AVERAGE(G159:G161)</f>
        <v>0</v>
      </c>
      <c r="H162" s="246" t="e">
        <f>G162/$D162</f>
        <v>#DIV/0!</v>
      </c>
      <c r="I162" s="245">
        <f>AVERAGE(I159:I161)</f>
        <v>0</v>
      </c>
      <c r="J162" s="246" t="e">
        <f>I162/$D162</f>
        <v>#DIV/0!</v>
      </c>
    </row>
    <row r="163" spans="1:10" hidden="1" x14ac:dyDescent="0.25">
      <c r="A163" s="150"/>
    </row>
    <row r="164" spans="1:10" hidden="1" x14ac:dyDescent="0.25">
      <c r="A164" s="150"/>
      <c r="B164" s="508" t="s">
        <v>367</v>
      </c>
      <c r="C164" s="508"/>
    </row>
    <row r="165" spans="1:10" ht="30.75" hidden="1" thickBot="1" x14ac:dyDescent="0.3">
      <c r="A165" s="150"/>
      <c r="B165" s="236" t="s">
        <v>113</v>
      </c>
      <c r="C165" s="236" t="s">
        <v>272</v>
      </c>
      <c r="D165" s="236" t="s">
        <v>273</v>
      </c>
      <c r="E165" s="236" t="s">
        <v>119</v>
      </c>
      <c r="F165" s="236" t="s">
        <v>274</v>
      </c>
      <c r="G165" s="236" t="s">
        <v>120</v>
      </c>
      <c r="H165" s="236" t="s">
        <v>275</v>
      </c>
      <c r="I165" s="236" t="s">
        <v>276</v>
      </c>
      <c r="J165" s="236" t="s">
        <v>277</v>
      </c>
    </row>
    <row r="166" spans="1:10" hidden="1" x14ac:dyDescent="0.25">
      <c r="A166" s="150"/>
      <c r="B166" s="244" t="str">
        <f>$B$6</f>
        <v>YYYY</v>
      </c>
      <c r="C166" s="347">
        <v>0</v>
      </c>
      <c r="D166" s="338">
        <v>0</v>
      </c>
      <c r="E166" s="339">
        <v>0</v>
      </c>
      <c r="F166" s="246" t="e">
        <f>E166/$D166</f>
        <v>#DIV/0!</v>
      </c>
      <c r="G166" s="344">
        <v>0</v>
      </c>
      <c r="H166" s="246" t="e">
        <f>G166/$D166</f>
        <v>#DIV/0!</v>
      </c>
      <c r="I166" s="245">
        <f>E166+G166</f>
        <v>0</v>
      </c>
      <c r="J166" s="246" t="e">
        <f>I166/$D166</f>
        <v>#DIV/0!</v>
      </c>
    </row>
    <row r="167" spans="1:10" hidden="1" x14ac:dyDescent="0.25">
      <c r="A167" s="150"/>
      <c r="B167" s="244" t="e">
        <f>$B$7</f>
        <v>#VALUE!</v>
      </c>
      <c r="C167" s="348">
        <v>0</v>
      </c>
      <c r="D167" s="340">
        <v>0</v>
      </c>
      <c r="E167" s="341">
        <v>0</v>
      </c>
      <c r="F167" s="246" t="e">
        <f>E167/$D167</f>
        <v>#DIV/0!</v>
      </c>
      <c r="G167" s="345">
        <v>0</v>
      </c>
      <c r="H167" s="246" t="e">
        <f>G167/$D167</f>
        <v>#DIV/0!</v>
      </c>
      <c r="I167" s="245">
        <f>E167+G167</f>
        <v>0</v>
      </c>
      <c r="J167" s="246" t="e">
        <f>I167/$D167</f>
        <v>#DIV/0!</v>
      </c>
    </row>
    <row r="168" spans="1:10" hidden="1" x14ac:dyDescent="0.25">
      <c r="A168" s="150"/>
      <c r="B168" s="250" t="e">
        <f>$B$8</f>
        <v>#VALUE!</v>
      </c>
      <c r="C168" s="349">
        <v>0</v>
      </c>
      <c r="D168" s="342">
        <v>0</v>
      </c>
      <c r="E168" s="343">
        <v>0</v>
      </c>
      <c r="F168" s="247" t="e">
        <f>E168/$D168</f>
        <v>#DIV/0!</v>
      </c>
      <c r="G168" s="346">
        <v>0</v>
      </c>
      <c r="H168" s="247" t="e">
        <f>G168/$D168</f>
        <v>#DIV/0!</v>
      </c>
      <c r="I168" s="254">
        <f>E168+G168</f>
        <v>0</v>
      </c>
      <c r="J168" s="247" t="e">
        <f>I168/$D168</f>
        <v>#DIV/0!</v>
      </c>
    </row>
    <row r="169" spans="1:10" hidden="1" x14ac:dyDescent="0.25">
      <c r="A169" s="150"/>
      <c r="B169" s="244" t="s">
        <v>278</v>
      </c>
      <c r="C169" s="245">
        <f>AVERAGE(C166:C168)</f>
        <v>0</v>
      </c>
      <c r="D169" s="245">
        <f>AVERAGE(D166:D168)</f>
        <v>0</v>
      </c>
      <c r="E169" s="245">
        <f>AVERAGE(E166:E168)</f>
        <v>0</v>
      </c>
      <c r="F169" s="246" t="e">
        <f>E169/$D169</f>
        <v>#DIV/0!</v>
      </c>
      <c r="G169" s="245">
        <f>AVERAGE(G166:G168)</f>
        <v>0</v>
      </c>
      <c r="H169" s="246" t="e">
        <f>G169/$D169</f>
        <v>#DIV/0!</v>
      </c>
      <c r="I169" s="245">
        <f>AVERAGE(I166:I168)</f>
        <v>0</v>
      </c>
      <c r="J169" s="246" t="e">
        <f>I169/$D169</f>
        <v>#DIV/0!</v>
      </c>
    </row>
    <row r="170" spans="1:10" hidden="1" x14ac:dyDescent="0.25">
      <c r="A170" s="150"/>
    </row>
    <row r="171" spans="1:10" hidden="1" x14ac:dyDescent="0.25">
      <c r="A171" s="150"/>
      <c r="B171" s="508" t="s">
        <v>367</v>
      </c>
      <c r="C171" s="508"/>
    </row>
    <row r="172" spans="1:10" ht="30.75" hidden="1" thickBot="1" x14ac:dyDescent="0.3">
      <c r="A172" s="150"/>
      <c r="B172" s="236" t="s">
        <v>113</v>
      </c>
      <c r="C172" s="236" t="s">
        <v>272</v>
      </c>
      <c r="D172" s="236" t="s">
        <v>273</v>
      </c>
      <c r="E172" s="236" t="s">
        <v>119</v>
      </c>
      <c r="F172" s="236" t="s">
        <v>274</v>
      </c>
      <c r="G172" s="236" t="s">
        <v>120</v>
      </c>
      <c r="H172" s="236" t="s">
        <v>275</v>
      </c>
      <c r="I172" s="236" t="s">
        <v>276</v>
      </c>
      <c r="J172" s="236" t="s">
        <v>277</v>
      </c>
    </row>
    <row r="173" spans="1:10" hidden="1" x14ac:dyDescent="0.25">
      <c r="A173" s="150"/>
      <c r="B173" s="244" t="str">
        <f>$B$6</f>
        <v>YYYY</v>
      </c>
      <c r="C173" s="347">
        <v>0</v>
      </c>
      <c r="D173" s="338">
        <v>0</v>
      </c>
      <c r="E173" s="339">
        <v>0</v>
      </c>
      <c r="F173" s="246" t="e">
        <f>E173/$D173</f>
        <v>#DIV/0!</v>
      </c>
      <c r="G173" s="344">
        <v>0</v>
      </c>
      <c r="H173" s="246" t="e">
        <f>G173/$D173</f>
        <v>#DIV/0!</v>
      </c>
      <c r="I173" s="245">
        <f>E173+G173</f>
        <v>0</v>
      </c>
      <c r="J173" s="246" t="e">
        <f>I173/$D173</f>
        <v>#DIV/0!</v>
      </c>
    </row>
    <row r="174" spans="1:10" hidden="1" x14ac:dyDescent="0.25">
      <c r="A174" s="150"/>
      <c r="B174" s="244" t="e">
        <f>$B$7</f>
        <v>#VALUE!</v>
      </c>
      <c r="C174" s="348">
        <v>0</v>
      </c>
      <c r="D174" s="340">
        <v>0</v>
      </c>
      <c r="E174" s="341">
        <v>0</v>
      </c>
      <c r="F174" s="246" t="e">
        <f>E174/$D174</f>
        <v>#DIV/0!</v>
      </c>
      <c r="G174" s="345">
        <v>0</v>
      </c>
      <c r="H174" s="246" t="e">
        <f>G174/$D174</f>
        <v>#DIV/0!</v>
      </c>
      <c r="I174" s="245">
        <f>E174+G174</f>
        <v>0</v>
      </c>
      <c r="J174" s="246" t="e">
        <f>I174/$D174</f>
        <v>#DIV/0!</v>
      </c>
    </row>
    <row r="175" spans="1:10" hidden="1" x14ac:dyDescent="0.25">
      <c r="A175" s="150"/>
      <c r="B175" s="250" t="e">
        <f>$B$8</f>
        <v>#VALUE!</v>
      </c>
      <c r="C175" s="349">
        <v>0</v>
      </c>
      <c r="D175" s="342">
        <v>0</v>
      </c>
      <c r="E175" s="343">
        <v>0</v>
      </c>
      <c r="F175" s="247" t="e">
        <f>E175/$D175</f>
        <v>#DIV/0!</v>
      </c>
      <c r="G175" s="346">
        <v>0</v>
      </c>
      <c r="H175" s="247" t="e">
        <f>G175/$D175</f>
        <v>#DIV/0!</v>
      </c>
      <c r="I175" s="254">
        <f>E175+G175</f>
        <v>0</v>
      </c>
      <c r="J175" s="247" t="e">
        <f>I175/$D175</f>
        <v>#DIV/0!</v>
      </c>
    </row>
    <row r="176" spans="1:10" hidden="1" x14ac:dyDescent="0.25">
      <c r="A176" s="150"/>
      <c r="B176" s="244" t="s">
        <v>278</v>
      </c>
      <c r="C176" s="245">
        <f>AVERAGE(C173:C175)</f>
        <v>0</v>
      </c>
      <c r="D176" s="245">
        <f>AVERAGE(D173:D175)</f>
        <v>0</v>
      </c>
      <c r="E176" s="245">
        <f>AVERAGE(E173:E175)</f>
        <v>0</v>
      </c>
      <c r="F176" s="246" t="e">
        <f>E176/$D176</f>
        <v>#DIV/0!</v>
      </c>
      <c r="G176" s="245">
        <f>AVERAGE(G173:G175)</f>
        <v>0</v>
      </c>
      <c r="H176" s="246" t="e">
        <f>G176/$D176</f>
        <v>#DIV/0!</v>
      </c>
      <c r="I176" s="245">
        <f>AVERAGE(I173:I175)</f>
        <v>0</v>
      </c>
      <c r="J176" s="246" t="e">
        <f>I176/$D176</f>
        <v>#DIV/0!</v>
      </c>
    </row>
    <row r="177" spans="1:10" hidden="1" x14ac:dyDescent="0.25">
      <c r="A177" s="150"/>
    </row>
    <row r="178" spans="1:10" hidden="1" x14ac:dyDescent="0.25">
      <c r="A178" s="150"/>
      <c r="B178" s="508" t="s">
        <v>367</v>
      </c>
      <c r="C178" s="508"/>
    </row>
    <row r="179" spans="1:10" ht="30.75" hidden="1" thickBot="1" x14ac:dyDescent="0.3">
      <c r="A179" s="150"/>
      <c r="B179" s="236" t="s">
        <v>113</v>
      </c>
      <c r="C179" s="236" t="s">
        <v>272</v>
      </c>
      <c r="D179" s="236" t="s">
        <v>273</v>
      </c>
      <c r="E179" s="236" t="s">
        <v>119</v>
      </c>
      <c r="F179" s="236" t="s">
        <v>274</v>
      </c>
      <c r="G179" s="236" t="s">
        <v>120</v>
      </c>
      <c r="H179" s="236" t="s">
        <v>275</v>
      </c>
      <c r="I179" s="236" t="s">
        <v>276</v>
      </c>
      <c r="J179" s="236" t="s">
        <v>277</v>
      </c>
    </row>
    <row r="180" spans="1:10" hidden="1" x14ac:dyDescent="0.25">
      <c r="A180" s="150"/>
      <c r="B180" s="244" t="str">
        <f>$B$6</f>
        <v>YYYY</v>
      </c>
      <c r="C180" s="347">
        <v>0</v>
      </c>
      <c r="D180" s="338">
        <v>0</v>
      </c>
      <c r="E180" s="339">
        <v>0</v>
      </c>
      <c r="F180" s="246" t="e">
        <f>E180/$D180</f>
        <v>#DIV/0!</v>
      </c>
      <c r="G180" s="344">
        <v>0</v>
      </c>
      <c r="H180" s="246" t="e">
        <f>G180/$D180</f>
        <v>#DIV/0!</v>
      </c>
      <c r="I180" s="245">
        <f>E180+G180</f>
        <v>0</v>
      </c>
      <c r="J180" s="246" t="e">
        <f>I180/$D180</f>
        <v>#DIV/0!</v>
      </c>
    </row>
    <row r="181" spans="1:10" hidden="1" x14ac:dyDescent="0.25">
      <c r="A181" s="150"/>
      <c r="B181" s="244" t="e">
        <f>$B$7</f>
        <v>#VALUE!</v>
      </c>
      <c r="C181" s="348">
        <v>0</v>
      </c>
      <c r="D181" s="340">
        <v>0</v>
      </c>
      <c r="E181" s="341">
        <v>0</v>
      </c>
      <c r="F181" s="246" t="e">
        <f>E181/$D181</f>
        <v>#DIV/0!</v>
      </c>
      <c r="G181" s="345">
        <v>0</v>
      </c>
      <c r="H181" s="246" t="e">
        <f>G181/$D181</f>
        <v>#DIV/0!</v>
      </c>
      <c r="I181" s="245">
        <f>E181+G181</f>
        <v>0</v>
      </c>
      <c r="J181" s="246" t="e">
        <f>I181/$D181</f>
        <v>#DIV/0!</v>
      </c>
    </row>
    <row r="182" spans="1:10" hidden="1" x14ac:dyDescent="0.25">
      <c r="A182" s="150"/>
      <c r="B182" s="250" t="e">
        <f>$B$8</f>
        <v>#VALUE!</v>
      </c>
      <c r="C182" s="349">
        <v>0</v>
      </c>
      <c r="D182" s="342">
        <v>0</v>
      </c>
      <c r="E182" s="343">
        <v>0</v>
      </c>
      <c r="F182" s="247" t="e">
        <f>E182/$D182</f>
        <v>#DIV/0!</v>
      </c>
      <c r="G182" s="346">
        <v>0</v>
      </c>
      <c r="H182" s="247" t="e">
        <f>G182/$D182</f>
        <v>#DIV/0!</v>
      </c>
      <c r="I182" s="254">
        <f>E182+G182</f>
        <v>0</v>
      </c>
      <c r="J182" s="247" t="e">
        <f>I182/$D182</f>
        <v>#DIV/0!</v>
      </c>
    </row>
    <row r="183" spans="1:10" hidden="1" x14ac:dyDescent="0.25">
      <c r="A183" s="150"/>
      <c r="B183" s="244" t="s">
        <v>278</v>
      </c>
      <c r="C183" s="245">
        <f>AVERAGE(C180:C182)</f>
        <v>0</v>
      </c>
      <c r="D183" s="245">
        <f>AVERAGE(D180:D182)</f>
        <v>0</v>
      </c>
      <c r="E183" s="245">
        <f>AVERAGE(E180:E182)</f>
        <v>0</v>
      </c>
      <c r="F183" s="246" t="e">
        <f>E183/$D183</f>
        <v>#DIV/0!</v>
      </c>
      <c r="G183" s="245">
        <f>AVERAGE(G180:G182)</f>
        <v>0</v>
      </c>
      <c r="H183" s="246" t="e">
        <f>G183/$D183</f>
        <v>#DIV/0!</v>
      </c>
      <c r="I183" s="245">
        <f>AVERAGE(I180:I182)</f>
        <v>0</v>
      </c>
      <c r="J183" s="246" t="e">
        <f>I183/$D183</f>
        <v>#DIV/0!</v>
      </c>
    </row>
    <row r="184" spans="1:10" hidden="1" x14ac:dyDescent="0.25">
      <c r="A184" s="150"/>
    </row>
    <row r="185" spans="1:10" hidden="1" x14ac:dyDescent="0.25">
      <c r="A185" s="150"/>
      <c r="B185" s="508" t="s">
        <v>367</v>
      </c>
      <c r="C185" s="508"/>
    </row>
    <row r="186" spans="1:10" ht="30.75" hidden="1" thickBot="1" x14ac:dyDescent="0.3">
      <c r="A186" s="150"/>
      <c r="B186" s="236" t="s">
        <v>113</v>
      </c>
      <c r="C186" s="236" t="s">
        <v>272</v>
      </c>
      <c r="D186" s="236" t="s">
        <v>273</v>
      </c>
      <c r="E186" s="236" t="s">
        <v>119</v>
      </c>
      <c r="F186" s="236" t="s">
        <v>274</v>
      </c>
      <c r="G186" s="236" t="s">
        <v>120</v>
      </c>
      <c r="H186" s="236" t="s">
        <v>275</v>
      </c>
      <c r="I186" s="236" t="s">
        <v>276</v>
      </c>
      <c r="J186" s="236" t="s">
        <v>277</v>
      </c>
    </row>
    <row r="187" spans="1:10" hidden="1" x14ac:dyDescent="0.25">
      <c r="A187" s="150"/>
      <c r="B187" s="244" t="str">
        <f>$B$6</f>
        <v>YYYY</v>
      </c>
      <c r="C187" s="347">
        <v>0</v>
      </c>
      <c r="D187" s="338">
        <v>0</v>
      </c>
      <c r="E187" s="339">
        <v>0</v>
      </c>
      <c r="F187" s="246" t="e">
        <f>E187/$D187</f>
        <v>#DIV/0!</v>
      </c>
      <c r="G187" s="344">
        <v>0</v>
      </c>
      <c r="H187" s="246" t="e">
        <f>G187/$D187</f>
        <v>#DIV/0!</v>
      </c>
      <c r="I187" s="245">
        <f>E187+G187</f>
        <v>0</v>
      </c>
      <c r="J187" s="246" t="e">
        <f>I187/$D187</f>
        <v>#DIV/0!</v>
      </c>
    </row>
    <row r="188" spans="1:10" hidden="1" x14ac:dyDescent="0.25">
      <c r="A188" s="150"/>
      <c r="B188" s="244" t="e">
        <f>$B$7</f>
        <v>#VALUE!</v>
      </c>
      <c r="C188" s="348">
        <v>0</v>
      </c>
      <c r="D188" s="340">
        <v>0</v>
      </c>
      <c r="E188" s="341">
        <v>0</v>
      </c>
      <c r="F188" s="246" t="e">
        <f>E188/$D188</f>
        <v>#DIV/0!</v>
      </c>
      <c r="G188" s="345">
        <v>0</v>
      </c>
      <c r="H188" s="246" t="e">
        <f>G188/$D188</f>
        <v>#DIV/0!</v>
      </c>
      <c r="I188" s="245">
        <f>E188+G188</f>
        <v>0</v>
      </c>
      <c r="J188" s="246" t="e">
        <f>I188/$D188</f>
        <v>#DIV/0!</v>
      </c>
    </row>
    <row r="189" spans="1:10" hidden="1" x14ac:dyDescent="0.25">
      <c r="A189" s="150"/>
      <c r="B189" s="250" t="e">
        <f>$B$8</f>
        <v>#VALUE!</v>
      </c>
      <c r="C189" s="349">
        <v>0</v>
      </c>
      <c r="D189" s="342">
        <v>0</v>
      </c>
      <c r="E189" s="343">
        <v>0</v>
      </c>
      <c r="F189" s="247" t="e">
        <f>E189/$D189</f>
        <v>#DIV/0!</v>
      </c>
      <c r="G189" s="346">
        <v>0</v>
      </c>
      <c r="H189" s="247" t="e">
        <f>G189/$D189</f>
        <v>#DIV/0!</v>
      </c>
      <c r="I189" s="254">
        <f>E189+G189</f>
        <v>0</v>
      </c>
      <c r="J189" s="247" t="e">
        <f>I189/$D189</f>
        <v>#DIV/0!</v>
      </c>
    </row>
    <row r="190" spans="1:10" hidden="1" x14ac:dyDescent="0.25">
      <c r="A190" s="150"/>
      <c r="B190" s="244" t="s">
        <v>278</v>
      </c>
      <c r="C190" s="245">
        <f>AVERAGE(C187:C189)</f>
        <v>0</v>
      </c>
      <c r="D190" s="245">
        <f>AVERAGE(D187:D189)</f>
        <v>0</v>
      </c>
      <c r="E190" s="245">
        <f>AVERAGE(E187:E189)</f>
        <v>0</v>
      </c>
      <c r="F190" s="246" t="e">
        <f>E190/$D190</f>
        <v>#DIV/0!</v>
      </c>
      <c r="G190" s="245">
        <f>AVERAGE(G187:G189)</f>
        <v>0</v>
      </c>
      <c r="H190" s="246" t="e">
        <f>G190/$D190</f>
        <v>#DIV/0!</v>
      </c>
      <c r="I190" s="245">
        <f>AVERAGE(I187:I189)</f>
        <v>0</v>
      </c>
      <c r="J190" s="246" t="e">
        <f>I190/$D190</f>
        <v>#DIV/0!</v>
      </c>
    </row>
    <row r="191" spans="1:10" hidden="1" x14ac:dyDescent="0.25">
      <c r="A191" s="150"/>
    </row>
    <row r="192" spans="1:10" hidden="1" x14ac:dyDescent="0.25">
      <c r="A192" s="150"/>
      <c r="B192" s="508" t="s">
        <v>367</v>
      </c>
      <c r="C192" s="508"/>
    </row>
    <row r="193" spans="1:10" ht="30.75" hidden="1" thickBot="1" x14ac:dyDescent="0.3">
      <c r="A193" s="150"/>
      <c r="B193" s="236" t="s">
        <v>113</v>
      </c>
      <c r="C193" s="236" t="s">
        <v>272</v>
      </c>
      <c r="D193" s="236" t="s">
        <v>273</v>
      </c>
      <c r="E193" s="236" t="s">
        <v>119</v>
      </c>
      <c r="F193" s="236" t="s">
        <v>274</v>
      </c>
      <c r="G193" s="236" t="s">
        <v>120</v>
      </c>
      <c r="H193" s="236" t="s">
        <v>275</v>
      </c>
      <c r="I193" s="236" t="s">
        <v>276</v>
      </c>
      <c r="J193" s="236" t="s">
        <v>277</v>
      </c>
    </row>
    <row r="194" spans="1:10" hidden="1" x14ac:dyDescent="0.25">
      <c r="A194" s="150"/>
      <c r="B194" s="244" t="str">
        <f>$B$6</f>
        <v>YYYY</v>
      </c>
      <c r="C194" s="347">
        <v>0</v>
      </c>
      <c r="D194" s="338">
        <v>0</v>
      </c>
      <c r="E194" s="339">
        <v>0</v>
      </c>
      <c r="F194" s="246" t="e">
        <f>E194/$D194</f>
        <v>#DIV/0!</v>
      </c>
      <c r="G194" s="344">
        <v>0</v>
      </c>
      <c r="H194" s="246" t="e">
        <f>G194/$D194</f>
        <v>#DIV/0!</v>
      </c>
      <c r="I194" s="245">
        <f>E194+G194</f>
        <v>0</v>
      </c>
      <c r="J194" s="246" t="e">
        <f>I194/$D194</f>
        <v>#DIV/0!</v>
      </c>
    </row>
    <row r="195" spans="1:10" hidden="1" x14ac:dyDescent="0.25">
      <c r="A195" s="150"/>
      <c r="B195" s="244" t="e">
        <f>$B$7</f>
        <v>#VALUE!</v>
      </c>
      <c r="C195" s="348">
        <v>0</v>
      </c>
      <c r="D195" s="340">
        <v>0</v>
      </c>
      <c r="E195" s="341">
        <v>0</v>
      </c>
      <c r="F195" s="246" t="e">
        <f>E195/$D195</f>
        <v>#DIV/0!</v>
      </c>
      <c r="G195" s="345">
        <v>0</v>
      </c>
      <c r="H195" s="246" t="e">
        <f>G195/$D195</f>
        <v>#DIV/0!</v>
      </c>
      <c r="I195" s="245">
        <f>E195+G195</f>
        <v>0</v>
      </c>
      <c r="J195" s="246" t="e">
        <f>I195/$D195</f>
        <v>#DIV/0!</v>
      </c>
    </row>
    <row r="196" spans="1:10" hidden="1" x14ac:dyDescent="0.25">
      <c r="A196" s="150"/>
      <c r="B196" s="250" t="e">
        <f>$B$8</f>
        <v>#VALUE!</v>
      </c>
      <c r="C196" s="349">
        <v>0</v>
      </c>
      <c r="D196" s="342">
        <v>0</v>
      </c>
      <c r="E196" s="343">
        <v>0</v>
      </c>
      <c r="F196" s="247" t="e">
        <f>E196/$D196</f>
        <v>#DIV/0!</v>
      </c>
      <c r="G196" s="346">
        <v>0</v>
      </c>
      <c r="H196" s="247" t="e">
        <f>G196/$D196</f>
        <v>#DIV/0!</v>
      </c>
      <c r="I196" s="254">
        <f>E196+G196</f>
        <v>0</v>
      </c>
      <c r="J196" s="247" t="e">
        <f>I196/$D196</f>
        <v>#DIV/0!</v>
      </c>
    </row>
    <row r="197" spans="1:10" hidden="1" x14ac:dyDescent="0.25">
      <c r="A197" s="150"/>
      <c r="B197" s="244" t="s">
        <v>278</v>
      </c>
      <c r="C197" s="245">
        <f>AVERAGE(C194:C196)</f>
        <v>0</v>
      </c>
      <c r="D197" s="245">
        <f>AVERAGE(D194:D196)</f>
        <v>0</v>
      </c>
      <c r="E197" s="245">
        <f>AVERAGE(E194:E196)</f>
        <v>0</v>
      </c>
      <c r="F197" s="246" t="e">
        <f>E197/$D197</f>
        <v>#DIV/0!</v>
      </c>
      <c r="G197" s="245">
        <f>AVERAGE(G194:G196)</f>
        <v>0</v>
      </c>
      <c r="H197" s="246" t="e">
        <f>G197/$D197</f>
        <v>#DIV/0!</v>
      </c>
      <c r="I197" s="245">
        <f>AVERAGE(I194:I196)</f>
        <v>0</v>
      </c>
      <c r="J197" s="246" t="e">
        <f>I197/$D197</f>
        <v>#DIV/0!</v>
      </c>
    </row>
    <row r="198" spans="1:10" hidden="1" x14ac:dyDescent="0.25">
      <c r="A198" s="150"/>
    </row>
    <row r="199" spans="1:10" hidden="1" x14ac:dyDescent="0.25">
      <c r="A199" s="150"/>
      <c r="B199" s="508" t="s">
        <v>367</v>
      </c>
      <c r="C199" s="508"/>
    </row>
    <row r="200" spans="1:10" ht="30.75" hidden="1" thickBot="1" x14ac:dyDescent="0.3">
      <c r="A200" s="150"/>
      <c r="B200" s="236" t="s">
        <v>113</v>
      </c>
      <c r="C200" s="236" t="s">
        <v>272</v>
      </c>
      <c r="D200" s="236" t="s">
        <v>273</v>
      </c>
      <c r="E200" s="236" t="s">
        <v>119</v>
      </c>
      <c r="F200" s="236" t="s">
        <v>274</v>
      </c>
      <c r="G200" s="236" t="s">
        <v>120</v>
      </c>
      <c r="H200" s="236" t="s">
        <v>275</v>
      </c>
      <c r="I200" s="236" t="s">
        <v>276</v>
      </c>
      <c r="J200" s="236" t="s">
        <v>277</v>
      </c>
    </row>
    <row r="201" spans="1:10" hidden="1" x14ac:dyDescent="0.25">
      <c r="A201" s="150"/>
      <c r="B201" s="244" t="str">
        <f>$B$6</f>
        <v>YYYY</v>
      </c>
      <c r="C201" s="347">
        <v>0</v>
      </c>
      <c r="D201" s="338">
        <v>0</v>
      </c>
      <c r="E201" s="339">
        <v>0</v>
      </c>
      <c r="F201" s="246" t="e">
        <f>E201/$D201</f>
        <v>#DIV/0!</v>
      </c>
      <c r="G201" s="344">
        <v>0</v>
      </c>
      <c r="H201" s="246" t="e">
        <f>G201/$D201</f>
        <v>#DIV/0!</v>
      </c>
      <c r="I201" s="245">
        <f>E201+G201</f>
        <v>0</v>
      </c>
      <c r="J201" s="246" t="e">
        <f>I201/$D201</f>
        <v>#DIV/0!</v>
      </c>
    </row>
    <row r="202" spans="1:10" hidden="1" x14ac:dyDescent="0.25">
      <c r="A202" s="150"/>
      <c r="B202" s="244" t="e">
        <f>$B$7</f>
        <v>#VALUE!</v>
      </c>
      <c r="C202" s="348">
        <v>0</v>
      </c>
      <c r="D202" s="340">
        <v>0</v>
      </c>
      <c r="E202" s="341">
        <v>0</v>
      </c>
      <c r="F202" s="246" t="e">
        <f>E202/$D202</f>
        <v>#DIV/0!</v>
      </c>
      <c r="G202" s="345">
        <v>0</v>
      </c>
      <c r="H202" s="246" t="e">
        <f>G202/$D202</f>
        <v>#DIV/0!</v>
      </c>
      <c r="I202" s="245">
        <f>E202+G202</f>
        <v>0</v>
      </c>
      <c r="J202" s="246" t="e">
        <f>I202/$D202</f>
        <v>#DIV/0!</v>
      </c>
    </row>
    <row r="203" spans="1:10" hidden="1" x14ac:dyDescent="0.25">
      <c r="A203" s="150"/>
      <c r="B203" s="250" t="e">
        <f>$B$8</f>
        <v>#VALUE!</v>
      </c>
      <c r="C203" s="349">
        <v>0</v>
      </c>
      <c r="D203" s="342">
        <v>0</v>
      </c>
      <c r="E203" s="343">
        <v>0</v>
      </c>
      <c r="F203" s="247" t="e">
        <f>E203/$D203</f>
        <v>#DIV/0!</v>
      </c>
      <c r="G203" s="346">
        <v>0</v>
      </c>
      <c r="H203" s="247" t="e">
        <f>G203/$D203</f>
        <v>#DIV/0!</v>
      </c>
      <c r="I203" s="254">
        <f>E203+G203</f>
        <v>0</v>
      </c>
      <c r="J203" s="247" t="e">
        <f>I203/$D203</f>
        <v>#DIV/0!</v>
      </c>
    </row>
    <row r="204" spans="1:10" hidden="1" x14ac:dyDescent="0.25">
      <c r="A204" s="150"/>
      <c r="B204" s="244" t="s">
        <v>278</v>
      </c>
      <c r="C204" s="245">
        <f>AVERAGE(C201:C203)</f>
        <v>0</v>
      </c>
      <c r="D204" s="245">
        <f>AVERAGE(D201:D203)</f>
        <v>0</v>
      </c>
      <c r="E204" s="245">
        <f>AVERAGE(E201:E203)</f>
        <v>0</v>
      </c>
      <c r="F204" s="246" t="e">
        <f>E204/$D204</f>
        <v>#DIV/0!</v>
      </c>
      <c r="G204" s="245">
        <f>AVERAGE(G201:G203)</f>
        <v>0</v>
      </c>
      <c r="H204" s="246" t="e">
        <f>G204/$D204</f>
        <v>#DIV/0!</v>
      </c>
      <c r="I204" s="245">
        <f>AVERAGE(I201:I203)</f>
        <v>0</v>
      </c>
      <c r="J204" s="246" t="e">
        <f>I204/$D204</f>
        <v>#DIV/0!</v>
      </c>
    </row>
    <row r="205" spans="1:10" hidden="1" x14ac:dyDescent="0.25">
      <c r="A205" s="150"/>
    </row>
    <row r="206" spans="1:10" hidden="1" x14ac:dyDescent="0.25">
      <c r="A206" s="150"/>
      <c r="B206" s="508" t="s">
        <v>367</v>
      </c>
      <c r="C206" s="508"/>
    </row>
    <row r="207" spans="1:10" ht="30.75" hidden="1" thickBot="1" x14ac:dyDescent="0.3">
      <c r="A207" s="150"/>
      <c r="B207" s="236" t="s">
        <v>113</v>
      </c>
      <c r="C207" s="236" t="s">
        <v>272</v>
      </c>
      <c r="D207" s="236" t="s">
        <v>273</v>
      </c>
      <c r="E207" s="236" t="s">
        <v>119</v>
      </c>
      <c r="F207" s="236" t="s">
        <v>274</v>
      </c>
      <c r="G207" s="236" t="s">
        <v>120</v>
      </c>
      <c r="H207" s="236" t="s">
        <v>275</v>
      </c>
      <c r="I207" s="236" t="s">
        <v>276</v>
      </c>
      <c r="J207" s="236" t="s">
        <v>277</v>
      </c>
    </row>
    <row r="208" spans="1:10" hidden="1" x14ac:dyDescent="0.25">
      <c r="A208" s="150"/>
      <c r="B208" s="244" t="str">
        <f>$B$6</f>
        <v>YYYY</v>
      </c>
      <c r="C208" s="347">
        <v>0</v>
      </c>
      <c r="D208" s="338">
        <v>0</v>
      </c>
      <c r="E208" s="339">
        <v>0</v>
      </c>
      <c r="F208" s="246" t="e">
        <f>E208/$D208</f>
        <v>#DIV/0!</v>
      </c>
      <c r="G208" s="344">
        <v>0</v>
      </c>
      <c r="H208" s="246" t="e">
        <f>G208/$D208</f>
        <v>#DIV/0!</v>
      </c>
      <c r="I208" s="245">
        <f>E208+G208</f>
        <v>0</v>
      </c>
      <c r="J208" s="246" t="e">
        <f>I208/$D208</f>
        <v>#DIV/0!</v>
      </c>
    </row>
    <row r="209" spans="1:10" hidden="1" x14ac:dyDescent="0.25">
      <c r="A209" s="150"/>
      <c r="B209" s="244" t="e">
        <f>$B$7</f>
        <v>#VALUE!</v>
      </c>
      <c r="C209" s="348">
        <v>0</v>
      </c>
      <c r="D209" s="340">
        <v>0</v>
      </c>
      <c r="E209" s="341">
        <v>0</v>
      </c>
      <c r="F209" s="246" t="e">
        <f>E209/$D209</f>
        <v>#DIV/0!</v>
      </c>
      <c r="G209" s="345">
        <v>0</v>
      </c>
      <c r="H209" s="246" t="e">
        <f>G209/$D209</f>
        <v>#DIV/0!</v>
      </c>
      <c r="I209" s="245">
        <f>E209+G209</f>
        <v>0</v>
      </c>
      <c r="J209" s="246" t="e">
        <f>I209/$D209</f>
        <v>#DIV/0!</v>
      </c>
    </row>
    <row r="210" spans="1:10" hidden="1" x14ac:dyDescent="0.25">
      <c r="A210" s="150"/>
      <c r="B210" s="250" t="e">
        <f>$B$8</f>
        <v>#VALUE!</v>
      </c>
      <c r="C210" s="349">
        <v>0</v>
      </c>
      <c r="D210" s="342">
        <v>0</v>
      </c>
      <c r="E210" s="343">
        <v>0</v>
      </c>
      <c r="F210" s="247" t="e">
        <f>E210/$D210</f>
        <v>#DIV/0!</v>
      </c>
      <c r="G210" s="346">
        <v>0</v>
      </c>
      <c r="H210" s="247" t="e">
        <f>G210/$D210</f>
        <v>#DIV/0!</v>
      </c>
      <c r="I210" s="254">
        <f>E210+G210</f>
        <v>0</v>
      </c>
      <c r="J210" s="247" t="e">
        <f>I210/$D210</f>
        <v>#DIV/0!</v>
      </c>
    </row>
    <row r="211" spans="1:10" hidden="1" x14ac:dyDescent="0.25">
      <c r="A211" s="150"/>
      <c r="B211" s="244" t="s">
        <v>278</v>
      </c>
      <c r="C211" s="245">
        <f>AVERAGE(C208:C210)</f>
        <v>0</v>
      </c>
      <c r="D211" s="245">
        <f>AVERAGE(D208:D210)</f>
        <v>0</v>
      </c>
      <c r="E211" s="245">
        <f>AVERAGE(E208:E210)</f>
        <v>0</v>
      </c>
      <c r="F211" s="246" t="e">
        <f>E211/$D211</f>
        <v>#DIV/0!</v>
      </c>
      <c r="G211" s="245">
        <f>AVERAGE(G208:G210)</f>
        <v>0</v>
      </c>
      <c r="H211" s="246" t="e">
        <f>G211/$D211</f>
        <v>#DIV/0!</v>
      </c>
      <c r="I211" s="245">
        <f>AVERAGE(I208:I210)</f>
        <v>0</v>
      </c>
      <c r="J211" s="246" t="e">
        <f>I211/$D211</f>
        <v>#DIV/0!</v>
      </c>
    </row>
    <row r="212" spans="1:10" hidden="1" x14ac:dyDescent="0.25">
      <c r="A212" s="150"/>
    </row>
    <row r="213" spans="1:10" hidden="1" x14ac:dyDescent="0.25">
      <c r="A213" s="150"/>
      <c r="B213" s="508" t="s">
        <v>367</v>
      </c>
      <c r="C213" s="508"/>
    </row>
    <row r="214" spans="1:10" ht="30.75" hidden="1" thickBot="1" x14ac:dyDescent="0.3">
      <c r="A214" s="150"/>
      <c r="B214" s="236" t="s">
        <v>113</v>
      </c>
      <c r="C214" s="236" t="s">
        <v>272</v>
      </c>
      <c r="D214" s="236" t="s">
        <v>273</v>
      </c>
      <c r="E214" s="236" t="s">
        <v>119</v>
      </c>
      <c r="F214" s="236" t="s">
        <v>274</v>
      </c>
      <c r="G214" s="236" t="s">
        <v>120</v>
      </c>
      <c r="H214" s="236" t="s">
        <v>275</v>
      </c>
      <c r="I214" s="236" t="s">
        <v>276</v>
      </c>
      <c r="J214" s="236" t="s">
        <v>277</v>
      </c>
    </row>
    <row r="215" spans="1:10" hidden="1" x14ac:dyDescent="0.25">
      <c r="A215" s="150"/>
      <c r="B215" s="244" t="str">
        <f>$B$6</f>
        <v>YYYY</v>
      </c>
      <c r="C215" s="347">
        <v>0</v>
      </c>
      <c r="D215" s="338">
        <v>0</v>
      </c>
      <c r="E215" s="339">
        <v>0</v>
      </c>
      <c r="F215" s="246" t="e">
        <f>E215/$D215</f>
        <v>#DIV/0!</v>
      </c>
      <c r="G215" s="344">
        <v>0</v>
      </c>
      <c r="H215" s="246" t="e">
        <f>G215/$D215</f>
        <v>#DIV/0!</v>
      </c>
      <c r="I215" s="245">
        <f>E215+G215</f>
        <v>0</v>
      </c>
      <c r="J215" s="246" t="e">
        <f>I215/$D215</f>
        <v>#DIV/0!</v>
      </c>
    </row>
    <row r="216" spans="1:10" hidden="1" x14ac:dyDescent="0.25">
      <c r="A216" s="150"/>
      <c r="B216" s="244" t="e">
        <f>$B$7</f>
        <v>#VALUE!</v>
      </c>
      <c r="C216" s="348">
        <v>0</v>
      </c>
      <c r="D216" s="340">
        <v>0</v>
      </c>
      <c r="E216" s="341">
        <v>0</v>
      </c>
      <c r="F216" s="246" t="e">
        <f>E216/$D216</f>
        <v>#DIV/0!</v>
      </c>
      <c r="G216" s="345">
        <v>0</v>
      </c>
      <c r="H216" s="246" t="e">
        <f>G216/$D216</f>
        <v>#DIV/0!</v>
      </c>
      <c r="I216" s="245">
        <f>E216+G216</f>
        <v>0</v>
      </c>
      <c r="J216" s="246" t="e">
        <f>I216/$D216</f>
        <v>#DIV/0!</v>
      </c>
    </row>
    <row r="217" spans="1:10" hidden="1" x14ac:dyDescent="0.25">
      <c r="A217" s="150"/>
      <c r="B217" s="250" t="e">
        <f>$B$8</f>
        <v>#VALUE!</v>
      </c>
      <c r="C217" s="349">
        <v>0</v>
      </c>
      <c r="D217" s="342">
        <v>0</v>
      </c>
      <c r="E217" s="343">
        <v>0</v>
      </c>
      <c r="F217" s="247" t="e">
        <f>E217/$D217</f>
        <v>#DIV/0!</v>
      </c>
      <c r="G217" s="346">
        <v>0</v>
      </c>
      <c r="H217" s="247" t="e">
        <f>G217/$D217</f>
        <v>#DIV/0!</v>
      </c>
      <c r="I217" s="254">
        <f>E217+G217</f>
        <v>0</v>
      </c>
      <c r="J217" s="247" t="e">
        <f>I217/$D217</f>
        <v>#DIV/0!</v>
      </c>
    </row>
    <row r="218" spans="1:10" hidden="1" x14ac:dyDescent="0.25">
      <c r="A218" s="150"/>
      <c r="B218" s="244" t="s">
        <v>278</v>
      </c>
      <c r="C218" s="245">
        <f>AVERAGE(C215:C217)</f>
        <v>0</v>
      </c>
      <c r="D218" s="245">
        <f>AVERAGE(D215:D217)</f>
        <v>0</v>
      </c>
      <c r="E218" s="245">
        <f>AVERAGE(E215:E217)</f>
        <v>0</v>
      </c>
      <c r="F218" s="246" t="e">
        <f>E218/$D218</f>
        <v>#DIV/0!</v>
      </c>
      <c r="G218" s="245">
        <f>AVERAGE(G215:G217)</f>
        <v>0</v>
      </c>
      <c r="H218" s="246" t="e">
        <f>G218/$D218</f>
        <v>#DIV/0!</v>
      </c>
      <c r="I218" s="245">
        <f>AVERAGE(I215:I217)</f>
        <v>0</v>
      </c>
      <c r="J218" s="246" t="e">
        <f>I218/$D218</f>
        <v>#DIV/0!</v>
      </c>
    </row>
    <row r="219" spans="1:10" hidden="1" x14ac:dyDescent="0.25">
      <c r="A219" s="150"/>
    </row>
    <row r="220" spans="1:10" hidden="1" x14ac:dyDescent="0.25">
      <c r="A220" s="150"/>
      <c r="B220" s="508" t="s">
        <v>367</v>
      </c>
      <c r="C220" s="508"/>
    </row>
    <row r="221" spans="1:10" ht="30.75" hidden="1" thickBot="1" x14ac:dyDescent="0.3">
      <c r="A221" s="150"/>
      <c r="B221" s="236" t="s">
        <v>113</v>
      </c>
      <c r="C221" s="236" t="s">
        <v>272</v>
      </c>
      <c r="D221" s="236" t="s">
        <v>273</v>
      </c>
      <c r="E221" s="236" t="s">
        <v>119</v>
      </c>
      <c r="F221" s="236" t="s">
        <v>274</v>
      </c>
      <c r="G221" s="236" t="s">
        <v>120</v>
      </c>
      <c r="H221" s="236" t="s">
        <v>275</v>
      </c>
      <c r="I221" s="236" t="s">
        <v>276</v>
      </c>
      <c r="J221" s="236" t="s">
        <v>277</v>
      </c>
    </row>
    <row r="222" spans="1:10" hidden="1" x14ac:dyDescent="0.25">
      <c r="A222" s="150"/>
      <c r="B222" s="244" t="str">
        <f>$B$6</f>
        <v>YYYY</v>
      </c>
      <c r="C222" s="347">
        <v>0</v>
      </c>
      <c r="D222" s="338">
        <v>0</v>
      </c>
      <c r="E222" s="339">
        <v>0</v>
      </c>
      <c r="F222" s="246" t="e">
        <f>E222/$D222</f>
        <v>#DIV/0!</v>
      </c>
      <c r="G222" s="344">
        <v>0</v>
      </c>
      <c r="H222" s="246" t="e">
        <f>G222/$D222</f>
        <v>#DIV/0!</v>
      </c>
      <c r="I222" s="245">
        <f>E222+G222</f>
        <v>0</v>
      </c>
      <c r="J222" s="246" t="e">
        <f>I222/$D222</f>
        <v>#DIV/0!</v>
      </c>
    </row>
    <row r="223" spans="1:10" hidden="1" x14ac:dyDescent="0.25">
      <c r="A223" s="150"/>
      <c r="B223" s="244" t="e">
        <f>$B$7</f>
        <v>#VALUE!</v>
      </c>
      <c r="C223" s="348">
        <v>0</v>
      </c>
      <c r="D223" s="340">
        <v>0</v>
      </c>
      <c r="E223" s="341">
        <v>0</v>
      </c>
      <c r="F223" s="246" t="e">
        <f>E223/$D223</f>
        <v>#DIV/0!</v>
      </c>
      <c r="G223" s="345">
        <v>0</v>
      </c>
      <c r="H223" s="246" t="e">
        <f>G223/$D223</f>
        <v>#DIV/0!</v>
      </c>
      <c r="I223" s="245">
        <f>E223+G223</f>
        <v>0</v>
      </c>
      <c r="J223" s="246" t="e">
        <f>I223/$D223</f>
        <v>#DIV/0!</v>
      </c>
    </row>
    <row r="224" spans="1:10" hidden="1" x14ac:dyDescent="0.25">
      <c r="A224" s="150"/>
      <c r="B224" s="250" t="e">
        <f>$B$8</f>
        <v>#VALUE!</v>
      </c>
      <c r="C224" s="349">
        <v>0</v>
      </c>
      <c r="D224" s="342">
        <v>0</v>
      </c>
      <c r="E224" s="343">
        <v>0</v>
      </c>
      <c r="F224" s="247" t="e">
        <f>E224/$D224</f>
        <v>#DIV/0!</v>
      </c>
      <c r="G224" s="346">
        <v>0</v>
      </c>
      <c r="H224" s="247" t="e">
        <f>G224/$D224</f>
        <v>#DIV/0!</v>
      </c>
      <c r="I224" s="254">
        <f>E224+G224</f>
        <v>0</v>
      </c>
      <c r="J224" s="247" t="e">
        <f>I224/$D224</f>
        <v>#DIV/0!</v>
      </c>
    </row>
    <row r="225" spans="1:10" hidden="1" x14ac:dyDescent="0.25">
      <c r="A225" s="150"/>
      <c r="B225" s="244" t="s">
        <v>278</v>
      </c>
      <c r="C225" s="245">
        <f>AVERAGE(C222:C224)</f>
        <v>0</v>
      </c>
      <c r="D225" s="245">
        <f>AVERAGE(D222:D224)</f>
        <v>0</v>
      </c>
      <c r="E225" s="245">
        <f>AVERAGE(E222:E224)</f>
        <v>0</v>
      </c>
      <c r="F225" s="246" t="e">
        <f>E225/$D225</f>
        <v>#DIV/0!</v>
      </c>
      <c r="G225" s="245">
        <f>AVERAGE(G222:G224)</f>
        <v>0</v>
      </c>
      <c r="H225" s="246" t="e">
        <f>G225/$D225</f>
        <v>#DIV/0!</v>
      </c>
      <c r="I225" s="245">
        <f>AVERAGE(I222:I224)</f>
        <v>0</v>
      </c>
      <c r="J225" s="246" t="e">
        <f>I225/$D225</f>
        <v>#DIV/0!</v>
      </c>
    </row>
    <row r="226" spans="1:10" hidden="1" x14ac:dyDescent="0.25">
      <c r="A226" s="150"/>
    </row>
    <row r="227" spans="1:10" hidden="1" x14ac:dyDescent="0.25">
      <c r="A227" s="150"/>
      <c r="B227" s="508" t="s">
        <v>367</v>
      </c>
      <c r="C227" s="508"/>
    </row>
    <row r="228" spans="1:10" ht="30.75" hidden="1" thickBot="1" x14ac:dyDescent="0.3">
      <c r="A228" s="150"/>
      <c r="B228" s="236" t="s">
        <v>113</v>
      </c>
      <c r="C228" s="236" t="s">
        <v>272</v>
      </c>
      <c r="D228" s="236" t="s">
        <v>273</v>
      </c>
      <c r="E228" s="236" t="s">
        <v>119</v>
      </c>
      <c r="F228" s="236" t="s">
        <v>274</v>
      </c>
      <c r="G228" s="236" t="s">
        <v>120</v>
      </c>
      <c r="H228" s="236" t="s">
        <v>275</v>
      </c>
      <c r="I228" s="236" t="s">
        <v>276</v>
      </c>
      <c r="J228" s="236" t="s">
        <v>277</v>
      </c>
    </row>
    <row r="229" spans="1:10" hidden="1" x14ac:dyDescent="0.25">
      <c r="A229" s="150"/>
      <c r="B229" s="244" t="str">
        <f>$B$6</f>
        <v>YYYY</v>
      </c>
      <c r="C229" s="347">
        <v>0</v>
      </c>
      <c r="D229" s="338">
        <v>0</v>
      </c>
      <c r="E229" s="339">
        <v>0</v>
      </c>
      <c r="F229" s="246" t="e">
        <f>E229/$D229</f>
        <v>#DIV/0!</v>
      </c>
      <c r="G229" s="344">
        <v>0</v>
      </c>
      <c r="H229" s="246" t="e">
        <f>G229/$D229</f>
        <v>#DIV/0!</v>
      </c>
      <c r="I229" s="245">
        <f>E229+G229</f>
        <v>0</v>
      </c>
      <c r="J229" s="246" t="e">
        <f>I229/$D229</f>
        <v>#DIV/0!</v>
      </c>
    </row>
    <row r="230" spans="1:10" hidden="1" x14ac:dyDescent="0.25">
      <c r="A230" s="150"/>
      <c r="B230" s="244" t="e">
        <f>$B$7</f>
        <v>#VALUE!</v>
      </c>
      <c r="C230" s="348">
        <v>0</v>
      </c>
      <c r="D230" s="340">
        <v>0</v>
      </c>
      <c r="E230" s="341">
        <v>0</v>
      </c>
      <c r="F230" s="246" t="e">
        <f>E230/$D230</f>
        <v>#DIV/0!</v>
      </c>
      <c r="G230" s="345">
        <v>0</v>
      </c>
      <c r="H230" s="246" t="e">
        <f>G230/$D230</f>
        <v>#DIV/0!</v>
      </c>
      <c r="I230" s="245">
        <f>E230+G230</f>
        <v>0</v>
      </c>
      <c r="J230" s="246" t="e">
        <f>I230/$D230</f>
        <v>#DIV/0!</v>
      </c>
    </row>
    <row r="231" spans="1:10" hidden="1" x14ac:dyDescent="0.25">
      <c r="A231" s="150"/>
      <c r="B231" s="250" t="e">
        <f>$B$8</f>
        <v>#VALUE!</v>
      </c>
      <c r="C231" s="349">
        <v>0</v>
      </c>
      <c r="D231" s="342">
        <v>0</v>
      </c>
      <c r="E231" s="343">
        <v>0</v>
      </c>
      <c r="F231" s="247" t="e">
        <f>E231/$D231</f>
        <v>#DIV/0!</v>
      </c>
      <c r="G231" s="346">
        <v>0</v>
      </c>
      <c r="H231" s="247" t="e">
        <f>G231/$D231</f>
        <v>#DIV/0!</v>
      </c>
      <c r="I231" s="254">
        <f>E231+G231</f>
        <v>0</v>
      </c>
      <c r="J231" s="247" t="e">
        <f>I231/$D231</f>
        <v>#DIV/0!</v>
      </c>
    </row>
    <row r="232" spans="1:10" hidden="1" x14ac:dyDescent="0.25">
      <c r="A232" s="150"/>
      <c r="B232" s="244" t="s">
        <v>278</v>
      </c>
      <c r="C232" s="245">
        <f>AVERAGE(C229:C231)</f>
        <v>0</v>
      </c>
      <c r="D232" s="245">
        <f>AVERAGE(D229:D231)</f>
        <v>0</v>
      </c>
      <c r="E232" s="245">
        <f>AVERAGE(E229:E231)</f>
        <v>0</v>
      </c>
      <c r="F232" s="246" t="e">
        <f>E232/$D232</f>
        <v>#DIV/0!</v>
      </c>
      <c r="G232" s="245">
        <f>AVERAGE(G229:G231)</f>
        <v>0</v>
      </c>
      <c r="H232" s="246" t="e">
        <f>G232/$D232</f>
        <v>#DIV/0!</v>
      </c>
      <c r="I232" s="245">
        <f>AVERAGE(I229:I231)</f>
        <v>0</v>
      </c>
      <c r="J232" s="246" t="e">
        <f>I232/$D232</f>
        <v>#DIV/0!</v>
      </c>
    </row>
  </sheetData>
  <sheetProtection algorithmName="SHA-512" hashValue="jTg5yplWFhOyGxlDEWeFL4FvXZubpeYN4a0sq9j8/yW6VdQbhD/0+2fvRdQx1PJgqWaJfGLRnWpLj+e5fx53Zg==" saltValue="vgHH+ajHHPiBlC8wXh5FWA=="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&amp;L06/11/2021 Edition
&amp;CPrior Approval Rate Application
Portions of the material contained in this document are protected by copyright owned by the State Farm Mutual Automobile Insurance Company, 2022&amp;RPage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E31"/>
  <sheetViews>
    <sheetView showGridLines="0" view="pageBreakPreview" zoomScaleNormal="100" zoomScaleSheetLayoutView="100" workbookViewId="0">
      <selection activeCell="D62" sqref="D62"/>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71</v>
      </c>
      <c r="C1" s="37" t="s">
        <v>73</v>
      </c>
      <c r="E1" s="36" t="str">
        <f>Co_Name</f>
        <v>State Farm General Insurance Company</v>
      </c>
    </row>
    <row r="2" spans="1:5" x14ac:dyDescent="0.25">
      <c r="A2" s="21" t="s">
        <v>72</v>
      </c>
      <c r="C2" s="37" t="s">
        <v>74</v>
      </c>
      <c r="E2" s="36" t="str">
        <f>General_Line</f>
        <v>Homeowners</v>
      </c>
    </row>
    <row r="3" spans="1:5" x14ac:dyDescent="0.25">
      <c r="B3" s="194"/>
    </row>
    <row r="4" spans="1:5" ht="23.25" x14ac:dyDescent="0.25">
      <c r="A4" s="5" t="s">
        <v>154</v>
      </c>
      <c r="B4" s="3"/>
      <c r="C4" s="3"/>
      <c r="D4" s="3"/>
      <c r="E4" s="3"/>
    </row>
    <row r="6" spans="1:5" x14ac:dyDescent="0.25">
      <c r="A6" s="53" t="s">
        <v>155</v>
      </c>
    </row>
    <row r="7" spans="1:5" ht="15.75" thickBot="1" x14ac:dyDescent="0.3"/>
    <row r="8" spans="1:5" ht="30.75" thickBot="1" x14ac:dyDescent="0.3">
      <c r="A8" s="86" t="s">
        <v>85</v>
      </c>
      <c r="B8" s="87" t="s">
        <v>132</v>
      </c>
      <c r="C8" s="87"/>
      <c r="D8" s="93"/>
      <c r="E8" s="84" t="s">
        <v>123</v>
      </c>
    </row>
    <row r="9" spans="1:5" ht="15.75" thickBot="1" x14ac:dyDescent="0.3">
      <c r="A9" s="90" t="s">
        <v>114</v>
      </c>
      <c r="B9" s="88" t="s">
        <v>139</v>
      </c>
      <c r="C9" s="94"/>
      <c r="D9" s="85"/>
      <c r="E9" s="291" t="s">
        <v>175</v>
      </c>
    </row>
    <row r="10" spans="1:5" ht="18" customHeight="1" x14ac:dyDescent="0.25">
      <c r="A10" s="62">
        <v>-1</v>
      </c>
      <c r="B10" s="196" t="s">
        <v>133</v>
      </c>
      <c r="C10" s="95"/>
      <c r="D10" s="89"/>
      <c r="E10" s="328"/>
    </row>
    <row r="11" spans="1:5" ht="18" customHeight="1" x14ac:dyDescent="0.25">
      <c r="A11" s="63">
        <v>-2</v>
      </c>
      <c r="B11" s="197" t="s">
        <v>134</v>
      </c>
      <c r="C11" s="96"/>
      <c r="D11" s="68"/>
      <c r="E11" s="329"/>
    </row>
    <row r="12" spans="1:5" ht="18" customHeight="1" x14ac:dyDescent="0.25">
      <c r="A12" s="63">
        <v>-3</v>
      </c>
      <c r="B12" s="197" t="s">
        <v>135</v>
      </c>
      <c r="C12" s="96"/>
      <c r="D12" s="69"/>
      <c r="E12" s="330"/>
    </row>
    <row r="13" spans="1:5" ht="18" customHeight="1" x14ac:dyDescent="0.25">
      <c r="A13" s="63">
        <v>-4</v>
      </c>
      <c r="B13" s="197" t="s">
        <v>136</v>
      </c>
      <c r="C13" s="96"/>
      <c r="D13" s="69"/>
      <c r="E13" s="212">
        <f>E10+E11-E12</f>
        <v>0</v>
      </c>
    </row>
    <row r="14" spans="1:5" ht="18" customHeight="1" x14ac:dyDescent="0.25">
      <c r="A14" s="63">
        <v>-5</v>
      </c>
      <c r="B14" s="197" t="s">
        <v>137</v>
      </c>
      <c r="C14" s="96"/>
      <c r="D14" s="68"/>
      <c r="E14" s="331"/>
    </row>
    <row r="15" spans="1:5" ht="18" customHeight="1" x14ac:dyDescent="0.25">
      <c r="A15" s="63">
        <v>-6</v>
      </c>
      <c r="B15" s="197" t="s">
        <v>138</v>
      </c>
      <c r="C15" s="96"/>
      <c r="D15" s="68"/>
      <c r="E15" s="332"/>
    </row>
    <row r="16" spans="1:5" ht="18" customHeight="1" x14ac:dyDescent="0.25">
      <c r="A16" s="63">
        <v>-7</v>
      </c>
      <c r="B16" s="197" t="s">
        <v>141</v>
      </c>
      <c r="C16" s="96"/>
      <c r="D16" s="68"/>
      <c r="E16" s="332"/>
    </row>
    <row r="17" spans="1:5" ht="18" customHeight="1" x14ac:dyDescent="0.25">
      <c r="A17" s="63">
        <v>-8</v>
      </c>
      <c r="B17" s="197" t="s">
        <v>140</v>
      </c>
      <c r="C17" s="96"/>
      <c r="D17" s="68"/>
      <c r="E17" s="332"/>
    </row>
    <row r="18" spans="1:5" ht="18" customHeight="1" x14ac:dyDescent="0.25">
      <c r="A18" s="63">
        <v>-9</v>
      </c>
      <c r="B18" s="197" t="s">
        <v>142</v>
      </c>
      <c r="C18" s="96"/>
      <c r="D18" s="69"/>
      <c r="E18" s="333"/>
    </row>
    <row r="19" spans="1:5" ht="18" customHeight="1" x14ac:dyDescent="0.25">
      <c r="A19" s="63">
        <v>-10</v>
      </c>
      <c r="B19" s="197" t="s">
        <v>143</v>
      </c>
      <c r="C19" s="96"/>
      <c r="D19" s="69"/>
      <c r="E19" s="334"/>
    </row>
    <row r="20" spans="1:5" ht="18" customHeight="1" x14ac:dyDescent="0.25">
      <c r="A20" s="63">
        <v>-11</v>
      </c>
      <c r="B20" s="197" t="s">
        <v>263</v>
      </c>
      <c r="C20" s="96"/>
      <c r="D20" s="69"/>
      <c r="E20" s="211">
        <f>E19+E24</f>
        <v>0</v>
      </c>
    </row>
    <row r="21" spans="1:5" ht="18" customHeight="1" x14ac:dyDescent="0.25">
      <c r="A21" s="63">
        <v>-12</v>
      </c>
      <c r="B21" s="197" t="s">
        <v>144</v>
      </c>
      <c r="C21" s="96"/>
      <c r="D21" s="69"/>
      <c r="E21" s="335"/>
    </row>
    <row r="22" spans="1:5" ht="18" customHeight="1" x14ac:dyDescent="0.25">
      <c r="A22" s="63">
        <v>-13</v>
      </c>
      <c r="B22" s="197" t="s">
        <v>145</v>
      </c>
      <c r="C22" s="96"/>
      <c r="D22" s="69"/>
      <c r="E22" s="329"/>
    </row>
    <row r="23" spans="1:5" ht="18" customHeight="1" x14ac:dyDescent="0.25">
      <c r="A23" s="63">
        <v>-14</v>
      </c>
      <c r="B23" s="197" t="s">
        <v>146</v>
      </c>
      <c r="C23" s="96"/>
      <c r="D23" s="69"/>
      <c r="E23" s="329"/>
    </row>
    <row r="24" spans="1:5" ht="18" customHeight="1" x14ac:dyDescent="0.25">
      <c r="A24" s="63">
        <v>-15</v>
      </c>
      <c r="B24" s="197" t="s">
        <v>264</v>
      </c>
      <c r="C24" s="96"/>
      <c r="D24" s="69"/>
      <c r="E24" s="334"/>
    </row>
    <row r="25" spans="1:5" ht="18" customHeight="1" x14ac:dyDescent="0.25">
      <c r="A25" s="63">
        <v>-16</v>
      </c>
      <c r="B25" s="197" t="s">
        <v>147</v>
      </c>
      <c r="C25" s="96"/>
      <c r="D25" s="69"/>
      <c r="E25" s="210"/>
    </row>
    <row r="26" spans="1:5" ht="18" customHeight="1" x14ac:dyDescent="0.25">
      <c r="A26" s="63">
        <v>-17</v>
      </c>
      <c r="B26" s="198" t="s">
        <v>153</v>
      </c>
      <c r="C26" s="97"/>
      <c r="D26" s="69"/>
      <c r="E26" s="331"/>
    </row>
    <row r="27" spans="1:5" ht="18" customHeight="1" x14ac:dyDescent="0.25">
      <c r="A27" s="63">
        <v>-18</v>
      </c>
      <c r="B27" s="198" t="s">
        <v>152</v>
      </c>
      <c r="C27" s="97"/>
      <c r="D27" s="69"/>
      <c r="E27" s="332"/>
    </row>
    <row r="28" spans="1:5" ht="18" customHeight="1" x14ac:dyDescent="0.25">
      <c r="A28" s="63">
        <v>-19</v>
      </c>
      <c r="B28" s="198" t="s">
        <v>151</v>
      </c>
      <c r="C28" s="97"/>
      <c r="D28" s="69"/>
      <c r="E28" s="332"/>
    </row>
    <row r="29" spans="1:5" ht="18" customHeight="1" x14ac:dyDescent="0.25">
      <c r="A29" s="63">
        <v>-20</v>
      </c>
      <c r="B29" s="198" t="s">
        <v>150</v>
      </c>
      <c r="C29" s="97"/>
      <c r="D29" s="69"/>
      <c r="E29" s="332"/>
    </row>
    <row r="30" spans="1:5" ht="18" customHeight="1" x14ac:dyDescent="0.25">
      <c r="A30" s="63">
        <v>-21</v>
      </c>
      <c r="B30" s="198" t="s">
        <v>149</v>
      </c>
      <c r="C30" s="97"/>
      <c r="D30" s="69"/>
      <c r="E30" s="332"/>
    </row>
    <row r="31" spans="1:5" ht="18" customHeight="1" thickBot="1" x14ac:dyDescent="0.3">
      <c r="A31" s="91">
        <v>-22</v>
      </c>
      <c r="B31" s="199" t="s">
        <v>148</v>
      </c>
      <c r="C31" s="98"/>
      <c r="D31" s="92"/>
      <c r="E31" s="336"/>
    </row>
  </sheetData>
  <sheetProtection algorithmName="SHA-512" hashValue="RdXopqtqDstzIuSV+fAfOZ8HR9g1y4Lr8hgX9n+UwyVlba6SsF4G02c4uPUxtruFKG8D2criHky+r1Jjq1aCow==" saltValue="VIXTD+k1C/ALIU8LPn9JuQ==" spinCount="100000" sheet="1" objects="1" scenarios="1" formatColumns="0" formatRows="0" sort="0"/>
  <printOptions horizontalCentered="1"/>
  <pageMargins left="0.45" right="0.45" top="0.5" bottom="0.5" header="0.3" footer="0.05"/>
  <pageSetup scale="95" orientation="landscape" r:id="rId1"/>
  <headerFooter>
    <oddFooter xml:space="preserve">&amp;L06/11/2021 Edition
&amp;CPrior Approval Rate Application
Portions of the material contained in this document are protected by copyright owned by the State Farm Mutual Automobile Insurance Company, 2022&amp;RPage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00FF"/>
  </sheetPr>
  <dimension ref="A1:G39"/>
  <sheetViews>
    <sheetView showGridLines="0" view="pageBreakPreview" zoomScaleNormal="100" zoomScaleSheetLayoutView="100" workbookViewId="0">
      <selection activeCell="D62" sqref="D62"/>
    </sheetView>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75" customWidth="1"/>
  </cols>
  <sheetData>
    <row r="1" spans="1:7" ht="15.75" thickBot="1" x14ac:dyDescent="0.3">
      <c r="A1" s="21" t="s">
        <v>71</v>
      </c>
      <c r="C1" s="37" t="s">
        <v>73</v>
      </c>
      <c r="F1" s="36" t="str">
        <f>Co_Name</f>
        <v>State Farm General Insurance Company</v>
      </c>
      <c r="G1" s="387" t="s">
        <v>297</v>
      </c>
    </row>
    <row r="2" spans="1:7" x14ac:dyDescent="0.25">
      <c r="A2" s="21" t="s">
        <v>72</v>
      </c>
      <c r="C2" s="37" t="s">
        <v>74</v>
      </c>
      <c r="F2" s="36" t="str">
        <f>General_Line</f>
        <v>Homeowners</v>
      </c>
      <c r="G2" s="388" t="s">
        <v>112</v>
      </c>
    </row>
    <row r="3" spans="1:7" x14ac:dyDescent="0.25">
      <c r="B3" s="194"/>
      <c r="G3" s="389"/>
    </row>
    <row r="4" spans="1:7" ht="23.25" x14ac:dyDescent="0.25">
      <c r="A4" s="5" t="s">
        <v>156</v>
      </c>
      <c r="B4" s="3"/>
      <c r="C4" s="3"/>
      <c r="D4" s="3"/>
      <c r="E4" s="3"/>
      <c r="F4" s="3"/>
      <c r="G4" s="389"/>
    </row>
    <row r="5" spans="1:7" x14ac:dyDescent="0.25">
      <c r="G5" s="389"/>
    </row>
    <row r="6" spans="1:7" ht="18" customHeight="1" x14ac:dyDescent="0.25">
      <c r="A6" t="s">
        <v>493</v>
      </c>
      <c r="G6" s="389"/>
    </row>
    <row r="7" spans="1:7" ht="18" customHeight="1" x14ac:dyDescent="0.25">
      <c r="A7" t="s">
        <v>166</v>
      </c>
      <c r="C7" s="70"/>
      <c r="G7" s="293"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489</v>
      </c>
      <c r="C8" s="70"/>
      <c r="G8" s="293" t="str">
        <f>IF(AND(No_Fees=TRUE,OR(COUNTA(D12:D25)&lt;&gt;0,COUNTA(F12:F25)&lt;&gt;0,COUNTA(D29:D37)&lt;&gt;0,COUNTA(F29:F37)&lt;&gt;0)),"no fees apply.","")</f>
        <v/>
      </c>
    </row>
    <row r="9" spans="1:7" ht="18" customHeight="1" x14ac:dyDescent="0.25">
      <c r="A9" t="s">
        <v>490</v>
      </c>
      <c r="G9" s="294"/>
    </row>
    <row r="10" spans="1:7" ht="30" customHeight="1" thickBot="1" x14ac:dyDescent="0.3">
      <c r="A10" s="101" t="s">
        <v>157</v>
      </c>
      <c r="B10" s="102"/>
      <c r="C10" s="102"/>
      <c r="D10" s="102"/>
      <c r="E10" s="102"/>
      <c r="F10" s="102"/>
      <c r="G10" s="389"/>
    </row>
    <row r="11" spans="1:7" s="49" customFormat="1" ht="30" customHeight="1" x14ac:dyDescent="0.25">
      <c r="A11" s="103"/>
      <c r="B11" s="104"/>
      <c r="C11" s="104"/>
      <c r="D11" s="105" t="s">
        <v>164</v>
      </c>
      <c r="E11" s="100"/>
      <c r="F11" s="105" t="s">
        <v>165</v>
      </c>
      <c r="G11" s="390"/>
    </row>
    <row r="12" spans="1:7" s="49" customFormat="1" ht="18" customHeight="1" x14ac:dyDescent="0.25">
      <c r="A12" t="s">
        <v>488</v>
      </c>
      <c r="B12" s="104"/>
      <c r="C12" s="104"/>
      <c r="D12" s="225"/>
      <c r="E12" s="100"/>
      <c r="F12" s="225"/>
      <c r="G12" s="478"/>
    </row>
    <row r="13" spans="1:7" ht="18" customHeight="1" x14ac:dyDescent="0.25">
      <c r="A13" t="s">
        <v>158</v>
      </c>
      <c r="C13" s="70"/>
      <c r="D13" s="225"/>
      <c r="E13" s="70"/>
      <c r="F13" s="225"/>
      <c r="G13" s="393"/>
    </row>
    <row r="14" spans="1:7" ht="18" customHeight="1" x14ac:dyDescent="0.25">
      <c r="A14" t="s">
        <v>355</v>
      </c>
      <c r="C14" s="70"/>
      <c r="D14" s="225"/>
      <c r="E14" s="70"/>
      <c r="F14" s="225"/>
      <c r="G14" s="391"/>
    </row>
    <row r="15" spans="1:7" ht="18" customHeight="1" x14ac:dyDescent="0.25">
      <c r="A15" t="s">
        <v>159</v>
      </c>
      <c r="C15" s="70"/>
      <c r="D15" s="225"/>
      <c r="E15" s="70"/>
      <c r="F15" s="225"/>
      <c r="G15" s="391"/>
    </row>
    <row r="16" spans="1:7" ht="18" customHeight="1" x14ac:dyDescent="0.25">
      <c r="A16" t="s">
        <v>161</v>
      </c>
      <c r="C16" s="70"/>
      <c r="D16" s="225"/>
      <c r="E16" s="70"/>
      <c r="F16" s="225"/>
      <c r="G16" s="391"/>
    </row>
    <row r="17" spans="1:7" ht="18" customHeight="1" x14ac:dyDescent="0.25">
      <c r="A17" t="s">
        <v>160</v>
      </c>
      <c r="C17" s="70"/>
      <c r="D17" s="225"/>
      <c r="E17" s="70"/>
      <c r="F17" s="225"/>
      <c r="G17" s="391"/>
    </row>
    <row r="18" spans="1:7" ht="18" customHeight="1" x14ac:dyDescent="0.25">
      <c r="A18" t="s">
        <v>162</v>
      </c>
      <c r="C18" s="70"/>
      <c r="D18" s="225"/>
      <c r="E18" s="70"/>
      <c r="F18" s="225"/>
      <c r="G18" s="391"/>
    </row>
    <row r="19" spans="1:7" ht="18" customHeight="1" x14ac:dyDescent="0.25">
      <c r="A19" t="s">
        <v>163</v>
      </c>
      <c r="C19" s="70"/>
      <c r="D19" s="225"/>
      <c r="E19" s="70"/>
      <c r="F19" s="225"/>
      <c r="G19" s="391"/>
    </row>
    <row r="20" spans="1:7" ht="18" customHeight="1" x14ac:dyDescent="0.25">
      <c r="A20" t="s">
        <v>240</v>
      </c>
      <c r="C20" s="70"/>
      <c r="D20" s="225"/>
      <c r="E20" s="70"/>
      <c r="F20" s="225"/>
      <c r="G20" s="391"/>
    </row>
    <row r="21" spans="1:7" ht="18" customHeight="1" x14ac:dyDescent="0.25">
      <c r="A21" t="s">
        <v>170</v>
      </c>
      <c r="B21" s="8"/>
      <c r="C21" s="8"/>
      <c r="D21" s="8"/>
      <c r="E21" s="8"/>
      <c r="F21" s="8"/>
      <c r="G21" s="391"/>
    </row>
    <row r="22" spans="1:7" ht="18" customHeight="1" x14ac:dyDescent="0.25">
      <c r="A22" s="361" t="s">
        <v>357</v>
      </c>
      <c r="C22" s="70"/>
      <c r="D22" s="225"/>
      <c r="E22" s="70"/>
      <c r="F22" s="225"/>
      <c r="G22" s="391"/>
    </row>
    <row r="23" spans="1:7" ht="18" customHeight="1" x14ac:dyDescent="0.25">
      <c r="A23" s="361" t="s">
        <v>167</v>
      </c>
      <c r="C23" s="70"/>
      <c r="D23" s="225"/>
      <c r="E23" s="70"/>
      <c r="F23" s="225"/>
      <c r="G23" s="391"/>
    </row>
    <row r="24" spans="1:7" ht="18" customHeight="1" x14ac:dyDescent="0.25">
      <c r="A24" s="361" t="s">
        <v>168</v>
      </c>
      <c r="C24" s="70"/>
      <c r="D24" s="225"/>
      <c r="E24" s="70"/>
      <c r="F24" s="225"/>
      <c r="G24" s="391"/>
    </row>
    <row r="25" spans="1:7" ht="18" customHeight="1" x14ac:dyDescent="0.25">
      <c r="A25" s="361" t="s">
        <v>169</v>
      </c>
      <c r="C25" s="70"/>
      <c r="D25" s="225"/>
      <c r="E25" s="70"/>
      <c r="F25" s="225"/>
      <c r="G25" s="391"/>
    </row>
    <row r="26" spans="1:7" ht="18" customHeight="1" x14ac:dyDescent="0.25">
      <c r="G26" s="389"/>
    </row>
    <row r="27" spans="1:7" ht="30" customHeight="1" thickBot="1" x14ac:dyDescent="0.3">
      <c r="A27" s="101" t="s">
        <v>83</v>
      </c>
      <c r="B27" s="102"/>
      <c r="C27" s="102"/>
      <c r="D27" s="102"/>
      <c r="E27" s="102"/>
      <c r="F27" s="102"/>
      <c r="G27" s="389"/>
    </row>
    <row r="28" spans="1:7" ht="30" customHeight="1" x14ac:dyDescent="0.25">
      <c r="A28" s="103"/>
      <c r="B28" s="104"/>
      <c r="C28" s="104"/>
      <c r="D28" s="105" t="s">
        <v>164</v>
      </c>
      <c r="E28" s="100"/>
      <c r="F28" s="105" t="s">
        <v>165</v>
      </c>
      <c r="G28" s="389"/>
    </row>
    <row r="29" spans="1:7" ht="18" customHeight="1" x14ac:dyDescent="0.25">
      <c r="A29" s="99" t="s">
        <v>173</v>
      </c>
      <c r="C29" s="70"/>
      <c r="D29" s="226"/>
      <c r="E29" s="70"/>
      <c r="F29" s="226"/>
      <c r="G29" s="391"/>
    </row>
    <row r="30" spans="1:7" ht="18" customHeight="1" x14ac:dyDescent="0.25">
      <c r="A30" t="s">
        <v>172</v>
      </c>
      <c r="C30" s="70"/>
      <c r="D30" s="225"/>
      <c r="E30" s="70"/>
      <c r="F30" s="225"/>
      <c r="G30" s="391"/>
    </row>
    <row r="31" spans="1:7" ht="18" customHeight="1" x14ac:dyDescent="0.25">
      <c r="A31" t="s">
        <v>171</v>
      </c>
      <c r="C31" s="70"/>
      <c r="D31" s="225"/>
      <c r="E31" s="70"/>
      <c r="F31" s="225"/>
      <c r="G31" s="391"/>
    </row>
    <row r="32" spans="1:7" ht="18" customHeight="1" x14ac:dyDescent="0.25">
      <c r="A32" t="s">
        <v>356</v>
      </c>
      <c r="C32" s="70"/>
      <c r="D32" s="225"/>
      <c r="E32" s="70"/>
      <c r="F32" s="225"/>
      <c r="G32" s="391"/>
    </row>
    <row r="33" spans="1:7" ht="18" customHeight="1" x14ac:dyDescent="0.25">
      <c r="A33" t="s">
        <v>170</v>
      </c>
      <c r="B33" s="8"/>
      <c r="C33" s="8"/>
      <c r="D33" s="8"/>
      <c r="E33" s="8"/>
      <c r="F33" s="8"/>
      <c r="G33" s="391"/>
    </row>
    <row r="34" spans="1:7" ht="18" customHeight="1" x14ac:dyDescent="0.25">
      <c r="A34" s="361" t="s">
        <v>357</v>
      </c>
      <c r="C34" s="70"/>
      <c r="D34" s="225"/>
      <c r="E34" s="70"/>
      <c r="F34" s="225"/>
      <c r="G34" s="391"/>
    </row>
    <row r="35" spans="1:7" ht="18" customHeight="1" x14ac:dyDescent="0.25">
      <c r="A35" s="361" t="s">
        <v>167</v>
      </c>
      <c r="C35" s="70"/>
      <c r="D35" s="225"/>
      <c r="E35" s="70"/>
      <c r="F35" s="225"/>
      <c r="G35" s="391"/>
    </row>
    <row r="36" spans="1:7" ht="18" customHeight="1" x14ac:dyDescent="0.25">
      <c r="A36" s="361" t="s">
        <v>168</v>
      </c>
      <c r="C36" s="70"/>
      <c r="D36" s="225"/>
      <c r="E36" s="70"/>
      <c r="F36" s="225"/>
      <c r="G36" s="391"/>
    </row>
    <row r="37" spans="1:7" ht="18" customHeight="1" x14ac:dyDescent="0.25">
      <c r="A37" s="361" t="s">
        <v>169</v>
      </c>
      <c r="C37" s="70"/>
      <c r="D37" s="225"/>
      <c r="E37" s="70"/>
      <c r="F37" s="225"/>
      <c r="G37" s="389"/>
    </row>
    <row r="38" spans="1:7" x14ac:dyDescent="0.25">
      <c r="G38" s="389"/>
    </row>
    <row r="39" spans="1:7" ht="15.75" thickBot="1" x14ac:dyDescent="0.3">
      <c r="A39" s="99" t="s">
        <v>174</v>
      </c>
      <c r="G39" s="392"/>
    </row>
  </sheetData>
  <sheetProtection algorithmName="SHA-512" hashValue="ImKZ7e4OlkUlqci4PRNmJX/GFVgzKBNA66Y6E7mOUBDhchOAGIs5zO/U5tyV6di14/XW71Ycvwy2H3O1DeAcTg==" saltValue="zBifuIvSMlQ5kkTei53oxw==" spinCount="100000" sheet="1" objects="1" scenarios="1" formatColumns="0" formatRows="0" sort="0"/>
  <printOptions horizontalCentered="1"/>
  <pageMargins left="0.45" right="0.45" top="0.5" bottom="0.5" header="0.3" footer="0.05"/>
  <pageSetup scale="80" orientation="portrait" r:id="rId1"/>
  <headerFooter>
    <oddFooter xml:space="preserve">&amp;L06/11/2021 Edition
&amp;CPrior Approval Rate Application
Portions of the material contained in this document are protected by copyright owned by the State Farm Mutual Automobile Insurance Company, 2022&amp;RPage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pageSetUpPr fitToPage="1"/>
  </sheetPr>
  <dimension ref="A1:P45"/>
  <sheetViews>
    <sheetView showGridLines="0" view="pageBreakPreview" zoomScaleNormal="100" zoomScaleSheetLayoutView="100" workbookViewId="0">
      <selection activeCell="D62" sqref="D62"/>
    </sheetView>
  </sheetViews>
  <sheetFormatPr defaultRowHeight="15" x14ac:dyDescent="0.25"/>
  <cols>
    <col min="1" max="1" width="5" customWidth="1"/>
    <col min="2" max="2" width="14.5703125" customWidth="1"/>
    <col min="3" max="3" width="20.7109375" customWidth="1"/>
    <col min="4" max="4" width="45.7109375" customWidth="1"/>
    <col min="5" max="5" width="8.140625" customWidth="1"/>
    <col min="6" max="6" width="10.7109375" customWidth="1"/>
    <col min="7" max="7" width="25.7109375" style="151" customWidth="1"/>
    <col min="9" max="12" width="14.28515625" customWidth="1"/>
    <col min="13" max="13" width="50.5703125" customWidth="1"/>
    <col min="14" max="14" width="74" style="243" customWidth="1"/>
  </cols>
  <sheetData>
    <row r="1" spans="1:16" x14ac:dyDescent="0.25">
      <c r="A1" s="21" t="s">
        <v>71</v>
      </c>
      <c r="B1" s="21"/>
      <c r="G1"/>
      <c r="K1" s="37" t="s">
        <v>73</v>
      </c>
      <c r="M1" s="36" t="str">
        <f>Co_Name</f>
        <v>State Farm General Insurance Company</v>
      </c>
    </row>
    <row r="2" spans="1:16" x14ac:dyDescent="0.25">
      <c r="A2" s="21" t="s">
        <v>72</v>
      </c>
      <c r="B2" s="21"/>
      <c r="G2"/>
      <c r="K2" s="37" t="s">
        <v>74</v>
      </c>
      <c r="M2" s="36" t="str">
        <f>General_Line</f>
        <v>Homeowners</v>
      </c>
    </row>
    <row r="3" spans="1:16" x14ac:dyDescent="0.25">
      <c r="B3" s="194"/>
      <c r="G3" s="241"/>
    </row>
    <row r="4" spans="1:16" ht="23.25" x14ac:dyDescent="0.25">
      <c r="A4" s="5" t="s">
        <v>189</v>
      </c>
      <c r="B4" s="5"/>
      <c r="C4" s="3"/>
      <c r="D4" s="3"/>
      <c r="E4" s="3"/>
      <c r="F4" s="3"/>
      <c r="G4" s="3"/>
      <c r="H4" s="3"/>
      <c r="I4" s="3"/>
      <c r="J4" s="3"/>
      <c r="K4" s="3"/>
      <c r="L4" s="3"/>
      <c r="M4" s="3"/>
    </row>
    <row r="5" spans="1:16" ht="26.25" x14ac:dyDescent="0.4">
      <c r="A5" s="299"/>
      <c r="B5" s="5"/>
      <c r="C5" s="3"/>
      <c r="D5" s="299"/>
      <c r="E5" s="3"/>
      <c r="F5" s="3"/>
      <c r="G5" s="3"/>
      <c r="H5" s="3"/>
      <c r="I5" s="3"/>
      <c r="J5" s="3"/>
      <c r="K5" s="3"/>
      <c r="L5" s="3"/>
      <c r="M5" s="3"/>
    </row>
    <row r="6" spans="1:16" ht="5.0999999999999996" customHeight="1" x14ac:dyDescent="0.25">
      <c r="A6" s="5"/>
      <c r="B6" s="5"/>
      <c r="C6" s="3"/>
      <c r="D6" s="3"/>
      <c r="E6" s="3"/>
      <c r="F6" s="3"/>
      <c r="G6" s="3"/>
      <c r="H6" s="3"/>
      <c r="I6" s="3"/>
      <c r="J6" s="3"/>
      <c r="K6" s="3"/>
      <c r="L6" s="3"/>
      <c r="M6" s="3"/>
    </row>
    <row r="7" spans="1:16" ht="6" customHeight="1" thickBot="1" x14ac:dyDescent="0.3">
      <c r="A7" s="302"/>
      <c r="G7"/>
    </row>
    <row r="8" spans="1:16" x14ac:dyDescent="0.25">
      <c r="A8" s="158"/>
      <c r="B8" s="153"/>
      <c r="C8" s="159" t="s">
        <v>191</v>
      </c>
      <c r="D8" s="152"/>
      <c r="E8" s="157"/>
      <c r="F8" s="159" t="s">
        <v>195</v>
      </c>
      <c r="G8" s="157"/>
      <c r="H8" s="163"/>
      <c r="I8" s="159" t="s">
        <v>198</v>
      </c>
      <c r="J8" s="157"/>
      <c r="K8" s="159" t="s">
        <v>199</v>
      </c>
      <c r="L8" s="157"/>
      <c r="M8" s="255" t="s">
        <v>282</v>
      </c>
    </row>
    <row r="9" spans="1:16" ht="18" thickBot="1" x14ac:dyDescent="0.3">
      <c r="A9" s="174"/>
      <c r="B9" s="172"/>
      <c r="C9" s="160" t="s">
        <v>192</v>
      </c>
      <c r="D9" s="162" t="s">
        <v>193</v>
      </c>
      <c r="E9" s="154" t="s">
        <v>194</v>
      </c>
      <c r="F9" s="160" t="s">
        <v>84</v>
      </c>
      <c r="G9" s="154" t="s">
        <v>348</v>
      </c>
      <c r="H9" s="113" t="s">
        <v>196</v>
      </c>
      <c r="I9" s="160" t="s">
        <v>294</v>
      </c>
      <c r="J9" s="154" t="s">
        <v>200</v>
      </c>
      <c r="K9" s="160" t="s">
        <v>201</v>
      </c>
      <c r="L9" s="154" t="s">
        <v>197</v>
      </c>
      <c r="M9" s="154" t="s">
        <v>285</v>
      </c>
      <c r="O9" s="70"/>
      <c r="P9" s="70"/>
    </row>
    <row r="10" spans="1:16" ht="18" customHeight="1" x14ac:dyDescent="0.25">
      <c r="A10" s="509">
        <f t="shared" ref="A10:A18" si="0">A8-1</f>
        <v>-1</v>
      </c>
      <c r="B10" s="173" t="s">
        <v>211</v>
      </c>
      <c r="C10" s="176"/>
      <c r="D10" s="260"/>
      <c r="E10" s="177"/>
      <c r="F10" s="178"/>
      <c r="G10" s="179"/>
      <c r="H10" s="180"/>
      <c r="I10" s="178"/>
      <c r="J10" s="177"/>
      <c r="K10" s="178"/>
      <c r="L10" s="365"/>
      <c r="M10" s="258"/>
      <c r="N10" s="243" t="str">
        <f>IF(COUNTBLANK(C10:M10)=11,"",
IF(OR(COUNTBLANK(C10:F10)&gt;0,COUNTBLANK(H10:K10)&gt;0),"←ERROR! Fill out all of the required information in the proposed line.",
IF(AND(ISBLANK(G10),OR(F10=1,F10=2,H10=7,H10=8,H10=9)),"←ERROR! Provide the CDI File # of the applicable filing.",
IF(AND(K10="Y",ISBLANK(L10)),"←ERROR! Provide rate impact of the form.",""))))</f>
        <v/>
      </c>
      <c r="O10" s="70"/>
      <c r="P10" s="70"/>
    </row>
    <row r="11" spans="1:16" ht="18" customHeight="1" x14ac:dyDescent="0.25">
      <c r="A11" s="510"/>
      <c r="B11" s="191" t="s">
        <v>281</v>
      </c>
      <c r="C11" s="181"/>
      <c r="D11" s="261"/>
      <c r="E11" s="182"/>
      <c r="F11" s="183"/>
      <c r="G11" s="184"/>
      <c r="H11" s="180"/>
      <c r="I11" s="262"/>
      <c r="J11" s="263"/>
      <c r="K11" s="262"/>
      <c r="L11" s="263"/>
      <c r="M11" s="259"/>
      <c r="N11" s="243" t="str">
        <f>IF(OR(H10=1,H10=2,H10=3,H10=7,H10=8,H10=9,ISBLANK(H10)),"",
IF(COUNTBLANK(C11:H11)&gt;0,"←ERROR! Fill out all of the required information in the current line.",
IF(AND(OR(H10=4,H10=5,H10=6),OR(H11=7,H11=8,H11=9)),"","←ERROR! Current category code must be withdrawn if you are proposing to replace the form.")))</f>
        <v/>
      </c>
      <c r="O11" s="70"/>
      <c r="P11" s="70"/>
    </row>
    <row r="12" spans="1:16" ht="18" customHeight="1" x14ac:dyDescent="0.25">
      <c r="A12" s="517">
        <f t="shared" si="0"/>
        <v>-2</v>
      </c>
      <c r="B12" s="356" t="s">
        <v>211</v>
      </c>
      <c r="C12" s="181"/>
      <c r="D12" s="261"/>
      <c r="E12" s="182"/>
      <c r="F12" s="183"/>
      <c r="G12" s="184"/>
      <c r="H12" s="180"/>
      <c r="I12" s="368"/>
      <c r="J12" s="369"/>
      <c r="K12" s="368"/>
      <c r="L12" s="364"/>
      <c r="M12" s="259"/>
      <c r="N12" s="243" t="str">
        <f>IF(COUNTBLANK(C12:M12)=11,"",
IF(OR(COUNTBLANK(C12:F12)&gt;0,COUNTBLANK(H12:K12)&gt;0),"←ERROR! Fill out all of the required information in the proposed line.",
IF(AND(ISBLANK(G12),OR(F12=1,F12=2,H12=7,H12=8,H12=9)),"←ERROR! Provide the CDI File # of the applicable filing.",
IF(AND(K12="Y",ISBLANK(L12)),"←ERROR! Provide rate impact of the form.",""))))</f>
        <v/>
      </c>
      <c r="O12" s="70"/>
      <c r="P12" s="70"/>
    </row>
    <row r="13" spans="1:16" ht="18" customHeight="1" x14ac:dyDescent="0.25">
      <c r="A13" s="510"/>
      <c r="B13" s="356" t="s">
        <v>281</v>
      </c>
      <c r="C13" s="181"/>
      <c r="D13" s="261"/>
      <c r="E13" s="182"/>
      <c r="F13" s="183"/>
      <c r="G13" s="184"/>
      <c r="H13" s="180"/>
      <c r="I13" s="366"/>
      <c r="J13" s="367"/>
      <c r="K13" s="366"/>
      <c r="L13" s="263"/>
      <c r="M13" s="259"/>
      <c r="N13" s="243" t="str">
        <f>IF(OR(H12=1,H12=2,H12=3,H12=7,H12=8,H12=9,ISBLANK(H12)),"",
IF(COUNTBLANK(C13:H13)&gt;0,"←ERROR! Fill out all of the required information in the current line.",
IF(AND(OR(H12=4,H12=5,H12=6),OR(H13=7,H13=8,H13=9)),"","←ERROR! Current category code must be withdrawn if you are proposing to replace the form.")))</f>
        <v/>
      </c>
      <c r="O13" s="70"/>
      <c r="P13" s="70"/>
    </row>
    <row r="14" spans="1:16" ht="18" customHeight="1" x14ac:dyDescent="0.25">
      <c r="A14" s="517">
        <f t="shared" si="0"/>
        <v>-3</v>
      </c>
      <c r="B14" s="356" t="s">
        <v>211</v>
      </c>
      <c r="C14" s="181"/>
      <c r="D14" s="261"/>
      <c r="E14" s="182"/>
      <c r="F14" s="183"/>
      <c r="G14" s="184"/>
      <c r="H14" s="180"/>
      <c r="I14" s="368"/>
      <c r="J14" s="369"/>
      <c r="K14" s="368"/>
      <c r="L14" s="364"/>
      <c r="M14" s="259"/>
      <c r="N14" s="243" t="str">
        <f>IF(COUNTBLANK(C14:M14)=11,"",
IF(OR(COUNTBLANK(C14:F14)&gt;0,COUNTBLANK(H14:K14)&gt;0),"←ERROR! Fill out all of the required information in the proposed line.",
IF(AND(ISBLANK(G14),OR(F14=1,F14=2,H14=7,H14=8,H14=9)),"←ERROR! Provide the CDI File # of the applicable filing.",
IF(AND(K14="Y",ISBLANK(L14)),"←ERROR! Provide rate impact of the form.",""))))</f>
        <v/>
      </c>
      <c r="O14" s="70"/>
      <c r="P14" s="70"/>
    </row>
    <row r="15" spans="1:16" ht="18" customHeight="1" x14ac:dyDescent="0.25">
      <c r="A15" s="510"/>
      <c r="B15" s="356" t="s">
        <v>281</v>
      </c>
      <c r="C15" s="181"/>
      <c r="D15" s="261"/>
      <c r="E15" s="182"/>
      <c r="F15" s="183"/>
      <c r="G15" s="184"/>
      <c r="H15" s="180"/>
      <c r="I15" s="366"/>
      <c r="J15" s="367"/>
      <c r="K15" s="366"/>
      <c r="L15" s="263"/>
      <c r="M15" s="259"/>
      <c r="N15" s="243" t="str">
        <f>IF(OR(H14=1,H14=2,H14=3,H14=7,H14=8,H14=9,ISBLANK(H14)),"",
IF(COUNTBLANK(C15:H15)&gt;0,"←ERROR! Fill out all of the required information in the current line.",
IF(AND(OR(H14=4,H14=5,H14=6),OR(H15=7,H15=8,H15=9)),"","←ERROR! Current category code must be withdrawn if you are proposing to replace the form.")))</f>
        <v/>
      </c>
      <c r="O15" s="70"/>
      <c r="P15" s="70"/>
    </row>
    <row r="16" spans="1:16" ht="18" customHeight="1" x14ac:dyDescent="0.25">
      <c r="A16" s="517">
        <f t="shared" si="0"/>
        <v>-4</v>
      </c>
      <c r="B16" s="356" t="s">
        <v>211</v>
      </c>
      <c r="C16" s="181"/>
      <c r="D16" s="261"/>
      <c r="E16" s="182"/>
      <c r="F16" s="183"/>
      <c r="G16" s="184"/>
      <c r="H16" s="180"/>
      <c r="I16" s="368"/>
      <c r="J16" s="369"/>
      <c r="K16" s="368"/>
      <c r="L16" s="364"/>
      <c r="M16" s="259"/>
      <c r="N16" s="243" t="str">
        <f>IF(COUNTBLANK(C16:M16)=11,"",
IF(OR(COUNTBLANK(C16:F16)&gt;0,COUNTBLANK(H16:K16)&gt;0),"←ERROR! Fill out all of the required information in the proposed line.",
IF(AND(ISBLANK(G16),OR(F16=1,F16=2,H16=7,H16=8,H16=9)),"←ERROR! Provide the CDI File # of the applicable filing.",
IF(AND(K16="Y",ISBLANK(L16)),"←ERROR! Provide rate impact of the form.",""))))</f>
        <v/>
      </c>
      <c r="O16" s="70"/>
      <c r="P16" s="70"/>
    </row>
    <row r="17" spans="1:16" ht="18" customHeight="1" x14ac:dyDescent="0.25">
      <c r="A17" s="510"/>
      <c r="B17" s="356" t="s">
        <v>281</v>
      </c>
      <c r="C17" s="181"/>
      <c r="D17" s="261"/>
      <c r="E17" s="182"/>
      <c r="F17" s="183"/>
      <c r="G17" s="184"/>
      <c r="H17" s="180"/>
      <c r="I17" s="366"/>
      <c r="J17" s="367"/>
      <c r="K17" s="366"/>
      <c r="L17" s="263"/>
      <c r="M17" s="259"/>
      <c r="N17" s="243" t="str">
        <f>IF(OR(H16=1,H16=2,H16=3,H16=7,H16=8,H16=9,ISBLANK(H16)),"",
IF(COUNTBLANK(C17:H17)&gt;0,"←ERROR! Fill out all of the required information in the current line.",
IF(AND(OR(H16=4,H16=5,H16=6),OR(H17=7,H17=8,H17=9)),"","←ERROR! Current category code must be withdrawn if you are proposing to replace the form.")))</f>
        <v/>
      </c>
      <c r="O17" s="70"/>
      <c r="P17" s="70"/>
    </row>
    <row r="18" spans="1:16" ht="18" customHeight="1" x14ac:dyDescent="0.25">
      <c r="A18" s="517">
        <f t="shared" si="0"/>
        <v>-5</v>
      </c>
      <c r="B18" s="356" t="s">
        <v>211</v>
      </c>
      <c r="C18" s="181"/>
      <c r="D18" s="261"/>
      <c r="E18" s="182"/>
      <c r="F18" s="183"/>
      <c r="G18" s="184"/>
      <c r="H18" s="180"/>
      <c r="I18" s="368"/>
      <c r="J18" s="369"/>
      <c r="K18" s="368"/>
      <c r="L18" s="364"/>
      <c r="M18" s="259"/>
      <c r="N18" s="243" t="str">
        <f>IF(COUNTBLANK(C18:M18)=11,"",
IF(OR(COUNTBLANK(C18:F18)&gt;0,COUNTBLANK(H18:K18)&gt;0),"←ERROR! Fill out all of the required information in the proposed line.",
IF(AND(ISBLANK(G18),OR(F18=1,F18=2,H18=7,H18=8,H18=9)),"←ERROR! Provide the CDI File # of the applicable filing.",
IF(AND(K18="Y",ISBLANK(L18)),"←ERROR! Provide rate impact of the form.",""))))</f>
        <v/>
      </c>
      <c r="O18" s="70"/>
      <c r="P18" s="70"/>
    </row>
    <row r="19" spans="1:16" ht="18" customHeight="1" x14ac:dyDescent="0.25">
      <c r="A19" s="510"/>
      <c r="B19" s="356" t="s">
        <v>281</v>
      </c>
      <c r="C19" s="181"/>
      <c r="D19" s="261"/>
      <c r="E19" s="182"/>
      <c r="F19" s="183"/>
      <c r="G19" s="184"/>
      <c r="H19" s="180"/>
      <c r="I19" s="366"/>
      <c r="J19" s="367"/>
      <c r="K19" s="366"/>
      <c r="L19" s="263"/>
      <c r="M19" s="259"/>
      <c r="N19" s="243" t="str">
        <f>IF(OR(H18=1,H18=2,H18=3,H18=7,H18=8,H18=9,ISBLANK(H18)),"",
IF(COUNTBLANK(C19:H19)&gt;0,"←ERROR! Fill out all of the required information in the current line.",
IF(AND(OR(H18=4,H18=5,H18=6),OR(H19=7,H19=8,H19=9)),"","←ERROR! Current category code must be withdrawn if you are proposing to replace the form.")))</f>
        <v/>
      </c>
      <c r="O19" s="70"/>
      <c r="P19" s="70"/>
    </row>
    <row r="20" spans="1:16" ht="3.75" customHeight="1" x14ac:dyDescent="0.25"/>
    <row r="21" spans="1:16" ht="17.25" x14ac:dyDescent="0.25">
      <c r="A21" s="49" t="s">
        <v>392</v>
      </c>
    </row>
    <row r="22" spans="1:16" ht="17.25" x14ac:dyDescent="0.25">
      <c r="A22" s="49" t="s">
        <v>295</v>
      </c>
    </row>
    <row r="23" spans="1:16" ht="4.5" customHeight="1" x14ac:dyDescent="0.25"/>
    <row r="24" spans="1:16" ht="15.75" thickBot="1" x14ac:dyDescent="0.3">
      <c r="C24" s="1" t="s">
        <v>212</v>
      </c>
    </row>
    <row r="25" spans="1:16" x14ac:dyDescent="0.25">
      <c r="B25" s="1"/>
      <c r="C25" s="175" t="s">
        <v>213</v>
      </c>
      <c r="D25" s="156"/>
      <c r="E25" s="175" t="s">
        <v>214</v>
      </c>
      <c r="F25" s="110"/>
      <c r="G25" s="167"/>
      <c r="H25" s="175" t="s">
        <v>215</v>
      </c>
      <c r="I25" s="110"/>
      <c r="J25" s="164"/>
      <c r="K25" s="110"/>
      <c r="L25" s="110"/>
      <c r="M25" s="156"/>
    </row>
    <row r="26" spans="1:16" x14ac:dyDescent="0.25">
      <c r="A26" s="161"/>
      <c r="C26" s="168">
        <v>-1</v>
      </c>
      <c r="D26" s="114" t="s">
        <v>202</v>
      </c>
      <c r="E26" s="168">
        <v>-1</v>
      </c>
      <c r="F26" s="51" t="s">
        <v>206</v>
      </c>
      <c r="G26" s="169"/>
      <c r="H26" s="165">
        <v>-1</v>
      </c>
      <c r="I26" s="51" t="s">
        <v>208</v>
      </c>
      <c r="J26" s="155"/>
      <c r="L26" s="166">
        <v>-6</v>
      </c>
      <c r="M26" s="114" t="s">
        <v>479</v>
      </c>
    </row>
    <row r="27" spans="1:16" x14ac:dyDescent="0.25">
      <c r="A27" s="161"/>
      <c r="C27" s="168">
        <v>-2</v>
      </c>
      <c r="D27" s="114" t="s">
        <v>203</v>
      </c>
      <c r="E27" s="168">
        <v>-2</v>
      </c>
      <c r="F27" s="51" t="s">
        <v>205</v>
      </c>
      <c r="G27" s="169"/>
      <c r="H27" s="165">
        <v>-2</v>
      </c>
      <c r="I27" s="51" t="s">
        <v>484</v>
      </c>
      <c r="J27" s="155"/>
      <c r="L27" s="166">
        <v>-7</v>
      </c>
      <c r="M27" s="114" t="s">
        <v>210</v>
      </c>
    </row>
    <row r="28" spans="1:16" x14ac:dyDescent="0.25">
      <c r="A28" s="161"/>
      <c r="C28" s="168">
        <v>-3</v>
      </c>
      <c r="D28" s="114" t="s">
        <v>204</v>
      </c>
      <c r="E28" s="168">
        <v>-3</v>
      </c>
      <c r="F28" s="51" t="s">
        <v>207</v>
      </c>
      <c r="G28" s="169"/>
      <c r="H28" s="165">
        <v>-3</v>
      </c>
      <c r="I28" s="51" t="s">
        <v>477</v>
      </c>
      <c r="J28" s="155"/>
      <c r="L28" s="166">
        <v>-8</v>
      </c>
      <c r="M28" s="114" t="s">
        <v>480</v>
      </c>
    </row>
    <row r="29" spans="1:16" x14ac:dyDescent="0.25">
      <c r="A29" s="161"/>
      <c r="C29" s="168">
        <v>-4</v>
      </c>
      <c r="D29" s="114" t="s">
        <v>485</v>
      </c>
      <c r="E29" s="168">
        <v>-4</v>
      </c>
      <c r="F29" s="394" t="s">
        <v>485</v>
      </c>
      <c r="G29" s="169"/>
      <c r="H29" s="165">
        <v>-4</v>
      </c>
      <c r="I29" s="51" t="s">
        <v>209</v>
      </c>
      <c r="J29" s="155"/>
      <c r="L29" s="166">
        <v>-9</v>
      </c>
      <c r="M29" s="114" t="s">
        <v>481</v>
      </c>
    </row>
    <row r="30" spans="1:16" x14ac:dyDescent="0.25">
      <c r="A30" s="161"/>
      <c r="C30" s="168"/>
      <c r="D30" s="114"/>
      <c r="E30" s="168"/>
      <c r="F30" s="51"/>
      <c r="G30" s="169"/>
      <c r="H30" s="165">
        <v>-5</v>
      </c>
      <c r="I30" s="51" t="s">
        <v>478</v>
      </c>
      <c r="J30" s="155"/>
      <c r="L30" s="166">
        <v>-10</v>
      </c>
      <c r="M30" s="114" t="s">
        <v>485</v>
      </c>
    </row>
    <row r="31" spans="1:16" x14ac:dyDescent="0.25">
      <c r="A31" s="161"/>
      <c r="C31" s="168"/>
      <c r="D31" s="114"/>
      <c r="E31" s="168"/>
      <c r="F31" s="51"/>
      <c r="G31" s="169"/>
      <c r="H31" s="165"/>
      <c r="I31" s="51"/>
      <c r="J31" s="155"/>
      <c r="L31" s="166"/>
      <c r="M31" s="114"/>
    </row>
    <row r="32" spans="1:16" x14ac:dyDescent="0.25">
      <c r="A32" s="161"/>
      <c r="C32" s="168"/>
      <c r="D32" s="114"/>
      <c r="E32" s="168"/>
      <c r="F32" s="51"/>
      <c r="G32" s="169"/>
      <c r="H32" s="469" t="s">
        <v>487</v>
      </c>
      <c r="I32" s="51"/>
      <c r="J32" s="155"/>
      <c r="L32" s="166"/>
      <c r="M32" s="114"/>
    </row>
    <row r="33" spans="1:13" x14ac:dyDescent="0.25">
      <c r="A33" s="161"/>
      <c r="C33" s="168"/>
      <c r="D33" s="114"/>
      <c r="E33" s="168"/>
      <c r="F33" s="51"/>
      <c r="G33" s="169"/>
      <c r="H33" s="469" t="s">
        <v>482</v>
      </c>
      <c r="I33" s="51"/>
      <c r="J33" s="155"/>
      <c r="K33" s="166"/>
      <c r="L33" s="51"/>
      <c r="M33" s="114"/>
    </row>
    <row r="34" spans="1:13" ht="15.75" thickBot="1" x14ac:dyDescent="0.3">
      <c r="A34" s="161"/>
      <c r="C34" s="170"/>
      <c r="D34" s="116"/>
      <c r="E34" s="170"/>
      <c r="F34" s="473"/>
      <c r="G34" s="171"/>
      <c r="H34" s="470" t="s">
        <v>483</v>
      </c>
      <c r="I34" s="115"/>
      <c r="J34" s="474"/>
      <c r="K34" s="475"/>
      <c r="L34" s="115"/>
      <c r="M34" s="116"/>
    </row>
    <row r="36" spans="1:13" ht="15.75" thickBot="1" x14ac:dyDescent="0.3">
      <c r="C36" s="1" t="s">
        <v>485</v>
      </c>
    </row>
    <row r="37" spans="1:13" ht="15" customHeight="1" x14ac:dyDescent="0.25">
      <c r="C37" s="477" t="s">
        <v>486</v>
      </c>
      <c r="D37" s="471"/>
      <c r="E37" s="471"/>
      <c r="F37" s="471"/>
      <c r="G37" s="471"/>
      <c r="H37" s="471"/>
      <c r="I37" s="471"/>
      <c r="J37" s="471"/>
      <c r="K37" s="471"/>
      <c r="L37" s="471"/>
      <c r="M37" s="472"/>
    </row>
    <row r="38" spans="1:13" x14ac:dyDescent="0.25">
      <c r="C38" s="511"/>
      <c r="D38" s="512"/>
      <c r="E38" s="512"/>
      <c r="F38" s="512"/>
      <c r="G38" s="512"/>
      <c r="H38" s="512"/>
      <c r="I38" s="512"/>
      <c r="J38" s="512"/>
      <c r="K38" s="512"/>
      <c r="L38" s="512"/>
      <c r="M38" s="513"/>
    </row>
    <row r="39" spans="1:13" x14ac:dyDescent="0.25">
      <c r="C39" s="511"/>
      <c r="D39" s="512"/>
      <c r="E39" s="512"/>
      <c r="F39" s="512"/>
      <c r="G39" s="512"/>
      <c r="H39" s="512"/>
      <c r="I39" s="512"/>
      <c r="J39" s="512"/>
      <c r="K39" s="512"/>
      <c r="L39" s="512"/>
      <c r="M39" s="513"/>
    </row>
    <row r="40" spans="1:13" x14ac:dyDescent="0.25">
      <c r="C40" s="511"/>
      <c r="D40" s="512"/>
      <c r="E40" s="512"/>
      <c r="F40" s="512"/>
      <c r="G40" s="512"/>
      <c r="H40" s="512"/>
      <c r="I40" s="512"/>
      <c r="J40" s="512"/>
      <c r="K40" s="512"/>
      <c r="L40" s="512"/>
      <c r="M40" s="513"/>
    </row>
    <row r="41" spans="1:13" x14ac:dyDescent="0.25">
      <c r="C41" s="511"/>
      <c r="D41" s="512"/>
      <c r="E41" s="512"/>
      <c r="F41" s="512"/>
      <c r="G41" s="512"/>
      <c r="H41" s="512"/>
      <c r="I41" s="512"/>
      <c r="J41" s="512"/>
      <c r="K41" s="512"/>
      <c r="L41" s="512"/>
      <c r="M41" s="513"/>
    </row>
    <row r="42" spans="1:13" x14ac:dyDescent="0.25">
      <c r="C42" s="511"/>
      <c r="D42" s="512"/>
      <c r="E42" s="512"/>
      <c r="F42" s="512"/>
      <c r="G42" s="512"/>
      <c r="H42" s="512"/>
      <c r="I42" s="512"/>
      <c r="J42" s="512"/>
      <c r="K42" s="512"/>
      <c r="L42" s="512"/>
      <c r="M42" s="513"/>
    </row>
    <row r="43" spans="1:13" x14ac:dyDescent="0.25">
      <c r="C43" s="511"/>
      <c r="D43" s="512"/>
      <c r="E43" s="512"/>
      <c r="F43" s="512"/>
      <c r="G43" s="512"/>
      <c r="H43" s="512"/>
      <c r="I43" s="512"/>
      <c r="J43" s="512"/>
      <c r="K43" s="512"/>
      <c r="L43" s="512"/>
      <c r="M43" s="513"/>
    </row>
    <row r="44" spans="1:13" x14ac:dyDescent="0.25">
      <c r="C44" s="511"/>
      <c r="D44" s="512"/>
      <c r="E44" s="512"/>
      <c r="F44" s="512"/>
      <c r="G44" s="512"/>
      <c r="H44" s="512"/>
      <c r="I44" s="512"/>
      <c r="J44" s="512"/>
      <c r="K44" s="512"/>
      <c r="L44" s="512"/>
      <c r="M44" s="513"/>
    </row>
    <row r="45" spans="1:13" ht="15.75" thickBot="1" x14ac:dyDescent="0.3">
      <c r="C45" s="514"/>
      <c r="D45" s="515"/>
      <c r="E45" s="515"/>
      <c r="F45" s="515"/>
      <c r="G45" s="515"/>
      <c r="H45" s="515"/>
      <c r="I45" s="515"/>
      <c r="J45" s="515"/>
      <c r="K45" s="515"/>
      <c r="L45" s="515"/>
      <c r="M45" s="516"/>
    </row>
  </sheetData>
  <sheetProtection algorithmName="SHA-512" hashValue="xyGZUTpYO3+CR5D3psznBhdxHcq5Iu0V4vI9RVQS1L/PImPqorvd0ORahE5OnRkg3wpUWf9a9sqWo5JBWOb4tQ==" saltValue="C+eDaNEIx0hjwqH/UMk23w==" spinCount="100000" sheet="1" objects="1" scenarios="1" formatColumns="0" formatRows="0" sort="0"/>
  <mergeCells count="6">
    <mergeCell ref="A10:A11"/>
    <mergeCell ref="C38:M45"/>
    <mergeCell ref="A12:A13"/>
    <mergeCell ref="A14:A15"/>
    <mergeCell ref="A16:A17"/>
    <mergeCell ref="A18:A19"/>
  </mergeCells>
  <dataValidations count="5">
    <dataValidation type="list" allowBlank="1" showInputMessage="1" showErrorMessage="1" sqref="I10:K10 I12:K12 I14:K14 I16:K16 I18:K18">
      <formula1>"Y, N"</formula1>
    </dataValidation>
    <dataValidation type="list" allowBlank="1" showInputMessage="1" showErrorMessage="1" sqref="E10:F19">
      <formula1>"1,2,3,4"</formula1>
    </dataValidation>
    <dataValidation type="list" allowBlank="1" showInputMessage="1" showErrorMessage="1" sqref="H19">
      <formula1>"1,2,3,4,5,6,7,8,9,10"</formula1>
    </dataValidation>
    <dataValidation type="list" allowBlank="1" showInputMessage="1" showErrorMessage="1" sqref="H14">
      <formula1>"1,2,3,4,5,6,10"</formula1>
    </dataValidation>
    <dataValidation type="list" allowBlank="1" showInputMessage="1" showErrorMessage="1" sqref="H10 H11 H12 H13 H14 H15 H16 H17 H18">
      <formula1>"1,2,3,4,5,6,7,8,9,10"</formula1>
    </dataValidation>
  </dataValidations>
  <printOptions horizontalCentered="1"/>
  <pageMargins left="0.45" right="0.45" top="0.5" bottom="0.5" header="0.3" footer="0.05"/>
  <pageSetup scale="52" fitToHeight="0" orientation="landscape" useFirstPageNumber="1" r:id="rId1"/>
  <headerFooter>
    <oddFooter xml:space="preserve">&amp;L06/11/2021 Edition
&amp;CPrior Approval Rate Application
Portions of the material contained in this document are protected by copyright owned by the State Farm Mutual Automobile Insurance Company, 2022&amp;RPage 9.&amp;P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142875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180975</xdr:colOff>
                    <xdr:row>3</xdr:row>
                    <xdr:rowOff>276225</xdr:rowOff>
                  </from>
                  <to>
                    <xdr:col>11</xdr:col>
                    <xdr:colOff>38100</xdr:colOff>
                    <xdr:row>5</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00FF"/>
  </sheetPr>
  <dimension ref="A1:N40"/>
  <sheetViews>
    <sheetView showGridLines="0" view="pageBreakPreview" zoomScaleNormal="100" zoomScaleSheetLayoutView="100" workbookViewId="0">
      <selection activeCell="D62" sqref="D62"/>
    </sheetView>
  </sheetViews>
  <sheetFormatPr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71</v>
      </c>
      <c r="B1" s="10"/>
      <c r="C1" s="185" t="s">
        <v>73</v>
      </c>
      <c r="D1" s="186" t="str">
        <f>Co_Name</f>
        <v>State Farm General Insurance Company</v>
      </c>
      <c r="H1" s="186"/>
      <c r="I1" s="185"/>
    </row>
    <row r="2" spans="1:14" x14ac:dyDescent="0.25">
      <c r="A2" s="10" t="s">
        <v>72</v>
      </c>
      <c r="B2" s="10"/>
      <c r="C2" s="185" t="s">
        <v>74</v>
      </c>
      <c r="D2" s="186" t="str">
        <f>General_Line</f>
        <v>Homeowners</v>
      </c>
      <c r="H2" s="186"/>
      <c r="I2" s="185"/>
    </row>
    <row r="3" spans="1:14" x14ac:dyDescent="0.25">
      <c r="B3" s="193"/>
    </row>
    <row r="4" spans="1:14" ht="23.25" x14ac:dyDescent="0.25">
      <c r="A4" s="5" t="s">
        <v>476</v>
      </c>
      <c r="B4" s="5"/>
      <c r="C4" s="149"/>
      <c r="D4" s="149"/>
      <c r="F4" s="149"/>
      <c r="G4" s="149"/>
      <c r="H4" s="149"/>
      <c r="I4" s="149"/>
      <c r="J4" s="149"/>
      <c r="K4" s="149"/>
      <c r="L4" s="149"/>
      <c r="M4" s="149"/>
      <c r="N4" s="149"/>
    </row>
    <row r="6" spans="1:14" x14ac:dyDescent="0.25">
      <c r="A6" s="49" t="s">
        <v>267</v>
      </c>
    </row>
    <row r="7" spans="1:14" x14ac:dyDescent="0.25">
      <c r="A7" s="49" t="s">
        <v>332</v>
      </c>
    </row>
    <row r="9" spans="1:14" ht="18" customHeight="1" x14ac:dyDescent="0.25">
      <c r="A9" s="49" t="s">
        <v>216</v>
      </c>
    </row>
    <row r="10" spans="1:14" ht="24.95" customHeight="1" x14ac:dyDescent="0.25">
      <c r="B10" s="49" t="s">
        <v>218</v>
      </c>
    </row>
    <row r="11" spans="1:14" ht="24.95" customHeight="1" x14ac:dyDescent="0.25">
      <c r="B11" s="49" t="s">
        <v>217</v>
      </c>
    </row>
    <row r="12" spans="1:14" ht="24.95" customHeight="1" x14ac:dyDescent="0.25">
      <c r="B12" s="49" t="s">
        <v>290</v>
      </c>
      <c r="E12" s="23" t="b">
        <v>0</v>
      </c>
    </row>
    <row r="13" spans="1:14" ht="24.95" customHeight="1" x14ac:dyDescent="0.25">
      <c r="B13" s="49" t="s">
        <v>221</v>
      </c>
    </row>
    <row r="14" spans="1:14" ht="24.75" customHeight="1" x14ac:dyDescent="0.25">
      <c r="B14" s="49" t="s">
        <v>287</v>
      </c>
    </row>
    <row r="15" spans="1:14" ht="9.75" customHeight="1" x14ac:dyDescent="0.25"/>
    <row r="16" spans="1:14" ht="18" customHeight="1" x14ac:dyDescent="0.25">
      <c r="A16" s="267" t="s">
        <v>283</v>
      </c>
    </row>
    <row r="17" spans="1:6" ht="24.95" customHeight="1" x14ac:dyDescent="0.25">
      <c r="B17" s="49" t="s">
        <v>289</v>
      </c>
    </row>
    <row r="18" spans="1:6" ht="24.95" customHeight="1" x14ac:dyDescent="0.25">
      <c r="B18" s="29" t="s">
        <v>333</v>
      </c>
    </row>
    <row r="19" spans="1:6" ht="24.95" customHeight="1" x14ac:dyDescent="0.25">
      <c r="B19" s="49" t="s">
        <v>284</v>
      </c>
    </row>
    <row r="20" spans="1:6" ht="24.95" customHeight="1" x14ac:dyDescent="0.25">
      <c r="B20" s="49" t="s">
        <v>226</v>
      </c>
    </row>
    <row r="21" spans="1:6" ht="24.95" customHeight="1" x14ac:dyDescent="0.25">
      <c r="B21" s="29" t="s">
        <v>334</v>
      </c>
    </row>
    <row r="22" spans="1:6" ht="24.95" customHeight="1" x14ac:dyDescent="0.25">
      <c r="B22" s="49" t="s">
        <v>291</v>
      </c>
    </row>
    <row r="23" spans="1:6" ht="24.95" customHeight="1" x14ac:dyDescent="0.25">
      <c r="B23" s="29" t="s">
        <v>335</v>
      </c>
    </row>
    <row r="24" spans="1:6" ht="24.95" customHeight="1" x14ac:dyDescent="0.25">
      <c r="B24" s="49" t="s">
        <v>222</v>
      </c>
    </row>
    <row r="25" spans="1:6" ht="18" customHeight="1" x14ac:dyDescent="0.25">
      <c r="B25" s="29" t="s">
        <v>219</v>
      </c>
    </row>
    <row r="26" spans="1:6" ht="18" customHeight="1" x14ac:dyDescent="0.25">
      <c r="B26" s="29" t="s">
        <v>220</v>
      </c>
    </row>
    <row r="27" spans="1:6" ht="9.9499999999999993" customHeight="1" x14ac:dyDescent="0.25"/>
    <row r="28" spans="1:6" ht="18" customHeight="1" x14ac:dyDescent="0.25">
      <c r="A28" s="49" t="s">
        <v>225</v>
      </c>
      <c r="D28" s="227"/>
      <c r="F28" s="376" t="str">
        <f>IF(AND(ISBLANK(D28),E12=TRUE),"← WARNING! If (3) above is checked, specify the approved CDI File #(s) of the AO rule.","")</f>
        <v/>
      </c>
    </row>
    <row r="29" spans="1:6" ht="9.9499999999999993" customHeight="1" x14ac:dyDescent="0.25"/>
    <row r="30" spans="1:6" ht="18" customHeight="1" x14ac:dyDescent="0.25">
      <c r="A30" s="49" t="s">
        <v>223</v>
      </c>
    </row>
    <row r="31" spans="1:6" ht="24.95" customHeight="1" x14ac:dyDescent="0.25">
      <c r="B31" s="49" t="s">
        <v>336</v>
      </c>
    </row>
    <row r="32" spans="1:6" ht="24.95" customHeight="1" x14ac:dyDescent="0.25">
      <c r="B32" s="49" t="s">
        <v>224</v>
      </c>
    </row>
    <row r="33" spans="1:2" ht="24.95" customHeight="1" x14ac:dyDescent="0.25">
      <c r="B33" s="49" t="s">
        <v>227</v>
      </c>
    </row>
    <row r="34" spans="1:2" ht="24.95" customHeight="1" x14ac:dyDescent="0.25">
      <c r="B34" s="29" t="s">
        <v>335</v>
      </c>
    </row>
    <row r="36" spans="1:2" ht="18" customHeight="1" x14ac:dyDescent="0.25">
      <c r="A36" s="49" t="s">
        <v>293</v>
      </c>
    </row>
    <row r="37" spans="1:2" ht="18" customHeight="1" x14ac:dyDescent="0.25">
      <c r="A37" s="49" t="s">
        <v>337</v>
      </c>
    </row>
    <row r="39" spans="1:2" ht="17.25" x14ac:dyDescent="0.25">
      <c r="A39" s="49" t="s">
        <v>288</v>
      </c>
    </row>
    <row r="40" spans="1:2" x14ac:dyDescent="0.25">
      <c r="A40" s="64" t="s">
        <v>286</v>
      </c>
    </row>
  </sheetData>
  <sheetProtection algorithmName="SHA-512" hashValue="mgja65Q3UQbE1Nq+iquB2sQox4bEwfXgLrvKQU46zs/LRgBBvt7WX344v2gFo39jGpHIRPB/8OuMvD+hZbH3cg==" saltValue="Hefk+lVzVxx4Aor5PinRMA==" spinCount="100000" sheet="1" objects="1" scenarios="1" formatColumns="0" formatRows="0" sort="0"/>
  <pageMargins left="0.7" right="0.7" top="0.75" bottom="0.75" header="0.3" footer="0.05"/>
  <pageSetup scale="75" orientation="portrait" r:id="rId1"/>
  <headerFooter>
    <oddFooter xml:space="preserve">&amp;L06/11/2021 Edition
&amp;CPrior Approval Rate Application
Portions of the material contained in this document are protected by copyright owned by the State Farm Mutual Automobile Insurance Company, 2022&amp;RPage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71</v>
      </c>
      <c r="E1" s="37" t="s">
        <v>73</v>
      </c>
      <c r="G1" s="36" t="str">
        <f>Co_Name</f>
        <v>State Farm General Insurance Company</v>
      </c>
      <c r="I1" s="50"/>
    </row>
    <row r="2" spans="1:10" x14ac:dyDescent="0.25">
      <c r="A2" s="21" t="s">
        <v>72</v>
      </c>
      <c r="E2" s="37" t="s">
        <v>74</v>
      </c>
      <c r="G2" s="36" t="str">
        <f>General_Line</f>
        <v>Homeowners</v>
      </c>
      <c r="I2" s="50"/>
    </row>
    <row r="3" spans="1:10" x14ac:dyDescent="0.25">
      <c r="B3" s="194"/>
      <c r="I3" s="50"/>
    </row>
    <row r="4" spans="1:10" ht="23.25" x14ac:dyDescent="0.25">
      <c r="A4" s="5" t="s">
        <v>344</v>
      </c>
      <c r="B4" s="3"/>
      <c r="C4" s="3"/>
      <c r="D4" s="3"/>
      <c r="E4" s="3"/>
      <c r="F4" s="3"/>
      <c r="G4" s="3"/>
      <c r="I4" s="268"/>
    </row>
    <row r="5" spans="1:10" x14ac:dyDescent="0.25">
      <c r="I5" s="50"/>
    </row>
    <row r="6" spans="1:10" x14ac:dyDescent="0.25">
      <c r="A6" t="s">
        <v>259</v>
      </c>
      <c r="I6" s="50"/>
    </row>
    <row r="7" spans="1:10" x14ac:dyDescent="0.25">
      <c r="A7" s="2" t="s">
        <v>258</v>
      </c>
      <c r="I7" s="50"/>
    </row>
    <row r="8" spans="1:10" ht="5.0999999999999996" customHeight="1" x14ac:dyDescent="0.25">
      <c r="A8" s="2"/>
      <c r="I8" s="50"/>
    </row>
    <row r="9" spans="1:10" x14ac:dyDescent="0.25">
      <c r="A9" t="s">
        <v>260</v>
      </c>
      <c r="I9" s="50"/>
    </row>
    <row r="10" spans="1:10" x14ac:dyDescent="0.25">
      <c r="A10" s="2" t="s">
        <v>266</v>
      </c>
      <c r="I10" s="50"/>
    </row>
    <row r="11" spans="1:10" ht="15.75" thickBot="1" x14ac:dyDescent="0.3">
      <c r="I11" s="50"/>
    </row>
    <row r="12" spans="1:10" ht="195" x14ac:dyDescent="0.25">
      <c r="A12" s="109"/>
      <c r="B12" s="110"/>
      <c r="C12" s="110"/>
      <c r="D12" s="257" t="s">
        <v>176</v>
      </c>
      <c r="E12" s="257" t="s">
        <v>183</v>
      </c>
      <c r="F12" s="257" t="s">
        <v>177</v>
      </c>
      <c r="G12" s="111" t="s">
        <v>184</v>
      </c>
      <c r="H12" s="107" t="s">
        <v>182</v>
      </c>
      <c r="I12" s="50"/>
    </row>
    <row r="13" spans="1:10" ht="5.0999999999999996" customHeight="1" thickBot="1" x14ac:dyDescent="0.3">
      <c r="A13" s="117"/>
      <c r="B13" s="115"/>
      <c r="C13" s="115"/>
      <c r="D13" s="256"/>
      <c r="E13" s="256"/>
      <c r="F13" s="256"/>
      <c r="G13" s="118"/>
      <c r="H13" s="4"/>
      <c r="I13" s="50"/>
    </row>
    <row r="14" spans="1:10" ht="18" customHeight="1" x14ac:dyDescent="0.25">
      <c r="A14" s="119" t="s">
        <v>358</v>
      </c>
      <c r="B14" s="120"/>
      <c r="C14" s="120"/>
      <c r="D14" s="224"/>
      <c r="E14" s="121"/>
      <c r="F14" s="224"/>
      <c r="G14" s="122"/>
      <c r="H14" s="4"/>
      <c r="I14" s="50"/>
      <c r="J14" s="106"/>
    </row>
    <row r="15" spans="1:10" ht="30" customHeight="1" thickBot="1" x14ac:dyDescent="0.3">
      <c r="A15" s="123"/>
      <c r="B15" s="124"/>
      <c r="C15" s="124"/>
      <c r="D15" s="125"/>
      <c r="E15" s="125"/>
      <c r="F15" s="125"/>
      <c r="G15" s="126"/>
      <c r="H15" s="4"/>
      <c r="I15" s="50"/>
    </row>
    <row r="16" spans="1:10" ht="18" customHeight="1" x14ac:dyDescent="0.25">
      <c r="A16" s="119" t="s">
        <v>185</v>
      </c>
      <c r="B16" s="129" t="s">
        <v>110</v>
      </c>
      <c r="C16" s="129"/>
      <c r="D16" s="224"/>
      <c r="E16" s="127" t="str">
        <f>IF(ISBLANK(D16),"",D16-D$14)</f>
        <v/>
      </c>
      <c r="F16" s="224"/>
      <c r="G16" s="128" t="str">
        <f>IF(ISBLANK(F16),"",F16-F$14)</f>
        <v/>
      </c>
      <c r="H16" s="207">
        <v>23</v>
      </c>
      <c r="I16" s="50"/>
    </row>
    <row r="17" spans="1:9" ht="5.0999999999999996" customHeight="1" x14ac:dyDescent="0.25">
      <c r="A17" s="112"/>
      <c r="B17" s="190"/>
      <c r="C17" s="190"/>
      <c r="D17" s="108"/>
      <c r="E17" s="200"/>
      <c r="F17" s="108"/>
      <c r="G17" s="201"/>
      <c r="H17" s="4"/>
      <c r="I17" s="50"/>
    </row>
    <row r="18" spans="1:9" ht="24.95" customHeight="1" x14ac:dyDescent="0.25">
      <c r="A18" s="518" t="str">
        <f>INDEX(List_Variances,$H16,2)</f>
        <v/>
      </c>
      <c r="B18" s="519"/>
      <c r="C18" s="519"/>
      <c r="D18" s="519"/>
      <c r="E18" s="519"/>
      <c r="F18" s="519"/>
      <c r="G18" s="520"/>
      <c r="H18" s="4"/>
      <c r="I18" s="50"/>
    </row>
    <row r="19" spans="1:9" ht="24.95" customHeight="1" thickBot="1" x14ac:dyDescent="0.3">
      <c r="A19" s="521"/>
      <c r="B19" s="522"/>
      <c r="C19" s="522"/>
      <c r="D19" s="522"/>
      <c r="E19" s="522"/>
      <c r="F19" s="522"/>
      <c r="G19" s="523"/>
      <c r="H19" s="4"/>
      <c r="I19" s="50"/>
    </row>
    <row r="20" spans="1:9" ht="18" customHeight="1" x14ac:dyDescent="0.25">
      <c r="A20" s="119" t="s">
        <v>178</v>
      </c>
      <c r="B20" s="129" t="s">
        <v>110</v>
      </c>
      <c r="C20" s="120"/>
      <c r="D20" s="224"/>
      <c r="E20" s="127" t="str">
        <f>IF(ISBLANK(D20),"",D20-D$14)</f>
        <v/>
      </c>
      <c r="F20" s="224"/>
      <c r="G20" s="128" t="str">
        <f>IF(ISBLANK(F20),"",F20-F$14)</f>
        <v/>
      </c>
      <c r="H20" s="207">
        <v>23</v>
      </c>
      <c r="I20" s="50"/>
    </row>
    <row r="21" spans="1:9" ht="24.75" customHeight="1" x14ac:dyDescent="0.25">
      <c r="A21" s="518" t="str">
        <f>INDEX(List_Variances,$H20,2)</f>
        <v/>
      </c>
      <c r="B21" s="519"/>
      <c r="C21" s="519"/>
      <c r="D21" s="519"/>
      <c r="E21" s="519"/>
      <c r="F21" s="519"/>
      <c r="G21" s="520"/>
      <c r="H21" s="4"/>
      <c r="I21" s="50"/>
    </row>
    <row r="22" spans="1:9" ht="24.75" customHeight="1" thickBot="1" x14ac:dyDescent="0.3">
      <c r="A22" s="521"/>
      <c r="B22" s="522"/>
      <c r="C22" s="522"/>
      <c r="D22" s="522"/>
      <c r="E22" s="522"/>
      <c r="F22" s="522"/>
      <c r="G22" s="523"/>
      <c r="H22" s="4"/>
      <c r="I22" s="50"/>
    </row>
    <row r="23" spans="1:9" ht="18" customHeight="1" x14ac:dyDescent="0.25">
      <c r="A23" s="119" t="s">
        <v>179</v>
      </c>
      <c r="B23" s="129" t="s">
        <v>110</v>
      </c>
      <c r="C23" s="120"/>
      <c r="D23" s="224"/>
      <c r="E23" s="127" t="str">
        <f>IF(ISBLANK(D23),"",D23-D$14)</f>
        <v/>
      </c>
      <c r="F23" s="224"/>
      <c r="G23" s="128" t="str">
        <f>IF(ISBLANK(F23),"",F23-F$14)</f>
        <v/>
      </c>
      <c r="H23" s="207">
        <v>23</v>
      </c>
      <c r="I23" s="50"/>
    </row>
    <row r="24" spans="1:9" ht="24.75" customHeight="1" x14ac:dyDescent="0.25">
      <c r="A24" s="518" t="str">
        <f>INDEX(List_Variances,$H23,2)</f>
        <v/>
      </c>
      <c r="B24" s="519"/>
      <c r="C24" s="519"/>
      <c r="D24" s="519"/>
      <c r="E24" s="519"/>
      <c r="F24" s="519"/>
      <c r="G24" s="520"/>
      <c r="H24" s="4"/>
      <c r="I24" s="50"/>
    </row>
    <row r="25" spans="1:9" ht="24.75" customHeight="1" thickBot="1" x14ac:dyDescent="0.3">
      <c r="A25" s="521"/>
      <c r="B25" s="522"/>
      <c r="C25" s="522"/>
      <c r="D25" s="522"/>
      <c r="E25" s="522"/>
      <c r="F25" s="522"/>
      <c r="G25" s="523"/>
      <c r="H25" s="4"/>
      <c r="I25" s="50"/>
    </row>
    <row r="26" spans="1:9" ht="18" customHeight="1" x14ac:dyDescent="0.25">
      <c r="A26" s="119" t="s">
        <v>180</v>
      </c>
      <c r="B26" s="129" t="s">
        <v>110</v>
      </c>
      <c r="C26" s="120"/>
      <c r="D26" s="224"/>
      <c r="E26" s="127" t="str">
        <f>IF(ISBLANK(D26),"",D26-D$14)</f>
        <v/>
      </c>
      <c r="F26" s="224"/>
      <c r="G26" s="128" t="str">
        <f>IF(ISBLANK(F26),"",F26-F$14)</f>
        <v/>
      </c>
      <c r="H26" s="207">
        <v>23</v>
      </c>
      <c r="I26" s="50"/>
    </row>
    <row r="27" spans="1:9" ht="24.75" customHeight="1" x14ac:dyDescent="0.25">
      <c r="A27" s="518" t="str">
        <f>INDEX(List_Variances,$H26,2)</f>
        <v/>
      </c>
      <c r="B27" s="519"/>
      <c r="C27" s="519"/>
      <c r="D27" s="519"/>
      <c r="E27" s="519"/>
      <c r="F27" s="519"/>
      <c r="G27" s="520"/>
      <c r="H27" s="4"/>
      <c r="I27" s="50"/>
    </row>
    <row r="28" spans="1:9" ht="24.75" customHeight="1" thickBot="1" x14ac:dyDescent="0.3">
      <c r="A28" s="521"/>
      <c r="B28" s="522"/>
      <c r="C28" s="522"/>
      <c r="D28" s="522"/>
      <c r="E28" s="522"/>
      <c r="F28" s="522"/>
      <c r="G28" s="523"/>
      <c r="H28" s="4"/>
      <c r="I28" s="50"/>
    </row>
    <row r="29" spans="1:9" ht="18" customHeight="1" x14ac:dyDescent="0.25">
      <c r="A29" s="119" t="s">
        <v>181</v>
      </c>
      <c r="B29" s="129" t="s">
        <v>110</v>
      </c>
      <c r="C29" s="120"/>
      <c r="D29" s="224"/>
      <c r="E29" s="127" t="str">
        <f>IF(ISBLANK(D29),"",D29-D$14)</f>
        <v/>
      </c>
      <c r="F29" s="224"/>
      <c r="G29" s="128" t="str">
        <f>IF(ISBLANK(F29),"",F29-F$14)</f>
        <v/>
      </c>
      <c r="H29" s="207">
        <v>23</v>
      </c>
      <c r="I29" s="50"/>
    </row>
    <row r="30" spans="1:9" ht="24.75" customHeight="1" x14ac:dyDescent="0.25">
      <c r="A30" s="518" t="str">
        <f>INDEX(List_Variances,$H29,2)</f>
        <v/>
      </c>
      <c r="B30" s="519"/>
      <c r="C30" s="519"/>
      <c r="D30" s="519"/>
      <c r="E30" s="519"/>
      <c r="F30" s="519"/>
      <c r="G30" s="520"/>
      <c r="H30" s="4"/>
      <c r="I30" s="50"/>
    </row>
    <row r="31" spans="1:9" ht="24.75" customHeight="1" thickBot="1" x14ac:dyDescent="0.3">
      <c r="A31" s="521"/>
      <c r="B31" s="522"/>
      <c r="C31" s="522"/>
      <c r="D31" s="522"/>
      <c r="E31" s="522"/>
      <c r="F31" s="522"/>
      <c r="G31" s="523"/>
      <c r="H31" s="4"/>
      <c r="I31" s="50"/>
    </row>
    <row r="32" spans="1:9" ht="18" customHeight="1" x14ac:dyDescent="0.25">
      <c r="A32" s="119" t="s">
        <v>359</v>
      </c>
      <c r="B32" s="129" t="s">
        <v>110</v>
      </c>
      <c r="C32" s="120"/>
      <c r="D32" s="224"/>
      <c r="E32" s="127" t="str">
        <f>IF(ISBLANK(D32),"",D32-D$14)</f>
        <v/>
      </c>
      <c r="F32" s="224"/>
      <c r="G32" s="128" t="str">
        <f>IF(ISBLANK(F32),"",F32-F$14)</f>
        <v/>
      </c>
      <c r="H32" s="207">
        <v>23</v>
      </c>
      <c r="I32" s="50"/>
    </row>
    <row r="33" spans="1:9" ht="24.75" customHeight="1" x14ac:dyDescent="0.25">
      <c r="A33" s="518" t="str">
        <f>INDEX(List_Variances,$H32,2)</f>
        <v/>
      </c>
      <c r="B33" s="519"/>
      <c r="C33" s="519"/>
      <c r="D33" s="519"/>
      <c r="E33" s="519"/>
      <c r="F33" s="519"/>
      <c r="G33" s="520"/>
      <c r="I33" s="50"/>
    </row>
    <row r="34" spans="1:9" ht="15.75" thickBot="1" x14ac:dyDescent="0.3">
      <c r="A34" s="521"/>
      <c r="B34" s="522"/>
      <c r="C34" s="522"/>
      <c r="D34" s="522"/>
      <c r="E34" s="522"/>
      <c r="F34" s="522"/>
      <c r="G34" s="523"/>
      <c r="I34" s="50"/>
    </row>
    <row r="35" spans="1:9" ht="18" customHeight="1" x14ac:dyDescent="0.25">
      <c r="A35" s="119" t="s">
        <v>360</v>
      </c>
      <c r="B35" s="129" t="s">
        <v>110</v>
      </c>
      <c r="C35" s="120"/>
      <c r="D35" s="224"/>
      <c r="E35" s="127" t="str">
        <f>IF(ISBLANK(D35),"",D35-D$14)</f>
        <v/>
      </c>
      <c r="F35" s="224"/>
      <c r="G35" s="128" t="str">
        <f>IF(ISBLANK(F35),"",F35-F$14)</f>
        <v/>
      </c>
      <c r="H35" s="207">
        <v>23</v>
      </c>
      <c r="I35" s="50"/>
    </row>
    <row r="36" spans="1:9" ht="24.75" customHeight="1" x14ac:dyDescent="0.25">
      <c r="A36" s="518" t="str">
        <f>INDEX(List_Variances,$H35,2)</f>
        <v/>
      </c>
      <c r="B36" s="519"/>
      <c r="C36" s="519"/>
      <c r="D36" s="519"/>
      <c r="E36" s="519"/>
      <c r="F36" s="519"/>
      <c r="G36" s="520"/>
      <c r="I36" s="50"/>
    </row>
    <row r="37" spans="1:9" ht="15.75" thickBot="1" x14ac:dyDescent="0.3">
      <c r="A37" s="521"/>
      <c r="B37" s="522"/>
      <c r="C37" s="522"/>
      <c r="D37" s="522"/>
      <c r="E37" s="522"/>
      <c r="F37" s="522"/>
      <c r="G37" s="523"/>
      <c r="I37" s="50"/>
    </row>
    <row r="38" spans="1:9" ht="18" customHeight="1" x14ac:dyDescent="0.25">
      <c r="A38" s="119" t="s">
        <v>361</v>
      </c>
      <c r="B38" s="129" t="s">
        <v>110</v>
      </c>
      <c r="C38" s="120"/>
      <c r="D38" s="224"/>
      <c r="E38" s="127" t="str">
        <f>IF(ISBLANK(D38),"",D38-D$14)</f>
        <v/>
      </c>
      <c r="F38" s="224"/>
      <c r="G38" s="128" t="str">
        <f>IF(ISBLANK(F38),"",F38-F$14)</f>
        <v/>
      </c>
      <c r="H38" s="207">
        <v>23</v>
      </c>
      <c r="I38" s="50"/>
    </row>
    <row r="39" spans="1:9" ht="24.75" customHeight="1" x14ac:dyDescent="0.25">
      <c r="A39" s="518" t="str">
        <f>INDEX(List_Variances,$H38,2)</f>
        <v/>
      </c>
      <c r="B39" s="519"/>
      <c r="C39" s="519"/>
      <c r="D39" s="519"/>
      <c r="E39" s="519"/>
      <c r="F39" s="519"/>
      <c r="G39" s="520"/>
      <c r="I39" s="50"/>
    </row>
    <row r="40" spans="1:9" ht="15.75" thickBot="1" x14ac:dyDescent="0.3">
      <c r="A40" s="521"/>
      <c r="B40" s="522"/>
      <c r="C40" s="522"/>
      <c r="D40" s="522"/>
      <c r="E40" s="522"/>
      <c r="F40" s="522"/>
      <c r="G40" s="523"/>
      <c r="I40" s="50"/>
    </row>
    <row r="41" spans="1:9" ht="18" customHeight="1" x14ac:dyDescent="0.25">
      <c r="A41" s="119" t="s">
        <v>362</v>
      </c>
      <c r="B41" s="129" t="s">
        <v>110</v>
      </c>
      <c r="C41" s="120"/>
      <c r="D41" s="224"/>
      <c r="E41" s="127" t="str">
        <f>IF(ISBLANK(D41),"",D41-D$14)</f>
        <v/>
      </c>
      <c r="F41" s="224"/>
      <c r="G41" s="128" t="str">
        <f>IF(ISBLANK(F41),"",F41-F$14)</f>
        <v/>
      </c>
      <c r="H41" s="207">
        <v>23</v>
      </c>
      <c r="I41" s="50"/>
    </row>
    <row r="42" spans="1:9" ht="24.75" customHeight="1" x14ac:dyDescent="0.25">
      <c r="A42" s="518" t="str">
        <f>INDEX(List_Variances,$H41,2)</f>
        <v/>
      </c>
      <c r="B42" s="519"/>
      <c r="C42" s="519"/>
      <c r="D42" s="519"/>
      <c r="E42" s="519"/>
      <c r="F42" s="519"/>
      <c r="G42" s="520"/>
      <c r="I42" s="50"/>
    </row>
    <row r="43" spans="1:9" ht="15.75" thickBot="1" x14ac:dyDescent="0.3">
      <c r="A43" s="521"/>
      <c r="B43" s="522"/>
      <c r="C43" s="522"/>
      <c r="D43" s="522"/>
      <c r="E43" s="522"/>
      <c r="F43" s="522"/>
      <c r="G43" s="523"/>
      <c r="I43" s="50"/>
    </row>
    <row r="44" spans="1:9" ht="18" customHeight="1" x14ac:dyDescent="0.25">
      <c r="A44" s="119" t="s">
        <v>363</v>
      </c>
      <c r="B44" s="129" t="s">
        <v>110</v>
      </c>
      <c r="C44" s="120"/>
      <c r="D44" s="224"/>
      <c r="E44" s="127" t="str">
        <f>IF(ISBLANK(D44),"",D44-D$14)</f>
        <v/>
      </c>
      <c r="F44" s="224"/>
      <c r="G44" s="128" t="str">
        <f>IF(ISBLANK(F44),"",F44-F$14)</f>
        <v/>
      </c>
      <c r="H44" s="207">
        <v>23</v>
      </c>
      <c r="I44" s="50"/>
    </row>
    <row r="45" spans="1:9" ht="24.75" customHeight="1" x14ac:dyDescent="0.25">
      <c r="A45" s="518" t="str">
        <f>INDEX(List_Variances,$H44,2)</f>
        <v/>
      </c>
      <c r="B45" s="519"/>
      <c r="C45" s="519"/>
      <c r="D45" s="519"/>
      <c r="E45" s="519"/>
      <c r="F45" s="519"/>
      <c r="G45" s="520"/>
      <c r="I45" s="50"/>
    </row>
    <row r="46" spans="1:9" ht="15.75" thickBot="1" x14ac:dyDescent="0.3">
      <c r="A46" s="521"/>
      <c r="B46" s="522"/>
      <c r="C46" s="522"/>
      <c r="D46" s="522"/>
      <c r="E46" s="522"/>
      <c r="F46" s="522"/>
      <c r="G46" s="523"/>
      <c r="I46" s="50"/>
    </row>
    <row r="47" spans="1:9" x14ac:dyDescent="0.25">
      <c r="A47" s="119" t="s">
        <v>265</v>
      </c>
      <c r="B47" s="129"/>
      <c r="C47" s="110"/>
      <c r="D47" s="224"/>
      <c r="E47" s="127" t="str">
        <f>IF(ISBLANK(D47),"",D47-D$14)</f>
        <v/>
      </c>
      <c r="F47" s="224"/>
      <c r="G47" s="128" t="str">
        <f>IF(ISBLANK(F47),"",F47-F$14)</f>
        <v/>
      </c>
      <c r="I47" s="50"/>
    </row>
    <row r="48" spans="1:9" ht="15.75" thickBot="1" x14ac:dyDescent="0.3">
      <c r="A48" s="213"/>
      <c r="B48" s="115"/>
      <c r="C48" s="115"/>
      <c r="D48" s="115"/>
      <c r="E48" s="115"/>
      <c r="F48" s="115"/>
      <c r="G48" s="116"/>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1WP2uXf0RjHIUv15sNVPUCILYWIhMKIzdKwhBYCrZ0r2VrQykqXrAzU0MFLehFBTmDDX42ur+PqXedubFaEM0w==" saltValue="RbAmppx8/jQbVze8Nldiyg=="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11&amp;L06/11/2021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39</vt:i4>
      </vt:variant>
    </vt:vector>
  </HeadingPairs>
  <TitlesOfParts>
    <vt:vector size="51"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No_Fees</vt:lpstr>
      <vt:lpstr>'1.General'!Print_Area</vt:lpstr>
      <vt:lpstr>'10.Rules'!Print_Area</vt:lpstr>
      <vt:lpstr>'11.Variance Request'!Print_Area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'9.Forms'!Print_Titles</vt:lpstr>
    </vt:vector>
  </TitlesOfParts>
  <Company>California Department of Insurance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2022-01-12T20:15:41Z</cp:lastPrinted>
  <dcterms:created xsi:type="dcterms:W3CDTF">2014-04-24T17:59:28Z</dcterms:created>
  <dcterms:modified xsi:type="dcterms:W3CDTF">2022-01-14T18:04:19Z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2022-01-03T17:54:05Z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4720502b-28f1-41e8-b764-c35953ff5f1c</vt:lpwstr>
  </property>
  <property fmtid="{D5CDD505-2E9C-101B-9397-08002B2CF9AE}" pid="8" name="MSIP_Label_261ecbe3-7ba9-4124-b9d7-ffd820687beb_ContentBits">
    <vt:lpwstr>0</vt:lpwstr>
  </property>
</Properties>
</file>