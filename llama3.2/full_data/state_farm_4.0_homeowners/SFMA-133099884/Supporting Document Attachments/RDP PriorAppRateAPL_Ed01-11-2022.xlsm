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5.xml" ContentType="application/vnd.openxmlformats-officedocument.drawing+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9.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0.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drawings/drawing12.xml" ContentType="application/vnd.openxmlformats-officedocument.drawing+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13.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drawings/drawing14.xml" ContentType="application/vnd.openxmlformats-officedocument.drawing+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drawings/drawing15.xml" ContentType="application/vnd.openxmlformats-officedocument.drawing+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16.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17.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8.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drawings/drawing19.xml" ContentType="application/vnd.openxmlformats-officedocument.drawing+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HO RDP RCUP 2-1-22 UG\RDP Filing\Objections\2022-01-25\"/>
    </mc:Choice>
  </mc:AlternateContent>
  <bookViews>
    <workbookView xWindow="0" yWindow="45" windowWidth="14370" windowHeight="2640" tabRatio="848" firstSheet="3" activeTab="3"/>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r:id="rId15"/>
    <sheet name="12.2Model Disclosure" sheetId="33" r:id="rId16"/>
    <sheet name="12.3Model Disclosure" sheetId="34" r:id="rId17"/>
    <sheet name="12.4Model Disclosure" sheetId="35" r:id="rId18"/>
    <sheet name="12.5Model Disclosure" sheetId="36" r:id="rId19"/>
    <sheet name="12.6Model Disclosure" sheetId="37" r:id="rId20"/>
    <sheet name="12.7Model Disclosure" sheetId="38" r:id="rId21"/>
    <sheet name="12.8Model Disclosure" sheetId="39" r:id="rId22"/>
    <sheet name="12.9Model Disclosure" sheetId="40" state="veryHidden" r:id="rId23"/>
    <sheet name="12.10Model Disclosure" sheetId="41" state="veryHidden" r:id="rId24"/>
  </sheets>
  <functionGroups builtInGroupCount="18"/>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References!$F$6:$F$27</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Checklist'!$A$1:$G$64</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52511"/>
</workbook>
</file>

<file path=xl/calcChain.xml><?xml version="1.0" encoding="utf-8"?>
<calcChain xmlns="http://schemas.openxmlformats.org/spreadsheetml/2006/main">
  <c r="I43" i="41" l="1"/>
  <c r="K40" i="41"/>
  <c r="I43" i="40"/>
  <c r="K40" i="40"/>
  <c r="I43" i="39"/>
  <c r="K40" i="39"/>
  <c r="I43" i="38"/>
  <c r="K40" i="38"/>
  <c r="I43" i="37"/>
  <c r="K40" i="37"/>
  <c r="I43" i="36"/>
  <c r="K40" i="36"/>
  <c r="I43" i="35"/>
  <c r="K40" i="35"/>
  <c r="I43" i="34"/>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19" i="3" s="1"/>
  <c r="I43" i="33" l="1"/>
  <c r="K40" i="33"/>
  <c r="V19" i="3" l="1"/>
  <c r="I43" i="32" l="1"/>
  <c r="K40" i="32" l="1"/>
  <c r="H11" i="5" l="1"/>
  <c r="M55" i="21" l="1"/>
  <c r="M48" i="21"/>
  <c r="M41" i="21"/>
  <c r="M34" i="21"/>
  <c r="O5" i="3" l="1"/>
  <c r="E12" i="5" l="1"/>
  <c r="H12" i="5" s="1"/>
  <c r="U42" i="3"/>
  <c r="U38" i="3"/>
  <c r="U34" i="3"/>
  <c r="U18" i="3"/>
  <c r="U9" i="3"/>
  <c r="R5" i="3"/>
  <c r="Q5" i="3"/>
  <c r="P5" i="3"/>
  <c r="H10" i="5"/>
  <c r="H9" i="5"/>
  <c r="H8" i="5"/>
  <c r="H7" i="5"/>
  <c r="H6" i="5"/>
  <c r="H4" i="5"/>
  <c r="A17" i="5" l="1"/>
  <c r="N5" i="3" s="1"/>
  <c r="U53" i="3"/>
  <c r="V53" i="3" s="1"/>
  <c r="V42" i="3"/>
  <c r="V38" i="3"/>
  <c r="V34" i="3"/>
  <c r="V21" i="3"/>
  <c r="V18" i="3"/>
  <c r="V9" i="3"/>
  <c r="U17" i="3" l="1"/>
  <c r="V17" i="3" s="1"/>
  <c r="U20" i="3"/>
  <c r="V20" i="3" s="1"/>
  <c r="U43" i="3"/>
  <c r="V43" i="3" s="1"/>
  <c r="U22" i="3"/>
  <c r="V22" i="3" s="1"/>
  <c r="U26" i="3"/>
  <c r="V26" i="3" s="1"/>
  <c r="U28" i="3"/>
  <c r="V28" i="3" s="1"/>
  <c r="U30" i="3"/>
  <c r="V30" i="3" s="1"/>
  <c r="U32" i="3"/>
  <c r="V32" i="3" s="1"/>
  <c r="U36" i="3"/>
  <c r="V36" i="3" s="1"/>
  <c r="U40" i="3"/>
  <c r="V40" i="3" s="1"/>
  <c r="U44" i="3"/>
  <c r="V44" i="3" s="1"/>
  <c r="U46" i="3"/>
  <c r="V46" i="3" s="1"/>
  <c r="U48" i="3"/>
  <c r="V48" i="3" s="1"/>
  <c r="U50" i="3"/>
  <c r="V50" i="3" s="1"/>
  <c r="U52" i="3"/>
  <c r="V52" i="3" s="1"/>
  <c r="U8" i="3"/>
  <c r="V8" i="3" s="1"/>
  <c r="U10" i="3"/>
  <c r="V10" i="3" s="1"/>
  <c r="U12" i="3"/>
  <c r="V12" i="3" s="1"/>
  <c r="U14" i="3"/>
  <c r="V14" i="3" s="1"/>
  <c r="U16" i="3"/>
  <c r="V16" i="3" s="1"/>
  <c r="U45" i="3"/>
  <c r="V45" i="3" s="1"/>
  <c r="U47" i="3"/>
  <c r="V47" i="3" s="1"/>
  <c r="U49" i="3"/>
  <c r="V49" i="3" s="1"/>
  <c r="U51" i="3"/>
  <c r="V51" i="3" s="1"/>
  <c r="U24" i="3"/>
  <c r="V24" i="3" s="1"/>
  <c r="U23" i="3"/>
  <c r="V23" i="3" s="1"/>
  <c r="U25" i="3"/>
  <c r="V25" i="3" s="1"/>
  <c r="U27" i="3"/>
  <c r="V27" i="3" s="1"/>
  <c r="U29" i="3"/>
  <c r="V29" i="3" s="1"/>
  <c r="U31" i="3"/>
  <c r="V31" i="3" s="1"/>
  <c r="U33" i="3"/>
  <c r="V33" i="3" s="1"/>
  <c r="U35" i="3"/>
  <c r="V35" i="3" s="1"/>
  <c r="U37" i="3"/>
  <c r="V37" i="3" s="1"/>
  <c r="U39" i="3"/>
  <c r="V39" i="3" s="1"/>
  <c r="U41" i="3"/>
  <c r="V41" i="3" s="1"/>
  <c r="U11" i="3"/>
  <c r="V11" i="3" s="1"/>
  <c r="U13" i="3"/>
  <c r="V13" i="3" s="1"/>
  <c r="U15" i="3"/>
  <c r="V15" i="3" s="1"/>
  <c r="V5" i="3" l="1"/>
  <c r="G8" i="17"/>
  <c r="G7" i="17" l="1"/>
  <c r="L30" i="2" l="1"/>
  <c r="L32" i="2" l="1"/>
  <c r="L28" i="2"/>
  <c r="F28" i="23" l="1"/>
  <c r="B13" i="4" l="1"/>
  <c r="B28" i="1" l="1"/>
  <c r="B32" i="1" s="1"/>
  <c r="E24" i="2" l="1"/>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41"/>
  <c r="P1" i="38"/>
  <c r="P1" i="37"/>
  <c r="P1" i="36"/>
  <c r="P1" i="40"/>
  <c r="P1" i="34"/>
  <c r="P1" i="35"/>
  <c r="L1" i="21"/>
  <c r="P1" i="33"/>
  <c r="P1" i="32"/>
  <c r="G47" i="18"/>
  <c r="G23" i="18"/>
  <c r="I28" i="3"/>
  <c r="F19" i="15"/>
  <c r="F21" i="15" s="1"/>
  <c r="E19" i="15"/>
  <c r="E21" i="15" s="1"/>
  <c r="D19" i="15"/>
  <c r="D21" i="15" s="1"/>
  <c r="B22" i="1"/>
  <c r="D22" i="6"/>
  <c r="F21" i="6"/>
  <c r="F20" i="6"/>
  <c r="F19" i="6"/>
  <c r="F18" i="6"/>
  <c r="F17" i="6"/>
  <c r="F16" i="6"/>
  <c r="F15" i="6"/>
  <c r="F14" i="6"/>
  <c r="F13" i="6"/>
  <c r="F12" i="6"/>
  <c r="I1" i="2"/>
  <c r="B20" i="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alcChain>
</file>

<file path=xl/comments1.xml><?xml version="1.0" encoding="utf-8"?>
<comments xmlns="http://schemas.openxmlformats.org/spreadsheetml/2006/main">
  <authors>
    <author>Lynne, Wehmueller</author>
  </authors>
  <commentList>
    <comment ref="B6" authorId="0" shapeId="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<sst xmlns="http://schemas.openxmlformats.org/spreadsheetml/2006/main" count="1654" uniqueCount="546">
  <si>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</si>
  <si>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</si>
  <si>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</si>
  <si>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</si>
  <si>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</si>
  <si>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</si>
  <si>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</si>
  <si>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</si>
  <si>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</si>
  <si>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</si>
  <si>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</si>
  <si>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</si>
  <si>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</si>
  <si>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</si>
  <si>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</si>
  <si>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</si>
  <si>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</si>
  <si>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</si>
  <si>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</si>
  <si>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</si>
  <si>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</si>
  <si>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</si>
  <si>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</si>
  <si>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</si>
  <si>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</si>
  <si>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</si>
  <si>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</si>
  <si>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</si>
  <si>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</si>
  <si>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</si>
  <si>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</si>
  <si>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</si>
  <si>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</si>
  <si>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</si>
  <si>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</si>
  <si>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</si>
  <si>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</si>
  <si>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</si>
  <si>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</si>
  <si>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</si>
  <si>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</si>
  <si>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</si>
  <si>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</si>
  <si>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</si>
  <si>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</si>
  <si>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</si>
  <si>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</si>
  <si>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</si>
  <si>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</si>
  <si>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</si>
  <si>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</si>
  <si>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</si>
  <si>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</si>
  <si>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</si>
  <si>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</si>
  <si>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</si>
  <si>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</si>
  <si>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</si>
  <si>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</si>
  <si>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</si>
  <si>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</si>
  <si>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</si>
  <si>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</si>
  <si>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</si>
  <si>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</si>
  <si>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</si>
  <si>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</si>
  <si>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</si>
  <si>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</si>
  <si>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</si>
  <si>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</si>
  <si>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</si>
  <si>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</si>
  <si>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</si>
  <si>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</si>
  <si>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</si>
  <si>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</si>
  <si>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</si>
  <si>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</si>
  <si>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</si>
  <si>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</si>
  <si>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</si>
  <si>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</si>
  <si>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</si>
  <si>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</si>
  <si>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</si>
  <si>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</si>
  <si>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</si>
  <si>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</si>
  <si>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</si>
  <si>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</si>
  <si>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</si>
  <si>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</si>
  <si>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</si>
  <si>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</si>
  <si>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</si>
  <si>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</si>
  <si>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</si>
  <si>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</si>
  <si>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</si>
  <si>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</si>
  <si>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</si>
  <si>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</si>
  <si>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</si>
  <si>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</si>
  <si>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</si>
  <si>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</si>
  <si>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</si>
  <si>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</si>
  <si>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</si>
  <si>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</si>
  <si>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</si>
  <si>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</si>
  <si>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</si>
  <si>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</si>
  <si>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</si>
  <si>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</si>
  <si>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</si>
  <si>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</si>
  <si>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</si>
  <si>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</si>
  <si>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</si>
  <si>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</si>
  <si>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</si>
  <si>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</si>
  <si>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</si>
  <si>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</si>
  <si>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</si>
  <si>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</si>
  <si>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</si>
  <si>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</si>
  <si>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</si>
  <si>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</si>
  <si>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</si>
  <si>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</si>
  <si>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</si>
  <si>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</si>
  <si>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</si>
  <si>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</si>
  <si>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</si>
  <si>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</si>
  <si>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</si>
  <si>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</si>
  <si>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</si>
  <si>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</si>
  <si>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</si>
  <si>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</si>
  <si>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</si>
  <si>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</si>
  <si>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</si>
  <si>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</si>
  <si>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</si>
  <si>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</si>
  <si>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</si>
  <si>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</si>
  <si>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</si>
  <si>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</si>
  <si>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</si>
  <si>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</si>
  <si>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</si>
  <si>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</si>
  <si>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</si>
  <si>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</si>
  <si>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</si>
  <si>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</si>
  <si>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</si>
  <si>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</si>
  <si>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</si>
  <si>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</si>
  <si>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</si>
  <si>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</si>
  <si>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</si>
  <si>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</si>
  <si>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</si>
  <si>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</si>
  <si>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</si>
  <si>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</si>
  <si>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</si>
  <si>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</si>
  <si>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</si>
  <si>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</si>
  <si>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</si>
  <si>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</si>
  <si>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</si>
  <si>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</si>
  <si>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</si>
  <si>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</si>
  <si>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</si>
  <si>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</si>
  <si>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</si>
  <si>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</si>
  <si>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</si>
  <si>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</si>
  <si>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</si>
  <si>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</si>
  <si>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</si>
  <si>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</si>
  <si>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</si>
  <si>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</si>
  <si>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</si>
  <si>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</si>
  <si>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</si>
  <si>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</si>
  <si>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</si>
  <si>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</si>
  <si>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</si>
  <si>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</si>
  <si>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</si>
  <si>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</si>
  <si>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</si>
  <si>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</si>
  <si>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</si>
  <si>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</si>
  <si>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</si>
  <si>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</si>
  <si>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</si>
  <si>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</si>
  <si>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</si>
  <si>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</si>
  <si>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</si>
  <si>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</si>
  <si>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</si>
  <si>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</si>
  <si>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</si>
  <si>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</si>
  <si>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</si>
  <si>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</si>
  <si>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</si>
  <si>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</si>
  <si>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</si>
  <si>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</si>
  <si>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</si>
  <si>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</si>
  <si>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</si>
  <si>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</si>
  <si>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</si>
  <si>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</si>
  <si>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</si>
  <si>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</si>
  <si>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</si>
  <si>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</si>
  <si>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</si>
  <si>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</si>
  <si>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</si>
  <si>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</si>
  <si>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</si>
  <si>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</si>
  <si>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</si>
  <si>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</si>
  <si>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</si>
  <si>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</si>
  <si>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</si>
  <si>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</si>
  <si>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</si>
  <si>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</si>
  <si>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</si>
  <si>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</si>
  <si>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</si>
  <si>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</si>
  <si>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</si>
  <si>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</si>
  <si>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</si>
  <si>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</si>
  <si>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</si>
  <si>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</si>
  <si>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</si>
  <si>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</si>
  <si>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</si>
  <si>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</si>
  <si>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</si>
  <si>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</si>
  <si>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</si>
  <si>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</si>
  <si>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</si>
  <si>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</si>
  <si>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</si>
  <si>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</si>
  <si>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</si>
  <si>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</si>
  <si>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</si>
  <si>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</si>
  <si>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</si>
  <si>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</si>
  <si>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</si>
  <si>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</si>
  <si>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</si>
  <si>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</si>
  <si>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</si>
  <si>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</si>
  <si>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</si>
  <si>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</si>
  <si>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</si>
  <si>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</si>
  <si>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</si>
  <si>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</si>
  <si>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</si>
  <si>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</si>
  <si>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</si>
  <si>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</si>
  <si>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</si>
  <si>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</si>
  <si>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</si>
  <si>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</si>
  <si>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</si>
  <si>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</si>
  <si>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</si>
  <si>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</si>
  <si>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</si>
  <si>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</si>
  <si>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</si>
  <si>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</si>
  <si>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</si>
  <si>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</si>
  <si>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</si>
  <si>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</si>
  <si>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</si>
  <si>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</si>
  <si>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</si>
  <si>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</si>
  <si>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</si>
  <si>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</si>
  <si>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</si>
  <si>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</si>
  <si>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</si>
  <si>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</si>
  <si>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</si>
  <si>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</si>
  <si>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</si>
  <si>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</si>
  <si>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</si>
  <si>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</si>
  <si>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</si>
  <si>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</si>
  <si>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</si>
  <si>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</si>
  <si>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</si>
  <si>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</si>
  <si>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</si>
  <si>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</si>
  <si>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</si>
  <si>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</si>
  <si>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</si>
  <si>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</si>
  <si>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</si>
  <si>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</si>
  <si>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</si>
  <si>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</si>
  <si>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</si>
  <si>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</si>
  <si>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</si>
  <si>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</si>
  <si>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</si>
  <si>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</si>
  <si>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</si>
  <si>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</si>
  <si>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</si>
  <si>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</si>
  <si>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</si>
  <si>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</si>
  <si>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</si>
  <si>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</si>
  <si>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</si>
  <si>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</si>
  <si>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</si>
  <si>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</si>
  <si>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</si>
  <si>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</si>
  <si>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</si>
  <si>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</si>
  <si>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</si>
  <si>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</si>
  <si>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</si>
  <si>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</si>
  <si>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</si>
  <si>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</si>
  <si>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</si>
  <si>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</si>
  <si>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</si>
  <si>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</si>
  <si>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</si>
  <si>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</si>
  <si>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</si>
  <si>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</si>
  <si>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</si>
  <si>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</si>
  <si>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</si>
  <si>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</si>
  <si>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</si>
  <si>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</si>
  <si>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</si>
  <si>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</si>
  <si>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</si>
  <si>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</si>
  <si>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</si>
  <si>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</si>
  <si>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</si>
  <si>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</si>
  <si>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</si>
  <si>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</si>
  <si>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</si>
  <si>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</si>
  <si>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</si>
  <si>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</si>
  <si>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</si>
  <si>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</si>
  <si>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</si>
  <si>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</si>
  <si>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</si>
  <si>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</si>
  <si>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</si>
  <si>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</si>
  <si>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</si>
  <si>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</si>
  <si>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</si>
  <si>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</si>
  <si>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</si>
  <si>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</si>
  <si>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</si>
  <si>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</si>
  <si>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</si>
  <si>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</si>
  <si>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</si>
  <si>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</si>
  <si>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</si>
  <si>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</si>
  <si>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</si>
  <si>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</si>
  <si>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</si>
  <si>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</si>
  <si>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</si>
  <si>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</si>
  <si>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</si>
  <si>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</si>
  <si>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</si>
  <si>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</si>
  <si>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</si>
  <si>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</si>
  <si>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</si>
  <si>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</si>
  <si>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</si>
  <si>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</si>
  <si>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</si>
  <si>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</si>
  <si>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</si>
  <si>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</si>
  <si>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</si>
  <si>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</si>
  <si>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</si>
  <si>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</si>
  <si>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</si>
  <si>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</si>
  <si>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</si>
  <si>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</si>
  <si>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</si>
  <si>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</si>
  <si>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</si>
  <si>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</si>
  <si>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</si>
  <si>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</si>
  <si>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</si>
  <si>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</si>
  <si>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</si>
  <si>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</si>
  <si>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</si>
  <si>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</si>
  <si>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</si>
  <si>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</si>
  <si>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</si>
  <si>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</si>
  <si>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</si>
  <si>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</si>
  <si>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</si>
  <si>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</si>
  <si>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</si>
  <si>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</si>
  <si>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</si>
  <si>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</si>
  <si>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</si>
  <si>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</si>
  <si>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</si>
  <si>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t>Other Liability and Product Liability</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</si>
  <si>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</si>
  <si>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</si>
  <si>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</si>
  <si>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</si>
  <si>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</si>
  <si>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</si>
  <si>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</si>
  <si>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</si>
  <si>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Fire Folloing Earthquake</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</si>
  <si>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</si>
  <si>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</si>
  <si>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</si>
  <si>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</si>
  <si>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</si>
  <si>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</si>
  <si>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</si>
  <si>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</si>
  <si>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</si>
  <si>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</si>
  <si>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</si>
  <si>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</si>
  <si>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</si>
  <si>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</si>
  <si>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</si>
  <si>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</si>
  <si>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</si>
  <si>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</si>
  <si>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</si>
  <si>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</si>
  <si>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</si>
  <si>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</si>
  <si>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</si>
  <si>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</si>
  <si>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t>1/11/2022</t>
  </si>
  <si>
    <t>Nicole Pettis</t>
  </si>
  <si>
    <t>None</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</si>
  <si>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</si>
  <si>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</si>
  <si>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</si>
  <si>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</si>
  <si>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</si>
  <si>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</si>
  <si>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</si>
  <si>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</si>
  <si>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RD-44713</t>
  </si>
  <si>
    <t>Rental Dwelling</t>
  </si>
  <si>
    <t>21-1810</t>
  </si>
  <si>
    <t>CoreLogic RQE v18</t>
  </si>
  <si>
    <t>Probabilistic</t>
  </si>
  <si>
    <t xml:space="preserve">CoreLogic, Inc. </t>
  </si>
  <si>
    <t>N/A</t>
  </si>
  <si>
    <t>AIR Touchstone v6</t>
  </si>
  <si>
    <t>AIR Worldwide Corporation</t>
  </si>
  <si>
    <t>RMS RiskLink 17.0.1</t>
  </si>
  <si>
    <t>CoreLogic RQE v17.0</t>
  </si>
  <si>
    <t>AIR Touchstone 5.0</t>
  </si>
  <si>
    <t>GRID Fire Model</t>
  </si>
  <si>
    <t>Fire Following EQ</t>
  </si>
  <si>
    <t>Risk Management Solutions, Inc</t>
  </si>
  <si>
    <t>19-3750</t>
  </si>
  <si>
    <t>SFMA-132077837</t>
  </si>
  <si>
    <t xml:space="preserve">Corelogic Brushfire and Firebreak+     
</t>
  </si>
  <si>
    <t xml:space="preserve">Deterministic model where the four wildfire risk factors (low, moderate, high or very high) are used to determine eligibility.  
</t>
  </si>
  <si>
    <t>AIR Touchstone 6.0</t>
  </si>
  <si>
    <t>d5Laoikp</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</si>
</sst>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1">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59"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9" fillId="2" borderId="38" xfId="0" applyNumberFormat="1" applyFont="1" applyFill="1" applyBorder="1" applyAlignment="1" applyProtection="1">
      <alignment horizontal="left" vertical="top" wrapText="1"/>
      <protection locked="0"/>
    </xf>
    <xf numFmtId="0" fontId="59" fillId="0" borderId="0" xfId="0" applyFont="1" applyFill="1" applyBorder="1" applyAlignment="1" applyProtection="1">
      <alignment horizontal="left" vertical="center" wrapText="1"/>
    </xf>
    <xf numFmtId="49" fontId="59"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cellStyle name="Normal 2 2" xfId="6"/>
    <cellStyle name="Percent" xfId="3" builtinId="5"/>
    <cellStyle name="Percent 3" xfId="4"/>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2"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9"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fmlaLink="No_Fees"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fmlaLink="Change_Fees" lockText="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fmlaLink="$E$12"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checked="Checked"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Drop" dropLines="23" dropStyle="combo" dx="16" fmlaLink="$H$23" fmlaRange="References!$H$6:$H$28" sel="23" val="0"/>
</file>

<file path=xl/ctrlProps/ctrlProp99.xml><?xml version="1.0" encoding="utf-8"?>
<formControlPr xmlns="http://schemas.microsoft.com/office/spreadsheetml/2009/9/main" objectType="Drop" dropLines="23" dropStyle="combo" dx="16" fmlaLink="$H$26" fmlaRange="References!$H$6:$H$28" sel="23" val="0"/>
</file>

<file path=xl/ctrlProps/ctrlProp100.xml><?xml version="1.0" encoding="utf-8"?>
<formControlPr xmlns="http://schemas.microsoft.com/office/spreadsheetml/2009/9/main" objectType="Drop" dropLines="23" dropStyle="combo" dx="16" fmlaLink="$H$29" fmlaRange="References!$H$6:$H$28" sel="23" val="0"/>
</file>

<file path=xl/ctrlProps/ctrlProp101.xml><?xml version="1.0" encoding="utf-8"?>
<formControlPr xmlns="http://schemas.microsoft.com/office/spreadsheetml/2009/9/main" objectType="Drop" dropLines="23" dropStyle="combo" dx="16" fmlaLink="$H$16" fmlaRange="References!$H$6:$H$28" sel="23" val="0"/>
</file>

<file path=xl/ctrlProps/ctrlProp102.xml><?xml version="1.0" encoding="utf-8"?>
<formControlPr xmlns="http://schemas.microsoft.com/office/spreadsheetml/2009/9/main" objectType="Drop" dropLines="23" dropStyle="combo" dx="16" fmlaLink="$H$20" fmlaRange="References!$H$6:$H$28" sel="23" val="0"/>
</file>

<file path=xl/ctrlProps/ctrlProp103.xml><?xml version="1.0" encoding="utf-8"?>
<formControlPr xmlns="http://schemas.microsoft.com/office/spreadsheetml/2009/9/main" objectType="Drop" dropLines="23" dropStyle="combo" dx="16" fmlaLink="$H$32" fmlaRange="References!$H$6:$H$28" sel="23" val="0"/>
</file>

<file path=xl/ctrlProps/ctrlProp104.xml><?xml version="1.0" encoding="utf-8"?>
<formControlPr xmlns="http://schemas.microsoft.com/office/spreadsheetml/2009/9/main" objectType="Drop" dropLines="23" dropStyle="combo" dx="16" fmlaLink="$H$35" fmlaRange="References!$H$6:$H$28" sel="23" val="0"/>
</file>

<file path=xl/ctrlProps/ctrlProp105.xml><?xml version="1.0" encoding="utf-8"?>
<formControlPr xmlns="http://schemas.microsoft.com/office/spreadsheetml/2009/9/main" objectType="Drop" dropLines="23" dropStyle="combo" dx="16" fmlaLink="$H$38" fmlaRange="References!$H$6:$H$28" sel="23" val="0"/>
</file>

<file path=xl/ctrlProps/ctrlProp106.xml><?xml version="1.0" encoding="utf-8"?>
<formControlPr xmlns="http://schemas.microsoft.com/office/spreadsheetml/2009/9/main" objectType="Drop" dropLines="23" dropStyle="combo" dx="16" fmlaLink="$H$41" fmlaRange="References!$H$6:$H$28" sel="23" val="0"/>
</file>

<file path=xl/ctrlProps/ctrlProp107.xml><?xml version="1.0" encoding="utf-8"?>
<formControlPr xmlns="http://schemas.microsoft.com/office/spreadsheetml/2009/9/main" objectType="Drop" dropLines="23" dropStyle="combo" dx="16" fmlaLink="$H$44" fmlaRange="References!$H$6:$H$28" sel="23" val="0"/>
</file>

<file path=xl/ctrlProps/ctrlProp108.xml><?xml version="1.0" encoding="utf-8"?>
<formControlPr xmlns="http://schemas.microsoft.com/office/spreadsheetml/2009/9/main" objectType="CheckBox" checked="Checked" fmlaLink="B9" lockText="1" noThreeD="1"/>
</file>

<file path=xl/ctrlProps/ctrlProp109.xml><?xml version="1.0" encoding="utf-8"?>
<formControlPr xmlns="http://schemas.microsoft.com/office/spreadsheetml/2009/9/main" objectType="CheckBox" fmlaLink="G9" lockText="1" noThreeD="1"/>
</file>

<file path=xl/ctrlProps/ctrlProp110.xml><?xml version="1.0" encoding="utf-8"?>
<formControlPr xmlns="http://schemas.microsoft.com/office/spreadsheetml/2009/9/main" objectType="CheckBox" fmlaLink="G12" lockText="1" noThreeD="1"/>
</file>

<file path=xl/ctrlProps/ctrlProp111.xml><?xml version="1.0" encoding="utf-8"?>
<formControlPr xmlns="http://schemas.microsoft.com/office/spreadsheetml/2009/9/main" objectType="CheckBox" fmlaLink="G13" lockText="1" noThreeD="1"/>
</file>

<file path=xl/ctrlProps/ctrlProp112.xml><?xml version="1.0" encoding="utf-8"?>
<formControlPr xmlns="http://schemas.microsoft.com/office/spreadsheetml/2009/9/main" objectType="CheckBox" fmlaLink="G16" lockText="1" noThreeD="1"/>
</file>

<file path=xl/ctrlProps/ctrlProp113.xml><?xml version="1.0" encoding="utf-8"?>
<formControlPr xmlns="http://schemas.microsoft.com/office/spreadsheetml/2009/9/main" objectType="CheckBox" checked="Checked" fmlaLink="G17" lockText="1" noThreeD="1"/>
</file>

<file path=xl/ctrlProps/ctrlProp114.xml><?xml version="1.0" encoding="utf-8"?>
<formControlPr xmlns="http://schemas.microsoft.com/office/spreadsheetml/2009/9/main" objectType="CheckBox" fmlaLink="L16" lockText="1" noThreeD="1"/>
</file>

<file path=xl/ctrlProps/ctrlProp115.xml><?xml version="1.0" encoding="utf-8"?>
<formControlPr xmlns="http://schemas.microsoft.com/office/spreadsheetml/2009/9/main" objectType="CheckBox" fmlaLink="L17" lockText="1" noThreeD="1"/>
</file>

<file path=xl/ctrlProps/ctrlProp116.xml><?xml version="1.0" encoding="utf-8"?>
<formControlPr xmlns="http://schemas.microsoft.com/office/spreadsheetml/2009/9/main" objectType="CheckBox" fmlaLink="B16" lockText="1" noThreeD="1"/>
</file>

<file path=xl/ctrlProps/ctrlProp117.xml><?xml version="1.0" encoding="utf-8"?>
<formControlPr xmlns="http://schemas.microsoft.com/office/spreadsheetml/2009/9/main" objectType="CheckBox" fmlaLink="B17" lockText="1" noThreeD="1"/>
</file>

<file path=xl/ctrlProps/ctrlProp118.xml><?xml version="1.0" encoding="utf-8"?>
<formControlPr xmlns="http://schemas.microsoft.com/office/spreadsheetml/2009/9/main" objectType="CheckBox" fmlaLink="B12" lockText="1" noThreeD="1"/>
</file>

<file path=xl/ctrlProps/ctrlProp119.xml><?xml version="1.0" encoding="utf-8"?>
<formControlPr xmlns="http://schemas.microsoft.com/office/spreadsheetml/2009/9/main" objectType="CheckBox" checked="Checked" fmlaLink="B13" lockText="1" noThreeD="1"/>
</file>

<file path=xl/ctrlProps/ctrlProp120.xml><?xml version="1.0" encoding="utf-8"?>
<formControlPr xmlns="http://schemas.microsoft.com/office/spreadsheetml/2009/9/main" objectType="CheckBox" fmlaLink="B21" lockText="1" noThreeD="1"/>
</file>

<file path=xl/ctrlProps/ctrlProp121.xml><?xml version="1.0" encoding="utf-8"?>
<formControlPr xmlns="http://schemas.microsoft.com/office/spreadsheetml/2009/9/main" objectType="CheckBox" fmlaLink="B25" lockText="1" noThreeD="1"/>
</file>

<file path=xl/ctrlProps/ctrlProp122.xml><?xml version="1.0" encoding="utf-8"?>
<formControlPr xmlns="http://schemas.microsoft.com/office/spreadsheetml/2009/9/main" objectType="CheckBox" fmlaLink="G25" lockText="1" noThreeD="1"/>
</file>

<file path=xl/ctrlProps/ctrlProp123.xml><?xml version="1.0" encoding="utf-8"?>
<formControlPr xmlns="http://schemas.microsoft.com/office/spreadsheetml/2009/9/main" objectType="CheckBox" fmlaLink="L25" lockText="1" noThreeD="1"/>
</file>

<file path=xl/ctrlProps/ctrlProp124.xml><?xml version="1.0" encoding="utf-8"?>
<formControlPr xmlns="http://schemas.microsoft.com/office/spreadsheetml/2009/9/main" objectType="CheckBox" fmlaLink="G21" lockText="1" noThreeD="1"/>
</file>

<file path=xl/ctrlProps/ctrlProp125.xml><?xml version="1.0" encoding="utf-8"?>
<formControlPr xmlns="http://schemas.microsoft.com/office/spreadsheetml/2009/9/main" objectType="CheckBox" fmlaLink="B29" lockText="1" noThreeD="1"/>
</file>

<file path=xl/ctrlProps/ctrlProp126.xml><?xml version="1.0" encoding="utf-8"?>
<formControlPr xmlns="http://schemas.microsoft.com/office/spreadsheetml/2009/9/main" objectType="CheckBox" fmlaLink="B30" lockText="1" noThreeD="1"/>
</file>

<file path=xl/ctrlProps/ctrlProp127.xml><?xml version="1.0" encoding="utf-8"?>
<formControlPr xmlns="http://schemas.microsoft.com/office/spreadsheetml/2009/9/main" objectType="CheckBox" fmlaLink="B31"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fmlaLink="G30" lockText="1" noThreeD="1"/>
</file>

<file path=xl/ctrlProps/ctrlProp130.xml><?xml version="1.0" encoding="utf-8"?>
<formControlPr xmlns="http://schemas.microsoft.com/office/spreadsheetml/2009/9/main" objectType="CheckBox" checked="Checked" fmlaLink="G31" lockText="1" noThreeD="1"/>
</file>

<file path=xl/ctrlProps/ctrlProp131.xml><?xml version="1.0" encoding="utf-8"?>
<formControlPr xmlns="http://schemas.microsoft.com/office/spreadsheetml/2009/9/main" objectType="CheckBox" fmlaLink="L29" lockText="1" noThreeD="1"/>
</file>

<file path=xl/ctrlProps/ctrlProp132.xml><?xml version="1.0" encoding="utf-8"?>
<formControlPr xmlns="http://schemas.microsoft.com/office/spreadsheetml/2009/9/main" objectType="CheckBox" fmlaLink="L30" lockText="1" noThreeD="1"/>
</file>

<file path=xl/ctrlProps/ctrlProp133.xml><?xml version="1.0" encoding="utf-8"?>
<formControlPr xmlns="http://schemas.microsoft.com/office/spreadsheetml/2009/9/main" objectType="CheckBox" fmlaLink="B34" lockText="1" noThreeD="1"/>
</file>

<file path=xl/ctrlProps/ctrlProp134.xml><?xml version="1.0" encoding="utf-8"?>
<formControlPr xmlns="http://schemas.microsoft.com/office/spreadsheetml/2009/9/main" objectType="CheckBox" fmlaLink="G34" lockText="1" noThreeD="1"/>
</file>

<file path=xl/ctrlProps/ctrlProp135.xml><?xml version="1.0" encoding="utf-8"?>
<formControlPr xmlns="http://schemas.microsoft.com/office/spreadsheetml/2009/9/main" objectType="CheckBox" fmlaLink="L34" lockText="1" noThreeD="1"/>
</file>

<file path=xl/ctrlProps/ctrlProp136.xml><?xml version="1.0" encoding="utf-8"?>
<formControlPr xmlns="http://schemas.microsoft.com/office/spreadsheetml/2009/9/main" objectType="CheckBox" fmlaLink="B40" lockText="1" noThreeD="1"/>
</file>

<file path=xl/ctrlProps/ctrlProp137.xml><?xml version="1.0" encoding="utf-8"?>
<formControlPr xmlns="http://schemas.microsoft.com/office/spreadsheetml/2009/9/main" objectType="CheckBox" checked="Checked" fmlaLink="G40" lockText="1" noThreeD="1"/>
</file>

<file path=xl/ctrlProps/ctrlProp138.xml><?xml version="1.0" encoding="utf-8"?>
<formControlPr xmlns="http://schemas.microsoft.com/office/spreadsheetml/2009/9/main" objectType="CheckBox" checked="Checked" fmlaLink="B35" lockText="1" noThreeD="1"/>
</file>

<file path=xl/ctrlProps/ctrlProp139.xml><?xml version="1.0" encoding="utf-8"?>
<formControlPr xmlns="http://schemas.microsoft.com/office/spreadsheetml/2009/9/main" objectType="CheckBox" fmlaLink="B18" lockText="1" noThreeD="1"/>
</file>

<file path=xl/ctrlProps/ctrlProp140.xml><?xml version="1.0" encoding="utf-8"?>
<formControlPr xmlns="http://schemas.microsoft.com/office/spreadsheetml/2009/9/main" objectType="CheckBox" checked="Checked"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checked="Checked" fmlaLink="B17" lockText="1" noThreeD="1"/>
</file>

<file path=xl/ctrlProps/ctrlProp150.xml><?xml version="1.0" encoding="utf-8"?>
<formControlPr xmlns="http://schemas.microsoft.com/office/spreadsheetml/2009/9/main" objectType="CheckBox" fmlaLink="B12" lockText="1" noThreeD="1"/>
</file>

<file path=xl/ctrlProps/ctrlProp151.xml><?xml version="1.0" encoding="utf-8"?>
<formControlPr xmlns="http://schemas.microsoft.com/office/spreadsheetml/2009/9/main" objectType="CheckBox" checked="Checked"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B30" lockText="1" noThreeD="1"/>
</file>

<file path=xl/ctrlProps/ctrlProp159.xml><?xml version="1.0" encoding="utf-8"?>
<formControlPr xmlns="http://schemas.microsoft.com/office/spreadsheetml/2009/9/main" objectType="CheckBox" fmlaLink="B31" lockText="1" noThreeD="1"/>
</file>

<file path=xl/ctrlProps/ctrlProp160.xml><?xml version="1.0" encoding="utf-8"?>
<formControlPr xmlns="http://schemas.microsoft.com/office/spreadsheetml/2009/9/main" objectType="CheckBox" fmlaLink="G29" lockText="1" noThreeD="1"/>
</file>

<file path=xl/ctrlProps/ctrlProp161.xml><?xml version="1.0" encoding="utf-8"?>
<formControlPr xmlns="http://schemas.microsoft.com/office/spreadsheetml/2009/9/main" objectType="CheckBox" fmlaLink="G30" lockText="1" noThreeD="1"/>
</file>

<file path=xl/ctrlProps/ctrlProp162.xml><?xml version="1.0" encoding="utf-8"?>
<formControlPr xmlns="http://schemas.microsoft.com/office/spreadsheetml/2009/9/main" objectType="CheckBox" checked="Checked" fmlaLink="G31" lockText="1" noThreeD="1"/>
</file>

<file path=xl/ctrlProps/ctrlProp163.xml><?xml version="1.0" encoding="utf-8"?>
<formControlPr xmlns="http://schemas.microsoft.com/office/spreadsheetml/2009/9/main" objectType="CheckBox" fmlaLink="L29" lockText="1" noThreeD="1"/>
</file>

<file path=xl/ctrlProps/ctrlProp164.xml><?xml version="1.0" encoding="utf-8"?>
<formControlPr xmlns="http://schemas.microsoft.com/office/spreadsheetml/2009/9/main" objectType="CheckBox" fmlaLink="L30" lockText="1" noThreeD="1"/>
</file>

<file path=xl/ctrlProps/ctrlProp165.xml><?xml version="1.0" encoding="utf-8"?>
<formControlPr xmlns="http://schemas.microsoft.com/office/spreadsheetml/2009/9/main" objectType="CheckBox" fmlaLink="B34" lockText="1" noThreeD="1"/>
</file>

<file path=xl/ctrlProps/ctrlProp166.xml><?xml version="1.0" encoding="utf-8"?>
<formControlPr xmlns="http://schemas.microsoft.com/office/spreadsheetml/2009/9/main" objectType="CheckBox" fmlaLink="G34" lockText="1" noThreeD="1"/>
</file>

<file path=xl/ctrlProps/ctrlProp167.xml><?xml version="1.0" encoding="utf-8"?>
<formControlPr xmlns="http://schemas.microsoft.com/office/spreadsheetml/2009/9/main" objectType="CheckBox" fmlaLink="L34" lockText="1" noThreeD="1"/>
</file>

<file path=xl/ctrlProps/ctrlProp168.xml><?xml version="1.0" encoding="utf-8"?>
<formControlPr xmlns="http://schemas.microsoft.com/office/spreadsheetml/2009/9/main" objectType="CheckBox" fmlaLink="B40" lockText="1" noThreeD="1"/>
</file>

<file path=xl/ctrlProps/ctrlProp169.xml><?xml version="1.0" encoding="utf-8"?>
<formControlPr xmlns="http://schemas.microsoft.com/office/spreadsheetml/2009/9/main" objectType="CheckBox" checked="Checked" fmlaLink="G40" lockText="1" noThreeD="1"/>
</file>

<file path=xl/ctrlProps/ctrlProp170.xml><?xml version="1.0" encoding="utf-8"?>
<formControlPr xmlns="http://schemas.microsoft.com/office/spreadsheetml/2009/9/main" objectType="CheckBox" checked="Checked" fmlaLink="B35"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checked="Checked" fmlaLink="B9" lockText="1" noThreeD="1"/>
</file>

<file path=xl/ctrlProps/ctrlProp173.xml><?xml version="1.0" encoding="utf-8"?>
<formControlPr xmlns="http://schemas.microsoft.com/office/spreadsheetml/2009/9/main" objectType="CheckBox" fmlaLink="G9" lockText="1" noThreeD="1"/>
</file>

<file path=xl/ctrlProps/ctrlProp174.xml><?xml version="1.0" encoding="utf-8"?>
<formControlPr xmlns="http://schemas.microsoft.com/office/spreadsheetml/2009/9/main" objectType="CheckBox" checked="Checked" fmlaLink="G12" lockText="1" noThreeD="1"/>
</file>

<file path=xl/ctrlProps/ctrlProp175.xml><?xml version="1.0" encoding="utf-8"?>
<formControlPr xmlns="http://schemas.microsoft.com/office/spreadsheetml/2009/9/main" objectType="CheckBox" fmlaLink="G13" lockText="1" noThreeD="1"/>
</file>

<file path=xl/ctrlProps/ctrlProp176.xml><?xml version="1.0" encoding="utf-8"?>
<formControlPr xmlns="http://schemas.microsoft.com/office/spreadsheetml/2009/9/main" objectType="CheckBox" fmlaLink="G16" lockText="1" noThreeD="1"/>
</file>

<file path=xl/ctrlProps/ctrlProp177.xml><?xml version="1.0" encoding="utf-8"?>
<formControlPr xmlns="http://schemas.microsoft.com/office/spreadsheetml/2009/9/main" objectType="CheckBox" fmlaLink="G17" lockText="1" noThreeD="1"/>
</file>

<file path=xl/ctrlProps/ctrlProp178.xml><?xml version="1.0" encoding="utf-8"?>
<formControlPr xmlns="http://schemas.microsoft.com/office/spreadsheetml/2009/9/main" objectType="CheckBox" fmlaLink="L16" lockText="1" noThreeD="1"/>
</file>

<file path=xl/ctrlProps/ctrlProp179.xml><?xml version="1.0" encoding="utf-8"?>
<formControlPr xmlns="http://schemas.microsoft.com/office/spreadsheetml/2009/9/main" objectType="CheckBox" fmlaLink="L17" lockText="1" noThreeD="1"/>
</file>

<file path=xl/ctrlProps/ctrlProp180.xml><?xml version="1.0" encoding="utf-8"?>
<formControlPr xmlns="http://schemas.microsoft.com/office/spreadsheetml/2009/9/main" objectType="CheckBox" fmlaLink="B16" lockText="1" noThreeD="1"/>
</file>

<file path=xl/ctrlProps/ctrlProp181.xml><?xml version="1.0" encoding="utf-8"?>
<formControlPr xmlns="http://schemas.microsoft.com/office/spreadsheetml/2009/9/main" objectType="CheckBox" fmlaLink="B17" lockText="1" noThreeD="1"/>
</file>

<file path=xl/ctrlProps/ctrlProp182.xml><?xml version="1.0" encoding="utf-8"?>
<formControlPr xmlns="http://schemas.microsoft.com/office/spreadsheetml/2009/9/main" objectType="CheckBox" fmlaLink="B12" lockText="1" noThreeD="1"/>
</file>

<file path=xl/ctrlProps/ctrlProp183.xml><?xml version="1.0" encoding="utf-8"?>
<formControlPr xmlns="http://schemas.microsoft.com/office/spreadsheetml/2009/9/main" objectType="CheckBox" checked="Checked" fmlaLink="B13" lockText="1" noThreeD="1"/>
</file>

<file path=xl/ctrlProps/ctrlProp184.xml><?xml version="1.0" encoding="utf-8"?>
<formControlPr xmlns="http://schemas.microsoft.com/office/spreadsheetml/2009/9/main" objectType="CheckBox" fmlaLink="B21" lockText="1" noThreeD="1"/>
</file>

<file path=xl/ctrlProps/ctrlProp185.xml><?xml version="1.0" encoding="utf-8"?>
<formControlPr xmlns="http://schemas.microsoft.com/office/spreadsheetml/2009/9/main" objectType="CheckBox" fmlaLink="B25" lockText="1" noThreeD="1"/>
</file>

<file path=xl/ctrlProps/ctrlProp186.xml><?xml version="1.0" encoding="utf-8"?>
<formControlPr xmlns="http://schemas.microsoft.com/office/spreadsheetml/2009/9/main" objectType="CheckBox" fmlaLink="G25" lockText="1" noThreeD="1"/>
</file>

<file path=xl/ctrlProps/ctrlProp187.xml><?xml version="1.0" encoding="utf-8"?>
<formControlPr xmlns="http://schemas.microsoft.com/office/spreadsheetml/2009/9/main" objectType="CheckBox" fmlaLink="L25" lockText="1" noThreeD="1"/>
</file>

<file path=xl/ctrlProps/ctrlProp188.xml><?xml version="1.0" encoding="utf-8"?>
<formControlPr xmlns="http://schemas.microsoft.com/office/spreadsheetml/2009/9/main" objectType="CheckBox" checked="Checked" fmlaLink="G21" lockText="1" noThreeD="1"/>
</file>

<file path=xl/ctrlProps/ctrlProp189.xml><?xml version="1.0" encoding="utf-8"?>
<formControlPr xmlns="http://schemas.microsoft.com/office/spreadsheetml/2009/9/main" objectType="CheckBox" fmlaLink="B29" lockText="1" noThreeD="1"/>
</file>

<file path=xl/ctrlProps/ctrlProp190.xml><?xml version="1.0" encoding="utf-8"?>
<formControlPr xmlns="http://schemas.microsoft.com/office/spreadsheetml/2009/9/main" objectType="CheckBox" fmlaLink="B30" lockText="1" noThreeD="1"/>
</file>

<file path=xl/ctrlProps/ctrlProp191.xml><?xml version="1.0" encoding="utf-8"?>
<formControlPr xmlns="http://schemas.microsoft.com/office/spreadsheetml/2009/9/main" objectType="CheckBox" fmlaLink="B31" lockText="1" noThreeD="1"/>
</file>

<file path=xl/ctrlProps/ctrlProp192.xml><?xml version="1.0" encoding="utf-8"?>
<formControlPr xmlns="http://schemas.microsoft.com/office/spreadsheetml/2009/9/main" objectType="CheckBox" fmlaLink="G29" lockText="1" noThreeD="1"/>
</file>

<file path=xl/ctrlProps/ctrlProp193.xml><?xml version="1.0" encoding="utf-8"?>
<formControlPr xmlns="http://schemas.microsoft.com/office/spreadsheetml/2009/9/main" objectType="CheckBox" fmlaLink="G30" lockText="1" noThreeD="1"/>
</file>

<file path=xl/ctrlProps/ctrlProp194.xml><?xml version="1.0" encoding="utf-8"?>
<formControlPr xmlns="http://schemas.microsoft.com/office/spreadsheetml/2009/9/main" objectType="CheckBox" checked="Checked" fmlaLink="G31" lockText="1" noThreeD="1"/>
</file>

<file path=xl/ctrlProps/ctrlProp195.xml><?xml version="1.0" encoding="utf-8"?>
<formControlPr xmlns="http://schemas.microsoft.com/office/spreadsheetml/2009/9/main" objectType="CheckBox" fmlaLink="L29" lockText="1" noThreeD="1"/>
</file>

<file path=xl/ctrlProps/ctrlProp196.xml><?xml version="1.0" encoding="utf-8"?>
<formControlPr xmlns="http://schemas.microsoft.com/office/spreadsheetml/2009/9/main" objectType="CheckBox" fmlaLink="L30" lockText="1" noThreeD="1"/>
</file>

<file path=xl/ctrlProps/ctrlProp197.xml><?xml version="1.0" encoding="utf-8"?>
<formControlPr xmlns="http://schemas.microsoft.com/office/spreadsheetml/2009/9/main" objectType="CheckBox" fmlaLink="B34" lockText="1" noThreeD="1"/>
</file>

<file path=xl/ctrlProps/ctrlProp198.xml><?xml version="1.0" encoding="utf-8"?>
<formControlPr xmlns="http://schemas.microsoft.com/office/spreadsheetml/2009/9/main" objectType="CheckBox" fmlaLink="G34" lockText="1" noThreeD="1"/>
</file>

<file path=xl/ctrlProps/ctrlProp199.xml><?xml version="1.0" encoding="utf-8"?>
<formControlPr xmlns="http://schemas.microsoft.com/office/spreadsheetml/2009/9/main" objectType="CheckBox" fmlaLink="L34" lockText="1" noThreeD="1"/>
</file>

<file path=xl/ctrlProps/ctrlProp200.xml><?xml version="1.0" encoding="utf-8"?>
<formControlPr xmlns="http://schemas.microsoft.com/office/spreadsheetml/2009/9/main" objectType="CheckBox" fmlaLink="B40" lockText="1" noThreeD="1"/>
</file>

<file path=xl/ctrlProps/ctrlProp201.xml><?xml version="1.0" encoding="utf-8"?>
<formControlPr xmlns="http://schemas.microsoft.com/office/spreadsheetml/2009/9/main" objectType="CheckBox" checked="Checked" fmlaLink="G40" lockText="1" noThreeD="1"/>
</file>

<file path=xl/ctrlProps/ctrlProp202.xml><?xml version="1.0" encoding="utf-8"?>
<formControlPr xmlns="http://schemas.microsoft.com/office/spreadsheetml/2009/9/main" objectType="CheckBox" checked="Checked" fmlaLink="B35" lockText="1" noThreeD="1"/>
</file>

<file path=xl/ctrlProps/ctrlProp203.xml><?xml version="1.0" encoding="utf-8"?>
<formControlPr xmlns="http://schemas.microsoft.com/office/spreadsheetml/2009/9/main" objectType="CheckBox" checked="Checked" fmlaLink="B18" lockText="1" noThreeD="1"/>
</file>

<file path=xl/ctrlProps/ctrlProp204.xml><?xml version="1.0" encoding="utf-8"?>
<formControlPr xmlns="http://schemas.microsoft.com/office/spreadsheetml/2009/9/main" objectType="CheckBox" checked="Checked" fmlaLink="B9" lockText="1" noThreeD="1"/>
</file>

<file path=xl/ctrlProps/ctrlProp205.xml><?xml version="1.0" encoding="utf-8"?>
<formControlPr xmlns="http://schemas.microsoft.com/office/spreadsheetml/2009/9/main" objectType="CheckBox" fmlaLink="G9" lockText="1" noThreeD="1"/>
</file>

<file path=xl/ctrlProps/ctrlProp206.xml><?xml version="1.0" encoding="utf-8"?>
<formControlPr xmlns="http://schemas.microsoft.com/office/spreadsheetml/2009/9/main" objectType="CheckBox" checked="Checked" fmlaLink="G12" lockText="1" noThreeD="1"/>
</file>

<file path=xl/ctrlProps/ctrlProp207.xml><?xml version="1.0" encoding="utf-8"?>
<formControlPr xmlns="http://schemas.microsoft.com/office/spreadsheetml/2009/9/main" objectType="CheckBox" fmlaLink="G13" lockText="1" noThreeD="1"/>
</file>

<file path=xl/ctrlProps/ctrlProp208.xml><?xml version="1.0" encoding="utf-8"?>
<formControlPr xmlns="http://schemas.microsoft.com/office/spreadsheetml/2009/9/main" objectType="CheckBox" fmlaLink="G16" lockText="1" noThreeD="1"/>
</file>

<file path=xl/ctrlProps/ctrlProp209.xml><?xml version="1.0" encoding="utf-8"?>
<formControlPr xmlns="http://schemas.microsoft.com/office/spreadsheetml/2009/9/main" objectType="CheckBox" fmlaLink="G17" lockText="1" noThreeD="1"/>
</file>

<file path=xl/ctrlProps/ctrlProp210.xml><?xml version="1.0" encoding="utf-8"?>
<formControlPr xmlns="http://schemas.microsoft.com/office/spreadsheetml/2009/9/main" objectType="CheckBox" fmlaLink="L16" lockText="1" noThreeD="1"/>
</file>

<file path=xl/ctrlProps/ctrlProp211.xml><?xml version="1.0" encoding="utf-8"?>
<formControlPr xmlns="http://schemas.microsoft.com/office/spreadsheetml/2009/9/main" objectType="CheckBox" fmlaLink="L17" lockText="1" noThreeD="1"/>
</file>

<file path=xl/ctrlProps/ctrlProp212.xml><?xml version="1.0" encoding="utf-8"?>
<formControlPr xmlns="http://schemas.microsoft.com/office/spreadsheetml/2009/9/main" objectType="CheckBox" fmlaLink="B16" lockText="1" noThreeD="1"/>
</file>

<file path=xl/ctrlProps/ctrlProp213.xml><?xml version="1.0" encoding="utf-8"?>
<formControlPr xmlns="http://schemas.microsoft.com/office/spreadsheetml/2009/9/main" objectType="CheckBox" fmlaLink="B17" lockText="1" noThreeD="1"/>
</file>

<file path=xl/ctrlProps/ctrlProp214.xml><?xml version="1.0" encoding="utf-8"?>
<formControlPr xmlns="http://schemas.microsoft.com/office/spreadsheetml/2009/9/main" objectType="CheckBox" fmlaLink="B12" lockText="1" noThreeD="1"/>
</file>

<file path=xl/ctrlProps/ctrlProp215.xml><?xml version="1.0" encoding="utf-8"?>
<formControlPr xmlns="http://schemas.microsoft.com/office/spreadsheetml/2009/9/main" objectType="CheckBox" checked="Checked" fmlaLink="B13" lockText="1" noThreeD="1"/>
</file>

<file path=xl/ctrlProps/ctrlProp216.xml><?xml version="1.0" encoding="utf-8"?>
<formControlPr xmlns="http://schemas.microsoft.com/office/spreadsheetml/2009/9/main" objectType="CheckBox" fmlaLink="B21" lockText="1" noThreeD="1"/>
</file>

<file path=xl/ctrlProps/ctrlProp217.xml><?xml version="1.0" encoding="utf-8"?>
<formControlPr xmlns="http://schemas.microsoft.com/office/spreadsheetml/2009/9/main" objectType="CheckBox" fmlaLink="B25" lockText="1" noThreeD="1"/>
</file>

<file path=xl/ctrlProps/ctrlProp218.xml><?xml version="1.0" encoding="utf-8"?>
<formControlPr xmlns="http://schemas.microsoft.com/office/spreadsheetml/2009/9/main" objectType="CheckBox" fmlaLink="G25" lockText="1" noThreeD="1"/>
</file>

<file path=xl/ctrlProps/ctrlProp219.xml><?xml version="1.0" encoding="utf-8"?>
<formControlPr xmlns="http://schemas.microsoft.com/office/spreadsheetml/2009/9/main" objectType="CheckBox" fmlaLink="L25" lockText="1" noThreeD="1"/>
</file>

<file path=xl/ctrlProps/ctrlProp220.xml><?xml version="1.0" encoding="utf-8"?>
<formControlPr xmlns="http://schemas.microsoft.com/office/spreadsheetml/2009/9/main" objectType="CheckBox" checked="Checked" fmlaLink="G21" lockText="1" noThreeD="1"/>
</file>

<file path=xl/ctrlProps/ctrlProp221.xml><?xml version="1.0" encoding="utf-8"?>
<formControlPr xmlns="http://schemas.microsoft.com/office/spreadsheetml/2009/9/main" objectType="CheckBox" fmlaLink="B29" lockText="1" noThreeD="1"/>
</file>

<file path=xl/ctrlProps/ctrlProp222.xml><?xml version="1.0" encoding="utf-8"?>
<formControlPr xmlns="http://schemas.microsoft.com/office/spreadsheetml/2009/9/main" objectType="CheckBox" fmlaLink="B30" lockText="1" noThreeD="1"/>
</file>

<file path=xl/ctrlProps/ctrlProp223.xml><?xml version="1.0" encoding="utf-8"?>
<formControlPr xmlns="http://schemas.microsoft.com/office/spreadsheetml/2009/9/main" objectType="CheckBox" fmlaLink="B31" lockText="1" noThreeD="1"/>
</file>

<file path=xl/ctrlProps/ctrlProp224.xml><?xml version="1.0" encoding="utf-8"?>
<formControlPr xmlns="http://schemas.microsoft.com/office/spreadsheetml/2009/9/main" objectType="CheckBox" fmlaLink="G29" lockText="1" noThreeD="1"/>
</file>

<file path=xl/ctrlProps/ctrlProp225.xml><?xml version="1.0" encoding="utf-8"?>
<formControlPr xmlns="http://schemas.microsoft.com/office/spreadsheetml/2009/9/main" objectType="CheckBox" fmlaLink="G30" lockText="1" noThreeD="1"/>
</file>

<file path=xl/ctrlProps/ctrlProp226.xml><?xml version="1.0" encoding="utf-8"?>
<formControlPr xmlns="http://schemas.microsoft.com/office/spreadsheetml/2009/9/main" objectType="CheckBox" checked="Checked" fmlaLink="G31" lockText="1" noThreeD="1"/>
</file>

<file path=xl/ctrlProps/ctrlProp227.xml><?xml version="1.0" encoding="utf-8"?>
<formControlPr xmlns="http://schemas.microsoft.com/office/spreadsheetml/2009/9/main" objectType="CheckBox" fmlaLink="L29" lockText="1" noThreeD="1"/>
</file>

<file path=xl/ctrlProps/ctrlProp228.xml><?xml version="1.0" encoding="utf-8"?>
<formControlPr xmlns="http://schemas.microsoft.com/office/spreadsheetml/2009/9/main" objectType="CheckBox" fmlaLink="L30" lockText="1" noThreeD="1"/>
</file>

<file path=xl/ctrlProps/ctrlProp229.xml><?xml version="1.0" encoding="utf-8"?>
<formControlPr xmlns="http://schemas.microsoft.com/office/spreadsheetml/2009/9/main" objectType="CheckBox" fmlaLink="B34" lockText="1" noThreeD="1"/>
</file>

<file path=xl/ctrlProps/ctrlProp230.xml><?xml version="1.0" encoding="utf-8"?>
<formControlPr xmlns="http://schemas.microsoft.com/office/spreadsheetml/2009/9/main" objectType="CheckBox" fmlaLink="G34" lockText="1" noThreeD="1"/>
</file>

<file path=xl/ctrlProps/ctrlProp231.xml><?xml version="1.0" encoding="utf-8"?>
<formControlPr xmlns="http://schemas.microsoft.com/office/spreadsheetml/2009/9/main" objectType="CheckBox" fmlaLink="L34" lockText="1" noThreeD="1"/>
</file>

<file path=xl/ctrlProps/ctrlProp232.xml><?xml version="1.0" encoding="utf-8"?>
<formControlPr xmlns="http://schemas.microsoft.com/office/spreadsheetml/2009/9/main" objectType="CheckBox" fmlaLink="B40" lockText="1" noThreeD="1"/>
</file>

<file path=xl/ctrlProps/ctrlProp233.xml><?xml version="1.0" encoding="utf-8"?>
<formControlPr xmlns="http://schemas.microsoft.com/office/spreadsheetml/2009/9/main" objectType="CheckBox" checked="Checked" fmlaLink="G40" lockText="1" noThreeD="1"/>
</file>

<file path=xl/ctrlProps/ctrlProp234.xml><?xml version="1.0" encoding="utf-8"?>
<formControlPr xmlns="http://schemas.microsoft.com/office/spreadsheetml/2009/9/main" objectType="CheckBox" checked="Checked" fmlaLink="B35" lockText="1" noThreeD="1"/>
</file>

<file path=xl/ctrlProps/ctrlProp235.xml><?xml version="1.0" encoding="utf-8"?>
<formControlPr xmlns="http://schemas.microsoft.com/office/spreadsheetml/2009/9/main" objectType="CheckBox" checked="Checked" fmlaLink="B18" lockText="1" noThreeD="1"/>
</file>

<file path=xl/ctrlProps/ctrlProp236.xml><?xml version="1.0" encoding="utf-8"?>
<formControlPr xmlns="http://schemas.microsoft.com/office/spreadsheetml/2009/9/main" objectType="CheckBox" checked="Checked" fmlaLink="B9" lockText="1" noThreeD="1"/>
</file>

<file path=xl/ctrlProps/ctrlProp237.xml><?xml version="1.0" encoding="utf-8"?>
<formControlPr xmlns="http://schemas.microsoft.com/office/spreadsheetml/2009/9/main" objectType="CheckBox" fmlaLink="G9" lockText="1" noThreeD="1"/>
</file>

<file path=xl/ctrlProps/ctrlProp238.xml><?xml version="1.0" encoding="utf-8"?>
<formControlPr xmlns="http://schemas.microsoft.com/office/spreadsheetml/2009/9/main" objectType="CheckBox" checked="Checked" fmlaLink="G12" lockText="1" noThreeD="1"/>
</file>

<file path=xl/ctrlProps/ctrlProp239.xml><?xml version="1.0" encoding="utf-8"?>
<formControlPr xmlns="http://schemas.microsoft.com/office/spreadsheetml/2009/9/main" objectType="CheckBox" fmlaLink="G13" lockText="1" noThreeD="1"/>
</file>

<file path=xl/ctrlProps/ctrlProp240.xml><?xml version="1.0" encoding="utf-8"?>
<formControlPr xmlns="http://schemas.microsoft.com/office/spreadsheetml/2009/9/main" objectType="CheckBox" fmlaLink="G16" lockText="1" noThreeD="1"/>
</file>

<file path=xl/ctrlProps/ctrlProp241.xml><?xml version="1.0" encoding="utf-8"?>
<formControlPr xmlns="http://schemas.microsoft.com/office/spreadsheetml/2009/9/main" objectType="CheckBox" fmlaLink="G17" lockText="1" noThreeD="1"/>
</file>

<file path=xl/ctrlProps/ctrlProp242.xml><?xml version="1.0" encoding="utf-8"?>
<formControlPr xmlns="http://schemas.microsoft.com/office/spreadsheetml/2009/9/main" objectType="CheckBox" fmlaLink="L16" lockText="1" noThreeD="1"/>
</file>

<file path=xl/ctrlProps/ctrlProp243.xml><?xml version="1.0" encoding="utf-8"?>
<formControlPr xmlns="http://schemas.microsoft.com/office/spreadsheetml/2009/9/main" objectType="CheckBox" fmlaLink="L17" lockText="1" noThreeD="1"/>
</file>

<file path=xl/ctrlProps/ctrlProp244.xml><?xml version="1.0" encoding="utf-8"?>
<formControlPr xmlns="http://schemas.microsoft.com/office/spreadsheetml/2009/9/main" objectType="CheckBox" fmlaLink="B16" lockText="1" noThreeD="1"/>
</file>

<file path=xl/ctrlProps/ctrlProp245.xml><?xml version="1.0" encoding="utf-8"?>
<formControlPr xmlns="http://schemas.microsoft.com/office/spreadsheetml/2009/9/main" objectType="CheckBox" fmlaLink="B17" lockText="1" noThreeD="1"/>
</file>

<file path=xl/ctrlProps/ctrlProp246.xml><?xml version="1.0" encoding="utf-8"?>
<formControlPr xmlns="http://schemas.microsoft.com/office/spreadsheetml/2009/9/main" objectType="CheckBox" fmlaLink="B12" lockText="1" noThreeD="1"/>
</file>

<file path=xl/ctrlProps/ctrlProp247.xml><?xml version="1.0" encoding="utf-8"?>
<formControlPr xmlns="http://schemas.microsoft.com/office/spreadsheetml/2009/9/main" objectType="CheckBox" fmlaLink="B13" lockText="1" noThreeD="1"/>
</file>

<file path=xl/ctrlProps/ctrlProp248.xml><?xml version="1.0" encoding="utf-8"?>
<formControlPr xmlns="http://schemas.microsoft.com/office/spreadsheetml/2009/9/main" objectType="CheckBox" fmlaLink="B21" lockText="1" noThreeD="1"/>
</file>

<file path=xl/ctrlProps/ctrlProp249.xml><?xml version="1.0" encoding="utf-8"?>
<formControlPr xmlns="http://schemas.microsoft.com/office/spreadsheetml/2009/9/main" objectType="CheckBox" fmlaLink="B25" lockText="1" noThreeD="1"/>
</file>

<file path=xl/ctrlProps/ctrlProp250.xml><?xml version="1.0" encoding="utf-8"?>
<formControlPr xmlns="http://schemas.microsoft.com/office/spreadsheetml/2009/9/main" objectType="CheckBox" fmlaLink="G25" lockText="1" noThreeD="1"/>
</file>

<file path=xl/ctrlProps/ctrlProp251.xml><?xml version="1.0" encoding="utf-8"?>
<formControlPr xmlns="http://schemas.microsoft.com/office/spreadsheetml/2009/9/main" objectType="CheckBox" fmlaLink="L25" lockText="1" noThreeD="1"/>
</file>

<file path=xl/ctrlProps/ctrlProp252.xml><?xml version="1.0" encoding="utf-8"?>
<formControlPr xmlns="http://schemas.microsoft.com/office/spreadsheetml/2009/9/main" objectType="CheckBox" checked="Checked" fmlaLink="G21" lockText="1" noThreeD="1"/>
</file>

<file path=xl/ctrlProps/ctrlProp253.xml><?xml version="1.0" encoding="utf-8"?>
<formControlPr xmlns="http://schemas.microsoft.com/office/spreadsheetml/2009/9/main" objectType="CheckBox" fmlaLink="B29" lockText="1" noThreeD="1"/>
</file>

<file path=xl/ctrlProps/ctrlProp254.xml><?xml version="1.0" encoding="utf-8"?>
<formControlPr xmlns="http://schemas.microsoft.com/office/spreadsheetml/2009/9/main" objectType="CheckBox" fmlaLink="B30" lockText="1" noThreeD="1"/>
</file>

<file path=xl/ctrlProps/ctrlProp255.xml><?xml version="1.0" encoding="utf-8"?>
<formControlPr xmlns="http://schemas.microsoft.com/office/spreadsheetml/2009/9/main" objectType="CheckBox" fmlaLink="B31" lockText="1" noThreeD="1"/>
</file>

<file path=xl/ctrlProps/ctrlProp256.xml><?xml version="1.0" encoding="utf-8"?>
<formControlPr xmlns="http://schemas.microsoft.com/office/spreadsheetml/2009/9/main" objectType="CheckBox" fmlaLink="G29" lockText="1" noThreeD="1"/>
</file>

<file path=xl/ctrlProps/ctrlProp257.xml><?xml version="1.0" encoding="utf-8"?>
<formControlPr xmlns="http://schemas.microsoft.com/office/spreadsheetml/2009/9/main" objectType="CheckBox" fmlaLink="G30" lockText="1" noThreeD="1"/>
</file>

<file path=xl/ctrlProps/ctrlProp258.xml><?xml version="1.0" encoding="utf-8"?>
<formControlPr xmlns="http://schemas.microsoft.com/office/spreadsheetml/2009/9/main" objectType="CheckBox" checked="Checked" fmlaLink="G31" lockText="1" noThreeD="1"/>
</file>

<file path=xl/ctrlProps/ctrlProp259.xml><?xml version="1.0" encoding="utf-8"?>
<formControlPr xmlns="http://schemas.microsoft.com/office/spreadsheetml/2009/9/main" objectType="CheckBox" fmlaLink="L29" lockText="1" noThreeD="1"/>
</file>

<file path=xl/ctrlProps/ctrlProp260.xml><?xml version="1.0" encoding="utf-8"?>
<formControlPr xmlns="http://schemas.microsoft.com/office/spreadsheetml/2009/9/main" objectType="CheckBox" fmlaLink="L30" lockText="1" noThreeD="1"/>
</file>

<file path=xl/ctrlProps/ctrlProp261.xml><?xml version="1.0" encoding="utf-8"?>
<formControlPr xmlns="http://schemas.microsoft.com/office/spreadsheetml/2009/9/main" objectType="CheckBox" fmlaLink="B34" lockText="1" noThreeD="1"/>
</file>

<file path=xl/ctrlProps/ctrlProp262.xml><?xml version="1.0" encoding="utf-8"?>
<formControlPr xmlns="http://schemas.microsoft.com/office/spreadsheetml/2009/9/main" objectType="CheckBox" fmlaLink="G34" lockText="1" noThreeD="1"/>
</file>

<file path=xl/ctrlProps/ctrlProp263.xml><?xml version="1.0" encoding="utf-8"?>
<formControlPr xmlns="http://schemas.microsoft.com/office/spreadsheetml/2009/9/main" objectType="CheckBox" fmlaLink="L34" lockText="1" noThreeD="1"/>
</file>

<file path=xl/ctrlProps/ctrlProp264.xml><?xml version="1.0" encoding="utf-8"?>
<formControlPr xmlns="http://schemas.microsoft.com/office/spreadsheetml/2009/9/main" objectType="CheckBox" fmlaLink="B40" lockText="1" noThreeD="1"/>
</file>

<file path=xl/ctrlProps/ctrlProp265.xml><?xml version="1.0" encoding="utf-8"?>
<formControlPr xmlns="http://schemas.microsoft.com/office/spreadsheetml/2009/9/main" objectType="CheckBox" checked="Checked" fmlaLink="G40" lockText="1" noThreeD="1"/>
</file>

<file path=xl/ctrlProps/ctrlProp266.xml><?xml version="1.0" encoding="utf-8"?>
<formControlPr xmlns="http://schemas.microsoft.com/office/spreadsheetml/2009/9/main" objectType="CheckBox" checked="Checked" fmlaLink="B35" lockText="1" noThreeD="1"/>
</file>

<file path=xl/ctrlProps/ctrlProp267.xml><?xml version="1.0" encoding="utf-8"?>
<formControlPr xmlns="http://schemas.microsoft.com/office/spreadsheetml/2009/9/main" objectType="CheckBox" fmlaLink="B18" lockText="1" noThreeD="1"/>
</file>

<file path=xl/ctrlProps/ctrlProp268.xml><?xml version="1.0" encoding="utf-8"?>
<formControlPr xmlns="http://schemas.microsoft.com/office/spreadsheetml/2009/9/main" objectType="CheckBox" checked="Checked" fmlaLink="B9" lockText="1" noThreeD="1"/>
</file>

<file path=xl/ctrlProps/ctrlProp269.xml><?xml version="1.0" encoding="utf-8"?>
<formControlPr xmlns="http://schemas.microsoft.com/office/spreadsheetml/2009/9/main" objectType="CheckBox" fmlaLink="G9" lockText="1" noThreeD="1"/>
</file>

<file path=xl/ctrlProps/ctrlProp270.xml><?xml version="1.0" encoding="utf-8"?>
<formControlPr xmlns="http://schemas.microsoft.com/office/spreadsheetml/2009/9/main" objectType="CheckBox" fmlaLink="G12" lockText="1" noThreeD="1"/>
</file>

<file path=xl/ctrlProps/ctrlProp271.xml><?xml version="1.0" encoding="utf-8"?>
<formControlPr xmlns="http://schemas.microsoft.com/office/spreadsheetml/2009/9/main" objectType="CheckBox" fmlaLink="G13" lockText="1" noThreeD="1"/>
</file>

<file path=xl/ctrlProps/ctrlProp272.xml><?xml version="1.0" encoding="utf-8"?>
<formControlPr xmlns="http://schemas.microsoft.com/office/spreadsheetml/2009/9/main" objectType="CheckBox" fmlaLink="G16" lockText="1" noThreeD="1"/>
</file>

<file path=xl/ctrlProps/ctrlProp273.xml><?xml version="1.0" encoding="utf-8"?>
<formControlPr xmlns="http://schemas.microsoft.com/office/spreadsheetml/2009/9/main" objectType="CheckBox" fmlaLink="G17" lockText="1" noThreeD="1"/>
</file>

<file path=xl/ctrlProps/ctrlProp274.xml><?xml version="1.0" encoding="utf-8"?>
<formControlPr xmlns="http://schemas.microsoft.com/office/spreadsheetml/2009/9/main" objectType="CheckBox" fmlaLink="L16" lockText="1" noThreeD="1"/>
</file>

<file path=xl/ctrlProps/ctrlProp275.xml><?xml version="1.0" encoding="utf-8"?>
<formControlPr xmlns="http://schemas.microsoft.com/office/spreadsheetml/2009/9/main" objectType="CheckBox" fmlaLink="L17" lockText="1" noThreeD="1"/>
</file>

<file path=xl/ctrlProps/ctrlProp276.xml><?xml version="1.0" encoding="utf-8"?>
<formControlPr xmlns="http://schemas.microsoft.com/office/spreadsheetml/2009/9/main" objectType="CheckBox" fmlaLink="B16" lockText="1" noThreeD="1"/>
</file>

<file path=xl/ctrlProps/ctrlProp277.xml><?xml version="1.0" encoding="utf-8"?>
<formControlPr xmlns="http://schemas.microsoft.com/office/spreadsheetml/2009/9/main" objectType="CheckBox" fmlaLink="B17" lockText="1" noThreeD="1"/>
</file>

<file path=xl/ctrlProps/ctrlProp278.xml><?xml version="1.0" encoding="utf-8"?>
<formControlPr xmlns="http://schemas.microsoft.com/office/spreadsheetml/2009/9/main" objectType="CheckBox" fmlaLink="B12" lockText="1" noThreeD="1"/>
</file>

<file path=xl/ctrlProps/ctrlProp279.xml><?xml version="1.0" encoding="utf-8"?>
<formControlPr xmlns="http://schemas.microsoft.com/office/spreadsheetml/2009/9/main" objectType="CheckBox" checked="Checked" fmlaLink="B13" lockText="1" noThreeD="1"/>
</file>

<file path=xl/ctrlProps/ctrlProp280.xml><?xml version="1.0" encoding="utf-8"?>
<formControlPr xmlns="http://schemas.microsoft.com/office/spreadsheetml/2009/9/main" objectType="CheckBox" fmlaLink="B21" lockText="1" noThreeD="1"/>
</file>

<file path=xl/ctrlProps/ctrlProp281.xml><?xml version="1.0" encoding="utf-8"?>
<formControlPr xmlns="http://schemas.microsoft.com/office/spreadsheetml/2009/9/main" objectType="CheckBox" checked="Checked" fmlaLink="B25" lockText="1" noThreeD="1"/>
</file>

<file path=xl/ctrlProps/ctrlProp282.xml><?xml version="1.0" encoding="utf-8"?>
<formControlPr xmlns="http://schemas.microsoft.com/office/spreadsheetml/2009/9/main" objectType="CheckBox" checked="Checked" fmlaLink="G25" lockText="1" noThreeD="1"/>
</file>

<file path=xl/ctrlProps/ctrlProp283.xml><?xml version="1.0" encoding="utf-8"?>
<formControlPr xmlns="http://schemas.microsoft.com/office/spreadsheetml/2009/9/main" objectType="CheckBox" fmlaLink="L25" lockText="1" noThreeD="1"/>
</file>

<file path=xl/ctrlProps/ctrlProp284.xml><?xml version="1.0" encoding="utf-8"?>
<formControlPr xmlns="http://schemas.microsoft.com/office/spreadsheetml/2009/9/main" objectType="CheckBox" fmlaLink="G21" lockText="1" noThreeD="1"/>
</file>

<file path=xl/ctrlProps/ctrlProp285.xml><?xml version="1.0" encoding="utf-8"?>
<formControlPr xmlns="http://schemas.microsoft.com/office/spreadsheetml/2009/9/main" objectType="CheckBox" fmlaLink="B29" lockText="1" noThreeD="1"/>
</file>

<file path=xl/ctrlProps/ctrlProp286.xml><?xml version="1.0" encoding="utf-8"?>
<formControlPr xmlns="http://schemas.microsoft.com/office/spreadsheetml/2009/9/main" objectType="CheckBox" fmlaLink="B30" lockText="1" noThreeD="1"/>
</file>

<file path=xl/ctrlProps/ctrlProp287.xml><?xml version="1.0" encoding="utf-8"?>
<formControlPr xmlns="http://schemas.microsoft.com/office/spreadsheetml/2009/9/main" objectType="CheckBox" fmlaLink="B31" lockText="1" noThreeD="1"/>
</file>

<file path=xl/ctrlProps/ctrlProp288.xml><?xml version="1.0" encoding="utf-8"?>
<formControlPr xmlns="http://schemas.microsoft.com/office/spreadsheetml/2009/9/main" objectType="CheckBox" fmlaLink="G29" lockText="1" noThreeD="1"/>
</file>

<file path=xl/ctrlProps/ctrlProp289.xml><?xml version="1.0" encoding="utf-8"?>
<formControlPr xmlns="http://schemas.microsoft.com/office/spreadsheetml/2009/9/main" objectType="CheckBox" fmlaLink="G30" lockText="1" noThreeD="1"/>
</file>

<file path=xl/ctrlProps/ctrlProp290.xml><?xml version="1.0" encoding="utf-8"?>
<formControlPr xmlns="http://schemas.microsoft.com/office/spreadsheetml/2009/9/main" objectType="CheckBox" checked="Checked" fmlaLink="G31" lockText="1" noThreeD="1"/>
</file>

<file path=xl/ctrlProps/ctrlProp291.xml><?xml version="1.0" encoding="utf-8"?>
<formControlPr xmlns="http://schemas.microsoft.com/office/spreadsheetml/2009/9/main" objectType="CheckBox" fmlaLink="L29" lockText="1" noThreeD="1"/>
</file>

<file path=xl/ctrlProps/ctrlProp292.xml><?xml version="1.0" encoding="utf-8"?>
<formControlPr xmlns="http://schemas.microsoft.com/office/spreadsheetml/2009/9/main" objectType="CheckBox" fmlaLink="L30" lockText="1" noThreeD="1"/>
</file>

<file path=xl/ctrlProps/ctrlProp293.xml><?xml version="1.0" encoding="utf-8"?>
<formControlPr xmlns="http://schemas.microsoft.com/office/spreadsheetml/2009/9/main" objectType="CheckBox" fmlaLink="B34" lockText="1" noThreeD="1"/>
</file>

<file path=xl/ctrlProps/ctrlProp294.xml><?xml version="1.0" encoding="utf-8"?>
<formControlPr xmlns="http://schemas.microsoft.com/office/spreadsheetml/2009/9/main" objectType="CheckBox" fmlaLink="G34" lockText="1" noThreeD="1"/>
</file>

<file path=xl/ctrlProps/ctrlProp295.xml><?xml version="1.0" encoding="utf-8"?>
<formControlPr xmlns="http://schemas.microsoft.com/office/spreadsheetml/2009/9/main" objectType="CheckBox" fmlaLink="L34" lockText="1" noThreeD="1"/>
</file>

<file path=xl/ctrlProps/ctrlProp296.xml><?xml version="1.0" encoding="utf-8"?>
<formControlPr xmlns="http://schemas.microsoft.com/office/spreadsheetml/2009/9/main" objectType="CheckBox" fmlaLink="B40" lockText="1" noThreeD="1"/>
</file>

<file path=xl/ctrlProps/ctrlProp297.xml><?xml version="1.0" encoding="utf-8"?>
<formControlPr xmlns="http://schemas.microsoft.com/office/spreadsheetml/2009/9/main" objectType="CheckBox" checked="Checked" fmlaLink="G40" lockText="1" noThreeD="1"/>
</file>

<file path=xl/ctrlProps/ctrlProp298.xml><?xml version="1.0" encoding="utf-8"?>
<formControlPr xmlns="http://schemas.microsoft.com/office/spreadsheetml/2009/9/main" objectType="CheckBox" checked="Checked" fmlaLink="B35" lockText="1" noThreeD="1"/>
</file>

<file path=xl/ctrlProps/ctrlProp299.xml><?xml version="1.0" encoding="utf-8"?>
<formControlPr xmlns="http://schemas.microsoft.com/office/spreadsheetml/2009/9/main" objectType="CheckBox" checked="Checked" fmlaLink="B18" lockText="1" noThreeD="1"/>
</file>

<file path=xl/ctrlProps/ctrlProp300.xml><?xml version="1.0" encoding="utf-8"?>
<formControlPr xmlns="http://schemas.microsoft.com/office/spreadsheetml/2009/9/main" objectType="CheckBox" fmlaLink="B9" lockText="1" noThreeD="1"/>
</file>

<file path=xl/ctrlProps/ctrlProp301.xml><?xml version="1.0" encoding="utf-8"?>
<formControlPr xmlns="http://schemas.microsoft.com/office/spreadsheetml/2009/9/main" objectType="CheckBox" checked="Checked" fmlaLink="G9" lockText="1" noThreeD="1"/>
</file>

<file path=xl/ctrlProps/ctrlProp302.xml><?xml version="1.0" encoding="utf-8"?>
<formControlPr xmlns="http://schemas.microsoft.com/office/spreadsheetml/2009/9/main" objectType="CheckBox" fmlaLink="G12" lockText="1" noThreeD="1"/>
</file>

<file path=xl/ctrlProps/ctrlProp303.xml><?xml version="1.0" encoding="utf-8"?>
<formControlPr xmlns="http://schemas.microsoft.com/office/spreadsheetml/2009/9/main" objectType="CheckBox" fmlaLink="G13" lockText="1" noThreeD="1"/>
</file>

<file path=xl/ctrlProps/ctrlProp304.xml><?xml version="1.0" encoding="utf-8"?>
<formControlPr xmlns="http://schemas.microsoft.com/office/spreadsheetml/2009/9/main" objectType="CheckBox" fmlaLink="G16" lockText="1" noThreeD="1"/>
</file>

<file path=xl/ctrlProps/ctrlProp305.xml><?xml version="1.0" encoding="utf-8"?>
<formControlPr xmlns="http://schemas.microsoft.com/office/spreadsheetml/2009/9/main" objectType="CheckBox" fmlaLink="G17" lockText="1" noThreeD="1"/>
</file>

<file path=xl/ctrlProps/ctrlProp306.xml><?xml version="1.0" encoding="utf-8"?>
<formControlPr xmlns="http://schemas.microsoft.com/office/spreadsheetml/2009/9/main" objectType="CheckBox" fmlaLink="L16" lockText="1" noThreeD="1"/>
</file>

<file path=xl/ctrlProps/ctrlProp307.xml><?xml version="1.0" encoding="utf-8"?>
<formControlPr xmlns="http://schemas.microsoft.com/office/spreadsheetml/2009/9/main" objectType="CheckBox" fmlaLink="L17" lockText="1" noThreeD="1"/>
</file>

<file path=xl/ctrlProps/ctrlProp308.xml><?xml version="1.0" encoding="utf-8"?>
<formControlPr xmlns="http://schemas.microsoft.com/office/spreadsheetml/2009/9/main" objectType="CheckBox" fmlaLink="B16" lockText="1" noThreeD="1"/>
</file>

<file path=xl/ctrlProps/ctrlProp309.xml><?xml version="1.0" encoding="utf-8"?>
<formControlPr xmlns="http://schemas.microsoft.com/office/spreadsheetml/2009/9/main" objectType="CheckBox" fmlaLink="B17" lockText="1" noThreeD="1"/>
</file>

<file path=xl/ctrlProps/ctrlProp310.xml><?xml version="1.0" encoding="utf-8"?>
<formControlPr xmlns="http://schemas.microsoft.com/office/spreadsheetml/2009/9/main" objectType="CheckBox" fmlaLink="B12" lockText="1" noThreeD="1"/>
</file>

<file path=xl/ctrlProps/ctrlProp311.xml><?xml version="1.0" encoding="utf-8"?>
<formControlPr xmlns="http://schemas.microsoft.com/office/spreadsheetml/2009/9/main" objectType="CheckBox" checked="Checked" fmlaLink="B13" lockText="1" noThreeD="1"/>
</file>

<file path=xl/ctrlProps/ctrlProp312.xml><?xml version="1.0" encoding="utf-8"?>
<formControlPr xmlns="http://schemas.microsoft.com/office/spreadsheetml/2009/9/main" objectType="CheckBox" fmlaLink="B21" lockText="1" noThreeD="1"/>
</file>

<file path=xl/ctrlProps/ctrlProp313.xml><?xml version="1.0" encoding="utf-8"?>
<formControlPr xmlns="http://schemas.microsoft.com/office/spreadsheetml/2009/9/main" objectType="CheckBox" checked="Checked" fmlaLink="B25" lockText="1" noThreeD="1"/>
</file>

<file path=xl/ctrlProps/ctrlProp314.xml><?xml version="1.0" encoding="utf-8"?>
<formControlPr xmlns="http://schemas.microsoft.com/office/spreadsheetml/2009/9/main" objectType="CheckBox" checked="Checked" fmlaLink="G25" lockText="1" noThreeD="1"/>
</file>

<file path=xl/ctrlProps/ctrlProp315.xml><?xml version="1.0" encoding="utf-8"?>
<formControlPr xmlns="http://schemas.microsoft.com/office/spreadsheetml/2009/9/main" objectType="CheckBox" fmlaLink="L25" lockText="1" noThreeD="1"/>
</file>

<file path=xl/ctrlProps/ctrlProp316.xml><?xml version="1.0" encoding="utf-8"?>
<formControlPr xmlns="http://schemas.microsoft.com/office/spreadsheetml/2009/9/main" objectType="CheckBox" fmlaLink="G21" lockText="1" noThreeD="1"/>
</file>

<file path=xl/ctrlProps/ctrlProp317.xml><?xml version="1.0" encoding="utf-8"?>
<formControlPr xmlns="http://schemas.microsoft.com/office/spreadsheetml/2009/9/main" objectType="CheckBox" fmlaLink="B29" lockText="1" noThreeD="1"/>
</file>

<file path=xl/ctrlProps/ctrlProp318.xml><?xml version="1.0" encoding="utf-8"?>
<formControlPr xmlns="http://schemas.microsoft.com/office/spreadsheetml/2009/9/main" objectType="CheckBox" fmlaLink="B30" lockText="1" noThreeD="1"/>
</file>

<file path=xl/ctrlProps/ctrlProp319.xml><?xml version="1.0" encoding="utf-8"?>
<formControlPr xmlns="http://schemas.microsoft.com/office/spreadsheetml/2009/9/main" objectType="CheckBox" fmlaLink="B31" lockText="1" noThreeD="1"/>
</file>

<file path=xl/ctrlProps/ctrlProp320.xml><?xml version="1.0" encoding="utf-8"?>
<formControlPr xmlns="http://schemas.microsoft.com/office/spreadsheetml/2009/9/main" objectType="CheckBox" fmlaLink="G29" lockText="1" noThreeD="1"/>
</file>

<file path=xl/ctrlProps/ctrlProp321.xml><?xml version="1.0" encoding="utf-8"?>
<formControlPr xmlns="http://schemas.microsoft.com/office/spreadsheetml/2009/9/main" objectType="CheckBox" fmlaLink="G30" lockText="1" noThreeD="1"/>
</file>

<file path=xl/ctrlProps/ctrlProp322.xml><?xml version="1.0" encoding="utf-8"?>
<formControlPr xmlns="http://schemas.microsoft.com/office/spreadsheetml/2009/9/main" objectType="CheckBox" fmlaLink="G31" lockText="1" noThreeD="1"/>
</file>

<file path=xl/ctrlProps/ctrlProp323.xml><?xml version="1.0" encoding="utf-8"?>
<formControlPr xmlns="http://schemas.microsoft.com/office/spreadsheetml/2009/9/main" objectType="CheckBox" checked="Checked" fmlaLink="L29" lockText="1" noThreeD="1"/>
</file>

<file path=xl/ctrlProps/ctrlProp324.xml><?xml version="1.0" encoding="utf-8"?>
<formControlPr xmlns="http://schemas.microsoft.com/office/spreadsheetml/2009/9/main" objectType="CheckBox" fmlaLink="L30" lockText="1" noThreeD="1"/>
</file>

<file path=xl/ctrlProps/ctrlProp325.xml><?xml version="1.0" encoding="utf-8"?>
<formControlPr xmlns="http://schemas.microsoft.com/office/spreadsheetml/2009/9/main" objectType="CheckBox" fmlaLink="B34"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4" lockText="1" noThreeD="1"/>
</file>

<file path=xl/ctrlProps/ctrlProp328.xml><?xml version="1.0" encoding="utf-8"?>
<formControlPr xmlns="http://schemas.microsoft.com/office/spreadsheetml/2009/9/main" objectType="CheckBox" checked="Checked" fmlaLink="B40" lockText="1" noThreeD="1"/>
</file>

<file path=xl/ctrlProps/ctrlProp329.xml><?xml version="1.0" encoding="utf-8"?>
<formControlPr xmlns="http://schemas.microsoft.com/office/spreadsheetml/2009/9/main" objectType="CheckBox" fmlaLink="G40" lockText="1" noThreeD="1"/>
</file>

<file path=xl/ctrlProps/ctrlProp330.xml><?xml version="1.0" encoding="utf-8"?>
<formControlPr xmlns="http://schemas.microsoft.com/office/spreadsheetml/2009/9/main" objectType="CheckBox" checked="Checked" fmlaLink="B35" lockText="1" noThreeD="1"/>
</file>

<file path=xl/ctrlProps/ctrlProp331.xml><?xml version="1.0" encoding="utf-8"?>
<formControlPr xmlns="http://schemas.microsoft.com/office/spreadsheetml/2009/9/main" objectType="CheckBox" fmlaLink="B18" lockText="1" noThreeD="1"/>
</file>

<file path=xl/ctrlProps/ctrlProp332.xml><?xml version="1.0" encoding="utf-8"?>
<formControlPr xmlns="http://schemas.microsoft.com/office/spreadsheetml/2009/9/main" objectType="CheckBox" fmlaLink="B9" lockText="1" noThreeD="1"/>
</file>

<file path=xl/ctrlProps/ctrlProp333.xml><?xml version="1.0" encoding="utf-8"?>
<formControlPr xmlns="http://schemas.microsoft.com/office/spreadsheetml/2009/9/main" objectType="CheckBox" checked="Checked" fmlaLink="G9" lockText="1" noThreeD="1"/>
</file>

<file path=xl/ctrlProps/ctrlProp334.xml><?xml version="1.0" encoding="utf-8"?>
<formControlPr xmlns="http://schemas.microsoft.com/office/spreadsheetml/2009/9/main" objectType="CheckBox" fmlaLink="G12" lockText="1" noThreeD="1"/>
</file>

<file path=xl/ctrlProps/ctrlProp335.xml><?xml version="1.0" encoding="utf-8"?>
<formControlPr xmlns="http://schemas.microsoft.com/office/spreadsheetml/2009/9/main" objectType="CheckBox" fmlaLink="G13" lockText="1" noThreeD="1"/>
</file>

<file path=xl/ctrlProps/ctrlProp336.xml><?xml version="1.0" encoding="utf-8"?>
<formControlPr xmlns="http://schemas.microsoft.com/office/spreadsheetml/2009/9/main" objectType="CheckBox" fmlaLink="G16" lockText="1" noThreeD="1"/>
</file>

<file path=xl/ctrlProps/ctrlProp337.xml><?xml version="1.0" encoding="utf-8"?>
<formControlPr xmlns="http://schemas.microsoft.com/office/spreadsheetml/2009/9/main" objectType="CheckBox" fmlaLink="G17" lockText="1" noThreeD="1"/>
</file>

<file path=xl/ctrlProps/ctrlProp338.xml><?xml version="1.0" encoding="utf-8"?>
<formControlPr xmlns="http://schemas.microsoft.com/office/spreadsheetml/2009/9/main" objectType="CheckBox" fmlaLink="L16" lockText="1" noThreeD="1"/>
</file>

<file path=xl/ctrlProps/ctrlProp339.xml><?xml version="1.0" encoding="utf-8"?>
<formControlPr xmlns="http://schemas.microsoft.com/office/spreadsheetml/2009/9/main" objectType="CheckBox" fmlaLink="L17" lockText="1" noThreeD="1"/>
</file>

<file path=xl/ctrlProps/ctrlProp340.xml><?xml version="1.0" encoding="utf-8"?>
<formControlPr xmlns="http://schemas.microsoft.com/office/spreadsheetml/2009/9/main" objectType="CheckBox" fmlaLink="B16" lockText="1" noThreeD="1"/>
</file>

<file path=xl/ctrlProps/ctrlProp341.xml><?xml version="1.0" encoding="utf-8"?>
<formControlPr xmlns="http://schemas.microsoft.com/office/spreadsheetml/2009/9/main" objectType="CheckBox" fmlaLink="B17" lockText="1" noThreeD="1"/>
</file>

<file path=xl/ctrlProps/ctrlProp342.xml><?xml version="1.0" encoding="utf-8"?>
<formControlPr xmlns="http://schemas.microsoft.com/office/spreadsheetml/2009/9/main" objectType="CheckBox" checked="Checked" fmlaLink="B12" lockText="1" noThreeD="1"/>
</file>

<file path=xl/ctrlProps/ctrlProp343.xml><?xml version="1.0" encoding="utf-8"?>
<formControlPr xmlns="http://schemas.microsoft.com/office/spreadsheetml/2009/9/main" objectType="CheckBox" fmlaLink="B13" lockText="1" noThreeD="1"/>
</file>

<file path=xl/ctrlProps/ctrlProp344.xml><?xml version="1.0" encoding="utf-8"?>
<formControlPr xmlns="http://schemas.microsoft.com/office/spreadsheetml/2009/9/main" objectType="CheckBox" fmlaLink="B21" lockText="1" noThreeD="1"/>
</file>

<file path=xl/ctrlProps/ctrlProp345.xml><?xml version="1.0" encoding="utf-8"?>
<formControlPr xmlns="http://schemas.microsoft.com/office/spreadsheetml/2009/9/main" objectType="CheckBox" fmlaLink="B25" lockText="1" noThreeD="1"/>
</file>

<file path=xl/ctrlProps/ctrlProp346.xml><?xml version="1.0" encoding="utf-8"?>
<formControlPr xmlns="http://schemas.microsoft.com/office/spreadsheetml/2009/9/main" objectType="CheckBox" fmlaLink="G25" lockText="1" noThreeD="1"/>
</file>

<file path=xl/ctrlProps/ctrlProp347.xml><?xml version="1.0" encoding="utf-8"?>
<formControlPr xmlns="http://schemas.microsoft.com/office/spreadsheetml/2009/9/main" objectType="CheckBox" fmlaLink="L25" lockText="1" noThreeD="1"/>
</file>

<file path=xl/ctrlProps/ctrlProp348.xml><?xml version="1.0" encoding="utf-8"?>
<formControlPr xmlns="http://schemas.microsoft.com/office/spreadsheetml/2009/9/main" objectType="CheckBox" fmlaLink="G21" lockText="1" noThreeD="1"/>
</file>

<file path=xl/ctrlProps/ctrlProp349.xml><?xml version="1.0" encoding="utf-8"?>
<formControlPr xmlns="http://schemas.microsoft.com/office/spreadsheetml/2009/9/main" objectType="CheckBox" fmlaLink="B29" lockText="1" noThreeD="1"/>
</file>

<file path=xl/ctrlProps/ctrlProp350.xml><?xml version="1.0" encoding="utf-8"?>
<formControlPr xmlns="http://schemas.microsoft.com/office/spreadsheetml/2009/9/main" objectType="CheckBox" fmlaLink="B30" lockText="1" noThreeD="1"/>
</file>

<file path=xl/ctrlProps/ctrlProp351.xml><?xml version="1.0" encoding="utf-8"?>
<formControlPr xmlns="http://schemas.microsoft.com/office/spreadsheetml/2009/9/main" objectType="CheckBox" fmlaLink="B31" lockText="1" noThreeD="1"/>
</file>

<file path=xl/ctrlProps/ctrlProp352.xml><?xml version="1.0" encoding="utf-8"?>
<formControlPr xmlns="http://schemas.microsoft.com/office/spreadsheetml/2009/9/main" objectType="CheckBox" fmlaLink="G29" lockText="1" noThreeD="1"/>
</file>

<file path=xl/ctrlProps/ctrlProp353.xml><?xml version="1.0" encoding="utf-8"?>
<formControlPr xmlns="http://schemas.microsoft.com/office/spreadsheetml/2009/9/main" objectType="CheckBox" fmlaLink="G30" lockText="1" noThreeD="1"/>
</file>

<file path=xl/ctrlProps/ctrlProp354.xml><?xml version="1.0" encoding="utf-8"?>
<formControlPr xmlns="http://schemas.microsoft.com/office/spreadsheetml/2009/9/main" objectType="CheckBox" checked="Checked" fmlaLink="G31" lockText="1" noThreeD="1"/>
</file>

<file path=xl/ctrlProps/ctrlProp355.xml><?xml version="1.0" encoding="utf-8"?>
<formControlPr xmlns="http://schemas.microsoft.com/office/spreadsheetml/2009/9/main" objectType="CheckBox" fmlaLink="L29" lockText="1" noThreeD="1"/>
</file>

<file path=xl/ctrlProps/ctrlProp356.xml><?xml version="1.0" encoding="utf-8"?>
<formControlPr xmlns="http://schemas.microsoft.com/office/spreadsheetml/2009/9/main" objectType="CheckBox" fmlaLink="L30" lockText="1" noThreeD="1"/>
</file>

<file path=xl/ctrlProps/ctrlProp357.xml><?xml version="1.0" encoding="utf-8"?>
<formControlPr xmlns="http://schemas.microsoft.com/office/spreadsheetml/2009/9/main" objectType="CheckBox" fmlaLink="B34" lockText="1" noThreeD="1"/>
</file>

<file path=xl/ctrlProps/ctrlProp358.xml><?xml version="1.0" encoding="utf-8"?>
<formControlPr xmlns="http://schemas.microsoft.com/office/spreadsheetml/2009/9/main" objectType="CheckBox" fmlaLink="G34" lockText="1" noThreeD="1"/>
</file>

<file path=xl/ctrlProps/ctrlProp359.xml><?xml version="1.0" encoding="utf-8"?>
<formControlPr xmlns="http://schemas.microsoft.com/office/spreadsheetml/2009/9/main" objectType="CheckBox" checked="Checked" fmlaLink="L34" lockText="1" noThreeD="1"/>
</file>

<file path=xl/ctrlProps/ctrlProp360.xml><?xml version="1.0" encoding="utf-8"?>
<formControlPr xmlns="http://schemas.microsoft.com/office/spreadsheetml/2009/9/main" objectType="CheckBox" fmlaLink="B40" lockText="1" noThreeD="1"/>
</file>

<file path=xl/ctrlProps/ctrlProp361.xml><?xml version="1.0" encoding="utf-8"?>
<formControlPr xmlns="http://schemas.microsoft.com/office/spreadsheetml/2009/9/main" objectType="CheckBox" checked="Checked" fmlaLink="G40" lockText="1" noThreeD="1"/>
</file>

<file path=xl/ctrlProps/ctrlProp362.xml><?xml version="1.0" encoding="utf-8"?>
<formControlPr xmlns="http://schemas.microsoft.com/office/spreadsheetml/2009/9/main" objectType="CheckBox" fmlaLink="B35" lockText="1" noThreeD="1"/>
</file>

<file path=xl/ctrlProps/ctrlProp363.xml><?xml version="1.0" encoding="utf-8"?>
<formControlPr xmlns="http://schemas.microsoft.com/office/spreadsheetml/2009/9/main" objectType="CheckBox" fmlaLink="B18" lockText="1" noThreeD="1"/>
</file>

<file path=xl/ctrlProps/ctrlProp364.xml><?xml version="1.0" encoding="utf-8"?>
<formControlPr xmlns="http://schemas.microsoft.com/office/spreadsheetml/2009/9/main" objectType="CheckBox" fmlaLink="B9" lockText="1" noThreeD="1"/>
</file>

<file path=xl/ctrlProps/ctrlProp365.xml><?xml version="1.0" encoding="utf-8"?>
<formControlPr xmlns="http://schemas.microsoft.com/office/spreadsheetml/2009/9/main" objectType="CheckBox"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fmlaLink="B25" lockText="1" noThreeD="1"/>
</file>

<file path=xl/ctrlProps/ctrlProp378.xml><?xml version="1.0" encoding="utf-8"?>
<formControlPr xmlns="http://schemas.microsoft.com/office/spreadsheetml/2009/9/main" objectType="CheckBox"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B30" lockText="1" noThreeD="1"/>
</file>

<file path=xl/ctrlProps/ctrlProp383.xml><?xml version="1.0" encoding="utf-8"?>
<formControlPr xmlns="http://schemas.microsoft.com/office/spreadsheetml/2009/9/main" objectType="CheckBox" fmlaLink="B31" lockText="1" noThreeD="1"/>
</file>

<file path=xl/ctrlProps/ctrlProp384.xml><?xml version="1.0" encoding="utf-8"?>
<formControlPr xmlns="http://schemas.microsoft.com/office/spreadsheetml/2009/9/main" objectType="CheckBox" fmlaLink="G29" lockText="1" noThreeD="1"/>
</file>

<file path=xl/ctrlProps/ctrlProp385.xml><?xml version="1.0" encoding="utf-8"?>
<formControlPr xmlns="http://schemas.microsoft.com/office/spreadsheetml/2009/9/main" objectType="CheckBox" fmlaLink="G30" lockText="1" noThreeD="1"/>
</file>

<file path=xl/ctrlProps/ctrlProp386.xml><?xml version="1.0" encoding="utf-8"?>
<formControlPr xmlns="http://schemas.microsoft.com/office/spreadsheetml/2009/9/main" objectType="CheckBox" fmlaLink="G31" lockText="1" noThreeD="1"/>
</file>

<file path=xl/ctrlProps/ctrlProp387.xml><?xml version="1.0" encoding="utf-8"?>
<formControlPr xmlns="http://schemas.microsoft.com/office/spreadsheetml/2009/9/main" objectType="CheckBox" fmlaLink="L29" lockText="1" noThreeD="1"/>
</file>

<file path=xl/ctrlProps/ctrlProp388.xml><?xml version="1.0" encoding="utf-8"?>
<formControlPr xmlns="http://schemas.microsoft.com/office/spreadsheetml/2009/9/main" objectType="CheckBox" fmlaLink="L30" lockText="1" noThreeD="1"/>
</file>

<file path=xl/ctrlProps/ctrlProp389.xml><?xml version="1.0" encoding="utf-8"?>
<formControlPr xmlns="http://schemas.microsoft.com/office/spreadsheetml/2009/9/main" objectType="CheckBox" fmlaLink="B34" lockText="1" noThreeD="1"/>
</file>

<file path=xl/ctrlProps/ctrlProp390.xml><?xml version="1.0" encoding="utf-8"?>
<formControlPr xmlns="http://schemas.microsoft.com/office/spreadsheetml/2009/9/main" objectType="CheckBox" fmlaLink="G34" lockText="1" noThreeD="1"/>
</file>

<file path=xl/ctrlProps/ctrlProp391.xml><?xml version="1.0" encoding="utf-8"?>
<formControlPr xmlns="http://schemas.microsoft.com/office/spreadsheetml/2009/9/main" objectType="CheckBox" fmlaLink="L34" lockText="1" noThreeD="1"/>
</file>

<file path=xl/ctrlProps/ctrlProp392.xml><?xml version="1.0" encoding="utf-8"?>
<formControlPr xmlns="http://schemas.microsoft.com/office/spreadsheetml/2009/9/main" objectType="CheckBox" fmlaLink="B40" lockText="1" noThreeD="1"/>
</file>

<file path=xl/ctrlProps/ctrlProp393.xml><?xml version="1.0" encoding="utf-8"?>
<formControlPr xmlns="http://schemas.microsoft.com/office/spreadsheetml/2009/9/main" objectType="CheckBox" fmlaLink="G40" lockText="1" noThreeD="1"/>
</file>

<file path=xl/ctrlProps/ctrlProp394.xml><?xml version="1.0" encoding="utf-8"?>
<formControlPr xmlns="http://schemas.microsoft.com/office/spreadsheetml/2009/9/main" objectType="CheckBox" fmlaLink="B35" lockText="1" noThreeD="1"/>
</file>

<file path=xl/ctrlProps/ctrlProp395.xml><?xml version="1.0" encoding="utf-8"?>
<formControlPr xmlns="http://schemas.microsoft.com/office/spreadsheetml/2009/9/main" objectType="CheckBox" fmlaLink="B18" lockText="1" noThreeD="1"/>
</file>

<file path=xl/ctrlProps/ctrlProp396.xml><?xml version="1.0" encoding="utf-8"?>
<formControlPr xmlns="http://schemas.microsoft.com/office/spreadsheetml/2009/9/main" objectType="CheckBox" fmlaLink="B9" lockText="1" noThreeD="1"/>
</file>

<file path=xl/ctrlProps/ctrlProp397.xml><?xml version="1.0" encoding="utf-8"?>
<formControlPr xmlns="http://schemas.microsoft.com/office/spreadsheetml/2009/9/main" objectType="CheckBox" fmlaLink="G9" lockText="1" noThreeD="1"/>
</file>

<file path=xl/ctrlProps/ctrlProp398.xml><?xml version="1.0" encoding="utf-8"?>
<formControlPr xmlns="http://schemas.microsoft.com/office/spreadsheetml/2009/9/main" objectType="CheckBox" fmlaLink="G12" lockText="1" noThreeD="1"/>
</file>

<file path=xl/ctrlProps/ctrlProp399.xml><?xml version="1.0" encoding="utf-8"?>
<formControlPr xmlns="http://schemas.microsoft.com/office/spreadsheetml/2009/9/main" objectType="CheckBox" fmlaLink="G13" lockText="1" noThreeD="1"/>
</file>

<file path=xl/ctrlProps/ctrlProp400.xml><?xml version="1.0" encoding="utf-8"?>
<formControlPr xmlns="http://schemas.microsoft.com/office/spreadsheetml/2009/9/main" objectType="CheckBox" fmlaLink="G16" lockText="1" noThreeD="1"/>
</file>

<file path=xl/ctrlProps/ctrlProp401.xml><?xml version="1.0" encoding="utf-8"?>
<formControlPr xmlns="http://schemas.microsoft.com/office/spreadsheetml/2009/9/main" objectType="CheckBox" fmlaLink="G17" lockText="1" noThreeD="1"/>
</file>

<file path=xl/ctrlProps/ctrlProp402.xml><?xml version="1.0" encoding="utf-8"?>
<formControlPr xmlns="http://schemas.microsoft.com/office/spreadsheetml/2009/9/main" objectType="CheckBox" fmlaLink="L16" lockText="1" noThreeD="1"/>
</file>

<file path=xl/ctrlProps/ctrlProp403.xml><?xml version="1.0" encoding="utf-8"?>
<formControlPr xmlns="http://schemas.microsoft.com/office/spreadsheetml/2009/9/main" objectType="CheckBox" fmlaLink="L17" lockText="1" noThreeD="1"/>
</file>

<file path=xl/ctrlProps/ctrlProp404.xml><?xml version="1.0" encoding="utf-8"?>
<formControlPr xmlns="http://schemas.microsoft.com/office/spreadsheetml/2009/9/main" objectType="CheckBox" fmlaLink="B16" lockText="1" noThreeD="1"/>
</file>

<file path=xl/ctrlProps/ctrlProp405.xml><?xml version="1.0" encoding="utf-8"?>
<formControlPr xmlns="http://schemas.microsoft.com/office/spreadsheetml/2009/9/main" objectType="CheckBox" fmlaLink="B17" lockText="1" noThreeD="1"/>
</file>

<file path=xl/ctrlProps/ctrlProp406.xml><?xml version="1.0" encoding="utf-8"?>
<formControlPr xmlns="http://schemas.microsoft.com/office/spreadsheetml/2009/9/main" objectType="CheckBox" fmlaLink="B12" lockText="1" noThreeD="1"/>
</file>

<file path=xl/ctrlProps/ctrlProp407.xml><?xml version="1.0" encoding="utf-8"?>
<formControlPr xmlns="http://schemas.microsoft.com/office/spreadsheetml/2009/9/main" objectType="CheckBox" fmlaLink="B13" lockText="1" noThreeD="1"/>
</file>

<file path=xl/ctrlProps/ctrlProp408.xml><?xml version="1.0" encoding="utf-8"?>
<formControlPr xmlns="http://schemas.microsoft.com/office/spreadsheetml/2009/9/main" objectType="CheckBox" fmlaLink="B21" lockText="1" noThreeD="1"/>
</file>

<file path=xl/ctrlProps/ctrlProp409.xml><?xml version="1.0" encoding="utf-8"?>
<formControlPr xmlns="http://schemas.microsoft.com/office/spreadsheetml/2009/9/main" objectType="CheckBox" fmlaLink="B25" lockText="1" noThreeD="1"/>
</file>

<file path=xl/ctrlProps/ctrlProp410.xml><?xml version="1.0" encoding="utf-8"?>
<formControlPr xmlns="http://schemas.microsoft.com/office/spreadsheetml/2009/9/main" objectType="CheckBox" fmlaLink="G25" lockText="1" noThreeD="1"/>
</file>

<file path=xl/ctrlProps/ctrlProp411.xml><?xml version="1.0" encoding="utf-8"?>
<formControlPr xmlns="http://schemas.microsoft.com/office/spreadsheetml/2009/9/main" objectType="CheckBox" fmlaLink="L25" lockText="1" noThreeD="1"/>
</file>

<file path=xl/ctrlProps/ctrlProp412.xml><?xml version="1.0" encoding="utf-8"?>
<formControlPr xmlns="http://schemas.microsoft.com/office/spreadsheetml/2009/9/main" objectType="CheckBox" fmlaLink="G21" lockText="1" noThreeD="1"/>
</file>

<file path=xl/ctrlProps/ctrlProp413.xml><?xml version="1.0" encoding="utf-8"?>
<formControlPr xmlns="http://schemas.microsoft.com/office/spreadsheetml/2009/9/main" objectType="CheckBox" fmlaLink="B29" lockText="1" noThreeD="1"/>
</file>

<file path=xl/ctrlProps/ctrlProp414.xml><?xml version="1.0" encoding="utf-8"?>
<formControlPr xmlns="http://schemas.microsoft.com/office/spreadsheetml/2009/9/main" objectType="CheckBox" fmlaLink="B30" lockText="1" noThreeD="1"/>
</file>

<file path=xl/ctrlProps/ctrlProp415.xml><?xml version="1.0" encoding="utf-8"?>
<formControlPr xmlns="http://schemas.microsoft.com/office/spreadsheetml/2009/9/main" objectType="CheckBox" fmlaLink="B31" lockText="1" noThreeD="1"/>
</file>

<file path=xl/ctrlProps/ctrlProp416.xml><?xml version="1.0" encoding="utf-8"?>
<formControlPr xmlns="http://schemas.microsoft.com/office/spreadsheetml/2009/9/main" objectType="CheckBox" fmlaLink="G29" lockText="1" noThreeD="1"/>
</file>

<file path=xl/ctrlProps/ctrlProp417.xml><?xml version="1.0" encoding="utf-8"?>
<formControlPr xmlns="http://schemas.microsoft.com/office/spreadsheetml/2009/9/main" objectType="CheckBox" fmlaLink="G30" lockText="1" noThreeD="1"/>
</file>

<file path=xl/ctrlProps/ctrlProp418.xml><?xml version="1.0" encoding="utf-8"?>
<formControlPr xmlns="http://schemas.microsoft.com/office/spreadsheetml/2009/9/main" objectType="CheckBox" fmlaLink="G31" lockText="1" noThreeD="1"/>
</file>

<file path=xl/ctrlProps/ctrlProp419.xml><?xml version="1.0" encoding="utf-8"?>
<formControlPr xmlns="http://schemas.microsoft.com/office/spreadsheetml/2009/9/main" objectType="CheckBox" fmlaLink="L29" lockText="1" noThreeD="1"/>
</file>

<file path=xl/ctrlProps/ctrlProp420.xml><?xml version="1.0" encoding="utf-8"?>
<formControlPr xmlns="http://schemas.microsoft.com/office/spreadsheetml/2009/9/main" objectType="CheckBox" fmlaLink="L30" lockText="1" noThreeD="1"/>
</file>

<file path=xl/ctrlProps/ctrlProp421.xml><?xml version="1.0" encoding="utf-8"?>
<formControlPr xmlns="http://schemas.microsoft.com/office/spreadsheetml/2009/9/main" objectType="CheckBox" fmlaLink="B34"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4" lockText="1" noThreeD="1"/>
</file>

<file path=xl/ctrlProps/ctrlProp424.xml><?xml version="1.0" encoding="utf-8"?>
<formControlPr xmlns="http://schemas.microsoft.com/office/spreadsheetml/2009/9/main" objectType="CheckBox" fmlaLink="B40" lockText="1" noThreeD="1"/>
</file>

<file path=xl/ctrlProps/ctrlProp425.xml><?xml version="1.0" encoding="utf-8"?>
<formControlPr xmlns="http://schemas.microsoft.com/office/spreadsheetml/2009/9/main" objectType="CheckBox" fmlaLink="G40" lockText="1" noThreeD="1"/>
</file>

<file path=xl/ctrlProps/ctrlProp426.xml><?xml version="1.0" encoding="utf-8"?>
<formControlPr xmlns="http://schemas.microsoft.com/office/spreadsheetml/2009/9/main" objectType="CheckBox" fmlaLink="B35" lockText="1" noThreeD="1"/>
</file>

<file path=xl/ctrlProps/ctrlProp427.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 xmlns:a16="http://schemas.microsoft.com/office/drawing/2014/main"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7090" name="Check Box 50" hidden="1">
              <a:extLst>
                <a:ext uri="{63B3BB69-23CF-44E3-9099-C40C66FF867C}">
                  <a14:compatExt spid="_x0000_s870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7091" name="Check Box 51" hidden="1">
              <a:extLst>
                <a:ext uri="{63B3BB69-23CF-44E3-9099-C40C66FF867C}">
                  <a14:compatExt spid="_x0000_s870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87092" name="Check Box 52" hidden="1">
              <a:extLst>
                <a:ext uri="{63B3BB69-23CF-44E3-9099-C40C66FF867C}">
                  <a14:compatExt spid="_x0000_s870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87093" name="Check Box 53" hidden="1">
              <a:extLst>
                <a:ext uri="{63B3BB69-23CF-44E3-9099-C40C66FF867C}">
                  <a14:compatExt spid="_x0000_s870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87094" name="Check Box 54" hidden="1">
              <a:extLst>
                <a:ext uri="{63B3BB69-23CF-44E3-9099-C40C66FF867C}">
                  <a14:compatExt spid="_x0000_s870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87095" name="Check Box 55" hidden="1">
              <a:extLst>
                <a:ext uri="{63B3BB69-23CF-44E3-9099-C40C66FF867C}">
                  <a14:compatExt spid="_x0000_s870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87096" name="Check Box 56" hidden="1">
              <a:extLst>
                <a:ext uri="{63B3BB69-23CF-44E3-9099-C40C66FF867C}">
                  <a14:compatExt spid="_x0000_s870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87097" name="Check Box 57" hidden="1">
              <a:extLst>
                <a:ext uri="{63B3BB69-23CF-44E3-9099-C40C66FF867C}">
                  <a14:compatExt spid="_x0000_s870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87098" name="Check Box 58" hidden="1">
              <a:extLst>
                <a:ext uri="{63B3BB69-23CF-44E3-9099-C40C66FF867C}">
                  <a14:compatExt spid="_x0000_s870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49</xdr:row>
          <xdr:rowOff>19050</xdr:rowOff>
        </xdr:to>
        <xdr:sp macro="" textlink="">
          <xdr:nvSpPr>
            <xdr:cNvPr id="87099" name="Check Box 59" hidden="1">
              <a:extLst>
                <a:ext uri="{63B3BB69-23CF-44E3-9099-C40C66FF867C}">
                  <a14:compatExt spid="_x0000_s870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19050</xdr:rowOff>
        </xdr:to>
        <xdr:sp macro="" textlink="">
          <xdr:nvSpPr>
            <xdr:cNvPr id="87100" name="Check Box 60" hidden="1">
              <a:extLst>
                <a:ext uri="{63B3BB69-23CF-44E3-9099-C40C66FF867C}">
                  <a14:compatExt spid="_x0000_s87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295275</xdr:colOff>
          <xdr:row>53</xdr:row>
          <xdr:rowOff>19050</xdr:rowOff>
        </xdr:to>
        <xdr:sp macro="" textlink="">
          <xdr:nvSpPr>
            <xdr:cNvPr id="87101" name="Check Box 61" hidden="1">
              <a:extLst>
                <a:ext uri="{63B3BB69-23CF-44E3-9099-C40C66FF867C}">
                  <a14:compatExt spid="_x0000_s87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1</xdr:col>
          <xdr:colOff>295275</xdr:colOff>
          <xdr:row>53</xdr:row>
          <xdr:rowOff>19050</xdr:rowOff>
        </xdr:to>
        <xdr:sp macro="" textlink="">
          <xdr:nvSpPr>
            <xdr:cNvPr id="87102" name="Check Box 62" hidden="1">
              <a:extLst>
                <a:ext uri="{63B3BB69-23CF-44E3-9099-C40C66FF867C}">
                  <a14:compatExt spid="_x0000_s871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87103" name="Check Box 63" hidden="1">
              <a:extLst>
                <a:ext uri="{63B3BB69-23CF-44E3-9099-C40C66FF867C}">
                  <a14:compatExt spid="_x0000_s871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87104" name="Check Box 64" hidden="1">
              <a:extLst>
                <a:ext uri="{63B3BB69-23CF-44E3-9099-C40C66FF867C}">
                  <a14:compatExt spid="_x0000_s871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64</xdr:row>
          <xdr:rowOff>19050</xdr:rowOff>
        </xdr:to>
        <xdr:sp macro="" textlink="">
          <xdr:nvSpPr>
            <xdr:cNvPr id="87105" name="Check Box 65" hidden="1">
              <a:extLst>
                <a:ext uri="{63B3BB69-23CF-44E3-9099-C40C66FF867C}">
                  <a14:compatExt spid="_x0000_s871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 xmlns:a16="http://schemas.microsoft.com/office/drawing/2014/main"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 xmlns:a16="http://schemas.microsoft.com/office/drawing/2014/main"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 xmlns:a16="http://schemas.microsoft.com/office/drawing/2014/main"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 xmlns:a16="http://schemas.microsoft.com/office/drawing/2014/main"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 xmlns:a16="http://schemas.microsoft.com/office/drawing/2014/main"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 xmlns:a16="http://schemas.microsoft.com/office/drawing/2014/main"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 xmlns:a16="http://schemas.microsoft.com/office/drawing/2014/main"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 xmlns:a16="http://schemas.microsoft.com/office/drawing/2014/main"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 xmlns:a16="http://schemas.microsoft.com/office/drawing/2014/main"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 xmlns:a16="http://schemas.microsoft.com/office/drawing/2014/main"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 xmlns:a16="http://schemas.microsoft.com/office/drawing/2014/main"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 xmlns:a16="http://schemas.microsoft.com/office/drawing/2014/main"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 xmlns:a16="http://schemas.microsoft.com/office/drawing/2014/main"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 xmlns:a16="http://schemas.microsoft.com/office/drawing/2014/main"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 xmlns:a16="http://schemas.microsoft.com/office/drawing/2014/main"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 xmlns:a16="http://schemas.microsoft.com/office/drawing/2014/main"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 xmlns:a16="http://schemas.microsoft.com/office/drawing/2014/main"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 xmlns:a16="http://schemas.microsoft.com/office/drawing/2014/main"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 xmlns:a16="http://schemas.microsoft.com/office/drawing/2014/main"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 xmlns:a16="http://schemas.microsoft.com/office/drawing/2014/main"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 xmlns:a16="http://schemas.microsoft.com/office/drawing/2014/main"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 xmlns:a16="http://schemas.microsoft.com/office/drawing/2014/main"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 xmlns:a16="http://schemas.microsoft.com/office/drawing/2014/main"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 xmlns:a16="http://schemas.microsoft.com/office/drawing/2014/main"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 xmlns:a16="http://schemas.microsoft.com/office/drawing/2014/main"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 xmlns:a16="http://schemas.microsoft.com/office/drawing/2014/main"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 xmlns:a16="http://schemas.microsoft.com/office/drawing/2014/main"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 xmlns:a16="http://schemas.microsoft.com/office/drawing/2014/main"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 xmlns:a16="http://schemas.microsoft.com/office/drawing/2014/main"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 xmlns:a16="http://schemas.microsoft.com/office/drawing/2014/main"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 xmlns:a16="http://schemas.microsoft.com/office/drawing/2014/main"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 xmlns:a16="http://schemas.microsoft.com/office/drawing/2014/main"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 xmlns:a16="http://schemas.microsoft.com/office/drawing/2014/main"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 xmlns:a16="http://schemas.microsoft.com/office/drawing/2014/main"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 xmlns:a16="http://schemas.microsoft.com/office/drawing/2014/main"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 xmlns:a16="http://schemas.microsoft.com/office/drawing/2014/main"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 xmlns:a16="http://schemas.microsoft.com/office/drawing/2014/main"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 xmlns:a16="http://schemas.microsoft.com/office/drawing/2014/main"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 xmlns:a16="http://schemas.microsoft.com/office/drawing/2014/main"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 xmlns:a16="http://schemas.microsoft.com/office/drawing/2014/main"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 xmlns:a16="http://schemas.microsoft.com/office/drawing/2014/main"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 xmlns:a16="http://schemas.microsoft.com/office/drawing/2014/main"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 xmlns:a16="http://schemas.microsoft.com/office/drawing/2014/main"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 xmlns:a16="http://schemas.microsoft.com/office/drawing/2014/main"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 xmlns:a16="http://schemas.microsoft.com/office/drawing/2014/main"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 xmlns:a16="http://schemas.microsoft.com/office/drawing/2014/main"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 xmlns:a16="http://schemas.microsoft.com/office/drawing/2014/main"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 xmlns:a16="http://schemas.microsoft.com/office/drawing/2014/main"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 xmlns:a16="http://schemas.microsoft.com/office/drawing/2014/main"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 xmlns:a16="http://schemas.microsoft.com/office/drawing/2014/main"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 xmlns:a16="http://schemas.microsoft.com/office/drawing/2014/main"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 xmlns:a16="http://schemas.microsoft.com/office/drawing/2014/main"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 xmlns:a16="http://schemas.microsoft.com/office/drawing/2014/main"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 xmlns:a16="http://schemas.microsoft.com/office/drawing/2014/main"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 xmlns:a16="http://schemas.microsoft.com/office/drawing/2014/main"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 xmlns:a16="http://schemas.microsoft.com/office/drawing/2014/main"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 xmlns:a16="http://schemas.microsoft.com/office/drawing/2014/main"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 xmlns:a16="http://schemas.microsoft.com/office/drawing/2014/main"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 xmlns:a16="http://schemas.microsoft.com/office/drawing/2014/main"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 xmlns:a16="http://schemas.microsoft.com/office/drawing/2014/main"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 xmlns:a16="http://schemas.microsoft.com/office/drawing/2014/main"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 xmlns:a16="http://schemas.microsoft.com/office/drawing/2014/main"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 xmlns:a16="http://schemas.microsoft.com/office/drawing/2014/main"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 xmlns:a16="http://schemas.microsoft.com/office/drawing/2014/main"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 xmlns:a16="http://schemas.microsoft.com/office/drawing/2014/main"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 xmlns:a16="http://schemas.microsoft.com/office/drawing/2014/main"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 xmlns:a16="http://schemas.microsoft.com/office/drawing/2014/main"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 xmlns:a16="http://schemas.microsoft.com/office/drawing/2014/main"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 xmlns:a16="http://schemas.microsoft.com/office/drawing/2014/main"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 xmlns:a16="http://schemas.microsoft.com/office/drawing/2014/main"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 xmlns:a16="http://schemas.microsoft.com/office/drawing/2014/main"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 xmlns:a16="http://schemas.microsoft.com/office/drawing/2014/main"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 xmlns:a16="http://schemas.microsoft.com/office/drawing/2014/main"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 xmlns:a16="http://schemas.microsoft.com/office/drawing/2014/main"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 xmlns:a16="http://schemas.microsoft.com/office/drawing/2014/main"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 xmlns:a16="http://schemas.microsoft.com/office/drawing/2014/main"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 xmlns:a16="http://schemas.microsoft.com/office/drawing/2014/main"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 xmlns:a16="http://schemas.microsoft.com/office/drawing/2014/main"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 xmlns:a16="http://schemas.microsoft.com/office/drawing/2014/main"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 xmlns:a16="http://schemas.microsoft.com/office/drawing/2014/main"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 xmlns:a16="http://schemas.microsoft.com/office/drawing/2014/main"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 xmlns:a16="http://schemas.microsoft.com/office/drawing/2014/main"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 xmlns:a16="http://schemas.microsoft.com/office/drawing/2014/main"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 xmlns:a16="http://schemas.microsoft.com/office/drawing/2014/main"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 xmlns:a16="http://schemas.microsoft.com/office/drawing/2014/main"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 xmlns:a16="http://schemas.microsoft.com/office/drawing/2014/main"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 xmlns:a16="http://schemas.microsoft.com/office/drawing/2014/main"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 xmlns:a16="http://schemas.microsoft.com/office/drawing/2014/main"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 xmlns:a16="http://schemas.microsoft.com/office/drawing/2014/main"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 xmlns:a16="http://schemas.microsoft.com/office/drawing/2014/main"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 xmlns:a16="http://schemas.microsoft.com/office/drawing/2014/main"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 xmlns:a16="http://schemas.microsoft.com/office/drawing/2014/main"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 xmlns:a16="http://schemas.microsoft.com/office/drawing/2014/main"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 xmlns:a16="http://schemas.microsoft.com/office/drawing/2014/main"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 xmlns:a16="http://schemas.microsoft.com/office/drawing/2014/main"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 xmlns:a16="http://schemas.microsoft.com/office/drawing/2014/main"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 xmlns:a16="http://schemas.microsoft.com/office/drawing/2014/main"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 xmlns:a16="http://schemas.microsoft.com/office/drawing/2014/main"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 xmlns:a16="http://schemas.microsoft.com/office/drawing/2014/main"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 xmlns:a16="http://schemas.microsoft.com/office/drawing/2014/main"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 xmlns:a16="http://schemas.microsoft.com/office/drawing/2014/main"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 xmlns:a16="http://schemas.microsoft.com/office/drawing/2014/main"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 xmlns:a16="http://schemas.microsoft.com/office/drawing/2014/main"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 xmlns:a16="http://schemas.microsoft.com/office/drawing/2014/main"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 xmlns:a16="http://schemas.microsoft.com/office/drawing/2014/main"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 xmlns:a16="http://schemas.microsoft.com/office/drawing/2014/main"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 xmlns:a16="http://schemas.microsoft.com/office/drawing/2014/main"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 xmlns:a16="http://schemas.microsoft.com/office/drawing/2014/main"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 xmlns:a16="http://schemas.microsoft.com/office/drawing/2014/main"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 xmlns:a16="http://schemas.microsoft.com/office/drawing/2014/main"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 xmlns:a16="http://schemas.microsoft.com/office/drawing/2014/main"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 xmlns:a16="http://schemas.microsoft.com/office/drawing/2014/main"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 xmlns:a16="http://schemas.microsoft.com/office/drawing/2014/main"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 xmlns:a16="http://schemas.microsoft.com/office/drawing/2014/main"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 xmlns:a16="http://schemas.microsoft.com/office/drawing/2014/main"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 xmlns:a16="http://schemas.microsoft.com/office/drawing/2014/main"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 xmlns:a16="http://schemas.microsoft.com/office/drawing/2014/main"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 xmlns:a16="http://schemas.microsoft.com/office/drawing/2014/main"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 xmlns:a16="http://schemas.microsoft.com/office/drawing/2014/main"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 xmlns:a16="http://schemas.microsoft.com/office/drawing/2014/main"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 xmlns:a16="http://schemas.microsoft.com/office/drawing/2014/main"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 xmlns:a16="http://schemas.microsoft.com/office/drawing/2014/main"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 xmlns:a16="http://schemas.microsoft.com/office/drawing/2014/main"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 xmlns:a16="http://schemas.microsoft.com/office/drawing/2014/main"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 xmlns:a16="http://schemas.microsoft.com/office/drawing/2014/main"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 xmlns:a16="http://schemas.microsoft.com/office/drawing/2014/main"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 xmlns:a16="http://schemas.microsoft.com/office/drawing/2014/main"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 xmlns:a16="http://schemas.microsoft.com/office/drawing/2014/main"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 xmlns:a16="http://schemas.microsoft.com/office/drawing/2014/main"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 xmlns:a16="http://schemas.microsoft.com/office/drawing/2014/main"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 xmlns:a16="http://schemas.microsoft.com/office/drawing/2014/main"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 xmlns:a16="http://schemas.microsoft.com/office/drawing/2014/main"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 xmlns:a16="http://schemas.microsoft.com/office/drawing/2014/main"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 xmlns:a16="http://schemas.microsoft.com/office/drawing/2014/main"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 xmlns:a16="http://schemas.microsoft.com/office/drawing/2014/main"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 xmlns:a16="http://schemas.microsoft.com/office/drawing/2014/main"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 xmlns:a16="http://schemas.microsoft.com/office/drawing/2014/main"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 xmlns:a16="http://schemas.microsoft.com/office/drawing/2014/main"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 xmlns:a16="http://schemas.microsoft.com/office/drawing/2014/main"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 xmlns:a16="http://schemas.microsoft.com/office/drawing/2014/main"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 xmlns:a16="http://schemas.microsoft.com/office/drawing/2014/main"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 xmlns:a16="http://schemas.microsoft.com/office/drawing/2014/main"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 xmlns:a16="http://schemas.microsoft.com/office/drawing/2014/main"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 xmlns:a16="http://schemas.microsoft.com/office/drawing/2014/main"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 xmlns:a16="http://schemas.microsoft.com/office/drawing/2014/main"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 xmlns:a16="http://schemas.microsoft.com/office/drawing/2014/main"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 xmlns:a16="http://schemas.microsoft.com/office/drawing/2014/main"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 xmlns:a16="http://schemas.microsoft.com/office/drawing/2014/main"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 xmlns:a16="http://schemas.microsoft.com/office/drawing/2014/main"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 xmlns:a16="http://schemas.microsoft.com/office/drawing/2014/main"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 xmlns:a16="http://schemas.microsoft.com/office/drawing/2014/main"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 xmlns:a16="http://schemas.microsoft.com/office/drawing/2014/main"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 xmlns:a16="http://schemas.microsoft.com/office/drawing/2014/main"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 xmlns:a16="http://schemas.microsoft.com/office/drawing/2014/main"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 xmlns:a16="http://schemas.microsoft.com/office/drawing/2014/main"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 xmlns:a16="http://schemas.microsoft.com/office/drawing/2014/main"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 xmlns:a16="http://schemas.microsoft.com/office/drawing/2014/main"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 xmlns:a16="http://schemas.microsoft.com/office/drawing/2014/main"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 xmlns:a16="http://schemas.microsoft.com/office/drawing/2014/main"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 xmlns:a16="http://schemas.microsoft.com/office/drawing/2014/main"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 xmlns:a16="http://schemas.microsoft.com/office/drawing/2014/main"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 xmlns:a16="http://schemas.microsoft.com/office/drawing/2014/main"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 xmlns:a16="http://schemas.microsoft.com/office/drawing/2014/main"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 xmlns:a16="http://schemas.microsoft.com/office/drawing/2014/main"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 xmlns:a16="http://schemas.microsoft.com/office/drawing/2014/main"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 xmlns:a16="http://schemas.microsoft.com/office/drawing/2014/main"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 xmlns:a16="http://schemas.microsoft.com/office/drawing/2014/main"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 xmlns:a16="http://schemas.microsoft.com/office/drawing/2014/main"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 xmlns:a16="http://schemas.microsoft.com/office/drawing/2014/main"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 xmlns:a16="http://schemas.microsoft.com/office/drawing/2014/main"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 xmlns:a16="http://schemas.microsoft.com/office/drawing/2014/main"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 xmlns:a16="http://schemas.microsoft.com/office/drawing/2014/main"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 xmlns:a16="http://schemas.microsoft.com/office/drawing/2014/main"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 xmlns:a16="http://schemas.microsoft.com/office/drawing/2014/main"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 xmlns:a16="http://schemas.microsoft.com/office/drawing/2014/main"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 xmlns:a16="http://schemas.microsoft.com/office/drawing/2014/main"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 xmlns:a16="http://schemas.microsoft.com/office/drawing/2014/main"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 xmlns:a16="http://schemas.microsoft.com/office/drawing/2014/main"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 xmlns:a16="http://schemas.microsoft.com/office/drawing/2014/main"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 xmlns:a16="http://schemas.microsoft.com/office/drawing/2014/main"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 xmlns:a16="http://schemas.microsoft.com/office/drawing/2014/main"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 xmlns:a16="http://schemas.microsoft.com/office/drawing/2014/main"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 xmlns:a16="http://schemas.microsoft.com/office/drawing/2014/main"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 xmlns:a16="http://schemas.microsoft.com/office/drawing/2014/main"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 xmlns:a16="http://schemas.microsoft.com/office/drawing/2014/main"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 xmlns:a16="http://schemas.microsoft.com/office/drawing/2014/main"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 xmlns:a16="http://schemas.microsoft.com/office/drawing/2014/main"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 xmlns:a16="http://schemas.microsoft.com/office/drawing/2014/main"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 xmlns:a16="http://schemas.microsoft.com/office/drawing/2014/main"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 xmlns:a16="http://schemas.microsoft.com/office/drawing/2014/main"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 xmlns:a16="http://schemas.microsoft.com/office/drawing/2014/main"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 xmlns:a16="http://schemas.microsoft.com/office/drawing/2014/main"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 xmlns:a16="http://schemas.microsoft.com/office/drawing/2014/main"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 xmlns:a16="http://schemas.microsoft.com/office/drawing/2014/main"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 xmlns:a16="http://schemas.microsoft.com/office/drawing/2014/main"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 xmlns:a16="http://schemas.microsoft.com/office/drawing/2014/main"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 xmlns:a16="http://schemas.microsoft.com/office/drawing/2014/main"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 xmlns:a16="http://schemas.microsoft.com/office/drawing/2014/main"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 xmlns:a16="http://schemas.microsoft.com/office/drawing/2014/main"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 xmlns:a16="http://schemas.microsoft.com/office/drawing/2014/main"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 xmlns:a16="http://schemas.microsoft.com/office/drawing/2014/main"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 xmlns:a16="http://schemas.microsoft.com/office/drawing/2014/main"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 xmlns:a16="http://schemas.microsoft.com/office/drawing/2014/main"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 xmlns:a16="http://schemas.microsoft.com/office/drawing/2014/main"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 xmlns:a16="http://schemas.microsoft.com/office/drawing/2014/main"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 xmlns:a16="http://schemas.microsoft.com/office/drawing/2014/main"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 xmlns:a16="http://schemas.microsoft.com/office/drawing/2014/main"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 xmlns:a16="http://schemas.microsoft.com/office/drawing/2014/main"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 xmlns:a16="http://schemas.microsoft.com/office/drawing/2014/main"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 xmlns:a16="http://schemas.microsoft.com/office/drawing/2014/main"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 xmlns:a16="http://schemas.microsoft.com/office/drawing/2014/main"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 xmlns:a16="http://schemas.microsoft.com/office/drawing/2014/main"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 xmlns:a16="http://schemas.microsoft.com/office/drawing/2014/main"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 xmlns:a16="http://schemas.microsoft.com/office/drawing/2014/main"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 xmlns:a16="http://schemas.microsoft.com/office/drawing/2014/main"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 xmlns:a16="http://schemas.microsoft.com/office/drawing/2014/main"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 xmlns:a16="http://schemas.microsoft.com/office/drawing/2014/main"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 xmlns:a16="http://schemas.microsoft.com/office/drawing/2014/main"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 xmlns:a16="http://schemas.microsoft.com/office/drawing/2014/main"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 xmlns:a16="http://schemas.microsoft.com/office/drawing/2014/main"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 xmlns:a16="http://schemas.microsoft.com/office/drawing/2014/main"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 xmlns:a16="http://schemas.microsoft.com/office/drawing/2014/main"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 xmlns:a16="http://schemas.microsoft.com/office/drawing/2014/main"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 xmlns:a16="http://schemas.microsoft.com/office/drawing/2014/main"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 xmlns:a16="http://schemas.microsoft.com/office/drawing/2014/main"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 xmlns:a16="http://schemas.microsoft.com/office/drawing/2014/main"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 xmlns:a16="http://schemas.microsoft.com/office/drawing/2014/main"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 xmlns:a16="http://schemas.microsoft.com/office/drawing/2014/main"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 xmlns:a16="http://schemas.microsoft.com/office/drawing/2014/main"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 xmlns:a16="http://schemas.microsoft.com/office/drawing/2014/main"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 xmlns:a16="http://schemas.microsoft.com/office/drawing/2014/main"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 xmlns:a16="http://schemas.microsoft.com/office/drawing/2014/main"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 xmlns:a16="http://schemas.microsoft.com/office/drawing/2014/main"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 xmlns:a16="http://schemas.microsoft.com/office/drawing/2014/main"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 xmlns:a16="http://schemas.microsoft.com/office/drawing/2014/main"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 xmlns:a16="http://schemas.microsoft.com/office/drawing/2014/main"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 xmlns:a16="http://schemas.microsoft.com/office/drawing/2014/main"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 xmlns:a16="http://schemas.microsoft.com/office/drawing/2014/main"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 xmlns:a16="http://schemas.microsoft.com/office/drawing/2014/main"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 xmlns:a16="http://schemas.microsoft.com/office/drawing/2014/main"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 xmlns:a16="http://schemas.microsoft.com/office/drawing/2014/main"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 xmlns:a16="http://schemas.microsoft.com/office/drawing/2014/main"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 xmlns:a16="http://schemas.microsoft.com/office/drawing/2014/main"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 xmlns:a16="http://schemas.microsoft.com/office/drawing/2014/main"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 xmlns:a16="http://schemas.microsoft.com/office/drawing/2014/main"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 xmlns:a16="http://schemas.microsoft.com/office/drawing/2014/main"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 xmlns:a16="http://schemas.microsoft.com/office/drawing/2014/main"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 xmlns:a16="http://schemas.microsoft.com/office/drawing/2014/main"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 xmlns:a16="http://schemas.microsoft.com/office/drawing/2014/main"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 xmlns:a16="http://schemas.microsoft.com/office/drawing/2014/main"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 xmlns:a16="http://schemas.microsoft.com/office/drawing/2014/main"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 xmlns:a16="http://schemas.microsoft.com/office/drawing/2014/main"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 xmlns:a16="http://schemas.microsoft.com/office/drawing/2014/main"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 xmlns:a16="http://schemas.microsoft.com/office/drawing/2014/main"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 xmlns:a16="http://schemas.microsoft.com/office/drawing/2014/main"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 xmlns:a16="http://schemas.microsoft.com/office/drawing/2014/main"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 xmlns:a16="http://schemas.microsoft.com/office/drawing/2014/main"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 xmlns:a16="http://schemas.microsoft.com/office/drawing/2014/main"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 xmlns:a16="http://schemas.microsoft.com/office/drawing/2014/main"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 xmlns:a16="http://schemas.microsoft.com/office/drawing/2014/main"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 xmlns:a16="http://schemas.microsoft.com/office/drawing/2014/main"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 xmlns:a16="http://schemas.microsoft.com/office/drawing/2014/main"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 xmlns:a16="http://schemas.microsoft.com/office/drawing/2014/main"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 xmlns:a16="http://schemas.microsoft.com/office/drawing/2014/main"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 xmlns:a16="http://schemas.microsoft.com/office/drawing/2014/main"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 xmlns:a16="http://schemas.microsoft.com/office/drawing/2014/main"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 xmlns:a16="http://schemas.microsoft.com/office/drawing/2014/main"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 xmlns:a16="http://schemas.microsoft.com/office/drawing/2014/main"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 xmlns:a16="http://schemas.microsoft.com/office/drawing/2014/main"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 xmlns:a16="http://schemas.microsoft.com/office/drawing/2014/main"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 xmlns:a16="http://schemas.microsoft.com/office/drawing/2014/main"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4.xml"/><Relationship Id="rId16" Type="http://schemas.openxmlformats.org/officeDocument/2006/relationships/ctrlProp" Target="../ctrlProps/ctrlProp37.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39" Type="http://schemas.openxmlformats.org/officeDocument/2006/relationships/ctrlProp" Target="../ctrlProps/ctrlProp78.xml"/><Relationship Id="rId3" Type="http://schemas.openxmlformats.org/officeDocument/2006/relationships/vmlDrawing" Target="../drawings/vmlDrawing6.vml"/><Relationship Id="rId21" Type="http://schemas.openxmlformats.org/officeDocument/2006/relationships/ctrlProp" Target="../ctrlProps/ctrlProp60.xml"/><Relationship Id="rId34" Type="http://schemas.openxmlformats.org/officeDocument/2006/relationships/ctrlProp" Target="../ctrlProps/ctrlProp73.xml"/><Relationship Id="rId42" Type="http://schemas.openxmlformats.org/officeDocument/2006/relationships/ctrlProp" Target="../ctrlProps/ctrlProp81.xml"/><Relationship Id="rId47" Type="http://schemas.openxmlformats.org/officeDocument/2006/relationships/ctrlProp" Target="../ctrlProps/ctrlProp86.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38" Type="http://schemas.openxmlformats.org/officeDocument/2006/relationships/ctrlProp" Target="../ctrlProps/ctrlProp77.xml"/><Relationship Id="rId46" Type="http://schemas.openxmlformats.org/officeDocument/2006/relationships/ctrlProp" Target="../ctrlProps/ctrlProp85.xml"/><Relationship Id="rId2" Type="http://schemas.openxmlformats.org/officeDocument/2006/relationships/drawing" Target="../drawings/drawing6.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41" Type="http://schemas.openxmlformats.org/officeDocument/2006/relationships/ctrlProp" Target="../ctrlProps/ctrlProp80.xml"/><Relationship Id="rId1" Type="http://schemas.openxmlformats.org/officeDocument/2006/relationships/printerSettings" Target="../printerSettings/printerSettings1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trlProp" Target="../ctrlProps/ctrlProp76.xml"/><Relationship Id="rId40" Type="http://schemas.openxmlformats.org/officeDocument/2006/relationships/ctrlProp" Target="../ctrlProps/ctrlProp79.xml"/><Relationship Id="rId45" Type="http://schemas.openxmlformats.org/officeDocument/2006/relationships/ctrlProp" Target="../ctrlProps/ctrlProp84.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4" Type="http://schemas.openxmlformats.org/officeDocument/2006/relationships/ctrlProp" Target="../ctrlProps/ctrlProp83.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43"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0.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8.vml"/><Relationship Id="rId7" Type="http://schemas.openxmlformats.org/officeDocument/2006/relationships/ctrlProp" Target="../ctrlProps/ctrlProp94.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vmlDrawing" Target="../drawings/vmlDrawing9.v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vmlDrawing" Target="../drawings/vmlDrawing10.vml"/><Relationship Id="rId21" Type="http://schemas.openxmlformats.org/officeDocument/2006/relationships/ctrlProp" Target="../ctrlProps/ctrlProp125.xml"/><Relationship Id="rId34" Type="http://schemas.openxmlformats.org/officeDocument/2006/relationships/ctrlProp" Target="../ctrlProps/ctrlProp138.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33" Type="http://schemas.openxmlformats.org/officeDocument/2006/relationships/ctrlProp" Target="../ctrlProps/ctrlProp137.xml"/><Relationship Id="rId2" Type="http://schemas.openxmlformats.org/officeDocument/2006/relationships/drawing" Target="../drawings/drawing10.xml"/><Relationship Id="rId16" Type="http://schemas.openxmlformats.org/officeDocument/2006/relationships/ctrlProp" Target="../ctrlProps/ctrlProp120.xml"/><Relationship Id="rId20" Type="http://schemas.openxmlformats.org/officeDocument/2006/relationships/ctrlProp" Target="../ctrlProps/ctrlProp124.xml"/><Relationship Id="rId29" Type="http://schemas.openxmlformats.org/officeDocument/2006/relationships/ctrlProp" Target="../ctrlProps/ctrlProp133.xml"/><Relationship Id="rId1" Type="http://schemas.openxmlformats.org/officeDocument/2006/relationships/printerSettings" Target="../printerSettings/printerSettings15.bin"/><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32" Type="http://schemas.openxmlformats.org/officeDocument/2006/relationships/ctrlProp" Target="../ctrlProps/ctrlProp136.xml"/><Relationship Id="rId5" Type="http://schemas.openxmlformats.org/officeDocument/2006/relationships/ctrlProp" Target="../ctrlProps/ctrlProp109.xml"/><Relationship Id="rId15" Type="http://schemas.openxmlformats.org/officeDocument/2006/relationships/ctrlProp" Target="../ctrlProps/ctrlProp119.xml"/><Relationship Id="rId23" Type="http://schemas.openxmlformats.org/officeDocument/2006/relationships/ctrlProp" Target="../ctrlProps/ctrlProp127.xml"/><Relationship Id="rId28" Type="http://schemas.openxmlformats.org/officeDocument/2006/relationships/ctrlProp" Target="../ctrlProps/ctrlProp132.xml"/><Relationship Id="rId10" Type="http://schemas.openxmlformats.org/officeDocument/2006/relationships/ctrlProp" Target="../ctrlProps/ctrlProp114.xml"/><Relationship Id="rId19" Type="http://schemas.openxmlformats.org/officeDocument/2006/relationships/ctrlProp" Target="../ctrlProps/ctrlProp123.xml"/><Relationship Id="rId31" Type="http://schemas.openxmlformats.org/officeDocument/2006/relationships/ctrlProp" Target="../ctrlProps/ctrlProp135.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 Id="rId27" Type="http://schemas.openxmlformats.org/officeDocument/2006/relationships/ctrlProp" Target="../ctrlProps/ctrlProp131.xml"/><Relationship Id="rId30" Type="http://schemas.openxmlformats.org/officeDocument/2006/relationships/ctrlProp" Target="../ctrlProps/ctrlProp134.xml"/><Relationship Id="rId35" Type="http://schemas.openxmlformats.org/officeDocument/2006/relationships/ctrlProp" Target="../ctrlProps/ctrlProp139.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3" Type="http://schemas.openxmlformats.org/officeDocument/2006/relationships/vmlDrawing" Target="../drawings/vmlDrawing11.v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18" Type="http://schemas.openxmlformats.org/officeDocument/2006/relationships/ctrlProp" Target="../ctrlProps/ctrlProp186.xml"/><Relationship Id="rId26" Type="http://schemas.openxmlformats.org/officeDocument/2006/relationships/ctrlProp" Target="../ctrlProps/ctrlProp194.xml"/><Relationship Id="rId3" Type="http://schemas.openxmlformats.org/officeDocument/2006/relationships/vmlDrawing" Target="../drawings/vmlDrawing12.vml"/><Relationship Id="rId21" Type="http://schemas.openxmlformats.org/officeDocument/2006/relationships/ctrlProp" Target="../ctrlProps/ctrlProp189.xml"/><Relationship Id="rId34" Type="http://schemas.openxmlformats.org/officeDocument/2006/relationships/ctrlProp" Target="../ctrlProps/ctrlProp202.xml"/><Relationship Id="rId7" Type="http://schemas.openxmlformats.org/officeDocument/2006/relationships/ctrlProp" Target="../ctrlProps/ctrlProp175.xml"/><Relationship Id="rId12" Type="http://schemas.openxmlformats.org/officeDocument/2006/relationships/ctrlProp" Target="../ctrlProps/ctrlProp180.xml"/><Relationship Id="rId17" Type="http://schemas.openxmlformats.org/officeDocument/2006/relationships/ctrlProp" Target="../ctrlProps/ctrlProp185.xml"/><Relationship Id="rId25" Type="http://schemas.openxmlformats.org/officeDocument/2006/relationships/ctrlProp" Target="../ctrlProps/ctrlProp193.xml"/><Relationship Id="rId33" Type="http://schemas.openxmlformats.org/officeDocument/2006/relationships/ctrlProp" Target="../ctrlProps/ctrlProp201.xml"/><Relationship Id="rId2" Type="http://schemas.openxmlformats.org/officeDocument/2006/relationships/drawing" Target="../drawings/drawing12.xml"/><Relationship Id="rId16" Type="http://schemas.openxmlformats.org/officeDocument/2006/relationships/ctrlProp" Target="../ctrlProps/ctrlProp184.xml"/><Relationship Id="rId20" Type="http://schemas.openxmlformats.org/officeDocument/2006/relationships/ctrlProp" Target="../ctrlProps/ctrlProp188.xml"/><Relationship Id="rId29" Type="http://schemas.openxmlformats.org/officeDocument/2006/relationships/ctrlProp" Target="../ctrlProps/ctrlProp197.xml"/><Relationship Id="rId1" Type="http://schemas.openxmlformats.org/officeDocument/2006/relationships/printerSettings" Target="../printerSettings/printerSettings17.bin"/><Relationship Id="rId6" Type="http://schemas.openxmlformats.org/officeDocument/2006/relationships/ctrlProp" Target="../ctrlProps/ctrlProp174.xml"/><Relationship Id="rId11" Type="http://schemas.openxmlformats.org/officeDocument/2006/relationships/ctrlProp" Target="../ctrlProps/ctrlProp179.xml"/><Relationship Id="rId24" Type="http://schemas.openxmlformats.org/officeDocument/2006/relationships/ctrlProp" Target="../ctrlProps/ctrlProp192.xml"/><Relationship Id="rId32" Type="http://schemas.openxmlformats.org/officeDocument/2006/relationships/ctrlProp" Target="../ctrlProps/ctrlProp200.xml"/><Relationship Id="rId5" Type="http://schemas.openxmlformats.org/officeDocument/2006/relationships/ctrlProp" Target="../ctrlProps/ctrlProp173.xml"/><Relationship Id="rId15" Type="http://schemas.openxmlformats.org/officeDocument/2006/relationships/ctrlProp" Target="../ctrlProps/ctrlProp183.xml"/><Relationship Id="rId23" Type="http://schemas.openxmlformats.org/officeDocument/2006/relationships/ctrlProp" Target="../ctrlProps/ctrlProp191.xml"/><Relationship Id="rId28" Type="http://schemas.openxmlformats.org/officeDocument/2006/relationships/ctrlProp" Target="../ctrlProps/ctrlProp196.xml"/><Relationship Id="rId10" Type="http://schemas.openxmlformats.org/officeDocument/2006/relationships/ctrlProp" Target="../ctrlProps/ctrlProp178.xml"/><Relationship Id="rId19" Type="http://schemas.openxmlformats.org/officeDocument/2006/relationships/ctrlProp" Target="../ctrlProps/ctrlProp187.xml"/><Relationship Id="rId31" Type="http://schemas.openxmlformats.org/officeDocument/2006/relationships/ctrlProp" Target="../ctrlProps/ctrlProp199.xml"/><Relationship Id="rId4" Type="http://schemas.openxmlformats.org/officeDocument/2006/relationships/ctrlProp" Target="../ctrlProps/ctrlProp172.xml"/><Relationship Id="rId9" Type="http://schemas.openxmlformats.org/officeDocument/2006/relationships/ctrlProp" Target="../ctrlProps/ctrlProp177.xml"/><Relationship Id="rId14" Type="http://schemas.openxmlformats.org/officeDocument/2006/relationships/ctrlProp" Target="../ctrlProps/ctrlProp182.xml"/><Relationship Id="rId22" Type="http://schemas.openxmlformats.org/officeDocument/2006/relationships/ctrlProp" Target="../ctrlProps/ctrlProp190.xml"/><Relationship Id="rId27" Type="http://schemas.openxmlformats.org/officeDocument/2006/relationships/ctrlProp" Target="../ctrlProps/ctrlProp195.xml"/><Relationship Id="rId30" Type="http://schemas.openxmlformats.org/officeDocument/2006/relationships/ctrlProp" Target="../ctrlProps/ctrlProp198.xml"/><Relationship Id="rId35" Type="http://schemas.openxmlformats.org/officeDocument/2006/relationships/ctrlProp" Target="../ctrlProps/ctrlProp20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8.xml"/><Relationship Id="rId13" Type="http://schemas.openxmlformats.org/officeDocument/2006/relationships/ctrlProp" Target="../ctrlProps/ctrlProp213.xml"/><Relationship Id="rId18" Type="http://schemas.openxmlformats.org/officeDocument/2006/relationships/ctrlProp" Target="../ctrlProps/ctrlProp218.xml"/><Relationship Id="rId26" Type="http://schemas.openxmlformats.org/officeDocument/2006/relationships/ctrlProp" Target="../ctrlProps/ctrlProp226.xml"/><Relationship Id="rId3" Type="http://schemas.openxmlformats.org/officeDocument/2006/relationships/vmlDrawing" Target="../drawings/vmlDrawing13.vml"/><Relationship Id="rId21" Type="http://schemas.openxmlformats.org/officeDocument/2006/relationships/ctrlProp" Target="../ctrlProps/ctrlProp221.xml"/><Relationship Id="rId34" Type="http://schemas.openxmlformats.org/officeDocument/2006/relationships/ctrlProp" Target="../ctrlProps/ctrlProp234.xml"/><Relationship Id="rId7" Type="http://schemas.openxmlformats.org/officeDocument/2006/relationships/ctrlProp" Target="../ctrlProps/ctrlProp207.xml"/><Relationship Id="rId12" Type="http://schemas.openxmlformats.org/officeDocument/2006/relationships/ctrlProp" Target="../ctrlProps/ctrlProp212.xml"/><Relationship Id="rId17" Type="http://schemas.openxmlformats.org/officeDocument/2006/relationships/ctrlProp" Target="../ctrlProps/ctrlProp217.xml"/><Relationship Id="rId25" Type="http://schemas.openxmlformats.org/officeDocument/2006/relationships/ctrlProp" Target="../ctrlProps/ctrlProp225.xml"/><Relationship Id="rId33" Type="http://schemas.openxmlformats.org/officeDocument/2006/relationships/ctrlProp" Target="../ctrlProps/ctrlProp233.xml"/><Relationship Id="rId2" Type="http://schemas.openxmlformats.org/officeDocument/2006/relationships/drawing" Target="../drawings/drawing13.xml"/><Relationship Id="rId16" Type="http://schemas.openxmlformats.org/officeDocument/2006/relationships/ctrlProp" Target="../ctrlProps/ctrlProp216.xml"/><Relationship Id="rId20" Type="http://schemas.openxmlformats.org/officeDocument/2006/relationships/ctrlProp" Target="../ctrlProps/ctrlProp220.xml"/><Relationship Id="rId29" Type="http://schemas.openxmlformats.org/officeDocument/2006/relationships/ctrlProp" Target="../ctrlProps/ctrlProp229.xml"/><Relationship Id="rId1" Type="http://schemas.openxmlformats.org/officeDocument/2006/relationships/printerSettings" Target="../printerSettings/printerSettings18.bin"/><Relationship Id="rId6" Type="http://schemas.openxmlformats.org/officeDocument/2006/relationships/ctrlProp" Target="../ctrlProps/ctrlProp206.xml"/><Relationship Id="rId11" Type="http://schemas.openxmlformats.org/officeDocument/2006/relationships/ctrlProp" Target="../ctrlProps/ctrlProp211.xml"/><Relationship Id="rId24" Type="http://schemas.openxmlformats.org/officeDocument/2006/relationships/ctrlProp" Target="../ctrlProps/ctrlProp224.xml"/><Relationship Id="rId32" Type="http://schemas.openxmlformats.org/officeDocument/2006/relationships/ctrlProp" Target="../ctrlProps/ctrlProp232.xml"/><Relationship Id="rId5" Type="http://schemas.openxmlformats.org/officeDocument/2006/relationships/ctrlProp" Target="../ctrlProps/ctrlProp205.xml"/><Relationship Id="rId15" Type="http://schemas.openxmlformats.org/officeDocument/2006/relationships/ctrlProp" Target="../ctrlProps/ctrlProp215.xml"/><Relationship Id="rId23" Type="http://schemas.openxmlformats.org/officeDocument/2006/relationships/ctrlProp" Target="../ctrlProps/ctrlProp223.xml"/><Relationship Id="rId28" Type="http://schemas.openxmlformats.org/officeDocument/2006/relationships/ctrlProp" Target="../ctrlProps/ctrlProp228.xml"/><Relationship Id="rId10" Type="http://schemas.openxmlformats.org/officeDocument/2006/relationships/ctrlProp" Target="../ctrlProps/ctrlProp210.xml"/><Relationship Id="rId19" Type="http://schemas.openxmlformats.org/officeDocument/2006/relationships/ctrlProp" Target="../ctrlProps/ctrlProp219.xml"/><Relationship Id="rId31" Type="http://schemas.openxmlformats.org/officeDocument/2006/relationships/ctrlProp" Target="../ctrlProps/ctrlProp231.xml"/><Relationship Id="rId4" Type="http://schemas.openxmlformats.org/officeDocument/2006/relationships/ctrlProp" Target="../ctrlProps/ctrlProp204.xml"/><Relationship Id="rId9" Type="http://schemas.openxmlformats.org/officeDocument/2006/relationships/ctrlProp" Target="../ctrlProps/ctrlProp209.xml"/><Relationship Id="rId14" Type="http://schemas.openxmlformats.org/officeDocument/2006/relationships/ctrlProp" Target="../ctrlProps/ctrlProp214.xml"/><Relationship Id="rId22" Type="http://schemas.openxmlformats.org/officeDocument/2006/relationships/ctrlProp" Target="../ctrlProps/ctrlProp222.xml"/><Relationship Id="rId27" Type="http://schemas.openxmlformats.org/officeDocument/2006/relationships/ctrlProp" Target="../ctrlProps/ctrlProp227.xml"/><Relationship Id="rId30" Type="http://schemas.openxmlformats.org/officeDocument/2006/relationships/ctrlProp" Target="../ctrlProps/ctrlProp230.xml"/><Relationship Id="rId35" Type="http://schemas.openxmlformats.org/officeDocument/2006/relationships/ctrlProp" Target="../ctrlProps/ctrlProp235.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40.xml"/><Relationship Id="rId13" Type="http://schemas.openxmlformats.org/officeDocument/2006/relationships/ctrlProp" Target="../ctrlProps/ctrlProp245.xml"/><Relationship Id="rId18" Type="http://schemas.openxmlformats.org/officeDocument/2006/relationships/ctrlProp" Target="../ctrlProps/ctrlProp250.xml"/><Relationship Id="rId26" Type="http://schemas.openxmlformats.org/officeDocument/2006/relationships/ctrlProp" Target="../ctrlProps/ctrlProp258.xml"/><Relationship Id="rId3" Type="http://schemas.openxmlformats.org/officeDocument/2006/relationships/vmlDrawing" Target="../drawings/vmlDrawing14.vml"/><Relationship Id="rId21" Type="http://schemas.openxmlformats.org/officeDocument/2006/relationships/ctrlProp" Target="../ctrlProps/ctrlProp253.xml"/><Relationship Id="rId34" Type="http://schemas.openxmlformats.org/officeDocument/2006/relationships/ctrlProp" Target="../ctrlProps/ctrlProp266.xml"/><Relationship Id="rId7" Type="http://schemas.openxmlformats.org/officeDocument/2006/relationships/ctrlProp" Target="../ctrlProps/ctrlProp239.xml"/><Relationship Id="rId12" Type="http://schemas.openxmlformats.org/officeDocument/2006/relationships/ctrlProp" Target="../ctrlProps/ctrlProp244.xml"/><Relationship Id="rId17" Type="http://schemas.openxmlformats.org/officeDocument/2006/relationships/ctrlProp" Target="../ctrlProps/ctrlProp249.xml"/><Relationship Id="rId25" Type="http://schemas.openxmlformats.org/officeDocument/2006/relationships/ctrlProp" Target="../ctrlProps/ctrlProp257.xml"/><Relationship Id="rId33" Type="http://schemas.openxmlformats.org/officeDocument/2006/relationships/ctrlProp" Target="../ctrlProps/ctrlProp265.xml"/><Relationship Id="rId2" Type="http://schemas.openxmlformats.org/officeDocument/2006/relationships/drawing" Target="../drawings/drawing14.xml"/><Relationship Id="rId16" Type="http://schemas.openxmlformats.org/officeDocument/2006/relationships/ctrlProp" Target="../ctrlProps/ctrlProp248.xml"/><Relationship Id="rId20" Type="http://schemas.openxmlformats.org/officeDocument/2006/relationships/ctrlProp" Target="../ctrlProps/ctrlProp252.xml"/><Relationship Id="rId29" Type="http://schemas.openxmlformats.org/officeDocument/2006/relationships/ctrlProp" Target="../ctrlProps/ctrlProp261.xml"/><Relationship Id="rId1" Type="http://schemas.openxmlformats.org/officeDocument/2006/relationships/printerSettings" Target="../printerSettings/printerSettings19.bin"/><Relationship Id="rId6" Type="http://schemas.openxmlformats.org/officeDocument/2006/relationships/ctrlProp" Target="../ctrlProps/ctrlProp238.xml"/><Relationship Id="rId11" Type="http://schemas.openxmlformats.org/officeDocument/2006/relationships/ctrlProp" Target="../ctrlProps/ctrlProp243.xml"/><Relationship Id="rId24" Type="http://schemas.openxmlformats.org/officeDocument/2006/relationships/ctrlProp" Target="../ctrlProps/ctrlProp256.xml"/><Relationship Id="rId32" Type="http://schemas.openxmlformats.org/officeDocument/2006/relationships/ctrlProp" Target="../ctrlProps/ctrlProp264.xml"/><Relationship Id="rId5" Type="http://schemas.openxmlformats.org/officeDocument/2006/relationships/ctrlProp" Target="../ctrlProps/ctrlProp237.xml"/><Relationship Id="rId15" Type="http://schemas.openxmlformats.org/officeDocument/2006/relationships/ctrlProp" Target="../ctrlProps/ctrlProp247.xml"/><Relationship Id="rId23" Type="http://schemas.openxmlformats.org/officeDocument/2006/relationships/ctrlProp" Target="../ctrlProps/ctrlProp255.xml"/><Relationship Id="rId28" Type="http://schemas.openxmlformats.org/officeDocument/2006/relationships/ctrlProp" Target="../ctrlProps/ctrlProp260.xml"/><Relationship Id="rId10" Type="http://schemas.openxmlformats.org/officeDocument/2006/relationships/ctrlProp" Target="../ctrlProps/ctrlProp242.xml"/><Relationship Id="rId19" Type="http://schemas.openxmlformats.org/officeDocument/2006/relationships/ctrlProp" Target="../ctrlProps/ctrlProp251.xml"/><Relationship Id="rId31" Type="http://schemas.openxmlformats.org/officeDocument/2006/relationships/ctrlProp" Target="../ctrlProps/ctrlProp263.xml"/><Relationship Id="rId4" Type="http://schemas.openxmlformats.org/officeDocument/2006/relationships/ctrlProp" Target="../ctrlProps/ctrlProp236.xml"/><Relationship Id="rId9" Type="http://schemas.openxmlformats.org/officeDocument/2006/relationships/ctrlProp" Target="../ctrlProps/ctrlProp241.xml"/><Relationship Id="rId14" Type="http://schemas.openxmlformats.org/officeDocument/2006/relationships/ctrlProp" Target="../ctrlProps/ctrlProp246.xml"/><Relationship Id="rId22" Type="http://schemas.openxmlformats.org/officeDocument/2006/relationships/ctrlProp" Target="../ctrlProps/ctrlProp254.xml"/><Relationship Id="rId27" Type="http://schemas.openxmlformats.org/officeDocument/2006/relationships/ctrlProp" Target="../ctrlProps/ctrlProp259.xml"/><Relationship Id="rId30" Type="http://schemas.openxmlformats.org/officeDocument/2006/relationships/ctrlProp" Target="../ctrlProps/ctrlProp262.xml"/><Relationship Id="rId35" Type="http://schemas.openxmlformats.org/officeDocument/2006/relationships/ctrlProp" Target="../ctrlProps/ctrlProp26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72.xml"/><Relationship Id="rId13" Type="http://schemas.openxmlformats.org/officeDocument/2006/relationships/ctrlProp" Target="../ctrlProps/ctrlProp277.xml"/><Relationship Id="rId18" Type="http://schemas.openxmlformats.org/officeDocument/2006/relationships/ctrlProp" Target="../ctrlProps/ctrlProp282.xml"/><Relationship Id="rId26" Type="http://schemas.openxmlformats.org/officeDocument/2006/relationships/ctrlProp" Target="../ctrlProps/ctrlProp290.xml"/><Relationship Id="rId3" Type="http://schemas.openxmlformats.org/officeDocument/2006/relationships/vmlDrawing" Target="../drawings/vmlDrawing15.vml"/><Relationship Id="rId21" Type="http://schemas.openxmlformats.org/officeDocument/2006/relationships/ctrlProp" Target="../ctrlProps/ctrlProp285.xml"/><Relationship Id="rId34" Type="http://schemas.openxmlformats.org/officeDocument/2006/relationships/ctrlProp" Target="../ctrlProps/ctrlProp298.xml"/><Relationship Id="rId7" Type="http://schemas.openxmlformats.org/officeDocument/2006/relationships/ctrlProp" Target="../ctrlProps/ctrlProp271.xml"/><Relationship Id="rId12" Type="http://schemas.openxmlformats.org/officeDocument/2006/relationships/ctrlProp" Target="../ctrlProps/ctrlProp276.xml"/><Relationship Id="rId17" Type="http://schemas.openxmlformats.org/officeDocument/2006/relationships/ctrlProp" Target="../ctrlProps/ctrlProp281.xml"/><Relationship Id="rId25" Type="http://schemas.openxmlformats.org/officeDocument/2006/relationships/ctrlProp" Target="../ctrlProps/ctrlProp289.xml"/><Relationship Id="rId33" Type="http://schemas.openxmlformats.org/officeDocument/2006/relationships/ctrlProp" Target="../ctrlProps/ctrlProp297.xml"/><Relationship Id="rId2" Type="http://schemas.openxmlformats.org/officeDocument/2006/relationships/drawing" Target="../drawings/drawing15.xml"/><Relationship Id="rId16" Type="http://schemas.openxmlformats.org/officeDocument/2006/relationships/ctrlProp" Target="../ctrlProps/ctrlProp280.xml"/><Relationship Id="rId20" Type="http://schemas.openxmlformats.org/officeDocument/2006/relationships/ctrlProp" Target="../ctrlProps/ctrlProp284.xml"/><Relationship Id="rId29" Type="http://schemas.openxmlformats.org/officeDocument/2006/relationships/ctrlProp" Target="../ctrlProps/ctrlProp293.xml"/><Relationship Id="rId1" Type="http://schemas.openxmlformats.org/officeDocument/2006/relationships/printerSettings" Target="../printerSettings/printerSettings20.bin"/><Relationship Id="rId6" Type="http://schemas.openxmlformats.org/officeDocument/2006/relationships/ctrlProp" Target="../ctrlProps/ctrlProp270.xml"/><Relationship Id="rId11" Type="http://schemas.openxmlformats.org/officeDocument/2006/relationships/ctrlProp" Target="../ctrlProps/ctrlProp275.xml"/><Relationship Id="rId24" Type="http://schemas.openxmlformats.org/officeDocument/2006/relationships/ctrlProp" Target="../ctrlProps/ctrlProp288.xml"/><Relationship Id="rId32" Type="http://schemas.openxmlformats.org/officeDocument/2006/relationships/ctrlProp" Target="../ctrlProps/ctrlProp296.xml"/><Relationship Id="rId5" Type="http://schemas.openxmlformats.org/officeDocument/2006/relationships/ctrlProp" Target="../ctrlProps/ctrlProp269.xml"/><Relationship Id="rId15" Type="http://schemas.openxmlformats.org/officeDocument/2006/relationships/ctrlProp" Target="../ctrlProps/ctrlProp279.xml"/><Relationship Id="rId23" Type="http://schemas.openxmlformats.org/officeDocument/2006/relationships/ctrlProp" Target="../ctrlProps/ctrlProp287.xml"/><Relationship Id="rId28" Type="http://schemas.openxmlformats.org/officeDocument/2006/relationships/ctrlProp" Target="../ctrlProps/ctrlProp292.xml"/><Relationship Id="rId10" Type="http://schemas.openxmlformats.org/officeDocument/2006/relationships/ctrlProp" Target="../ctrlProps/ctrlProp274.xml"/><Relationship Id="rId19" Type="http://schemas.openxmlformats.org/officeDocument/2006/relationships/ctrlProp" Target="../ctrlProps/ctrlProp283.xml"/><Relationship Id="rId31" Type="http://schemas.openxmlformats.org/officeDocument/2006/relationships/ctrlProp" Target="../ctrlProps/ctrlProp295.xml"/><Relationship Id="rId4" Type="http://schemas.openxmlformats.org/officeDocument/2006/relationships/ctrlProp" Target="../ctrlProps/ctrlProp268.xml"/><Relationship Id="rId9" Type="http://schemas.openxmlformats.org/officeDocument/2006/relationships/ctrlProp" Target="../ctrlProps/ctrlProp273.xml"/><Relationship Id="rId14" Type="http://schemas.openxmlformats.org/officeDocument/2006/relationships/ctrlProp" Target="../ctrlProps/ctrlProp278.xml"/><Relationship Id="rId22" Type="http://schemas.openxmlformats.org/officeDocument/2006/relationships/ctrlProp" Target="../ctrlProps/ctrlProp286.xml"/><Relationship Id="rId27" Type="http://schemas.openxmlformats.org/officeDocument/2006/relationships/ctrlProp" Target="../ctrlProps/ctrlProp291.xml"/><Relationship Id="rId30" Type="http://schemas.openxmlformats.org/officeDocument/2006/relationships/ctrlProp" Target="../ctrlProps/ctrlProp294.xml"/><Relationship Id="rId35" Type="http://schemas.openxmlformats.org/officeDocument/2006/relationships/ctrlProp" Target="../ctrlProps/ctrlProp29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18" Type="http://schemas.openxmlformats.org/officeDocument/2006/relationships/ctrlProp" Target="../ctrlProps/ctrlProp314.xml"/><Relationship Id="rId26" Type="http://schemas.openxmlformats.org/officeDocument/2006/relationships/ctrlProp" Target="../ctrlProps/ctrlProp322.xml"/><Relationship Id="rId3" Type="http://schemas.openxmlformats.org/officeDocument/2006/relationships/vmlDrawing" Target="../drawings/vmlDrawing16.vml"/><Relationship Id="rId21" Type="http://schemas.openxmlformats.org/officeDocument/2006/relationships/ctrlProp" Target="../ctrlProps/ctrlProp317.xml"/><Relationship Id="rId34" Type="http://schemas.openxmlformats.org/officeDocument/2006/relationships/ctrlProp" Target="../ctrlProps/ctrlProp330.xml"/><Relationship Id="rId7" Type="http://schemas.openxmlformats.org/officeDocument/2006/relationships/ctrlProp" Target="../ctrlProps/ctrlProp303.xml"/><Relationship Id="rId12" Type="http://schemas.openxmlformats.org/officeDocument/2006/relationships/ctrlProp" Target="../ctrlProps/ctrlProp308.xml"/><Relationship Id="rId17" Type="http://schemas.openxmlformats.org/officeDocument/2006/relationships/ctrlProp" Target="../ctrlProps/ctrlProp313.xml"/><Relationship Id="rId25" Type="http://schemas.openxmlformats.org/officeDocument/2006/relationships/ctrlProp" Target="../ctrlProps/ctrlProp321.xml"/><Relationship Id="rId33" Type="http://schemas.openxmlformats.org/officeDocument/2006/relationships/ctrlProp" Target="../ctrlProps/ctrlProp329.xml"/><Relationship Id="rId2" Type="http://schemas.openxmlformats.org/officeDocument/2006/relationships/drawing" Target="../drawings/drawing16.xml"/><Relationship Id="rId16" Type="http://schemas.openxmlformats.org/officeDocument/2006/relationships/ctrlProp" Target="../ctrlProps/ctrlProp312.xml"/><Relationship Id="rId20" Type="http://schemas.openxmlformats.org/officeDocument/2006/relationships/ctrlProp" Target="../ctrlProps/ctrlProp316.xml"/><Relationship Id="rId29" Type="http://schemas.openxmlformats.org/officeDocument/2006/relationships/ctrlProp" Target="../ctrlProps/ctrlProp325.xml"/><Relationship Id="rId1" Type="http://schemas.openxmlformats.org/officeDocument/2006/relationships/printerSettings" Target="../printerSettings/printerSettings21.bin"/><Relationship Id="rId6" Type="http://schemas.openxmlformats.org/officeDocument/2006/relationships/ctrlProp" Target="../ctrlProps/ctrlProp302.xml"/><Relationship Id="rId11" Type="http://schemas.openxmlformats.org/officeDocument/2006/relationships/ctrlProp" Target="../ctrlProps/ctrlProp307.xml"/><Relationship Id="rId24" Type="http://schemas.openxmlformats.org/officeDocument/2006/relationships/ctrlProp" Target="../ctrlProps/ctrlProp320.xml"/><Relationship Id="rId32" Type="http://schemas.openxmlformats.org/officeDocument/2006/relationships/ctrlProp" Target="../ctrlProps/ctrlProp328.xml"/><Relationship Id="rId5" Type="http://schemas.openxmlformats.org/officeDocument/2006/relationships/ctrlProp" Target="../ctrlProps/ctrlProp301.xml"/><Relationship Id="rId15" Type="http://schemas.openxmlformats.org/officeDocument/2006/relationships/ctrlProp" Target="../ctrlProps/ctrlProp311.xml"/><Relationship Id="rId23" Type="http://schemas.openxmlformats.org/officeDocument/2006/relationships/ctrlProp" Target="../ctrlProps/ctrlProp319.xml"/><Relationship Id="rId28" Type="http://schemas.openxmlformats.org/officeDocument/2006/relationships/ctrlProp" Target="../ctrlProps/ctrlProp324.xml"/><Relationship Id="rId10" Type="http://schemas.openxmlformats.org/officeDocument/2006/relationships/ctrlProp" Target="../ctrlProps/ctrlProp306.xml"/><Relationship Id="rId19" Type="http://schemas.openxmlformats.org/officeDocument/2006/relationships/ctrlProp" Target="../ctrlProps/ctrlProp315.xml"/><Relationship Id="rId31" Type="http://schemas.openxmlformats.org/officeDocument/2006/relationships/ctrlProp" Target="../ctrlProps/ctrlProp327.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 Id="rId22" Type="http://schemas.openxmlformats.org/officeDocument/2006/relationships/ctrlProp" Target="../ctrlProps/ctrlProp318.xml"/><Relationship Id="rId27" Type="http://schemas.openxmlformats.org/officeDocument/2006/relationships/ctrlProp" Target="../ctrlProps/ctrlProp323.xml"/><Relationship Id="rId30" Type="http://schemas.openxmlformats.org/officeDocument/2006/relationships/ctrlProp" Target="../ctrlProps/ctrlProp326.xml"/><Relationship Id="rId35" Type="http://schemas.openxmlformats.org/officeDocument/2006/relationships/ctrlProp" Target="../ctrlProps/ctrlProp33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ctrlProp" Target="../ctrlProps/ctrlProp346.xml"/><Relationship Id="rId26" Type="http://schemas.openxmlformats.org/officeDocument/2006/relationships/ctrlProp" Target="../ctrlProps/ctrlProp354.xml"/><Relationship Id="rId3" Type="http://schemas.openxmlformats.org/officeDocument/2006/relationships/vmlDrawing" Target="../drawings/vmlDrawing17.vml"/><Relationship Id="rId21" Type="http://schemas.openxmlformats.org/officeDocument/2006/relationships/ctrlProp" Target="../ctrlProps/ctrlProp349.xml"/><Relationship Id="rId34" Type="http://schemas.openxmlformats.org/officeDocument/2006/relationships/ctrlProp" Target="../ctrlProps/ctrlProp362.x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5" Type="http://schemas.openxmlformats.org/officeDocument/2006/relationships/ctrlProp" Target="../ctrlProps/ctrlProp353.xml"/><Relationship Id="rId33" Type="http://schemas.openxmlformats.org/officeDocument/2006/relationships/ctrlProp" Target="../ctrlProps/ctrlProp361.xml"/><Relationship Id="rId2" Type="http://schemas.openxmlformats.org/officeDocument/2006/relationships/drawing" Target="../drawings/drawing17.xml"/><Relationship Id="rId16" Type="http://schemas.openxmlformats.org/officeDocument/2006/relationships/ctrlProp" Target="../ctrlProps/ctrlProp344.xml"/><Relationship Id="rId20" Type="http://schemas.openxmlformats.org/officeDocument/2006/relationships/ctrlProp" Target="../ctrlProps/ctrlProp348.xml"/><Relationship Id="rId29" Type="http://schemas.openxmlformats.org/officeDocument/2006/relationships/ctrlProp" Target="../ctrlProps/ctrlProp357.xml"/><Relationship Id="rId1" Type="http://schemas.openxmlformats.org/officeDocument/2006/relationships/printerSettings" Target="../printerSettings/printerSettings22.bin"/><Relationship Id="rId6" Type="http://schemas.openxmlformats.org/officeDocument/2006/relationships/ctrlProp" Target="../ctrlProps/ctrlProp334.xml"/><Relationship Id="rId11" Type="http://schemas.openxmlformats.org/officeDocument/2006/relationships/ctrlProp" Target="../ctrlProps/ctrlProp339.xml"/><Relationship Id="rId24" Type="http://schemas.openxmlformats.org/officeDocument/2006/relationships/ctrlProp" Target="../ctrlProps/ctrlProp352.xml"/><Relationship Id="rId32" Type="http://schemas.openxmlformats.org/officeDocument/2006/relationships/ctrlProp" Target="../ctrlProps/ctrlProp360.xml"/><Relationship Id="rId5" Type="http://schemas.openxmlformats.org/officeDocument/2006/relationships/ctrlProp" Target="../ctrlProps/ctrlProp333.xml"/><Relationship Id="rId15" Type="http://schemas.openxmlformats.org/officeDocument/2006/relationships/ctrlProp" Target="../ctrlProps/ctrlProp343.xml"/><Relationship Id="rId23" Type="http://schemas.openxmlformats.org/officeDocument/2006/relationships/ctrlProp" Target="../ctrlProps/ctrlProp351.xml"/><Relationship Id="rId28" Type="http://schemas.openxmlformats.org/officeDocument/2006/relationships/ctrlProp" Target="../ctrlProps/ctrlProp356.xml"/><Relationship Id="rId10" Type="http://schemas.openxmlformats.org/officeDocument/2006/relationships/ctrlProp" Target="../ctrlProps/ctrlProp338.xml"/><Relationship Id="rId19" Type="http://schemas.openxmlformats.org/officeDocument/2006/relationships/ctrlProp" Target="../ctrlProps/ctrlProp347.xml"/><Relationship Id="rId31" Type="http://schemas.openxmlformats.org/officeDocument/2006/relationships/ctrlProp" Target="../ctrlProps/ctrlProp359.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 Id="rId22" Type="http://schemas.openxmlformats.org/officeDocument/2006/relationships/ctrlProp" Target="../ctrlProps/ctrlProp350.xml"/><Relationship Id="rId27" Type="http://schemas.openxmlformats.org/officeDocument/2006/relationships/ctrlProp" Target="../ctrlProps/ctrlProp355.xml"/><Relationship Id="rId30" Type="http://schemas.openxmlformats.org/officeDocument/2006/relationships/ctrlProp" Target="../ctrlProps/ctrlProp358.xml"/><Relationship Id="rId35" Type="http://schemas.openxmlformats.org/officeDocument/2006/relationships/ctrlProp" Target="../ctrlProps/ctrlProp36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68.xml"/><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3" Type="http://schemas.openxmlformats.org/officeDocument/2006/relationships/vmlDrawing" Target="../drawings/vmlDrawing18.v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2" Type="http://schemas.openxmlformats.org/officeDocument/2006/relationships/drawing" Target="../drawings/drawing18.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3.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00.xml"/><Relationship Id="rId13" Type="http://schemas.openxmlformats.org/officeDocument/2006/relationships/ctrlProp" Target="../ctrlProps/ctrlProp405.xml"/><Relationship Id="rId18" Type="http://schemas.openxmlformats.org/officeDocument/2006/relationships/ctrlProp" Target="../ctrlProps/ctrlProp410.xml"/><Relationship Id="rId26" Type="http://schemas.openxmlformats.org/officeDocument/2006/relationships/ctrlProp" Target="../ctrlProps/ctrlProp418.xml"/><Relationship Id="rId3" Type="http://schemas.openxmlformats.org/officeDocument/2006/relationships/vmlDrawing" Target="../drawings/vmlDrawing19.vml"/><Relationship Id="rId21" Type="http://schemas.openxmlformats.org/officeDocument/2006/relationships/ctrlProp" Target="../ctrlProps/ctrlProp413.xml"/><Relationship Id="rId34" Type="http://schemas.openxmlformats.org/officeDocument/2006/relationships/ctrlProp" Target="../ctrlProps/ctrlProp426.xml"/><Relationship Id="rId7" Type="http://schemas.openxmlformats.org/officeDocument/2006/relationships/ctrlProp" Target="../ctrlProps/ctrlProp399.xml"/><Relationship Id="rId12" Type="http://schemas.openxmlformats.org/officeDocument/2006/relationships/ctrlProp" Target="../ctrlProps/ctrlProp404.xml"/><Relationship Id="rId17" Type="http://schemas.openxmlformats.org/officeDocument/2006/relationships/ctrlProp" Target="../ctrlProps/ctrlProp409.xml"/><Relationship Id="rId25" Type="http://schemas.openxmlformats.org/officeDocument/2006/relationships/ctrlProp" Target="../ctrlProps/ctrlProp417.xml"/><Relationship Id="rId33" Type="http://schemas.openxmlformats.org/officeDocument/2006/relationships/ctrlProp" Target="../ctrlProps/ctrlProp425.xml"/><Relationship Id="rId2" Type="http://schemas.openxmlformats.org/officeDocument/2006/relationships/drawing" Target="../drawings/drawing19.xml"/><Relationship Id="rId16" Type="http://schemas.openxmlformats.org/officeDocument/2006/relationships/ctrlProp" Target="../ctrlProps/ctrlProp408.xml"/><Relationship Id="rId20" Type="http://schemas.openxmlformats.org/officeDocument/2006/relationships/ctrlProp" Target="../ctrlProps/ctrlProp412.xml"/><Relationship Id="rId29" Type="http://schemas.openxmlformats.org/officeDocument/2006/relationships/ctrlProp" Target="../ctrlProps/ctrlProp421.xml"/><Relationship Id="rId1" Type="http://schemas.openxmlformats.org/officeDocument/2006/relationships/printerSettings" Target="../printerSettings/printerSettings24.bin"/><Relationship Id="rId6" Type="http://schemas.openxmlformats.org/officeDocument/2006/relationships/ctrlProp" Target="../ctrlProps/ctrlProp398.xml"/><Relationship Id="rId11" Type="http://schemas.openxmlformats.org/officeDocument/2006/relationships/ctrlProp" Target="../ctrlProps/ctrlProp403.xml"/><Relationship Id="rId24" Type="http://schemas.openxmlformats.org/officeDocument/2006/relationships/ctrlProp" Target="../ctrlProps/ctrlProp416.xml"/><Relationship Id="rId32" Type="http://schemas.openxmlformats.org/officeDocument/2006/relationships/ctrlProp" Target="../ctrlProps/ctrlProp424.xml"/><Relationship Id="rId5" Type="http://schemas.openxmlformats.org/officeDocument/2006/relationships/ctrlProp" Target="../ctrlProps/ctrlProp397.xml"/><Relationship Id="rId15" Type="http://schemas.openxmlformats.org/officeDocument/2006/relationships/ctrlProp" Target="../ctrlProps/ctrlProp407.xml"/><Relationship Id="rId23" Type="http://schemas.openxmlformats.org/officeDocument/2006/relationships/ctrlProp" Target="../ctrlProps/ctrlProp415.xml"/><Relationship Id="rId28" Type="http://schemas.openxmlformats.org/officeDocument/2006/relationships/ctrlProp" Target="../ctrlProps/ctrlProp420.xml"/><Relationship Id="rId10" Type="http://schemas.openxmlformats.org/officeDocument/2006/relationships/ctrlProp" Target="../ctrlProps/ctrlProp402.xml"/><Relationship Id="rId19" Type="http://schemas.openxmlformats.org/officeDocument/2006/relationships/ctrlProp" Target="../ctrlProps/ctrlProp411.xml"/><Relationship Id="rId31" Type="http://schemas.openxmlformats.org/officeDocument/2006/relationships/ctrlProp" Target="../ctrlProps/ctrlProp423.xml"/><Relationship Id="rId4" Type="http://schemas.openxmlformats.org/officeDocument/2006/relationships/ctrlProp" Target="../ctrlProps/ctrlProp396.xml"/><Relationship Id="rId9" Type="http://schemas.openxmlformats.org/officeDocument/2006/relationships/ctrlProp" Target="../ctrlProps/ctrlProp401.xml"/><Relationship Id="rId14" Type="http://schemas.openxmlformats.org/officeDocument/2006/relationships/ctrlProp" Target="../ctrlProps/ctrlProp406.xml"/><Relationship Id="rId22" Type="http://schemas.openxmlformats.org/officeDocument/2006/relationships/ctrlProp" Target="../ctrlProps/ctrlProp414.xml"/><Relationship Id="rId27" Type="http://schemas.openxmlformats.org/officeDocument/2006/relationships/ctrlProp" Target="../ctrlProps/ctrlProp419.xml"/><Relationship Id="rId30" Type="http://schemas.openxmlformats.org/officeDocument/2006/relationships/ctrlProp" Target="../ctrlProps/ctrlProp422.xml"/><Relationship Id="rId35" Type="http://schemas.openxmlformats.org/officeDocument/2006/relationships/ctrlProp" Target="../ctrlProps/ctrlProp4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248</v>
      </c>
      <c r="B3" s="71"/>
    </row>
    <row r="4" spans="1:5" x14ac:dyDescent="0.25">
      <c r="A4" s="193"/>
      <c r="B4" s="71"/>
    </row>
    <row r="5" spans="1:5" x14ac:dyDescent="0.25">
      <c r="A5" s="193" t="s">
        <v>283</v>
      </c>
      <c r="B5" s="71" t="s">
        <v>545</v>
      </c>
    </row>
    <row r="6" spans="1:5" x14ac:dyDescent="0.25">
      <c r="A6" s="193"/>
      <c r="B6" s="71"/>
    </row>
    <row r="7" spans="1:5" x14ac:dyDescent="0.25">
      <c r="A7" s="71" t="s">
        <v>249</v>
      </c>
      <c r="B7" s="71"/>
    </row>
    <row r="8" spans="1:5" x14ac:dyDescent="0.25">
      <c r="A8" s="193"/>
      <c r="B8" s="71"/>
    </row>
    <row r="9" spans="1:5" x14ac:dyDescent="0.25">
      <c r="A9" s="193"/>
      <c r="B9" s="71"/>
    </row>
    <row r="10" spans="1:5" x14ac:dyDescent="0.25">
      <c r="A10" s="71" t="s">
        <v>72</v>
      </c>
      <c r="B10" s="194" t="s">
        <v>514</v>
      </c>
    </row>
    <row r="11" spans="1:5" x14ac:dyDescent="0.25">
      <c r="A11" s="71" t="s">
        <v>244</v>
      </c>
      <c r="B11" s="195"/>
    </row>
    <row r="12" spans="1:5" x14ac:dyDescent="0.25">
      <c r="A12" s="71"/>
      <c r="B12" s="195"/>
    </row>
    <row r="13" spans="1:5" x14ac:dyDescent="0.25">
      <c r="A13" s="71" t="s">
        <v>187</v>
      </c>
      <c r="B13" s="195"/>
    </row>
    <row r="14" spans="1:5" x14ac:dyDescent="0.25">
      <c r="A14" s="71"/>
      <c r="B14" s="195"/>
    </row>
    <row r="15" spans="1:5" x14ac:dyDescent="0.25">
      <c r="A15" s="71" t="s">
        <v>255</v>
      </c>
      <c r="B15" s="195"/>
      <c r="E15" t="s">
        <v>312</v>
      </c>
    </row>
    <row r="16" spans="1:5" x14ac:dyDescent="0.25">
      <c r="A16" s="71" t="s">
        <v>256</v>
      </c>
      <c r="B16" s="195"/>
    </row>
    <row r="17" spans="1:6" x14ac:dyDescent="0.25">
      <c r="A17" s="71"/>
      <c r="B17" s="195"/>
    </row>
    <row r="18" spans="1:6" x14ac:dyDescent="0.25">
      <c r="A18" s="71"/>
      <c r="B18" s="195"/>
    </row>
    <row r="19" spans="1:6" x14ac:dyDescent="0.25">
      <c r="A19" s="196" t="s">
        <v>257</v>
      </c>
      <c r="B19" s="195"/>
    </row>
    <row r="20" spans="1:6" x14ac:dyDescent="0.25">
      <c r="A20" s="71" t="s">
        <v>64</v>
      </c>
      <c r="B20" s="176" t="str">
        <f>B10&amp;" Edition"</f>
        <v>1/11/2022 Edition</v>
      </c>
    </row>
    <row r="21" spans="1:6" x14ac:dyDescent="0.25">
      <c r="A21" s="71" t="s">
        <v>62</v>
      </c>
      <c r="B21" s="177" t="str">
        <f>IF(ISBLANK('1.General'!$B$45),"",'1.General'!$B$45)</f>
        <v>State Farm General Insurance Company</v>
      </c>
    </row>
    <row r="22" spans="1:6" x14ac:dyDescent="0.25">
      <c r="A22" s="71" t="s">
        <v>63</v>
      </c>
      <c r="B22" s="177" t="str">
        <f>INDEX(List_GeneralLine,References!$F$5,1)</f>
        <v>Homeowners</v>
      </c>
    </row>
    <row r="23" spans="1:6" x14ac:dyDescent="0.25">
      <c r="A23" s="71" t="s">
        <v>115</v>
      </c>
      <c r="B23" s="177" t="str">
        <f>IF(ISBLANK('1.General'!$H$14),"",'1.General'!$H$14)</f>
        <v/>
      </c>
    </row>
    <row r="24" spans="1:6" x14ac:dyDescent="0.25">
      <c r="A24" s="71" t="s">
        <v>225</v>
      </c>
      <c r="B24" s="179" t="str">
        <f>IF(ISBLANK('1.General'!$B$7),"",'1.General'!$B$7)</f>
        <v>Nicole Pettis</v>
      </c>
    </row>
    <row r="25" spans="1:6" x14ac:dyDescent="0.25">
      <c r="A25" s="71" t="s">
        <v>226</v>
      </c>
      <c r="B25" s="178">
        <f>IF(ISBLANK('1.General'!$E$7),"",'1.General'!$E$7)</f>
        <v>44587</v>
      </c>
      <c r="F25" t="s">
        <v>312</v>
      </c>
    </row>
    <row r="26" spans="1:6" x14ac:dyDescent="0.25">
      <c r="A26" s="71" t="s">
        <v>223</v>
      </c>
      <c r="B26" s="178" t="str">
        <f>IF(ISBLANK('4.Proposed Impact'!$D$9),"",'4.Proposed Impact'!$D$9)</f>
        <v/>
      </c>
    </row>
    <row r="27" spans="1:6" x14ac:dyDescent="0.25">
      <c r="A27" s="71" t="s">
        <v>281</v>
      </c>
      <c r="B27" s="179" t="b">
        <v>0</v>
      </c>
    </row>
    <row r="28" spans="1:6" x14ac:dyDescent="0.25">
      <c r="A28" s="71" t="s">
        <v>369</v>
      </c>
      <c r="B28" s="354" t="b">
        <f>IF('3.Filing Type and Checklist'!E7="Y",TRUE,FALSE)</f>
        <v>0</v>
      </c>
    </row>
    <row r="29" spans="1:6" x14ac:dyDescent="0.25">
      <c r="A29" s="71" t="s">
        <v>370</v>
      </c>
      <c r="B29" s="354" t="b">
        <f>IF('3.Filing Type and Checklist'!E8="Y",TRUE,FALSE)</f>
        <v>1</v>
      </c>
    </row>
    <row r="30" spans="1:6" x14ac:dyDescent="0.25">
      <c r="A30" s="71" t="s">
        <v>371</v>
      </c>
      <c r="B30" s="354" t="b">
        <f>IF('3.Filing Type and Checklist'!E10="Y",TRUE,FALSE)</f>
        <v>0</v>
      </c>
    </row>
    <row r="31" spans="1:6" x14ac:dyDescent="0.25">
      <c r="A31" s="71" t="s">
        <v>372</v>
      </c>
      <c r="B31" s="354" t="b">
        <f>IF('3.Filing Type and Checklist'!E6="Y",TRUE,FALSE)</f>
        <v>0</v>
      </c>
    </row>
    <row r="32" spans="1:6" x14ac:dyDescent="0.25">
      <c r="A32" s="71" t="s">
        <v>373</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381</v>
      </c>
      <c r="B33" s="71"/>
    </row>
    <row r="34" spans="1:2" x14ac:dyDescent="0.25">
      <c r="A34" s="71" t="s">
        <v>439</v>
      </c>
      <c r="B34" s="448" t="b">
        <v>0</v>
      </c>
    </row>
  </sheetData>
  <sheetProtection formatColumns="0" formatRows="0" sort="0"/>
  <pageMargins left="0.7" right="0.7" top="0.75" bottom="0.75" header="0.3" footer="0.3"/>
  <pageSetup scale="83" orientation="portrait"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pageSetUpPr fitToPage="1"/>
  </sheetPr>
  <dimension ref="A1:AV78"/>
  <sheetViews>
    <sheetView zoomScale="80" zoomScaleNormal="80" workbookViewId="0"/>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183</v>
      </c>
      <c r="G2" s="134"/>
      <c r="H2" s="136" t="s">
        <v>107</v>
      </c>
      <c r="I2" s="137" t="s">
        <v>277</v>
      </c>
      <c r="L2" s="136" t="s">
        <v>399</v>
      </c>
      <c r="M2" s="404"/>
      <c r="N2" s="383"/>
      <c r="O2" s="383"/>
      <c r="P2" s="383"/>
      <c r="Q2" s="383"/>
      <c r="R2" s="383"/>
      <c r="S2" s="405"/>
      <c r="T2" s="406"/>
      <c r="U2" s="407" t="s">
        <v>424</v>
      </c>
      <c r="V2" s="408"/>
      <c r="Y2" s="133" t="s">
        <v>476</v>
      </c>
    </row>
    <row r="3" spans="1:25" x14ac:dyDescent="0.25">
      <c r="B3" s="138" t="s">
        <v>108</v>
      </c>
      <c r="C3" s="134"/>
      <c r="D3" s="146" t="s">
        <v>185</v>
      </c>
      <c r="F3" s="140"/>
      <c r="H3" s="141"/>
      <c r="I3" s="142"/>
      <c r="L3" s="409"/>
      <c r="M3" s="139"/>
      <c r="N3" s="410"/>
      <c r="O3" s="410"/>
      <c r="P3" s="410"/>
      <c r="Q3" s="410"/>
      <c r="R3" s="410"/>
      <c r="S3" s="411"/>
      <c r="T3" s="142"/>
      <c r="U3" s="412" t="s">
        <v>425</v>
      </c>
      <c r="V3" s="413"/>
      <c r="Y3" s="138" t="s">
        <v>477</v>
      </c>
    </row>
    <row r="4" spans="1:25" ht="100.5" x14ac:dyDescent="0.25">
      <c r="B4" s="138" t="s">
        <v>184</v>
      </c>
      <c r="C4" s="165"/>
      <c r="D4" s="139"/>
      <c r="F4" s="140"/>
      <c r="H4" s="141"/>
      <c r="I4" s="142"/>
      <c r="L4" s="141" t="s">
        <v>426</v>
      </c>
      <c r="M4" s="139"/>
      <c r="N4" s="414" t="s">
        <v>427</v>
      </c>
      <c r="O4" s="414" t="s">
        <v>428</v>
      </c>
      <c r="P4" s="414" t="s">
        <v>429</v>
      </c>
      <c r="Q4" s="414" t="s">
        <v>430</v>
      </c>
      <c r="R4" s="414" t="s">
        <v>410</v>
      </c>
      <c r="S4" s="411"/>
      <c r="T4" s="142"/>
      <c r="U4" s="415" t="s">
        <v>431</v>
      </c>
      <c r="V4" s="416" t="s">
        <v>432</v>
      </c>
      <c r="Y4" s="455">
        <v>9</v>
      </c>
    </row>
    <row r="5" spans="1:25" ht="45" customHeight="1" x14ac:dyDescent="0.25">
      <c r="A5" s="201" t="s">
        <v>258</v>
      </c>
      <c r="B5" s="202"/>
      <c r="C5" s="163"/>
      <c r="D5" s="203">
        <v>2</v>
      </c>
      <c r="E5" s="204"/>
      <c r="F5" s="205">
        <v>14</v>
      </c>
      <c r="G5" s="204"/>
      <c r="H5" s="206"/>
      <c r="I5" s="207"/>
      <c r="J5" s="204"/>
      <c r="L5" s="141" t="s">
        <v>433</v>
      </c>
      <c r="M5" s="139"/>
      <c r="N5" s="417">
        <f>IF('3.Filing Type and Checklist'!A17="",1,0)</f>
        <v>1</v>
      </c>
      <c r="O5" s="417">
        <f>IF(OR('3.Filing Type and Checklist'!$E$7="Y",'3.Filing Type and Checklist'!$E$9="Y",'3.Filing Type and Checklist'!$E$11="Y"),1,0)</f>
        <v>0</v>
      </c>
      <c r="P5" s="417">
        <f>IF('3.Filing Type and Checklist'!$E$10="Y",1,0)</f>
        <v>0</v>
      </c>
      <c r="Q5" s="417">
        <f>IF('3.Filing Type and Checklist'!$E$8="Y",1,0)</f>
        <v>1</v>
      </c>
      <c r="R5" s="417">
        <f>IF('3.Filing Type and Checklist'!$E$6="Y",1,0)</f>
        <v>0</v>
      </c>
      <c r="S5" s="411"/>
      <c r="T5" s="142"/>
      <c r="U5" s="415"/>
      <c r="V5" s="416" t="str">
        <f>LEFT(V8&amp;V9&amp;V10&amp;V11&amp;V12&amp;V13&amp;V14&amp;V15&amp;V16&amp;V17&amp;V18&amp;V19&amp;V20&amp;V22&amp;V23&amp;V24&amp;V25&amp;V26&amp;V27&amp;V28&amp;V29&amp;V30&amp;V31&amp;V32&amp;V33&amp;V34&amp;V35&amp;V36&amp;V37&amp;V38&amp;V39&amp;V40&amp;V41&amp;V42&amp;V43&amp;V44&amp;V45&amp;V46&amp;V47&amp;V48&amp;V49&amp;V50&amp;V51&amp;V52&amp;V53,LEN(V8&amp;V9&amp;V10&amp;V11&amp;V12&amp;V13&amp;V14&amp;V15&amp;V16&amp;V17&amp;V18&amp;V19&amp;V20&amp;V22&amp;V23&amp;V24&amp;V25&amp;V26&amp;V27&amp;V28&amp;V29&amp;V30&amp;V31&amp;V32&amp;V33&amp;V34&amp;V35&amp;V36&amp;V37&amp;V38&amp;V39&amp;V40&amp;V41&amp;V42&amp;V43&amp;V44&amp;V45&amp;V46&amp;V47&amp;V48&amp;V49&amp;V50&amp;V51&amp;V52&amp;V53)-1)</f>
        <v>A20,A22,A23,A24,A25,A26,A27,A29,A34,A35,A36,A37,A38,A39,A40,A41,A42,A43,A44,A45,A46,A47,A48,A49,A52,A53,A55,A56,A59,A60,A61,A62,A63,A64</v>
      </c>
      <c r="Y5" s="456">
        <f>Y4-1</f>
        <v>8</v>
      </c>
    </row>
    <row r="6" spans="1:25" ht="30" x14ac:dyDescent="0.25">
      <c r="B6" s="143" t="s">
        <v>5</v>
      </c>
      <c r="C6" s="52"/>
      <c r="D6" s="139" t="s">
        <v>28</v>
      </c>
      <c r="F6" s="140"/>
      <c r="H6" s="128" t="s">
        <v>84</v>
      </c>
      <c r="I6" s="129" t="s">
        <v>228</v>
      </c>
      <c r="L6" s="384" t="s">
        <v>398</v>
      </c>
      <c r="M6" s="418"/>
      <c r="N6" s="419"/>
      <c r="O6" s="420"/>
      <c r="P6" s="420"/>
      <c r="Q6" s="420"/>
      <c r="R6" s="421"/>
      <c r="S6" s="411"/>
      <c r="T6" s="422"/>
      <c r="U6" s="423"/>
      <c r="V6" s="416"/>
      <c r="Y6" s="426">
        <v>0</v>
      </c>
    </row>
    <row r="7" spans="1:25" ht="30" x14ac:dyDescent="0.25">
      <c r="B7" s="143" t="s">
        <v>6</v>
      </c>
      <c r="C7" s="52"/>
      <c r="D7" s="139" t="s">
        <v>29</v>
      </c>
      <c r="F7" s="140" t="s">
        <v>34</v>
      </c>
      <c r="H7" s="128" t="s">
        <v>85</v>
      </c>
      <c r="I7" s="129" t="s">
        <v>229</v>
      </c>
      <c r="L7" s="386" t="s">
        <v>293</v>
      </c>
      <c r="M7" s="418" t="s">
        <v>434</v>
      </c>
      <c r="N7" s="387"/>
      <c r="O7" s="387"/>
      <c r="P7" s="387"/>
      <c r="Q7" s="387"/>
      <c r="R7" s="387"/>
      <c r="S7" s="424" t="s">
        <v>386</v>
      </c>
      <c r="T7" s="425" t="s">
        <v>387</v>
      </c>
      <c r="U7" s="391"/>
      <c r="V7" s="416"/>
      <c r="Y7" s="426">
        <v>1</v>
      </c>
    </row>
    <row r="8" spans="1:25" ht="30.75" thickBot="1" x14ac:dyDescent="0.3">
      <c r="B8" s="144" t="s">
        <v>53</v>
      </c>
      <c r="C8" s="52"/>
      <c r="D8" s="401"/>
      <c r="F8" s="140" t="s">
        <v>35</v>
      </c>
      <c r="H8" s="128" t="s">
        <v>86</v>
      </c>
      <c r="I8" s="129" t="s">
        <v>230</v>
      </c>
      <c r="L8" s="385" t="s">
        <v>380</v>
      </c>
      <c r="M8" s="426">
        <v>19</v>
      </c>
      <c r="N8" s="427">
        <v>1</v>
      </c>
      <c r="O8" s="427"/>
      <c r="P8" s="427"/>
      <c r="Q8" s="427"/>
      <c r="R8" s="427" t="s">
        <v>435</v>
      </c>
      <c r="S8" s="428">
        <v>1</v>
      </c>
      <c r="T8" s="429">
        <v>1</v>
      </c>
      <c r="U8" s="392">
        <f>SUMPRODUCT(N$5:R$5,N8:R8)</f>
        <v>1</v>
      </c>
      <c r="V8" s="430" t="str">
        <f t="shared" ref="V8:V53" si="0">IF(U8=0,"A"&amp;$M8&amp;",","")</f>
        <v/>
      </c>
      <c r="Y8" s="426">
        <v>2</v>
      </c>
    </row>
    <row r="9" spans="1:25" ht="30" x14ac:dyDescent="0.25">
      <c r="F9" s="140" t="s">
        <v>36</v>
      </c>
      <c r="H9" s="128" t="s">
        <v>87</v>
      </c>
      <c r="I9" s="129" t="s">
        <v>231</v>
      </c>
      <c r="L9" s="431" t="s">
        <v>291</v>
      </c>
      <c r="M9" s="426">
        <v>20</v>
      </c>
      <c r="N9" s="432" t="s">
        <v>435</v>
      </c>
      <c r="O9" s="432"/>
      <c r="P9" s="432"/>
      <c r="Q9" s="432"/>
      <c r="R9" s="432" t="s">
        <v>435</v>
      </c>
      <c r="S9" s="428">
        <v>1</v>
      </c>
      <c r="T9" s="429">
        <v>1</v>
      </c>
      <c r="U9" s="433">
        <f>IF('1.General'!$K$24=1,1,0)</f>
        <v>0</v>
      </c>
      <c r="V9" s="430" t="str">
        <f t="shared" si="0"/>
        <v>A20,</v>
      </c>
      <c r="Y9" s="426">
        <v>3</v>
      </c>
    </row>
    <row r="10" spans="1:25" ht="30" x14ac:dyDescent="0.25">
      <c r="F10" s="140" t="s">
        <v>37</v>
      </c>
      <c r="H10" s="128" t="s">
        <v>88</v>
      </c>
      <c r="I10" s="129" t="s">
        <v>232</v>
      </c>
      <c r="L10" s="385" t="s">
        <v>395</v>
      </c>
      <c r="M10" s="426">
        <v>21</v>
      </c>
      <c r="N10" s="427">
        <v>1</v>
      </c>
      <c r="O10" s="427"/>
      <c r="P10" s="427"/>
      <c r="Q10" s="427"/>
      <c r="R10" s="427" t="s">
        <v>435</v>
      </c>
      <c r="S10" s="428">
        <v>1</v>
      </c>
      <c r="T10" s="429">
        <v>1</v>
      </c>
      <c r="U10" s="392">
        <f t="shared" ref="U10:U17" si="1">SUMPRODUCT(N$5:R$5,N10:R10)</f>
        <v>1</v>
      </c>
      <c r="V10" s="430" t="str">
        <f t="shared" si="0"/>
        <v/>
      </c>
      <c r="Y10" s="426">
        <v>4</v>
      </c>
    </row>
    <row r="11" spans="1:25" ht="29.25" customHeight="1" x14ac:dyDescent="0.25">
      <c r="F11" s="140" t="s">
        <v>38</v>
      </c>
      <c r="H11" s="128" t="s">
        <v>91</v>
      </c>
      <c r="I11" s="129" t="s">
        <v>233</v>
      </c>
      <c r="L11" s="385" t="s">
        <v>292</v>
      </c>
      <c r="M11" s="426">
        <v>22</v>
      </c>
      <c r="N11" s="427" t="s">
        <v>435</v>
      </c>
      <c r="O11" s="427">
        <v>1</v>
      </c>
      <c r="P11" s="427"/>
      <c r="Q11" s="427"/>
      <c r="R11" s="427">
        <v>1</v>
      </c>
      <c r="S11" s="428">
        <v>1</v>
      </c>
      <c r="T11" s="429">
        <v>1</v>
      </c>
      <c r="U11" s="392">
        <f t="shared" si="1"/>
        <v>0</v>
      </c>
      <c r="V11" s="430" t="str">
        <f t="shared" si="0"/>
        <v>A22,</v>
      </c>
      <c r="Y11" s="426">
        <v>5</v>
      </c>
    </row>
    <row r="12" spans="1:25" ht="30" x14ac:dyDescent="0.25">
      <c r="F12" s="140" t="s">
        <v>39</v>
      </c>
      <c r="H12" s="128" t="s">
        <v>89</v>
      </c>
      <c r="I12" s="129" t="s">
        <v>234</v>
      </c>
      <c r="L12" s="385" t="s">
        <v>300</v>
      </c>
      <c r="M12" s="426">
        <v>23</v>
      </c>
      <c r="N12" s="427" t="s">
        <v>435</v>
      </c>
      <c r="O12" s="427">
        <v>1</v>
      </c>
      <c r="P12" s="427"/>
      <c r="Q12" s="427"/>
      <c r="R12" s="427"/>
      <c r="S12" s="428">
        <v>1</v>
      </c>
      <c r="T12" s="429">
        <v>1</v>
      </c>
      <c r="U12" s="392">
        <f t="shared" si="1"/>
        <v>0</v>
      </c>
      <c r="V12" s="430" t="str">
        <f t="shared" si="0"/>
        <v>A23,</v>
      </c>
      <c r="Y12" s="426">
        <v>6</v>
      </c>
    </row>
    <row r="13" spans="1:25" ht="30" x14ac:dyDescent="0.25">
      <c r="F13" s="140" t="s">
        <v>40</v>
      </c>
      <c r="H13" s="128" t="s">
        <v>90</v>
      </c>
      <c r="I13" s="129" t="s">
        <v>235</v>
      </c>
      <c r="L13" s="385" t="s">
        <v>360</v>
      </c>
      <c r="M13" s="426">
        <v>24</v>
      </c>
      <c r="N13" s="427" t="s">
        <v>435</v>
      </c>
      <c r="O13" s="427">
        <v>1</v>
      </c>
      <c r="P13" s="427"/>
      <c r="Q13" s="427"/>
      <c r="R13" s="427" t="s">
        <v>435</v>
      </c>
      <c r="S13" s="428">
        <v>1</v>
      </c>
      <c r="T13" s="429">
        <v>1</v>
      </c>
      <c r="U13" s="392">
        <f t="shared" si="1"/>
        <v>0</v>
      </c>
      <c r="V13" s="430" t="str">
        <f t="shared" si="0"/>
        <v>A24,</v>
      </c>
      <c r="Y13" s="426">
        <v>7</v>
      </c>
    </row>
    <row r="14" spans="1:25" ht="30" x14ac:dyDescent="0.25">
      <c r="F14" s="140" t="s">
        <v>41</v>
      </c>
      <c r="H14" s="128" t="s">
        <v>112</v>
      </c>
      <c r="I14" s="129" t="s">
        <v>236</v>
      </c>
      <c r="L14" s="385" t="s">
        <v>301</v>
      </c>
      <c r="M14" s="426">
        <v>25</v>
      </c>
      <c r="N14" s="427" t="s">
        <v>435</v>
      </c>
      <c r="O14" s="427">
        <v>1</v>
      </c>
      <c r="P14" s="427"/>
      <c r="Q14" s="427"/>
      <c r="R14" s="427" t="s">
        <v>435</v>
      </c>
      <c r="S14" s="428">
        <v>1</v>
      </c>
      <c r="T14" s="429">
        <v>1</v>
      </c>
      <c r="U14" s="392">
        <f t="shared" si="1"/>
        <v>0</v>
      </c>
      <c r="V14" s="430" t="str">
        <f t="shared" si="0"/>
        <v>A25,</v>
      </c>
      <c r="Y14" s="426">
        <v>8</v>
      </c>
    </row>
    <row r="15" spans="1:25" ht="30" x14ac:dyDescent="0.25">
      <c r="F15" s="140" t="s">
        <v>42</v>
      </c>
      <c r="H15" s="128" t="s">
        <v>92</v>
      </c>
      <c r="I15" s="129" t="s">
        <v>237</v>
      </c>
      <c r="L15" s="385" t="s">
        <v>302</v>
      </c>
      <c r="M15" s="426">
        <v>26</v>
      </c>
      <c r="N15" s="427" t="s">
        <v>435</v>
      </c>
      <c r="O15" s="427">
        <v>1</v>
      </c>
      <c r="P15" s="427"/>
      <c r="Q15" s="427"/>
      <c r="R15" s="427">
        <v>1</v>
      </c>
      <c r="S15" s="428">
        <v>1</v>
      </c>
      <c r="T15" s="429">
        <v>1</v>
      </c>
      <c r="U15" s="392">
        <f t="shared" si="1"/>
        <v>0</v>
      </c>
      <c r="V15" s="430" t="str">
        <f t="shared" si="0"/>
        <v>A26,</v>
      </c>
      <c r="Y15" s="426">
        <v>9</v>
      </c>
    </row>
    <row r="16" spans="1:25" ht="30.75" thickBot="1" x14ac:dyDescent="0.3">
      <c r="F16" s="140" t="s">
        <v>43</v>
      </c>
      <c r="H16" s="128" t="s">
        <v>93</v>
      </c>
      <c r="I16" s="129" t="s">
        <v>238</v>
      </c>
      <c r="L16" s="385" t="s">
        <v>303</v>
      </c>
      <c r="M16" s="426">
        <v>27</v>
      </c>
      <c r="N16" s="427" t="s">
        <v>435</v>
      </c>
      <c r="O16" s="427"/>
      <c r="P16" s="427">
        <v>1</v>
      </c>
      <c r="Q16" s="427"/>
      <c r="R16" s="427">
        <v>1</v>
      </c>
      <c r="S16" s="428">
        <v>1</v>
      </c>
      <c r="T16" s="429">
        <v>1</v>
      </c>
      <c r="U16" s="392">
        <f t="shared" si="1"/>
        <v>0</v>
      </c>
      <c r="V16" s="430" t="str">
        <f t="shared" si="0"/>
        <v>A27,</v>
      </c>
      <c r="Y16" s="435">
        <v>10</v>
      </c>
    </row>
    <row r="17" spans="6:22" ht="30" x14ac:dyDescent="0.25">
      <c r="F17" s="140" t="s">
        <v>346</v>
      </c>
      <c r="H17" s="128" t="s">
        <v>94</v>
      </c>
      <c r="I17" s="129" t="s">
        <v>239</v>
      </c>
      <c r="L17" s="385" t="s">
        <v>328</v>
      </c>
      <c r="M17" s="426">
        <v>28</v>
      </c>
      <c r="N17" s="427" t="s">
        <v>435</v>
      </c>
      <c r="O17" s="427"/>
      <c r="P17" s="427"/>
      <c r="Q17" s="427">
        <v>1</v>
      </c>
      <c r="R17" s="427" t="s">
        <v>435</v>
      </c>
      <c r="S17" s="428">
        <v>1</v>
      </c>
      <c r="T17" s="429">
        <v>1</v>
      </c>
      <c r="U17" s="392">
        <f t="shared" si="1"/>
        <v>1</v>
      </c>
      <c r="V17" s="430" t="str">
        <f t="shared" si="0"/>
        <v/>
      </c>
    </row>
    <row r="18" spans="6:22" ht="30" x14ac:dyDescent="0.25">
      <c r="F18" s="140" t="s">
        <v>44</v>
      </c>
      <c r="H18" s="128" t="s">
        <v>95</v>
      </c>
      <c r="I18" s="129" t="s">
        <v>240</v>
      </c>
      <c r="L18" s="431" t="s">
        <v>78</v>
      </c>
      <c r="M18" s="426">
        <v>29</v>
      </c>
      <c r="N18" s="427" t="s">
        <v>435</v>
      </c>
      <c r="O18" s="427"/>
      <c r="P18" s="427"/>
      <c r="Q18" s="427"/>
      <c r="R18" s="427" t="s">
        <v>435</v>
      </c>
      <c r="S18" s="428">
        <v>1</v>
      </c>
      <c r="T18" s="429">
        <v>1</v>
      </c>
      <c r="U18" s="433">
        <f>IF('1.General'!$K$14=1,1,0)</f>
        <v>0</v>
      </c>
      <c r="V18" s="430" t="str">
        <f t="shared" si="0"/>
        <v>A29,</v>
      </c>
    </row>
    <row r="19" spans="6:22" ht="30" x14ac:dyDescent="0.25">
      <c r="F19" s="140" t="s">
        <v>45</v>
      </c>
      <c r="H19" s="128" t="s">
        <v>96</v>
      </c>
      <c r="I19" s="130" t="s">
        <v>241</v>
      </c>
      <c r="L19" s="431" t="s">
        <v>478</v>
      </c>
      <c r="M19" s="426">
        <v>30</v>
      </c>
      <c r="N19" s="427"/>
      <c r="O19" s="427"/>
      <c r="P19" s="427"/>
      <c r="Q19" s="427"/>
      <c r="R19" s="427"/>
      <c r="S19" s="428">
        <v>1</v>
      </c>
      <c r="T19" s="429">
        <v>1</v>
      </c>
      <c r="U19" s="433">
        <f>IF(Y5&gt;0,1,0)</f>
        <v>1</v>
      </c>
      <c r="V19" s="430" t="str">
        <f t="shared" si="0"/>
        <v/>
      </c>
    </row>
    <row r="20" spans="6:22" ht="30" x14ac:dyDescent="0.25">
      <c r="F20" s="140" t="s">
        <v>46</v>
      </c>
      <c r="H20" s="128" t="s">
        <v>97</v>
      </c>
      <c r="I20" s="129" t="s">
        <v>242</v>
      </c>
      <c r="L20" s="431" t="s">
        <v>479</v>
      </c>
      <c r="M20" s="426">
        <v>31</v>
      </c>
      <c r="N20" s="427">
        <v>1</v>
      </c>
      <c r="O20" s="427"/>
      <c r="P20" s="427"/>
      <c r="Q20" s="427"/>
      <c r="R20" s="427"/>
      <c r="S20" s="428">
        <v>1</v>
      </c>
      <c r="T20" s="429"/>
      <c r="U20" s="392">
        <f>SUMPRODUCT(N$5:R$5,N20:R20)</f>
        <v>1</v>
      </c>
      <c r="V20" s="430" t="str">
        <f t="shared" si="0"/>
        <v/>
      </c>
    </row>
    <row r="21" spans="6:22" ht="30" x14ac:dyDescent="0.25">
      <c r="F21" s="140" t="s">
        <v>47</v>
      </c>
      <c r="H21" s="128" t="s">
        <v>98</v>
      </c>
      <c r="I21" s="129" t="s">
        <v>351</v>
      </c>
      <c r="L21" s="206" t="s">
        <v>294</v>
      </c>
      <c r="M21" s="426">
        <v>32</v>
      </c>
      <c r="N21" s="387" t="s">
        <v>435</v>
      </c>
      <c r="O21" s="387"/>
      <c r="P21" s="387"/>
      <c r="Q21" s="387"/>
      <c r="R21" s="387" t="s">
        <v>435</v>
      </c>
      <c r="S21" s="428"/>
      <c r="T21" s="429"/>
      <c r="U21" s="391"/>
      <c r="V21" s="430" t="str">
        <f t="shared" si="0"/>
        <v>A32,</v>
      </c>
    </row>
    <row r="22" spans="6:22" ht="30" x14ac:dyDescent="0.25">
      <c r="F22" s="140" t="s">
        <v>48</v>
      </c>
      <c r="H22" s="128" t="s">
        <v>99</v>
      </c>
      <c r="I22" s="129" t="s">
        <v>352</v>
      </c>
      <c r="L22" s="385" t="s">
        <v>286</v>
      </c>
      <c r="M22" s="426">
        <v>33</v>
      </c>
      <c r="N22" s="427" t="s">
        <v>435</v>
      </c>
      <c r="O22" s="427">
        <v>1</v>
      </c>
      <c r="P22" s="427">
        <v>1</v>
      </c>
      <c r="Q22" s="427">
        <v>1</v>
      </c>
      <c r="R22" s="427" t="s">
        <v>435</v>
      </c>
      <c r="S22" s="428">
        <v>1</v>
      </c>
      <c r="T22" s="429"/>
      <c r="U22" s="392">
        <f t="shared" ref="U22:U33" si="2">SUMPRODUCT(N$5:R$5,N22:R22)</f>
        <v>1</v>
      </c>
      <c r="V22" s="430" t="str">
        <f t="shared" si="0"/>
        <v/>
      </c>
    </row>
    <row r="23" spans="6:22" ht="30" x14ac:dyDescent="0.25">
      <c r="F23" s="140" t="s">
        <v>49</v>
      </c>
      <c r="H23" s="128" t="s">
        <v>100</v>
      </c>
      <c r="I23" s="129" t="s">
        <v>353</v>
      </c>
      <c r="L23" s="385" t="s">
        <v>287</v>
      </c>
      <c r="M23" s="426">
        <v>34</v>
      </c>
      <c r="N23" s="427" t="s">
        <v>435</v>
      </c>
      <c r="O23" s="427">
        <v>1</v>
      </c>
      <c r="P23" s="427"/>
      <c r="Q23" s="427"/>
      <c r="R23" s="427" t="s">
        <v>435</v>
      </c>
      <c r="S23" s="428">
        <v>1</v>
      </c>
      <c r="T23" s="429">
        <v>1</v>
      </c>
      <c r="U23" s="392">
        <f t="shared" si="2"/>
        <v>0</v>
      </c>
      <c r="V23" s="430" t="str">
        <f t="shared" si="0"/>
        <v>A34,</v>
      </c>
    </row>
    <row r="24" spans="6:22" ht="45" x14ac:dyDescent="0.25">
      <c r="F24" s="140" t="s">
        <v>50</v>
      </c>
      <c r="H24" s="128" t="s">
        <v>101</v>
      </c>
      <c r="I24" s="129" t="s">
        <v>354</v>
      </c>
      <c r="L24" s="385" t="s">
        <v>288</v>
      </c>
      <c r="M24" s="426">
        <v>35</v>
      </c>
      <c r="N24" s="427" t="s">
        <v>435</v>
      </c>
      <c r="O24" s="427">
        <v>1</v>
      </c>
      <c r="P24" s="427"/>
      <c r="Q24" s="427"/>
      <c r="R24" s="427" t="s">
        <v>435</v>
      </c>
      <c r="S24" s="428">
        <v>1</v>
      </c>
      <c r="T24" s="429">
        <v>1</v>
      </c>
      <c r="U24" s="392">
        <f t="shared" si="2"/>
        <v>0</v>
      </c>
      <c r="V24" s="430" t="str">
        <f t="shared" si="0"/>
        <v>A35,</v>
      </c>
    </row>
    <row r="25" spans="6:22" ht="30" x14ac:dyDescent="0.25">
      <c r="F25" s="140" t="s">
        <v>51</v>
      </c>
      <c r="H25" s="128" t="s">
        <v>102</v>
      </c>
      <c r="I25" s="129" t="s">
        <v>355</v>
      </c>
      <c r="L25" s="385" t="s">
        <v>289</v>
      </c>
      <c r="M25" s="426">
        <v>36</v>
      </c>
      <c r="N25" s="427" t="s">
        <v>435</v>
      </c>
      <c r="O25" s="427">
        <v>1</v>
      </c>
      <c r="P25" s="427"/>
      <c r="Q25" s="427"/>
      <c r="R25" s="427" t="s">
        <v>435</v>
      </c>
      <c r="S25" s="428">
        <v>1</v>
      </c>
      <c r="T25" s="429">
        <v>1</v>
      </c>
      <c r="U25" s="392">
        <f t="shared" si="2"/>
        <v>0</v>
      </c>
      <c r="V25" s="430" t="str">
        <f t="shared" si="0"/>
        <v>A36,</v>
      </c>
    </row>
    <row r="26" spans="6:22" ht="30" x14ac:dyDescent="0.25">
      <c r="F26" s="140" t="s">
        <v>480</v>
      </c>
      <c r="H26" s="128" t="s">
        <v>103</v>
      </c>
      <c r="I26" s="129" t="s">
        <v>356</v>
      </c>
      <c r="L26" s="385" t="s">
        <v>388</v>
      </c>
      <c r="M26" s="426">
        <v>37</v>
      </c>
      <c r="N26" s="427" t="s">
        <v>435</v>
      </c>
      <c r="O26" s="427">
        <v>1</v>
      </c>
      <c r="P26" s="427"/>
      <c r="Q26" s="427"/>
      <c r="R26" s="427" t="s">
        <v>435</v>
      </c>
      <c r="S26" s="428">
        <v>1</v>
      </c>
      <c r="T26" s="429">
        <v>1</v>
      </c>
      <c r="U26" s="392">
        <f t="shared" si="2"/>
        <v>0</v>
      </c>
      <c r="V26" s="430" t="str">
        <f t="shared" si="0"/>
        <v>A37,</v>
      </c>
    </row>
    <row r="27" spans="6:22" ht="30.75" customHeight="1" thickBot="1" x14ac:dyDescent="0.3">
      <c r="F27" s="145" t="s">
        <v>52</v>
      </c>
      <c r="H27" s="128" t="s">
        <v>104</v>
      </c>
      <c r="I27" s="129" t="s">
        <v>243</v>
      </c>
      <c r="L27" s="385" t="s">
        <v>290</v>
      </c>
      <c r="M27" s="426">
        <v>38</v>
      </c>
      <c r="N27" s="427" t="s">
        <v>435</v>
      </c>
      <c r="O27" s="427">
        <v>1</v>
      </c>
      <c r="P27" s="427"/>
      <c r="Q27" s="427"/>
      <c r="R27" s="427" t="s">
        <v>435</v>
      </c>
      <c r="S27" s="428">
        <v>1</v>
      </c>
      <c r="T27" s="429">
        <v>1</v>
      </c>
      <c r="U27" s="392">
        <f t="shared" si="2"/>
        <v>0</v>
      </c>
      <c r="V27" s="430" t="str">
        <f t="shared" si="0"/>
        <v>A38,</v>
      </c>
    </row>
    <row r="28" spans="6:22" ht="30.75" customHeight="1" thickBot="1" x14ac:dyDescent="0.3">
      <c r="H28" s="131" t="s">
        <v>53</v>
      </c>
      <c r="I28" s="132" t="str">
        <f>""</f>
        <v/>
      </c>
      <c r="L28" s="385" t="s">
        <v>389</v>
      </c>
      <c r="M28" s="426">
        <v>39</v>
      </c>
      <c r="N28" s="427" t="s">
        <v>435</v>
      </c>
      <c r="O28" s="427">
        <v>1</v>
      </c>
      <c r="P28" s="427"/>
      <c r="Q28" s="427"/>
      <c r="R28" s="427" t="s">
        <v>435</v>
      </c>
      <c r="S28" s="428">
        <v>1</v>
      </c>
      <c r="T28" s="429">
        <v>1</v>
      </c>
      <c r="U28" s="392">
        <f t="shared" si="2"/>
        <v>0</v>
      </c>
      <c r="V28" s="430" t="str">
        <f t="shared" si="0"/>
        <v>A39,</v>
      </c>
    </row>
    <row r="29" spans="6:22" ht="30.75" customHeight="1" x14ac:dyDescent="0.25">
      <c r="I29" s="65"/>
      <c r="L29" s="385" t="s">
        <v>390</v>
      </c>
      <c r="M29" s="426">
        <v>40</v>
      </c>
      <c r="N29" s="427" t="s">
        <v>435</v>
      </c>
      <c r="O29" s="427">
        <v>1</v>
      </c>
      <c r="P29" s="427"/>
      <c r="Q29" s="427"/>
      <c r="R29" s="427" t="s">
        <v>435</v>
      </c>
      <c r="S29" s="428">
        <v>1</v>
      </c>
      <c r="T29" s="429">
        <v>1</v>
      </c>
      <c r="U29" s="392">
        <f t="shared" si="2"/>
        <v>0</v>
      </c>
      <c r="V29" s="430" t="str">
        <f t="shared" si="0"/>
        <v>A40,</v>
      </c>
    </row>
    <row r="30" spans="6:22" ht="30.75" customHeight="1" x14ac:dyDescent="0.25">
      <c r="I30" s="65"/>
      <c r="L30" s="385" t="s">
        <v>296</v>
      </c>
      <c r="M30" s="426">
        <v>41</v>
      </c>
      <c r="N30" s="427" t="s">
        <v>435</v>
      </c>
      <c r="O30" s="427">
        <v>1</v>
      </c>
      <c r="P30" s="427"/>
      <c r="Q30" s="427"/>
      <c r="R30" s="427" t="s">
        <v>435</v>
      </c>
      <c r="S30" s="428">
        <v>1</v>
      </c>
      <c r="T30" s="429">
        <v>1</v>
      </c>
      <c r="U30" s="392">
        <f t="shared" si="2"/>
        <v>0</v>
      </c>
      <c r="V30" s="430" t="str">
        <f t="shared" si="0"/>
        <v>A41,</v>
      </c>
    </row>
    <row r="31" spans="6:22" ht="30.75" customHeight="1" x14ac:dyDescent="0.25">
      <c r="I31" s="65"/>
      <c r="L31" s="385" t="s">
        <v>297</v>
      </c>
      <c r="M31" s="426">
        <v>42</v>
      </c>
      <c r="N31" s="427" t="s">
        <v>435</v>
      </c>
      <c r="O31" s="427">
        <v>1</v>
      </c>
      <c r="P31" s="427"/>
      <c r="Q31" s="427"/>
      <c r="R31" s="427" t="s">
        <v>435</v>
      </c>
      <c r="S31" s="428">
        <v>1</v>
      </c>
      <c r="T31" s="429">
        <v>1</v>
      </c>
      <c r="U31" s="392">
        <f t="shared" si="2"/>
        <v>0</v>
      </c>
      <c r="V31" s="430" t="str">
        <f t="shared" si="0"/>
        <v>A42,</v>
      </c>
    </row>
    <row r="32" spans="6:22" ht="30.75" customHeight="1" x14ac:dyDescent="0.25">
      <c r="I32" s="65"/>
      <c r="L32" s="385" t="s">
        <v>298</v>
      </c>
      <c r="M32" s="426">
        <v>43</v>
      </c>
      <c r="N32" s="427" t="s">
        <v>435</v>
      </c>
      <c r="O32" s="427">
        <v>1</v>
      </c>
      <c r="P32" s="427"/>
      <c r="Q32" s="427"/>
      <c r="R32" s="427" t="s">
        <v>435</v>
      </c>
      <c r="S32" s="428">
        <v>1</v>
      </c>
      <c r="T32" s="429">
        <v>1</v>
      </c>
      <c r="U32" s="392">
        <f t="shared" si="2"/>
        <v>0</v>
      </c>
      <c r="V32" s="430" t="str">
        <f t="shared" si="0"/>
        <v>A43,</v>
      </c>
    </row>
    <row r="33" spans="9:48" ht="30.75" customHeight="1" x14ac:dyDescent="0.25">
      <c r="I33" s="65"/>
      <c r="L33" s="385" t="s">
        <v>299</v>
      </c>
      <c r="M33" s="426">
        <v>44</v>
      </c>
      <c r="N33" s="427" t="s">
        <v>435</v>
      </c>
      <c r="O33" s="427">
        <v>1</v>
      </c>
      <c r="P33" s="427"/>
      <c r="Q33" s="427"/>
      <c r="R33" s="427">
        <v>1</v>
      </c>
      <c r="S33" s="428">
        <v>1</v>
      </c>
      <c r="T33" s="429">
        <v>1</v>
      </c>
      <c r="U33" s="392">
        <f t="shared" si="2"/>
        <v>0</v>
      </c>
      <c r="V33" s="430" t="str">
        <f t="shared" si="0"/>
        <v>A44,</v>
      </c>
    </row>
    <row r="34" spans="9:48" ht="30.75" customHeight="1" x14ac:dyDescent="0.25">
      <c r="I34" s="65"/>
      <c r="L34" s="434" t="s">
        <v>331</v>
      </c>
      <c r="M34" s="426">
        <v>45</v>
      </c>
      <c r="N34" s="427" t="s">
        <v>435</v>
      </c>
      <c r="O34" s="427"/>
      <c r="P34" s="427"/>
      <c r="Q34" s="427"/>
      <c r="R34" s="427" t="s">
        <v>435</v>
      </c>
      <c r="S34" s="428">
        <v>1</v>
      </c>
      <c r="T34" s="429"/>
      <c r="U34" s="433">
        <f>IF('1.General'!$K$14=1,1,0)</f>
        <v>0</v>
      </c>
      <c r="V34" s="430" t="str">
        <f t="shared" si="0"/>
        <v>A45,</v>
      </c>
    </row>
    <row r="35" spans="9:48" ht="30.75" customHeight="1" x14ac:dyDescent="0.25">
      <c r="I35" s="65"/>
      <c r="L35" s="385" t="s">
        <v>323</v>
      </c>
      <c r="M35" s="426">
        <v>46</v>
      </c>
      <c r="N35" s="427" t="s">
        <v>435</v>
      </c>
      <c r="O35" s="427">
        <v>1</v>
      </c>
      <c r="P35" s="427"/>
      <c r="Q35" s="427"/>
      <c r="R35" s="427" t="s">
        <v>435</v>
      </c>
      <c r="S35" s="428">
        <v>1</v>
      </c>
      <c r="T35" s="429">
        <v>1</v>
      </c>
      <c r="U35" s="392">
        <f>SUMPRODUCT(N$5:R$5,N35:R35)</f>
        <v>0</v>
      </c>
      <c r="V35" s="430" t="str">
        <f t="shared" si="0"/>
        <v>A46,</v>
      </c>
    </row>
    <row r="36" spans="9:48" ht="30.75" customHeight="1" x14ac:dyDescent="0.25">
      <c r="I36" s="65"/>
      <c r="L36" s="385" t="s">
        <v>324</v>
      </c>
      <c r="M36" s="426">
        <v>47</v>
      </c>
      <c r="N36" s="427" t="s">
        <v>435</v>
      </c>
      <c r="O36" s="427">
        <v>1</v>
      </c>
      <c r="P36" s="427"/>
      <c r="Q36" s="427"/>
      <c r="R36" s="427" t="s">
        <v>435</v>
      </c>
      <c r="S36" s="428">
        <v>1</v>
      </c>
      <c r="T36" s="429">
        <v>1</v>
      </c>
      <c r="U36" s="392">
        <f>SUMPRODUCT(N$5:R$5,N36:R36)</f>
        <v>0</v>
      </c>
      <c r="V36" s="430" t="str">
        <f t="shared" si="0"/>
        <v>A47,</v>
      </c>
    </row>
    <row r="37" spans="9:48" ht="30.75" customHeight="1" x14ac:dyDescent="0.25">
      <c r="I37" s="65"/>
      <c r="L37" s="385" t="s">
        <v>325</v>
      </c>
      <c r="M37" s="426">
        <v>48</v>
      </c>
      <c r="N37" s="427" t="s">
        <v>435</v>
      </c>
      <c r="O37" s="427"/>
      <c r="P37" s="427"/>
      <c r="Q37" s="427"/>
      <c r="R37" s="427">
        <v>1</v>
      </c>
      <c r="S37" s="428">
        <v>1</v>
      </c>
      <c r="T37" s="429"/>
      <c r="U37" s="392">
        <f>SUMPRODUCT(N$5:R$5,N37:R37)</f>
        <v>0</v>
      </c>
      <c r="V37" s="430" t="str">
        <f t="shared" si="0"/>
        <v>A48,</v>
      </c>
    </row>
    <row r="38" spans="9:48" ht="30.75" customHeight="1" x14ac:dyDescent="0.25">
      <c r="I38" s="65"/>
      <c r="L38" s="431" t="s">
        <v>326</v>
      </c>
      <c r="M38" s="426">
        <v>49</v>
      </c>
      <c r="N38" s="432" t="s">
        <v>435</v>
      </c>
      <c r="O38" s="432"/>
      <c r="P38" s="432"/>
      <c r="Q38" s="432"/>
      <c r="R38" s="432" t="s">
        <v>435</v>
      </c>
      <c r="S38" s="428">
        <v>1</v>
      </c>
      <c r="T38" s="429"/>
      <c r="U38" s="433">
        <f>IF(AND($D$5=2,$F$5=4,'1.General'!$K$39=2),1,0)</f>
        <v>0</v>
      </c>
      <c r="V38" s="430" t="str">
        <f t="shared" si="0"/>
        <v>A49,</v>
      </c>
    </row>
    <row r="39" spans="9:48" ht="30.75" customHeight="1" x14ac:dyDescent="0.25">
      <c r="I39" s="65"/>
      <c r="L39" s="385" t="s">
        <v>436</v>
      </c>
      <c r="M39" s="426">
        <v>50</v>
      </c>
      <c r="N39" s="427" t="s">
        <v>435</v>
      </c>
      <c r="O39" s="427">
        <v>1</v>
      </c>
      <c r="P39" s="427"/>
      <c r="Q39" s="427">
        <v>1</v>
      </c>
      <c r="R39" s="427" t="s">
        <v>435</v>
      </c>
      <c r="S39" s="428">
        <v>1</v>
      </c>
      <c r="T39" s="429"/>
      <c r="U39" s="392">
        <f>SUMPRODUCT(N$5:R$5,N39:R39)</f>
        <v>1</v>
      </c>
      <c r="V39" s="430" t="str">
        <f t="shared" si="0"/>
        <v/>
      </c>
      <c r="W39"/>
      <c r="X39"/>
      <c r="Y39"/>
      <c r="Z39"/>
      <c r="AA39"/>
      <c r="AB39"/>
      <c r="AC39"/>
      <c r="AD39"/>
      <c r="AE39"/>
      <c r="AF39"/>
      <c r="AG39"/>
      <c r="AH39"/>
      <c r="AI39"/>
      <c r="AJ39"/>
      <c r="AK39"/>
      <c r="AL39"/>
      <c r="AM39"/>
      <c r="AN39"/>
      <c r="AO39"/>
      <c r="AP39"/>
      <c r="AQ39"/>
      <c r="AR39"/>
      <c r="AS39"/>
      <c r="AT39"/>
      <c r="AU39"/>
      <c r="AV39"/>
    </row>
    <row r="40" spans="9:48" ht="30" customHeight="1" x14ac:dyDescent="0.25">
      <c r="I40" s="65"/>
      <c r="L40" s="385" t="s">
        <v>327</v>
      </c>
      <c r="M40" s="426">
        <v>51</v>
      </c>
      <c r="N40" s="427">
        <v>1</v>
      </c>
      <c r="O40" s="427"/>
      <c r="P40" s="427"/>
      <c r="Q40" s="427"/>
      <c r="R40" s="427" t="s">
        <v>435</v>
      </c>
      <c r="S40" s="428">
        <v>1</v>
      </c>
      <c r="T40" s="429">
        <v>1</v>
      </c>
      <c r="U40" s="392">
        <f>SUMPRODUCT(N$5:R$5,N40:R40)</f>
        <v>1</v>
      </c>
      <c r="V40" s="430" t="str">
        <f t="shared" si="0"/>
        <v/>
      </c>
    </row>
    <row r="41" spans="9:48" ht="30" customHeight="1" x14ac:dyDescent="0.25">
      <c r="I41" s="65"/>
      <c r="L41" s="385" t="s">
        <v>336</v>
      </c>
      <c r="M41" s="426">
        <v>52</v>
      </c>
      <c r="N41" s="427"/>
      <c r="O41" s="427">
        <v>1</v>
      </c>
      <c r="P41" s="427"/>
      <c r="Q41" s="427"/>
      <c r="R41" s="427" t="s">
        <v>435</v>
      </c>
      <c r="S41" s="428">
        <v>1</v>
      </c>
      <c r="T41" s="429">
        <v>1</v>
      </c>
      <c r="U41" s="392">
        <f>SUMPRODUCT(N$5:R$5,N41:R41)</f>
        <v>0</v>
      </c>
      <c r="V41" s="430" t="str">
        <f t="shared" si="0"/>
        <v>A52,</v>
      </c>
    </row>
    <row r="42" spans="9:48" ht="30" customHeight="1" x14ac:dyDescent="0.25">
      <c r="I42" s="65"/>
      <c r="L42" s="431" t="s">
        <v>335</v>
      </c>
      <c r="M42" s="426">
        <v>53</v>
      </c>
      <c r="N42" s="432" t="s">
        <v>435</v>
      </c>
      <c r="O42" s="432"/>
      <c r="P42" s="432"/>
      <c r="Q42" s="432"/>
      <c r="R42" s="432" t="s">
        <v>435</v>
      </c>
      <c r="S42" s="428">
        <v>1</v>
      </c>
      <c r="T42" s="429">
        <v>1</v>
      </c>
      <c r="U42" s="433">
        <f>IF('1.General'!$K$26=1,1,0)</f>
        <v>0</v>
      </c>
      <c r="V42" s="430" t="str">
        <f t="shared" si="0"/>
        <v>A53,</v>
      </c>
    </row>
    <row r="43" spans="9:48" ht="30" customHeight="1" x14ac:dyDescent="0.25">
      <c r="I43" s="65"/>
      <c r="L43" s="206" t="s">
        <v>79</v>
      </c>
      <c r="M43" s="426">
        <v>54</v>
      </c>
      <c r="N43" s="427">
        <v>1</v>
      </c>
      <c r="O43" s="427"/>
      <c r="P43" s="427"/>
      <c r="Q43" s="427"/>
      <c r="R43" s="427" t="s">
        <v>435</v>
      </c>
      <c r="S43" s="428">
        <v>1</v>
      </c>
      <c r="T43" s="429"/>
      <c r="U43" s="392">
        <f t="shared" ref="U43:U52" si="3">SUMPRODUCT(N$5:R$5,N43:R43)</f>
        <v>1</v>
      </c>
      <c r="V43" s="430" t="str">
        <f t="shared" si="0"/>
        <v/>
      </c>
    </row>
    <row r="44" spans="9:48" ht="30" customHeight="1" x14ac:dyDescent="0.25">
      <c r="I44" s="65"/>
      <c r="L44" s="206" t="s">
        <v>391</v>
      </c>
      <c r="M44" s="426">
        <v>55</v>
      </c>
      <c r="N44" s="427" t="s">
        <v>435</v>
      </c>
      <c r="O44" s="427">
        <v>1</v>
      </c>
      <c r="P44" s="427"/>
      <c r="Q44" s="427"/>
      <c r="R44" s="427">
        <v>1</v>
      </c>
      <c r="S44" s="428">
        <v>1</v>
      </c>
      <c r="T44" s="429">
        <v>1</v>
      </c>
      <c r="U44" s="392">
        <f t="shared" si="3"/>
        <v>0</v>
      </c>
      <c r="V44" s="430" t="str">
        <f t="shared" si="0"/>
        <v>A55,</v>
      </c>
    </row>
    <row r="45" spans="9:48" ht="30" customHeight="1" x14ac:dyDescent="0.25">
      <c r="I45" s="65"/>
      <c r="L45" s="206" t="s">
        <v>392</v>
      </c>
      <c r="M45" s="426">
        <v>56</v>
      </c>
      <c r="N45" s="427" t="s">
        <v>435</v>
      </c>
      <c r="O45" s="427">
        <v>1</v>
      </c>
      <c r="P45" s="427"/>
      <c r="Q45" s="427"/>
      <c r="R45" s="427" t="s">
        <v>435</v>
      </c>
      <c r="S45" s="428">
        <v>1</v>
      </c>
      <c r="T45" s="429">
        <v>1</v>
      </c>
      <c r="U45" s="392">
        <f t="shared" si="3"/>
        <v>0</v>
      </c>
      <c r="V45" s="430" t="str">
        <f t="shared" si="0"/>
        <v>A56,</v>
      </c>
    </row>
    <row r="46" spans="9:48" ht="30" customHeight="1" x14ac:dyDescent="0.25">
      <c r="I46" s="65"/>
      <c r="L46" s="206" t="s">
        <v>394</v>
      </c>
      <c r="M46" s="426">
        <v>57</v>
      </c>
      <c r="N46" s="427" t="s">
        <v>435</v>
      </c>
      <c r="O46" s="427">
        <v>1</v>
      </c>
      <c r="P46" s="427"/>
      <c r="Q46" s="427">
        <v>1</v>
      </c>
      <c r="R46" s="427">
        <v>1</v>
      </c>
      <c r="S46" s="428">
        <v>1</v>
      </c>
      <c r="T46" s="429"/>
      <c r="U46" s="392">
        <f t="shared" si="3"/>
        <v>1</v>
      </c>
      <c r="V46" s="430" t="str">
        <f t="shared" si="0"/>
        <v/>
      </c>
    </row>
    <row r="47" spans="9:48" ht="30" customHeight="1" x14ac:dyDescent="0.25">
      <c r="I47" s="65"/>
      <c r="L47" s="206" t="s">
        <v>393</v>
      </c>
      <c r="M47" s="426">
        <v>58</v>
      </c>
      <c r="N47" s="427" t="s">
        <v>435</v>
      </c>
      <c r="O47" s="427">
        <v>1</v>
      </c>
      <c r="P47" s="427"/>
      <c r="Q47" s="427">
        <v>1</v>
      </c>
      <c r="R47" s="427">
        <v>1</v>
      </c>
      <c r="S47" s="428">
        <v>1</v>
      </c>
      <c r="T47" s="429"/>
      <c r="U47" s="392">
        <f t="shared" si="3"/>
        <v>1</v>
      </c>
      <c r="V47" s="430" t="str">
        <f t="shared" si="0"/>
        <v/>
      </c>
    </row>
    <row r="48" spans="9:48" ht="30" customHeight="1" x14ac:dyDescent="0.25">
      <c r="I48" s="65"/>
      <c r="L48" s="206" t="s">
        <v>304</v>
      </c>
      <c r="M48" s="426">
        <v>59</v>
      </c>
      <c r="N48" s="427" t="s">
        <v>435</v>
      </c>
      <c r="O48" s="427"/>
      <c r="P48" s="427">
        <v>1</v>
      </c>
      <c r="Q48" s="427"/>
      <c r="R48" s="427">
        <v>1</v>
      </c>
      <c r="S48" s="428">
        <v>1</v>
      </c>
      <c r="T48" s="429"/>
      <c r="U48" s="392">
        <f t="shared" si="3"/>
        <v>0</v>
      </c>
      <c r="V48" s="430" t="str">
        <f t="shared" si="0"/>
        <v>A59,</v>
      </c>
    </row>
    <row r="49" spans="9:22" ht="30" customHeight="1" x14ac:dyDescent="0.25">
      <c r="I49" s="65"/>
      <c r="L49" s="206" t="s">
        <v>332</v>
      </c>
      <c r="M49" s="426">
        <v>60</v>
      </c>
      <c r="N49" s="427" t="s">
        <v>435</v>
      </c>
      <c r="O49" s="427">
        <v>1</v>
      </c>
      <c r="P49" s="427"/>
      <c r="Q49" s="427"/>
      <c r="R49" s="427">
        <v>1</v>
      </c>
      <c r="S49" s="428">
        <v>1</v>
      </c>
      <c r="T49" s="429"/>
      <c r="U49" s="392">
        <f t="shared" si="3"/>
        <v>0</v>
      </c>
      <c r="V49" s="430" t="str">
        <f t="shared" si="0"/>
        <v>A60,</v>
      </c>
    </row>
    <row r="50" spans="9:22" ht="30" customHeight="1" x14ac:dyDescent="0.25">
      <c r="I50" s="65"/>
      <c r="L50" s="388" t="s">
        <v>396</v>
      </c>
      <c r="M50" s="426">
        <v>61</v>
      </c>
      <c r="N50" s="427"/>
      <c r="O50" s="427">
        <v>1</v>
      </c>
      <c r="P50" s="427">
        <v>1</v>
      </c>
      <c r="Q50" s="427"/>
      <c r="R50" s="427">
        <v>1</v>
      </c>
      <c r="S50" s="428"/>
      <c r="T50" s="429"/>
      <c r="U50" s="392">
        <f t="shared" si="3"/>
        <v>0</v>
      </c>
      <c r="V50" s="430" t="str">
        <f t="shared" si="0"/>
        <v>A61,</v>
      </c>
    </row>
    <row r="51" spans="9:22" ht="30" customHeight="1" x14ac:dyDescent="0.25">
      <c r="I51" s="65"/>
      <c r="L51" s="388" t="s">
        <v>397</v>
      </c>
      <c r="M51" s="426">
        <v>62</v>
      </c>
      <c r="N51" s="427" t="s">
        <v>435</v>
      </c>
      <c r="O51" s="427"/>
      <c r="P51" s="427">
        <v>1</v>
      </c>
      <c r="Q51" s="427"/>
      <c r="R51" s="427">
        <v>1</v>
      </c>
      <c r="S51" s="428"/>
      <c r="T51" s="429"/>
      <c r="U51" s="392">
        <f t="shared" si="3"/>
        <v>0</v>
      </c>
      <c r="V51" s="430" t="str">
        <f t="shared" si="0"/>
        <v>A62,</v>
      </c>
    </row>
    <row r="52" spans="9:22" ht="30" customHeight="1" x14ac:dyDescent="0.25">
      <c r="L52" s="388" t="s">
        <v>403</v>
      </c>
      <c r="M52" s="426">
        <v>63</v>
      </c>
      <c r="N52" s="427" t="s">
        <v>435</v>
      </c>
      <c r="O52" s="427"/>
      <c r="P52" s="427"/>
      <c r="Q52" s="427"/>
      <c r="R52" s="427">
        <v>1</v>
      </c>
      <c r="S52" s="428"/>
      <c r="T52" s="429"/>
      <c r="U52" s="392">
        <f t="shared" si="3"/>
        <v>0</v>
      </c>
      <c r="V52" s="430" t="str">
        <f t="shared" si="0"/>
        <v>A63,</v>
      </c>
    </row>
    <row r="53" spans="9:22" ht="30" customHeight="1" thickBot="1" x14ac:dyDescent="0.3">
      <c r="L53" s="390" t="s">
        <v>385</v>
      </c>
      <c r="M53" s="435">
        <v>64</v>
      </c>
      <c r="N53" s="436" t="s">
        <v>435</v>
      </c>
      <c r="O53" s="436"/>
      <c r="P53" s="436"/>
      <c r="Q53" s="436"/>
      <c r="R53" s="436" t="s">
        <v>435</v>
      </c>
      <c r="S53" s="437"/>
      <c r="T53" s="438"/>
      <c r="U53" s="439">
        <f>IF(AND($D$5=2,$F$5=4),1,0)</f>
        <v>0</v>
      </c>
      <c r="V53" s="440" t="str">
        <f t="shared" si="0"/>
        <v>A64,</v>
      </c>
    </row>
    <row r="54" spans="9:22" ht="30" customHeight="1" x14ac:dyDescent="0.25"/>
    <row r="55" spans="9:22" ht="30" customHeight="1" x14ac:dyDescent="0.25"/>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0xjmJytFcjYMWP2i9o6fgSTMjyDEQu/x1qYiF4Fuw2PXYZAFZtXIDR8tySXDa5be2vHLZC61CpeFkEsOHZV7sw==" saltValue="/T3cPrgx3sbL3+LjTqFVqA==" spinCount="100000" sheet="1" objects="1" scenarios="1" formatColumns="0" formatRows="0" sort="0"/>
  <printOptions horizontalCentered="1"/>
  <pageMargins left="0.2" right="0.45" top="0.5" bottom="0.5" header="0.3" footer="0.3"/>
  <pageSetup scale="30" orientation="landscape" r:id="rId1"/>
  <headerFooter>
    <oddFooter>&amp;L1/11/2022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tint="-0.14999847407452621"/>
  </sheetPr>
  <dimension ref="A1:B9"/>
  <sheetViews>
    <sheetView showGridLines="0" view="pageBreakPreview" zoomScaleNormal="100" zoomScaleSheetLayoutView="100" workbookViewId="0">
      <selection activeCell="B3" sqref="B3"/>
    </sheetView>
  </sheetViews>
  <sheetFormatPr defaultRowHeight="15" x14ac:dyDescent="0.25"/>
  <cols>
    <col min="1" max="1" width="2.28515625" customWidth="1"/>
    <col min="2" max="2" width="100.7109375" customWidth="1"/>
    <col min="13" max="13" width="40.7109375" customWidth="1"/>
  </cols>
  <sheetData>
    <row r="1" spans="1:2" ht="52.5" x14ac:dyDescent="0.25">
      <c r="A1" s="318"/>
      <c r="B1" s="319" t="s">
        <v>309</v>
      </c>
    </row>
    <row r="2" spans="1:2" ht="26.25" customHeight="1" x14ac:dyDescent="0.25">
      <c r="A2" s="318"/>
      <c r="B2" s="320"/>
    </row>
    <row r="3" spans="1:2" ht="47.25" x14ac:dyDescent="0.25">
      <c r="A3" s="188"/>
      <c r="B3" s="189" t="s">
        <v>313</v>
      </c>
    </row>
    <row r="4" spans="1:2" ht="27" thickBot="1" x14ac:dyDescent="0.3">
      <c r="A4" s="187"/>
      <c r="B4" s="190" t="s">
        <v>60</v>
      </c>
    </row>
    <row r="5" spans="1:2" ht="15" customHeight="1" x14ac:dyDescent="0.25">
      <c r="A5" s="188"/>
      <c r="B5" s="191"/>
    </row>
    <row r="6" spans="1:2" ht="75" customHeight="1" x14ac:dyDescent="0.25">
      <c r="A6" s="163" t="s">
        <v>306</v>
      </c>
      <c r="B6" s="175" t="s">
        <v>310</v>
      </c>
    </row>
    <row r="7" spans="1:2" ht="75" customHeight="1" x14ac:dyDescent="0.25">
      <c r="A7" s="163" t="s">
        <v>307</v>
      </c>
      <c r="B7" s="175" t="s">
        <v>411</v>
      </c>
    </row>
    <row r="8" spans="1:2" ht="92.25" customHeight="1" x14ac:dyDescent="0.25">
      <c r="A8" s="163" t="s">
        <v>308</v>
      </c>
      <c r="B8" s="316" t="s">
        <v>350</v>
      </c>
    </row>
    <row r="9" spans="1:2" ht="68.25" customHeight="1" x14ac:dyDescent="0.25">
      <c r="A9" s="163" t="s">
        <v>311</v>
      </c>
      <c r="B9" s="175" t="s">
        <v>314</v>
      </c>
    </row>
  </sheetData>
  <sheetProtection algorithmName="SHA-512" hashValue="EMm1XoU7khTIDkj8CrzKHGyGPr8CY72xFeg0pJM55l9fhuu/u/39YvziUhbkPPjFJXsDaV6biZKM41WSGSFaDg==" saltValue="hYOqZl3OLIEKwbInwurx9g==" spinCount="100000" sheet="1" objects="1" scenarios="1" formatColumns="0" formatRows="0" sort="0"/>
  <hyperlinks>
    <hyperlink ref="B4" r:id="rId1"/>
  </hyperlinks>
  <pageMargins left="0.7" right="0.7" top="0.75" bottom="0.75" header="0.3" footer="0.3"/>
  <pageSetup scale="87" orientation="portrait" r:id="rId2"/>
  <headerFooter>
    <oddFooter>&amp;CPrior Approval Rate Application&amp;L1/11/2022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00FF"/>
  </sheetPr>
  <dimension ref="A1:R85"/>
  <sheetViews>
    <sheetView showGridLines="0" tabSelected="1" view="pageBreakPreview" zoomScaleNormal="100" zoomScaleSheetLayoutView="100" workbookViewId="0">
      <selection activeCell="C37" sqref="C37:D37"/>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General Insurance Company</v>
      </c>
      <c r="L1" s="336" t="s">
        <v>305</v>
      </c>
    </row>
    <row r="2" spans="1:18" x14ac:dyDescent="0.25">
      <c r="A2" s="21" t="s">
        <v>69</v>
      </c>
      <c r="D2" s="21" t="s">
        <v>71</v>
      </c>
      <c r="I2" s="36" t="str">
        <f>General_Line</f>
        <v>Homeowners</v>
      </c>
      <c r="L2" s="337" t="s">
        <v>109</v>
      </c>
    </row>
    <row r="3" spans="1:18" ht="18" customHeight="1" x14ac:dyDescent="0.25">
      <c r="A3" s="21"/>
      <c r="B3" s="168"/>
      <c r="J3" s="36"/>
      <c r="K3" s="36"/>
      <c r="L3" s="338"/>
    </row>
    <row r="4" spans="1:18" ht="23.25" x14ac:dyDescent="0.25">
      <c r="A4" s="5" t="s">
        <v>316</v>
      </c>
      <c r="B4" s="6"/>
      <c r="C4" s="6"/>
      <c r="D4" s="6"/>
      <c r="E4" s="6"/>
      <c r="F4" s="6"/>
      <c r="G4" s="6"/>
      <c r="H4" s="6"/>
      <c r="I4" s="6"/>
      <c r="J4" s="6"/>
      <c r="K4" s="6"/>
      <c r="L4" s="338"/>
      <c r="M4" s="7"/>
      <c r="R4" s="9"/>
    </row>
    <row r="5" spans="1:18" ht="23.25" customHeight="1" x14ac:dyDescent="0.25">
      <c r="A5" s="5" t="s">
        <v>315</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515</v>
      </c>
      <c r="C7" s="7"/>
      <c r="D7" s="7" t="s">
        <v>1</v>
      </c>
      <c r="E7" s="362">
        <v>44587</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525</v>
      </c>
      <c r="C9" s="7"/>
      <c r="D9" s="7"/>
      <c r="E9" s="7"/>
      <c r="F9" s="7"/>
      <c r="G9" s="7"/>
      <c r="H9" s="7"/>
      <c r="I9" s="7"/>
      <c r="J9" s="7"/>
      <c r="K9" s="7"/>
      <c r="L9" s="340"/>
      <c r="M9" s="7"/>
    </row>
    <row r="10" spans="1:18" ht="18" customHeight="1" thickBot="1" x14ac:dyDescent="0.3">
      <c r="A10" s="7"/>
      <c r="B10" s="67" t="s">
        <v>83</v>
      </c>
      <c r="C10" s="7"/>
      <c r="D10" s="7"/>
      <c r="E10" s="7"/>
      <c r="F10" s="7"/>
      <c r="J10" s="247"/>
      <c r="K10" s="17"/>
      <c r="L10" s="333"/>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57"/>
      <c r="I14" s="558"/>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57"/>
      <c r="I16" s="558"/>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55"/>
      <c r="I18" s="561"/>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55"/>
      <c r="I20" s="561"/>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53"/>
      <c r="D22" s="554"/>
      <c r="E22" s="7"/>
      <c r="F22" s="7"/>
      <c r="G22" s="44" t="s">
        <v>19</v>
      </c>
      <c r="H22" s="562"/>
      <c r="I22" s="563"/>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382</v>
      </c>
      <c r="B24" s="7"/>
      <c r="C24" s="7"/>
      <c r="D24" s="7"/>
      <c r="E24" s="323" t="str">
        <f>IF(INDEX(List_YNIndicator,$K$24,1)="N","(Page 2 hidden)","")</f>
        <v>(Page 2 hidden)</v>
      </c>
      <c r="F24" s="7"/>
      <c r="G24" s="44" t="s">
        <v>13</v>
      </c>
      <c r="H24" s="555" t="str">
        <f>IF(ISBLANK(H22)," ",H22+60)</f>
        <v xml:space="preserve"> </v>
      </c>
      <c r="I24" s="556"/>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412</v>
      </c>
      <c r="B26" s="7"/>
      <c r="C26" s="7"/>
      <c r="D26" s="7"/>
      <c r="E26" s="7"/>
      <c r="F26" s="7"/>
      <c r="G26" s="44" t="s">
        <v>14</v>
      </c>
      <c r="H26" s="557"/>
      <c r="I26" s="558"/>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59"/>
      <c r="I28" s="560"/>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2"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66" t="s">
        <v>516</v>
      </c>
      <c r="C32" s="567"/>
      <c r="D32" s="567"/>
      <c r="E32" s="568"/>
      <c r="F32" s="7"/>
      <c r="G32" s="44" t="s">
        <v>20</v>
      </c>
      <c r="H32" s="557"/>
      <c r="I32" s="558"/>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66" t="s">
        <v>526</v>
      </c>
      <c r="C34" s="567"/>
      <c r="D34" s="567"/>
      <c r="E34" s="568"/>
      <c r="F34" s="7"/>
      <c r="G34" s="44" t="s">
        <v>32</v>
      </c>
      <c r="H34" s="48"/>
      <c r="I34" s="48"/>
      <c r="J34" s="244"/>
      <c r="K34" s="250"/>
      <c r="L34" s="333"/>
      <c r="M34" s="356" t="b">
        <f>IF(FilingType_Rate=TRUE,TRUE,FALSE)</f>
        <v>0</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267</v>
      </c>
      <c r="F36" s="7"/>
      <c r="G36" s="46"/>
      <c r="H36" s="48"/>
      <c r="I36" s="48"/>
      <c r="J36" s="243"/>
      <c r="K36" s="248"/>
      <c r="L36" s="344"/>
      <c r="M36" s="356" t="b">
        <f>IF(FilingType_Form=TRUE,TRUE,FALSE)</f>
        <v>0</v>
      </c>
      <c r="N36" s="355" t="b">
        <f>IF(K14=1,TRUE,FALSE)</f>
        <v>0</v>
      </c>
    </row>
    <row r="37" spans="1:14" ht="18" customHeight="1" x14ac:dyDescent="0.25">
      <c r="A37" s="24" t="s">
        <v>9</v>
      </c>
      <c r="B37" s="7"/>
      <c r="C37" s="553" t="s">
        <v>527</v>
      </c>
      <c r="D37" s="554"/>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74"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74"/>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487</v>
      </c>
      <c r="B41" s="7"/>
      <c r="C41" s="7"/>
      <c r="D41" s="7"/>
      <c r="E41" s="7"/>
      <c r="F41" s="399"/>
      <c r="G41" s="398"/>
      <c r="H41" s="572"/>
      <c r="I41" s="573"/>
      <c r="J41" s="243"/>
      <c r="K41" s="454">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33"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33"/>
      <c r="M44" s="7"/>
    </row>
    <row r="45" spans="1:14" ht="18" customHeight="1" x14ac:dyDescent="0.25">
      <c r="A45" s="7" t="s">
        <v>0</v>
      </c>
      <c r="B45" s="566" t="s">
        <v>517</v>
      </c>
      <c r="C45" s="567"/>
      <c r="D45" s="567"/>
      <c r="E45" s="568"/>
      <c r="F45" s="7"/>
      <c r="G45" s="17"/>
      <c r="H45" s="17"/>
      <c r="I45" s="17"/>
      <c r="J45" s="17"/>
      <c r="K45" s="17"/>
      <c r="L45" s="400"/>
      <c r="M45" s="7"/>
    </row>
    <row r="46" spans="1:14" ht="18" customHeight="1" x14ac:dyDescent="0.25">
      <c r="A46" s="7" t="s">
        <v>23</v>
      </c>
      <c r="B46" s="566" t="s">
        <v>518</v>
      </c>
      <c r="C46" s="567"/>
      <c r="D46" s="567"/>
      <c r="E46" s="568"/>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25151</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69" t="s">
        <v>519</v>
      </c>
      <c r="D51" s="570"/>
      <c r="E51" s="571"/>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66" t="s">
        <v>520</v>
      </c>
      <c r="C53" s="567"/>
      <c r="D53" s="567"/>
      <c r="E53" s="567"/>
      <c r="F53" s="567"/>
      <c r="G53" s="567"/>
      <c r="H53" s="567"/>
      <c r="I53" s="567"/>
      <c r="J53" s="568"/>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66" t="s">
        <v>521</v>
      </c>
      <c r="C55" s="567"/>
      <c r="D55" s="567"/>
      <c r="E55" s="567"/>
      <c r="F55" s="567"/>
      <c r="G55" s="567"/>
      <c r="H55" s="567"/>
      <c r="I55" s="567"/>
      <c r="J55" s="568"/>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66" t="s">
        <v>53</v>
      </c>
      <c r="C57" s="567"/>
      <c r="D57" s="567"/>
      <c r="E57" s="568"/>
      <c r="F57" s="7" t="s">
        <v>57</v>
      </c>
      <c r="G57" s="566" t="s">
        <v>522</v>
      </c>
      <c r="H57" s="567"/>
      <c r="I57" s="567"/>
      <c r="J57" s="568"/>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66" t="s">
        <v>523</v>
      </c>
      <c r="C59" s="567"/>
      <c r="D59" s="567"/>
      <c r="E59" s="567"/>
      <c r="F59" s="567"/>
      <c r="G59" s="567"/>
      <c r="H59" s="567"/>
      <c r="I59" s="567"/>
      <c r="J59" s="568"/>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66" t="s">
        <v>524</v>
      </c>
      <c r="C61" s="567"/>
      <c r="D61" s="567"/>
      <c r="E61" s="567"/>
      <c r="F61" s="567"/>
      <c r="G61" s="567"/>
      <c r="H61" s="567"/>
      <c r="I61" s="567"/>
      <c r="J61" s="568"/>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65"/>
      <c r="B67" s="565"/>
      <c r="C67" s="14"/>
      <c r="D67" s="575"/>
      <c r="E67" s="575"/>
      <c r="F67" s="575"/>
      <c r="G67" s="17"/>
      <c r="H67" s="564"/>
      <c r="I67" s="564"/>
      <c r="J67" s="564"/>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SLxEsucaXBnqJ2WsASEed6dbYj2CMvmzzaaAx3Ij5w+9IRXnXEHcoBo/lNzJIFNJD3zdfLYZpev5MZK79WDTxQ==" saltValue="k8Who9ffHuicAuzdQCcjjg==" spinCount="100000" sheet="1" objects="1" scenarios="1" formatColumns="0" formatRows="0" sort="0"/>
  <mergeCells count="27">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 ref="H14:I14"/>
    <mergeCell ref="H16:I16"/>
    <mergeCell ref="H18:I18"/>
    <mergeCell ref="H20:I20"/>
    <mergeCell ref="H22:I22"/>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formula1>10000</formula1>
      <formula2>99999</formula2>
    </dataValidation>
    <dataValidation type="whole" allowBlank="1" showErrorMessage="1" errorTitle="Invalid NAIC Group Code" error="The NAIC group code cannot be a number with more than 4 digits." sqref="B49">
      <formula1>0</formula1>
      <formula2>9999</formula2>
    </dataValidation>
  </dataValidations>
  <hyperlinks>
    <hyperlink ref="A71" r:id="rId1"/>
  </hyperlinks>
  <printOptions horizontalCentered="1"/>
  <pageMargins left="0.45" right="0.45" top="0.5" bottom="0.5" header="0.3" footer="0.05"/>
  <pageSetup scale="77" orientation="portrait" r:id="rId2"/>
  <headerFooter>
    <oddFooter xml:space="preserve">&amp;L1/11/2022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General Insurance Company</v>
      </c>
      <c r="G1" s="8"/>
      <c r="H1" s="8"/>
    </row>
    <row r="2" spans="1:9" x14ac:dyDescent="0.25">
      <c r="A2" s="21" t="s">
        <v>69</v>
      </c>
      <c r="C2" s="37" t="s">
        <v>71</v>
      </c>
      <c r="D2" s="8"/>
      <c r="E2" s="21"/>
      <c r="F2" s="36" t="str">
        <f>General_Line</f>
        <v>Homeowners</v>
      </c>
      <c r="G2" s="8"/>
      <c r="H2" s="8"/>
    </row>
    <row r="3" spans="1:9" ht="11.25" customHeight="1" x14ac:dyDescent="0.25">
      <c r="B3" s="167"/>
      <c r="G3" s="8"/>
    </row>
    <row r="4" spans="1:9" ht="23.25" x14ac:dyDescent="0.25">
      <c r="A4" s="5" t="s">
        <v>330</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383</v>
      </c>
      <c r="B7" s="7"/>
      <c r="C7" s="7"/>
      <c r="D7" s="7"/>
      <c r="E7" s="7"/>
      <c r="F7" s="330"/>
      <c r="G7" s="8"/>
    </row>
    <row r="8" spans="1:9" ht="18" customHeight="1" x14ac:dyDescent="0.25">
      <c r="A8" s="2" t="s">
        <v>384</v>
      </c>
      <c r="B8" s="7"/>
      <c r="C8" s="7"/>
      <c r="D8" s="7"/>
      <c r="E8" s="7"/>
      <c r="F8" s="330"/>
      <c r="G8" s="8"/>
    </row>
    <row r="9" spans="1:9" ht="11.25" customHeight="1" x14ac:dyDescent="0.25">
      <c r="A9" s="2"/>
      <c r="B9" s="7"/>
      <c r="C9" s="7"/>
      <c r="D9" s="7"/>
      <c r="E9" s="7"/>
      <c r="F9" s="330"/>
      <c r="G9" s="8"/>
    </row>
    <row r="10" spans="1:9" ht="21" customHeight="1" x14ac:dyDescent="0.25">
      <c r="A10" s="26" t="s">
        <v>401</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General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25151</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374</v>
      </c>
    </row>
    <row r="103" spans="1:7" x14ac:dyDescent="0.25">
      <c r="A103" s="324" t="s">
        <v>377</v>
      </c>
    </row>
    <row r="105" spans="1:7" hidden="1" x14ac:dyDescent="0.25"/>
  </sheetData>
  <sheetProtection algorithmName="SHA-512" hashValue="NVpieynsg6WJOqBRNPfqLWMnwWjGvaTbdZgguh3F96h8X3a8Fq2aX7imLDAPaGHXcPc8b/+sGcpwTOFWbw6yAQ==" saltValue="64MmVRMrGCSPsTQGqnJIwg=="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2&amp;L1/11/2022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140"/>
  <sheetViews>
    <sheetView showGridLines="0" view="pageBreakPreview" topLeftCell="A7" zoomScaleNormal="100" zoomScaleSheetLayoutView="100" workbookViewId="0">
      <selection activeCell="C58" sqref="C5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General Insurance Company</v>
      </c>
      <c r="H1" s="336" t="s">
        <v>438</v>
      </c>
    </row>
    <row r="2" spans="1:8" x14ac:dyDescent="0.25">
      <c r="A2" s="21" t="s">
        <v>69</v>
      </c>
      <c r="B2" s="21"/>
      <c r="C2" s="8"/>
      <c r="D2" s="37" t="s">
        <v>71</v>
      </c>
      <c r="E2" s="37"/>
      <c r="F2" s="8"/>
      <c r="G2" s="36" t="str">
        <f>General_Line</f>
        <v>Homeowners</v>
      </c>
      <c r="H2" s="441"/>
    </row>
    <row r="3" spans="1:8" ht="18" customHeight="1" x14ac:dyDescent="0.25">
      <c r="A3" s="8"/>
      <c r="B3" s="8"/>
      <c r="C3" s="168"/>
      <c r="D3" s="8"/>
      <c r="E3" s="8"/>
      <c r="F3" s="8"/>
      <c r="G3" s="8"/>
      <c r="H3" s="442"/>
    </row>
    <row r="4" spans="1:8" ht="23.25" x14ac:dyDescent="0.25">
      <c r="A4" s="5" t="s">
        <v>284</v>
      </c>
      <c r="B4" s="5"/>
      <c r="C4" s="181"/>
      <c r="D4" s="181"/>
      <c r="E4" s="181"/>
      <c r="F4" s="181"/>
      <c r="G4" s="181"/>
      <c r="H4" s="442" t="str">
        <f>IF(COUNTIF(E6:E11,"")&gt;=1,"",IF(COUNTIF(E6:E11,"Y")=0,"ERROR! You must select yes to at least one filing type.",""))</f>
        <v/>
      </c>
    </row>
    <row r="5" spans="1:8" ht="22.5" customHeight="1" x14ac:dyDescent="0.25">
      <c r="A5" s="389" t="s">
        <v>402</v>
      </c>
      <c r="B5" s="5"/>
      <c r="C5" s="181"/>
      <c r="D5" s="181"/>
      <c r="E5" s="181"/>
      <c r="F5" s="181"/>
      <c r="G5" s="181"/>
      <c r="H5" s="443"/>
    </row>
    <row r="6" spans="1:8" ht="21" customHeight="1" x14ac:dyDescent="0.25">
      <c r="A6" s="372" t="s">
        <v>404</v>
      </c>
      <c r="B6" s="372"/>
      <c r="C6" s="372"/>
      <c r="E6" s="200" t="s">
        <v>6</v>
      </c>
      <c r="G6" s="371"/>
      <c r="H6" s="443" t="str">
        <f>IF(E6="","← ERROR! Please select a response.",IF(E6="Y",IF(OR(E7="Y",E8="Y",E9="Y",E10="Y",E11="Y"),"← ERROR! A New Program Filing cannot be combined with a Rate, Rule or Form filing.",""),""))</f>
        <v/>
      </c>
    </row>
    <row r="7" spans="1:8" ht="21" customHeight="1" x14ac:dyDescent="0.25">
      <c r="A7" s="372" t="s">
        <v>405</v>
      </c>
      <c r="B7" s="372"/>
      <c r="C7" s="372"/>
      <c r="E7" s="200" t="s">
        <v>6</v>
      </c>
      <c r="G7" s="371"/>
      <c r="H7" s="444" t="str">
        <f>IF(E7="","← ERROR! Please select a response.","")</f>
        <v/>
      </c>
    </row>
    <row r="8" spans="1:8" ht="21" customHeight="1" x14ac:dyDescent="0.25">
      <c r="A8" s="372" t="s">
        <v>421</v>
      </c>
      <c r="B8" s="372"/>
      <c r="C8" s="372"/>
      <c r="E8" s="200" t="s">
        <v>5</v>
      </c>
      <c r="G8" s="371"/>
      <c r="H8" s="444" t="str">
        <f>IF(E8="","← ERROR! Please select a response.","")</f>
        <v/>
      </c>
    </row>
    <row r="9" spans="1:8" ht="21" customHeight="1" x14ac:dyDescent="0.25">
      <c r="A9" s="372" t="s">
        <v>406</v>
      </c>
      <c r="B9" s="372"/>
      <c r="C9" s="372"/>
      <c r="E9" s="200" t="s">
        <v>6</v>
      </c>
      <c r="G9" s="371"/>
      <c r="H9" s="444" t="str">
        <f>IF(E9="","← ERROR! Please select a response.",IF(E9="Y",IF(E8="Y","","← ERROR! The response to question 3 indicates that this is not a Rule filing."),""))</f>
        <v/>
      </c>
    </row>
    <row r="10" spans="1:8" ht="21" customHeight="1" x14ac:dyDescent="0.25">
      <c r="A10" s="372" t="s">
        <v>422</v>
      </c>
      <c r="B10" s="372"/>
      <c r="C10" s="372"/>
      <c r="E10" s="200" t="s">
        <v>6</v>
      </c>
      <c r="G10" s="371"/>
      <c r="H10" s="444" t="str">
        <f>IF(E10="","← ERROR! Please select a response.","")</f>
        <v/>
      </c>
    </row>
    <row r="11" spans="1:8" ht="21" customHeight="1" x14ac:dyDescent="0.25">
      <c r="A11" s="372" t="s">
        <v>407</v>
      </c>
      <c r="B11" s="372"/>
      <c r="C11" s="372"/>
      <c r="E11" s="200" t="s">
        <v>6</v>
      </c>
      <c r="G11" s="371"/>
      <c r="H11" s="444" t="str">
        <f>IF(E11="","← ERROR! Please select a response.",IF(E11="Y",IF(E10="Y","","← ERROR! The response to question 4 indicates that this is not a Form filing."),""))</f>
        <v/>
      </c>
    </row>
    <row r="12" spans="1:8" ht="21" customHeight="1" x14ac:dyDescent="0.25">
      <c r="A12" s="376" t="s">
        <v>437</v>
      </c>
      <c r="B12" s="372"/>
      <c r="C12" s="372"/>
      <c r="E12" s="447" t="str">
        <f>IF('1.General'!$K$14=1,"Y","N")</f>
        <v>N</v>
      </c>
      <c r="G12" s="371"/>
      <c r="H12" s="445" t="str">
        <f>IF(E12="Y",IF(OR(E6="Y",E7="Y",E9="Y",E11="Y"),"","← ERROR! You cannot file for a variance unless this is a New Program filing or a filing with rate impact."),"")</f>
        <v/>
      </c>
    </row>
    <row r="13" spans="1:8" ht="21" customHeight="1" x14ac:dyDescent="0.25">
      <c r="A13" s="182" t="s">
        <v>408</v>
      </c>
      <c r="B13" s="373"/>
      <c r="C13" s="369"/>
      <c r="D13" s="370"/>
      <c r="E13" s="370"/>
      <c r="F13" s="370"/>
      <c r="G13" s="371"/>
      <c r="H13" s="445"/>
    </row>
    <row r="14" spans="1:8" ht="21" customHeight="1" thickBot="1" x14ac:dyDescent="0.3">
      <c r="A14" s="381" t="s">
        <v>409</v>
      </c>
      <c r="B14" s="374"/>
      <c r="C14" s="369"/>
      <c r="D14" s="370"/>
      <c r="E14" s="370"/>
      <c r="F14" s="370"/>
      <c r="G14" s="371"/>
      <c r="H14" s="446"/>
    </row>
    <row r="15" spans="1:8" ht="23.25" x14ac:dyDescent="0.25">
      <c r="A15" s="5" t="s">
        <v>77</v>
      </c>
      <c r="B15" s="5"/>
      <c r="C15" s="181"/>
      <c r="D15" s="181"/>
      <c r="E15" s="181"/>
      <c r="F15" s="181"/>
      <c r="G15" s="181"/>
    </row>
    <row r="16" spans="1:8" x14ac:dyDescent="0.25">
      <c r="A16" s="375" t="s">
        <v>414</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386</v>
      </c>
      <c r="B18" s="164" t="s">
        <v>387</v>
      </c>
      <c r="C18" s="164" t="s">
        <v>293</v>
      </c>
      <c r="D18" s="164"/>
      <c r="E18" s="370"/>
      <c r="F18" s="370"/>
      <c r="G18" s="371"/>
    </row>
    <row r="19" spans="1:7" ht="21" customHeight="1" x14ac:dyDescent="0.25">
      <c r="A19" s="382"/>
      <c r="B19" s="382"/>
      <c r="C19" s="372" t="s">
        <v>380</v>
      </c>
      <c r="D19" s="372"/>
      <c r="E19" s="372"/>
      <c r="F19" s="51"/>
      <c r="G19" s="51"/>
    </row>
    <row r="20" spans="1:7" ht="21" hidden="1" customHeight="1" x14ac:dyDescent="0.25">
      <c r="A20" s="382"/>
      <c r="B20" s="382"/>
      <c r="C20" s="372" t="s">
        <v>291</v>
      </c>
      <c r="D20" s="372"/>
      <c r="E20" s="372"/>
      <c r="F20" s="51"/>
      <c r="G20" s="51"/>
    </row>
    <row r="21" spans="1:7" ht="21" customHeight="1" x14ac:dyDescent="0.25">
      <c r="A21" s="382"/>
      <c r="B21" s="382"/>
      <c r="C21" s="372" t="s">
        <v>400</v>
      </c>
      <c r="D21" s="372"/>
      <c r="E21" s="372"/>
      <c r="F21" s="51"/>
      <c r="G21" s="51"/>
    </row>
    <row r="22" spans="1:7" ht="21" hidden="1" customHeight="1" x14ac:dyDescent="0.25">
      <c r="A22" s="382"/>
      <c r="B22" s="382"/>
      <c r="C22" s="372" t="s">
        <v>292</v>
      </c>
      <c r="D22" s="372"/>
      <c r="E22" s="372"/>
      <c r="F22" s="51"/>
      <c r="G22" s="51"/>
    </row>
    <row r="23" spans="1:7" ht="21" hidden="1" customHeight="1" x14ac:dyDescent="0.25">
      <c r="A23" s="382"/>
      <c r="B23" s="382"/>
      <c r="C23" s="372" t="s">
        <v>300</v>
      </c>
      <c r="D23" s="372"/>
      <c r="E23" s="372"/>
      <c r="F23" s="51"/>
      <c r="G23" s="51"/>
    </row>
    <row r="24" spans="1:7" ht="21" hidden="1" customHeight="1" x14ac:dyDescent="0.25">
      <c r="A24" s="382"/>
      <c r="B24" s="382"/>
      <c r="C24" s="372" t="s">
        <v>360</v>
      </c>
      <c r="D24" s="372"/>
      <c r="E24" s="372"/>
      <c r="F24" s="51"/>
      <c r="G24" s="51"/>
    </row>
    <row r="25" spans="1:7" ht="21" hidden="1" customHeight="1" x14ac:dyDescent="0.25">
      <c r="A25" s="382"/>
      <c r="B25" s="382"/>
      <c r="C25" s="372" t="s">
        <v>301</v>
      </c>
      <c r="D25" s="372"/>
      <c r="E25" s="372"/>
      <c r="F25" s="51"/>
      <c r="G25" s="51"/>
    </row>
    <row r="26" spans="1:7" ht="21" hidden="1" customHeight="1" x14ac:dyDescent="0.25">
      <c r="A26" s="382"/>
      <c r="B26" s="382"/>
      <c r="C26" s="372" t="s">
        <v>302</v>
      </c>
      <c r="D26" s="372"/>
      <c r="E26" s="372"/>
      <c r="F26" s="51"/>
      <c r="G26" s="51"/>
    </row>
    <row r="27" spans="1:7" ht="21" hidden="1" customHeight="1" x14ac:dyDescent="0.25">
      <c r="A27" s="382"/>
      <c r="B27" s="382"/>
      <c r="C27" s="372" t="s">
        <v>303</v>
      </c>
      <c r="D27" s="372"/>
      <c r="E27" s="372"/>
      <c r="F27" s="51"/>
      <c r="G27" s="51"/>
    </row>
    <row r="28" spans="1:7" ht="21" customHeight="1" x14ac:dyDescent="0.25">
      <c r="A28" s="382"/>
      <c r="B28" s="382"/>
      <c r="C28" s="372" t="s">
        <v>416</v>
      </c>
      <c r="D28" s="372"/>
      <c r="E28" s="372"/>
      <c r="F28" s="51"/>
      <c r="G28" s="51"/>
    </row>
    <row r="29" spans="1:7" ht="21" hidden="1" customHeight="1" x14ac:dyDescent="0.25">
      <c r="A29" s="382"/>
      <c r="B29" s="382"/>
      <c r="C29" s="372" t="s">
        <v>78</v>
      </c>
      <c r="D29" s="372"/>
      <c r="E29" s="372"/>
      <c r="F29" s="51"/>
      <c r="G29" s="51"/>
    </row>
    <row r="30" spans="1:7" ht="21" customHeight="1" x14ac:dyDescent="0.25">
      <c r="A30" s="382"/>
      <c r="B30" s="382"/>
      <c r="C30" s="372" t="s">
        <v>478</v>
      </c>
      <c r="D30" s="372"/>
      <c r="E30" s="372"/>
      <c r="F30" s="51"/>
      <c r="G30" s="51"/>
    </row>
    <row r="31" spans="1:7" ht="21" customHeight="1" x14ac:dyDescent="0.25">
      <c r="A31" s="382"/>
      <c r="B31" s="382"/>
      <c r="C31" s="372" t="s">
        <v>479</v>
      </c>
      <c r="D31" s="372"/>
      <c r="E31" s="372"/>
      <c r="F31" s="51"/>
      <c r="G31" s="51"/>
    </row>
    <row r="32" spans="1:7" ht="21" customHeight="1" x14ac:dyDescent="0.25">
      <c r="A32" s="382"/>
      <c r="B32" s="382"/>
      <c r="C32" s="376" t="s">
        <v>294</v>
      </c>
      <c r="D32" s="376"/>
      <c r="E32" s="376"/>
      <c r="F32" s="376"/>
      <c r="G32" s="376"/>
    </row>
    <row r="33" spans="1:7" ht="21" customHeight="1" x14ac:dyDescent="0.25">
      <c r="A33" s="382"/>
      <c r="B33" s="382"/>
      <c r="C33" s="372" t="s">
        <v>286</v>
      </c>
      <c r="D33" s="372"/>
      <c r="E33" s="372"/>
      <c r="F33" s="51"/>
      <c r="G33" s="51"/>
    </row>
    <row r="34" spans="1:7" ht="21" hidden="1" customHeight="1" x14ac:dyDescent="0.25">
      <c r="A34" s="382"/>
      <c r="B34" s="382"/>
      <c r="C34" s="372" t="s">
        <v>287</v>
      </c>
      <c r="D34" s="372"/>
      <c r="E34" s="372"/>
      <c r="F34" s="51"/>
      <c r="G34" s="51"/>
    </row>
    <row r="35" spans="1:7" ht="21" hidden="1" customHeight="1" x14ac:dyDescent="0.25">
      <c r="A35" s="382"/>
      <c r="B35" s="382"/>
      <c r="C35" s="372" t="s">
        <v>288</v>
      </c>
      <c r="D35" s="372"/>
      <c r="E35" s="372"/>
      <c r="F35" s="51"/>
      <c r="G35" s="51"/>
    </row>
    <row r="36" spans="1:7" ht="21" hidden="1" customHeight="1" x14ac:dyDescent="0.25">
      <c r="A36" s="382"/>
      <c r="B36" s="382"/>
      <c r="C36" s="372" t="s">
        <v>289</v>
      </c>
      <c r="D36" s="372"/>
      <c r="E36" s="372"/>
      <c r="F36" s="51"/>
      <c r="G36" s="51"/>
    </row>
    <row r="37" spans="1:7" ht="21" hidden="1" customHeight="1" x14ac:dyDescent="0.25">
      <c r="A37" s="382"/>
      <c r="B37" s="382"/>
      <c r="C37" s="372" t="s">
        <v>388</v>
      </c>
      <c r="D37" s="372"/>
      <c r="E37" s="372"/>
      <c r="F37" s="51"/>
      <c r="G37" s="51"/>
    </row>
    <row r="38" spans="1:7" ht="21" hidden="1" customHeight="1" x14ac:dyDescent="0.25">
      <c r="A38" s="382"/>
      <c r="B38" s="382"/>
      <c r="C38" s="372" t="s">
        <v>290</v>
      </c>
      <c r="D38" s="372"/>
      <c r="E38" s="372"/>
      <c r="F38" s="51"/>
      <c r="G38" s="51"/>
    </row>
    <row r="39" spans="1:7" ht="21" hidden="1" customHeight="1" x14ac:dyDescent="0.25">
      <c r="A39" s="382"/>
      <c r="B39" s="382"/>
      <c r="C39" s="372" t="s">
        <v>389</v>
      </c>
      <c r="D39" s="372"/>
      <c r="E39" s="372"/>
      <c r="F39" s="51"/>
      <c r="G39" s="51"/>
    </row>
    <row r="40" spans="1:7" ht="21" hidden="1" customHeight="1" x14ac:dyDescent="0.25">
      <c r="A40" s="382"/>
      <c r="B40" s="382"/>
      <c r="C40" s="372" t="s">
        <v>390</v>
      </c>
      <c r="D40" s="372"/>
      <c r="E40" s="372"/>
      <c r="F40" s="51"/>
      <c r="G40" s="51"/>
    </row>
    <row r="41" spans="1:7" ht="21" hidden="1" customHeight="1" x14ac:dyDescent="0.25">
      <c r="A41" s="382"/>
      <c r="B41" s="382"/>
      <c r="C41" s="372" t="s">
        <v>296</v>
      </c>
      <c r="D41" s="372"/>
      <c r="E41" s="372"/>
      <c r="F41" s="51"/>
      <c r="G41" s="51"/>
    </row>
    <row r="42" spans="1:7" ht="21" hidden="1" customHeight="1" x14ac:dyDescent="0.25">
      <c r="A42" s="382"/>
      <c r="B42" s="382"/>
      <c r="C42" s="372" t="s">
        <v>297</v>
      </c>
      <c r="D42" s="372"/>
      <c r="E42" s="372"/>
      <c r="F42" s="51"/>
      <c r="G42" s="51"/>
    </row>
    <row r="43" spans="1:7" ht="21" hidden="1" customHeight="1" x14ac:dyDescent="0.25">
      <c r="A43" s="382"/>
      <c r="B43" s="382"/>
      <c r="C43" s="372" t="s">
        <v>298</v>
      </c>
      <c r="D43" s="372"/>
      <c r="E43" s="372"/>
      <c r="F43" s="51"/>
      <c r="G43" s="51"/>
    </row>
    <row r="44" spans="1:7" ht="21" hidden="1" customHeight="1" x14ac:dyDescent="0.25">
      <c r="A44" s="382"/>
      <c r="B44" s="382"/>
      <c r="C44" s="372" t="s">
        <v>413</v>
      </c>
      <c r="D44" s="372"/>
      <c r="E44" s="372"/>
      <c r="F44" s="51"/>
      <c r="G44" s="51"/>
    </row>
    <row r="45" spans="1:7" ht="21" hidden="1" customHeight="1" x14ac:dyDescent="0.25">
      <c r="A45" s="382"/>
      <c r="B45" s="382"/>
      <c r="C45" s="372" t="s">
        <v>331</v>
      </c>
      <c r="D45" s="372"/>
      <c r="E45" s="372"/>
      <c r="F45" s="51"/>
      <c r="G45" s="51"/>
    </row>
    <row r="46" spans="1:7" ht="21" hidden="1" customHeight="1" x14ac:dyDescent="0.25">
      <c r="A46" s="382"/>
      <c r="B46" s="382"/>
      <c r="C46" s="372" t="s">
        <v>323</v>
      </c>
      <c r="D46" s="372"/>
      <c r="E46" s="372"/>
      <c r="F46" s="51"/>
      <c r="G46" s="51"/>
    </row>
    <row r="47" spans="1:7" ht="21" hidden="1" customHeight="1" x14ac:dyDescent="0.25">
      <c r="A47" s="382"/>
      <c r="B47" s="382"/>
      <c r="C47" s="372" t="s">
        <v>324</v>
      </c>
      <c r="D47" s="372"/>
      <c r="E47" s="372"/>
      <c r="F47" s="51"/>
      <c r="G47" s="51"/>
    </row>
    <row r="48" spans="1:7" ht="21" hidden="1" customHeight="1" x14ac:dyDescent="0.25">
      <c r="A48" s="382"/>
      <c r="B48" s="382"/>
      <c r="C48" s="372" t="s">
        <v>325</v>
      </c>
      <c r="D48" s="372"/>
      <c r="E48" s="372"/>
      <c r="F48" s="51"/>
      <c r="G48" s="51"/>
    </row>
    <row r="49" spans="1:7" ht="21" hidden="1" customHeight="1" x14ac:dyDescent="0.25">
      <c r="A49" s="382"/>
      <c r="B49" s="382"/>
      <c r="C49" s="372" t="s">
        <v>326</v>
      </c>
      <c r="D49" s="372"/>
      <c r="E49" s="372"/>
      <c r="F49" s="51"/>
      <c r="G49" s="51"/>
    </row>
    <row r="50" spans="1:7" ht="21" customHeight="1" x14ac:dyDescent="0.25">
      <c r="A50" s="382"/>
      <c r="B50" s="382"/>
      <c r="C50" s="372" t="s">
        <v>415</v>
      </c>
      <c r="D50" s="372"/>
      <c r="E50" s="372"/>
      <c r="F50" s="51"/>
      <c r="G50" s="51"/>
    </row>
    <row r="51" spans="1:7" ht="21" customHeight="1" x14ac:dyDescent="0.25">
      <c r="A51" s="382"/>
      <c r="B51" s="382"/>
      <c r="C51" s="372" t="s">
        <v>327</v>
      </c>
      <c r="D51" s="372"/>
      <c r="E51" s="372"/>
      <c r="F51" s="51"/>
      <c r="G51" s="51"/>
    </row>
    <row r="52" spans="1:7" ht="21" hidden="1" customHeight="1" x14ac:dyDescent="0.25">
      <c r="A52" s="382"/>
      <c r="B52" s="382"/>
      <c r="C52" s="372" t="s">
        <v>336</v>
      </c>
      <c r="D52" s="372"/>
      <c r="E52" s="372"/>
      <c r="F52" s="51"/>
      <c r="G52" s="51"/>
    </row>
    <row r="53" spans="1:7" ht="21" hidden="1" customHeight="1" x14ac:dyDescent="0.25">
      <c r="A53" s="382"/>
      <c r="B53" s="382"/>
      <c r="C53" s="372" t="s">
        <v>335</v>
      </c>
      <c r="D53" s="372"/>
      <c r="E53" s="372"/>
      <c r="F53" s="51"/>
      <c r="G53" s="51"/>
    </row>
    <row r="54" spans="1:7" ht="21" customHeight="1" x14ac:dyDescent="0.25">
      <c r="A54" s="382"/>
      <c r="B54" s="382"/>
      <c r="C54" s="376" t="s">
        <v>79</v>
      </c>
      <c r="D54" s="376"/>
      <c r="E54" s="376"/>
      <c r="F54" s="51"/>
      <c r="G54" s="51"/>
    </row>
    <row r="55" spans="1:7" ht="21" hidden="1" customHeight="1" x14ac:dyDescent="0.25">
      <c r="A55" s="382"/>
      <c r="B55" s="382"/>
      <c r="C55" s="376" t="s">
        <v>391</v>
      </c>
      <c r="D55" s="376"/>
      <c r="E55" s="376"/>
      <c r="F55" s="51"/>
      <c r="G55" s="51"/>
    </row>
    <row r="56" spans="1:7" ht="21" hidden="1" customHeight="1" x14ac:dyDescent="0.25">
      <c r="A56" s="382"/>
      <c r="B56" s="382"/>
      <c r="C56" s="376" t="s">
        <v>392</v>
      </c>
      <c r="D56" s="376"/>
      <c r="E56" s="376"/>
      <c r="F56" s="51"/>
      <c r="G56" s="51"/>
    </row>
    <row r="57" spans="1:7" ht="21" customHeight="1" x14ac:dyDescent="0.25">
      <c r="A57" s="382"/>
      <c r="B57" s="382"/>
      <c r="C57" s="378" t="s">
        <v>394</v>
      </c>
      <c r="D57" s="376"/>
      <c r="E57" s="376"/>
      <c r="F57" s="51"/>
      <c r="G57" s="51"/>
    </row>
    <row r="58" spans="1:7" ht="21" customHeight="1" x14ac:dyDescent="0.25">
      <c r="A58" s="382"/>
      <c r="B58" s="382"/>
      <c r="C58" s="376" t="s">
        <v>393</v>
      </c>
      <c r="D58" s="376"/>
      <c r="E58" s="376"/>
      <c r="F58" s="51"/>
      <c r="G58" s="51"/>
    </row>
    <row r="59" spans="1:7" ht="21" hidden="1" customHeight="1" x14ac:dyDescent="0.25">
      <c r="A59" s="382"/>
      <c r="B59" s="382"/>
      <c r="C59" s="376" t="s">
        <v>304</v>
      </c>
      <c r="D59" s="376"/>
      <c r="E59" s="376"/>
      <c r="F59" s="51"/>
      <c r="G59" s="51"/>
    </row>
    <row r="60" spans="1:7" ht="21" hidden="1" customHeight="1" x14ac:dyDescent="0.25">
      <c r="A60" s="382"/>
      <c r="B60" s="382"/>
      <c r="C60" s="376" t="s">
        <v>332</v>
      </c>
      <c r="D60" s="376"/>
      <c r="E60" s="376"/>
      <c r="F60" s="51"/>
      <c r="G60" s="51"/>
    </row>
    <row r="61" spans="1:7" ht="21" hidden="1" customHeight="1" x14ac:dyDescent="0.25">
      <c r="A61" s="380" t="s">
        <v>396</v>
      </c>
      <c r="B61" s="382"/>
      <c r="D61" s="377"/>
      <c r="E61" s="377"/>
      <c r="F61" s="379"/>
      <c r="G61" s="379"/>
    </row>
    <row r="62" spans="1:7" ht="17.25" hidden="1" x14ac:dyDescent="0.25">
      <c r="A62" s="380" t="s">
        <v>397</v>
      </c>
      <c r="B62" s="368"/>
      <c r="D62" s="377"/>
      <c r="E62" s="377"/>
      <c r="F62" s="379"/>
      <c r="G62" s="379"/>
    </row>
    <row r="63" spans="1:7" hidden="1" x14ac:dyDescent="0.25">
      <c r="A63" s="25" t="s">
        <v>403</v>
      </c>
    </row>
    <row r="64" spans="1:7" hidden="1" x14ac:dyDescent="0.25">
      <c r="A64" s="53" t="s">
        <v>385</v>
      </c>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sheetData>
  <sheetProtection algorithmName="SHA-512" hashValue="76qf4z7tB3a5msL+lHBbzaF+N0WTtE14CFlCPVoJXJj04YHRWn9tG7BJfHOqEb0cNyFhkcV7cFY+bMS8tbjoVg==" saltValue="v6eGJ+gcqR2tupNh4oUQ+w==" spinCount="100000" sheet="1" objects="1" scenarios="1" formatColumns="0" formatRows="0" sort="0"/>
  <dataValidations count="1">
    <dataValidation type="list" allowBlank="1" showInputMessage="1" showErrorMessage="1" sqref="E6:E11">
      <formula1>"Y,N"</formula1>
    </dataValidation>
  </dataValidation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90" r:id="rId4" name="Check Box 50">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7091" r:id="rId5" name="Check Box 51">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7092" r:id="rId6" name="Check Box 52">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7093" r:id="rId7" name="Check Box 53">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7094" r:id="rId8" name="Check Box 54">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87095" r:id="rId9" name="Check Box 55">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87096" r:id="rId10" name="Check Box 56">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87097" r:id="rId11" name="Check Box 57">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87098" r:id="rId12" name="Check Box 5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87099" r:id="rId13" name="Check Box 59">
              <controlPr defaultSize="0" autoFill="0" autoLine="0" autoPict="0">
                <anchor moveWithCells="1">
                  <from>
                    <xdr:col>0</xdr:col>
                    <xdr:colOff>0</xdr:colOff>
                    <xdr:row>32</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87100" r:id="rId14" name="Check Box 60">
              <controlPr defaultSize="0" autoFill="0" autoLine="0" autoPict="0">
                <anchor moveWithCells="1">
                  <from>
                    <xdr:col>0</xdr:col>
                    <xdr:colOff>0</xdr:colOff>
                    <xdr:row>49</xdr:row>
                    <xdr:rowOff>0</xdr:rowOff>
                  </from>
                  <to>
                    <xdr:col>0</xdr:col>
                    <xdr:colOff>295275</xdr:colOff>
                    <xdr:row>50</xdr:row>
                    <xdr:rowOff>19050</xdr:rowOff>
                  </to>
                </anchor>
              </controlPr>
            </control>
          </mc:Choice>
        </mc:AlternateContent>
        <mc:AlternateContent xmlns:mc="http://schemas.openxmlformats.org/markup-compatibility/2006">
          <mc:Choice Requires="x14">
            <control shapeId="87101" r:id="rId15" name="Check Box 61">
              <controlPr defaultSize="0" autoFill="0" autoLine="0" autoPict="0">
                <anchor moveWithCells="1">
                  <from>
                    <xdr:col>0</xdr:col>
                    <xdr:colOff>0</xdr:colOff>
                    <xdr:row>50</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87102" r:id="rId16" name="Check Box 62">
              <controlPr defaultSize="0" autoFill="0" autoLine="0" autoPict="0">
                <anchor moveWithCells="1">
                  <from>
                    <xdr:col>1</xdr:col>
                    <xdr:colOff>0</xdr:colOff>
                    <xdr:row>50</xdr:row>
                    <xdr:rowOff>0</xdr:rowOff>
                  </from>
                  <to>
                    <xdr:col>1</xdr:col>
                    <xdr:colOff>295275</xdr:colOff>
                    <xdr:row>53</xdr:row>
                    <xdr:rowOff>19050</xdr:rowOff>
                  </to>
                </anchor>
              </controlPr>
            </control>
          </mc:Choice>
        </mc:AlternateContent>
        <mc:AlternateContent xmlns:mc="http://schemas.openxmlformats.org/markup-compatibility/2006">
          <mc:Choice Requires="x14">
            <control shapeId="87103" r:id="rId17" name="Check Box 63">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87104" r:id="rId18" name="Check Box 64">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87105" r:id="rId19" name="Check Box 65">
              <controlPr defaultSize="0" autoFill="0" autoLine="0" autoPict="0">
                <anchor moveWithCells="1">
                  <from>
                    <xdr:col>0</xdr:col>
                    <xdr:colOff>0</xdr:colOff>
                    <xdr:row>57</xdr:row>
                    <xdr:rowOff>0</xdr:rowOff>
                  </from>
                  <to>
                    <xdr:col>0</xdr:col>
                    <xdr:colOff>295275</xdr:colOff>
                    <xdr:row>64</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pageSetUpPr fitToPage="1"/>
  </sheetPr>
  <dimension ref="A1:G36"/>
  <sheetViews>
    <sheetView showGridLines="0" view="pageBreakPreview" zoomScaleNormal="100" zoomScaleSheetLayoutView="100" workbookViewId="0">
      <selection activeCell="D6" sqref="D6"/>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General Insurance Company</v>
      </c>
    </row>
    <row r="2" spans="1:7" x14ac:dyDescent="0.25">
      <c r="A2" s="21" t="s">
        <v>69</v>
      </c>
      <c r="D2" s="37" t="s">
        <v>71</v>
      </c>
      <c r="F2" s="36" t="str">
        <f>General_Line</f>
        <v>Homeowners</v>
      </c>
    </row>
    <row r="3" spans="1:7" x14ac:dyDescent="0.25">
      <c r="B3" s="167"/>
    </row>
    <row r="4" spans="1:7" ht="23.25" x14ac:dyDescent="0.25">
      <c r="A4" s="5" t="s">
        <v>285</v>
      </c>
      <c r="B4" s="3"/>
      <c r="C4" s="3"/>
      <c r="D4" s="3"/>
      <c r="E4" s="3"/>
      <c r="F4" s="3"/>
    </row>
    <row r="6" spans="1:7" ht="15.75" x14ac:dyDescent="0.25">
      <c r="B6" s="56" t="s">
        <v>74</v>
      </c>
      <c r="C6" s="27"/>
      <c r="D6" s="321" t="e">
        <f>$D$22</f>
        <v>#DIV/0!</v>
      </c>
    </row>
    <row r="7" spans="1:7" ht="4.5" customHeight="1" x14ac:dyDescent="0.25"/>
    <row r="8" spans="1:7" s="49" customFormat="1" ht="18" customHeight="1" x14ac:dyDescent="0.25">
      <c r="A8" s="55"/>
      <c r="B8" s="56" t="s">
        <v>73</v>
      </c>
      <c r="C8" s="27"/>
      <c r="D8" s="322"/>
      <c r="G8" s="335" t="str">
        <f>IF(ISBLANK(D8),"←ERROR! Enter the Proposed Earned Premium Per Exposure.","")</f>
        <v>←ERROR! Enter the Proposed Earned Premium Per Exposure.</v>
      </c>
    </row>
    <row r="9" spans="1:7" ht="18" customHeight="1" x14ac:dyDescent="0.25">
      <c r="A9" s="55"/>
      <c r="B9" s="56" t="s">
        <v>224</v>
      </c>
      <c r="C9" s="27"/>
      <c r="D9" s="269"/>
      <c r="G9" s="216" t="str">
        <f>IF(ISBLANK(D9),"←ERROR! Enter the Proposed Effective Date.","")</f>
        <v>←ERROR! Enter the Proposed Effective Date.</v>
      </c>
    </row>
    <row r="10" spans="1:7" ht="15.75" thickBot="1" x14ac:dyDescent="0.3">
      <c r="A10" s="54"/>
    </row>
    <row r="11" spans="1:7" ht="33" thickBot="1" x14ac:dyDescent="0.3">
      <c r="A11" s="59"/>
      <c r="B11" s="60" t="s">
        <v>126</v>
      </c>
      <c r="C11" s="60" t="s">
        <v>75</v>
      </c>
      <c r="D11" s="60" t="s">
        <v>357</v>
      </c>
      <c r="E11" s="60" t="s">
        <v>358</v>
      </c>
      <c r="F11" s="61" t="s">
        <v>359</v>
      </c>
    </row>
    <row r="12" spans="1:7" ht="30" customHeight="1" x14ac:dyDescent="0.25">
      <c r="A12" s="62">
        <v>-1</v>
      </c>
      <c r="B12" s="270"/>
      <c r="C12" s="271"/>
      <c r="D12" s="271"/>
      <c r="E12" s="272"/>
      <c r="F12" s="75">
        <f>E12*(1+D12)</f>
        <v>0</v>
      </c>
      <c r="G12" s="216" t="str">
        <f>IF(AND(COUNTA(B12:E12)&gt;=1,COUNTA(B12:E12)&lt;=3),"←ERROR! Fill out each cell in this row.","")</f>
        <v/>
      </c>
    </row>
    <row r="13" spans="1:7" ht="30" customHeight="1" x14ac:dyDescent="0.25">
      <c r="A13" s="63">
        <v>-2</v>
      </c>
      <c r="B13" s="273"/>
      <c r="C13" s="274"/>
      <c r="D13" s="274"/>
      <c r="E13" s="275"/>
      <c r="F13" s="76">
        <f t="shared" ref="F13:F21" si="0">E13*(1+D13)</f>
        <v>0</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375</v>
      </c>
      <c r="D24" s="58"/>
    </row>
    <row r="25" spans="1:7" x14ac:dyDescent="0.25">
      <c r="A25" t="s">
        <v>376</v>
      </c>
      <c r="D25" s="58"/>
    </row>
    <row r="26" spans="1:7" ht="18" customHeight="1" x14ac:dyDescent="0.25">
      <c r="A26" s="50" t="s">
        <v>368</v>
      </c>
    </row>
    <row r="27" spans="1:7" ht="18" customHeight="1" x14ac:dyDescent="0.25">
      <c r="A27" s="324" t="s">
        <v>334</v>
      </c>
    </row>
    <row r="28" spans="1:7" ht="5.0999999999999996" customHeight="1" x14ac:dyDescent="0.25">
      <c r="A28" s="2"/>
    </row>
    <row r="29" spans="1:7" ht="18" customHeight="1" x14ac:dyDescent="0.25">
      <c r="A29" t="s">
        <v>365</v>
      </c>
    </row>
    <row r="30" spans="1:7" ht="18" customHeight="1" x14ac:dyDescent="0.25">
      <c r="A30" s="324" t="s">
        <v>363</v>
      </c>
    </row>
    <row r="31" spans="1:7" ht="18" customHeight="1" x14ac:dyDescent="0.25">
      <c r="A31" s="324" t="s">
        <v>362</v>
      </c>
    </row>
    <row r="32" spans="1:7" ht="5.0999999999999996" customHeight="1" x14ac:dyDescent="0.25">
      <c r="A32" s="324"/>
    </row>
    <row r="33" spans="1:1" ht="17.25" x14ac:dyDescent="0.25">
      <c r="A33" t="s">
        <v>366</v>
      </c>
    </row>
    <row r="34" spans="1:1" ht="18" customHeight="1" x14ac:dyDescent="0.25">
      <c r="A34" s="324" t="s">
        <v>364</v>
      </c>
    </row>
    <row r="35" spans="1:1" ht="5.0999999999999996" customHeight="1" x14ac:dyDescent="0.25">
      <c r="A35" s="2"/>
    </row>
    <row r="36" spans="1:1" ht="17.25" x14ac:dyDescent="0.25">
      <c r="A36" t="s">
        <v>367</v>
      </c>
    </row>
  </sheetData>
  <sheetProtection algorithmName="SHA-512" hashValue="yop+E4AYsBH05At3/bEU57kOx8r0mzyFTRaZzwRUd/ebYZ0s3tPaBuGtRSeqoSFww6l1YeaUMCWoZHPLI2+1wQ==" saltValue="+FCz85eahi4skrzFNHZoXw==" spinCount="100000" sheet="1" objects="1" scenarios="1" formatColumns="0" formatRows="0" sort="0"/>
  <printOptions horizontalCentered="1"/>
  <pageMargins left="0.45" right="0.45" top="0.5" bottom="0.5" header="0.3" footer="0.05"/>
  <pageSetup scale="79" orientation="portrait" r:id="rId1"/>
  <headerFooter>
    <oddFooter xml:space="preserve">&amp;L1/11/2022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pageSetUpPr fitToPage="1"/>
  </sheetPr>
  <dimension ref="A1:J29"/>
  <sheetViews>
    <sheetView showGridLines="0" view="pageBreakPreview" zoomScaleNormal="100" zoomScaleSheetLayoutView="100" workbookViewId="0">
      <selection activeCell="F8" sqref="F8"/>
    </sheetView>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General Insurance Company</v>
      </c>
    </row>
    <row r="2" spans="1:10" x14ac:dyDescent="0.25">
      <c r="A2" s="21" t="s">
        <v>69</v>
      </c>
      <c r="C2" s="37" t="s">
        <v>71</v>
      </c>
      <c r="F2" s="36" t="str">
        <f>General_Line</f>
        <v>Homeowners</v>
      </c>
    </row>
    <row r="3" spans="1:10" x14ac:dyDescent="0.25">
      <c r="B3" s="167"/>
    </row>
    <row r="4" spans="1:10" ht="23.25" x14ac:dyDescent="0.25">
      <c r="A4" s="5" t="s">
        <v>295</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t="e">
        <f>E8-1</f>
        <v>#VALUE!</v>
      </c>
      <c r="E8" s="256" t="e">
        <f>F8-1</f>
        <v>#VALUE!</v>
      </c>
      <c r="F8" s="255" t="s">
        <v>172</v>
      </c>
    </row>
    <row r="9" spans="1:10" ht="30" customHeight="1" x14ac:dyDescent="0.25">
      <c r="A9" s="62">
        <v>-1</v>
      </c>
      <c r="B9" s="279"/>
      <c r="C9" s="280"/>
      <c r="D9" s="281"/>
      <c r="E9" s="281"/>
      <c r="F9" s="282"/>
      <c r="J9" s="332"/>
    </row>
    <row r="10" spans="1:10" ht="30" customHeight="1" x14ac:dyDescent="0.25">
      <c r="A10" s="63">
        <v>-2</v>
      </c>
      <c r="B10" s="283"/>
      <c r="C10" s="284"/>
      <c r="D10" s="285"/>
      <c r="E10" s="285"/>
      <c r="F10" s="286"/>
    </row>
    <row r="11" spans="1:10" ht="30" customHeight="1" x14ac:dyDescent="0.25">
      <c r="A11" s="63">
        <v>-3</v>
      </c>
      <c r="B11" s="283"/>
      <c r="C11" s="284"/>
      <c r="D11" s="285"/>
      <c r="E11" s="285"/>
      <c r="F11" s="286"/>
    </row>
    <row r="12" spans="1:10" ht="30" customHeight="1" x14ac:dyDescent="0.25">
      <c r="A12" s="63">
        <v>-4</v>
      </c>
      <c r="B12" s="283"/>
      <c r="C12" s="284"/>
      <c r="D12" s="285"/>
      <c r="E12" s="285"/>
      <c r="F12" s="286"/>
    </row>
    <row r="13" spans="1:10" ht="30" customHeight="1" x14ac:dyDescent="0.25">
      <c r="A13" s="63">
        <v>-5</v>
      </c>
      <c r="B13" s="283"/>
      <c r="C13" s="284"/>
      <c r="D13" s="285"/>
      <c r="E13" s="285"/>
      <c r="F13" s="286"/>
    </row>
    <row r="14" spans="1:10" ht="30" customHeight="1" x14ac:dyDescent="0.25">
      <c r="A14" s="63">
        <v>-6</v>
      </c>
      <c r="B14" s="283"/>
      <c r="C14" s="284"/>
      <c r="D14" s="285"/>
      <c r="E14" s="285"/>
      <c r="F14" s="286"/>
    </row>
    <row r="15" spans="1:10" ht="30" customHeight="1" x14ac:dyDescent="0.25">
      <c r="A15" s="63">
        <v>-7</v>
      </c>
      <c r="B15" s="283"/>
      <c r="C15" s="284"/>
      <c r="D15" s="285"/>
      <c r="E15" s="285"/>
      <c r="F15" s="286"/>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0</v>
      </c>
      <c r="E19" s="81">
        <f>SUM(E$9:E$18)</f>
        <v>0</v>
      </c>
      <c r="F19" s="82">
        <f>SUM(F$9:F$18)</f>
        <v>0</v>
      </c>
    </row>
    <row r="20" spans="1:7" ht="24.95" customHeight="1" x14ac:dyDescent="0.25">
      <c r="A20" s="235" t="s">
        <v>123</v>
      </c>
      <c r="B20" s="236"/>
      <c r="C20" s="237"/>
      <c r="D20" s="291"/>
      <c r="E20" s="292"/>
      <c r="F20" s="293"/>
      <c r="G20" s="335" t="str">
        <f>IF(COUNTA(D20:F20)&lt;3,"←ERROR! Enter Statutory Page 14 Data."," ")</f>
        <v>←ERROR! Enter Statutory Page 14 Data.</v>
      </c>
    </row>
    <row r="21" spans="1:7" ht="24.95" customHeight="1" thickBot="1" x14ac:dyDescent="0.3">
      <c r="A21" s="238" t="s">
        <v>124</v>
      </c>
      <c r="B21" s="239"/>
      <c r="C21" s="240"/>
      <c r="D21" s="241">
        <f>D19-D20</f>
        <v>0</v>
      </c>
      <c r="E21" s="241">
        <f t="shared" ref="E21:F21" si="0">E19-E20</f>
        <v>0</v>
      </c>
      <c r="F21" s="258">
        <f t="shared" si="0"/>
        <v>0</v>
      </c>
    </row>
    <row r="23" spans="1:7" ht="15.75" thickBot="1" x14ac:dyDescent="0.3">
      <c r="A23" t="s">
        <v>125</v>
      </c>
    </row>
    <row r="24" spans="1:7" ht="136.5" customHeight="1" thickBot="1" x14ac:dyDescent="0.3">
      <c r="A24" s="576"/>
      <c r="B24" s="577"/>
      <c r="C24" s="577"/>
      <c r="D24" s="577"/>
      <c r="E24" s="577"/>
      <c r="F24" s="578"/>
      <c r="G24" s="335" t="str">
        <f>IF(AND(ISBLANK(A24),OR(ROUND(D21,0)&lt;&gt;0,ROUND(E21,0)&lt;&gt;0,ROUND(F21,0)&lt;&gt;0)),"← WARNING! Explain any differences.","")</f>
        <v/>
      </c>
    </row>
    <row r="25" spans="1:7" ht="5.0999999999999996" customHeight="1" x14ac:dyDescent="0.25"/>
    <row r="26" spans="1:7" ht="17.25" x14ac:dyDescent="0.25">
      <c r="A26" s="331" t="s">
        <v>361</v>
      </c>
    </row>
    <row r="27" spans="1:7" x14ac:dyDescent="0.25">
      <c r="A27" s="331" t="s">
        <v>378</v>
      </c>
    </row>
    <row r="28" spans="1:7" x14ac:dyDescent="0.25">
      <c r="A28" s="331" t="s">
        <v>379</v>
      </c>
    </row>
    <row r="29" spans="1:7" ht="17.25" x14ac:dyDescent="0.25">
      <c r="A29" t="s">
        <v>128</v>
      </c>
    </row>
  </sheetData>
  <sheetProtection algorithmName="SHA-512" hashValue="GaX69pMgjoWc+TTSs3+EHvWO8aAvxNZtGcBmyCGRCcVcS3PmOhoKbIhLcMSTrS+JDUzNV5im4SYkEGwnkxLdqA==" saltValue="Dr2PGcDxLwWZV92jZMIny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00FF"/>
  </sheetPr>
  <dimension ref="A1:J232"/>
  <sheetViews>
    <sheetView showGridLines="0" view="pageBreakPreview" zoomScaleNormal="100" zoomScaleSheetLayoutView="100" workbookViewId="0">
      <selection activeCell="B6" sqref="B6"/>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General Insurance Company</v>
      </c>
    </row>
    <row r="2" spans="1:10" x14ac:dyDescent="0.25">
      <c r="A2" s="21" t="s">
        <v>69</v>
      </c>
      <c r="G2" s="37" t="s">
        <v>71</v>
      </c>
      <c r="J2" s="36" t="str">
        <f>General_Line</f>
        <v>Homeowners</v>
      </c>
    </row>
    <row r="3" spans="1:10" x14ac:dyDescent="0.25">
      <c r="B3" s="232"/>
    </row>
    <row r="4" spans="1:10" ht="24" thickBot="1" x14ac:dyDescent="0.4">
      <c r="B4" s="303" t="str">
        <f>CONCATENATE("ANNUAL STATEMENT LINE - ", J2,)</f>
        <v>ANNUAL STATEMENT LINE - Homeowners</v>
      </c>
      <c r="C4" s="208"/>
      <c r="D4" s="208"/>
      <c r="E4" s="208"/>
      <c r="F4" s="208"/>
      <c r="G4" s="208"/>
      <c r="H4" s="208"/>
      <c r="I4" s="208"/>
      <c r="J4" s="208"/>
    </row>
    <row r="5" spans="1:10" ht="30.75" thickBot="1" x14ac:dyDescent="0.3">
      <c r="B5" s="209" t="s">
        <v>110</v>
      </c>
      <c r="C5" s="209" t="s">
        <v>259</v>
      </c>
      <c r="D5" s="209" t="s">
        <v>260</v>
      </c>
      <c r="E5" s="209" t="s">
        <v>116</v>
      </c>
      <c r="F5" s="209" t="s">
        <v>261</v>
      </c>
      <c r="G5" s="209" t="s">
        <v>117</v>
      </c>
      <c r="H5" s="209" t="s">
        <v>262</v>
      </c>
      <c r="I5" s="209" t="s">
        <v>263</v>
      </c>
      <c r="J5" s="209" t="s">
        <v>264</v>
      </c>
    </row>
    <row r="6" spans="1:10" x14ac:dyDescent="0.25">
      <c r="A6" s="210" t="s">
        <v>215</v>
      </c>
      <c r="B6" s="261" t="s">
        <v>172</v>
      </c>
      <c r="C6" s="313">
        <v>0</v>
      </c>
      <c r="D6" s="304">
        <v>0</v>
      </c>
      <c r="E6" s="305">
        <v>0</v>
      </c>
      <c r="F6" s="219" t="e">
        <f>E6/$D6</f>
        <v>#DIV/0!</v>
      </c>
      <c r="G6" s="310">
        <v>0</v>
      </c>
      <c r="H6" s="219" t="e">
        <f>G6/$D6</f>
        <v>#DIV/0!</v>
      </c>
      <c r="I6" s="218">
        <f>E6+G6</f>
        <v>0</v>
      </c>
      <c r="J6" s="219" t="e">
        <f>I6/$D6</f>
        <v>#DIV/0!</v>
      </c>
    </row>
    <row r="7" spans="1:10" x14ac:dyDescent="0.25">
      <c r="A7" s="210" t="s">
        <v>216</v>
      </c>
      <c r="B7" s="262" t="e">
        <f>B6-1</f>
        <v>#VALUE!</v>
      </c>
      <c r="C7" s="314">
        <v>0</v>
      </c>
      <c r="D7" s="306">
        <v>0</v>
      </c>
      <c r="E7" s="307">
        <v>0</v>
      </c>
      <c r="F7" s="219" t="e">
        <f>E7/$D7</f>
        <v>#DIV/0!</v>
      </c>
      <c r="G7" s="311">
        <v>0</v>
      </c>
      <c r="H7" s="219" t="e">
        <f>G7/$D7</f>
        <v>#DIV/0!</v>
      </c>
      <c r="I7" s="218">
        <f>E7+G7</f>
        <v>0</v>
      </c>
      <c r="J7" s="219" t="e">
        <f>I7/$D7</f>
        <v>#DIV/0!</v>
      </c>
    </row>
    <row r="8" spans="1:10" x14ac:dyDescent="0.25">
      <c r="A8" s="210" t="s">
        <v>218</v>
      </c>
      <c r="B8" s="263" t="e">
        <f>B7-1</f>
        <v>#VALUE!</v>
      </c>
      <c r="C8" s="315">
        <v>0</v>
      </c>
      <c r="D8" s="308">
        <v>0</v>
      </c>
      <c r="E8" s="309">
        <v>0</v>
      </c>
      <c r="F8" s="220" t="e">
        <f>E8/$D8</f>
        <v>#DIV/0!</v>
      </c>
      <c r="G8" s="312">
        <v>0</v>
      </c>
      <c r="H8" s="220" t="e">
        <f>G8/$D8</f>
        <v>#DIV/0!</v>
      </c>
      <c r="I8" s="227">
        <f>E8+G8</f>
        <v>0</v>
      </c>
      <c r="J8" s="220" t="e">
        <f>I8/$D8</f>
        <v>#DIV/0!</v>
      </c>
    </row>
    <row r="9" spans="1:10" x14ac:dyDescent="0.25">
      <c r="A9" s="210" t="s">
        <v>217</v>
      </c>
      <c r="B9" s="264" t="s">
        <v>265</v>
      </c>
      <c r="C9" s="218">
        <f>AVERAGE(C6:C8)</f>
        <v>0</v>
      </c>
      <c r="D9" s="218">
        <f>AVERAGE(D6:D8)</f>
        <v>0</v>
      </c>
      <c r="E9" s="218">
        <f>AVERAGE(E6:E8)</f>
        <v>0</v>
      </c>
      <c r="F9" s="219" t="e">
        <f>E9/$D9</f>
        <v>#DIV/0!</v>
      </c>
      <c r="G9" s="218">
        <f>AVERAGE(G6:G8)</f>
        <v>0</v>
      </c>
      <c r="H9" s="219" t="e">
        <f>G9/$D9</f>
        <v>#DIV/0!</v>
      </c>
      <c r="I9" s="218">
        <f>AVERAGE(I6:I8)</f>
        <v>0</v>
      </c>
      <c r="J9" s="219" t="e">
        <f>I9/$D9</f>
        <v>#DIV/0!</v>
      </c>
    </row>
    <row r="10" spans="1:10" ht="5.0999999999999996" customHeight="1" x14ac:dyDescent="0.25">
      <c r="A10" s="210"/>
      <c r="B10" s="4"/>
      <c r="C10" s="212"/>
      <c r="D10" s="212"/>
      <c r="E10" s="212"/>
      <c r="F10" s="211"/>
      <c r="G10" s="212"/>
      <c r="H10" s="211"/>
      <c r="I10" s="212"/>
      <c r="J10" s="211"/>
    </row>
    <row r="11" spans="1:10" x14ac:dyDescent="0.25">
      <c r="A11" s="148"/>
      <c r="B11" s="213" t="e">
        <f>"Source: Annual Statement for "&amp;B8&amp;", "&amp;B7&amp;" &amp; "&amp;B6</f>
        <v>#VALUE!</v>
      </c>
      <c r="F11" s="214"/>
    </row>
    <row r="12" spans="1:10" x14ac:dyDescent="0.25">
      <c r="B12" s="329" t="s">
        <v>347</v>
      </c>
      <c r="F12" s="214"/>
    </row>
    <row r="13" spans="1:10" x14ac:dyDescent="0.25">
      <c r="A13" s="148"/>
      <c r="B13" s="213" t="s">
        <v>266</v>
      </c>
    </row>
    <row r="14" spans="1:10" x14ac:dyDescent="0.25">
      <c r="A14" s="148"/>
    </row>
    <row r="15" spans="1:10" x14ac:dyDescent="0.25">
      <c r="A15" s="148"/>
      <c r="B15" s="214" t="s">
        <v>348</v>
      </c>
    </row>
    <row r="16" spans="1:10" ht="30.75" thickBot="1" x14ac:dyDescent="0.3">
      <c r="A16" s="148"/>
      <c r="B16" s="209" t="s">
        <v>110</v>
      </c>
      <c r="C16" s="209" t="s">
        <v>259</v>
      </c>
      <c r="D16" s="209" t="s">
        <v>260</v>
      </c>
      <c r="E16" s="209" t="s">
        <v>116</v>
      </c>
      <c r="F16" s="209" t="s">
        <v>261</v>
      </c>
      <c r="G16" s="209" t="s">
        <v>117</v>
      </c>
      <c r="H16" s="209" t="s">
        <v>262</v>
      </c>
      <c r="I16" s="209" t="s">
        <v>263</v>
      </c>
      <c r="J16" s="209" t="s">
        <v>264</v>
      </c>
    </row>
    <row r="17" spans="1:10" x14ac:dyDescent="0.25">
      <c r="A17" s="210" t="s">
        <v>219</v>
      </c>
      <c r="B17" s="217" t="str">
        <f>$B$6</f>
        <v>YYYY</v>
      </c>
      <c r="C17" s="221">
        <f t="shared" ref="C17:E18" si="0">C26+C33+C40+C47+C54+C61+C68+C75+C82+C89+C96+C103+C110+C117+C124+C131+C138+C145+C152+C159+C166+C173+C180+C187+C194+C201+C208+C215+C222+C229</f>
        <v>0</v>
      </c>
      <c r="D17" s="221">
        <f t="shared" si="0"/>
        <v>0</v>
      </c>
      <c r="E17" s="221">
        <f t="shared" si="0"/>
        <v>0</v>
      </c>
      <c r="F17" s="222" t="e">
        <f>E17/$D17</f>
        <v>#DIV/0!</v>
      </c>
      <c r="G17" s="221">
        <f>G26+G33+G40+G47+G54+G61+G68+G75+G82+G89+G96+G103+G110+G117+G124+G131+G138+G145+G152+G159+G166+G173+G180+G187+G194+G201+G208+G215+G222+G229</f>
        <v>0</v>
      </c>
      <c r="H17" s="222" t="e">
        <f>G17/$D17</f>
        <v>#DIV/0!</v>
      </c>
      <c r="I17" s="221">
        <f>I26+I33+I40+I47+I54+I61+I68+I75+I82+I89+I96+I103+I110+I117+I124+I131+I138+I145+I152+I159+I166+I173+I180+I187+I194+I201+I208+I215+I222+I229</f>
        <v>0</v>
      </c>
      <c r="J17" s="222" t="e">
        <f>I17/$D17</f>
        <v>#DIV/0!</v>
      </c>
    </row>
    <row r="18" spans="1:10" x14ac:dyDescent="0.25">
      <c r="A18" s="210" t="s">
        <v>220</v>
      </c>
      <c r="B18" s="217" t="e">
        <f>$B$7</f>
        <v>#VALUE!</v>
      </c>
      <c r="C18" s="221">
        <f t="shared" si="0"/>
        <v>0</v>
      </c>
      <c r="D18" s="221">
        <f t="shared" si="0"/>
        <v>0</v>
      </c>
      <c r="E18" s="221">
        <f t="shared" si="0"/>
        <v>0</v>
      </c>
      <c r="F18" s="222" t="e">
        <f>E18/$D18</f>
        <v>#DIV/0!</v>
      </c>
      <c r="G18" s="221">
        <f>G27+G34+G41+G48+G55+G62+G69+G76+G83+G90+G97+G104+G111+G118+G125+G132+G139+G146+G153+G160+G167+G174+G181+G188+G195+G202+G209+G216+G223+G230</f>
        <v>0</v>
      </c>
      <c r="H18" s="222" t="e">
        <f>G18/$D18</f>
        <v>#DIV/0!</v>
      </c>
      <c r="I18" s="221">
        <f>I27+I34+I41+I48+I55+I62+I69+I76+I83+I90+I97+I104+I111+I118+I125+I132+I139+I146+I153+I160+I167+I174+I181+I188+I195+I1202+I209+I216+I223+I230</f>
        <v>0</v>
      </c>
      <c r="J18" s="222" t="e">
        <f>I18/$D18</f>
        <v>#DIV/0!</v>
      </c>
    </row>
    <row r="19" spans="1:10" x14ac:dyDescent="0.25">
      <c r="A19" s="210" t="s">
        <v>221</v>
      </c>
      <c r="B19" s="223" t="e">
        <f>$B$8</f>
        <v>#VALUE!</v>
      </c>
      <c r="C19" s="224">
        <f>C28+C35+C42+C49+C56+C63+C70+C77+C84+C91+C98+C105+C112+C119+C126+C133+C140+C147+C154+C161+C168+C175+C182+C189+C196+C203+C210+C217+C224+C231</f>
        <v>0</v>
      </c>
      <c r="D19" s="224">
        <f>D28+D35+D42+D49+D56+D63+D70+D77+D84+D91+D98+D105+D112+D119+D126+D133+D140+D147+D154+D161+D168+D175+D182+D189+D196+D203+D210+D217+D224+D231</f>
        <v>0</v>
      </c>
      <c r="E19" s="224">
        <f>E28+E35+E42+E49+E56+E63+E70+E77+E84+E91+E98+E105+E112+E119+E126+E133+E140+E147+E154+E161+E168+E175+E182+E189+E196+E203+E210+E217+E224+E231</f>
        <v>0</v>
      </c>
      <c r="F19" s="225" t="e">
        <f>E19/$D19</f>
        <v>#DIV/0!</v>
      </c>
      <c r="G19" s="224">
        <f>G28+G35+G42+G49+G56+G63+G70+G77+G84+G91+G98+G105+G112+G119+G126+G133+G140+G147+G154+G161+G168+G175+G181+G189+G196+G203+G210+G217+G224+G231</f>
        <v>0</v>
      </c>
      <c r="H19" s="225" t="e">
        <f>G19/$D19</f>
        <v>#DIV/0!</v>
      </c>
      <c r="I19" s="224">
        <f>I28+I35+I42+I49+I56+I63+I70+I77+I84+I91+I98+I105+I112+I119+I126+I133+I140+I147+I154+I161+I168+I175+I182+I189+I196+I203+I210+I217+I224+I231</f>
        <v>0</v>
      </c>
      <c r="J19" s="225" t="e">
        <f>I19/$D19</f>
        <v>#DIV/0!</v>
      </c>
    </row>
    <row r="20" spans="1:10" x14ac:dyDescent="0.25">
      <c r="A20" s="210" t="s">
        <v>222</v>
      </c>
      <c r="B20" s="217" t="s">
        <v>265</v>
      </c>
      <c r="C20" s="221">
        <f>AVERAGE(C17:C19)</f>
        <v>0</v>
      </c>
      <c r="D20" s="221">
        <f>AVERAGE(D17:D19)</f>
        <v>0</v>
      </c>
      <c r="E20" s="221">
        <f>AVERAGE(E17:E19)</f>
        <v>0</v>
      </c>
      <c r="F20" s="222" t="e">
        <f>E20/$D20</f>
        <v>#DIV/0!</v>
      </c>
      <c r="G20" s="221">
        <f>AVERAGE(G17:G19)</f>
        <v>0</v>
      </c>
      <c r="H20" s="222" t="e">
        <f>G20/$D20</f>
        <v>#DIV/0!</v>
      </c>
      <c r="I20" s="221">
        <f>AVERAGE(I17:I19)</f>
        <v>0</v>
      </c>
      <c r="J20" s="222" t="e">
        <f>I20/$D20</f>
        <v>#DIV/0!</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t="e">
        <f t="shared" si="1"/>
        <v>#DIV/0!</v>
      </c>
      <c r="G22" s="226">
        <f t="shared" si="1"/>
        <v>0</v>
      </c>
      <c r="H22" s="226" t="e">
        <f t="shared" si="1"/>
        <v>#DIV/0!</v>
      </c>
      <c r="I22" s="226">
        <f>I20-I9</f>
        <v>0</v>
      </c>
      <c r="J22" s="226" t="e">
        <f t="shared" si="1"/>
        <v>#DIV/0!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79" t="s">
        <v>349</v>
      </c>
      <c r="C24" s="579"/>
    </row>
    <row r="25" spans="1:10" ht="30.75" thickBot="1" x14ac:dyDescent="0.3">
      <c r="A25" s="148"/>
      <c r="B25" s="209" t="s">
        <v>110</v>
      </c>
      <c r="C25" s="209" t="s">
        <v>259</v>
      </c>
      <c r="D25" s="209" t="s">
        <v>260</v>
      </c>
      <c r="E25" s="209" t="s">
        <v>116</v>
      </c>
      <c r="F25" s="209" t="s">
        <v>261</v>
      </c>
      <c r="G25" s="209" t="s">
        <v>117</v>
      </c>
      <c r="H25" s="209" t="s">
        <v>262</v>
      </c>
      <c r="I25" s="209" t="s">
        <v>263</v>
      </c>
      <c r="J25" s="209" t="s">
        <v>264</v>
      </c>
    </row>
    <row r="26" spans="1:10" x14ac:dyDescent="0.25">
      <c r="A26" s="148"/>
      <c r="B26" s="217" t="str">
        <f>$B$6</f>
        <v>YYYY</v>
      </c>
      <c r="C26" s="313">
        <v>0</v>
      </c>
      <c r="D26" s="304">
        <v>0</v>
      </c>
      <c r="E26" s="305">
        <v>0</v>
      </c>
      <c r="F26" s="219" t="e">
        <f>E26/$D26</f>
        <v>#DIV/0!</v>
      </c>
      <c r="G26" s="310">
        <v>0</v>
      </c>
      <c r="H26" s="219" t="e">
        <f>G26/$D26</f>
        <v>#DIV/0!</v>
      </c>
      <c r="I26" s="218">
        <f>E26+G26</f>
        <v>0</v>
      </c>
      <c r="J26" s="219" t="e">
        <f>I26/$D26</f>
        <v>#DIV/0!</v>
      </c>
    </row>
    <row r="27" spans="1:10" x14ac:dyDescent="0.25">
      <c r="A27" s="148"/>
      <c r="B27" s="217" t="e">
        <f>$B$7</f>
        <v>#VALUE!</v>
      </c>
      <c r="C27" s="314">
        <v>0</v>
      </c>
      <c r="D27" s="306">
        <v>0</v>
      </c>
      <c r="E27" s="307">
        <v>0</v>
      </c>
      <c r="F27" s="219" t="e">
        <f>E27/$D27</f>
        <v>#DIV/0!</v>
      </c>
      <c r="G27" s="311">
        <v>0</v>
      </c>
      <c r="H27" s="219" t="e">
        <f>G27/$D27</f>
        <v>#DIV/0!</v>
      </c>
      <c r="I27" s="218">
        <f>E27+G27</f>
        <v>0</v>
      </c>
      <c r="J27" s="219" t="e">
        <f>I27/$D27</f>
        <v>#DIV/0!</v>
      </c>
    </row>
    <row r="28" spans="1:10" x14ac:dyDescent="0.25">
      <c r="A28" s="148"/>
      <c r="B28" s="223" t="e">
        <f>$B$8</f>
        <v>#VALUE!</v>
      </c>
      <c r="C28" s="315">
        <v>0</v>
      </c>
      <c r="D28" s="308">
        <v>0</v>
      </c>
      <c r="E28" s="309">
        <v>0</v>
      </c>
      <c r="F28" s="220" t="e">
        <f>E28/$D28</f>
        <v>#DIV/0!</v>
      </c>
      <c r="G28" s="312">
        <v>0</v>
      </c>
      <c r="H28" s="220" t="e">
        <f>G28/$D28</f>
        <v>#DIV/0!</v>
      </c>
      <c r="I28" s="227">
        <f>E28+G28</f>
        <v>0</v>
      </c>
      <c r="J28" s="220" t="e">
        <f>I28/$D28</f>
        <v>#DIV/0!</v>
      </c>
    </row>
    <row r="29" spans="1:10" x14ac:dyDescent="0.25">
      <c r="A29" s="148"/>
      <c r="B29" s="217" t="s">
        <v>265</v>
      </c>
      <c r="C29" s="218">
        <f>AVERAGE(C26:C28)</f>
        <v>0</v>
      </c>
      <c r="D29" s="218">
        <f>AVERAGE(D26:D28)</f>
        <v>0</v>
      </c>
      <c r="E29" s="218">
        <f>AVERAGE(E26:E28)</f>
        <v>0</v>
      </c>
      <c r="F29" s="219" t="e">
        <f>E29/$D29</f>
        <v>#DIV/0!</v>
      </c>
      <c r="G29" s="218">
        <f>AVERAGE(G26:G28)</f>
        <v>0</v>
      </c>
      <c r="H29" s="219" t="e">
        <f>G29/$D29</f>
        <v>#DIV/0!</v>
      </c>
      <c r="I29" s="218">
        <f>AVERAGE(I26:I28)</f>
        <v>0</v>
      </c>
      <c r="J29" s="219" t="e">
        <f>I29/$D29</f>
        <v>#DIV/0!</v>
      </c>
    </row>
    <row r="30" spans="1:10" x14ac:dyDescent="0.25">
      <c r="A30" s="148"/>
    </row>
    <row r="31" spans="1:10" x14ac:dyDescent="0.25">
      <c r="A31" s="148"/>
      <c r="B31" s="579" t="s">
        <v>349</v>
      </c>
      <c r="C31" s="579"/>
    </row>
    <row r="32" spans="1:10" ht="30.75" thickBot="1" x14ac:dyDescent="0.3">
      <c r="A32" s="148"/>
      <c r="B32" s="209" t="s">
        <v>110</v>
      </c>
      <c r="C32" s="209" t="s">
        <v>259</v>
      </c>
      <c r="D32" s="209" t="s">
        <v>260</v>
      </c>
      <c r="E32" s="209" t="s">
        <v>116</v>
      </c>
      <c r="F32" s="209" t="s">
        <v>261</v>
      </c>
      <c r="G32" s="209" t="s">
        <v>117</v>
      </c>
      <c r="H32" s="209" t="s">
        <v>262</v>
      </c>
      <c r="I32" s="209" t="s">
        <v>263</v>
      </c>
      <c r="J32" s="209" t="s">
        <v>264</v>
      </c>
    </row>
    <row r="33" spans="1:10" x14ac:dyDescent="0.25">
      <c r="A33" s="148"/>
      <c r="B33" s="217" t="str">
        <f>$B$6</f>
        <v>YYYY</v>
      </c>
      <c r="C33" s="313">
        <v>0</v>
      </c>
      <c r="D33" s="304">
        <v>0</v>
      </c>
      <c r="E33" s="305">
        <v>0</v>
      </c>
      <c r="F33" s="219" t="e">
        <f>E33/$D33</f>
        <v>#DIV/0!</v>
      </c>
      <c r="G33" s="310">
        <v>0</v>
      </c>
      <c r="H33" s="219" t="e">
        <f>G33/$D33</f>
        <v>#DIV/0!</v>
      </c>
      <c r="I33" s="218">
        <f>E33+G33</f>
        <v>0</v>
      </c>
      <c r="J33" s="219" t="e">
        <f>I33/$D33</f>
        <v>#DIV/0!</v>
      </c>
    </row>
    <row r="34" spans="1:10" x14ac:dyDescent="0.25">
      <c r="A34" s="148"/>
      <c r="B34" s="217" t="e">
        <f>$B$7</f>
        <v>#VALUE!</v>
      </c>
      <c r="C34" s="314">
        <v>0</v>
      </c>
      <c r="D34" s="306">
        <v>0</v>
      </c>
      <c r="E34" s="307">
        <v>0</v>
      </c>
      <c r="F34" s="219" t="e">
        <f>E34/$D34</f>
        <v>#DIV/0!</v>
      </c>
      <c r="G34" s="311">
        <v>0</v>
      </c>
      <c r="H34" s="219" t="e">
        <f>G34/$D34</f>
        <v>#DIV/0!</v>
      </c>
      <c r="I34" s="218">
        <f>E34+G34</f>
        <v>0</v>
      </c>
      <c r="J34" s="219" t="e">
        <f>I34/$D34</f>
        <v>#DIV/0!</v>
      </c>
    </row>
    <row r="35" spans="1:10" x14ac:dyDescent="0.25">
      <c r="A35" s="148"/>
      <c r="B35" s="223" t="e">
        <f>$B$8</f>
        <v>#VALUE!</v>
      </c>
      <c r="C35" s="315">
        <v>0</v>
      </c>
      <c r="D35" s="308">
        <v>0</v>
      </c>
      <c r="E35" s="309">
        <v>0</v>
      </c>
      <c r="F35" s="220" t="e">
        <f>E35/$D35</f>
        <v>#DIV/0!</v>
      </c>
      <c r="G35" s="312">
        <v>0</v>
      </c>
      <c r="H35" s="220" t="e">
        <f>G35/$D35</f>
        <v>#DIV/0!</v>
      </c>
      <c r="I35" s="227">
        <f>E35+G35</f>
        <v>0</v>
      </c>
      <c r="J35" s="220" t="e">
        <f>I35/$D35</f>
        <v>#DIV/0!</v>
      </c>
    </row>
    <row r="36" spans="1:10" x14ac:dyDescent="0.25">
      <c r="A36" s="148"/>
      <c r="B36" s="217" t="s">
        <v>265</v>
      </c>
      <c r="C36" s="218">
        <f>AVERAGE(C33:C35)</f>
        <v>0</v>
      </c>
      <c r="D36" s="218">
        <f>AVERAGE(D33:D35)</f>
        <v>0</v>
      </c>
      <c r="E36" s="218">
        <f>AVERAGE(E33:E35)</f>
        <v>0</v>
      </c>
      <c r="F36" s="219" t="e">
        <f>E36/$D36</f>
        <v>#DIV/0!</v>
      </c>
      <c r="G36" s="218">
        <f>AVERAGE(G33:G35)</f>
        <v>0</v>
      </c>
      <c r="H36" s="219" t="e">
        <f>G36/$D36</f>
        <v>#DIV/0!</v>
      </c>
      <c r="I36" s="218">
        <f>AVERAGE(I33:I35)</f>
        <v>0</v>
      </c>
      <c r="J36" s="219" t="e">
        <f>I36/$D36</f>
        <v>#DIV/0!</v>
      </c>
    </row>
    <row r="37" spans="1:10" x14ac:dyDescent="0.25">
      <c r="A37" s="148"/>
    </row>
    <row r="38" spans="1:10" x14ac:dyDescent="0.25">
      <c r="A38" s="148"/>
      <c r="B38" s="579" t="s">
        <v>349</v>
      </c>
      <c r="C38" s="579"/>
    </row>
    <row r="39" spans="1:10" ht="30.75" thickBot="1" x14ac:dyDescent="0.3">
      <c r="A39" s="148"/>
      <c r="B39" s="209" t="s">
        <v>110</v>
      </c>
      <c r="C39" s="209" t="s">
        <v>259</v>
      </c>
      <c r="D39" s="209" t="s">
        <v>260</v>
      </c>
      <c r="E39" s="209" t="s">
        <v>116</v>
      </c>
      <c r="F39" s="209" t="s">
        <v>261</v>
      </c>
      <c r="G39" s="209" t="s">
        <v>117</v>
      </c>
      <c r="H39" s="209" t="s">
        <v>262</v>
      </c>
      <c r="I39" s="209" t="s">
        <v>263</v>
      </c>
      <c r="J39" s="209" t="s">
        <v>264</v>
      </c>
    </row>
    <row r="40" spans="1:10" x14ac:dyDescent="0.25">
      <c r="A40" s="148"/>
      <c r="B40" s="217" t="str">
        <f>$B$6</f>
        <v>YYYY</v>
      </c>
      <c r="C40" s="313">
        <v>0</v>
      </c>
      <c r="D40" s="304">
        <v>0</v>
      </c>
      <c r="E40" s="305">
        <v>0</v>
      </c>
      <c r="F40" s="219" t="e">
        <f>E40/$D40</f>
        <v>#DIV/0!</v>
      </c>
      <c r="G40" s="310">
        <v>0</v>
      </c>
      <c r="H40" s="219" t="e">
        <f>G40/$D40</f>
        <v>#DIV/0!</v>
      </c>
      <c r="I40" s="218">
        <f>E40+G40</f>
        <v>0</v>
      </c>
      <c r="J40" s="219" t="e">
        <f>I40/$D40</f>
        <v>#DIV/0!</v>
      </c>
    </row>
    <row r="41" spans="1:10" x14ac:dyDescent="0.25">
      <c r="A41" s="148"/>
      <c r="B41" s="217" t="e">
        <f>$B$7</f>
        <v>#VALUE!</v>
      </c>
      <c r="C41" s="314">
        <v>0</v>
      </c>
      <c r="D41" s="306">
        <v>0</v>
      </c>
      <c r="E41" s="307">
        <v>0</v>
      </c>
      <c r="F41" s="219" t="e">
        <f>E41/$D41</f>
        <v>#DIV/0!</v>
      </c>
      <c r="G41" s="311">
        <v>0</v>
      </c>
      <c r="H41" s="219" t="e">
        <f>G41/$D41</f>
        <v>#DIV/0!</v>
      </c>
      <c r="I41" s="218">
        <f>E41+G41</f>
        <v>0</v>
      </c>
      <c r="J41" s="219" t="e">
        <f>I41/$D41</f>
        <v>#DIV/0!</v>
      </c>
    </row>
    <row r="42" spans="1:10" x14ac:dyDescent="0.25">
      <c r="A42" s="148"/>
      <c r="B42" s="223" t="e">
        <f>$B$8</f>
        <v>#VALUE!</v>
      </c>
      <c r="C42" s="315">
        <v>0</v>
      </c>
      <c r="D42" s="308">
        <v>0</v>
      </c>
      <c r="E42" s="309">
        <v>0</v>
      </c>
      <c r="F42" s="220" t="e">
        <f>E42/$D42</f>
        <v>#DIV/0!</v>
      </c>
      <c r="G42" s="312">
        <v>0</v>
      </c>
      <c r="H42" s="220" t="e">
        <f>G42/$D42</f>
        <v>#DIV/0!</v>
      </c>
      <c r="I42" s="227">
        <f>E42+G42</f>
        <v>0</v>
      </c>
      <c r="J42" s="220" t="e">
        <f>I42/$D42</f>
        <v>#DIV/0!</v>
      </c>
    </row>
    <row r="43" spans="1:10" x14ac:dyDescent="0.25">
      <c r="A43" s="148"/>
      <c r="B43" s="217" t="s">
        <v>265</v>
      </c>
      <c r="C43" s="218">
        <f>AVERAGE(C40:C42)</f>
        <v>0</v>
      </c>
      <c r="D43" s="218">
        <f>AVERAGE(D40:D42)</f>
        <v>0</v>
      </c>
      <c r="E43" s="218">
        <f>AVERAGE(E40:E42)</f>
        <v>0</v>
      </c>
      <c r="F43" s="219" t="e">
        <f>E43/$D43</f>
        <v>#DIV/0!</v>
      </c>
      <c r="G43" s="218">
        <f>AVERAGE(G40:G42)</f>
        <v>0</v>
      </c>
      <c r="H43" s="219" t="e">
        <f>G43/$D43</f>
        <v>#DIV/0!</v>
      </c>
      <c r="I43" s="218">
        <f>AVERAGE(I40:I42)</f>
        <v>0</v>
      </c>
      <c r="J43" s="219" t="e">
        <f>I43/$D43</f>
        <v>#DIV/0!</v>
      </c>
    </row>
    <row r="44" spans="1:10" x14ac:dyDescent="0.25">
      <c r="A44" s="148"/>
    </row>
    <row r="45" spans="1:10" x14ac:dyDescent="0.25">
      <c r="A45" s="148"/>
      <c r="B45" s="579" t="s">
        <v>349</v>
      </c>
      <c r="C45" s="579"/>
    </row>
    <row r="46" spans="1:10" ht="30.75" thickBot="1" x14ac:dyDescent="0.3">
      <c r="A46" s="148"/>
      <c r="B46" s="209" t="s">
        <v>110</v>
      </c>
      <c r="C46" s="209" t="s">
        <v>259</v>
      </c>
      <c r="D46" s="209" t="s">
        <v>260</v>
      </c>
      <c r="E46" s="209" t="s">
        <v>116</v>
      </c>
      <c r="F46" s="209" t="s">
        <v>261</v>
      </c>
      <c r="G46" s="209" t="s">
        <v>117</v>
      </c>
      <c r="H46" s="209" t="s">
        <v>262</v>
      </c>
      <c r="I46" s="209" t="s">
        <v>263</v>
      </c>
      <c r="J46" s="209" t="s">
        <v>264</v>
      </c>
    </row>
    <row r="47" spans="1:10" x14ac:dyDescent="0.25">
      <c r="A47" s="148"/>
      <c r="B47" s="217" t="str">
        <f>$B$6</f>
        <v>YYYY</v>
      </c>
      <c r="C47" s="313">
        <v>0</v>
      </c>
      <c r="D47" s="304">
        <v>0</v>
      </c>
      <c r="E47" s="305">
        <v>0</v>
      </c>
      <c r="F47" s="219" t="e">
        <f>E47/$D47</f>
        <v>#DIV/0!</v>
      </c>
      <c r="G47" s="310">
        <v>0</v>
      </c>
      <c r="H47" s="219" t="e">
        <f>G47/$D47</f>
        <v>#DIV/0!</v>
      </c>
      <c r="I47" s="218">
        <f>E47+G47</f>
        <v>0</v>
      </c>
      <c r="J47" s="219" t="e">
        <f>I47/$D47</f>
        <v>#DIV/0!</v>
      </c>
    </row>
    <row r="48" spans="1:10" x14ac:dyDescent="0.25">
      <c r="A48" s="148"/>
      <c r="B48" s="217" t="e">
        <f>$B$7</f>
        <v>#VALUE!</v>
      </c>
      <c r="C48" s="314">
        <v>0</v>
      </c>
      <c r="D48" s="306">
        <v>0</v>
      </c>
      <c r="E48" s="307">
        <v>0</v>
      </c>
      <c r="F48" s="219" t="e">
        <f>E48/$D48</f>
        <v>#DIV/0!</v>
      </c>
      <c r="G48" s="311">
        <v>0</v>
      </c>
      <c r="H48" s="219" t="e">
        <f>G48/$D48</f>
        <v>#DIV/0!</v>
      </c>
      <c r="I48" s="218">
        <f>E48+G48</f>
        <v>0</v>
      </c>
      <c r="J48" s="219" t="e">
        <f>I48/$D48</f>
        <v>#DIV/0!</v>
      </c>
    </row>
    <row r="49" spans="1:10" x14ac:dyDescent="0.25">
      <c r="A49" s="148"/>
      <c r="B49" s="223" t="e">
        <f>$B$8</f>
        <v>#VALUE!</v>
      </c>
      <c r="C49" s="315">
        <v>0</v>
      </c>
      <c r="D49" s="308">
        <v>0</v>
      </c>
      <c r="E49" s="309">
        <v>0</v>
      </c>
      <c r="F49" s="220" t="e">
        <f>E49/$D49</f>
        <v>#DIV/0!</v>
      </c>
      <c r="G49" s="312">
        <v>0</v>
      </c>
      <c r="H49" s="220" t="e">
        <f>G49/$D49</f>
        <v>#DIV/0!</v>
      </c>
      <c r="I49" s="227">
        <f>E49+G49</f>
        <v>0</v>
      </c>
      <c r="J49" s="220" t="e">
        <f>I49/$D49</f>
        <v>#DIV/0!</v>
      </c>
    </row>
    <row r="50" spans="1:10" x14ac:dyDescent="0.25">
      <c r="A50" s="148"/>
      <c r="B50" s="217" t="s">
        <v>265</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79" t="s">
        <v>349</v>
      </c>
      <c r="C52" s="579"/>
    </row>
    <row r="53" spans="1:10" ht="30.75" thickBot="1" x14ac:dyDescent="0.3">
      <c r="A53" s="148"/>
      <c r="B53" s="209" t="s">
        <v>110</v>
      </c>
      <c r="C53" s="209" t="s">
        <v>259</v>
      </c>
      <c r="D53" s="209" t="s">
        <v>260</v>
      </c>
      <c r="E53" s="209" t="s">
        <v>116</v>
      </c>
      <c r="F53" s="209" t="s">
        <v>261</v>
      </c>
      <c r="G53" s="209" t="s">
        <v>117</v>
      </c>
      <c r="H53" s="209" t="s">
        <v>262</v>
      </c>
      <c r="I53" s="209" t="s">
        <v>263</v>
      </c>
      <c r="J53" s="209" t="s">
        <v>264</v>
      </c>
    </row>
    <row r="54" spans="1:10" x14ac:dyDescent="0.25">
      <c r="A54" s="148"/>
      <c r="B54" s="217" t="str">
        <f>$B$6</f>
        <v>YYYY</v>
      </c>
      <c r="C54" s="313">
        <v>0</v>
      </c>
      <c r="D54" s="304">
        <v>0</v>
      </c>
      <c r="E54" s="305">
        <v>0</v>
      </c>
      <c r="F54" s="219" t="e">
        <f>E54/$D54</f>
        <v>#DIV/0!</v>
      </c>
      <c r="G54" s="310">
        <v>0</v>
      </c>
      <c r="H54" s="219" t="e">
        <f>G54/$D54</f>
        <v>#DIV/0!</v>
      </c>
      <c r="I54" s="218">
        <f>E54+G54</f>
        <v>0</v>
      </c>
      <c r="J54" s="219" t="e">
        <f>I54/$D54</f>
        <v>#DIV/0!</v>
      </c>
    </row>
    <row r="55" spans="1:10" x14ac:dyDescent="0.25">
      <c r="A55" s="148"/>
      <c r="B55" s="217" t="e">
        <f>$B$7</f>
        <v>#VALUE!</v>
      </c>
      <c r="C55" s="314">
        <v>0</v>
      </c>
      <c r="D55" s="306">
        <v>0</v>
      </c>
      <c r="E55" s="307">
        <v>0</v>
      </c>
      <c r="F55" s="219" t="e">
        <f>E55/$D55</f>
        <v>#DIV/0!</v>
      </c>
      <c r="G55" s="311">
        <v>0</v>
      </c>
      <c r="H55" s="219" t="e">
        <f>G55/$D55</f>
        <v>#DIV/0!</v>
      </c>
      <c r="I55" s="218">
        <f>E55+G55</f>
        <v>0</v>
      </c>
      <c r="J55" s="219" t="e">
        <f>I55/$D55</f>
        <v>#DIV/0!</v>
      </c>
    </row>
    <row r="56" spans="1:10" x14ac:dyDescent="0.25">
      <c r="A56" s="148"/>
      <c r="B56" s="223" t="e">
        <f>$B$8</f>
        <v>#VALUE!</v>
      </c>
      <c r="C56" s="315">
        <v>0</v>
      </c>
      <c r="D56" s="308">
        <v>0</v>
      </c>
      <c r="E56" s="309">
        <v>0</v>
      </c>
      <c r="F56" s="220" t="e">
        <f>E56/$D56</f>
        <v>#DIV/0!</v>
      </c>
      <c r="G56" s="312">
        <v>0</v>
      </c>
      <c r="H56" s="220" t="e">
        <f>G56/$D56</f>
        <v>#DIV/0!</v>
      </c>
      <c r="I56" s="227">
        <f>E56+G56</f>
        <v>0</v>
      </c>
      <c r="J56" s="220" t="e">
        <f>I56/$D56</f>
        <v>#DIV/0!</v>
      </c>
    </row>
    <row r="57" spans="1:10" x14ac:dyDescent="0.25">
      <c r="A57" s="148"/>
      <c r="B57" s="217" t="s">
        <v>265</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79" t="s">
        <v>349</v>
      </c>
      <c r="C59" s="579"/>
    </row>
    <row r="60" spans="1:10" ht="30.75" hidden="1" thickBot="1" x14ac:dyDescent="0.3">
      <c r="A60" s="148"/>
      <c r="B60" s="209" t="s">
        <v>110</v>
      </c>
      <c r="C60" s="209" t="s">
        <v>259</v>
      </c>
      <c r="D60" s="209" t="s">
        <v>260</v>
      </c>
      <c r="E60" s="209" t="s">
        <v>116</v>
      </c>
      <c r="F60" s="209" t="s">
        <v>261</v>
      </c>
      <c r="G60" s="209" t="s">
        <v>117</v>
      </c>
      <c r="H60" s="209" t="s">
        <v>262</v>
      </c>
      <c r="I60" s="209" t="s">
        <v>263</v>
      </c>
      <c r="J60" s="209" t="s">
        <v>264</v>
      </c>
    </row>
    <row r="61" spans="1:10" hidden="1" x14ac:dyDescent="0.25">
      <c r="A61" s="148"/>
      <c r="B61" s="217" t="str">
        <f>$B$6</f>
        <v>YYYY</v>
      </c>
      <c r="C61" s="313">
        <v>0</v>
      </c>
      <c r="D61" s="304">
        <v>0</v>
      </c>
      <c r="E61" s="305">
        <v>0</v>
      </c>
      <c r="F61" s="219" t="e">
        <f>E61/$D61</f>
        <v>#DIV/0!</v>
      </c>
      <c r="G61" s="310">
        <v>0</v>
      </c>
      <c r="H61" s="219" t="e">
        <f>G61/$D61</f>
        <v>#DIV/0!</v>
      </c>
      <c r="I61" s="218">
        <f>E61+G61</f>
        <v>0</v>
      </c>
      <c r="J61" s="219" t="e">
        <f>I61/$D61</f>
        <v>#DIV/0!</v>
      </c>
    </row>
    <row r="62" spans="1:10" hidden="1" x14ac:dyDescent="0.25">
      <c r="A62" s="148"/>
      <c r="B62" s="217" t="e">
        <f>$B$7</f>
        <v>#VALUE!</v>
      </c>
      <c r="C62" s="314">
        <v>0</v>
      </c>
      <c r="D62" s="306">
        <v>0</v>
      </c>
      <c r="E62" s="307">
        <v>0</v>
      </c>
      <c r="F62" s="219" t="e">
        <f>E62/$D62</f>
        <v>#DIV/0!</v>
      </c>
      <c r="G62" s="311">
        <v>0</v>
      </c>
      <c r="H62" s="219" t="e">
        <f>G62/$D62</f>
        <v>#DIV/0!</v>
      </c>
      <c r="I62" s="218">
        <f>E62+G62</f>
        <v>0</v>
      </c>
      <c r="J62" s="219" t="e">
        <f>I62/$D62</f>
        <v>#DIV/0!</v>
      </c>
    </row>
    <row r="63" spans="1:10" hidden="1" x14ac:dyDescent="0.25">
      <c r="A63" s="148"/>
      <c r="B63" s="223" t="e">
        <f>$B$8</f>
        <v>#VALUE!</v>
      </c>
      <c r="C63" s="315">
        <v>0</v>
      </c>
      <c r="D63" s="308">
        <v>0</v>
      </c>
      <c r="E63" s="309">
        <v>0</v>
      </c>
      <c r="F63" s="220" t="e">
        <f>E63/$D63</f>
        <v>#DIV/0!</v>
      </c>
      <c r="G63" s="312">
        <v>0</v>
      </c>
      <c r="H63" s="220" t="e">
        <f>G63/$D63</f>
        <v>#DIV/0!</v>
      </c>
      <c r="I63" s="227">
        <f>E63+G63</f>
        <v>0</v>
      </c>
      <c r="J63" s="220" t="e">
        <f>I63/$D63</f>
        <v>#DIV/0!</v>
      </c>
    </row>
    <row r="64" spans="1:10" hidden="1" x14ac:dyDescent="0.25">
      <c r="A64" s="148"/>
      <c r="B64" s="217" t="s">
        <v>265</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79" t="s">
        <v>349</v>
      </c>
      <c r="C66" s="579"/>
    </row>
    <row r="67" spans="1:10" ht="30.75" hidden="1" thickBot="1" x14ac:dyDescent="0.3">
      <c r="A67" s="148"/>
      <c r="B67" s="209" t="s">
        <v>110</v>
      </c>
      <c r="C67" s="209" t="s">
        <v>259</v>
      </c>
      <c r="D67" s="209" t="s">
        <v>260</v>
      </c>
      <c r="E67" s="209" t="s">
        <v>116</v>
      </c>
      <c r="F67" s="209" t="s">
        <v>261</v>
      </c>
      <c r="G67" s="209" t="s">
        <v>117</v>
      </c>
      <c r="H67" s="209" t="s">
        <v>262</v>
      </c>
      <c r="I67" s="209" t="s">
        <v>263</v>
      </c>
      <c r="J67" s="209" t="s">
        <v>264</v>
      </c>
    </row>
    <row r="68" spans="1:10" hidden="1" x14ac:dyDescent="0.25">
      <c r="A68" s="148"/>
      <c r="B68" s="217" t="str">
        <f>$B$6</f>
        <v>YYYY</v>
      </c>
      <c r="C68" s="313">
        <v>0</v>
      </c>
      <c r="D68" s="304">
        <v>0</v>
      </c>
      <c r="E68" s="305">
        <v>0</v>
      </c>
      <c r="F68" s="219" t="e">
        <f>E68/$D68</f>
        <v>#DIV/0!</v>
      </c>
      <c r="G68" s="310">
        <v>0</v>
      </c>
      <c r="H68" s="219" t="e">
        <f>G68/$D68</f>
        <v>#DIV/0!</v>
      </c>
      <c r="I68" s="218">
        <f>E68+G68</f>
        <v>0</v>
      </c>
      <c r="J68" s="219" t="e">
        <f>I68/$D68</f>
        <v>#DIV/0!</v>
      </c>
    </row>
    <row r="69" spans="1:10" hidden="1" x14ac:dyDescent="0.25">
      <c r="A69" s="148"/>
      <c r="B69" s="217" t="e">
        <f>$B$7</f>
        <v>#VALUE!</v>
      </c>
      <c r="C69" s="314">
        <v>0</v>
      </c>
      <c r="D69" s="306">
        <v>0</v>
      </c>
      <c r="E69" s="307">
        <v>0</v>
      </c>
      <c r="F69" s="219" t="e">
        <f>E69/$D69</f>
        <v>#DIV/0!</v>
      </c>
      <c r="G69" s="311">
        <v>0</v>
      </c>
      <c r="H69" s="219" t="e">
        <f>G69/$D69</f>
        <v>#DIV/0!</v>
      </c>
      <c r="I69" s="218">
        <f>E69+G69</f>
        <v>0</v>
      </c>
      <c r="J69" s="219" t="e">
        <f>I69/$D69</f>
        <v>#DIV/0!</v>
      </c>
    </row>
    <row r="70" spans="1:10" hidden="1" x14ac:dyDescent="0.25">
      <c r="A70" s="148"/>
      <c r="B70" s="223" t="e">
        <f>$B$8</f>
        <v>#VALUE!</v>
      </c>
      <c r="C70" s="315">
        <v>0</v>
      </c>
      <c r="D70" s="308">
        <v>0</v>
      </c>
      <c r="E70" s="309">
        <v>0</v>
      </c>
      <c r="F70" s="220" t="e">
        <f>E70/$D70</f>
        <v>#DIV/0!</v>
      </c>
      <c r="G70" s="312">
        <v>0</v>
      </c>
      <c r="H70" s="220" t="e">
        <f>G70/$D70</f>
        <v>#DIV/0!</v>
      </c>
      <c r="I70" s="227">
        <f>E70+G70</f>
        <v>0</v>
      </c>
      <c r="J70" s="220" t="e">
        <f>I70/$D70</f>
        <v>#DIV/0!</v>
      </c>
    </row>
    <row r="71" spans="1:10" hidden="1" x14ac:dyDescent="0.25">
      <c r="A71" s="148"/>
      <c r="B71" s="217" t="s">
        <v>265</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79" t="s">
        <v>349</v>
      </c>
      <c r="C73" s="579"/>
    </row>
    <row r="74" spans="1:10" ht="30.75" hidden="1" thickBot="1" x14ac:dyDescent="0.3">
      <c r="A74" s="148"/>
      <c r="B74" s="209" t="s">
        <v>110</v>
      </c>
      <c r="C74" s="209" t="s">
        <v>259</v>
      </c>
      <c r="D74" s="209" t="s">
        <v>260</v>
      </c>
      <c r="E74" s="209" t="s">
        <v>116</v>
      </c>
      <c r="F74" s="209" t="s">
        <v>261</v>
      </c>
      <c r="G74" s="209" t="s">
        <v>117</v>
      </c>
      <c r="H74" s="209" t="s">
        <v>262</v>
      </c>
      <c r="I74" s="209" t="s">
        <v>263</v>
      </c>
      <c r="J74" s="209" t="s">
        <v>264</v>
      </c>
    </row>
    <row r="75" spans="1:10" hidden="1" x14ac:dyDescent="0.25">
      <c r="A75" s="148"/>
      <c r="B75" s="217" t="str">
        <f>$B$6</f>
        <v>YYYY</v>
      </c>
      <c r="C75" s="313">
        <v>0</v>
      </c>
      <c r="D75" s="304">
        <v>0</v>
      </c>
      <c r="E75" s="305">
        <v>0</v>
      </c>
      <c r="F75" s="219" t="e">
        <f>E75/$D75</f>
        <v>#DIV/0!</v>
      </c>
      <c r="G75" s="310">
        <v>0</v>
      </c>
      <c r="H75" s="219" t="e">
        <f>G75/$D75</f>
        <v>#DIV/0!</v>
      </c>
      <c r="I75" s="218">
        <f>E75+G75</f>
        <v>0</v>
      </c>
      <c r="J75" s="219" t="e">
        <f>I75/$D75</f>
        <v>#DIV/0!</v>
      </c>
    </row>
    <row r="76" spans="1:10" hidden="1" x14ac:dyDescent="0.25">
      <c r="A76" s="148"/>
      <c r="B76" s="217" t="e">
        <f>$B$7</f>
        <v>#VALUE!</v>
      </c>
      <c r="C76" s="314">
        <v>0</v>
      </c>
      <c r="D76" s="306">
        <v>0</v>
      </c>
      <c r="E76" s="307">
        <v>0</v>
      </c>
      <c r="F76" s="219" t="e">
        <f>E76/$D76</f>
        <v>#DIV/0!</v>
      </c>
      <c r="G76" s="311">
        <v>0</v>
      </c>
      <c r="H76" s="219" t="e">
        <f>G76/$D76</f>
        <v>#DIV/0!</v>
      </c>
      <c r="I76" s="218">
        <f>E76+G76</f>
        <v>0</v>
      </c>
      <c r="J76" s="219" t="e">
        <f>I76/$D76</f>
        <v>#DIV/0!</v>
      </c>
    </row>
    <row r="77" spans="1:10" hidden="1" x14ac:dyDescent="0.25">
      <c r="A77" s="148"/>
      <c r="B77" s="223" t="e">
        <f>$B$8</f>
        <v>#VALUE!</v>
      </c>
      <c r="C77" s="315">
        <v>0</v>
      </c>
      <c r="D77" s="308">
        <v>0</v>
      </c>
      <c r="E77" s="309">
        <v>0</v>
      </c>
      <c r="F77" s="220" t="e">
        <f>E77/$D77</f>
        <v>#DIV/0!</v>
      </c>
      <c r="G77" s="312">
        <v>0</v>
      </c>
      <c r="H77" s="220" t="e">
        <f>G77/$D77</f>
        <v>#DIV/0!</v>
      </c>
      <c r="I77" s="227">
        <f>E77+G77</f>
        <v>0</v>
      </c>
      <c r="J77" s="220" t="e">
        <f>I77/$D77</f>
        <v>#DIV/0!</v>
      </c>
    </row>
    <row r="78" spans="1:10" hidden="1" x14ac:dyDescent="0.25">
      <c r="A78" s="148"/>
      <c r="B78" s="217" t="s">
        <v>265</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79" t="s">
        <v>349</v>
      </c>
      <c r="C80" s="579"/>
    </row>
    <row r="81" spans="1:10" ht="30.75" hidden="1" thickBot="1" x14ac:dyDescent="0.3">
      <c r="A81" s="148"/>
      <c r="B81" s="209" t="s">
        <v>110</v>
      </c>
      <c r="C81" s="209" t="s">
        <v>259</v>
      </c>
      <c r="D81" s="209" t="s">
        <v>260</v>
      </c>
      <c r="E81" s="209" t="s">
        <v>116</v>
      </c>
      <c r="F81" s="209" t="s">
        <v>261</v>
      </c>
      <c r="G81" s="209" t="s">
        <v>117</v>
      </c>
      <c r="H81" s="209" t="s">
        <v>262</v>
      </c>
      <c r="I81" s="209" t="s">
        <v>263</v>
      </c>
      <c r="J81" s="209" t="s">
        <v>264</v>
      </c>
    </row>
    <row r="82" spans="1:10" hidden="1" x14ac:dyDescent="0.25">
      <c r="A82" s="148"/>
      <c r="B82" s="217" t="str">
        <f>$B$6</f>
        <v>YYYY</v>
      </c>
      <c r="C82" s="313">
        <v>0</v>
      </c>
      <c r="D82" s="304">
        <v>0</v>
      </c>
      <c r="E82" s="305">
        <v>0</v>
      </c>
      <c r="F82" s="219" t="e">
        <f>E82/$D82</f>
        <v>#DIV/0!</v>
      </c>
      <c r="G82" s="310">
        <v>0</v>
      </c>
      <c r="H82" s="219" t="e">
        <f>G82/$D82</f>
        <v>#DIV/0!</v>
      </c>
      <c r="I82" s="218">
        <f>E82+G82</f>
        <v>0</v>
      </c>
      <c r="J82" s="219" t="e">
        <f>I82/$D82</f>
        <v>#DIV/0!</v>
      </c>
    </row>
    <row r="83" spans="1:10" hidden="1" x14ac:dyDescent="0.25">
      <c r="A83" s="148"/>
      <c r="B83" s="217" t="e">
        <f>$B$7</f>
        <v>#VALUE!</v>
      </c>
      <c r="C83" s="314">
        <v>0</v>
      </c>
      <c r="D83" s="306">
        <v>0</v>
      </c>
      <c r="E83" s="307">
        <v>0</v>
      </c>
      <c r="F83" s="219" t="e">
        <f>E83/$D83</f>
        <v>#DIV/0!</v>
      </c>
      <c r="G83" s="311">
        <v>0</v>
      </c>
      <c r="H83" s="219" t="e">
        <f>G83/$D83</f>
        <v>#DIV/0!</v>
      </c>
      <c r="I83" s="218">
        <f>E83+G83</f>
        <v>0</v>
      </c>
      <c r="J83" s="219" t="e">
        <f>I83/$D83</f>
        <v>#DIV/0!</v>
      </c>
    </row>
    <row r="84" spans="1:10" hidden="1" x14ac:dyDescent="0.25">
      <c r="A84" s="148"/>
      <c r="B84" s="223" t="e">
        <f>$B$8</f>
        <v>#VALUE!</v>
      </c>
      <c r="C84" s="315">
        <v>0</v>
      </c>
      <c r="D84" s="308">
        <v>0</v>
      </c>
      <c r="E84" s="309">
        <v>0</v>
      </c>
      <c r="F84" s="220" t="e">
        <f>E84/$D84</f>
        <v>#DIV/0!</v>
      </c>
      <c r="G84" s="312">
        <v>0</v>
      </c>
      <c r="H84" s="220" t="e">
        <f>G84/$D84</f>
        <v>#DIV/0!</v>
      </c>
      <c r="I84" s="227">
        <f>E84+G84</f>
        <v>0</v>
      </c>
      <c r="J84" s="220" t="e">
        <f>I84/$D84</f>
        <v>#DIV/0!</v>
      </c>
    </row>
    <row r="85" spans="1:10" hidden="1" x14ac:dyDescent="0.25">
      <c r="A85" s="148"/>
      <c r="B85" s="217" t="s">
        <v>265</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79" t="s">
        <v>349</v>
      </c>
      <c r="C87" s="579"/>
    </row>
    <row r="88" spans="1:10" ht="30.75" hidden="1" thickBot="1" x14ac:dyDescent="0.3">
      <c r="A88" s="148"/>
      <c r="B88" s="209" t="s">
        <v>110</v>
      </c>
      <c r="C88" s="209" t="s">
        <v>259</v>
      </c>
      <c r="D88" s="209" t="s">
        <v>260</v>
      </c>
      <c r="E88" s="209" t="s">
        <v>116</v>
      </c>
      <c r="F88" s="209" t="s">
        <v>261</v>
      </c>
      <c r="G88" s="209" t="s">
        <v>117</v>
      </c>
      <c r="H88" s="209" t="s">
        <v>262</v>
      </c>
      <c r="I88" s="209" t="s">
        <v>263</v>
      </c>
      <c r="J88" s="209" t="s">
        <v>264</v>
      </c>
    </row>
    <row r="89" spans="1:10" hidden="1" x14ac:dyDescent="0.25">
      <c r="A89" s="148"/>
      <c r="B89" s="217" t="str">
        <f>$B$6</f>
        <v>YYYY</v>
      </c>
      <c r="C89" s="313">
        <v>0</v>
      </c>
      <c r="D89" s="304">
        <v>0</v>
      </c>
      <c r="E89" s="305">
        <v>0</v>
      </c>
      <c r="F89" s="219" t="e">
        <f>E89/$D89</f>
        <v>#DIV/0!</v>
      </c>
      <c r="G89" s="310">
        <v>0</v>
      </c>
      <c r="H89" s="219" t="e">
        <f>G89/$D89</f>
        <v>#DIV/0!</v>
      </c>
      <c r="I89" s="218">
        <f>E89+G89</f>
        <v>0</v>
      </c>
      <c r="J89" s="219" t="e">
        <f>I89/$D89</f>
        <v>#DIV/0!</v>
      </c>
    </row>
    <row r="90" spans="1:10" hidden="1" x14ac:dyDescent="0.25">
      <c r="A90" s="148"/>
      <c r="B90" s="217" t="e">
        <f>$B$7</f>
        <v>#VALUE!</v>
      </c>
      <c r="C90" s="314">
        <v>0</v>
      </c>
      <c r="D90" s="306">
        <v>0</v>
      </c>
      <c r="E90" s="307">
        <v>0</v>
      </c>
      <c r="F90" s="219" t="e">
        <f>E90/$D90</f>
        <v>#DIV/0!</v>
      </c>
      <c r="G90" s="311">
        <v>0</v>
      </c>
      <c r="H90" s="219" t="e">
        <f>G90/$D90</f>
        <v>#DIV/0!</v>
      </c>
      <c r="I90" s="218">
        <f>E90+G90</f>
        <v>0</v>
      </c>
      <c r="J90" s="219" t="e">
        <f>I90/$D90</f>
        <v>#DIV/0!</v>
      </c>
    </row>
    <row r="91" spans="1:10" hidden="1" x14ac:dyDescent="0.25">
      <c r="A91" s="148"/>
      <c r="B91" s="223" t="e">
        <f>$B$8</f>
        <v>#VALUE!</v>
      </c>
      <c r="C91" s="315">
        <v>0</v>
      </c>
      <c r="D91" s="308">
        <v>0</v>
      </c>
      <c r="E91" s="309">
        <v>0</v>
      </c>
      <c r="F91" s="220" t="e">
        <f>E91/$D91</f>
        <v>#DIV/0!</v>
      </c>
      <c r="G91" s="312">
        <v>0</v>
      </c>
      <c r="H91" s="220" t="e">
        <f>G91/$D91</f>
        <v>#DIV/0!</v>
      </c>
      <c r="I91" s="227">
        <f>E91+G91</f>
        <v>0</v>
      </c>
      <c r="J91" s="220" t="e">
        <f>I91/$D91</f>
        <v>#DIV/0!</v>
      </c>
    </row>
    <row r="92" spans="1:10" hidden="1" x14ac:dyDescent="0.25">
      <c r="A92" s="148"/>
      <c r="B92" s="217" t="s">
        <v>265</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79" t="s">
        <v>349</v>
      </c>
      <c r="C94" s="579"/>
    </row>
    <row r="95" spans="1:10" ht="30.75" hidden="1" thickBot="1" x14ac:dyDescent="0.3">
      <c r="A95" s="148"/>
      <c r="B95" s="209" t="s">
        <v>110</v>
      </c>
      <c r="C95" s="209" t="s">
        <v>259</v>
      </c>
      <c r="D95" s="209" t="s">
        <v>260</v>
      </c>
      <c r="E95" s="209" t="s">
        <v>116</v>
      </c>
      <c r="F95" s="209" t="s">
        <v>261</v>
      </c>
      <c r="G95" s="209" t="s">
        <v>117</v>
      </c>
      <c r="H95" s="209" t="s">
        <v>262</v>
      </c>
      <c r="I95" s="209" t="s">
        <v>263</v>
      </c>
      <c r="J95" s="209" t="s">
        <v>264</v>
      </c>
    </row>
    <row r="96" spans="1:10" hidden="1" x14ac:dyDescent="0.25">
      <c r="A96" s="148"/>
      <c r="B96" s="217" t="str">
        <f>$B$6</f>
        <v>YYYY</v>
      </c>
      <c r="C96" s="313">
        <v>0</v>
      </c>
      <c r="D96" s="304">
        <v>0</v>
      </c>
      <c r="E96" s="305">
        <v>0</v>
      </c>
      <c r="F96" s="219" t="e">
        <f>E96/$D96</f>
        <v>#DIV/0!</v>
      </c>
      <c r="G96" s="310">
        <v>0</v>
      </c>
      <c r="H96" s="219" t="e">
        <f>G96/$D96</f>
        <v>#DIV/0!</v>
      </c>
      <c r="I96" s="218">
        <f>E96+G96</f>
        <v>0</v>
      </c>
      <c r="J96" s="219" t="e">
        <f>I96/$D96</f>
        <v>#DIV/0!</v>
      </c>
    </row>
    <row r="97" spans="1:10" hidden="1" x14ac:dyDescent="0.25">
      <c r="A97" s="148"/>
      <c r="B97" s="217" t="e">
        <f>$B$7</f>
        <v>#VALUE!</v>
      </c>
      <c r="C97" s="314">
        <v>0</v>
      </c>
      <c r="D97" s="306">
        <v>0</v>
      </c>
      <c r="E97" s="307">
        <v>0</v>
      </c>
      <c r="F97" s="219" t="e">
        <f>E97/$D97</f>
        <v>#DIV/0!</v>
      </c>
      <c r="G97" s="311">
        <v>0</v>
      </c>
      <c r="H97" s="219" t="e">
        <f>G97/$D97</f>
        <v>#DIV/0!</v>
      </c>
      <c r="I97" s="218">
        <f>E97+G97</f>
        <v>0</v>
      </c>
      <c r="J97" s="219" t="e">
        <f>I97/$D97</f>
        <v>#DIV/0!</v>
      </c>
    </row>
    <row r="98" spans="1:10" hidden="1" x14ac:dyDescent="0.25">
      <c r="A98" s="148"/>
      <c r="B98" s="223" t="e">
        <f>$B$8</f>
        <v>#VALUE!</v>
      </c>
      <c r="C98" s="315">
        <v>0</v>
      </c>
      <c r="D98" s="308">
        <v>0</v>
      </c>
      <c r="E98" s="309">
        <v>0</v>
      </c>
      <c r="F98" s="220" t="e">
        <f>E98/$D98</f>
        <v>#DIV/0!</v>
      </c>
      <c r="G98" s="312">
        <v>0</v>
      </c>
      <c r="H98" s="220" t="e">
        <f>G98/$D98</f>
        <v>#DIV/0!</v>
      </c>
      <c r="I98" s="227">
        <f>E98+G98</f>
        <v>0</v>
      </c>
      <c r="J98" s="220" t="e">
        <f>I98/$D98</f>
        <v>#DIV/0!</v>
      </c>
    </row>
    <row r="99" spans="1:10" hidden="1" x14ac:dyDescent="0.25">
      <c r="A99" s="148"/>
      <c r="B99" s="217" t="s">
        <v>265</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79" t="s">
        <v>349</v>
      </c>
      <c r="C101" s="579"/>
    </row>
    <row r="102" spans="1:10" ht="30.75" hidden="1" thickBot="1" x14ac:dyDescent="0.3">
      <c r="A102" s="148"/>
      <c r="B102" s="209" t="s">
        <v>110</v>
      </c>
      <c r="C102" s="209" t="s">
        <v>259</v>
      </c>
      <c r="D102" s="209" t="s">
        <v>260</v>
      </c>
      <c r="E102" s="209" t="s">
        <v>116</v>
      </c>
      <c r="F102" s="209" t="s">
        <v>261</v>
      </c>
      <c r="G102" s="209" t="s">
        <v>117</v>
      </c>
      <c r="H102" s="209" t="s">
        <v>262</v>
      </c>
      <c r="I102" s="209" t="s">
        <v>263</v>
      </c>
      <c r="J102" s="209" t="s">
        <v>264</v>
      </c>
    </row>
    <row r="103" spans="1:10" hidden="1" x14ac:dyDescent="0.25">
      <c r="A103" s="148"/>
      <c r="B103" s="217" t="str">
        <f>$B$6</f>
        <v>YYYY</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t="e">
        <f>$B$7</f>
        <v>#VALUE!</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t="e">
        <f>$B$8</f>
        <v>#VALUE!</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265</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79" t="s">
        <v>349</v>
      </c>
      <c r="C108" s="579"/>
    </row>
    <row r="109" spans="1:10" ht="30.75" hidden="1" thickBot="1" x14ac:dyDescent="0.3">
      <c r="A109" s="148"/>
      <c r="B109" s="209" t="s">
        <v>110</v>
      </c>
      <c r="C109" s="209" t="s">
        <v>259</v>
      </c>
      <c r="D109" s="209" t="s">
        <v>260</v>
      </c>
      <c r="E109" s="209" t="s">
        <v>116</v>
      </c>
      <c r="F109" s="209" t="s">
        <v>261</v>
      </c>
      <c r="G109" s="209" t="s">
        <v>117</v>
      </c>
      <c r="H109" s="209" t="s">
        <v>262</v>
      </c>
      <c r="I109" s="209" t="s">
        <v>263</v>
      </c>
      <c r="J109" s="209" t="s">
        <v>264</v>
      </c>
    </row>
    <row r="110" spans="1:10" hidden="1" x14ac:dyDescent="0.25">
      <c r="A110" s="148"/>
      <c r="B110" s="217" t="str">
        <f>$B$6</f>
        <v>YYYY</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t="e">
        <f>$B$7</f>
        <v>#VALUE!</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t="e">
        <f>$B$8</f>
        <v>#VALUE!</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265</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79" t="s">
        <v>349</v>
      </c>
      <c r="C115" s="579"/>
    </row>
    <row r="116" spans="1:10" ht="30.75" hidden="1" thickBot="1" x14ac:dyDescent="0.3">
      <c r="A116" s="148"/>
      <c r="B116" s="209" t="s">
        <v>110</v>
      </c>
      <c r="C116" s="209" t="s">
        <v>259</v>
      </c>
      <c r="D116" s="209" t="s">
        <v>260</v>
      </c>
      <c r="E116" s="209" t="s">
        <v>116</v>
      </c>
      <c r="F116" s="209" t="s">
        <v>261</v>
      </c>
      <c r="G116" s="209" t="s">
        <v>117</v>
      </c>
      <c r="H116" s="209" t="s">
        <v>262</v>
      </c>
      <c r="I116" s="209" t="s">
        <v>263</v>
      </c>
      <c r="J116" s="209" t="s">
        <v>264</v>
      </c>
    </row>
    <row r="117" spans="1:10" hidden="1" x14ac:dyDescent="0.25">
      <c r="A117" s="148"/>
      <c r="B117" s="217" t="str">
        <f>$B$6</f>
        <v>YYYY</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t="e">
        <f>$B$7</f>
        <v>#VALUE!</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t="e">
        <f>$B$8</f>
        <v>#VALUE!</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265</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79" t="s">
        <v>349</v>
      </c>
      <c r="C122" s="579"/>
    </row>
    <row r="123" spans="1:10" ht="30.75" hidden="1" thickBot="1" x14ac:dyDescent="0.3">
      <c r="A123" s="148"/>
      <c r="B123" s="209" t="s">
        <v>110</v>
      </c>
      <c r="C123" s="209" t="s">
        <v>259</v>
      </c>
      <c r="D123" s="209" t="s">
        <v>260</v>
      </c>
      <c r="E123" s="209" t="s">
        <v>116</v>
      </c>
      <c r="F123" s="209" t="s">
        <v>261</v>
      </c>
      <c r="G123" s="209" t="s">
        <v>117</v>
      </c>
      <c r="H123" s="209" t="s">
        <v>262</v>
      </c>
      <c r="I123" s="209" t="s">
        <v>263</v>
      </c>
      <c r="J123" s="209" t="s">
        <v>264</v>
      </c>
    </row>
    <row r="124" spans="1:10" hidden="1" x14ac:dyDescent="0.25">
      <c r="A124" s="148"/>
      <c r="B124" s="217" t="str">
        <f>$B$6</f>
        <v>YYYY</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t="e">
        <f>$B$7</f>
        <v>#VALUE!</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t="e">
        <f>$B$8</f>
        <v>#VALUE!</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265</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79" t="s">
        <v>349</v>
      </c>
      <c r="C129" s="579"/>
    </row>
    <row r="130" spans="1:10" ht="30.75" hidden="1" thickBot="1" x14ac:dyDescent="0.3">
      <c r="A130" s="148"/>
      <c r="B130" s="209" t="s">
        <v>110</v>
      </c>
      <c r="C130" s="209" t="s">
        <v>259</v>
      </c>
      <c r="D130" s="209" t="s">
        <v>260</v>
      </c>
      <c r="E130" s="209" t="s">
        <v>116</v>
      </c>
      <c r="F130" s="209" t="s">
        <v>261</v>
      </c>
      <c r="G130" s="209" t="s">
        <v>117</v>
      </c>
      <c r="H130" s="209" t="s">
        <v>262</v>
      </c>
      <c r="I130" s="209" t="s">
        <v>263</v>
      </c>
      <c r="J130" s="209" t="s">
        <v>264</v>
      </c>
    </row>
    <row r="131" spans="1:10" hidden="1" x14ac:dyDescent="0.25">
      <c r="A131" s="148"/>
      <c r="B131" s="217" t="str">
        <f>$B$6</f>
        <v>YYYY</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t="e">
        <f>$B$7</f>
        <v>#VALUE!</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t="e">
        <f>$B$8</f>
        <v>#VALUE!</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265</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79" t="s">
        <v>349</v>
      </c>
      <c r="C136" s="579"/>
    </row>
    <row r="137" spans="1:10" ht="30.75" hidden="1" thickBot="1" x14ac:dyDescent="0.3">
      <c r="A137" s="148"/>
      <c r="B137" s="209" t="s">
        <v>110</v>
      </c>
      <c r="C137" s="209" t="s">
        <v>259</v>
      </c>
      <c r="D137" s="209" t="s">
        <v>260</v>
      </c>
      <c r="E137" s="209" t="s">
        <v>116</v>
      </c>
      <c r="F137" s="209" t="s">
        <v>261</v>
      </c>
      <c r="G137" s="209" t="s">
        <v>117</v>
      </c>
      <c r="H137" s="209" t="s">
        <v>262</v>
      </c>
      <c r="I137" s="209" t="s">
        <v>263</v>
      </c>
      <c r="J137" s="209" t="s">
        <v>264</v>
      </c>
    </row>
    <row r="138" spans="1:10" hidden="1" x14ac:dyDescent="0.25">
      <c r="A138" s="148"/>
      <c r="B138" s="217" t="str">
        <f>$B$6</f>
        <v>YYYY</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t="e">
        <f>$B$7</f>
        <v>#VALUE!</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t="e">
        <f>$B$8</f>
        <v>#VALUE!</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265</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79" t="s">
        <v>349</v>
      </c>
      <c r="C143" s="579"/>
    </row>
    <row r="144" spans="1:10" ht="30.75" hidden="1" thickBot="1" x14ac:dyDescent="0.3">
      <c r="A144" s="148"/>
      <c r="B144" s="209" t="s">
        <v>110</v>
      </c>
      <c r="C144" s="209" t="s">
        <v>259</v>
      </c>
      <c r="D144" s="209" t="s">
        <v>260</v>
      </c>
      <c r="E144" s="209" t="s">
        <v>116</v>
      </c>
      <c r="F144" s="209" t="s">
        <v>261</v>
      </c>
      <c r="G144" s="209" t="s">
        <v>117</v>
      </c>
      <c r="H144" s="209" t="s">
        <v>262</v>
      </c>
      <c r="I144" s="209" t="s">
        <v>263</v>
      </c>
      <c r="J144" s="209" t="s">
        <v>264</v>
      </c>
    </row>
    <row r="145" spans="1:10" hidden="1" x14ac:dyDescent="0.25">
      <c r="A145" s="148"/>
      <c r="B145" s="217" t="str">
        <f>$B$6</f>
        <v>YYYY</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t="e">
        <f>$B$7</f>
        <v>#VALUE!</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t="e">
        <f>$B$8</f>
        <v>#VALUE!</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265</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79" t="s">
        <v>349</v>
      </c>
      <c r="C150" s="579"/>
    </row>
    <row r="151" spans="1:10" ht="30.75" hidden="1" thickBot="1" x14ac:dyDescent="0.3">
      <c r="A151" s="148"/>
      <c r="B151" s="209" t="s">
        <v>110</v>
      </c>
      <c r="C151" s="209" t="s">
        <v>259</v>
      </c>
      <c r="D151" s="209" t="s">
        <v>260</v>
      </c>
      <c r="E151" s="209" t="s">
        <v>116</v>
      </c>
      <c r="F151" s="209" t="s">
        <v>261</v>
      </c>
      <c r="G151" s="209" t="s">
        <v>117</v>
      </c>
      <c r="H151" s="209" t="s">
        <v>262</v>
      </c>
      <c r="I151" s="209" t="s">
        <v>263</v>
      </c>
      <c r="J151" s="209" t="s">
        <v>264</v>
      </c>
    </row>
    <row r="152" spans="1:10" hidden="1" x14ac:dyDescent="0.25">
      <c r="A152" s="148"/>
      <c r="B152" s="217" t="str">
        <f>$B$6</f>
        <v>YYYY</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t="e">
        <f>$B$7</f>
        <v>#VALUE!</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t="e">
        <f>$B$8</f>
        <v>#VALUE!</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265</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79" t="s">
        <v>349</v>
      </c>
      <c r="C157" s="579"/>
    </row>
    <row r="158" spans="1:10" ht="30.75" hidden="1" thickBot="1" x14ac:dyDescent="0.3">
      <c r="A158" s="148"/>
      <c r="B158" s="209" t="s">
        <v>110</v>
      </c>
      <c r="C158" s="209" t="s">
        <v>259</v>
      </c>
      <c r="D158" s="209" t="s">
        <v>260</v>
      </c>
      <c r="E158" s="209" t="s">
        <v>116</v>
      </c>
      <c r="F158" s="209" t="s">
        <v>261</v>
      </c>
      <c r="G158" s="209" t="s">
        <v>117</v>
      </c>
      <c r="H158" s="209" t="s">
        <v>262</v>
      </c>
      <c r="I158" s="209" t="s">
        <v>263</v>
      </c>
      <c r="J158" s="209" t="s">
        <v>264</v>
      </c>
    </row>
    <row r="159" spans="1:10" hidden="1" x14ac:dyDescent="0.25">
      <c r="A159" s="148"/>
      <c r="B159" s="217" t="str">
        <f>$B$6</f>
        <v>YYYY</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t="e">
        <f>$B$7</f>
        <v>#VALUE!</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t="e">
        <f>$B$8</f>
        <v>#VALUE!</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265</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79" t="s">
        <v>349</v>
      </c>
      <c r="C164" s="579"/>
    </row>
    <row r="165" spans="1:10" ht="30.75" hidden="1" thickBot="1" x14ac:dyDescent="0.3">
      <c r="A165" s="148"/>
      <c r="B165" s="209" t="s">
        <v>110</v>
      </c>
      <c r="C165" s="209" t="s">
        <v>259</v>
      </c>
      <c r="D165" s="209" t="s">
        <v>260</v>
      </c>
      <c r="E165" s="209" t="s">
        <v>116</v>
      </c>
      <c r="F165" s="209" t="s">
        <v>261</v>
      </c>
      <c r="G165" s="209" t="s">
        <v>117</v>
      </c>
      <c r="H165" s="209" t="s">
        <v>262</v>
      </c>
      <c r="I165" s="209" t="s">
        <v>263</v>
      </c>
      <c r="J165" s="209" t="s">
        <v>264</v>
      </c>
    </row>
    <row r="166" spans="1:10" hidden="1" x14ac:dyDescent="0.25">
      <c r="A166" s="148"/>
      <c r="B166" s="217" t="str">
        <f>$B$6</f>
        <v>YYYY</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t="e">
        <f>$B$7</f>
        <v>#VALUE!</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t="e">
        <f>$B$8</f>
        <v>#VALUE!</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265</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79" t="s">
        <v>349</v>
      </c>
      <c r="C171" s="579"/>
    </row>
    <row r="172" spans="1:10" ht="30.75" hidden="1" thickBot="1" x14ac:dyDescent="0.3">
      <c r="A172" s="148"/>
      <c r="B172" s="209" t="s">
        <v>110</v>
      </c>
      <c r="C172" s="209" t="s">
        <v>259</v>
      </c>
      <c r="D172" s="209" t="s">
        <v>260</v>
      </c>
      <c r="E172" s="209" t="s">
        <v>116</v>
      </c>
      <c r="F172" s="209" t="s">
        <v>261</v>
      </c>
      <c r="G172" s="209" t="s">
        <v>117</v>
      </c>
      <c r="H172" s="209" t="s">
        <v>262</v>
      </c>
      <c r="I172" s="209" t="s">
        <v>263</v>
      </c>
      <c r="J172" s="209" t="s">
        <v>264</v>
      </c>
    </row>
    <row r="173" spans="1:10" hidden="1" x14ac:dyDescent="0.25">
      <c r="A173" s="148"/>
      <c r="B173" s="217" t="str">
        <f>$B$6</f>
        <v>YYYY</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t="e">
        <f>$B$7</f>
        <v>#VALUE!</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t="e">
        <f>$B$8</f>
        <v>#VALUE!</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265</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79" t="s">
        <v>349</v>
      </c>
      <c r="C178" s="579"/>
    </row>
    <row r="179" spans="1:10" ht="30.75" hidden="1" thickBot="1" x14ac:dyDescent="0.3">
      <c r="A179" s="148"/>
      <c r="B179" s="209" t="s">
        <v>110</v>
      </c>
      <c r="C179" s="209" t="s">
        <v>259</v>
      </c>
      <c r="D179" s="209" t="s">
        <v>260</v>
      </c>
      <c r="E179" s="209" t="s">
        <v>116</v>
      </c>
      <c r="F179" s="209" t="s">
        <v>261</v>
      </c>
      <c r="G179" s="209" t="s">
        <v>117</v>
      </c>
      <c r="H179" s="209" t="s">
        <v>262</v>
      </c>
      <c r="I179" s="209" t="s">
        <v>263</v>
      </c>
      <c r="J179" s="209" t="s">
        <v>264</v>
      </c>
    </row>
    <row r="180" spans="1:10" hidden="1" x14ac:dyDescent="0.25">
      <c r="A180" s="148"/>
      <c r="B180" s="217" t="str">
        <f>$B$6</f>
        <v>YYYY</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t="e">
        <f>$B$7</f>
        <v>#VALUE!</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t="e">
        <f>$B$8</f>
        <v>#VALUE!</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265</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79" t="s">
        <v>349</v>
      </c>
      <c r="C185" s="579"/>
    </row>
    <row r="186" spans="1:10" ht="30.75" hidden="1" thickBot="1" x14ac:dyDescent="0.3">
      <c r="A186" s="148"/>
      <c r="B186" s="209" t="s">
        <v>110</v>
      </c>
      <c r="C186" s="209" t="s">
        <v>259</v>
      </c>
      <c r="D186" s="209" t="s">
        <v>260</v>
      </c>
      <c r="E186" s="209" t="s">
        <v>116</v>
      </c>
      <c r="F186" s="209" t="s">
        <v>261</v>
      </c>
      <c r="G186" s="209" t="s">
        <v>117</v>
      </c>
      <c r="H186" s="209" t="s">
        <v>262</v>
      </c>
      <c r="I186" s="209" t="s">
        <v>263</v>
      </c>
      <c r="J186" s="209" t="s">
        <v>264</v>
      </c>
    </row>
    <row r="187" spans="1:10" hidden="1" x14ac:dyDescent="0.25">
      <c r="A187" s="148"/>
      <c r="B187" s="217" t="str">
        <f>$B$6</f>
        <v>YYYY</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t="e">
        <f>$B$7</f>
        <v>#VALUE!</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t="e">
        <f>$B$8</f>
        <v>#VALUE!</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265</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79" t="s">
        <v>349</v>
      </c>
      <c r="C192" s="579"/>
    </row>
    <row r="193" spans="1:10" ht="30.75" hidden="1" thickBot="1" x14ac:dyDescent="0.3">
      <c r="A193" s="148"/>
      <c r="B193" s="209" t="s">
        <v>110</v>
      </c>
      <c r="C193" s="209" t="s">
        <v>259</v>
      </c>
      <c r="D193" s="209" t="s">
        <v>260</v>
      </c>
      <c r="E193" s="209" t="s">
        <v>116</v>
      </c>
      <c r="F193" s="209" t="s">
        <v>261</v>
      </c>
      <c r="G193" s="209" t="s">
        <v>117</v>
      </c>
      <c r="H193" s="209" t="s">
        <v>262</v>
      </c>
      <c r="I193" s="209" t="s">
        <v>263</v>
      </c>
      <c r="J193" s="209" t="s">
        <v>264</v>
      </c>
    </row>
    <row r="194" spans="1:10" hidden="1" x14ac:dyDescent="0.25">
      <c r="A194" s="148"/>
      <c r="B194" s="217" t="str">
        <f>$B$6</f>
        <v>YYYY</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t="e">
        <f>$B$7</f>
        <v>#VALUE!</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t="e">
        <f>$B$8</f>
        <v>#VALUE!</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265</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79" t="s">
        <v>349</v>
      </c>
      <c r="C199" s="579"/>
    </row>
    <row r="200" spans="1:10" ht="30.75" hidden="1" thickBot="1" x14ac:dyDescent="0.3">
      <c r="A200" s="148"/>
      <c r="B200" s="209" t="s">
        <v>110</v>
      </c>
      <c r="C200" s="209" t="s">
        <v>259</v>
      </c>
      <c r="D200" s="209" t="s">
        <v>260</v>
      </c>
      <c r="E200" s="209" t="s">
        <v>116</v>
      </c>
      <c r="F200" s="209" t="s">
        <v>261</v>
      </c>
      <c r="G200" s="209" t="s">
        <v>117</v>
      </c>
      <c r="H200" s="209" t="s">
        <v>262</v>
      </c>
      <c r="I200" s="209" t="s">
        <v>263</v>
      </c>
      <c r="J200" s="209" t="s">
        <v>264</v>
      </c>
    </row>
    <row r="201" spans="1:10" hidden="1" x14ac:dyDescent="0.25">
      <c r="A201" s="148"/>
      <c r="B201" s="217" t="str">
        <f>$B$6</f>
        <v>YYYY</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t="e">
        <f>$B$7</f>
        <v>#VALUE!</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t="e">
        <f>$B$8</f>
        <v>#VALUE!</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265</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79" t="s">
        <v>349</v>
      </c>
      <c r="C206" s="579"/>
    </row>
    <row r="207" spans="1:10" ht="30.75" hidden="1" thickBot="1" x14ac:dyDescent="0.3">
      <c r="A207" s="148"/>
      <c r="B207" s="209" t="s">
        <v>110</v>
      </c>
      <c r="C207" s="209" t="s">
        <v>259</v>
      </c>
      <c r="D207" s="209" t="s">
        <v>260</v>
      </c>
      <c r="E207" s="209" t="s">
        <v>116</v>
      </c>
      <c r="F207" s="209" t="s">
        <v>261</v>
      </c>
      <c r="G207" s="209" t="s">
        <v>117</v>
      </c>
      <c r="H207" s="209" t="s">
        <v>262</v>
      </c>
      <c r="I207" s="209" t="s">
        <v>263</v>
      </c>
      <c r="J207" s="209" t="s">
        <v>264</v>
      </c>
    </row>
    <row r="208" spans="1:10" hidden="1" x14ac:dyDescent="0.25">
      <c r="A208" s="148"/>
      <c r="B208" s="217" t="str">
        <f>$B$6</f>
        <v>YYYY</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t="e">
        <f>$B$7</f>
        <v>#VALUE!</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t="e">
        <f>$B$8</f>
        <v>#VALUE!</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265</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79" t="s">
        <v>349</v>
      </c>
      <c r="C213" s="579"/>
    </row>
    <row r="214" spans="1:10" ht="30.75" hidden="1" thickBot="1" x14ac:dyDescent="0.3">
      <c r="A214" s="148"/>
      <c r="B214" s="209" t="s">
        <v>110</v>
      </c>
      <c r="C214" s="209" t="s">
        <v>259</v>
      </c>
      <c r="D214" s="209" t="s">
        <v>260</v>
      </c>
      <c r="E214" s="209" t="s">
        <v>116</v>
      </c>
      <c r="F214" s="209" t="s">
        <v>261</v>
      </c>
      <c r="G214" s="209" t="s">
        <v>117</v>
      </c>
      <c r="H214" s="209" t="s">
        <v>262</v>
      </c>
      <c r="I214" s="209" t="s">
        <v>263</v>
      </c>
      <c r="J214" s="209" t="s">
        <v>264</v>
      </c>
    </row>
    <row r="215" spans="1:10" hidden="1" x14ac:dyDescent="0.25">
      <c r="A215" s="148"/>
      <c r="B215" s="217" t="str">
        <f>$B$6</f>
        <v>YYYY</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t="e">
        <f>$B$7</f>
        <v>#VALUE!</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t="e">
        <f>$B$8</f>
        <v>#VALUE!</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265</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79" t="s">
        <v>349</v>
      </c>
      <c r="C220" s="579"/>
    </row>
    <row r="221" spans="1:10" ht="30.75" hidden="1" thickBot="1" x14ac:dyDescent="0.3">
      <c r="A221" s="148"/>
      <c r="B221" s="209" t="s">
        <v>110</v>
      </c>
      <c r="C221" s="209" t="s">
        <v>259</v>
      </c>
      <c r="D221" s="209" t="s">
        <v>260</v>
      </c>
      <c r="E221" s="209" t="s">
        <v>116</v>
      </c>
      <c r="F221" s="209" t="s">
        <v>261</v>
      </c>
      <c r="G221" s="209" t="s">
        <v>117</v>
      </c>
      <c r="H221" s="209" t="s">
        <v>262</v>
      </c>
      <c r="I221" s="209" t="s">
        <v>263</v>
      </c>
      <c r="J221" s="209" t="s">
        <v>264</v>
      </c>
    </row>
    <row r="222" spans="1:10" hidden="1" x14ac:dyDescent="0.25">
      <c r="A222" s="148"/>
      <c r="B222" s="217" t="str">
        <f>$B$6</f>
        <v>YYYY</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t="e">
        <f>$B$7</f>
        <v>#VALUE!</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t="e">
        <f>$B$8</f>
        <v>#VALUE!</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265</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79" t="s">
        <v>349</v>
      </c>
      <c r="C227" s="579"/>
    </row>
    <row r="228" spans="1:10" ht="30.75" hidden="1" thickBot="1" x14ac:dyDescent="0.3">
      <c r="A228" s="148"/>
      <c r="B228" s="209" t="s">
        <v>110</v>
      </c>
      <c r="C228" s="209" t="s">
        <v>259</v>
      </c>
      <c r="D228" s="209" t="s">
        <v>260</v>
      </c>
      <c r="E228" s="209" t="s">
        <v>116</v>
      </c>
      <c r="F228" s="209" t="s">
        <v>261</v>
      </c>
      <c r="G228" s="209" t="s">
        <v>117</v>
      </c>
      <c r="H228" s="209" t="s">
        <v>262</v>
      </c>
      <c r="I228" s="209" t="s">
        <v>263</v>
      </c>
      <c r="J228" s="209" t="s">
        <v>264</v>
      </c>
    </row>
    <row r="229" spans="1:10" hidden="1" x14ac:dyDescent="0.25">
      <c r="A229" s="148"/>
      <c r="B229" s="217" t="str">
        <f>$B$6</f>
        <v>YYYY</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t="e">
        <f>$B$7</f>
        <v>#VALUE!</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t="e">
        <f>$B$8</f>
        <v>#VALUE!</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265</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qd6g74KYWgKBWqL1d+DltBTutw2WssjSII/VMXod6E61lyK5gPzcF+RMPotp8S1A385K263Lwjdy0+lQwMpRbw==" saltValue="OJ4UZt7UR8f8UubOC/RUjw=="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&amp;L1/11/2022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E31"/>
  <sheetViews>
    <sheetView showGridLines="0" view="pageBreakPreview" zoomScaleNormal="100" zoomScaleSheetLayoutView="100" workbookViewId="0">
      <selection activeCell="E9" sqref="E9"/>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General Insurance Company</v>
      </c>
    </row>
    <row r="2" spans="1:5" x14ac:dyDescent="0.25">
      <c r="A2" s="21" t="s">
        <v>69</v>
      </c>
      <c r="C2" s="37" t="s">
        <v>71</v>
      </c>
      <c r="E2" s="36" t="str">
        <f>General_Line</f>
        <v>Homeowners</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172</v>
      </c>
    </row>
    <row r="10" spans="1:5" ht="18" customHeight="1" x14ac:dyDescent="0.25">
      <c r="A10" s="62">
        <v>-1</v>
      </c>
      <c r="B10" s="169" t="s">
        <v>130</v>
      </c>
      <c r="C10" s="95"/>
      <c r="D10" s="89"/>
      <c r="E10" s="294"/>
    </row>
    <row r="11" spans="1:5" ht="18" customHeight="1" x14ac:dyDescent="0.25">
      <c r="A11" s="63">
        <v>-2</v>
      </c>
      <c r="B11" s="170" t="s">
        <v>131</v>
      </c>
      <c r="C11" s="96"/>
      <c r="D11" s="68"/>
      <c r="E11" s="295"/>
    </row>
    <row r="12" spans="1:5" ht="18" customHeight="1" x14ac:dyDescent="0.25">
      <c r="A12" s="63">
        <v>-3</v>
      </c>
      <c r="B12" s="170" t="s">
        <v>132</v>
      </c>
      <c r="C12" s="96"/>
      <c r="D12" s="69"/>
      <c r="E12" s="296"/>
    </row>
    <row r="13" spans="1:5" ht="18" customHeight="1" x14ac:dyDescent="0.25">
      <c r="A13" s="63">
        <v>-4</v>
      </c>
      <c r="B13" s="170" t="s">
        <v>133</v>
      </c>
      <c r="C13" s="96"/>
      <c r="D13" s="69"/>
      <c r="E13" s="185">
        <f>E10+E11-E12</f>
        <v>0</v>
      </c>
    </row>
    <row r="14" spans="1:5" ht="18" customHeight="1" x14ac:dyDescent="0.25">
      <c r="A14" s="63">
        <v>-5</v>
      </c>
      <c r="B14" s="170" t="s">
        <v>134</v>
      </c>
      <c r="C14" s="96"/>
      <c r="D14" s="68"/>
      <c r="E14" s="297"/>
    </row>
    <row r="15" spans="1:5" ht="18" customHeight="1" x14ac:dyDescent="0.25">
      <c r="A15" s="63">
        <v>-6</v>
      </c>
      <c r="B15" s="170" t="s">
        <v>135</v>
      </c>
      <c r="C15" s="96"/>
      <c r="D15" s="68"/>
      <c r="E15" s="298"/>
    </row>
    <row r="16" spans="1:5" ht="18" customHeight="1" x14ac:dyDescent="0.25">
      <c r="A16" s="63">
        <v>-7</v>
      </c>
      <c r="B16" s="170" t="s">
        <v>138</v>
      </c>
      <c r="C16" s="96"/>
      <c r="D16" s="68"/>
      <c r="E16" s="298"/>
    </row>
    <row r="17" spans="1:5" ht="18" customHeight="1" x14ac:dyDescent="0.25">
      <c r="A17" s="63">
        <v>-8</v>
      </c>
      <c r="B17" s="170" t="s">
        <v>137</v>
      </c>
      <c r="C17" s="96"/>
      <c r="D17" s="68"/>
      <c r="E17" s="298"/>
    </row>
    <row r="18" spans="1:5" ht="18" customHeight="1" x14ac:dyDescent="0.25">
      <c r="A18" s="63">
        <v>-9</v>
      </c>
      <c r="B18" s="170" t="s">
        <v>139</v>
      </c>
      <c r="C18" s="96"/>
      <c r="D18" s="69"/>
      <c r="E18" s="299"/>
    </row>
    <row r="19" spans="1:5" ht="18" customHeight="1" x14ac:dyDescent="0.25">
      <c r="A19" s="63">
        <v>-10</v>
      </c>
      <c r="B19" s="170" t="s">
        <v>140</v>
      </c>
      <c r="C19" s="96"/>
      <c r="D19" s="69"/>
      <c r="E19" s="300"/>
    </row>
    <row r="20" spans="1:5" ht="18" customHeight="1" x14ac:dyDescent="0.25">
      <c r="A20" s="63">
        <v>-11</v>
      </c>
      <c r="B20" s="170" t="s">
        <v>250</v>
      </c>
      <c r="C20" s="96"/>
      <c r="D20" s="69"/>
      <c r="E20" s="184">
        <f>E19+E24</f>
        <v>0</v>
      </c>
    </row>
    <row r="21" spans="1:5" ht="18" customHeight="1" x14ac:dyDescent="0.25">
      <c r="A21" s="63">
        <v>-12</v>
      </c>
      <c r="B21" s="170" t="s">
        <v>141</v>
      </c>
      <c r="C21" s="96"/>
      <c r="D21" s="69"/>
      <c r="E21" s="301"/>
    </row>
    <row r="22" spans="1:5" ht="18" customHeight="1" x14ac:dyDescent="0.25">
      <c r="A22" s="63">
        <v>-13</v>
      </c>
      <c r="B22" s="170" t="s">
        <v>142</v>
      </c>
      <c r="C22" s="96"/>
      <c r="D22" s="69"/>
      <c r="E22" s="295"/>
    </row>
    <row r="23" spans="1:5" ht="18" customHeight="1" x14ac:dyDescent="0.25">
      <c r="A23" s="63">
        <v>-14</v>
      </c>
      <c r="B23" s="170" t="s">
        <v>143</v>
      </c>
      <c r="C23" s="96"/>
      <c r="D23" s="69"/>
      <c r="E23" s="295"/>
    </row>
    <row r="24" spans="1:5" ht="18" customHeight="1" x14ac:dyDescent="0.25">
      <c r="A24" s="63">
        <v>-15</v>
      </c>
      <c r="B24" s="170" t="s">
        <v>251</v>
      </c>
      <c r="C24" s="96"/>
      <c r="D24" s="69"/>
      <c r="E24" s="300"/>
    </row>
    <row r="25" spans="1:5" ht="18" customHeight="1" x14ac:dyDescent="0.25">
      <c r="A25" s="63">
        <v>-16</v>
      </c>
      <c r="B25" s="170" t="s">
        <v>144</v>
      </c>
      <c r="C25" s="96"/>
      <c r="D25" s="69"/>
      <c r="E25" s="183"/>
    </row>
    <row r="26" spans="1:5" ht="18" customHeight="1" x14ac:dyDescent="0.25">
      <c r="A26" s="63">
        <v>-17</v>
      </c>
      <c r="B26" s="171" t="s">
        <v>150</v>
      </c>
      <c r="C26" s="97"/>
      <c r="D26" s="69"/>
      <c r="E26" s="297"/>
    </row>
    <row r="27" spans="1:5" ht="18" customHeight="1" x14ac:dyDescent="0.25">
      <c r="A27" s="63">
        <v>-18</v>
      </c>
      <c r="B27" s="171" t="s">
        <v>149</v>
      </c>
      <c r="C27" s="97"/>
      <c r="D27" s="69"/>
      <c r="E27" s="298"/>
    </row>
    <row r="28" spans="1:5" ht="18" customHeight="1" x14ac:dyDescent="0.25">
      <c r="A28" s="63">
        <v>-19</v>
      </c>
      <c r="B28" s="171" t="s">
        <v>148</v>
      </c>
      <c r="C28" s="97"/>
      <c r="D28" s="69"/>
      <c r="E28" s="298"/>
    </row>
    <row r="29" spans="1:5" ht="18" customHeight="1" x14ac:dyDescent="0.25">
      <c r="A29" s="63">
        <v>-20</v>
      </c>
      <c r="B29" s="171" t="s">
        <v>147</v>
      </c>
      <c r="C29" s="97"/>
      <c r="D29" s="69"/>
      <c r="E29" s="298"/>
    </row>
    <row r="30" spans="1:5" ht="18" customHeight="1" x14ac:dyDescent="0.25">
      <c r="A30" s="63">
        <v>-21</v>
      </c>
      <c r="B30" s="171" t="s">
        <v>146</v>
      </c>
      <c r="C30" s="97"/>
      <c r="D30" s="69"/>
      <c r="E30" s="298"/>
    </row>
    <row r="31" spans="1:5" ht="18" customHeight="1" thickBot="1" x14ac:dyDescent="0.3">
      <c r="A31" s="91">
        <v>-22</v>
      </c>
      <c r="B31" s="172" t="s">
        <v>145</v>
      </c>
      <c r="C31" s="98"/>
      <c r="D31" s="92"/>
      <c r="E31" s="302"/>
    </row>
  </sheetData>
  <sheetProtection algorithmName="SHA-512" hashValue="cEXiUkxo7tp2wMEModNZ9dtywXmFO4TWL/TQo4hJ8dv5vRrC/53aEN3DaSf5P/RrTTMT2agVAPEvU583wI4toA==" saltValue="HmIe8NWqD5GaVPc7qH129Q==" spinCount="100000" sheet="1" objects="1" scenarios="1" formatColumns="0" formatRows="0" sort="0"/>
  <printOptions horizontalCentered="1"/>
  <pageMargins left="0.45" right="0.45" top="0.5" bottom="0.5" header="0.3" footer="0.05"/>
  <pageSetup scale="95" orientation="landscape" r:id="rId1"/>
  <headerFooter>
    <oddFooter xml:space="preserve">&amp;L1/11/2022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General Insurance Company</v>
      </c>
      <c r="G1" s="346" t="s">
        <v>282</v>
      </c>
    </row>
    <row r="2" spans="1:7" x14ac:dyDescent="0.25">
      <c r="A2" s="21" t="s">
        <v>69</v>
      </c>
      <c r="C2" s="37" t="s">
        <v>71</v>
      </c>
      <c r="F2" s="36" t="str">
        <f>General_Line</f>
        <v>Homeowners</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423</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419</v>
      </c>
      <c r="C8" s="70"/>
      <c r="G8" s="259" t="str">
        <f>IF(AND(No_Fees=TRUE,OR(COUNTA(D12:D25)&lt;&gt;0,COUNTA(F12:F25)&lt;&gt;0,COUNTA(D29:D37)&lt;&gt;0,COUNTA(F29:F37)&lt;&gt;0)),"no fees apply.","")</f>
        <v/>
      </c>
    </row>
    <row r="9" spans="1:7" ht="18" customHeight="1" x14ac:dyDescent="0.25">
      <c r="A9" t="s">
        <v>420</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418</v>
      </c>
      <c r="B12" s="104"/>
      <c r="C12" s="104"/>
      <c r="D12" s="198"/>
      <c r="E12" s="100"/>
      <c r="F12" s="198"/>
      <c r="G12" s="403"/>
    </row>
    <row r="13" spans="1:7" ht="18" customHeight="1" x14ac:dyDescent="0.25">
      <c r="A13" t="s">
        <v>155</v>
      </c>
      <c r="C13" s="70"/>
      <c r="D13" s="198"/>
      <c r="E13" s="70"/>
      <c r="F13" s="198"/>
      <c r="G13" s="352"/>
    </row>
    <row r="14" spans="1:7" ht="18" customHeight="1" x14ac:dyDescent="0.25">
      <c r="A14" t="s">
        <v>337</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227</v>
      </c>
      <c r="C20" s="70"/>
      <c r="D20" s="198"/>
      <c r="E20" s="70"/>
      <c r="F20" s="198"/>
      <c r="G20" s="350"/>
    </row>
    <row r="21" spans="1:7" ht="18" customHeight="1" x14ac:dyDescent="0.25">
      <c r="A21" t="s">
        <v>167</v>
      </c>
      <c r="B21" s="8"/>
      <c r="C21" s="8"/>
      <c r="D21" s="8"/>
      <c r="E21" s="8"/>
      <c r="F21" s="8"/>
      <c r="G21" s="350"/>
    </row>
    <row r="22" spans="1:7" ht="18" customHeight="1" x14ac:dyDescent="0.25">
      <c r="A22" s="326" t="s">
        <v>339</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338</v>
      </c>
      <c r="C32" s="70"/>
      <c r="D32" s="198"/>
      <c r="E32" s="70"/>
      <c r="F32" s="198"/>
      <c r="G32" s="350"/>
    </row>
    <row r="33" spans="1:7" ht="18" customHeight="1" x14ac:dyDescent="0.25">
      <c r="A33" t="s">
        <v>167</v>
      </c>
      <c r="B33" s="8"/>
      <c r="C33" s="8"/>
      <c r="D33" s="8"/>
      <c r="E33" s="8"/>
      <c r="F33" s="8"/>
      <c r="G33" s="350"/>
    </row>
    <row r="34" spans="1:7" ht="18" customHeight="1" x14ac:dyDescent="0.25">
      <c r="A34" s="326" t="s">
        <v>339</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BBB+uJnYsgDzsIalEEQqpVVQ+Mrew3k1i2paoqbPjfYWyt2seim1oaFGLwrz4C7T2HDGLSnqXZlEQJsu+nHnRw==" saltValue="g4TYGWI0+TleW9KP3pCDcw==" spinCount="100000" sheet="1" objects="1" scenarios="1" formatColumns="0" formatRows="0" sort="0"/>
  <printOptions horizontalCentered="1"/>
  <pageMargins left="0.45" right="0.45" top="0.5" bottom="0.5" header="0.3" footer="0.05"/>
  <pageSetup scale="80" orientation="portrait" r:id="rId1"/>
  <headerFooter>
    <oddFooter xml:space="preserve">&amp;L1/11/2022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outlinePr summaryBelow="0"/>
    <pageSetUpPr fitToPage="1"/>
  </sheetPr>
  <dimension ref="A1:O75"/>
  <sheetViews>
    <sheetView showGridLines="0" zoomScale="90" zoomScaleNormal="90" zoomScaleSheetLayoutView="100" workbookViewId="0">
      <pane ySplit="32" topLeftCell="A33" activePane="bottomLeft" state="frozen"/>
      <selection pane="bottomLeft"/>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8.7109375" customWidth="1"/>
    <col min="9" max="12" width="16.28515625" customWidth="1"/>
    <col min="13" max="13" width="74" style="335" customWidth="1"/>
  </cols>
  <sheetData>
    <row r="1" spans="1:12" x14ac:dyDescent="0.25">
      <c r="A1" s="21" t="s">
        <v>68</v>
      </c>
      <c r="B1" s="21"/>
      <c r="G1"/>
      <c r="J1" s="37" t="s">
        <v>70</v>
      </c>
      <c r="L1" t="str">
        <f>Co_Name</f>
        <v>State Farm General Insurance Company</v>
      </c>
    </row>
    <row r="2" spans="1:12" x14ac:dyDescent="0.25">
      <c r="A2" s="21" t="s">
        <v>69</v>
      </c>
      <c r="B2" s="21"/>
      <c r="G2"/>
      <c r="J2" s="37" t="s">
        <v>71</v>
      </c>
      <c r="L2" t="str">
        <f>General_Line</f>
        <v>Homeowners</v>
      </c>
    </row>
    <row r="3" spans="1:12" ht="5.0999999999999996" customHeight="1" x14ac:dyDescent="0.25">
      <c r="B3" s="167"/>
      <c r="G3" s="214"/>
    </row>
    <row r="4" spans="1:12" ht="23.25" x14ac:dyDescent="0.25">
      <c r="A4" s="5" t="s">
        <v>186</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8"/>
      <c r="B6" s="5"/>
      <c r="C6" s="3"/>
      <c r="D6" s="3"/>
      <c r="E6" s="3"/>
      <c r="F6" s="3"/>
      <c r="G6" s="3"/>
      <c r="H6" s="3"/>
      <c r="I6" s="3"/>
      <c r="J6" s="3"/>
      <c r="K6" s="3"/>
      <c r="L6" s="3"/>
    </row>
    <row r="7" spans="1:12" ht="15.75" thickBot="1" x14ac:dyDescent="0.3">
      <c r="A7" s="527"/>
      <c r="B7" s="550" t="s">
        <v>512</v>
      </c>
      <c r="C7" s="113"/>
      <c r="D7" s="113"/>
      <c r="E7" s="551"/>
      <c r="F7" s="113"/>
      <c r="G7" s="113"/>
      <c r="H7" s="113"/>
      <c r="I7" s="113"/>
      <c r="J7" s="113"/>
      <c r="K7" s="113"/>
      <c r="L7" s="113"/>
    </row>
    <row r="8" spans="1:12" x14ac:dyDescent="0.25">
      <c r="A8" s="501"/>
      <c r="B8" s="480" t="s">
        <v>200</v>
      </c>
      <c r="C8" s="483"/>
      <c r="D8" s="481" t="s">
        <v>201</v>
      </c>
      <c r="E8" s="502" t="s">
        <v>202</v>
      </c>
      <c r="F8" s="491"/>
      <c r="G8" s="491"/>
      <c r="H8" s="491"/>
      <c r="I8" s="491"/>
      <c r="J8" s="485"/>
      <c r="K8" s="488"/>
      <c r="L8" s="500"/>
    </row>
    <row r="9" spans="1:12" x14ac:dyDescent="0.25">
      <c r="A9" s="484"/>
      <c r="B9" s="51" t="s">
        <v>505</v>
      </c>
      <c r="C9" s="484"/>
      <c r="D9" s="482" t="s">
        <v>501</v>
      </c>
      <c r="E9" s="492" t="s">
        <v>491</v>
      </c>
      <c r="F9" s="492"/>
      <c r="G9" s="492"/>
      <c r="H9" s="492" t="s">
        <v>494</v>
      </c>
      <c r="I9" s="492"/>
      <c r="J9" s="486"/>
      <c r="K9" s="489" t="s">
        <v>497</v>
      </c>
      <c r="L9" s="494"/>
    </row>
    <row r="10" spans="1:12" x14ac:dyDescent="0.25">
      <c r="A10" s="484"/>
      <c r="B10" s="51" t="s">
        <v>506</v>
      </c>
      <c r="C10" s="484"/>
      <c r="D10" s="482" t="s">
        <v>502</v>
      </c>
      <c r="E10" s="492" t="s">
        <v>492</v>
      </c>
      <c r="F10" s="492"/>
      <c r="G10" s="492"/>
      <c r="H10" s="492" t="s">
        <v>495</v>
      </c>
      <c r="I10" s="492"/>
      <c r="J10" s="486"/>
      <c r="K10" s="489" t="s">
        <v>498</v>
      </c>
      <c r="L10" s="494"/>
    </row>
    <row r="11" spans="1:12" x14ac:dyDescent="0.25">
      <c r="A11" s="484"/>
      <c r="B11" s="51" t="s">
        <v>507</v>
      </c>
      <c r="C11" s="484"/>
      <c r="D11" s="482" t="s">
        <v>503</v>
      </c>
      <c r="E11" s="492" t="s">
        <v>493</v>
      </c>
      <c r="F11" s="492"/>
      <c r="G11" s="492"/>
      <c r="H11" s="492" t="s">
        <v>496</v>
      </c>
      <c r="I11" s="492"/>
      <c r="J11" s="486"/>
      <c r="K11" s="489" t="s">
        <v>499</v>
      </c>
      <c r="L11" s="494"/>
    </row>
    <row r="12" spans="1:12" x14ac:dyDescent="0.25">
      <c r="A12" s="541">
        <v>1</v>
      </c>
      <c r="B12" s="51" t="s">
        <v>508</v>
      </c>
      <c r="C12" s="484"/>
      <c r="D12" s="482" t="s">
        <v>504</v>
      </c>
      <c r="E12" s="492"/>
      <c r="F12" s="492"/>
      <c r="G12" s="492"/>
      <c r="H12" s="492"/>
      <c r="I12" s="492"/>
      <c r="J12" s="486"/>
      <c r="K12" s="489" t="s">
        <v>500</v>
      </c>
      <c r="L12" s="494"/>
    </row>
    <row r="13" spans="1:12" x14ac:dyDescent="0.25">
      <c r="A13" s="496"/>
      <c r="B13" s="51"/>
      <c r="C13" s="496"/>
      <c r="D13" s="498"/>
      <c r="E13" s="492" t="s">
        <v>509</v>
      </c>
      <c r="F13" s="492"/>
      <c r="G13" s="492"/>
      <c r="H13" s="492"/>
      <c r="I13" s="492"/>
      <c r="J13" s="486"/>
      <c r="K13" s="489"/>
      <c r="L13" s="494"/>
    </row>
    <row r="14" spans="1:12" x14ac:dyDescent="0.25">
      <c r="A14" s="496"/>
      <c r="B14" s="51"/>
      <c r="C14" s="496"/>
      <c r="D14" s="498"/>
      <c r="E14" s="492" t="s">
        <v>510</v>
      </c>
      <c r="F14" s="492"/>
      <c r="G14" s="492"/>
      <c r="H14" s="492"/>
      <c r="I14" s="492"/>
      <c r="J14" s="486"/>
      <c r="K14" s="489"/>
      <c r="L14" s="494"/>
    </row>
    <row r="15" spans="1:12" ht="15.75" thickBot="1" x14ac:dyDescent="0.3">
      <c r="A15" s="496"/>
      <c r="B15" s="113"/>
      <c r="C15" s="497"/>
      <c r="D15" s="499"/>
      <c r="E15" s="493" t="s">
        <v>511</v>
      </c>
      <c r="F15" s="493"/>
      <c r="G15" s="493"/>
      <c r="H15" s="493"/>
      <c r="I15" s="493"/>
      <c r="J15" s="487"/>
      <c r="K15" s="490"/>
      <c r="L15" s="495"/>
    </row>
    <row r="16" spans="1:12" ht="5.0999999999999996" customHeight="1" thickBot="1" x14ac:dyDescent="0.3">
      <c r="A16" s="268"/>
      <c r="B16" s="552"/>
      <c r="C16" s="552"/>
      <c r="D16" s="552"/>
      <c r="E16" s="552"/>
      <c r="F16" s="552"/>
      <c r="G16" s="552"/>
      <c r="H16" s="552"/>
      <c r="I16" s="552"/>
      <c r="J16" s="552"/>
      <c r="K16" s="552"/>
      <c r="L16" s="552"/>
    </row>
    <row r="17" spans="1:15" x14ac:dyDescent="0.25">
      <c r="A17" s="153"/>
      <c r="B17" s="151"/>
      <c r="C17" s="154" t="s">
        <v>188</v>
      </c>
      <c r="D17" s="150"/>
      <c r="E17" s="152"/>
      <c r="F17" s="154" t="s">
        <v>192</v>
      </c>
      <c r="G17" s="152"/>
      <c r="H17" s="156"/>
      <c r="I17" s="154" t="s">
        <v>195</v>
      </c>
      <c r="J17" s="152"/>
      <c r="K17" s="154" t="s">
        <v>196</v>
      </c>
      <c r="L17" s="152"/>
    </row>
    <row r="18" spans="1:15" ht="18" thickBot="1" x14ac:dyDescent="0.3">
      <c r="A18" s="158"/>
      <c r="B18" s="157"/>
      <c r="C18" s="155" t="s">
        <v>189</v>
      </c>
      <c r="D18" s="470" t="s">
        <v>190</v>
      </c>
      <c r="E18" s="471" t="s">
        <v>191</v>
      </c>
      <c r="F18" s="155" t="s">
        <v>81</v>
      </c>
      <c r="G18" s="471" t="s">
        <v>333</v>
      </c>
      <c r="H18" s="477" t="s">
        <v>193</v>
      </c>
      <c r="I18" s="155" t="s">
        <v>279</v>
      </c>
      <c r="J18" s="471" t="s">
        <v>197</v>
      </c>
      <c r="K18" s="155" t="s">
        <v>198</v>
      </c>
      <c r="L18" s="471" t="s">
        <v>194</v>
      </c>
      <c r="N18" s="70"/>
      <c r="O18" s="70"/>
    </row>
    <row r="19" spans="1:15" ht="18" hidden="1" customHeight="1" x14ac:dyDescent="0.25">
      <c r="A19" s="467">
        <f>A12-1</f>
        <v>0</v>
      </c>
      <c r="B19" s="546" t="s">
        <v>199</v>
      </c>
      <c r="C19" s="524"/>
      <c r="D19" s="515"/>
      <c r="E19" s="516"/>
      <c r="F19" s="516"/>
      <c r="G19" s="517"/>
      <c r="H19" s="516"/>
      <c r="I19" s="516"/>
      <c r="J19" s="516"/>
      <c r="K19" s="516"/>
      <c r="L19" s="518"/>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9"/>
      <c r="B20" s="547" t="s">
        <v>268</v>
      </c>
      <c r="C20" s="525"/>
      <c r="D20" s="520"/>
      <c r="E20" s="521"/>
      <c r="F20" s="521"/>
      <c r="G20" s="519"/>
      <c r="H20" s="521"/>
      <c r="I20" s="522"/>
      <c r="J20" s="522"/>
      <c r="K20" s="522"/>
      <c r="L20" s="523"/>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9"/>
      <c r="B21" s="586" t="s">
        <v>485</v>
      </c>
      <c r="C21" s="587"/>
      <c r="D21" s="588"/>
      <c r="E21" s="588"/>
      <c r="F21" s="588"/>
      <c r="G21" s="588"/>
      <c r="H21" s="588"/>
      <c r="I21" s="588"/>
      <c r="J21" s="588"/>
      <c r="K21" s="588"/>
      <c r="L21" s="589"/>
      <c r="M21" s="335" t="str">
        <f>IF(LEN(TRIM(CLEAN(D21)))=0,"←ERROR! Detailed explanation was not provided.","")</f>
        <v>←ERROR! Detailed explanation was not provided.</v>
      </c>
      <c r="N21" s="70"/>
      <c r="O21" s="70"/>
    </row>
    <row r="22" spans="1:15" ht="120" hidden="1" customHeight="1" x14ac:dyDescent="0.25">
      <c r="A22" s="467"/>
      <c r="B22" s="586" t="s">
        <v>483</v>
      </c>
      <c r="C22" s="587"/>
      <c r="D22" s="590"/>
      <c r="E22" s="590"/>
      <c r="F22" s="590"/>
      <c r="G22" s="590"/>
      <c r="H22" s="590"/>
      <c r="I22" s="590"/>
      <c r="J22" s="590"/>
      <c r="K22" s="590"/>
      <c r="L22" s="591"/>
      <c r="N22" s="70"/>
      <c r="O22" s="70"/>
    </row>
    <row r="23" spans="1:15" ht="45.95" hidden="1" customHeight="1" x14ac:dyDescent="0.25">
      <c r="A23" s="459"/>
      <c r="B23" s="586" t="s">
        <v>484</v>
      </c>
      <c r="C23" s="587"/>
      <c r="D23" s="590"/>
      <c r="E23" s="590"/>
      <c r="F23" s="590"/>
      <c r="G23" s="590"/>
      <c r="H23" s="590"/>
      <c r="I23" s="590"/>
      <c r="J23" s="590"/>
      <c r="K23" s="590"/>
      <c r="L23" s="591"/>
      <c r="N23" s="70"/>
      <c r="O23" s="70"/>
    </row>
    <row r="24" spans="1:15" ht="60.95" hidden="1" customHeight="1" x14ac:dyDescent="0.25">
      <c r="A24" s="459"/>
      <c r="B24" s="586" t="s">
        <v>513</v>
      </c>
      <c r="C24" s="587"/>
      <c r="D24" s="590"/>
      <c r="E24" s="590"/>
      <c r="F24" s="590"/>
      <c r="G24" s="590"/>
      <c r="H24" s="590"/>
      <c r="I24" s="590"/>
      <c r="J24" s="590"/>
      <c r="K24" s="590"/>
      <c r="L24" s="591"/>
      <c r="N24" s="70"/>
      <c r="O24" s="70"/>
    </row>
    <row r="25" spans="1:15" ht="9" hidden="1" customHeight="1" thickBot="1" x14ac:dyDescent="0.3">
      <c r="A25" s="459"/>
      <c r="B25" s="596"/>
      <c r="C25" s="596"/>
      <c r="D25" s="597"/>
      <c r="E25" s="597"/>
      <c r="F25" s="597"/>
      <c r="G25" s="597"/>
      <c r="H25" s="597"/>
      <c r="I25" s="597"/>
      <c r="J25" s="597"/>
      <c r="K25" s="597"/>
      <c r="L25" s="597"/>
      <c r="N25" s="70"/>
      <c r="O25" s="70"/>
    </row>
    <row r="26" spans="1:15" ht="18" hidden="1" customHeight="1" x14ac:dyDescent="0.25">
      <c r="A26" s="528">
        <f>A19-1</f>
        <v>-1</v>
      </c>
      <c r="B26" s="548" t="s">
        <v>199</v>
      </c>
      <c r="C26" s="529"/>
      <c r="D26" s="530"/>
      <c r="E26" s="531"/>
      <c r="F26" s="531"/>
      <c r="G26" s="532"/>
      <c r="H26" s="533"/>
      <c r="I26" s="534"/>
      <c r="J26" s="533"/>
      <c r="K26" s="535"/>
      <c r="L26" s="536"/>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60"/>
      <c r="B27" s="549" t="s">
        <v>268</v>
      </c>
      <c r="C27" s="461"/>
      <c r="D27" s="462"/>
      <c r="E27" s="463"/>
      <c r="F27" s="463"/>
      <c r="G27" s="464"/>
      <c r="H27" s="465"/>
      <c r="I27" s="478"/>
      <c r="J27" s="475"/>
      <c r="K27" s="479"/>
      <c r="L27" s="475"/>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60"/>
      <c r="B28" s="598" t="s">
        <v>485</v>
      </c>
      <c r="C28" s="599"/>
      <c r="D28" s="592"/>
      <c r="E28" s="593"/>
      <c r="F28" s="593"/>
      <c r="G28" s="593"/>
      <c r="H28" s="593"/>
      <c r="I28" s="593"/>
      <c r="J28" s="593"/>
      <c r="K28" s="593"/>
      <c r="L28" s="594"/>
      <c r="M28" s="335" t="str">
        <f>IF(LEN(TRIM(CLEAN(D28)))=0,"←ERROR! Detailed explanation was not provided.","")</f>
        <v>←ERROR! Detailed explanation was not provided.</v>
      </c>
      <c r="N28" s="70"/>
      <c r="O28" s="70"/>
    </row>
    <row r="29" spans="1:15" ht="120" hidden="1" customHeight="1" x14ac:dyDescent="0.25">
      <c r="A29" s="468"/>
      <c r="B29" s="583" t="s">
        <v>483</v>
      </c>
      <c r="C29" s="584"/>
      <c r="D29" s="592"/>
      <c r="E29" s="593"/>
      <c r="F29" s="593"/>
      <c r="G29" s="593"/>
      <c r="H29" s="593"/>
      <c r="I29" s="593"/>
      <c r="J29" s="593"/>
      <c r="K29" s="593"/>
      <c r="L29" s="594"/>
      <c r="N29" s="70"/>
      <c r="O29" s="70"/>
    </row>
    <row r="30" spans="1:15" ht="45.95" hidden="1" customHeight="1" x14ac:dyDescent="0.25">
      <c r="A30" s="460"/>
      <c r="B30" s="583" t="s">
        <v>484</v>
      </c>
      <c r="C30" s="584"/>
      <c r="D30" s="592"/>
      <c r="E30" s="593"/>
      <c r="F30" s="593"/>
      <c r="G30" s="593"/>
      <c r="H30" s="593"/>
      <c r="I30" s="593"/>
      <c r="J30" s="593"/>
      <c r="K30" s="593"/>
      <c r="L30" s="594"/>
      <c r="N30" s="70"/>
      <c r="O30" s="70"/>
    </row>
    <row r="31" spans="1:15" ht="60.95" hidden="1" customHeight="1" x14ac:dyDescent="0.25">
      <c r="A31" s="460"/>
      <c r="B31" s="583" t="s">
        <v>513</v>
      </c>
      <c r="C31" s="584"/>
      <c r="D31" s="592"/>
      <c r="E31" s="593"/>
      <c r="F31" s="593"/>
      <c r="G31" s="593"/>
      <c r="H31" s="593"/>
      <c r="I31" s="593"/>
      <c r="J31" s="593"/>
      <c r="K31" s="593"/>
      <c r="L31" s="594"/>
      <c r="N31" s="70"/>
      <c r="O31" s="70"/>
    </row>
    <row r="32" spans="1:15" ht="9" hidden="1" customHeight="1" thickBot="1" x14ac:dyDescent="0.3">
      <c r="A32" s="503"/>
      <c r="B32" s="585"/>
      <c r="C32" s="585"/>
      <c r="D32" s="595"/>
      <c r="E32" s="595"/>
      <c r="F32" s="595"/>
      <c r="G32" s="595"/>
      <c r="H32" s="595"/>
      <c r="I32" s="595"/>
      <c r="J32" s="595"/>
      <c r="K32" s="595"/>
      <c r="L32" s="595"/>
      <c r="N32" s="70"/>
      <c r="O32" s="70"/>
    </row>
    <row r="33" spans="1:15" ht="18" customHeight="1" x14ac:dyDescent="0.25">
      <c r="A33" s="528">
        <f>A19-1</f>
        <v>-1</v>
      </c>
      <c r="B33" s="542" t="s">
        <v>199</v>
      </c>
      <c r="C33" s="508"/>
      <c r="D33" s="504"/>
      <c r="E33" s="505"/>
      <c r="F33" s="505"/>
      <c r="G33" s="506"/>
      <c r="H33" s="505"/>
      <c r="I33" s="505"/>
      <c r="J33" s="505"/>
      <c r="K33" s="505"/>
      <c r="L33" s="507"/>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70"/>
      <c r="O33" s="70"/>
    </row>
    <row r="34" spans="1:15" ht="18" customHeight="1" x14ac:dyDescent="0.25">
      <c r="A34" s="459"/>
      <c r="B34" s="543" t="s">
        <v>268</v>
      </c>
      <c r="C34" s="514"/>
      <c r="D34" s="510"/>
      <c r="E34" s="511"/>
      <c r="F34" s="511"/>
      <c r="G34" s="509"/>
      <c r="H34" s="511"/>
      <c r="I34" s="512"/>
      <c r="J34" s="512"/>
      <c r="K34" s="512"/>
      <c r="L34" s="475"/>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9"/>
      <c r="B35" s="581" t="s">
        <v>485</v>
      </c>
      <c r="C35" s="582"/>
      <c r="D35" s="590"/>
      <c r="E35" s="590"/>
      <c r="F35" s="590"/>
      <c r="G35" s="590"/>
      <c r="H35" s="590"/>
      <c r="I35" s="590"/>
      <c r="J35" s="590"/>
      <c r="K35" s="590"/>
      <c r="L35" s="591"/>
      <c r="M35" s="335" t="str">
        <f>IF(LEN(TRIM(CLEAN(D35)))=0,"←ERROR! Detailed explanation was not provided.","")</f>
        <v>←ERROR! Detailed explanation was not provided.</v>
      </c>
      <c r="N35" s="70"/>
      <c r="O35" s="70"/>
    </row>
    <row r="36" spans="1:15" ht="105" customHeight="1" x14ac:dyDescent="0.25">
      <c r="A36" s="467"/>
      <c r="B36" s="581" t="s">
        <v>483</v>
      </c>
      <c r="C36" s="582"/>
      <c r="D36" s="590"/>
      <c r="E36" s="590"/>
      <c r="F36" s="590"/>
      <c r="G36" s="590"/>
      <c r="H36" s="590"/>
      <c r="I36" s="590"/>
      <c r="J36" s="590"/>
      <c r="K36" s="590"/>
      <c r="L36" s="591"/>
      <c r="N36" s="70"/>
      <c r="O36" s="70"/>
    </row>
    <row r="37" spans="1:15" ht="45.95" customHeight="1" x14ac:dyDescent="0.25">
      <c r="A37" s="459"/>
      <c r="B37" s="581" t="s">
        <v>484</v>
      </c>
      <c r="C37" s="582"/>
      <c r="D37" s="590"/>
      <c r="E37" s="590"/>
      <c r="F37" s="590"/>
      <c r="G37" s="590"/>
      <c r="H37" s="590"/>
      <c r="I37" s="590"/>
      <c r="J37" s="590"/>
      <c r="K37" s="590"/>
      <c r="L37" s="591"/>
      <c r="N37" s="70"/>
      <c r="O37" s="70"/>
    </row>
    <row r="38" spans="1:15" ht="45.95" customHeight="1" x14ac:dyDescent="0.25">
      <c r="A38" s="459"/>
      <c r="B38" s="581" t="s">
        <v>513</v>
      </c>
      <c r="C38" s="582"/>
      <c r="D38" s="590"/>
      <c r="E38" s="590"/>
      <c r="F38" s="590"/>
      <c r="G38" s="590"/>
      <c r="H38" s="590"/>
      <c r="I38" s="590"/>
      <c r="J38" s="590"/>
      <c r="K38" s="590"/>
      <c r="L38" s="591"/>
      <c r="N38" s="70"/>
      <c r="O38" s="70"/>
    </row>
    <row r="39" spans="1:15" ht="9" customHeight="1" thickBot="1" x14ac:dyDescent="0.3">
      <c r="A39" s="459"/>
      <c r="B39" s="580"/>
      <c r="C39" s="580"/>
      <c r="D39" s="597"/>
      <c r="E39" s="597"/>
      <c r="F39" s="597"/>
      <c r="G39" s="597"/>
      <c r="H39" s="597"/>
      <c r="I39" s="597"/>
      <c r="J39" s="597"/>
      <c r="K39" s="597"/>
      <c r="L39" s="597"/>
      <c r="N39" s="70"/>
      <c r="O39" s="70"/>
    </row>
    <row r="40" spans="1:15" ht="18" customHeight="1" x14ac:dyDescent="0.25">
      <c r="A40" s="537">
        <f>A33-1</f>
        <v>-2</v>
      </c>
      <c r="B40" s="544" t="s">
        <v>199</v>
      </c>
      <c r="C40" s="529"/>
      <c r="D40" s="530"/>
      <c r="E40" s="531"/>
      <c r="F40" s="531"/>
      <c r="G40" s="539"/>
      <c r="H40" s="533"/>
      <c r="I40" s="534"/>
      <c r="J40" s="533"/>
      <c r="K40" s="535"/>
      <c r="L40" s="536"/>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6"/>
      <c r="B41" s="545" t="s">
        <v>268</v>
      </c>
      <c r="C41" s="461"/>
      <c r="D41" s="462"/>
      <c r="E41" s="463"/>
      <c r="F41" s="463"/>
      <c r="G41" s="464"/>
      <c r="H41" s="465"/>
      <c r="I41" s="472"/>
      <c r="J41" s="473"/>
      <c r="K41" s="474"/>
      <c r="L41" s="475"/>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6"/>
      <c r="B42" s="619" t="s">
        <v>485</v>
      </c>
      <c r="C42" s="620"/>
      <c r="D42" s="616"/>
      <c r="E42" s="616"/>
      <c r="F42" s="616"/>
      <c r="G42" s="616"/>
      <c r="H42" s="616"/>
      <c r="I42" s="616"/>
      <c r="J42" s="616"/>
      <c r="K42" s="616"/>
      <c r="L42" s="617"/>
      <c r="M42" s="335" t="str">
        <f>IF(LEN(TRIM(CLEAN(D42)))=0,"←ERROR! Detailed explanation was not provided.","")</f>
        <v>←ERROR! Detailed explanation was not provided.</v>
      </c>
      <c r="N42" s="70"/>
      <c r="O42" s="70"/>
    </row>
    <row r="43" spans="1:15" ht="120" customHeight="1" x14ac:dyDescent="0.25">
      <c r="A43" s="469"/>
      <c r="B43" s="619" t="s">
        <v>483</v>
      </c>
      <c r="C43" s="620"/>
      <c r="D43" s="616"/>
      <c r="E43" s="616"/>
      <c r="F43" s="616"/>
      <c r="G43" s="616"/>
      <c r="H43" s="616"/>
      <c r="I43" s="616"/>
      <c r="J43" s="616"/>
      <c r="K43" s="616"/>
      <c r="L43" s="617"/>
      <c r="N43" s="70"/>
      <c r="O43" s="70"/>
    </row>
    <row r="44" spans="1:15" ht="45.95" customHeight="1" x14ac:dyDescent="0.25">
      <c r="A44" s="466"/>
      <c r="B44" s="619" t="s">
        <v>484</v>
      </c>
      <c r="C44" s="620"/>
      <c r="D44" s="616"/>
      <c r="E44" s="616"/>
      <c r="F44" s="616"/>
      <c r="G44" s="616"/>
      <c r="H44" s="616"/>
      <c r="I44" s="616"/>
      <c r="J44" s="616"/>
      <c r="K44" s="616"/>
      <c r="L44" s="617"/>
      <c r="N44" s="70"/>
      <c r="O44" s="70"/>
    </row>
    <row r="45" spans="1:15" ht="60.95" customHeight="1" x14ac:dyDescent="0.25">
      <c r="A45" s="466"/>
      <c r="B45" s="619" t="s">
        <v>513</v>
      </c>
      <c r="C45" s="620"/>
      <c r="D45" s="616"/>
      <c r="E45" s="616"/>
      <c r="F45" s="616"/>
      <c r="G45" s="616"/>
      <c r="H45" s="616"/>
      <c r="I45" s="616"/>
      <c r="J45" s="616"/>
      <c r="K45" s="616"/>
      <c r="L45" s="617"/>
      <c r="N45" s="70"/>
      <c r="O45" s="70"/>
    </row>
    <row r="46" spans="1:15" ht="9" customHeight="1" thickBot="1" x14ac:dyDescent="0.3">
      <c r="A46" s="466"/>
      <c r="B46" s="621"/>
      <c r="C46" s="622"/>
      <c r="D46" s="618"/>
      <c r="E46" s="618"/>
      <c r="F46" s="618"/>
      <c r="G46" s="618"/>
      <c r="H46" s="618"/>
      <c r="I46" s="618"/>
      <c r="J46" s="618"/>
      <c r="K46" s="618"/>
      <c r="L46" s="618"/>
      <c r="N46" s="70"/>
      <c r="O46" s="70"/>
    </row>
    <row r="47" spans="1:15" ht="18" customHeight="1" x14ac:dyDescent="0.25">
      <c r="A47" s="528">
        <f>A40-1</f>
        <v>-3</v>
      </c>
      <c r="B47" s="542" t="s">
        <v>199</v>
      </c>
      <c r="C47" s="508"/>
      <c r="D47" s="504"/>
      <c r="E47" s="505"/>
      <c r="F47" s="505"/>
      <c r="G47" s="506"/>
      <c r="H47" s="505"/>
      <c r="I47" s="505"/>
      <c r="J47" s="505"/>
      <c r="K47" s="505"/>
      <c r="L47" s="507"/>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9"/>
      <c r="B48" s="543" t="s">
        <v>268</v>
      </c>
      <c r="C48" s="513"/>
      <c r="D48" s="510"/>
      <c r="E48" s="511"/>
      <c r="F48" s="511"/>
      <c r="G48" s="509"/>
      <c r="H48" s="511"/>
      <c r="I48" s="512"/>
      <c r="J48" s="512"/>
      <c r="K48" s="512"/>
      <c r="L48" s="475"/>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9"/>
      <c r="B49" s="581" t="s">
        <v>485</v>
      </c>
      <c r="C49" s="582"/>
      <c r="D49" s="590"/>
      <c r="E49" s="590"/>
      <c r="F49" s="590"/>
      <c r="G49" s="590"/>
      <c r="H49" s="590"/>
      <c r="I49" s="590"/>
      <c r="J49" s="590"/>
      <c r="K49" s="590"/>
      <c r="L49" s="591"/>
      <c r="M49" s="335" t="str">
        <f>IF(LEN(TRIM(CLEAN(D49)))=0,"←ERROR! Detailed explanation was not provided.","")</f>
        <v>←ERROR! Detailed explanation was not provided.</v>
      </c>
      <c r="N49" s="70"/>
      <c r="O49" s="70"/>
    </row>
    <row r="50" spans="1:15" ht="120" customHeight="1" x14ac:dyDescent="0.25">
      <c r="A50" s="467"/>
      <c r="B50" s="581" t="s">
        <v>483</v>
      </c>
      <c r="C50" s="582"/>
      <c r="D50" s="590"/>
      <c r="E50" s="590"/>
      <c r="F50" s="590"/>
      <c r="G50" s="590"/>
      <c r="H50" s="590"/>
      <c r="I50" s="590"/>
      <c r="J50" s="590"/>
      <c r="K50" s="590"/>
      <c r="L50" s="591"/>
      <c r="N50" s="70"/>
      <c r="O50" s="70"/>
    </row>
    <row r="51" spans="1:15" ht="45.95" customHeight="1" x14ac:dyDescent="0.25">
      <c r="A51" s="459"/>
      <c r="B51" s="581" t="s">
        <v>484</v>
      </c>
      <c r="C51" s="582"/>
      <c r="D51" s="590"/>
      <c r="E51" s="590"/>
      <c r="F51" s="590"/>
      <c r="G51" s="590"/>
      <c r="H51" s="590"/>
      <c r="I51" s="590"/>
      <c r="J51" s="590"/>
      <c r="K51" s="590"/>
      <c r="L51" s="591"/>
      <c r="N51" s="70"/>
      <c r="O51" s="70"/>
    </row>
    <row r="52" spans="1:15" ht="60.95" customHeight="1" x14ac:dyDescent="0.25">
      <c r="A52" s="459"/>
      <c r="B52" s="581" t="s">
        <v>513</v>
      </c>
      <c r="C52" s="582"/>
      <c r="D52" s="590"/>
      <c r="E52" s="590"/>
      <c r="F52" s="590"/>
      <c r="G52" s="590"/>
      <c r="H52" s="590"/>
      <c r="I52" s="590"/>
      <c r="J52" s="590"/>
      <c r="K52" s="590"/>
      <c r="L52" s="591"/>
      <c r="N52" s="70"/>
      <c r="O52" s="70"/>
    </row>
    <row r="53" spans="1:15" ht="9" customHeight="1" thickBot="1" x14ac:dyDescent="0.3">
      <c r="A53" s="459"/>
      <c r="B53" s="610"/>
      <c r="C53" s="611"/>
      <c r="D53" s="609"/>
      <c r="E53" s="609"/>
      <c r="F53" s="609"/>
      <c r="G53" s="609"/>
      <c r="H53" s="609"/>
      <c r="I53" s="609"/>
      <c r="J53" s="609"/>
      <c r="K53" s="609"/>
      <c r="L53" s="609"/>
      <c r="N53" s="70"/>
      <c r="O53" s="70"/>
    </row>
    <row r="54" spans="1:15" ht="18" customHeight="1" x14ac:dyDescent="0.25">
      <c r="A54" s="537">
        <f>A47-1</f>
        <v>-4</v>
      </c>
      <c r="B54" s="538" t="s">
        <v>199</v>
      </c>
      <c r="C54" s="529"/>
      <c r="D54" s="530"/>
      <c r="E54" s="531"/>
      <c r="F54" s="531"/>
      <c r="G54" s="539"/>
      <c r="H54" s="533"/>
      <c r="I54" s="534"/>
      <c r="J54" s="533"/>
      <c r="K54" s="535"/>
      <c r="L54" s="536"/>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6"/>
      <c r="B55" s="526" t="s">
        <v>268</v>
      </c>
      <c r="C55" s="461"/>
      <c r="D55" s="462"/>
      <c r="E55" s="463"/>
      <c r="F55" s="463"/>
      <c r="G55" s="464"/>
      <c r="H55" s="465"/>
      <c r="I55" s="472"/>
      <c r="J55" s="473"/>
      <c r="K55" s="474"/>
      <c r="L55" s="475"/>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6"/>
      <c r="B56" s="612" t="s">
        <v>485</v>
      </c>
      <c r="C56" s="613"/>
      <c r="D56" s="616"/>
      <c r="E56" s="616"/>
      <c r="F56" s="616"/>
      <c r="G56" s="616"/>
      <c r="H56" s="616"/>
      <c r="I56" s="616"/>
      <c r="J56" s="616"/>
      <c r="K56" s="616"/>
      <c r="L56" s="617"/>
      <c r="M56" s="335" t="str">
        <f>IF(LEN(TRIM(CLEAN(D56)))=0,"←ERROR! Detailed explanation was not provided.","")</f>
        <v>←ERROR! Detailed explanation was not provided.</v>
      </c>
      <c r="N56" s="70"/>
      <c r="O56" s="70"/>
    </row>
    <row r="57" spans="1:15" ht="120" customHeight="1" x14ac:dyDescent="0.25">
      <c r="A57" s="469"/>
      <c r="B57" s="612" t="s">
        <v>483</v>
      </c>
      <c r="C57" s="613"/>
      <c r="D57" s="616"/>
      <c r="E57" s="616"/>
      <c r="F57" s="616"/>
      <c r="G57" s="616"/>
      <c r="H57" s="616"/>
      <c r="I57" s="616"/>
      <c r="J57" s="616"/>
      <c r="K57" s="616"/>
      <c r="L57" s="617"/>
      <c r="N57" s="70"/>
      <c r="O57" s="70"/>
    </row>
    <row r="58" spans="1:15" ht="45.95" customHeight="1" x14ac:dyDescent="0.25">
      <c r="A58" s="466"/>
      <c r="B58" s="612" t="s">
        <v>484</v>
      </c>
      <c r="C58" s="613"/>
      <c r="D58" s="616"/>
      <c r="E58" s="616"/>
      <c r="F58" s="616"/>
      <c r="G58" s="616"/>
      <c r="H58" s="616"/>
      <c r="I58" s="616"/>
      <c r="J58" s="616"/>
      <c r="K58" s="616"/>
      <c r="L58" s="617"/>
      <c r="N58" s="70"/>
      <c r="O58" s="70"/>
    </row>
    <row r="59" spans="1:15" ht="60.95" customHeight="1" x14ac:dyDescent="0.25">
      <c r="A59" s="466"/>
      <c r="B59" s="612" t="s">
        <v>513</v>
      </c>
      <c r="C59" s="613"/>
      <c r="D59" s="616"/>
      <c r="E59" s="616"/>
      <c r="F59" s="616"/>
      <c r="G59" s="616"/>
      <c r="H59" s="616"/>
      <c r="I59" s="616"/>
      <c r="J59" s="616"/>
      <c r="K59" s="616"/>
      <c r="L59" s="617"/>
      <c r="N59" s="70"/>
      <c r="O59" s="70"/>
    </row>
    <row r="60" spans="1:15" ht="9" customHeight="1" thickBot="1" x14ac:dyDescent="0.3">
      <c r="A60" s="540"/>
      <c r="B60" s="614"/>
      <c r="C60" s="615"/>
      <c r="D60" s="595"/>
      <c r="E60" s="595"/>
      <c r="F60" s="595"/>
      <c r="G60" s="595"/>
      <c r="H60" s="595"/>
      <c r="I60" s="595"/>
      <c r="J60" s="595"/>
      <c r="K60" s="595"/>
      <c r="L60" s="595"/>
      <c r="N60" s="70"/>
      <c r="O60" s="70"/>
    </row>
    <row r="61" spans="1:15" ht="3.75" customHeight="1" x14ac:dyDescent="0.25"/>
    <row r="62" spans="1:15" ht="17.25" x14ac:dyDescent="0.25">
      <c r="B62" s="49" t="s">
        <v>481</v>
      </c>
    </row>
    <row r="63" spans="1:15" x14ac:dyDescent="0.25">
      <c r="B63" s="457" t="s">
        <v>482</v>
      </c>
    </row>
    <row r="64" spans="1:15" ht="17.25" customHeight="1" x14ac:dyDescent="0.25">
      <c r="B64" s="49" t="s">
        <v>280</v>
      </c>
    </row>
    <row r="66" spans="2:12" ht="15.75" thickBot="1" x14ac:dyDescent="0.3">
      <c r="B66" s="1" t="s">
        <v>490</v>
      </c>
      <c r="F66" s="149"/>
      <c r="G66"/>
    </row>
    <row r="67" spans="2:12" ht="15" customHeight="1" x14ac:dyDescent="0.25">
      <c r="B67" s="600"/>
      <c r="C67" s="601"/>
      <c r="D67" s="601"/>
      <c r="E67" s="601"/>
      <c r="F67" s="601"/>
      <c r="G67" s="601"/>
      <c r="H67" s="601"/>
      <c r="I67" s="601"/>
      <c r="J67" s="601"/>
      <c r="K67" s="601"/>
      <c r="L67" s="602"/>
    </row>
    <row r="68" spans="2:12" x14ac:dyDescent="0.25">
      <c r="B68" s="603"/>
      <c r="C68" s="604"/>
      <c r="D68" s="604"/>
      <c r="E68" s="604"/>
      <c r="F68" s="604"/>
      <c r="G68" s="604"/>
      <c r="H68" s="604"/>
      <c r="I68" s="604"/>
      <c r="J68" s="604"/>
      <c r="K68" s="604"/>
      <c r="L68" s="605"/>
    </row>
    <row r="69" spans="2:12" x14ac:dyDescent="0.25">
      <c r="B69" s="603"/>
      <c r="C69" s="604"/>
      <c r="D69" s="604"/>
      <c r="E69" s="604"/>
      <c r="F69" s="604"/>
      <c r="G69" s="604"/>
      <c r="H69" s="604"/>
      <c r="I69" s="604"/>
      <c r="J69" s="604"/>
      <c r="K69" s="604"/>
      <c r="L69" s="605"/>
    </row>
    <row r="70" spans="2:12" x14ac:dyDescent="0.25">
      <c r="B70" s="603"/>
      <c r="C70" s="604"/>
      <c r="D70" s="604"/>
      <c r="E70" s="604"/>
      <c r="F70" s="604"/>
      <c r="G70" s="604"/>
      <c r="H70" s="604"/>
      <c r="I70" s="604"/>
      <c r="J70" s="604"/>
      <c r="K70" s="604"/>
      <c r="L70" s="605"/>
    </row>
    <row r="71" spans="2:12" x14ac:dyDescent="0.25">
      <c r="B71" s="603"/>
      <c r="C71" s="604"/>
      <c r="D71" s="604"/>
      <c r="E71" s="604"/>
      <c r="F71" s="604"/>
      <c r="G71" s="604"/>
      <c r="H71" s="604"/>
      <c r="I71" s="604"/>
      <c r="J71" s="604"/>
      <c r="K71" s="604"/>
      <c r="L71" s="605"/>
    </row>
    <row r="72" spans="2:12" x14ac:dyDescent="0.25">
      <c r="B72" s="603"/>
      <c r="C72" s="604"/>
      <c r="D72" s="604"/>
      <c r="E72" s="604"/>
      <c r="F72" s="604"/>
      <c r="G72" s="604"/>
      <c r="H72" s="604"/>
      <c r="I72" s="604"/>
      <c r="J72" s="604"/>
      <c r="K72" s="604"/>
      <c r="L72" s="605"/>
    </row>
    <row r="73" spans="2:12" x14ac:dyDescent="0.25">
      <c r="B73" s="603"/>
      <c r="C73" s="604"/>
      <c r="D73" s="604"/>
      <c r="E73" s="604"/>
      <c r="F73" s="604"/>
      <c r="G73" s="604"/>
      <c r="H73" s="604"/>
      <c r="I73" s="604"/>
      <c r="J73" s="604"/>
      <c r="K73" s="604"/>
      <c r="L73" s="605"/>
    </row>
    <row r="74" spans="2:12" x14ac:dyDescent="0.25">
      <c r="B74" s="603"/>
      <c r="C74" s="604"/>
      <c r="D74" s="604"/>
      <c r="E74" s="604"/>
      <c r="F74" s="604"/>
      <c r="G74" s="604"/>
      <c r="H74" s="604"/>
      <c r="I74" s="604"/>
      <c r="J74" s="604"/>
      <c r="K74" s="604"/>
      <c r="L74" s="605"/>
    </row>
    <row r="75" spans="2:12" ht="15.75" thickBot="1" x14ac:dyDescent="0.3">
      <c r="B75" s="606"/>
      <c r="C75" s="607"/>
      <c r="D75" s="607"/>
      <c r="E75" s="607"/>
      <c r="F75" s="607"/>
      <c r="G75" s="607"/>
      <c r="H75" s="607"/>
      <c r="I75" s="607"/>
      <c r="J75" s="607"/>
      <c r="K75" s="607"/>
      <c r="L75" s="608"/>
    </row>
  </sheetData>
  <sheetProtection algorithmName="SHA-512" hashValue="fJcPZi8g+NKmR/C4iKwKvqUw/z9DaIgnaR0dZW0yL3W55DAOJ8A987zALj16FgvtKmkuOE8Fdc8tBZF4jepD7Q==" saltValue="Q+Fxk3nbGo6nEQX7UgfPKQ=="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38:L38"/>
    <mergeCell ref="D39:L39"/>
    <mergeCell ref="D42:L42"/>
    <mergeCell ref="D43:L43"/>
    <mergeCell ref="D44:L44"/>
    <mergeCell ref="D29:L29"/>
    <mergeCell ref="D28:L28"/>
    <mergeCell ref="D35:L35"/>
    <mergeCell ref="D36:L36"/>
    <mergeCell ref="D37:L37"/>
    <mergeCell ref="B67:L75"/>
    <mergeCell ref="D53:L53"/>
    <mergeCell ref="B53:C53"/>
    <mergeCell ref="B56:C56"/>
    <mergeCell ref="B57:C57"/>
    <mergeCell ref="B58:C58"/>
    <mergeCell ref="B59:C59"/>
    <mergeCell ref="D60:L60"/>
    <mergeCell ref="B60:C60"/>
    <mergeCell ref="D59:L59"/>
    <mergeCell ref="D58:L58"/>
    <mergeCell ref="D57:L57"/>
    <mergeCell ref="D56:L56"/>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39:C39"/>
    <mergeCell ref="B38:C38"/>
    <mergeCell ref="B35:C35"/>
    <mergeCell ref="B36:C36"/>
    <mergeCell ref="B30:C30"/>
    <mergeCell ref="B31:C31"/>
    <mergeCell ref="B32:C32"/>
  </mergeCells>
  <dataValidations disablePrompts="1" count="4">
    <dataValidation type="list" allowBlank="1" showInputMessage="1" showErrorMessage="1" sqref="K47 K19 K54 K40 K26">
      <formula1>"Y, N"</formula1>
    </dataValidation>
    <dataValidation type="list" allowBlank="1" showInputMessage="1" showErrorMessage="1" sqref="E19:F20 E47:F48 E54:F55 E40:F41 E26:F27 E33:F34">
      <formula1>"1,2,3,4"</formula1>
    </dataValidation>
    <dataValidation type="list" allowBlank="1" showInputMessage="1" showErrorMessage="1" sqref="H19:H20 H47:H48 H54:H55 H40:H41 H26:H27 H33:H34">
      <formula1>"1,2,3,4,5,6,7,8,9,10"</formula1>
    </dataValidation>
    <dataValidation type="list" allowBlank="1" showInputMessage="1" showErrorMessage="1" sqref="I19:J19 I26:J26 I54:J54 I40:J40 I47:J47 I33:K33">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&amp;L1/11/2022 Edition
&amp;CPrior Approval Rate Application
Portions of the material contained in this document are protected by copyright owned by the State Farm Mutual Automobile Insurance Company, 2022&amp;RPage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00FF"/>
  </sheetPr>
  <dimension ref="A1:N40"/>
  <sheetViews>
    <sheetView showGridLines="0" view="pageBreakPreview" zoomScaleNormal="100" zoomScaleSheetLayoutView="100" workbookViewId="0"/>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General Insurance Company</v>
      </c>
      <c r="H1" s="160"/>
      <c r="I1" s="159"/>
    </row>
    <row r="2" spans="1:14" x14ac:dyDescent="0.25">
      <c r="A2" s="10" t="s">
        <v>69</v>
      </c>
      <c r="B2" s="10"/>
      <c r="C2" s="159" t="s">
        <v>71</v>
      </c>
      <c r="D2" s="160" t="str">
        <f>General_Line</f>
        <v>Homeowners</v>
      </c>
      <c r="H2" s="160"/>
      <c r="I2" s="159"/>
    </row>
    <row r="3" spans="1:14" x14ac:dyDescent="0.25">
      <c r="B3" s="166"/>
    </row>
    <row r="4" spans="1:14" ht="23.25" x14ac:dyDescent="0.25">
      <c r="A4" s="5" t="s">
        <v>417</v>
      </c>
      <c r="B4" s="5"/>
      <c r="C4" s="147"/>
      <c r="D4" s="147"/>
      <c r="F4" s="147"/>
      <c r="G4" s="147"/>
      <c r="H4" s="147"/>
      <c r="I4" s="147"/>
      <c r="J4" s="147"/>
      <c r="K4" s="147"/>
      <c r="L4" s="147"/>
      <c r="M4" s="147"/>
      <c r="N4" s="147"/>
    </row>
    <row r="6" spans="1:14" x14ac:dyDescent="0.25">
      <c r="A6" s="49" t="s">
        <v>254</v>
      </c>
    </row>
    <row r="7" spans="1:14" x14ac:dyDescent="0.25">
      <c r="A7" s="49" t="s">
        <v>317</v>
      </c>
    </row>
    <row r="9" spans="1:14" ht="18" customHeight="1" x14ac:dyDescent="0.25">
      <c r="A9" s="49" t="s">
        <v>203</v>
      </c>
    </row>
    <row r="10" spans="1:14" ht="24.95" customHeight="1" x14ac:dyDescent="0.25">
      <c r="B10" s="49" t="s">
        <v>205</v>
      </c>
    </row>
    <row r="11" spans="1:14" ht="24.95" customHeight="1" x14ac:dyDescent="0.25">
      <c r="B11" s="49" t="s">
        <v>204</v>
      </c>
    </row>
    <row r="12" spans="1:14" ht="24.95" customHeight="1" x14ac:dyDescent="0.25">
      <c r="B12" s="49" t="s">
        <v>275</v>
      </c>
      <c r="E12" s="23" t="b">
        <v>0</v>
      </c>
    </row>
    <row r="13" spans="1:14" ht="24.95" customHeight="1" x14ac:dyDescent="0.25">
      <c r="B13" s="49" t="s">
        <v>208</v>
      </c>
    </row>
    <row r="14" spans="1:14" ht="24.75" customHeight="1" x14ac:dyDescent="0.25">
      <c r="B14" s="49" t="s">
        <v>272</v>
      </c>
    </row>
    <row r="15" spans="1:14" ht="9.75" customHeight="1" x14ac:dyDescent="0.25"/>
    <row r="16" spans="1:14" ht="18" customHeight="1" x14ac:dyDescent="0.25">
      <c r="A16" s="233" t="s">
        <v>269</v>
      </c>
    </row>
    <row r="17" spans="1:6" ht="24.95" customHeight="1" x14ac:dyDescent="0.25">
      <c r="B17" s="49" t="s">
        <v>274</v>
      </c>
    </row>
    <row r="18" spans="1:6" ht="24.95" customHeight="1" x14ac:dyDescent="0.25">
      <c r="B18" s="29" t="s">
        <v>318</v>
      </c>
    </row>
    <row r="19" spans="1:6" ht="24.95" customHeight="1" x14ac:dyDescent="0.25">
      <c r="B19" s="49" t="s">
        <v>270</v>
      </c>
    </row>
    <row r="20" spans="1:6" ht="24.95" customHeight="1" x14ac:dyDescent="0.25">
      <c r="B20" s="49" t="s">
        <v>213</v>
      </c>
    </row>
    <row r="21" spans="1:6" ht="24.95" customHeight="1" x14ac:dyDescent="0.25">
      <c r="B21" s="29" t="s">
        <v>319</v>
      </c>
    </row>
    <row r="22" spans="1:6" ht="24.95" customHeight="1" x14ac:dyDescent="0.25">
      <c r="B22" s="49" t="s">
        <v>276</v>
      </c>
    </row>
    <row r="23" spans="1:6" ht="24.95" customHeight="1" x14ac:dyDescent="0.25">
      <c r="B23" s="29" t="s">
        <v>320</v>
      </c>
    </row>
    <row r="24" spans="1:6" ht="24.95" customHeight="1" x14ac:dyDescent="0.25">
      <c r="B24" s="49" t="s">
        <v>209</v>
      </c>
    </row>
    <row r="25" spans="1:6" ht="18" customHeight="1" x14ac:dyDescent="0.25">
      <c r="B25" s="29" t="s">
        <v>206</v>
      </c>
    </row>
    <row r="26" spans="1:6" ht="18" customHeight="1" x14ac:dyDescent="0.25">
      <c r="B26" s="29" t="s">
        <v>207</v>
      </c>
    </row>
    <row r="27" spans="1:6" ht="9.9499999999999993" customHeight="1" x14ac:dyDescent="0.25"/>
    <row r="28" spans="1:6" ht="18" customHeight="1" x14ac:dyDescent="0.25">
      <c r="A28" s="49" t="s">
        <v>212</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210</v>
      </c>
    </row>
    <row r="31" spans="1:6" ht="24.95" customHeight="1" x14ac:dyDescent="0.25">
      <c r="B31" s="49" t="s">
        <v>321</v>
      </c>
    </row>
    <row r="32" spans="1:6" ht="24.95" customHeight="1" x14ac:dyDescent="0.25">
      <c r="B32" s="49" t="s">
        <v>211</v>
      </c>
    </row>
    <row r="33" spans="1:2" ht="24.95" customHeight="1" x14ac:dyDescent="0.25">
      <c r="B33" s="49" t="s">
        <v>214</v>
      </c>
    </row>
    <row r="34" spans="1:2" ht="24.95" customHeight="1" x14ac:dyDescent="0.25">
      <c r="B34" s="29" t="s">
        <v>320</v>
      </c>
    </row>
    <row r="36" spans="1:2" ht="18" customHeight="1" x14ac:dyDescent="0.25">
      <c r="A36" s="49" t="s">
        <v>278</v>
      </c>
    </row>
    <row r="37" spans="1:2" ht="18" customHeight="1" x14ac:dyDescent="0.25">
      <c r="A37" s="49" t="s">
        <v>322</v>
      </c>
    </row>
    <row r="39" spans="1:2" ht="17.25" x14ac:dyDescent="0.25">
      <c r="A39" s="49" t="s">
        <v>273</v>
      </c>
    </row>
    <row r="40" spans="1:2" x14ac:dyDescent="0.25">
      <c r="A40" s="64" t="s">
        <v>271</v>
      </c>
    </row>
  </sheetData>
  <sheetProtection algorithmName="SHA-512" hashValue="m7s0sIzFjxGEP+O9G50c/HvFpQj1HN2gAPSQRn7zIpYaMdXK/ctloDv0bMyk/L6Jt2jEpFI2r+vM3M9qb6rwgg==" saltValue="2//2hqYV0p8jFZ2Zz6HqUg==" spinCount="100000" sheet="1" objects="1" scenarios="1" formatColumns="0" formatRows="0" sort="0"/>
  <pageMargins left="0.7" right="0.7" top="0.75" bottom="0.75" header="0.3" footer="0.05"/>
  <pageSetup scale="75" orientation="portrait" r:id="rId1"/>
  <headerFooter>
    <oddFooter xml:space="preserve">&amp;L1/11/2022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J105"/>
  <sheetViews>
    <sheetView showGridLines="0" view="pageBreakPreview" zoomScaleNormal="100" zoomScaleSheetLayoutView="100" workbookViewId="0">
      <selection activeCell="D6" sqref="D6"/>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General Insurance Company</v>
      </c>
      <c r="I1" s="50"/>
    </row>
    <row r="2" spans="1:10" x14ac:dyDescent="0.25">
      <c r="A2" s="21" t="s">
        <v>69</v>
      </c>
      <c r="E2" s="37" t="s">
        <v>71</v>
      </c>
      <c r="G2" s="36" t="str">
        <f>General_Line</f>
        <v>Homeowners</v>
      </c>
      <c r="I2" s="50"/>
    </row>
    <row r="3" spans="1:10" x14ac:dyDescent="0.25">
      <c r="B3" s="167"/>
      <c r="I3" s="50"/>
    </row>
    <row r="4" spans="1:10" ht="23.25" x14ac:dyDescent="0.25">
      <c r="A4" s="5" t="s">
        <v>329</v>
      </c>
      <c r="B4" s="3"/>
      <c r="C4" s="3"/>
      <c r="D4" s="3"/>
      <c r="E4" s="3"/>
      <c r="F4" s="3"/>
      <c r="G4" s="3"/>
      <c r="I4" s="234"/>
    </row>
    <row r="5" spans="1:10" x14ac:dyDescent="0.25">
      <c r="I5" s="50"/>
    </row>
    <row r="6" spans="1:10" x14ac:dyDescent="0.25">
      <c r="A6" t="s">
        <v>246</v>
      </c>
      <c r="I6" s="50"/>
    </row>
    <row r="7" spans="1:10" x14ac:dyDescent="0.25">
      <c r="A7" s="2" t="s">
        <v>245</v>
      </c>
      <c r="I7" s="50"/>
    </row>
    <row r="8" spans="1:10" ht="5.0999999999999996" customHeight="1" x14ac:dyDescent="0.25">
      <c r="A8" s="2"/>
      <c r="I8" s="50"/>
    </row>
    <row r="9" spans="1:10" x14ac:dyDescent="0.25">
      <c r="A9" t="s">
        <v>247</v>
      </c>
      <c r="I9" s="50"/>
    </row>
    <row r="10" spans="1:10" x14ac:dyDescent="0.25">
      <c r="A10" s="2" t="s">
        <v>253</v>
      </c>
      <c r="I10" s="50"/>
    </row>
    <row r="11" spans="1:10" ht="15.75" thickBot="1" x14ac:dyDescent="0.3">
      <c r="I11" s="50"/>
    </row>
    <row r="12" spans="1:10" ht="195" x14ac:dyDescent="0.25">
      <c r="A12" s="109"/>
      <c r="B12" s="110"/>
      <c r="C12" s="110"/>
      <c r="D12" s="229" t="s">
        <v>173</v>
      </c>
      <c r="E12" s="229" t="s">
        <v>180</v>
      </c>
      <c r="F12" s="229" t="s">
        <v>174</v>
      </c>
      <c r="G12" s="111" t="s">
        <v>181</v>
      </c>
      <c r="H12" s="107" t="s">
        <v>179</v>
      </c>
      <c r="I12" s="50"/>
    </row>
    <row r="13" spans="1:10" ht="5.0999999999999996" customHeight="1" thickBot="1" x14ac:dyDescent="0.3">
      <c r="A13" s="115"/>
      <c r="B13" s="113"/>
      <c r="C13" s="113"/>
      <c r="D13" s="228"/>
      <c r="E13" s="228"/>
      <c r="F13" s="228"/>
      <c r="G13" s="116"/>
      <c r="H13" s="4"/>
      <c r="I13" s="50"/>
    </row>
    <row r="14" spans="1:10" ht="18" customHeight="1" x14ac:dyDescent="0.25">
      <c r="A14" s="117" t="s">
        <v>340</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182</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23" t="str">
        <f>INDEX(List_Variances,$H16,2)</f>
        <v/>
      </c>
      <c r="B18" s="624"/>
      <c r="C18" s="624"/>
      <c r="D18" s="624"/>
      <c r="E18" s="624"/>
      <c r="F18" s="624"/>
      <c r="G18" s="625"/>
      <c r="H18" s="4"/>
      <c r="I18" s="50"/>
    </row>
    <row r="19" spans="1:9" ht="24.95" customHeight="1" thickBot="1" x14ac:dyDescent="0.3">
      <c r="A19" s="626"/>
      <c r="B19" s="627"/>
      <c r="C19" s="627"/>
      <c r="D19" s="627"/>
      <c r="E19" s="627"/>
      <c r="F19" s="627"/>
      <c r="G19" s="628"/>
      <c r="H19" s="4"/>
      <c r="I19" s="50"/>
    </row>
    <row r="20" spans="1:9" ht="18" customHeight="1" x14ac:dyDescent="0.25">
      <c r="A20" s="117" t="s">
        <v>175</v>
      </c>
      <c r="B20" s="127" t="s">
        <v>107</v>
      </c>
      <c r="C20" s="118"/>
      <c r="D20" s="197"/>
      <c r="E20" s="125" t="str">
        <f>IF(ISBLANK(D20),"",D20-D$14)</f>
        <v/>
      </c>
      <c r="F20" s="197"/>
      <c r="G20" s="126" t="str">
        <f>IF(ISBLANK(F20),"",F20-F$14)</f>
        <v/>
      </c>
      <c r="H20" s="180">
        <v>23</v>
      </c>
      <c r="I20" s="50"/>
    </row>
    <row r="21" spans="1:9" ht="24.75" customHeight="1" x14ac:dyDescent="0.25">
      <c r="A21" s="623" t="str">
        <f>INDEX(List_Variances,$H20,2)</f>
        <v/>
      </c>
      <c r="B21" s="624"/>
      <c r="C21" s="624"/>
      <c r="D21" s="624"/>
      <c r="E21" s="624"/>
      <c r="F21" s="624"/>
      <c r="G21" s="625"/>
      <c r="H21" s="4"/>
      <c r="I21" s="50"/>
    </row>
    <row r="22" spans="1:9" ht="24.75" customHeight="1" thickBot="1" x14ac:dyDescent="0.3">
      <c r="A22" s="626"/>
      <c r="B22" s="627"/>
      <c r="C22" s="627"/>
      <c r="D22" s="627"/>
      <c r="E22" s="627"/>
      <c r="F22" s="627"/>
      <c r="G22" s="628"/>
      <c r="H22" s="4"/>
      <c r="I22" s="50"/>
    </row>
    <row r="23" spans="1:9" ht="18" customHeight="1" x14ac:dyDescent="0.25">
      <c r="A23" s="117" t="s">
        <v>176</v>
      </c>
      <c r="B23" s="127" t="s">
        <v>107</v>
      </c>
      <c r="C23" s="118"/>
      <c r="D23" s="197"/>
      <c r="E23" s="125" t="str">
        <f>IF(ISBLANK(D23),"",D23-D$14)</f>
        <v/>
      </c>
      <c r="F23" s="197"/>
      <c r="G23" s="126" t="str">
        <f>IF(ISBLANK(F23),"",F23-F$14)</f>
        <v/>
      </c>
      <c r="H23" s="180">
        <v>23</v>
      </c>
      <c r="I23" s="50"/>
    </row>
    <row r="24" spans="1:9" ht="24.75" customHeight="1" x14ac:dyDescent="0.25">
      <c r="A24" s="623" t="str">
        <f>INDEX(List_Variances,$H23,2)</f>
        <v/>
      </c>
      <c r="B24" s="624"/>
      <c r="C24" s="624"/>
      <c r="D24" s="624"/>
      <c r="E24" s="624"/>
      <c r="F24" s="624"/>
      <c r="G24" s="625"/>
      <c r="H24" s="4"/>
      <c r="I24" s="50"/>
    </row>
    <row r="25" spans="1:9" ht="24.75" customHeight="1" thickBot="1" x14ac:dyDescent="0.3">
      <c r="A25" s="626"/>
      <c r="B25" s="627"/>
      <c r="C25" s="627"/>
      <c r="D25" s="627"/>
      <c r="E25" s="627"/>
      <c r="F25" s="627"/>
      <c r="G25" s="628"/>
      <c r="H25" s="4"/>
      <c r="I25" s="50"/>
    </row>
    <row r="26" spans="1:9" ht="18" customHeight="1" x14ac:dyDescent="0.25">
      <c r="A26" s="117" t="s">
        <v>177</v>
      </c>
      <c r="B26" s="127" t="s">
        <v>107</v>
      </c>
      <c r="C26" s="118"/>
      <c r="D26" s="197"/>
      <c r="E26" s="125" t="str">
        <f>IF(ISBLANK(D26),"",D26-D$14)</f>
        <v/>
      </c>
      <c r="F26" s="197"/>
      <c r="G26" s="126" t="str">
        <f>IF(ISBLANK(F26),"",F26-F$14)</f>
        <v/>
      </c>
      <c r="H26" s="180">
        <v>23</v>
      </c>
      <c r="I26" s="50"/>
    </row>
    <row r="27" spans="1:9" ht="24.75" customHeight="1" x14ac:dyDescent="0.25">
      <c r="A27" s="623" t="str">
        <f>INDEX(List_Variances,$H26,2)</f>
        <v/>
      </c>
      <c r="B27" s="624"/>
      <c r="C27" s="624"/>
      <c r="D27" s="624"/>
      <c r="E27" s="624"/>
      <c r="F27" s="624"/>
      <c r="G27" s="625"/>
      <c r="H27" s="4"/>
      <c r="I27" s="50"/>
    </row>
    <row r="28" spans="1:9" ht="24.75" customHeight="1" thickBot="1" x14ac:dyDescent="0.3">
      <c r="A28" s="626"/>
      <c r="B28" s="627"/>
      <c r="C28" s="627"/>
      <c r="D28" s="627"/>
      <c r="E28" s="627"/>
      <c r="F28" s="627"/>
      <c r="G28" s="628"/>
      <c r="H28" s="4"/>
      <c r="I28" s="50"/>
    </row>
    <row r="29" spans="1:9" ht="18" customHeight="1" x14ac:dyDescent="0.25">
      <c r="A29" s="117" t="s">
        <v>178</v>
      </c>
      <c r="B29" s="127" t="s">
        <v>107</v>
      </c>
      <c r="C29" s="118"/>
      <c r="D29" s="197"/>
      <c r="E29" s="125" t="str">
        <f>IF(ISBLANK(D29),"",D29-D$14)</f>
        <v/>
      </c>
      <c r="F29" s="197"/>
      <c r="G29" s="126" t="str">
        <f>IF(ISBLANK(F29),"",F29-F$14)</f>
        <v/>
      </c>
      <c r="H29" s="180">
        <v>23</v>
      </c>
      <c r="I29" s="50"/>
    </row>
    <row r="30" spans="1:9" ht="24.75" customHeight="1" x14ac:dyDescent="0.25">
      <c r="A30" s="623" t="str">
        <f>INDEX(List_Variances,$H29,2)</f>
        <v/>
      </c>
      <c r="B30" s="624"/>
      <c r="C30" s="624"/>
      <c r="D30" s="624"/>
      <c r="E30" s="624"/>
      <c r="F30" s="624"/>
      <c r="G30" s="625"/>
      <c r="H30" s="4"/>
      <c r="I30" s="50"/>
    </row>
    <row r="31" spans="1:9" ht="24.75" customHeight="1" thickBot="1" x14ac:dyDescent="0.3">
      <c r="A31" s="626"/>
      <c r="B31" s="627"/>
      <c r="C31" s="627"/>
      <c r="D31" s="627"/>
      <c r="E31" s="627"/>
      <c r="F31" s="627"/>
      <c r="G31" s="628"/>
      <c r="H31" s="4"/>
      <c r="I31" s="50"/>
    </row>
    <row r="32" spans="1:9" ht="18" customHeight="1" x14ac:dyDescent="0.25">
      <c r="A32" s="117" t="s">
        <v>341</v>
      </c>
      <c r="B32" s="127" t="s">
        <v>107</v>
      </c>
      <c r="C32" s="118"/>
      <c r="D32" s="197"/>
      <c r="E32" s="125" t="str">
        <f>IF(ISBLANK(D32),"",D32-D$14)</f>
        <v/>
      </c>
      <c r="F32" s="197"/>
      <c r="G32" s="126" t="str">
        <f>IF(ISBLANK(F32),"",F32-F$14)</f>
        <v/>
      </c>
      <c r="H32" s="180">
        <v>23</v>
      </c>
      <c r="I32" s="50"/>
    </row>
    <row r="33" spans="1:9" ht="24.75" customHeight="1" x14ac:dyDescent="0.25">
      <c r="A33" s="623" t="str">
        <f>INDEX(List_Variances,$H32,2)</f>
        <v/>
      </c>
      <c r="B33" s="624"/>
      <c r="C33" s="624"/>
      <c r="D33" s="624"/>
      <c r="E33" s="624"/>
      <c r="F33" s="624"/>
      <c r="G33" s="625"/>
      <c r="I33" s="50"/>
    </row>
    <row r="34" spans="1:9" ht="15.75" thickBot="1" x14ac:dyDescent="0.3">
      <c r="A34" s="626"/>
      <c r="B34" s="627"/>
      <c r="C34" s="627"/>
      <c r="D34" s="627"/>
      <c r="E34" s="627"/>
      <c r="F34" s="627"/>
      <c r="G34" s="628"/>
      <c r="I34" s="50"/>
    </row>
    <row r="35" spans="1:9" ht="18" customHeight="1" x14ac:dyDescent="0.25">
      <c r="A35" s="117" t="s">
        <v>342</v>
      </c>
      <c r="B35" s="127" t="s">
        <v>107</v>
      </c>
      <c r="C35" s="118"/>
      <c r="D35" s="197"/>
      <c r="E35" s="125" t="str">
        <f>IF(ISBLANK(D35),"",D35-D$14)</f>
        <v/>
      </c>
      <c r="F35" s="197"/>
      <c r="G35" s="126" t="str">
        <f>IF(ISBLANK(F35),"",F35-F$14)</f>
        <v/>
      </c>
      <c r="H35" s="180">
        <v>23</v>
      </c>
      <c r="I35" s="50"/>
    </row>
    <row r="36" spans="1:9" ht="24.75" customHeight="1" x14ac:dyDescent="0.25">
      <c r="A36" s="623" t="str">
        <f>INDEX(List_Variances,$H35,2)</f>
        <v/>
      </c>
      <c r="B36" s="624"/>
      <c r="C36" s="624"/>
      <c r="D36" s="624"/>
      <c r="E36" s="624"/>
      <c r="F36" s="624"/>
      <c r="G36" s="625"/>
      <c r="I36" s="50"/>
    </row>
    <row r="37" spans="1:9" ht="15.75" thickBot="1" x14ac:dyDescent="0.3">
      <c r="A37" s="626"/>
      <c r="B37" s="627"/>
      <c r="C37" s="627"/>
      <c r="D37" s="627"/>
      <c r="E37" s="627"/>
      <c r="F37" s="627"/>
      <c r="G37" s="628"/>
      <c r="I37" s="50"/>
    </row>
    <row r="38" spans="1:9" ht="18" customHeight="1" x14ac:dyDescent="0.25">
      <c r="A38" s="117" t="s">
        <v>343</v>
      </c>
      <c r="B38" s="127" t="s">
        <v>107</v>
      </c>
      <c r="C38" s="118"/>
      <c r="D38" s="197"/>
      <c r="E38" s="125" t="str">
        <f>IF(ISBLANK(D38),"",D38-D$14)</f>
        <v/>
      </c>
      <c r="F38" s="197"/>
      <c r="G38" s="126" t="str">
        <f>IF(ISBLANK(F38),"",F38-F$14)</f>
        <v/>
      </c>
      <c r="H38" s="180">
        <v>23</v>
      </c>
      <c r="I38" s="50"/>
    </row>
    <row r="39" spans="1:9" ht="24.75" customHeight="1" x14ac:dyDescent="0.25">
      <c r="A39" s="623" t="str">
        <f>INDEX(List_Variances,$H38,2)</f>
        <v/>
      </c>
      <c r="B39" s="624"/>
      <c r="C39" s="624"/>
      <c r="D39" s="624"/>
      <c r="E39" s="624"/>
      <c r="F39" s="624"/>
      <c r="G39" s="625"/>
      <c r="I39" s="50"/>
    </row>
    <row r="40" spans="1:9" ht="15.75" thickBot="1" x14ac:dyDescent="0.3">
      <c r="A40" s="626"/>
      <c r="B40" s="627"/>
      <c r="C40" s="627"/>
      <c r="D40" s="627"/>
      <c r="E40" s="627"/>
      <c r="F40" s="627"/>
      <c r="G40" s="628"/>
      <c r="I40" s="50"/>
    </row>
    <row r="41" spans="1:9" ht="18" customHeight="1" x14ac:dyDescent="0.25">
      <c r="A41" s="117" t="s">
        <v>344</v>
      </c>
      <c r="B41" s="127" t="s">
        <v>107</v>
      </c>
      <c r="C41" s="118"/>
      <c r="D41" s="197"/>
      <c r="E41" s="125" t="str">
        <f>IF(ISBLANK(D41),"",D41-D$14)</f>
        <v/>
      </c>
      <c r="F41" s="197"/>
      <c r="G41" s="126" t="str">
        <f>IF(ISBLANK(F41),"",F41-F$14)</f>
        <v/>
      </c>
      <c r="H41" s="180">
        <v>23</v>
      </c>
      <c r="I41" s="50"/>
    </row>
    <row r="42" spans="1:9" ht="24.75" customHeight="1" x14ac:dyDescent="0.25">
      <c r="A42" s="623" t="str">
        <f>INDEX(List_Variances,$H41,2)</f>
        <v/>
      </c>
      <c r="B42" s="624"/>
      <c r="C42" s="624"/>
      <c r="D42" s="624"/>
      <c r="E42" s="624"/>
      <c r="F42" s="624"/>
      <c r="G42" s="625"/>
      <c r="I42" s="50"/>
    </row>
    <row r="43" spans="1:9" ht="15.75" thickBot="1" x14ac:dyDescent="0.3">
      <c r="A43" s="626"/>
      <c r="B43" s="627"/>
      <c r="C43" s="627"/>
      <c r="D43" s="627"/>
      <c r="E43" s="627"/>
      <c r="F43" s="627"/>
      <c r="G43" s="628"/>
      <c r="I43" s="50"/>
    </row>
    <row r="44" spans="1:9" ht="18" customHeight="1" x14ac:dyDescent="0.25">
      <c r="A44" s="117" t="s">
        <v>345</v>
      </c>
      <c r="B44" s="127" t="s">
        <v>107</v>
      </c>
      <c r="C44" s="118"/>
      <c r="D44" s="197"/>
      <c r="E44" s="125" t="str">
        <f>IF(ISBLANK(D44),"",D44-D$14)</f>
        <v/>
      </c>
      <c r="F44" s="197"/>
      <c r="G44" s="126" t="str">
        <f>IF(ISBLANK(F44),"",F44-F$14)</f>
        <v/>
      </c>
      <c r="H44" s="180">
        <v>23</v>
      </c>
      <c r="I44" s="50"/>
    </row>
    <row r="45" spans="1:9" ht="24.75" customHeight="1" x14ac:dyDescent="0.25">
      <c r="A45" s="623" t="str">
        <f>INDEX(List_Variances,$H44,2)</f>
        <v/>
      </c>
      <c r="B45" s="624"/>
      <c r="C45" s="624"/>
      <c r="D45" s="624"/>
      <c r="E45" s="624"/>
      <c r="F45" s="624"/>
      <c r="G45" s="625"/>
      <c r="I45" s="50"/>
    </row>
    <row r="46" spans="1:9" ht="15.75" thickBot="1" x14ac:dyDescent="0.3">
      <c r="A46" s="626"/>
      <c r="B46" s="627"/>
      <c r="C46" s="627"/>
      <c r="D46" s="627"/>
      <c r="E46" s="627"/>
      <c r="F46" s="627"/>
      <c r="G46" s="628"/>
      <c r="I46" s="50"/>
    </row>
    <row r="47" spans="1:9" x14ac:dyDescent="0.25">
      <c r="A47" s="117" t="s">
        <v>252</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uFx1WS/7MLH/Pm86GAtyhH3UUFPFqI0V3d1fpVj/8nqJcp9LFW+GNCh5Q1kcZHAROn9XkTTOjFRHAknv+awqdw==" saltValue="9ZcnLnt+RHvGVWDazkSN6g=="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528</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489</v>
      </c>
    </row>
    <row r="17" spans="1:16" x14ac:dyDescent="0.25">
      <c r="B17" s="70" t="b">
        <v>0</v>
      </c>
      <c r="C17" t="s">
        <v>464</v>
      </c>
      <c r="G17" s="70" t="b">
        <v>1</v>
      </c>
      <c r="H17" t="s">
        <v>457</v>
      </c>
      <c r="L17" s="70" t="b">
        <v>0</v>
      </c>
      <c r="M17" t="s">
        <v>463</v>
      </c>
    </row>
    <row r="18" spans="1:16" x14ac:dyDescent="0.25">
      <c r="B18" s="70" t="b">
        <v>0</v>
      </c>
      <c r="C18" t="s">
        <v>473</v>
      </c>
      <c r="D18" s="566"/>
      <c r="E18" s="568"/>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529</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ht="13.5" customHeight="1" x14ac:dyDescent="0.25">
      <c r="I36" s="51"/>
      <c r="K36" s="449" t="s">
        <v>444</v>
      </c>
      <c r="L36" s="51"/>
      <c r="M36" s="566" t="s">
        <v>540</v>
      </c>
      <c r="N36" s="568"/>
    </row>
    <row r="37" spans="1:16" ht="15.75" customHeight="1"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530</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0GuNXSMWq5KgTKPXqYGPX6TGKYLMU5BywPmo2ocCcXYVjffe0aXesSsULTniwycjs22ByHb0XNsk5AtC3vMoEA==" saltValue="DlPmmOoabVkwIGgQpE1uOQ==" spinCount="100000" sheet="1" objects="1" scenarios="1" formatColumns="0" formatRows="0" sort="0"/>
  <mergeCells count="11">
    <mergeCell ref="C35:E35"/>
    <mergeCell ref="M36:N36"/>
    <mergeCell ref="M37:N37"/>
    <mergeCell ref="M40:O40"/>
    <mergeCell ref="H34:J34"/>
    <mergeCell ref="I31:K31"/>
    <mergeCell ref="M30:P30"/>
    <mergeCell ref="E6:J6"/>
    <mergeCell ref="I13:K13"/>
    <mergeCell ref="N25:O25"/>
    <mergeCell ref="D18:E18"/>
  </mergeCells>
  <conditionalFormatting sqref="M40:O40">
    <cfRule type="expression" dxfId="9" priority="2">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00FF"/>
  </sheetPr>
  <dimension ref="A1:Q44"/>
  <sheetViews>
    <sheetView showGridLines="0" view="pageBreakPreview" zoomScaleNormal="115" zoomScaleSheetLayoutView="100" workbookViewId="0">
      <selection activeCell="E6" sqref="E6:J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532</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1</v>
      </c>
      <c r="C17" t="s">
        <v>457</v>
      </c>
      <c r="G17" s="70" t="b">
        <v>0</v>
      </c>
      <c r="H17" t="s">
        <v>463</v>
      </c>
      <c r="L17" s="70" t="b">
        <v>0</v>
      </c>
      <c r="M17" t="s">
        <v>473</v>
      </c>
      <c r="N17" s="566"/>
      <c r="O17" s="568"/>
    </row>
    <row r="18" spans="1:16" x14ac:dyDescent="0.25">
      <c r="B18" s="70" t="b">
        <v>0</v>
      </c>
      <c r="C18" t="s">
        <v>473</v>
      </c>
      <c r="D18" s="566"/>
      <c r="E18" s="568"/>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529</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540</v>
      </c>
      <c r="N36" s="568"/>
    </row>
    <row r="37" spans="1:16"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533</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68ElGe40JPHVkqnNENIRzzqp9Q6rMh4UNDeR1HnV5XTq3Z5Y/emqGfLlLfuFKqABMDbbJE3DwCqrQx1iutu84g==" saltValue="CxHARoa8Czb4Ug0NlqtP4Q=="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8"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534</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66"/>
      <c r="O17" s="568"/>
    </row>
    <row r="18" spans="1:16" x14ac:dyDescent="0.25">
      <c r="B18" s="70" t="b">
        <v>1</v>
      </c>
      <c r="C18" t="s">
        <v>473</v>
      </c>
      <c r="D18" s="566" t="s">
        <v>538</v>
      </c>
      <c r="E18" s="568"/>
      <c r="G18" s="70"/>
      <c r="L18" s="70"/>
      <c r="N18" s="476"/>
      <c r="O18" s="476"/>
    </row>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529</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540</v>
      </c>
      <c r="N36" s="568"/>
    </row>
    <row r="37" spans="1:16"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539</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ZLV38pNcvp8MF8AG2+C5/SxuY2W/JpFfHhPu+AxM+wPa10zc5dZDEUazfpfMIvn000LJCrvvbV+rASahqJ3K5A==" saltValue="wGobG1AEjxyb/psR2C7QI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00FF"/>
  </sheetPr>
  <dimension ref="A1:Q44"/>
  <sheetViews>
    <sheetView showGridLines="0" view="pageBreakPreview" zoomScaleNormal="115" zoomScaleSheetLayoutView="100" workbookViewId="0">
      <selection activeCell="D18" sqref="D18:E1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535</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66"/>
      <c r="O17" s="568"/>
    </row>
    <row r="18" spans="1:16" x14ac:dyDescent="0.25">
      <c r="B18" s="70" t="b">
        <v>1</v>
      </c>
      <c r="C18" t="s">
        <v>473</v>
      </c>
      <c r="D18" s="566" t="s">
        <v>538</v>
      </c>
      <c r="E18" s="568"/>
      <c r="G18" s="70"/>
      <c r="L18" s="70"/>
      <c r="N18" s="476"/>
      <c r="O18" s="476"/>
    </row>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529</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540</v>
      </c>
      <c r="N36" s="568"/>
    </row>
    <row r="37" spans="1:16"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530</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OnXKm9CYhHuUE9GvN74r4JYEIE74FCxoxrd23QjpsB6Yj4V3zvVhPYS3MFbvk1OMCfFrN0ayDS/jRTJvqo/bog==" saltValue="UiDyHUq3OMPN2QGtPq8NG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00FF"/>
  </sheetPr>
  <dimension ref="A1:Q44"/>
  <sheetViews>
    <sheetView showGridLines="0" view="pageBreakPreview" zoomScaleNormal="115" zoomScaleSheetLayoutView="100" workbookViewId="0">
      <selection activeCell="M40" sqref="M40:O40"/>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536</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529</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540</v>
      </c>
      <c r="N36" s="568"/>
    </row>
    <row r="37" spans="1:16"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533</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BsyTdTPilYetF73ooRee4WAZySHgjVFAFMYfpPu0h104yQK4H5NrgBFPDdMNNkhxkV2va7cdjNsyJalRogZNVw==" saltValue="nZc5xzGW5YvSORUGw64Hd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00FF"/>
  </sheetPr>
  <dimension ref="A1:Q44"/>
  <sheetViews>
    <sheetView showGridLines="0" view="pageBreakPreview" zoomScaleNormal="115" zoomScaleSheetLayoutView="100" workbookViewId="0">
      <selection activeCell="J39" sqref="J39"/>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544</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66"/>
      <c r="O17" s="568"/>
    </row>
    <row r="18" spans="1:16" x14ac:dyDescent="0.25">
      <c r="B18" s="70" t="b">
        <v>1</v>
      </c>
      <c r="C18" t="s">
        <v>473</v>
      </c>
      <c r="D18" s="566" t="s">
        <v>538</v>
      </c>
      <c r="E18" s="568"/>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1</v>
      </c>
      <c r="C25" t="s">
        <v>459</v>
      </c>
      <c r="G25" s="70" t="b">
        <v>1</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529</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540</v>
      </c>
      <c r="N36" s="568"/>
    </row>
    <row r="37" spans="1:16"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533</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Ly6ljD6wD6hP9CF4wEo09nVcB0+6rN9FLnkgJTDOcVzE4JBS9Mc8REvYoMmhYUn9rVBY840aiiERYkt+seDmLQ==" saltValue="m14Wr6K4VdtnUNWWBlp8K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00FF"/>
  </sheetPr>
  <dimension ref="A1:Q44"/>
  <sheetViews>
    <sheetView showGridLines="0" view="pageBreakPreview" zoomScaleNormal="115" zoomScaleSheetLayoutView="100" workbookViewId="0">
      <selection activeCell="J39" sqref="J39"/>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ht="15" customHeight="1" x14ac:dyDescent="0.25">
      <c r="A6" s="1" t="s">
        <v>472</v>
      </c>
      <c r="E6" s="566" t="s">
        <v>537</v>
      </c>
      <c r="F6" s="567"/>
      <c r="G6" s="567"/>
      <c r="H6" s="567"/>
      <c r="I6" s="567"/>
      <c r="J6" s="568"/>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x14ac:dyDescent="0.25">
      <c r="A24" s="1" t="s">
        <v>461</v>
      </c>
    </row>
    <row r="25" spans="1:16" x14ac:dyDescent="0.25">
      <c r="B25" s="70" t="b">
        <v>1</v>
      </c>
      <c r="C25" t="s">
        <v>459</v>
      </c>
      <c r="G25" s="70" t="b">
        <v>1</v>
      </c>
      <c r="H25" t="s">
        <v>458</v>
      </c>
      <c r="L25" s="70" t="b">
        <v>0</v>
      </c>
      <c r="M25" t="s">
        <v>473</v>
      </c>
      <c r="N25" s="566"/>
      <c r="O25" s="568"/>
    </row>
    <row r="26" spans="1:16"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1</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630"/>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540</v>
      </c>
      <c r="N36" s="568"/>
    </row>
    <row r="37" spans="1:16" x14ac:dyDescent="0.25">
      <c r="I37" s="51"/>
      <c r="K37" s="449" t="s">
        <v>443</v>
      </c>
      <c r="L37" s="51"/>
      <c r="M37" s="566" t="s">
        <v>541</v>
      </c>
      <c r="N37" s="568"/>
    </row>
    <row r="38" spans="1:16" x14ac:dyDescent="0.25">
      <c r="I38" s="51"/>
      <c r="K38" s="51"/>
      <c r="L38" s="51"/>
      <c r="M38" s="51"/>
    </row>
    <row r="39" spans="1:16" x14ac:dyDescent="0.25">
      <c r="A39" s="1" t="s">
        <v>442</v>
      </c>
      <c r="N39" s="51"/>
    </row>
    <row r="40" spans="1:16" x14ac:dyDescent="0.25">
      <c r="B40" s="70" t="b">
        <v>1</v>
      </c>
      <c r="C40" t="s">
        <v>441</v>
      </c>
      <c r="G40" s="70" t="b">
        <v>0</v>
      </c>
      <c r="H40" t="s">
        <v>440</v>
      </c>
      <c r="K40" s="449" t="str">
        <f>IF(G40=TRUE,"Name of Outside Firm:","")</f>
        <v/>
      </c>
      <c r="M40" s="566"/>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DyiVRphc9RB4ihk9/H3Tcz64TPFxliJxS5JbTYGIk9A9z4uY87ga/5+kzPYdz5lbPxojYcOlEPV/bq/qmUpTsw==" saltValue="5AQLLoevuYLbnfWUxG/xPQ==" spinCount="100000" sheet="1" objects="1" scenarios="1" formatColumns="0" formatRows="0" sort="0"/>
  <mergeCells count="12">
    <mergeCell ref="E6:J6"/>
    <mergeCell ref="I31:K31"/>
    <mergeCell ref="M36:N36"/>
    <mergeCell ref="M37:N37"/>
    <mergeCell ref="M40:O40"/>
    <mergeCell ref="I13:K13"/>
    <mergeCell ref="N17:O17"/>
    <mergeCell ref="D18:E18"/>
    <mergeCell ref="N25:O25"/>
    <mergeCell ref="M30:P30"/>
    <mergeCell ref="H34:J34"/>
    <mergeCell ref="C35:E35"/>
  </mergeCells>
  <conditionalFormatting sqref="M40:O40">
    <cfRule type="expression" dxfId="3" priority="1">
      <formula>NOT(G40)</formula>
    </cfRule>
  </conditionalFormatting>
  <pageMargins left="0.7" right="0.7" top="0.75" bottom="0.75" header="0.3" footer="0.05"/>
  <pageSetup scale="71" orientation="portrait" horizontalDpi="90" verticalDpi="90" r:id="rId1"/>
  <headerFooter>
    <oddFooter xml:space="preserve">&amp;L1/11/2022 Edition
&amp;CPortions of the material contained in this document are protected by copyright owned by the State Farm Mutual Automobile Insurance Company, 2022&amp;R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00FF"/>
  </sheetPr>
  <dimension ref="A1:Q44"/>
  <sheetViews>
    <sheetView showGridLines="0" view="pageBreakPreview" zoomScaleNormal="115" zoomScaleSheetLayoutView="100" workbookViewId="0">
      <selection activeCell="I45" sqref="I45"/>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630" t="s">
        <v>542</v>
      </c>
      <c r="F6" s="567"/>
      <c r="G6" s="567"/>
      <c r="H6" s="567"/>
      <c r="I6" s="567"/>
      <c r="J6" s="568"/>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1</v>
      </c>
      <c r="C12" t="s">
        <v>467</v>
      </c>
      <c r="G12" s="70" t="b">
        <v>0</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630" t="s">
        <v>543</v>
      </c>
      <c r="J31" s="567"/>
      <c r="K31" s="568"/>
    </row>
    <row r="33" spans="1:16" x14ac:dyDescent="0.25">
      <c r="A33" s="1" t="s">
        <v>448</v>
      </c>
    </row>
    <row r="34" spans="1:16" x14ac:dyDescent="0.25">
      <c r="B34" s="70" t="b">
        <v>0</v>
      </c>
      <c r="C34" t="s">
        <v>447</v>
      </c>
      <c r="G34" s="70" t="b">
        <v>0</v>
      </c>
      <c r="H34" s="629" t="s">
        <v>446</v>
      </c>
      <c r="I34" s="629"/>
      <c r="J34" s="629"/>
      <c r="L34" s="70" t="b">
        <v>1</v>
      </c>
      <c r="M34" s="50" t="s">
        <v>445</v>
      </c>
      <c r="N34" s="50"/>
      <c r="O34" s="50"/>
      <c r="P34" s="50"/>
    </row>
    <row r="35" spans="1:16" x14ac:dyDescent="0.25">
      <c r="B35" s="70" t="b">
        <v>0</v>
      </c>
      <c r="C35" s="629" t="s">
        <v>488</v>
      </c>
      <c r="D35" s="629"/>
      <c r="E35" s="629"/>
      <c r="G35" s="70" t="b">
        <v>0</v>
      </c>
      <c r="L35" s="70"/>
      <c r="M35" s="50"/>
      <c r="N35" s="50"/>
      <c r="O35" s="50"/>
      <c r="P35" s="50"/>
    </row>
    <row r="36" spans="1:16" x14ac:dyDescent="0.25">
      <c r="I36" s="51"/>
      <c r="K36" s="449" t="s">
        <v>444</v>
      </c>
      <c r="L36" s="51"/>
      <c r="M36" s="566" t="s">
        <v>531</v>
      </c>
      <c r="N36" s="568"/>
    </row>
    <row r="37" spans="1:16" x14ac:dyDescent="0.25">
      <c r="I37" s="51"/>
      <c r="K37" s="449" t="s">
        <v>443</v>
      </c>
      <c r="L37" s="51"/>
      <c r="M37" s="566" t="s">
        <v>531</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530</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531</v>
      </c>
    </row>
  </sheetData>
  <sheetProtection algorithmName="SHA-512" hashValue="62ez7hYD0bQZfL2AU/uB2MntNcmW9U81JSsg+ioIH92l+saOLQV/ElcK32x2ACcAvi7m4lYI/VFazVi+gYiQEg==" saltValue="TVjTcDib8HpPjIXM8kljj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05"/>
  <pageSetup scale="71" orientation="portrait" horizontalDpi="90" verticalDpi="90" r:id="rId1"/>
  <headerFooter>
    <oddFooter xml:space="preserve">&amp;L1/11/2022 Edition
&amp;CPortions of the material contained in this document are protected by copyright owned by the State Farm Mutual Automobile Insurance Company, 2022&amp;R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c r="F6" s="567"/>
      <c r="G6" s="567"/>
      <c r="H6" s="567"/>
      <c r="I6" s="567"/>
      <c r="J6" s="568"/>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66"/>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66"/>
      <c r="N36" s="568"/>
    </row>
    <row r="37" spans="1:16" hidden="1" x14ac:dyDescent="0.25">
      <c r="I37" s="51"/>
      <c r="K37" s="449" t="s">
        <v>443</v>
      </c>
      <c r="L37" s="51"/>
      <c r="M37" s="566"/>
      <c r="N37" s="568"/>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66"/>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xlMenavDeonGsA9LjXAu5IjhnQZ1NWeFLglSbQZ41WtPd/UVAKJEZE99yCcLeys3nQxooGQjpPHZqQiCAA58xA==" saltValue="RqGL6yxT5uGCK9YGXrUWZ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c r="F6" s="567"/>
      <c r="G6" s="567"/>
      <c r="H6" s="567"/>
      <c r="I6" s="567"/>
      <c r="J6" s="568"/>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66"/>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66"/>
      <c r="N36" s="568"/>
    </row>
    <row r="37" spans="1:16" hidden="1" x14ac:dyDescent="0.25">
      <c r="I37" s="51"/>
      <c r="K37" s="449" t="s">
        <v>443</v>
      </c>
      <c r="L37" s="51"/>
      <c r="M37" s="566"/>
      <c r="N37" s="568"/>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66"/>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8aYPQb2CqYal+a9B4Yjz8A+mvqSWyE0F8+fASp9VuVujRqlUcGnRbnTpLgy0YrxonKUyuKBIU3aXLVmGM3notg==" saltValue="0Ws9/3XSYEe462JCQSx39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118</vt:i4>
      </vt:variant>
    </vt:vector>
  </HeadingPairs>
  <TitlesOfParts>
    <vt:vector size="138"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2022-02-07T20:11:17Z</cp:lastPrinted>
  <dcterms:created xsi:type="dcterms:W3CDTF">2014-04-24T17:59:28Z</dcterms:created>
  <dcterms:modified xsi:type="dcterms:W3CDTF">2022-02-07T20:44:55Z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2022-01-26T13:10:27Z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3bf6e57e-c8b2-49f5-ab19-be8850023304</vt:lpwstr>
  </property>
  <property fmtid="{D5CDD505-2E9C-101B-9397-08002B2CF9AE}" pid="8" name="MSIP_Label_261ecbe3-7ba9-4124-b9d7-ffd820687beb_ContentBits">
    <vt:lpwstr>0</vt:lpwstr>
  </property>
</Properties>
</file>