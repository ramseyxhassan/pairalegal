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7.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1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1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drawings/drawing12.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1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drawings/drawing14.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15.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16.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drawings/drawing17.xml" ContentType="application/vnd.openxmlformats-officedocument.drawing+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8.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drawings/drawing19.xml" ContentType="application/vnd.openxmlformats-officedocument.drawing+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drawings/drawing20.xml" ContentType="application/vnd.openxmlformats-officedocument.drawing+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drawings/drawing21.xml" ContentType="application/vnd.openxmlformats-officedocument.drawing+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drawings/drawing22.xml" ContentType="application/vnd.openxmlformats-officedocument.drawing+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drawings/drawing23.xml" ContentType="application/vnd.openxmlformats-officedocument.drawing+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drawings/drawing24.xml" ContentType="application/vnd.openxmlformats-officedocument.drawing+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4\HO RDP 4-1 UG\RDP Filing\"/>
    </mc:Choice>
  </mc:AlternateContent>
  <xr:revisionPtr revIDLastSave="0" documentId="13_ncr:1_{1321BEA8-F3F3-4A2E-B734-67E02266EE36}" xr6:coauthVersionLast="47" xr6:coauthVersionMax="47" xr10:uidLastSave="{00000000-0000-0000-0000-000000000000}"/>
  <bookViews>
    <workbookView xWindow="28680" yWindow="-120" windowWidth="29040" windowHeight="15840" tabRatio="87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state="hidden" r:id="rId7"/>
    <sheet name="5.Reconciliation" sheetId="15" state="hidden" r:id="rId8"/>
    <sheet name="6.Program Detail" sheetId="31" state="hidden" r:id="rId9"/>
    <sheet name="7.Statutory Data" sheetId="16" state="hidden" r:id="rId10"/>
    <sheet name="8.Miscellaneous Fees" sheetId="17" state="hidden" r:id="rId11"/>
    <sheet name="9.Forms" sheetId="21" state="hidden" r:id="rId12"/>
    <sheet name="10.Rules" sheetId="23" r:id="rId13"/>
    <sheet name="11.Variance Request" sheetId="18" state="very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5" r:id="rId24"/>
    <sheet name="12.11Model Disclosure" sheetId="56" r:id="rId25"/>
    <sheet name="12.12Model Disclosure" sheetId="57" r:id="rId26"/>
    <sheet name="12.13Model Disclosure" sheetId="58" r:id="rId27"/>
    <sheet name="12.14Model Disclosure" sheetId="53" r:id="rId28"/>
    <sheet name="12.15Model Disclosure" sheetId="54" r:id="rId29"/>
  </sheets>
  <functionGroups builtInGroupCount="19"/>
  <externalReferences>
    <externalReference r:id="rId30"/>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27">'12.14Model Disclosure'!$B$9</definedName>
    <definedName name="Model_Catastrophe" localSheetId="28">'12.15Model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27">'12.14Model Disclosure'!$G$9</definedName>
    <definedName name="Model_NonCatastrophe" localSheetId="28">'12.15Model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25">'12.12Model Disclosure'!$G$13</definedName>
    <definedName name="Model_Other" localSheetId="26">'12.13Model Disclosure'!$G$13</definedName>
    <definedName name="Model_Other" localSheetId="27">'12.14Model Disclosure'!$G$13</definedName>
    <definedName name="Model_Other" localSheetId="28">'12.15Model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27">'12.14Model Disclosure'!$G$12</definedName>
    <definedName name="Model_OverallRateLevel" localSheetId="28">'12.15Model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27">'12.14Model Disclosure'!$B$13</definedName>
    <definedName name="Model_RateSegmentation" localSheetId="28">'12.15Model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25">'12.12Model Disclosure'!$L$38</definedName>
    <definedName name="Model_Refresh" localSheetId="26">'12.13Model Disclosure'!$L$38</definedName>
    <definedName name="Model_Refresh" localSheetId="27">'12.14Model Disclosure'!$L$38</definedName>
    <definedName name="Model_Refresh" localSheetId="28">'12.15Model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25">'12.12Model Disclosure'!$G$38</definedName>
    <definedName name="Model_Revision" localSheetId="26">'12.13Model Disclosure'!$G$38</definedName>
    <definedName name="Model_Revision" localSheetId="27">'12.14Model Disclosure'!$G$38</definedName>
    <definedName name="Model_Revision" localSheetId="28">'12.15Model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25">'12.12Model Disclosure'!$B$39</definedName>
    <definedName name="Model_RevisionNo" localSheetId="26">'12.13Model Disclosure'!$B$39</definedName>
    <definedName name="Model_RevisionNo" localSheetId="27">'12.14Model Disclosure'!$B$39</definedName>
    <definedName name="Model_RevisionNo" localSheetId="28">'12.15Model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25">'12.12Model Disclosure'!$A$1:$P$49</definedName>
    <definedName name="_xlnm.Print_Area" localSheetId="26">'12.13Model Disclosure'!$A$1:$P$49</definedName>
    <definedName name="_xlnm.Print_Area" localSheetId="27">'12.14Model Disclosure'!$A$1:$P$49</definedName>
    <definedName name="_xlnm.Print_Area" localSheetId="28">'12.15Model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25">'12.12Model Disclosure'!$B$12</definedName>
    <definedName name="UW_Model" localSheetId="26">'12.13Model Disclosure'!$B$12</definedName>
    <definedName name="UW_Model" localSheetId="27">'12.14Model Disclosure'!$B$12</definedName>
    <definedName name="UW_Model" localSheetId="28">'12.15Model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58" l="1"/>
  <c r="K44" i="58"/>
  <c r="P1" i="58"/>
  <c r="I47" i="57"/>
  <c r="K44" i="57"/>
  <c r="P1" i="57"/>
  <c r="I47" i="56"/>
  <c r="K44" i="56"/>
  <c r="P1" i="56"/>
  <c r="I47" i="55"/>
  <c r="K44" i="55"/>
  <c r="P1" i="55"/>
  <c r="I47" i="54"/>
  <c r="K44" i="54"/>
  <c r="P1" i="54"/>
  <c r="B33" i="1" l="1"/>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D22" i="6"/>
  <c r="F21" i="6"/>
  <c r="F20" i="6"/>
  <c r="F19" i="6"/>
  <c r="F18" i="6"/>
  <c r="F17" i="6"/>
  <c r="F16" i="6"/>
  <c r="F15" i="6"/>
  <c r="F14" i="6"/>
  <c r="F13" i="6"/>
  <c r="F12" i="6"/>
  <c r="I1" i="2"/>
  <c r="B20" i="1"/>
  <c r="B11" i="30" s="1"/>
  <c r="P2" i="57" l="1"/>
  <c r="P2" i="58"/>
  <c r="P2" i="55"/>
  <c r="P2" i="56"/>
  <c r="P2" i="53"/>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<sst xmlns="http://schemas.openxmlformats.org/spreadsheetml/2006/main" count="2026" uniqueCount="568">
  <si>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</si>
  <si>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</si>
  <si>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</si>
  <si>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</si>
  <si>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</si>
  <si>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</si>
  <si>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</si>
  <si>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</si>
  <si>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</si>
  <si>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</si>
  <si>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</si>
  <si>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</si>
  <si>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</si>
  <si>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</si>
  <si>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</si>
  <si>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</si>
  <si>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</si>
  <si>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</si>
  <si>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</si>
  <si>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</si>
  <si>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</si>
  <si>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</si>
  <si>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</si>
  <si>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</si>
  <si>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</si>
  <si>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</si>
  <si>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</si>
  <si>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</si>
  <si>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</si>
  <si>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</si>
  <si>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</si>
  <si>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</si>
  <si>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</si>
  <si>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</si>
  <si>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</si>
  <si>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</si>
  <si>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</si>
  <si>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</si>
  <si>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</si>
  <si>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</si>
  <si>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</si>
  <si>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</si>
  <si>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</si>
  <si>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</si>
  <si>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</si>
  <si>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</si>
  <si>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</si>
  <si>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</si>
  <si>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</si>
  <si>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</si>
  <si>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</si>
  <si>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</si>
  <si>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</si>
  <si>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</si>
  <si>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</si>
  <si>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</si>
  <si>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</si>
  <si>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</si>
  <si>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</si>
  <si>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</si>
  <si>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</si>
  <si>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</si>
  <si>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</si>
  <si>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</si>
  <si>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</si>
  <si>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</si>
  <si>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</si>
  <si>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</si>
  <si>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</si>
  <si>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</si>
  <si>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</si>
  <si>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</si>
  <si>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</si>
  <si>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</si>
  <si>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</si>
  <si>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</si>
  <si>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</si>
  <si>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</si>
  <si>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</si>
  <si>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</si>
  <si>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</si>
  <si>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</si>
  <si>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</si>
  <si>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</si>
  <si>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</si>
  <si>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</si>
  <si>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</si>
  <si>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</si>
  <si>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</si>
  <si>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</si>
  <si>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</si>
  <si>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</si>
  <si>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</si>
  <si>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</si>
  <si>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</si>
  <si>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</si>
  <si>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</si>
  <si>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</si>
  <si>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</si>
  <si>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</si>
  <si>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</si>
  <si>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</si>
  <si>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</si>
  <si>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</si>
  <si>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</si>
  <si>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</si>
  <si>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</si>
  <si>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</si>
  <si>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</si>
  <si>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</si>
  <si>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</si>
  <si>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</si>
  <si>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</si>
  <si>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</si>
  <si>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</si>
  <si>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</si>
  <si>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</si>
  <si>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</si>
  <si>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</si>
  <si>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</si>
  <si>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</si>
  <si>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</si>
  <si>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</si>
  <si>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</si>
  <si>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</si>
  <si>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</si>
  <si>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</si>
  <si>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</si>
  <si>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</si>
  <si>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</si>
  <si>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</si>
  <si>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</si>
  <si>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</si>
  <si>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</si>
  <si>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</si>
  <si>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</si>
  <si>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</si>
  <si>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</si>
  <si>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</si>
  <si>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</si>
  <si>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</si>
  <si>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</si>
  <si>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</si>
  <si>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</si>
  <si>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</si>
  <si>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</si>
  <si>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</si>
  <si>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</si>
  <si>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</si>
  <si>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</si>
  <si>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</si>
  <si>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</si>
  <si>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</si>
  <si>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</si>
  <si>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</si>
  <si>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</si>
  <si>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</si>
  <si>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</si>
  <si>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</si>
  <si>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</si>
  <si>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</si>
  <si>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</si>
  <si>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</si>
  <si>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</si>
  <si>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</si>
  <si>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</si>
  <si>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</si>
  <si>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</si>
  <si>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</si>
  <si>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</si>
  <si>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</si>
  <si>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</si>
  <si>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</si>
  <si>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</si>
  <si>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</si>
  <si>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</si>
  <si>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</si>
  <si>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</si>
  <si>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</si>
  <si>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</si>
  <si>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</si>
  <si>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</si>
  <si>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</si>
  <si>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</si>
  <si>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</si>
  <si>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</si>
  <si>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</si>
  <si>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</si>
  <si>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</si>
  <si>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</si>
  <si>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</si>
  <si>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</si>
  <si>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</si>
  <si>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</si>
  <si>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</si>
  <si>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</si>
  <si>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</si>
  <si>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</si>
  <si>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</si>
  <si>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</si>
  <si>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</si>
  <si>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</si>
  <si>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</si>
  <si>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</si>
  <si>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</si>
  <si>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</si>
  <si>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</si>
  <si>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</si>
  <si>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</si>
  <si>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</si>
  <si>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</si>
  <si>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</si>
  <si>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</si>
  <si>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</si>
  <si>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</si>
  <si>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</si>
  <si>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</si>
  <si>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</si>
  <si>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</si>
  <si>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</si>
  <si>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</si>
  <si>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</si>
  <si>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</si>
  <si>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</si>
  <si>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</si>
  <si>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</si>
  <si>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</si>
  <si>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</si>
  <si>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</si>
  <si>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</si>
  <si>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</si>
  <si>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</si>
  <si>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</si>
  <si>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</si>
  <si>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</si>
  <si>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</si>
  <si>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</si>
  <si>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</si>
  <si>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</si>
  <si>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</si>
  <si>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</si>
  <si>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</si>
  <si>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</si>
  <si>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</si>
  <si>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</si>
  <si>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</si>
  <si>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</si>
  <si>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</si>
  <si>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</si>
  <si>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</si>
  <si>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</si>
  <si>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</si>
  <si>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</si>
  <si>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</si>
  <si>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</si>
  <si>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</si>
  <si>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</si>
  <si>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</si>
  <si>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</si>
  <si>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</si>
  <si>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</si>
  <si>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</si>
  <si>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</si>
  <si>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</si>
  <si>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</si>
  <si>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</si>
  <si>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</si>
  <si>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</si>
  <si>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</si>
  <si>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</si>
  <si>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</si>
  <si>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</si>
  <si>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</si>
  <si>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</si>
  <si>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</si>
  <si>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</si>
  <si>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</si>
  <si>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</si>
  <si>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</si>
  <si>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</si>
  <si>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</si>
  <si>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</si>
  <si>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</si>
  <si>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</si>
  <si>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</si>
  <si>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</si>
  <si>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</si>
  <si>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</si>
  <si>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</si>
  <si>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</si>
  <si>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</si>
  <si>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</si>
  <si>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</si>
  <si>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</si>
  <si>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</si>
  <si>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</si>
  <si>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</si>
  <si>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</si>
  <si>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</si>
  <si>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</si>
  <si>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</si>
  <si>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</si>
  <si>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</si>
  <si>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</si>
  <si>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</si>
  <si>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</si>
  <si>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</si>
  <si>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</si>
  <si>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</si>
  <si>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</si>
  <si>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</si>
  <si>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</si>
  <si>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</si>
  <si>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</si>
  <si>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</si>
  <si>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</si>
  <si>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</si>
  <si>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</si>
  <si>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</si>
  <si>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</si>
  <si>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</si>
  <si>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</si>
  <si>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</si>
  <si>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</si>
  <si>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</si>
  <si>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</si>
  <si>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</si>
  <si>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</si>
  <si>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</si>
  <si>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</si>
  <si>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</si>
  <si>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</si>
  <si>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</si>
  <si>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</si>
  <si>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</si>
  <si>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</si>
  <si>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</si>
  <si>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</si>
  <si>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</si>
  <si>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</si>
  <si>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</si>
  <si>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</si>
  <si>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</si>
  <si>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</si>
  <si>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</si>
  <si>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</si>
  <si>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</si>
  <si>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</si>
  <si>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</si>
  <si>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</si>
  <si>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</si>
  <si>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</si>
  <si>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</si>
  <si>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</si>
  <si>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</si>
  <si>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</si>
  <si>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</si>
  <si>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</si>
  <si>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</si>
  <si>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</si>
  <si>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</si>
  <si>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</si>
  <si>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</si>
  <si>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</si>
  <si>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</si>
  <si>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</si>
  <si>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</si>
  <si>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</si>
  <si>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</si>
  <si>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</si>
  <si>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</si>
  <si>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</si>
  <si>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</si>
  <si>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</si>
  <si>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</si>
  <si>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</si>
  <si>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</si>
  <si>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</si>
  <si>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</si>
  <si>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</si>
  <si>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</si>
  <si>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</si>
  <si>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</si>
  <si>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</si>
  <si>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</si>
  <si>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</si>
  <si>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</si>
  <si>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</si>
  <si>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</si>
  <si>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</si>
  <si>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</si>
  <si>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</si>
  <si>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</si>
  <si>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</si>
  <si>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</si>
  <si>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</si>
  <si>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</si>
  <si>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</si>
  <si>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</si>
  <si>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</si>
  <si>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</si>
  <si>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</si>
  <si>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</si>
  <si>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</si>
  <si>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</si>
  <si>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</si>
  <si>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</si>
  <si>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</si>
  <si>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</si>
  <si>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</si>
  <si>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</si>
  <si>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</si>
  <si>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</si>
  <si>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</si>
  <si>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</si>
  <si>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</si>
  <si>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</si>
  <si>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</si>
  <si>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</si>
  <si>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</si>
  <si>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</si>
  <si>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</si>
  <si>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</si>
  <si>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</si>
  <si>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</si>
  <si>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</si>
  <si>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</si>
  <si>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</si>
  <si>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</si>
  <si>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</si>
  <si>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</si>
  <si>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</si>
  <si>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</si>
  <si>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</si>
  <si>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</si>
  <si>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</si>
  <si>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</si>
  <si>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</si>
  <si>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</si>
  <si>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</si>
  <si>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</si>
  <si>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</si>
  <si>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</si>
  <si>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</si>
  <si>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</si>
  <si>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</si>
  <si>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</si>
  <si>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</si>
  <si>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</si>
  <si>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</si>
  <si>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</si>
  <si>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</si>
  <si>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</si>
  <si>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</si>
  <si>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</si>
  <si>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</si>
  <si>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</si>
  <si>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</si>
  <si>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</si>
  <si>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</si>
  <si>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</si>
  <si>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</si>
  <si>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</si>
  <si>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</si>
  <si>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</si>
  <si>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</si>
  <si>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</si>
  <si>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</si>
  <si>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</si>
  <si>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</si>
  <si>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</si>
  <si>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</si>
  <si>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</si>
  <si>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</si>
  <si>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</si>
  <si>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</si>
  <si>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</si>
  <si>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</si>
  <si>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</si>
  <si>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</si>
  <si>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</si>
  <si>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</si>
  <si>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</si>
  <si>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</si>
  <si>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</si>
  <si>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</si>
  <si>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</si>
  <si>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</si>
  <si>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</si>
  <si>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</si>
  <si>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</si>
  <si>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</si>
  <si>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</si>
  <si>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</si>
  <si>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</si>
  <si>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</si>
  <si>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</si>
  <si>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</si>
  <si>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</si>
  <si>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</si>
  <si>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</si>
  <si>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</si>
  <si>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</si>
  <si>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</si>
  <si>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</si>
  <si>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</si>
  <si>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</si>
  <si>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</si>
  <si>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</si>
  <si>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</si>
  <si>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</si>
  <si>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</si>
  <si>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</si>
  <si>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</si>
  <si>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</si>
  <si>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</si>
  <si>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</si>
  <si>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</si>
  <si>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</si>
  <si>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</si>
  <si>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</si>
  <si>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</si>
  <si>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</si>
  <si>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</si>
  <si>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</si>
  <si>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</si>
  <si>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</si>
  <si>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None</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</si>
  <si>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</si>
  <si>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</si>
  <si>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</si>
  <si>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</si>
  <si>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</si>
  <si>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</si>
  <si>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</si>
  <si>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</si>
  <si>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</si>
  <si>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23-563</t>
  </si>
  <si>
    <t>SFMA-133566480</t>
  </si>
  <si>
    <t>RMS RiskLink 21.0</t>
  </si>
  <si>
    <t>Simulation of stochastic event set</t>
  </si>
  <si>
    <t>Risk Management Solutions, Inc</t>
  </si>
  <si>
    <t>N/A</t>
  </si>
  <si>
    <t>CoreLogic RQE v21.0</t>
  </si>
  <si>
    <t xml:space="preserve">CoreLogic, Inc. </t>
  </si>
  <si>
    <t>AIR Touchstone v9.0</t>
  </si>
  <si>
    <t>AIR Worldwide Corporation</t>
  </si>
  <si>
    <t>RMS RiskLink 17.0.1</t>
  </si>
  <si>
    <t>CoreLogic RQE v17.0</t>
  </si>
  <si>
    <t>AIR Touchstone v6.0</t>
  </si>
  <si>
    <t>CoreLogic RQE v19.2</t>
  </si>
  <si>
    <t>AIR Touchstone v8.0</t>
  </si>
  <si>
    <t>Impact Forecasting ELEMENTS v14</t>
  </si>
  <si>
    <t>AON Impact Forecasting</t>
  </si>
  <si>
    <t>GRID Fire Model</t>
  </si>
  <si>
    <t xml:space="preserve">Corelogic Brushfire     
</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</si>
  <si>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</si>
  <si>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</si>
  <si>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</si>
  <si>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RD-46963</t>
  </si>
  <si>
    <t>Rental Dwelling</t>
  </si>
  <si>
    <t>24-250</t>
  </si>
  <si>
    <t>CoreLogic RQE v23</t>
  </si>
  <si>
    <t>CoreLogic, Inc</t>
  </si>
  <si>
    <t>AIR Touchstone v10</t>
  </si>
  <si>
    <t>Impact Forecasting ELEMENTS v16</t>
  </si>
  <si>
    <t>RMS RiskLink 23</t>
  </si>
  <si>
    <t>iGs2rgOO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</si>
</sst>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0" fontId="58" fillId="0" borderId="0" xfId="0" applyFont="1" applyAlignment="1">
      <alignment horizontal="left" vertical="center" wrapText="1"/>
    </xf>
    <xf numFmtId="49" fontId="58" fillId="0" borderId="0" xfId="0" applyNumberFormat="1" applyFont="1" applyAlignment="1" applyProtection="1">
      <alignment horizontal="left" vertical="top" wrapText="1"/>
      <protection locked="0"/>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30">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fmlaLink="No_Fees"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fmlaLink="Change_Fees" lockText="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fmlaLink="$E$12"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checked="Checked"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Drop" dropLines="23" dropStyle="combo" dx="16" fmlaLink="$H$23" fmlaRange="References!$H$6:$H$28" sel="23" val="0"/>
</file>

<file path=xl/ctrlProps/ctrlProp101.xml><?xml version="1.0" encoding="utf-8"?>
<formControlPr xmlns="http://schemas.microsoft.com/office/spreadsheetml/2009/9/main" objectType="Drop" dropLines="23" dropStyle="combo" dx="16" fmlaLink="$H$26" fmlaRange="References!$H$6:$H$28" sel="23" val="0"/>
</file>

<file path=xl/ctrlProps/ctrlProp102.xml><?xml version="1.0" encoding="utf-8"?>
<formControlPr xmlns="http://schemas.microsoft.com/office/spreadsheetml/2009/9/main" objectType="Drop" dropLines="23" dropStyle="combo" dx="16" fmlaLink="$H$29" fmlaRange="References!$H$6:$H$28" sel="23" val="0"/>
</file>

<file path=xl/ctrlProps/ctrlProp103.xml><?xml version="1.0" encoding="utf-8"?>
<formControlPr xmlns="http://schemas.microsoft.com/office/spreadsheetml/2009/9/main" objectType="Drop" dropLines="23" dropStyle="combo" dx="16" fmlaLink="$H$16" fmlaRange="References!$H$6:$H$28" sel="23" val="0"/>
</file>

<file path=xl/ctrlProps/ctrlProp104.xml><?xml version="1.0" encoding="utf-8"?>
<formControlPr xmlns="http://schemas.microsoft.com/office/spreadsheetml/2009/9/main" objectType="Drop" dropLines="23" dropStyle="combo" dx="16" fmlaLink="$H$20" fmlaRange="References!$H$6:$H$28" sel="23" val="0"/>
</file>

<file path=xl/ctrlProps/ctrlProp105.xml><?xml version="1.0" encoding="utf-8"?>
<formControlPr xmlns="http://schemas.microsoft.com/office/spreadsheetml/2009/9/main" objectType="Drop" dropLines="23" dropStyle="combo" dx="16" fmlaLink="$H$32" fmlaRange="References!$H$6:$H$28" sel="23" val="0"/>
</file>

<file path=xl/ctrlProps/ctrlProp106.xml><?xml version="1.0" encoding="utf-8"?>
<formControlPr xmlns="http://schemas.microsoft.com/office/spreadsheetml/2009/9/main" objectType="Drop" dropLines="23" dropStyle="combo" dx="16" fmlaLink="$H$35" fmlaRange="References!$H$6:$H$28" sel="23" val="0"/>
</file>

<file path=xl/ctrlProps/ctrlProp107.xml><?xml version="1.0" encoding="utf-8"?>
<formControlPr xmlns="http://schemas.microsoft.com/office/spreadsheetml/2009/9/main" objectType="Drop" dropLines="23" dropStyle="combo" dx="16" fmlaLink="$H$38" fmlaRange="References!$H$6:$H$28" sel="23" val="0"/>
</file>

<file path=xl/ctrlProps/ctrlProp108.xml><?xml version="1.0" encoding="utf-8"?>
<formControlPr xmlns="http://schemas.microsoft.com/office/spreadsheetml/2009/9/main" objectType="Drop" dropLines="23" dropStyle="combo" dx="16" fmlaLink="$H$41" fmlaRange="References!$H$6:$H$28" sel="23" val="0"/>
</file>

<file path=xl/ctrlProps/ctrlProp109.xml><?xml version="1.0" encoding="utf-8"?>
<formControlPr xmlns="http://schemas.microsoft.com/office/spreadsheetml/2009/9/main" objectType="Drop" dropLines="23" dropStyle="combo" dx="16" fmlaLink="$H$44" fmlaRange="References!$H$6:$H$28" sel="23" val="0"/>
</file>

<file path=xl/ctrlProps/ctrlProp110.xml><?xml version="1.0" encoding="utf-8"?>
<formControlPr xmlns="http://schemas.microsoft.com/office/spreadsheetml/2009/9/main" objectType="CheckBox" checked="Checked" fmlaLink="B9" lockText="1" noThreeD="1"/>
</file>

<file path=xl/ctrlProps/ctrlProp111.xml><?xml version="1.0" encoding="utf-8"?>
<formControlPr xmlns="http://schemas.microsoft.com/office/spreadsheetml/2009/9/main" objectType="CheckBox" fmlaLink="G9" lockText="1" noThreeD="1"/>
</file>

<file path=xl/ctrlProps/ctrlProp112.xml><?xml version="1.0" encoding="utf-8"?>
<formControlPr xmlns="http://schemas.microsoft.com/office/spreadsheetml/2009/9/main" objectType="CheckBox" checked="Checked" fmlaLink="G12" lockText="1" noThreeD="1"/>
</file>

<file path=xl/ctrlProps/ctrlProp113.xml><?xml version="1.0" encoding="utf-8"?>
<formControlPr xmlns="http://schemas.microsoft.com/office/spreadsheetml/2009/9/main" objectType="CheckBox" fmlaLink="G13" lockText="1" noThreeD="1"/>
</file>

<file path=xl/ctrlProps/ctrlProp114.xml><?xml version="1.0" encoding="utf-8"?>
<formControlPr xmlns="http://schemas.microsoft.com/office/spreadsheetml/2009/9/main" objectType="CheckBox" fmlaLink="G16" lockText="1" noThreeD="1"/>
</file>

<file path=xl/ctrlProps/ctrlProp115.xml><?xml version="1.0" encoding="utf-8"?>
<formControlPr xmlns="http://schemas.microsoft.com/office/spreadsheetml/2009/9/main" objectType="CheckBox" fmlaLink="G17" lockText="1" noThreeD="1"/>
</file>

<file path=xl/ctrlProps/ctrlProp116.xml><?xml version="1.0" encoding="utf-8"?>
<formControlPr xmlns="http://schemas.microsoft.com/office/spreadsheetml/2009/9/main" objectType="CheckBox" fmlaLink="L16" lockText="1" noThreeD="1"/>
</file>

<file path=xl/ctrlProps/ctrlProp117.xml><?xml version="1.0" encoding="utf-8"?>
<formControlPr xmlns="http://schemas.microsoft.com/office/spreadsheetml/2009/9/main" objectType="CheckBox" fmlaLink="L17" lockText="1" noThreeD="1"/>
</file>

<file path=xl/ctrlProps/ctrlProp118.xml><?xml version="1.0" encoding="utf-8"?>
<formControlPr xmlns="http://schemas.microsoft.com/office/spreadsheetml/2009/9/main" objectType="CheckBox" fmlaLink="B16" lockText="1" noThreeD="1"/>
</file>

<file path=xl/ctrlProps/ctrlProp119.xml><?xml version="1.0" encoding="utf-8"?>
<formControlPr xmlns="http://schemas.microsoft.com/office/spreadsheetml/2009/9/main" objectType="CheckBox" fmlaLink="B17" lockText="1" noThreeD="1"/>
</file>

<file path=xl/ctrlProps/ctrlProp120.xml><?xml version="1.0" encoding="utf-8"?>
<formControlPr xmlns="http://schemas.microsoft.com/office/spreadsheetml/2009/9/main" objectType="CheckBox" fmlaLink="B12" lockText="1" noThreeD="1"/>
</file>

<file path=xl/ctrlProps/ctrlProp121.xml><?xml version="1.0" encoding="utf-8"?>
<formControlPr xmlns="http://schemas.microsoft.com/office/spreadsheetml/2009/9/main" objectType="CheckBox" fmlaLink="B13" lockText="1" noThreeD="1"/>
</file>

<file path=xl/ctrlProps/ctrlProp122.xml><?xml version="1.0" encoding="utf-8"?>
<formControlPr xmlns="http://schemas.microsoft.com/office/spreadsheetml/2009/9/main" objectType="CheckBox" fmlaLink="B21" lockText="1" noThreeD="1"/>
</file>

<file path=xl/ctrlProps/ctrlProp123.xml><?xml version="1.0" encoding="utf-8"?>
<formControlPr xmlns="http://schemas.microsoft.com/office/spreadsheetml/2009/9/main" objectType="CheckBox" fmlaLink="B25" lockText="1" noThreeD="1"/>
</file>

<file path=xl/ctrlProps/ctrlProp124.xml><?xml version="1.0" encoding="utf-8"?>
<formControlPr xmlns="http://schemas.microsoft.com/office/spreadsheetml/2009/9/main" objectType="CheckBox" fmlaLink="G25" lockText="1" noThreeD="1"/>
</file>

<file path=xl/ctrlProps/ctrlProp125.xml><?xml version="1.0" encoding="utf-8"?>
<formControlPr xmlns="http://schemas.microsoft.com/office/spreadsheetml/2009/9/main" objectType="CheckBox" fmlaLink="L25" lockText="1" noThreeD="1"/>
</file>

<file path=xl/ctrlProps/ctrlProp126.xml><?xml version="1.0" encoding="utf-8"?>
<formControlPr xmlns="http://schemas.microsoft.com/office/spreadsheetml/2009/9/main" objectType="CheckBox" checked="Checked" fmlaLink="G21" lockText="1" noThreeD="1"/>
</file>

<file path=xl/ctrlProps/ctrlProp127.xml><?xml version="1.0" encoding="utf-8"?>
<formControlPr xmlns="http://schemas.microsoft.com/office/spreadsheetml/2009/9/main" objectType="CheckBox" fmlaLink="B29"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checked="Checked" fmlaLink="L29" lockText="1" noThreeD="1"/>
</file>

<file path=xl/ctrlProps/ctrlProp130.xml><?xml version="1.0" encoding="utf-8"?>
<formControlPr xmlns="http://schemas.microsoft.com/office/spreadsheetml/2009/9/main" objectType="CheckBox" fmlaLink="B38" lockText="1" noThreeD="1"/>
</file>

<file path=xl/ctrlProps/ctrlProp131.xml><?xml version="1.0" encoding="utf-8"?>
<formControlPr xmlns="http://schemas.microsoft.com/office/spreadsheetml/2009/9/main" objectType="CheckBox" fmlaLink="G38" lockText="1" noThreeD="1"/>
</file>

<file path=xl/ctrlProps/ctrlProp132.xml><?xml version="1.0" encoding="utf-8"?>
<formControlPr xmlns="http://schemas.microsoft.com/office/spreadsheetml/2009/9/main" objectType="CheckBox" fmlaLink="L38" lockText="1" noThreeD="1"/>
</file>

<file path=xl/ctrlProps/ctrlProp133.xml><?xml version="1.0" encoding="utf-8"?>
<formControlPr xmlns="http://schemas.microsoft.com/office/spreadsheetml/2009/9/main" objectType="CheckBox" fmlaLink="B44" lockText="1" noThreeD="1"/>
</file>

<file path=xl/ctrlProps/ctrlProp134.xml><?xml version="1.0" encoding="utf-8"?>
<formControlPr xmlns="http://schemas.microsoft.com/office/spreadsheetml/2009/9/main" objectType="CheckBox" checked="Checked" fmlaLink="G44" lockText="1" noThreeD="1"/>
</file>

<file path=xl/ctrlProps/ctrlProp135.xml><?xml version="1.0" encoding="utf-8"?>
<formControlPr xmlns="http://schemas.microsoft.com/office/spreadsheetml/2009/9/main" objectType="CheckBox" checked="Checked" fmlaLink="B39" lockText="1" noThreeD="1"/>
</file>

<file path=xl/ctrlProps/ctrlProp136.xml><?xml version="1.0" encoding="utf-8"?>
<formControlPr xmlns="http://schemas.microsoft.com/office/spreadsheetml/2009/9/main" objectType="CheckBox" fmlaLink="B18" lockText="1" noThreeD="1"/>
</file>

<file path=xl/ctrlProps/ctrlProp137.xml><?xml version="1.0" encoding="utf-8"?>
<formControlPr xmlns="http://schemas.microsoft.com/office/spreadsheetml/2009/9/main" objectType="CheckBox" fmlaLink="B32" lockText="1" noThreeD="1"/>
</file>

<file path=xl/ctrlProps/ctrlProp138.xml><?xml version="1.0" encoding="utf-8"?>
<formControlPr xmlns="http://schemas.microsoft.com/office/spreadsheetml/2009/9/main" objectType="CheckBox" fmlaLink="B33" lockText="1" noThreeD="1"/>
</file>

<file path=xl/ctrlProps/ctrlProp139.xml><?xml version="1.0" encoding="utf-8"?>
<formControlPr xmlns="http://schemas.microsoft.com/office/spreadsheetml/2009/9/main" objectType="CheckBox" fmlaLink="B34" lockText="1" noThreeD="1"/>
</file>

<file path=xl/ctrlProps/ctrlProp140.xml><?xml version="1.0" encoding="utf-8"?>
<formControlPr xmlns="http://schemas.microsoft.com/office/spreadsheetml/2009/9/main" objectType="CheckBox" fmlaLink="G32" lockText="1" noThreeD="1"/>
</file>

<file path=xl/ctrlProps/ctrlProp141.xml><?xml version="1.0" encoding="utf-8"?>
<formControlPr xmlns="http://schemas.microsoft.com/office/spreadsheetml/2009/9/main" objectType="CheckBox" fmlaLink="G33" lockText="1" noThreeD="1"/>
</file>

<file path=xl/ctrlProps/ctrlProp142.xml><?xml version="1.0" encoding="utf-8"?>
<formControlPr xmlns="http://schemas.microsoft.com/office/spreadsheetml/2009/9/main" objectType="CheckBox" fmlaLink="G34" lockText="1" noThreeD="1"/>
</file>

<file path=xl/ctrlProps/ctrlProp143.xml><?xml version="1.0" encoding="utf-8"?>
<formControlPr xmlns="http://schemas.microsoft.com/office/spreadsheetml/2009/9/main" objectType="CheckBox" fmlaLink="L32" lockText="1" noThreeD="1"/>
</file>

<file path=xl/ctrlProps/ctrlProp144.xml><?xml version="1.0" encoding="utf-8"?>
<formControlPr xmlns="http://schemas.microsoft.com/office/spreadsheetml/2009/9/main" objectType="CheckBox" checked="Checked" fmlaLink="L33" lockText="1" noThreeD="1"/>
</file>

<file path=xl/ctrlProps/ctrlProp145.xml><?xml version="1.0" encoding="utf-8"?>
<formControlPr xmlns="http://schemas.microsoft.com/office/spreadsheetml/2009/9/main" objectType="CheckBox" checked="Checked" fmlaLink="B9" lockText="1" noThreeD="1"/>
</file>

<file path=xl/ctrlProps/ctrlProp146.xml><?xml version="1.0" encoding="utf-8"?>
<formControlPr xmlns="http://schemas.microsoft.com/office/spreadsheetml/2009/9/main" objectType="CheckBox" fmlaLink="G9" lockText="1" noThreeD="1"/>
</file>

<file path=xl/ctrlProps/ctrlProp147.xml><?xml version="1.0" encoding="utf-8"?>
<formControlPr xmlns="http://schemas.microsoft.com/office/spreadsheetml/2009/9/main" objectType="CheckBox" checked="Checked" fmlaLink="G12" lockText="1" noThreeD="1"/>
</file>

<file path=xl/ctrlProps/ctrlProp148.xml><?xml version="1.0" encoding="utf-8"?>
<formControlPr xmlns="http://schemas.microsoft.com/office/spreadsheetml/2009/9/main" objectType="CheckBox" fmlaLink="G13" lockText="1" noThreeD="1"/>
</file>

<file path=xl/ctrlProps/ctrlProp149.xml><?xml version="1.0" encoding="utf-8"?>
<formControlPr xmlns="http://schemas.microsoft.com/office/spreadsheetml/2009/9/main" objectType="CheckBox" fmlaLink="G16" lockText="1" noThreeD="1"/>
</file>

<file path=xl/ctrlProps/ctrlProp150.xml><?xml version="1.0" encoding="utf-8"?>
<formControlPr xmlns="http://schemas.microsoft.com/office/spreadsheetml/2009/9/main" objectType="CheckBox" fmlaLink="G17" lockText="1" noThreeD="1"/>
</file>

<file path=xl/ctrlProps/ctrlProp151.xml><?xml version="1.0" encoding="utf-8"?>
<formControlPr xmlns="http://schemas.microsoft.com/office/spreadsheetml/2009/9/main" objectType="CheckBox" fmlaLink="L16" lockText="1" noThreeD="1"/>
</file>

<file path=xl/ctrlProps/ctrlProp152.xml><?xml version="1.0" encoding="utf-8"?>
<formControlPr xmlns="http://schemas.microsoft.com/office/spreadsheetml/2009/9/main" objectType="CheckBox" fmlaLink="L17" lockText="1" noThreeD="1"/>
</file>

<file path=xl/ctrlProps/ctrlProp153.xml><?xml version="1.0" encoding="utf-8"?>
<formControlPr xmlns="http://schemas.microsoft.com/office/spreadsheetml/2009/9/main" objectType="CheckBox" fmlaLink="B16" lockText="1" noThreeD="1"/>
</file>

<file path=xl/ctrlProps/ctrlProp154.xml><?xml version="1.0" encoding="utf-8"?>
<formControlPr xmlns="http://schemas.microsoft.com/office/spreadsheetml/2009/9/main" objectType="CheckBox" fmlaLink="B17" lockText="1" noThreeD="1"/>
</file>

<file path=xl/ctrlProps/ctrlProp155.xml><?xml version="1.0" encoding="utf-8"?>
<formControlPr xmlns="http://schemas.microsoft.com/office/spreadsheetml/2009/9/main" objectType="CheckBox" fmlaLink="B12" lockText="1" noThreeD="1"/>
</file>

<file path=xl/ctrlProps/ctrlProp156.xml><?xml version="1.0" encoding="utf-8"?>
<formControlPr xmlns="http://schemas.microsoft.com/office/spreadsheetml/2009/9/main" objectType="CheckBox" fmlaLink="B13" lockText="1" noThreeD="1"/>
</file>

<file path=xl/ctrlProps/ctrlProp157.xml><?xml version="1.0" encoding="utf-8"?>
<formControlPr xmlns="http://schemas.microsoft.com/office/spreadsheetml/2009/9/main" objectType="CheckBox" fmlaLink="B21" lockText="1" noThreeD="1"/>
</file>

<file path=xl/ctrlProps/ctrlProp158.xml><?xml version="1.0" encoding="utf-8"?>
<formControlPr xmlns="http://schemas.microsoft.com/office/spreadsheetml/2009/9/main" objectType="CheckBox" fmlaLink="B25" lockText="1" noThreeD="1"/>
</file>

<file path=xl/ctrlProps/ctrlProp159.xml><?xml version="1.0" encoding="utf-8"?>
<formControlPr xmlns="http://schemas.microsoft.com/office/spreadsheetml/2009/9/main" objectType="CheckBox" fmlaLink="G25" lockText="1" noThreeD="1"/>
</file>

<file path=xl/ctrlProps/ctrlProp160.xml><?xml version="1.0" encoding="utf-8"?>
<formControlPr xmlns="http://schemas.microsoft.com/office/spreadsheetml/2009/9/main" objectType="CheckBox" fmlaLink="L25" lockText="1" noThreeD="1"/>
</file>

<file path=xl/ctrlProps/ctrlProp161.xml><?xml version="1.0" encoding="utf-8"?>
<formControlPr xmlns="http://schemas.microsoft.com/office/spreadsheetml/2009/9/main" objectType="CheckBox" checked="Checked" fmlaLink="G21" lockText="1" noThreeD="1"/>
</file>

<file path=xl/ctrlProps/ctrlProp162.xml><?xml version="1.0" encoding="utf-8"?>
<formControlPr xmlns="http://schemas.microsoft.com/office/spreadsheetml/2009/9/main" objectType="CheckBox" fmlaLink="B29" lockText="1" noThreeD="1"/>
</file>

<file path=xl/ctrlProps/ctrlProp163.xml><?xml version="1.0" encoding="utf-8"?>
<formControlPr xmlns="http://schemas.microsoft.com/office/spreadsheetml/2009/9/main" objectType="CheckBox" fmlaLink="G29" lockText="1" noThreeD="1"/>
</file>

<file path=xl/ctrlProps/ctrlProp164.xml><?xml version="1.0" encoding="utf-8"?>
<formControlPr xmlns="http://schemas.microsoft.com/office/spreadsheetml/2009/9/main" objectType="CheckBox" checked="Checked" fmlaLink="L29" lockText="1" noThreeD="1"/>
</file>

<file path=xl/ctrlProps/ctrlProp165.xml><?xml version="1.0" encoding="utf-8"?>
<formControlPr xmlns="http://schemas.microsoft.com/office/spreadsheetml/2009/9/main" objectType="CheckBox" fmlaLink="B38" lockText="1" noThreeD="1"/>
</file>

<file path=xl/ctrlProps/ctrlProp166.xml><?xml version="1.0" encoding="utf-8"?>
<formControlPr xmlns="http://schemas.microsoft.com/office/spreadsheetml/2009/9/main" objectType="CheckBox" fmlaLink="G38" lockText="1" noThreeD="1"/>
</file>

<file path=xl/ctrlProps/ctrlProp167.xml><?xml version="1.0" encoding="utf-8"?>
<formControlPr xmlns="http://schemas.microsoft.com/office/spreadsheetml/2009/9/main" objectType="CheckBox" fmlaLink="L38" lockText="1" noThreeD="1"/>
</file>

<file path=xl/ctrlProps/ctrlProp168.xml><?xml version="1.0" encoding="utf-8"?>
<formControlPr xmlns="http://schemas.microsoft.com/office/spreadsheetml/2009/9/main" objectType="CheckBox" fmlaLink="B44" lockText="1" noThreeD="1"/>
</file>

<file path=xl/ctrlProps/ctrlProp169.xml><?xml version="1.0" encoding="utf-8"?>
<formControlPr xmlns="http://schemas.microsoft.com/office/spreadsheetml/2009/9/main" objectType="CheckBox" checked="Checked" fmlaLink="G44" lockText="1" noThreeD="1"/>
</file>

<file path=xl/ctrlProps/ctrlProp170.xml><?xml version="1.0" encoding="utf-8"?>
<formControlPr xmlns="http://schemas.microsoft.com/office/spreadsheetml/2009/9/main" objectType="CheckBox" checked="Checked" fmlaLink="B39"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fmlaLink="B32" lockText="1" noThreeD="1"/>
</file>

<file path=xl/ctrlProps/ctrlProp173.xml><?xml version="1.0" encoding="utf-8"?>
<formControlPr xmlns="http://schemas.microsoft.com/office/spreadsheetml/2009/9/main" objectType="CheckBox" fmlaLink="B33" lockText="1" noThreeD="1"/>
</file>

<file path=xl/ctrlProps/ctrlProp174.xml><?xml version="1.0" encoding="utf-8"?>
<formControlPr xmlns="http://schemas.microsoft.com/office/spreadsheetml/2009/9/main" objectType="CheckBox" fmlaLink="B34" lockText="1" noThreeD="1"/>
</file>

<file path=xl/ctrlProps/ctrlProp175.xml><?xml version="1.0" encoding="utf-8"?>
<formControlPr xmlns="http://schemas.microsoft.com/office/spreadsheetml/2009/9/main" objectType="CheckBox" fmlaLink="G32" lockText="1" noThreeD="1"/>
</file>

<file path=xl/ctrlProps/ctrlProp176.xml><?xml version="1.0" encoding="utf-8"?>
<formControlPr xmlns="http://schemas.microsoft.com/office/spreadsheetml/2009/9/main" objectType="CheckBox" fmlaLink="G33" lockText="1" noThreeD="1"/>
</file>

<file path=xl/ctrlProps/ctrlProp177.xml><?xml version="1.0" encoding="utf-8"?>
<formControlPr xmlns="http://schemas.microsoft.com/office/spreadsheetml/2009/9/main" objectType="CheckBox" fmlaLink="G34" lockText="1" noThreeD="1"/>
</file>

<file path=xl/ctrlProps/ctrlProp178.xml><?xml version="1.0" encoding="utf-8"?>
<formControlPr xmlns="http://schemas.microsoft.com/office/spreadsheetml/2009/9/main" objectType="CheckBox" fmlaLink="L32" lockText="1" noThreeD="1"/>
</file>

<file path=xl/ctrlProps/ctrlProp179.xml><?xml version="1.0" encoding="utf-8"?>
<formControlPr xmlns="http://schemas.microsoft.com/office/spreadsheetml/2009/9/main" objectType="CheckBox" checked="Checked" fmlaLink="L33" lockText="1" noThreeD="1"/>
</file>

<file path=xl/ctrlProps/ctrlProp180.xml><?xml version="1.0" encoding="utf-8"?>
<formControlPr xmlns="http://schemas.microsoft.com/office/spreadsheetml/2009/9/main" objectType="CheckBox" checked="Checked" fmlaLink="B9" lockText="1" noThreeD="1"/>
</file>

<file path=xl/ctrlProps/ctrlProp181.xml><?xml version="1.0" encoding="utf-8"?>
<formControlPr xmlns="http://schemas.microsoft.com/office/spreadsheetml/2009/9/main" objectType="CheckBox" fmlaLink="G9" lockText="1" noThreeD="1"/>
</file>

<file path=xl/ctrlProps/ctrlProp182.xml><?xml version="1.0" encoding="utf-8"?>
<formControlPr xmlns="http://schemas.microsoft.com/office/spreadsheetml/2009/9/main" objectType="CheckBox" checked="Checked" fmlaLink="G12" lockText="1" noThreeD="1"/>
</file>

<file path=xl/ctrlProps/ctrlProp183.xml><?xml version="1.0" encoding="utf-8"?>
<formControlPr xmlns="http://schemas.microsoft.com/office/spreadsheetml/2009/9/main" objectType="CheckBox" fmlaLink="G13" lockText="1" noThreeD="1"/>
</file>

<file path=xl/ctrlProps/ctrlProp184.xml><?xml version="1.0" encoding="utf-8"?>
<formControlPr xmlns="http://schemas.microsoft.com/office/spreadsheetml/2009/9/main" objectType="CheckBox" fmlaLink="G16" lockText="1" noThreeD="1"/>
</file>

<file path=xl/ctrlProps/ctrlProp185.xml><?xml version="1.0" encoding="utf-8"?>
<formControlPr xmlns="http://schemas.microsoft.com/office/spreadsheetml/2009/9/main" objectType="CheckBox" fmlaLink="G17" lockText="1" noThreeD="1"/>
</file>

<file path=xl/ctrlProps/ctrlProp186.xml><?xml version="1.0" encoding="utf-8"?>
<formControlPr xmlns="http://schemas.microsoft.com/office/spreadsheetml/2009/9/main" objectType="CheckBox" fmlaLink="L16" lockText="1" noThreeD="1"/>
</file>

<file path=xl/ctrlProps/ctrlProp187.xml><?xml version="1.0" encoding="utf-8"?>
<formControlPr xmlns="http://schemas.microsoft.com/office/spreadsheetml/2009/9/main" objectType="CheckBox" fmlaLink="L17" lockText="1" noThreeD="1"/>
</file>

<file path=xl/ctrlProps/ctrlProp188.xml><?xml version="1.0" encoding="utf-8"?>
<formControlPr xmlns="http://schemas.microsoft.com/office/spreadsheetml/2009/9/main" objectType="CheckBox" fmlaLink="B16" lockText="1" noThreeD="1"/>
</file>

<file path=xl/ctrlProps/ctrlProp189.xml><?xml version="1.0" encoding="utf-8"?>
<formControlPr xmlns="http://schemas.microsoft.com/office/spreadsheetml/2009/9/main" objectType="CheckBox" fmlaLink="B17" lockText="1" noThreeD="1"/>
</file>

<file path=xl/ctrlProps/ctrlProp190.xml><?xml version="1.0" encoding="utf-8"?>
<formControlPr xmlns="http://schemas.microsoft.com/office/spreadsheetml/2009/9/main" objectType="CheckBox" fmlaLink="B12" lockText="1" noThreeD="1"/>
</file>

<file path=xl/ctrlProps/ctrlProp191.xml><?xml version="1.0" encoding="utf-8"?>
<formControlPr xmlns="http://schemas.microsoft.com/office/spreadsheetml/2009/9/main" objectType="CheckBox" fmlaLink="B13" lockText="1" noThreeD="1"/>
</file>

<file path=xl/ctrlProps/ctrlProp192.xml><?xml version="1.0" encoding="utf-8"?>
<formControlPr xmlns="http://schemas.microsoft.com/office/spreadsheetml/2009/9/main" objectType="CheckBox" fmlaLink="B21" lockText="1" noThreeD="1"/>
</file>

<file path=xl/ctrlProps/ctrlProp193.xml><?xml version="1.0" encoding="utf-8"?>
<formControlPr xmlns="http://schemas.microsoft.com/office/spreadsheetml/2009/9/main" objectType="CheckBox" fmlaLink="B25" lockText="1" noThreeD="1"/>
</file>

<file path=xl/ctrlProps/ctrlProp194.xml><?xml version="1.0" encoding="utf-8"?>
<formControlPr xmlns="http://schemas.microsoft.com/office/spreadsheetml/2009/9/main" objectType="CheckBox" fmlaLink="G25" lockText="1" noThreeD="1"/>
</file>

<file path=xl/ctrlProps/ctrlProp195.xml><?xml version="1.0" encoding="utf-8"?>
<formControlPr xmlns="http://schemas.microsoft.com/office/spreadsheetml/2009/9/main" objectType="CheckBox" fmlaLink="L25" lockText="1" noThreeD="1"/>
</file>

<file path=xl/ctrlProps/ctrlProp196.xml><?xml version="1.0" encoding="utf-8"?>
<formControlPr xmlns="http://schemas.microsoft.com/office/spreadsheetml/2009/9/main" objectType="CheckBox" checked="Checked" fmlaLink="G21" lockText="1" noThreeD="1"/>
</file>

<file path=xl/ctrlProps/ctrlProp197.xml><?xml version="1.0" encoding="utf-8"?>
<formControlPr xmlns="http://schemas.microsoft.com/office/spreadsheetml/2009/9/main" objectType="CheckBox" fmlaLink="B29" lockText="1" noThreeD="1"/>
</file>

<file path=xl/ctrlProps/ctrlProp198.xml><?xml version="1.0" encoding="utf-8"?>
<formControlPr xmlns="http://schemas.microsoft.com/office/spreadsheetml/2009/9/main" objectType="CheckBox" fmlaLink="G29" lockText="1" noThreeD="1"/>
</file>

<file path=xl/ctrlProps/ctrlProp199.xml><?xml version="1.0" encoding="utf-8"?>
<formControlPr xmlns="http://schemas.microsoft.com/office/spreadsheetml/2009/9/main" objectType="CheckBox" checked="Checked" fmlaLink="L29" lockText="1" noThreeD="1"/>
</file>

<file path=xl/ctrlProps/ctrlProp200.xml><?xml version="1.0" encoding="utf-8"?>
<formControlPr xmlns="http://schemas.microsoft.com/office/spreadsheetml/2009/9/main" objectType="CheckBox" fmlaLink="B38" lockText="1" noThreeD="1"/>
</file>

<file path=xl/ctrlProps/ctrlProp201.xml><?xml version="1.0" encoding="utf-8"?>
<formControlPr xmlns="http://schemas.microsoft.com/office/spreadsheetml/2009/9/main" objectType="CheckBox" fmlaLink="G38" lockText="1" noThreeD="1"/>
</file>

<file path=xl/ctrlProps/ctrlProp202.xml><?xml version="1.0" encoding="utf-8"?>
<formControlPr xmlns="http://schemas.microsoft.com/office/spreadsheetml/2009/9/main" objectType="CheckBox" fmlaLink="L38" lockText="1" noThreeD="1"/>
</file>

<file path=xl/ctrlProps/ctrlProp203.xml><?xml version="1.0" encoding="utf-8"?>
<formControlPr xmlns="http://schemas.microsoft.com/office/spreadsheetml/2009/9/main" objectType="CheckBox" fmlaLink="B44" lockText="1" noThreeD="1"/>
</file>

<file path=xl/ctrlProps/ctrlProp204.xml><?xml version="1.0" encoding="utf-8"?>
<formControlPr xmlns="http://schemas.microsoft.com/office/spreadsheetml/2009/9/main" objectType="CheckBox" checked="Checked" fmlaLink="G44" lockText="1" noThreeD="1"/>
</file>

<file path=xl/ctrlProps/ctrlProp205.xml><?xml version="1.0" encoding="utf-8"?>
<formControlPr xmlns="http://schemas.microsoft.com/office/spreadsheetml/2009/9/main" objectType="CheckBox" checked="Checked" fmlaLink="B39" lockText="1" noThreeD="1"/>
</file>

<file path=xl/ctrlProps/ctrlProp206.xml><?xml version="1.0" encoding="utf-8"?>
<formControlPr xmlns="http://schemas.microsoft.com/office/spreadsheetml/2009/9/main" objectType="CheckBox" fmlaLink="B18" lockText="1" noThreeD="1"/>
</file>

<file path=xl/ctrlProps/ctrlProp207.xml><?xml version="1.0" encoding="utf-8"?>
<formControlPr xmlns="http://schemas.microsoft.com/office/spreadsheetml/2009/9/main" objectType="CheckBox" fmlaLink="B32" lockText="1" noThreeD="1"/>
</file>

<file path=xl/ctrlProps/ctrlProp208.xml><?xml version="1.0" encoding="utf-8"?>
<formControlPr xmlns="http://schemas.microsoft.com/office/spreadsheetml/2009/9/main" objectType="CheckBox" fmlaLink="B33" lockText="1" noThreeD="1"/>
</file>

<file path=xl/ctrlProps/ctrlProp209.xml><?xml version="1.0" encoding="utf-8"?>
<formControlPr xmlns="http://schemas.microsoft.com/office/spreadsheetml/2009/9/main" objectType="CheckBox" fmlaLink="B34" lockText="1" noThreeD="1"/>
</file>

<file path=xl/ctrlProps/ctrlProp210.xml><?xml version="1.0" encoding="utf-8"?>
<formControlPr xmlns="http://schemas.microsoft.com/office/spreadsheetml/2009/9/main" objectType="CheckBox" fmlaLink="G32" lockText="1" noThreeD="1"/>
</file>

<file path=xl/ctrlProps/ctrlProp211.xml><?xml version="1.0" encoding="utf-8"?>
<formControlPr xmlns="http://schemas.microsoft.com/office/spreadsheetml/2009/9/main" objectType="CheckBox" fmlaLink="G33" lockText="1" noThreeD="1"/>
</file>

<file path=xl/ctrlProps/ctrlProp212.xml><?xml version="1.0" encoding="utf-8"?>
<formControlPr xmlns="http://schemas.microsoft.com/office/spreadsheetml/2009/9/main" objectType="CheckBox" fmlaLink="G34" lockText="1" noThreeD="1"/>
</file>

<file path=xl/ctrlProps/ctrlProp213.xml><?xml version="1.0" encoding="utf-8"?>
<formControlPr xmlns="http://schemas.microsoft.com/office/spreadsheetml/2009/9/main" objectType="CheckBox" fmlaLink="L32" lockText="1" noThreeD="1"/>
</file>

<file path=xl/ctrlProps/ctrlProp214.xml><?xml version="1.0" encoding="utf-8"?>
<formControlPr xmlns="http://schemas.microsoft.com/office/spreadsheetml/2009/9/main" objectType="CheckBox" checked="Checked" fmlaLink="L33" lockText="1" noThreeD="1"/>
</file>

<file path=xl/ctrlProps/ctrlProp215.xml><?xml version="1.0" encoding="utf-8"?>
<formControlPr xmlns="http://schemas.microsoft.com/office/spreadsheetml/2009/9/main" objectType="CheckBox" checked="Checked" fmlaLink="B9" lockText="1" noThreeD="1"/>
</file>

<file path=xl/ctrlProps/ctrlProp216.xml><?xml version="1.0" encoding="utf-8"?>
<formControlPr xmlns="http://schemas.microsoft.com/office/spreadsheetml/2009/9/main" objectType="CheckBox" fmlaLink="G9" lockText="1" noThreeD="1"/>
</file>

<file path=xl/ctrlProps/ctrlProp217.xml><?xml version="1.0" encoding="utf-8"?>
<formControlPr xmlns="http://schemas.microsoft.com/office/spreadsheetml/2009/9/main" objectType="CheckBox" fmlaLink="G12" lockText="1" noThreeD="1"/>
</file>

<file path=xl/ctrlProps/ctrlProp218.xml><?xml version="1.0" encoding="utf-8"?>
<formControlPr xmlns="http://schemas.microsoft.com/office/spreadsheetml/2009/9/main" objectType="CheckBox" fmlaLink="G13" lockText="1" noThreeD="1"/>
</file>

<file path=xl/ctrlProps/ctrlProp219.xml><?xml version="1.0" encoding="utf-8"?>
<formControlPr xmlns="http://schemas.microsoft.com/office/spreadsheetml/2009/9/main" objectType="CheckBox" fmlaLink="G16" lockText="1" noThreeD="1"/>
</file>

<file path=xl/ctrlProps/ctrlProp220.xml><?xml version="1.0" encoding="utf-8"?>
<formControlPr xmlns="http://schemas.microsoft.com/office/spreadsheetml/2009/9/main" objectType="CheckBox" fmlaLink="G17" lockText="1" noThreeD="1"/>
</file>

<file path=xl/ctrlProps/ctrlProp221.xml><?xml version="1.0" encoding="utf-8"?>
<formControlPr xmlns="http://schemas.microsoft.com/office/spreadsheetml/2009/9/main" objectType="CheckBox" checked="Checked" fmlaLink="L16" lockText="1" noThreeD="1"/>
</file>

<file path=xl/ctrlProps/ctrlProp222.xml><?xml version="1.0" encoding="utf-8"?>
<formControlPr xmlns="http://schemas.microsoft.com/office/spreadsheetml/2009/9/main" objectType="CheckBox" fmlaLink="L17" lockText="1" noThreeD="1"/>
</file>

<file path=xl/ctrlProps/ctrlProp223.xml><?xml version="1.0" encoding="utf-8"?>
<formControlPr xmlns="http://schemas.microsoft.com/office/spreadsheetml/2009/9/main" objectType="CheckBox" fmlaLink="B16" lockText="1" noThreeD="1"/>
</file>

<file path=xl/ctrlProps/ctrlProp224.xml><?xml version="1.0" encoding="utf-8"?>
<formControlPr xmlns="http://schemas.microsoft.com/office/spreadsheetml/2009/9/main" objectType="CheckBox" fmlaLink="B17" lockText="1" noThreeD="1"/>
</file>

<file path=xl/ctrlProps/ctrlProp225.xml><?xml version="1.0" encoding="utf-8"?>
<formControlPr xmlns="http://schemas.microsoft.com/office/spreadsheetml/2009/9/main" objectType="CheckBox" fmlaLink="B12" lockText="1" noThreeD="1"/>
</file>

<file path=xl/ctrlProps/ctrlProp226.xml><?xml version="1.0" encoding="utf-8"?>
<formControlPr xmlns="http://schemas.microsoft.com/office/spreadsheetml/2009/9/main" objectType="CheckBox" checked="Checked" fmlaLink="B13" lockText="1" noThreeD="1"/>
</file>

<file path=xl/ctrlProps/ctrlProp227.xml><?xml version="1.0" encoding="utf-8"?>
<formControlPr xmlns="http://schemas.microsoft.com/office/spreadsheetml/2009/9/main" objectType="CheckBox" fmlaLink="B21" lockText="1" noThreeD="1"/>
</file>

<file path=xl/ctrlProps/ctrlProp228.xml><?xml version="1.0" encoding="utf-8"?>
<formControlPr xmlns="http://schemas.microsoft.com/office/spreadsheetml/2009/9/main" objectType="CheckBox" fmlaLink="B25" lockText="1" noThreeD="1"/>
</file>

<file path=xl/ctrlProps/ctrlProp229.xml><?xml version="1.0" encoding="utf-8"?>
<formControlPr xmlns="http://schemas.microsoft.com/office/spreadsheetml/2009/9/main" objectType="CheckBox" fmlaLink="G25" lockText="1" noThreeD="1"/>
</file>

<file path=xl/ctrlProps/ctrlProp230.xml><?xml version="1.0" encoding="utf-8"?>
<formControlPr xmlns="http://schemas.microsoft.com/office/spreadsheetml/2009/9/main" objectType="CheckBox" fmlaLink="L25" lockText="1" noThreeD="1"/>
</file>

<file path=xl/ctrlProps/ctrlProp231.xml><?xml version="1.0" encoding="utf-8"?>
<formControlPr xmlns="http://schemas.microsoft.com/office/spreadsheetml/2009/9/main" objectType="CheckBox" fmlaLink="G21" lockText="1" noThreeD="1"/>
</file>

<file path=xl/ctrlProps/ctrlProp232.xml><?xml version="1.0" encoding="utf-8"?>
<formControlPr xmlns="http://schemas.microsoft.com/office/spreadsheetml/2009/9/main" objectType="CheckBox" fmlaLink="B29" lockText="1" noThreeD="1"/>
</file>

<file path=xl/ctrlProps/ctrlProp233.xml><?xml version="1.0" encoding="utf-8"?>
<formControlPr xmlns="http://schemas.microsoft.com/office/spreadsheetml/2009/9/main" objectType="CheckBox" fmlaLink="G29" lockText="1" noThreeD="1"/>
</file>

<file path=xl/ctrlProps/ctrlProp234.xml><?xml version="1.0" encoding="utf-8"?>
<formControlPr xmlns="http://schemas.microsoft.com/office/spreadsheetml/2009/9/main" objectType="CheckBox" checked="Checked" fmlaLink="L29" lockText="1" noThreeD="1"/>
</file>

<file path=xl/ctrlProps/ctrlProp235.xml><?xml version="1.0" encoding="utf-8"?>
<formControlPr xmlns="http://schemas.microsoft.com/office/spreadsheetml/2009/9/main" objectType="CheckBox" fmlaLink="B38" lockText="1" noThreeD="1"/>
</file>

<file path=xl/ctrlProps/ctrlProp236.xml><?xml version="1.0" encoding="utf-8"?>
<formControlPr xmlns="http://schemas.microsoft.com/office/spreadsheetml/2009/9/main" objectType="CheckBox" fmlaLink="G38" lockText="1" noThreeD="1"/>
</file>

<file path=xl/ctrlProps/ctrlProp237.xml><?xml version="1.0" encoding="utf-8"?>
<formControlPr xmlns="http://schemas.microsoft.com/office/spreadsheetml/2009/9/main" objectType="CheckBox" fmlaLink="L38" lockText="1" noThreeD="1"/>
</file>

<file path=xl/ctrlProps/ctrlProp238.xml><?xml version="1.0" encoding="utf-8"?>
<formControlPr xmlns="http://schemas.microsoft.com/office/spreadsheetml/2009/9/main" objectType="CheckBox" fmlaLink="B44" lockText="1" noThreeD="1"/>
</file>

<file path=xl/ctrlProps/ctrlProp239.xml><?xml version="1.0" encoding="utf-8"?>
<formControlPr xmlns="http://schemas.microsoft.com/office/spreadsheetml/2009/9/main" objectType="CheckBox" checked="Checked" fmlaLink="G44" lockText="1" noThreeD="1"/>
</file>

<file path=xl/ctrlProps/ctrlProp240.xml><?xml version="1.0" encoding="utf-8"?>
<formControlPr xmlns="http://schemas.microsoft.com/office/spreadsheetml/2009/9/main" objectType="CheckBox" checked="Checked" fmlaLink="B39" lockText="1" noThreeD="1"/>
</file>

<file path=xl/ctrlProps/ctrlProp241.xml><?xml version="1.0" encoding="utf-8"?>
<formControlPr xmlns="http://schemas.microsoft.com/office/spreadsheetml/2009/9/main" objectType="CheckBox" fmlaLink="B18" lockText="1" noThreeD="1"/>
</file>

<file path=xl/ctrlProps/ctrlProp242.xml><?xml version="1.0" encoding="utf-8"?>
<formControlPr xmlns="http://schemas.microsoft.com/office/spreadsheetml/2009/9/main" objectType="CheckBox" fmlaLink="B32" lockText="1" noThreeD="1"/>
</file>

<file path=xl/ctrlProps/ctrlProp243.xml><?xml version="1.0" encoding="utf-8"?>
<formControlPr xmlns="http://schemas.microsoft.com/office/spreadsheetml/2009/9/main" objectType="CheckBox" fmlaLink="B33" lockText="1" noThreeD="1"/>
</file>

<file path=xl/ctrlProps/ctrlProp244.xml><?xml version="1.0" encoding="utf-8"?>
<formControlPr xmlns="http://schemas.microsoft.com/office/spreadsheetml/2009/9/main" objectType="CheckBox" fmlaLink="B34" lockText="1" noThreeD="1"/>
</file>

<file path=xl/ctrlProps/ctrlProp245.xml><?xml version="1.0" encoding="utf-8"?>
<formControlPr xmlns="http://schemas.microsoft.com/office/spreadsheetml/2009/9/main" objectType="CheckBox" fmlaLink="G32" lockText="1" noThreeD="1"/>
</file>

<file path=xl/ctrlProps/ctrlProp246.xml><?xml version="1.0" encoding="utf-8"?>
<formControlPr xmlns="http://schemas.microsoft.com/office/spreadsheetml/2009/9/main" objectType="CheckBox" fmlaLink="G33"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2" lockText="1" noThreeD="1"/>
</file>

<file path=xl/ctrlProps/ctrlProp249.xml><?xml version="1.0" encoding="utf-8"?>
<formControlPr xmlns="http://schemas.microsoft.com/office/spreadsheetml/2009/9/main" objectType="CheckBox" checked="Checked" fmlaLink="L33" lockText="1" noThreeD="1"/>
</file>

<file path=xl/ctrlProps/ctrlProp250.xml><?xml version="1.0" encoding="utf-8"?>
<formControlPr xmlns="http://schemas.microsoft.com/office/spreadsheetml/2009/9/main" objectType="CheckBox" checked="Checked" fmlaLink="B9" lockText="1" noThreeD="1"/>
</file>

<file path=xl/ctrlProps/ctrlProp251.xml><?xml version="1.0" encoding="utf-8"?>
<formControlPr xmlns="http://schemas.microsoft.com/office/spreadsheetml/2009/9/main" objectType="CheckBox" fmlaLink="G9" lockText="1" noThreeD="1"/>
</file>

<file path=xl/ctrlProps/ctrlProp252.xml><?xml version="1.0" encoding="utf-8"?>
<formControlPr xmlns="http://schemas.microsoft.com/office/spreadsheetml/2009/9/main" objectType="CheckBox" fmlaLink="G12" lockText="1" noThreeD="1"/>
</file>

<file path=xl/ctrlProps/ctrlProp253.xml><?xml version="1.0" encoding="utf-8"?>
<formControlPr xmlns="http://schemas.microsoft.com/office/spreadsheetml/2009/9/main" objectType="CheckBox" fmlaLink="G13" lockText="1" noThreeD="1"/>
</file>

<file path=xl/ctrlProps/ctrlProp254.xml><?xml version="1.0" encoding="utf-8"?>
<formControlPr xmlns="http://schemas.microsoft.com/office/spreadsheetml/2009/9/main" objectType="CheckBox" fmlaLink="G16" lockText="1" noThreeD="1"/>
</file>

<file path=xl/ctrlProps/ctrlProp255.xml><?xml version="1.0" encoding="utf-8"?>
<formControlPr xmlns="http://schemas.microsoft.com/office/spreadsheetml/2009/9/main" objectType="CheckBox" fmlaLink="G17" lockText="1" noThreeD="1"/>
</file>

<file path=xl/ctrlProps/ctrlProp256.xml><?xml version="1.0" encoding="utf-8"?>
<formControlPr xmlns="http://schemas.microsoft.com/office/spreadsheetml/2009/9/main" objectType="CheckBox" checked="Checked" fmlaLink="L16" lockText="1" noThreeD="1"/>
</file>

<file path=xl/ctrlProps/ctrlProp257.xml><?xml version="1.0" encoding="utf-8"?>
<formControlPr xmlns="http://schemas.microsoft.com/office/spreadsheetml/2009/9/main" objectType="CheckBox" fmlaLink="L17" lockText="1" noThreeD="1"/>
</file>

<file path=xl/ctrlProps/ctrlProp258.xml><?xml version="1.0" encoding="utf-8"?>
<formControlPr xmlns="http://schemas.microsoft.com/office/spreadsheetml/2009/9/main" objectType="CheckBox" fmlaLink="B16" lockText="1" noThreeD="1"/>
</file>

<file path=xl/ctrlProps/ctrlProp259.xml><?xml version="1.0" encoding="utf-8"?>
<formControlPr xmlns="http://schemas.microsoft.com/office/spreadsheetml/2009/9/main" objectType="CheckBox" fmlaLink="B17" lockText="1" noThreeD="1"/>
</file>

<file path=xl/ctrlProps/ctrlProp260.xml><?xml version="1.0" encoding="utf-8"?>
<formControlPr xmlns="http://schemas.microsoft.com/office/spreadsheetml/2009/9/main" objectType="CheckBox" fmlaLink="B12" lockText="1" noThreeD="1"/>
</file>

<file path=xl/ctrlProps/ctrlProp261.xml><?xml version="1.0" encoding="utf-8"?>
<formControlPr xmlns="http://schemas.microsoft.com/office/spreadsheetml/2009/9/main" objectType="CheckBox" checked="Checked" fmlaLink="B13" lockText="1" noThreeD="1"/>
</file>

<file path=xl/ctrlProps/ctrlProp262.xml><?xml version="1.0" encoding="utf-8"?>
<formControlPr xmlns="http://schemas.microsoft.com/office/spreadsheetml/2009/9/main" objectType="CheckBox" fmlaLink="B21" lockText="1" noThreeD="1"/>
</file>

<file path=xl/ctrlProps/ctrlProp263.xml><?xml version="1.0" encoding="utf-8"?>
<formControlPr xmlns="http://schemas.microsoft.com/office/spreadsheetml/2009/9/main" objectType="CheckBox" fmlaLink="B25" lockText="1" noThreeD="1"/>
</file>

<file path=xl/ctrlProps/ctrlProp264.xml><?xml version="1.0" encoding="utf-8"?>
<formControlPr xmlns="http://schemas.microsoft.com/office/spreadsheetml/2009/9/main" objectType="CheckBox" fmlaLink="G25" lockText="1" noThreeD="1"/>
</file>

<file path=xl/ctrlProps/ctrlProp265.xml><?xml version="1.0" encoding="utf-8"?>
<formControlPr xmlns="http://schemas.microsoft.com/office/spreadsheetml/2009/9/main" objectType="CheckBox" fmlaLink="L25" lockText="1" noThreeD="1"/>
</file>

<file path=xl/ctrlProps/ctrlProp266.xml><?xml version="1.0" encoding="utf-8"?>
<formControlPr xmlns="http://schemas.microsoft.com/office/spreadsheetml/2009/9/main" objectType="CheckBox" fmlaLink="G21" lockText="1" noThreeD="1"/>
</file>

<file path=xl/ctrlProps/ctrlProp267.xml><?xml version="1.0" encoding="utf-8"?>
<formControlPr xmlns="http://schemas.microsoft.com/office/spreadsheetml/2009/9/main" objectType="CheckBox" fmlaLink="B29" lockText="1" noThreeD="1"/>
</file>

<file path=xl/ctrlProps/ctrlProp268.xml><?xml version="1.0" encoding="utf-8"?>
<formControlPr xmlns="http://schemas.microsoft.com/office/spreadsheetml/2009/9/main" objectType="CheckBox" fmlaLink="G29" lockText="1" noThreeD="1"/>
</file>

<file path=xl/ctrlProps/ctrlProp269.xml><?xml version="1.0" encoding="utf-8"?>
<formControlPr xmlns="http://schemas.microsoft.com/office/spreadsheetml/2009/9/main" objectType="CheckBox" checked="Checked" fmlaLink="L29" lockText="1" noThreeD="1"/>
</file>

<file path=xl/ctrlProps/ctrlProp270.xml><?xml version="1.0" encoding="utf-8"?>
<formControlPr xmlns="http://schemas.microsoft.com/office/spreadsheetml/2009/9/main" objectType="CheckBox" fmlaLink="B38" lockText="1" noThreeD="1"/>
</file>

<file path=xl/ctrlProps/ctrlProp271.xml><?xml version="1.0" encoding="utf-8"?>
<formControlPr xmlns="http://schemas.microsoft.com/office/spreadsheetml/2009/9/main" objectType="CheckBox" fmlaLink="G38" lockText="1" noThreeD="1"/>
</file>

<file path=xl/ctrlProps/ctrlProp272.xml><?xml version="1.0" encoding="utf-8"?>
<formControlPr xmlns="http://schemas.microsoft.com/office/spreadsheetml/2009/9/main" objectType="CheckBox" fmlaLink="L38" lockText="1" noThreeD="1"/>
</file>

<file path=xl/ctrlProps/ctrlProp273.xml><?xml version="1.0" encoding="utf-8"?>
<formControlPr xmlns="http://schemas.microsoft.com/office/spreadsheetml/2009/9/main" objectType="CheckBox" fmlaLink="B44" lockText="1" noThreeD="1"/>
</file>

<file path=xl/ctrlProps/ctrlProp274.xml><?xml version="1.0" encoding="utf-8"?>
<formControlPr xmlns="http://schemas.microsoft.com/office/spreadsheetml/2009/9/main" objectType="CheckBox" checked="Checked" fmlaLink="G44" lockText="1" noThreeD="1"/>
</file>

<file path=xl/ctrlProps/ctrlProp275.xml><?xml version="1.0" encoding="utf-8"?>
<formControlPr xmlns="http://schemas.microsoft.com/office/spreadsheetml/2009/9/main" objectType="CheckBox" checked="Checked" fmlaLink="B39" lockText="1" noThreeD="1"/>
</file>

<file path=xl/ctrlProps/ctrlProp276.xml><?xml version="1.0" encoding="utf-8"?>
<formControlPr xmlns="http://schemas.microsoft.com/office/spreadsheetml/2009/9/main" objectType="CheckBox" fmlaLink="B18" lockText="1" noThreeD="1"/>
</file>

<file path=xl/ctrlProps/ctrlProp277.xml><?xml version="1.0" encoding="utf-8"?>
<formControlPr xmlns="http://schemas.microsoft.com/office/spreadsheetml/2009/9/main" objectType="CheckBox" fmlaLink="B32" lockText="1" noThreeD="1"/>
</file>

<file path=xl/ctrlProps/ctrlProp278.xml><?xml version="1.0" encoding="utf-8"?>
<formControlPr xmlns="http://schemas.microsoft.com/office/spreadsheetml/2009/9/main" objectType="CheckBox" fmlaLink="B33" lockText="1" noThreeD="1"/>
</file>

<file path=xl/ctrlProps/ctrlProp279.xml><?xml version="1.0" encoding="utf-8"?>
<formControlPr xmlns="http://schemas.microsoft.com/office/spreadsheetml/2009/9/main" objectType="CheckBox" fmlaLink="B34" lockText="1" noThreeD="1"/>
</file>

<file path=xl/ctrlProps/ctrlProp280.xml><?xml version="1.0" encoding="utf-8"?>
<formControlPr xmlns="http://schemas.microsoft.com/office/spreadsheetml/2009/9/main" objectType="CheckBox" fmlaLink="G32" lockText="1" noThreeD="1"/>
</file>

<file path=xl/ctrlProps/ctrlProp281.xml><?xml version="1.0" encoding="utf-8"?>
<formControlPr xmlns="http://schemas.microsoft.com/office/spreadsheetml/2009/9/main" objectType="CheckBox" fmlaLink="G33" lockText="1" noThreeD="1"/>
</file>

<file path=xl/ctrlProps/ctrlProp282.xml><?xml version="1.0" encoding="utf-8"?>
<formControlPr xmlns="http://schemas.microsoft.com/office/spreadsheetml/2009/9/main" objectType="CheckBox" fmlaLink="G34" lockText="1" noThreeD="1"/>
</file>

<file path=xl/ctrlProps/ctrlProp283.xml><?xml version="1.0" encoding="utf-8"?>
<formControlPr xmlns="http://schemas.microsoft.com/office/spreadsheetml/2009/9/main" objectType="CheckBox" fmlaLink="L32" lockText="1" noThreeD="1"/>
</file>

<file path=xl/ctrlProps/ctrlProp284.xml><?xml version="1.0" encoding="utf-8"?>
<formControlPr xmlns="http://schemas.microsoft.com/office/spreadsheetml/2009/9/main" objectType="CheckBox" checked="Checked" fmlaLink="L33" lockText="1" noThreeD="1"/>
</file>

<file path=xl/ctrlProps/ctrlProp285.xml><?xml version="1.0" encoding="utf-8"?>
<formControlPr xmlns="http://schemas.microsoft.com/office/spreadsheetml/2009/9/main" objectType="CheckBox" checked="Checked" fmlaLink="B9" lockText="1" noThreeD="1"/>
</file>

<file path=xl/ctrlProps/ctrlProp286.xml><?xml version="1.0" encoding="utf-8"?>
<formControlPr xmlns="http://schemas.microsoft.com/office/spreadsheetml/2009/9/main" objectType="CheckBox" fmlaLink="G9" lockText="1" noThreeD="1"/>
</file>

<file path=xl/ctrlProps/ctrlProp287.xml><?xml version="1.0" encoding="utf-8"?>
<formControlPr xmlns="http://schemas.microsoft.com/office/spreadsheetml/2009/9/main" objectType="CheckBox" fmlaLink="G12" lockText="1" noThreeD="1"/>
</file>

<file path=xl/ctrlProps/ctrlProp288.xml><?xml version="1.0" encoding="utf-8"?>
<formControlPr xmlns="http://schemas.microsoft.com/office/spreadsheetml/2009/9/main" objectType="CheckBox" fmlaLink="G13" lockText="1" noThreeD="1"/>
</file>

<file path=xl/ctrlProps/ctrlProp289.xml><?xml version="1.0" encoding="utf-8"?>
<formControlPr xmlns="http://schemas.microsoft.com/office/spreadsheetml/2009/9/main" objectType="CheckBox" fmlaLink="G16" lockText="1" noThreeD="1"/>
</file>

<file path=xl/ctrlProps/ctrlProp290.xml><?xml version="1.0" encoding="utf-8"?>
<formControlPr xmlns="http://schemas.microsoft.com/office/spreadsheetml/2009/9/main" objectType="CheckBox" fmlaLink="G17" lockText="1" noThreeD="1"/>
</file>

<file path=xl/ctrlProps/ctrlProp291.xml><?xml version="1.0" encoding="utf-8"?>
<formControlPr xmlns="http://schemas.microsoft.com/office/spreadsheetml/2009/9/main" objectType="CheckBox" checked="Checked" fmlaLink="L16" lockText="1" noThreeD="1"/>
</file>

<file path=xl/ctrlProps/ctrlProp292.xml><?xml version="1.0" encoding="utf-8"?>
<formControlPr xmlns="http://schemas.microsoft.com/office/spreadsheetml/2009/9/main" objectType="CheckBox" fmlaLink="L17" lockText="1" noThreeD="1"/>
</file>

<file path=xl/ctrlProps/ctrlProp293.xml><?xml version="1.0" encoding="utf-8"?>
<formControlPr xmlns="http://schemas.microsoft.com/office/spreadsheetml/2009/9/main" objectType="CheckBox" fmlaLink="B16" lockText="1" noThreeD="1"/>
</file>

<file path=xl/ctrlProps/ctrlProp294.xml><?xml version="1.0" encoding="utf-8"?>
<formControlPr xmlns="http://schemas.microsoft.com/office/spreadsheetml/2009/9/main" objectType="CheckBox" fmlaLink="B17" lockText="1" noThreeD="1"/>
</file>

<file path=xl/ctrlProps/ctrlProp295.xml><?xml version="1.0" encoding="utf-8"?>
<formControlPr xmlns="http://schemas.microsoft.com/office/spreadsheetml/2009/9/main" objectType="CheckBox" fmlaLink="B12" lockText="1" noThreeD="1"/>
</file>

<file path=xl/ctrlProps/ctrlProp296.xml><?xml version="1.0" encoding="utf-8"?>
<formControlPr xmlns="http://schemas.microsoft.com/office/spreadsheetml/2009/9/main" objectType="CheckBox" checked="Checked" fmlaLink="B13" lockText="1" noThreeD="1"/>
</file>

<file path=xl/ctrlProps/ctrlProp297.xml><?xml version="1.0" encoding="utf-8"?>
<formControlPr xmlns="http://schemas.microsoft.com/office/spreadsheetml/2009/9/main" objectType="CheckBox" fmlaLink="B21" lockText="1" noThreeD="1"/>
</file>

<file path=xl/ctrlProps/ctrlProp298.xml><?xml version="1.0" encoding="utf-8"?>
<formControlPr xmlns="http://schemas.microsoft.com/office/spreadsheetml/2009/9/main" objectType="CheckBox" fmlaLink="B25" lockText="1" noThreeD="1"/>
</file>

<file path=xl/ctrlProps/ctrlProp299.xml><?xml version="1.0" encoding="utf-8"?>
<formControlPr xmlns="http://schemas.microsoft.com/office/spreadsheetml/2009/9/main" objectType="CheckBox" fmlaLink="G25" lockText="1" noThreeD="1"/>
</file>

<file path=xl/ctrlProps/ctrlProp300.xml><?xml version="1.0" encoding="utf-8"?>
<formControlPr xmlns="http://schemas.microsoft.com/office/spreadsheetml/2009/9/main" objectType="CheckBox" fmlaLink="L25" lockText="1" noThreeD="1"/>
</file>

<file path=xl/ctrlProps/ctrlProp301.xml><?xml version="1.0" encoding="utf-8"?>
<formControlPr xmlns="http://schemas.microsoft.com/office/spreadsheetml/2009/9/main" objectType="CheckBox" fmlaLink="G21" lockText="1" noThreeD="1"/>
</file>

<file path=xl/ctrlProps/ctrlProp302.xml><?xml version="1.0" encoding="utf-8"?>
<formControlPr xmlns="http://schemas.microsoft.com/office/spreadsheetml/2009/9/main" objectType="CheckBox" fmlaLink="B29" lockText="1" noThreeD="1"/>
</file>

<file path=xl/ctrlProps/ctrlProp303.xml><?xml version="1.0" encoding="utf-8"?>
<formControlPr xmlns="http://schemas.microsoft.com/office/spreadsheetml/2009/9/main" objectType="CheckBox" fmlaLink="G29" lockText="1" noThreeD="1"/>
</file>

<file path=xl/ctrlProps/ctrlProp304.xml><?xml version="1.0" encoding="utf-8"?>
<formControlPr xmlns="http://schemas.microsoft.com/office/spreadsheetml/2009/9/main" objectType="CheckBox" checked="Checked" fmlaLink="L29" lockText="1" noThreeD="1"/>
</file>

<file path=xl/ctrlProps/ctrlProp305.xml><?xml version="1.0" encoding="utf-8"?>
<formControlPr xmlns="http://schemas.microsoft.com/office/spreadsheetml/2009/9/main" objectType="CheckBox" fmlaLink="B38" lockText="1" noThreeD="1"/>
</file>

<file path=xl/ctrlProps/ctrlProp306.xml><?xml version="1.0" encoding="utf-8"?>
<formControlPr xmlns="http://schemas.microsoft.com/office/spreadsheetml/2009/9/main" objectType="CheckBox" fmlaLink="G38" lockText="1" noThreeD="1"/>
</file>

<file path=xl/ctrlProps/ctrlProp307.xml><?xml version="1.0" encoding="utf-8"?>
<formControlPr xmlns="http://schemas.microsoft.com/office/spreadsheetml/2009/9/main" objectType="CheckBox" fmlaLink="L38" lockText="1" noThreeD="1"/>
</file>

<file path=xl/ctrlProps/ctrlProp308.xml><?xml version="1.0" encoding="utf-8"?>
<formControlPr xmlns="http://schemas.microsoft.com/office/spreadsheetml/2009/9/main" objectType="CheckBox" fmlaLink="B44" lockText="1" noThreeD="1"/>
</file>

<file path=xl/ctrlProps/ctrlProp309.xml><?xml version="1.0" encoding="utf-8"?>
<formControlPr xmlns="http://schemas.microsoft.com/office/spreadsheetml/2009/9/main" objectType="CheckBox" checked="Checked" fmlaLink="G44" lockText="1" noThreeD="1"/>
</file>

<file path=xl/ctrlProps/ctrlProp310.xml><?xml version="1.0" encoding="utf-8"?>
<formControlPr xmlns="http://schemas.microsoft.com/office/spreadsheetml/2009/9/main" objectType="CheckBox" checked="Checked" fmlaLink="B39" lockText="1" noThreeD="1"/>
</file>

<file path=xl/ctrlProps/ctrlProp311.xml><?xml version="1.0" encoding="utf-8"?>
<formControlPr xmlns="http://schemas.microsoft.com/office/spreadsheetml/2009/9/main" objectType="CheckBox" fmlaLink="B18" lockText="1" noThreeD="1"/>
</file>

<file path=xl/ctrlProps/ctrlProp312.xml><?xml version="1.0" encoding="utf-8"?>
<formControlPr xmlns="http://schemas.microsoft.com/office/spreadsheetml/2009/9/main" objectType="CheckBox" fmlaLink="B32" lockText="1" noThreeD="1"/>
</file>

<file path=xl/ctrlProps/ctrlProp313.xml><?xml version="1.0" encoding="utf-8"?>
<formControlPr xmlns="http://schemas.microsoft.com/office/spreadsheetml/2009/9/main" objectType="CheckBox" fmlaLink="B33" lockText="1" noThreeD="1"/>
</file>

<file path=xl/ctrlProps/ctrlProp314.xml><?xml version="1.0" encoding="utf-8"?>
<formControlPr xmlns="http://schemas.microsoft.com/office/spreadsheetml/2009/9/main" objectType="CheckBox" fmlaLink="B34" lockText="1" noThreeD="1"/>
</file>

<file path=xl/ctrlProps/ctrlProp315.xml><?xml version="1.0" encoding="utf-8"?>
<formControlPr xmlns="http://schemas.microsoft.com/office/spreadsheetml/2009/9/main" objectType="CheckBox" fmlaLink="G32" lockText="1" noThreeD="1"/>
</file>

<file path=xl/ctrlProps/ctrlProp316.xml><?xml version="1.0" encoding="utf-8"?>
<formControlPr xmlns="http://schemas.microsoft.com/office/spreadsheetml/2009/9/main" objectType="CheckBox" fmlaLink="G33" lockText="1" noThreeD="1"/>
</file>

<file path=xl/ctrlProps/ctrlProp317.xml><?xml version="1.0" encoding="utf-8"?>
<formControlPr xmlns="http://schemas.microsoft.com/office/spreadsheetml/2009/9/main" objectType="CheckBox" fmlaLink="G34" lockText="1" noThreeD="1"/>
</file>

<file path=xl/ctrlProps/ctrlProp318.xml><?xml version="1.0" encoding="utf-8"?>
<formControlPr xmlns="http://schemas.microsoft.com/office/spreadsheetml/2009/9/main" objectType="CheckBox" fmlaLink="L32" lockText="1" noThreeD="1"/>
</file>

<file path=xl/ctrlProps/ctrlProp319.xml><?xml version="1.0" encoding="utf-8"?>
<formControlPr xmlns="http://schemas.microsoft.com/office/spreadsheetml/2009/9/main" objectType="CheckBox" checked="Checked" fmlaLink="L33" lockText="1" noThreeD="1"/>
</file>

<file path=xl/ctrlProps/ctrlProp320.xml><?xml version="1.0" encoding="utf-8"?>
<formControlPr xmlns="http://schemas.microsoft.com/office/spreadsheetml/2009/9/main" objectType="CheckBox" checked="Checked" fmlaLink="B9" lockText="1" noThreeD="1"/>
</file>

<file path=xl/ctrlProps/ctrlProp321.xml><?xml version="1.0" encoding="utf-8"?>
<formControlPr xmlns="http://schemas.microsoft.com/office/spreadsheetml/2009/9/main" objectType="CheckBox" fmlaLink="G9" lockText="1" noThreeD="1"/>
</file>

<file path=xl/ctrlProps/ctrlProp322.xml><?xml version="1.0" encoding="utf-8"?>
<formControlPr xmlns="http://schemas.microsoft.com/office/spreadsheetml/2009/9/main" objectType="CheckBox" fmlaLink="G12" lockText="1" noThreeD="1"/>
</file>

<file path=xl/ctrlProps/ctrlProp323.xml><?xml version="1.0" encoding="utf-8"?>
<formControlPr xmlns="http://schemas.microsoft.com/office/spreadsheetml/2009/9/main" objectType="CheckBox" fmlaLink="G13" lockText="1" noThreeD="1"/>
</file>

<file path=xl/ctrlProps/ctrlProp324.xml><?xml version="1.0" encoding="utf-8"?>
<formControlPr xmlns="http://schemas.microsoft.com/office/spreadsheetml/2009/9/main" objectType="CheckBox" fmlaLink="G16" lockText="1" noThreeD="1"/>
</file>

<file path=xl/ctrlProps/ctrlProp325.xml><?xml version="1.0" encoding="utf-8"?>
<formControlPr xmlns="http://schemas.microsoft.com/office/spreadsheetml/2009/9/main" objectType="CheckBox" checked="Checked" fmlaLink="G17" lockText="1" noThreeD="1"/>
</file>

<file path=xl/ctrlProps/ctrlProp326.xml><?xml version="1.0" encoding="utf-8"?>
<formControlPr xmlns="http://schemas.microsoft.com/office/spreadsheetml/2009/9/main" objectType="CheckBox" fmlaLink="L16" lockText="1" noThreeD="1"/>
</file>

<file path=xl/ctrlProps/ctrlProp327.xml><?xml version="1.0" encoding="utf-8"?>
<formControlPr xmlns="http://schemas.microsoft.com/office/spreadsheetml/2009/9/main" objectType="CheckBox" fmlaLink="L17" lockText="1" noThreeD="1"/>
</file>

<file path=xl/ctrlProps/ctrlProp328.xml><?xml version="1.0" encoding="utf-8"?>
<formControlPr xmlns="http://schemas.microsoft.com/office/spreadsheetml/2009/9/main" objectType="CheckBox" fmlaLink="B16" lockText="1" noThreeD="1"/>
</file>

<file path=xl/ctrlProps/ctrlProp329.xml><?xml version="1.0" encoding="utf-8"?>
<formControlPr xmlns="http://schemas.microsoft.com/office/spreadsheetml/2009/9/main" objectType="CheckBox" fmlaLink="B17" lockText="1" noThreeD="1"/>
</file>

<file path=xl/ctrlProps/ctrlProp330.xml><?xml version="1.0" encoding="utf-8"?>
<formControlPr xmlns="http://schemas.microsoft.com/office/spreadsheetml/2009/9/main" objectType="CheckBox" fmlaLink="B12" lockText="1" noThreeD="1"/>
</file>

<file path=xl/ctrlProps/ctrlProp331.xml><?xml version="1.0" encoding="utf-8"?>
<formControlPr xmlns="http://schemas.microsoft.com/office/spreadsheetml/2009/9/main" objectType="CheckBox" checked="Checked" fmlaLink="B13" lockText="1" noThreeD="1"/>
</file>

<file path=xl/ctrlProps/ctrlProp332.xml><?xml version="1.0" encoding="utf-8"?>
<formControlPr xmlns="http://schemas.microsoft.com/office/spreadsheetml/2009/9/main" objectType="CheckBox" fmlaLink="B21" lockText="1" noThreeD="1"/>
</file>

<file path=xl/ctrlProps/ctrlProp333.xml><?xml version="1.0" encoding="utf-8"?>
<formControlPr xmlns="http://schemas.microsoft.com/office/spreadsheetml/2009/9/main" objectType="CheckBox" fmlaLink="B25" lockText="1" noThreeD="1"/>
</file>

<file path=xl/ctrlProps/ctrlProp334.xml><?xml version="1.0" encoding="utf-8"?>
<formControlPr xmlns="http://schemas.microsoft.com/office/spreadsheetml/2009/9/main" objectType="CheckBox" fmlaLink="G25" lockText="1" noThreeD="1"/>
</file>

<file path=xl/ctrlProps/ctrlProp335.xml><?xml version="1.0" encoding="utf-8"?>
<formControlPr xmlns="http://schemas.microsoft.com/office/spreadsheetml/2009/9/main" objectType="CheckBox" fmlaLink="L25" lockText="1" noThreeD="1"/>
</file>

<file path=xl/ctrlProps/ctrlProp336.xml><?xml version="1.0" encoding="utf-8"?>
<formControlPr xmlns="http://schemas.microsoft.com/office/spreadsheetml/2009/9/main" objectType="CheckBox" fmlaLink="G21" lockText="1" noThreeD="1"/>
</file>

<file path=xl/ctrlProps/ctrlProp337.xml><?xml version="1.0" encoding="utf-8"?>
<formControlPr xmlns="http://schemas.microsoft.com/office/spreadsheetml/2009/9/main" objectType="CheckBox" fmlaLink="B29" lockText="1" noThreeD="1"/>
</file>

<file path=xl/ctrlProps/ctrlProp338.xml><?xml version="1.0" encoding="utf-8"?>
<formControlPr xmlns="http://schemas.microsoft.com/office/spreadsheetml/2009/9/main" objectType="CheckBox" fmlaLink="G29" lockText="1" noThreeD="1"/>
</file>

<file path=xl/ctrlProps/ctrlProp339.xml><?xml version="1.0" encoding="utf-8"?>
<formControlPr xmlns="http://schemas.microsoft.com/office/spreadsheetml/2009/9/main" objectType="CheckBox" checked="Checked" fmlaLink="L29" lockText="1" noThreeD="1"/>
</file>

<file path=xl/ctrlProps/ctrlProp340.xml><?xml version="1.0" encoding="utf-8"?>
<formControlPr xmlns="http://schemas.microsoft.com/office/spreadsheetml/2009/9/main" objectType="CheckBox" fmlaLink="B38" lockText="1" noThreeD="1"/>
</file>

<file path=xl/ctrlProps/ctrlProp341.xml><?xml version="1.0" encoding="utf-8"?>
<formControlPr xmlns="http://schemas.microsoft.com/office/spreadsheetml/2009/9/main" objectType="CheckBox" fmlaLink="G38" lockText="1" noThreeD="1"/>
</file>

<file path=xl/ctrlProps/ctrlProp342.xml><?xml version="1.0" encoding="utf-8"?>
<formControlPr xmlns="http://schemas.microsoft.com/office/spreadsheetml/2009/9/main" objectType="CheckBox" fmlaLink="L38" lockText="1" noThreeD="1"/>
</file>

<file path=xl/ctrlProps/ctrlProp343.xml><?xml version="1.0" encoding="utf-8"?>
<formControlPr xmlns="http://schemas.microsoft.com/office/spreadsheetml/2009/9/main" objectType="CheckBox" fmlaLink="B44" lockText="1" noThreeD="1"/>
</file>

<file path=xl/ctrlProps/ctrlProp344.xml><?xml version="1.0" encoding="utf-8"?>
<formControlPr xmlns="http://schemas.microsoft.com/office/spreadsheetml/2009/9/main" objectType="CheckBox" checked="Checked" fmlaLink="G44" lockText="1" noThreeD="1"/>
</file>

<file path=xl/ctrlProps/ctrlProp345.xml><?xml version="1.0" encoding="utf-8"?>
<formControlPr xmlns="http://schemas.microsoft.com/office/spreadsheetml/2009/9/main" objectType="CheckBox" checked="Checked" fmlaLink="B39" lockText="1" noThreeD="1"/>
</file>

<file path=xl/ctrlProps/ctrlProp346.xml><?xml version="1.0" encoding="utf-8"?>
<formControlPr xmlns="http://schemas.microsoft.com/office/spreadsheetml/2009/9/main" objectType="CheckBox" fmlaLink="B18" lockText="1" noThreeD="1"/>
</file>

<file path=xl/ctrlProps/ctrlProp347.xml><?xml version="1.0" encoding="utf-8"?>
<formControlPr xmlns="http://schemas.microsoft.com/office/spreadsheetml/2009/9/main" objectType="CheckBox" fmlaLink="B32" lockText="1" noThreeD="1"/>
</file>

<file path=xl/ctrlProps/ctrlProp348.xml><?xml version="1.0" encoding="utf-8"?>
<formControlPr xmlns="http://schemas.microsoft.com/office/spreadsheetml/2009/9/main" objectType="CheckBox" fmlaLink="B33" lockText="1" noThreeD="1"/>
</file>

<file path=xl/ctrlProps/ctrlProp349.xml><?xml version="1.0" encoding="utf-8"?>
<formControlPr xmlns="http://schemas.microsoft.com/office/spreadsheetml/2009/9/main" objectType="CheckBox" fmlaLink="B34" lockText="1" noThreeD="1"/>
</file>

<file path=xl/ctrlProps/ctrlProp350.xml><?xml version="1.0" encoding="utf-8"?>
<formControlPr xmlns="http://schemas.microsoft.com/office/spreadsheetml/2009/9/main" objectType="CheckBox" fmlaLink="G32" lockText="1" noThreeD="1"/>
</file>

<file path=xl/ctrlProps/ctrlProp351.xml><?xml version="1.0" encoding="utf-8"?>
<formControlPr xmlns="http://schemas.microsoft.com/office/spreadsheetml/2009/9/main" objectType="CheckBox" fmlaLink="G33" lockText="1" noThreeD="1"/>
</file>

<file path=xl/ctrlProps/ctrlProp352.xml><?xml version="1.0" encoding="utf-8"?>
<formControlPr xmlns="http://schemas.microsoft.com/office/spreadsheetml/2009/9/main" objectType="CheckBox" fmlaLink="G34" lockText="1" noThreeD="1"/>
</file>

<file path=xl/ctrlProps/ctrlProp353.xml><?xml version="1.0" encoding="utf-8"?>
<formControlPr xmlns="http://schemas.microsoft.com/office/spreadsheetml/2009/9/main" objectType="CheckBox" fmlaLink="L32" lockText="1" noThreeD="1"/>
</file>

<file path=xl/ctrlProps/ctrlProp354.xml><?xml version="1.0" encoding="utf-8"?>
<formControlPr xmlns="http://schemas.microsoft.com/office/spreadsheetml/2009/9/main" objectType="CheckBox" checked="Checked" fmlaLink="L33" lockText="1" noThreeD="1"/>
</file>

<file path=xl/ctrlProps/ctrlProp355.xml><?xml version="1.0" encoding="utf-8"?>
<formControlPr xmlns="http://schemas.microsoft.com/office/spreadsheetml/2009/9/main" objectType="CheckBox" checked="Checked" fmlaLink="B9" lockText="1" noThreeD="1"/>
</file>

<file path=xl/ctrlProps/ctrlProp356.xml><?xml version="1.0" encoding="utf-8"?>
<formControlPr xmlns="http://schemas.microsoft.com/office/spreadsheetml/2009/9/main" objectType="CheckBox" fmlaLink="G9" lockText="1" noThreeD="1"/>
</file>

<file path=xl/ctrlProps/ctrlProp357.xml><?xml version="1.0" encoding="utf-8"?>
<formControlPr xmlns="http://schemas.microsoft.com/office/spreadsheetml/2009/9/main" objectType="CheckBox" fmlaLink="G12" lockText="1" noThreeD="1"/>
</file>

<file path=xl/ctrlProps/ctrlProp358.xml><?xml version="1.0" encoding="utf-8"?>
<formControlPr xmlns="http://schemas.microsoft.com/office/spreadsheetml/2009/9/main" objectType="CheckBox" fmlaLink="G13" lockText="1" noThreeD="1"/>
</file>

<file path=xl/ctrlProps/ctrlProp359.xml><?xml version="1.0" encoding="utf-8"?>
<formControlPr xmlns="http://schemas.microsoft.com/office/spreadsheetml/2009/9/main" objectType="CheckBox" fmlaLink="G16" lockText="1" noThreeD="1"/>
</file>

<file path=xl/ctrlProps/ctrlProp360.xml><?xml version="1.0" encoding="utf-8"?>
<formControlPr xmlns="http://schemas.microsoft.com/office/spreadsheetml/2009/9/main" objectType="CheckBox" checked="Checked" fmlaLink="G17" lockText="1" noThreeD="1"/>
</file>

<file path=xl/ctrlProps/ctrlProp361.xml><?xml version="1.0" encoding="utf-8"?>
<formControlPr xmlns="http://schemas.microsoft.com/office/spreadsheetml/2009/9/main" objectType="CheckBox" fmlaLink="L16" lockText="1" noThreeD="1"/>
</file>

<file path=xl/ctrlProps/ctrlProp362.xml><?xml version="1.0" encoding="utf-8"?>
<formControlPr xmlns="http://schemas.microsoft.com/office/spreadsheetml/2009/9/main" objectType="CheckBox" fmlaLink="L17" lockText="1" noThreeD="1"/>
</file>

<file path=xl/ctrlProps/ctrlProp363.xml><?xml version="1.0" encoding="utf-8"?>
<formControlPr xmlns="http://schemas.microsoft.com/office/spreadsheetml/2009/9/main" objectType="CheckBox" fmlaLink="B16" lockText="1" noThreeD="1"/>
</file>

<file path=xl/ctrlProps/ctrlProp364.xml><?xml version="1.0" encoding="utf-8"?>
<formControlPr xmlns="http://schemas.microsoft.com/office/spreadsheetml/2009/9/main" objectType="CheckBox" fmlaLink="B17" lockText="1" noThreeD="1"/>
</file>

<file path=xl/ctrlProps/ctrlProp365.xml><?xml version="1.0" encoding="utf-8"?>
<formControlPr xmlns="http://schemas.microsoft.com/office/spreadsheetml/2009/9/main" objectType="CheckBox" fmlaLink="B12" lockText="1" noThreeD="1"/>
</file>

<file path=xl/ctrlProps/ctrlProp366.xml><?xml version="1.0" encoding="utf-8"?>
<formControlPr xmlns="http://schemas.microsoft.com/office/spreadsheetml/2009/9/main" objectType="CheckBox" checked="Checked" fmlaLink="B13" lockText="1" noThreeD="1"/>
</file>

<file path=xl/ctrlProps/ctrlProp367.xml><?xml version="1.0" encoding="utf-8"?>
<formControlPr xmlns="http://schemas.microsoft.com/office/spreadsheetml/2009/9/main" objectType="CheckBox" fmlaLink="B21" lockText="1" noThreeD="1"/>
</file>

<file path=xl/ctrlProps/ctrlProp368.xml><?xml version="1.0" encoding="utf-8"?>
<formControlPr xmlns="http://schemas.microsoft.com/office/spreadsheetml/2009/9/main" objectType="CheckBox" fmlaLink="B25" lockText="1" noThreeD="1"/>
</file>

<file path=xl/ctrlProps/ctrlProp369.xml><?xml version="1.0" encoding="utf-8"?>
<formControlPr xmlns="http://schemas.microsoft.com/office/spreadsheetml/2009/9/main" objectType="CheckBox" fmlaLink="G25" lockText="1" noThreeD="1"/>
</file>

<file path=xl/ctrlProps/ctrlProp370.xml><?xml version="1.0" encoding="utf-8"?>
<formControlPr xmlns="http://schemas.microsoft.com/office/spreadsheetml/2009/9/main" objectType="CheckBox" fmlaLink="L25" lockText="1" noThreeD="1"/>
</file>

<file path=xl/ctrlProps/ctrlProp371.xml><?xml version="1.0" encoding="utf-8"?>
<formControlPr xmlns="http://schemas.microsoft.com/office/spreadsheetml/2009/9/main" objectType="CheckBox" fmlaLink="G21" lockText="1" noThreeD="1"/>
</file>

<file path=xl/ctrlProps/ctrlProp372.xml><?xml version="1.0" encoding="utf-8"?>
<formControlPr xmlns="http://schemas.microsoft.com/office/spreadsheetml/2009/9/main" objectType="CheckBox" fmlaLink="B29" lockText="1" noThreeD="1"/>
</file>

<file path=xl/ctrlProps/ctrlProp373.xml><?xml version="1.0" encoding="utf-8"?>
<formControlPr xmlns="http://schemas.microsoft.com/office/spreadsheetml/2009/9/main" objectType="CheckBox" fmlaLink="G29" lockText="1" noThreeD="1"/>
</file>

<file path=xl/ctrlProps/ctrlProp374.xml><?xml version="1.0" encoding="utf-8"?>
<formControlPr xmlns="http://schemas.microsoft.com/office/spreadsheetml/2009/9/main" objectType="CheckBox" checked="Checked" fmlaLink="L29" lockText="1" noThreeD="1"/>
</file>

<file path=xl/ctrlProps/ctrlProp375.xml><?xml version="1.0" encoding="utf-8"?>
<formControlPr xmlns="http://schemas.microsoft.com/office/spreadsheetml/2009/9/main" objectType="CheckBox" fmlaLink="B38" lockText="1" noThreeD="1"/>
</file>

<file path=xl/ctrlProps/ctrlProp376.xml><?xml version="1.0" encoding="utf-8"?>
<formControlPr xmlns="http://schemas.microsoft.com/office/spreadsheetml/2009/9/main" objectType="CheckBox" fmlaLink="G38" lockText="1" noThreeD="1"/>
</file>

<file path=xl/ctrlProps/ctrlProp377.xml><?xml version="1.0" encoding="utf-8"?>
<formControlPr xmlns="http://schemas.microsoft.com/office/spreadsheetml/2009/9/main" objectType="CheckBox" fmlaLink="L38" lockText="1" noThreeD="1"/>
</file>

<file path=xl/ctrlProps/ctrlProp378.xml><?xml version="1.0" encoding="utf-8"?>
<formControlPr xmlns="http://schemas.microsoft.com/office/spreadsheetml/2009/9/main" objectType="CheckBox" fmlaLink="B44" lockText="1" noThreeD="1"/>
</file>

<file path=xl/ctrlProps/ctrlProp379.xml><?xml version="1.0" encoding="utf-8"?>
<formControlPr xmlns="http://schemas.microsoft.com/office/spreadsheetml/2009/9/main" objectType="CheckBox" checked="Checked" fmlaLink="G44" lockText="1" noThreeD="1"/>
</file>

<file path=xl/ctrlProps/ctrlProp380.xml><?xml version="1.0" encoding="utf-8"?>
<formControlPr xmlns="http://schemas.microsoft.com/office/spreadsheetml/2009/9/main" objectType="CheckBox" checked="Checked" fmlaLink="B39" lockText="1" noThreeD="1"/>
</file>

<file path=xl/ctrlProps/ctrlProp381.xml><?xml version="1.0" encoding="utf-8"?>
<formControlPr xmlns="http://schemas.microsoft.com/office/spreadsheetml/2009/9/main" objectType="CheckBox" fmlaLink="B18" lockText="1" noThreeD="1"/>
</file>

<file path=xl/ctrlProps/ctrlProp382.xml><?xml version="1.0" encoding="utf-8"?>
<formControlPr xmlns="http://schemas.microsoft.com/office/spreadsheetml/2009/9/main" objectType="CheckBox" fmlaLink="B32" lockText="1" noThreeD="1"/>
</file>

<file path=xl/ctrlProps/ctrlProp383.xml><?xml version="1.0" encoding="utf-8"?>
<formControlPr xmlns="http://schemas.microsoft.com/office/spreadsheetml/2009/9/main" objectType="CheckBox" fmlaLink="B33" lockText="1" noThreeD="1"/>
</file>

<file path=xl/ctrlProps/ctrlProp384.xml><?xml version="1.0" encoding="utf-8"?>
<formControlPr xmlns="http://schemas.microsoft.com/office/spreadsheetml/2009/9/main" objectType="CheckBox" fmlaLink="B34" lockText="1" noThreeD="1"/>
</file>

<file path=xl/ctrlProps/ctrlProp385.xml><?xml version="1.0" encoding="utf-8"?>
<formControlPr xmlns="http://schemas.microsoft.com/office/spreadsheetml/2009/9/main" objectType="CheckBox" fmlaLink="G32" lockText="1" noThreeD="1"/>
</file>

<file path=xl/ctrlProps/ctrlProp386.xml><?xml version="1.0" encoding="utf-8"?>
<formControlPr xmlns="http://schemas.microsoft.com/office/spreadsheetml/2009/9/main" objectType="CheckBox" fmlaLink="G33" lockText="1" noThreeD="1"/>
</file>

<file path=xl/ctrlProps/ctrlProp387.xml><?xml version="1.0" encoding="utf-8"?>
<formControlPr xmlns="http://schemas.microsoft.com/office/spreadsheetml/2009/9/main" objectType="CheckBox" fmlaLink="G34" lockText="1" noThreeD="1"/>
</file>

<file path=xl/ctrlProps/ctrlProp388.xml><?xml version="1.0" encoding="utf-8"?>
<formControlPr xmlns="http://schemas.microsoft.com/office/spreadsheetml/2009/9/main" objectType="CheckBox" fmlaLink="L32" lockText="1" noThreeD="1"/>
</file>

<file path=xl/ctrlProps/ctrlProp389.xml><?xml version="1.0" encoding="utf-8"?>
<formControlPr xmlns="http://schemas.microsoft.com/office/spreadsheetml/2009/9/main" objectType="CheckBox" checked="Checked" fmlaLink="L33" lockText="1" noThreeD="1"/>
</file>

<file path=xl/ctrlProps/ctrlProp390.xml><?xml version="1.0" encoding="utf-8"?>
<formControlPr xmlns="http://schemas.microsoft.com/office/spreadsheetml/2009/9/main" objectType="CheckBox" checked="Checked" fmlaLink="B9" lockText="1" noThreeD="1"/>
</file>

<file path=xl/ctrlProps/ctrlProp391.xml><?xml version="1.0" encoding="utf-8"?>
<formControlPr xmlns="http://schemas.microsoft.com/office/spreadsheetml/2009/9/main" objectType="CheckBox" fmlaLink="G9" lockText="1" noThreeD="1"/>
</file>

<file path=xl/ctrlProps/ctrlProp392.xml><?xml version="1.0" encoding="utf-8"?>
<formControlPr xmlns="http://schemas.microsoft.com/office/spreadsheetml/2009/9/main" objectType="CheckBox" fmlaLink="G12" lockText="1" noThreeD="1"/>
</file>

<file path=xl/ctrlProps/ctrlProp393.xml><?xml version="1.0" encoding="utf-8"?>
<formControlPr xmlns="http://schemas.microsoft.com/office/spreadsheetml/2009/9/main" objectType="CheckBox" fmlaLink="G13" lockText="1" noThreeD="1"/>
</file>

<file path=xl/ctrlProps/ctrlProp394.xml><?xml version="1.0" encoding="utf-8"?>
<formControlPr xmlns="http://schemas.microsoft.com/office/spreadsheetml/2009/9/main" objectType="CheckBox" fmlaLink="G16" lockText="1" noThreeD="1"/>
</file>

<file path=xl/ctrlProps/ctrlProp395.xml><?xml version="1.0" encoding="utf-8"?>
<formControlPr xmlns="http://schemas.microsoft.com/office/spreadsheetml/2009/9/main" objectType="CheckBox" checked="Checked" fmlaLink="G17" lockText="1" noThreeD="1"/>
</file>

<file path=xl/ctrlProps/ctrlProp396.xml><?xml version="1.0" encoding="utf-8"?>
<formControlPr xmlns="http://schemas.microsoft.com/office/spreadsheetml/2009/9/main" objectType="CheckBox" fmlaLink="L16" lockText="1" noThreeD="1"/>
</file>

<file path=xl/ctrlProps/ctrlProp397.xml><?xml version="1.0" encoding="utf-8"?>
<formControlPr xmlns="http://schemas.microsoft.com/office/spreadsheetml/2009/9/main" objectType="CheckBox" fmlaLink="L17" lockText="1" noThreeD="1"/>
</file>

<file path=xl/ctrlProps/ctrlProp398.xml><?xml version="1.0" encoding="utf-8"?>
<formControlPr xmlns="http://schemas.microsoft.com/office/spreadsheetml/2009/9/main" objectType="CheckBox" fmlaLink="B16" lockText="1" noThreeD="1"/>
</file>

<file path=xl/ctrlProps/ctrlProp399.xml><?xml version="1.0" encoding="utf-8"?>
<formControlPr xmlns="http://schemas.microsoft.com/office/spreadsheetml/2009/9/main" objectType="CheckBox" fmlaLink="B17" lockText="1" noThreeD="1"/>
</file>

<file path=xl/ctrlProps/ctrlProp400.xml><?xml version="1.0" encoding="utf-8"?>
<formControlPr xmlns="http://schemas.microsoft.com/office/spreadsheetml/2009/9/main" objectType="CheckBox" fmlaLink="B12" lockText="1" noThreeD="1"/>
</file>

<file path=xl/ctrlProps/ctrlProp401.xml><?xml version="1.0" encoding="utf-8"?>
<formControlPr xmlns="http://schemas.microsoft.com/office/spreadsheetml/2009/9/main" objectType="CheckBox" checked="Checked" fmlaLink="B13" lockText="1" noThreeD="1"/>
</file>

<file path=xl/ctrlProps/ctrlProp402.xml><?xml version="1.0" encoding="utf-8"?>
<formControlPr xmlns="http://schemas.microsoft.com/office/spreadsheetml/2009/9/main" objectType="CheckBox" fmlaLink="B21" lockText="1" noThreeD="1"/>
</file>

<file path=xl/ctrlProps/ctrlProp403.xml><?xml version="1.0" encoding="utf-8"?>
<formControlPr xmlns="http://schemas.microsoft.com/office/spreadsheetml/2009/9/main" objectType="CheckBox" fmlaLink="B25" lockText="1" noThreeD="1"/>
</file>

<file path=xl/ctrlProps/ctrlProp404.xml><?xml version="1.0" encoding="utf-8"?>
<formControlPr xmlns="http://schemas.microsoft.com/office/spreadsheetml/2009/9/main" objectType="CheckBox" fmlaLink="G25" lockText="1" noThreeD="1"/>
</file>

<file path=xl/ctrlProps/ctrlProp405.xml><?xml version="1.0" encoding="utf-8"?>
<formControlPr xmlns="http://schemas.microsoft.com/office/spreadsheetml/2009/9/main" objectType="CheckBox" fmlaLink="L25" lockText="1" noThreeD="1"/>
</file>

<file path=xl/ctrlProps/ctrlProp406.xml><?xml version="1.0" encoding="utf-8"?>
<formControlPr xmlns="http://schemas.microsoft.com/office/spreadsheetml/2009/9/main" objectType="CheckBox" fmlaLink="G21" lockText="1" noThreeD="1"/>
</file>

<file path=xl/ctrlProps/ctrlProp407.xml><?xml version="1.0" encoding="utf-8"?>
<formControlPr xmlns="http://schemas.microsoft.com/office/spreadsheetml/2009/9/main" objectType="CheckBox" fmlaLink="B29" lockText="1" noThreeD="1"/>
</file>

<file path=xl/ctrlProps/ctrlProp408.xml><?xml version="1.0" encoding="utf-8"?>
<formControlPr xmlns="http://schemas.microsoft.com/office/spreadsheetml/2009/9/main" objectType="CheckBox" fmlaLink="G29" lockText="1" noThreeD="1"/>
</file>

<file path=xl/ctrlProps/ctrlProp409.xml><?xml version="1.0" encoding="utf-8"?>
<formControlPr xmlns="http://schemas.microsoft.com/office/spreadsheetml/2009/9/main" objectType="CheckBox" checked="Checked" fmlaLink="L29" lockText="1" noThreeD="1"/>
</file>

<file path=xl/ctrlProps/ctrlProp410.xml><?xml version="1.0" encoding="utf-8"?>
<formControlPr xmlns="http://schemas.microsoft.com/office/spreadsheetml/2009/9/main" objectType="CheckBox" fmlaLink="B38" lockText="1" noThreeD="1"/>
</file>

<file path=xl/ctrlProps/ctrlProp411.xml><?xml version="1.0" encoding="utf-8"?>
<formControlPr xmlns="http://schemas.microsoft.com/office/spreadsheetml/2009/9/main" objectType="CheckBox" fmlaLink="G38" lockText="1" noThreeD="1"/>
</file>

<file path=xl/ctrlProps/ctrlProp412.xml><?xml version="1.0" encoding="utf-8"?>
<formControlPr xmlns="http://schemas.microsoft.com/office/spreadsheetml/2009/9/main" objectType="CheckBox" fmlaLink="L38" lockText="1" noThreeD="1"/>
</file>

<file path=xl/ctrlProps/ctrlProp413.xml><?xml version="1.0" encoding="utf-8"?>
<formControlPr xmlns="http://schemas.microsoft.com/office/spreadsheetml/2009/9/main" objectType="CheckBox" fmlaLink="B44" lockText="1" noThreeD="1"/>
</file>

<file path=xl/ctrlProps/ctrlProp414.xml><?xml version="1.0" encoding="utf-8"?>
<formControlPr xmlns="http://schemas.microsoft.com/office/spreadsheetml/2009/9/main" objectType="CheckBox" checked="Checked" fmlaLink="G44" lockText="1" noThreeD="1"/>
</file>

<file path=xl/ctrlProps/ctrlProp415.xml><?xml version="1.0" encoding="utf-8"?>
<formControlPr xmlns="http://schemas.microsoft.com/office/spreadsheetml/2009/9/main" objectType="CheckBox" checked="Checked" fmlaLink="B39" lockText="1" noThreeD="1"/>
</file>

<file path=xl/ctrlProps/ctrlProp416.xml><?xml version="1.0" encoding="utf-8"?>
<formControlPr xmlns="http://schemas.microsoft.com/office/spreadsheetml/2009/9/main" objectType="CheckBox" fmlaLink="B18" lockText="1" noThreeD="1"/>
</file>

<file path=xl/ctrlProps/ctrlProp417.xml><?xml version="1.0" encoding="utf-8"?>
<formControlPr xmlns="http://schemas.microsoft.com/office/spreadsheetml/2009/9/main" objectType="CheckBox" fmlaLink="B32" lockText="1" noThreeD="1"/>
</file>

<file path=xl/ctrlProps/ctrlProp418.xml><?xml version="1.0" encoding="utf-8"?>
<formControlPr xmlns="http://schemas.microsoft.com/office/spreadsheetml/2009/9/main" objectType="CheckBox" fmlaLink="B33" lockText="1" noThreeD="1"/>
</file>

<file path=xl/ctrlProps/ctrlProp419.xml><?xml version="1.0" encoding="utf-8"?>
<formControlPr xmlns="http://schemas.microsoft.com/office/spreadsheetml/2009/9/main" objectType="CheckBox" fmlaLink="B34" lockText="1" noThreeD="1"/>
</file>

<file path=xl/ctrlProps/ctrlProp420.xml><?xml version="1.0" encoding="utf-8"?>
<formControlPr xmlns="http://schemas.microsoft.com/office/spreadsheetml/2009/9/main" objectType="CheckBox" fmlaLink="G32" lockText="1" noThreeD="1"/>
</file>

<file path=xl/ctrlProps/ctrlProp421.xml><?xml version="1.0" encoding="utf-8"?>
<formControlPr xmlns="http://schemas.microsoft.com/office/spreadsheetml/2009/9/main" objectType="CheckBox" fmlaLink="G33"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2" lockText="1" noThreeD="1"/>
</file>

<file path=xl/ctrlProps/ctrlProp424.xml><?xml version="1.0" encoding="utf-8"?>
<formControlPr xmlns="http://schemas.microsoft.com/office/spreadsheetml/2009/9/main" objectType="CheckBox" checked="Checked" fmlaLink="L33" lockText="1" noThreeD="1"/>
</file>

<file path=xl/ctrlProps/ctrlProp425.xml><?xml version="1.0" encoding="utf-8"?>
<formControlPr xmlns="http://schemas.microsoft.com/office/spreadsheetml/2009/9/main" objectType="CheckBox" checked="Checked" fmlaLink="B9" lockText="1" noThreeD="1"/>
</file>

<file path=xl/ctrlProps/ctrlProp426.xml><?xml version="1.0" encoding="utf-8"?>
<formControlPr xmlns="http://schemas.microsoft.com/office/spreadsheetml/2009/9/main" objectType="CheckBox" fmlaLink="G9" lockText="1" noThreeD="1"/>
</file>

<file path=xl/ctrlProps/ctrlProp427.xml><?xml version="1.0" encoding="utf-8"?>
<formControlPr xmlns="http://schemas.microsoft.com/office/spreadsheetml/2009/9/main" objectType="CheckBox" fmlaLink="G12" lockText="1" noThreeD="1"/>
</file>

<file path=xl/ctrlProps/ctrlProp428.xml><?xml version="1.0" encoding="utf-8"?>
<formControlPr xmlns="http://schemas.microsoft.com/office/spreadsheetml/2009/9/main" objectType="CheckBox" fmlaLink="G13" lockText="1" noThreeD="1"/>
</file>

<file path=xl/ctrlProps/ctrlProp429.xml><?xml version="1.0" encoding="utf-8"?>
<formControlPr xmlns="http://schemas.microsoft.com/office/spreadsheetml/2009/9/main" objectType="CheckBox" fmlaLink="G16" lockText="1" noThreeD="1"/>
</file>

<file path=xl/ctrlProps/ctrlProp430.xml><?xml version="1.0" encoding="utf-8"?>
<formControlPr xmlns="http://schemas.microsoft.com/office/spreadsheetml/2009/9/main" objectType="CheckBox" checked="Checked" fmlaLink="G17" lockText="1" noThreeD="1"/>
</file>

<file path=xl/ctrlProps/ctrlProp431.xml><?xml version="1.0" encoding="utf-8"?>
<formControlPr xmlns="http://schemas.microsoft.com/office/spreadsheetml/2009/9/main" objectType="CheckBox" checked="Checked" fmlaLink="L16" lockText="1" noThreeD="1"/>
</file>

<file path=xl/ctrlProps/ctrlProp432.xml><?xml version="1.0" encoding="utf-8"?>
<formControlPr xmlns="http://schemas.microsoft.com/office/spreadsheetml/2009/9/main" objectType="CheckBox" fmlaLink="L17" lockText="1" noThreeD="1"/>
</file>

<file path=xl/ctrlProps/ctrlProp433.xml><?xml version="1.0" encoding="utf-8"?>
<formControlPr xmlns="http://schemas.microsoft.com/office/spreadsheetml/2009/9/main" objectType="CheckBox" fmlaLink="B16" lockText="1" noThreeD="1"/>
</file>

<file path=xl/ctrlProps/ctrlProp434.xml><?xml version="1.0" encoding="utf-8"?>
<formControlPr xmlns="http://schemas.microsoft.com/office/spreadsheetml/2009/9/main" objectType="CheckBox" fmlaLink="B17" lockText="1" noThreeD="1"/>
</file>

<file path=xl/ctrlProps/ctrlProp435.xml><?xml version="1.0" encoding="utf-8"?>
<formControlPr xmlns="http://schemas.microsoft.com/office/spreadsheetml/2009/9/main" objectType="CheckBox" checked="Checked" fmlaLink="B12" lockText="1" noThreeD="1"/>
</file>

<file path=xl/ctrlProps/ctrlProp436.xml><?xml version="1.0" encoding="utf-8"?>
<formControlPr xmlns="http://schemas.microsoft.com/office/spreadsheetml/2009/9/main" objectType="CheckBox" fmlaLink="B13" lockText="1" noThreeD="1"/>
</file>

<file path=xl/ctrlProps/ctrlProp437.xml><?xml version="1.0" encoding="utf-8"?>
<formControlPr xmlns="http://schemas.microsoft.com/office/spreadsheetml/2009/9/main" objectType="CheckBox" fmlaLink="B21" lockText="1" noThreeD="1"/>
</file>

<file path=xl/ctrlProps/ctrlProp438.xml><?xml version="1.0" encoding="utf-8"?>
<formControlPr xmlns="http://schemas.microsoft.com/office/spreadsheetml/2009/9/main" objectType="CheckBox" fmlaLink="B25" lockText="1" noThreeD="1"/>
</file>

<file path=xl/ctrlProps/ctrlProp439.xml><?xml version="1.0" encoding="utf-8"?>
<formControlPr xmlns="http://schemas.microsoft.com/office/spreadsheetml/2009/9/main" objectType="CheckBox" fmlaLink="G25" lockText="1" noThreeD="1"/>
</file>

<file path=xl/ctrlProps/ctrlProp440.xml><?xml version="1.0" encoding="utf-8"?>
<formControlPr xmlns="http://schemas.microsoft.com/office/spreadsheetml/2009/9/main" objectType="CheckBox" fmlaLink="L25" lockText="1" noThreeD="1"/>
</file>

<file path=xl/ctrlProps/ctrlProp441.xml><?xml version="1.0" encoding="utf-8"?>
<formControlPr xmlns="http://schemas.microsoft.com/office/spreadsheetml/2009/9/main" objectType="CheckBox" fmlaLink="G21" lockText="1" noThreeD="1"/>
</file>

<file path=xl/ctrlProps/ctrlProp442.xml><?xml version="1.0" encoding="utf-8"?>
<formControlPr xmlns="http://schemas.microsoft.com/office/spreadsheetml/2009/9/main" objectType="CheckBox" fmlaLink="B29" lockText="1" noThreeD="1"/>
</file>

<file path=xl/ctrlProps/ctrlProp443.xml><?xml version="1.0" encoding="utf-8"?>
<formControlPr xmlns="http://schemas.microsoft.com/office/spreadsheetml/2009/9/main" objectType="CheckBox" fmlaLink="G29" lockText="1" noThreeD="1"/>
</file>

<file path=xl/ctrlProps/ctrlProp444.xml><?xml version="1.0" encoding="utf-8"?>
<formControlPr xmlns="http://schemas.microsoft.com/office/spreadsheetml/2009/9/main" objectType="CheckBox" checked="Checked" fmlaLink="L29" lockText="1" noThreeD="1"/>
</file>

<file path=xl/ctrlProps/ctrlProp445.xml><?xml version="1.0" encoding="utf-8"?>
<formControlPr xmlns="http://schemas.microsoft.com/office/spreadsheetml/2009/9/main" objectType="CheckBox" fmlaLink="B38" lockText="1" noThreeD="1"/>
</file>

<file path=xl/ctrlProps/ctrlProp446.xml><?xml version="1.0" encoding="utf-8"?>
<formControlPr xmlns="http://schemas.microsoft.com/office/spreadsheetml/2009/9/main" objectType="CheckBox" checked="Checked" fmlaLink="G38" lockText="1" noThreeD="1"/>
</file>

<file path=xl/ctrlProps/ctrlProp447.xml><?xml version="1.0" encoding="utf-8"?>
<formControlPr xmlns="http://schemas.microsoft.com/office/spreadsheetml/2009/9/main" objectType="CheckBox" fmlaLink="L38" lockText="1" noThreeD="1"/>
</file>

<file path=xl/ctrlProps/ctrlProp448.xml><?xml version="1.0" encoding="utf-8"?>
<formControlPr xmlns="http://schemas.microsoft.com/office/spreadsheetml/2009/9/main" objectType="CheckBox" fmlaLink="B44" lockText="1" noThreeD="1"/>
</file>

<file path=xl/ctrlProps/ctrlProp449.xml><?xml version="1.0" encoding="utf-8"?>
<formControlPr xmlns="http://schemas.microsoft.com/office/spreadsheetml/2009/9/main" objectType="CheckBox" checked="Checked" fmlaLink="G44" lockText="1" noThreeD="1"/>
</file>

<file path=xl/ctrlProps/ctrlProp450.xml><?xml version="1.0" encoding="utf-8"?>
<formControlPr xmlns="http://schemas.microsoft.com/office/spreadsheetml/2009/9/main" objectType="CheckBox" fmlaLink="B39" lockText="1" noThreeD="1"/>
</file>

<file path=xl/ctrlProps/ctrlProp451.xml><?xml version="1.0" encoding="utf-8"?>
<formControlPr xmlns="http://schemas.microsoft.com/office/spreadsheetml/2009/9/main" objectType="CheckBox" fmlaLink="B18" lockText="1" noThreeD="1"/>
</file>

<file path=xl/ctrlProps/ctrlProp452.xml><?xml version="1.0" encoding="utf-8"?>
<formControlPr xmlns="http://schemas.microsoft.com/office/spreadsheetml/2009/9/main" objectType="CheckBox" fmlaLink="B32" lockText="1" noThreeD="1"/>
</file>

<file path=xl/ctrlProps/ctrlProp453.xml><?xml version="1.0" encoding="utf-8"?>
<formControlPr xmlns="http://schemas.microsoft.com/office/spreadsheetml/2009/9/main" objectType="CheckBox" fmlaLink="B33" lockText="1" noThreeD="1"/>
</file>

<file path=xl/ctrlProps/ctrlProp454.xml><?xml version="1.0" encoding="utf-8"?>
<formControlPr xmlns="http://schemas.microsoft.com/office/spreadsheetml/2009/9/main" objectType="CheckBox" fmlaLink="B34" lockText="1" noThreeD="1"/>
</file>

<file path=xl/ctrlProps/ctrlProp455.xml><?xml version="1.0" encoding="utf-8"?>
<formControlPr xmlns="http://schemas.microsoft.com/office/spreadsheetml/2009/9/main" objectType="CheckBox" fmlaLink="G32" lockText="1" noThreeD="1"/>
</file>

<file path=xl/ctrlProps/ctrlProp456.xml><?xml version="1.0" encoding="utf-8"?>
<formControlPr xmlns="http://schemas.microsoft.com/office/spreadsheetml/2009/9/main" objectType="CheckBox" fmlaLink="G33" lockText="1" noThreeD="1"/>
</file>

<file path=xl/ctrlProps/ctrlProp457.xml><?xml version="1.0" encoding="utf-8"?>
<formControlPr xmlns="http://schemas.microsoft.com/office/spreadsheetml/2009/9/main" objectType="CheckBox" fmlaLink="G34" lockText="1" noThreeD="1"/>
</file>

<file path=xl/ctrlProps/ctrlProp458.xml><?xml version="1.0" encoding="utf-8"?>
<formControlPr xmlns="http://schemas.microsoft.com/office/spreadsheetml/2009/9/main" objectType="CheckBox" fmlaLink="L32" lockText="1" noThreeD="1"/>
</file>

<file path=xl/ctrlProps/ctrlProp459.xml><?xml version="1.0" encoding="utf-8"?>
<formControlPr xmlns="http://schemas.microsoft.com/office/spreadsheetml/2009/9/main" objectType="CheckBox" checked="Checked" fmlaLink="L33" lockText="1" noThreeD="1"/>
</file>

<file path=xl/ctrlProps/ctrlProp460.xml><?xml version="1.0" encoding="utf-8"?>
<formControlPr xmlns="http://schemas.microsoft.com/office/spreadsheetml/2009/9/main" objectType="CheckBox" checked="Checked" fmlaLink="B9" lockText="1" noThreeD="1"/>
</file>

<file path=xl/ctrlProps/ctrlProp461.xml><?xml version="1.0" encoding="utf-8"?>
<formControlPr xmlns="http://schemas.microsoft.com/office/spreadsheetml/2009/9/main" objectType="CheckBox" fmlaLink="G9" lockText="1" noThreeD="1"/>
</file>

<file path=xl/ctrlProps/ctrlProp462.xml><?xml version="1.0" encoding="utf-8"?>
<formControlPr xmlns="http://schemas.microsoft.com/office/spreadsheetml/2009/9/main" objectType="CheckBox" fmlaLink="G12" lockText="1" noThreeD="1"/>
</file>

<file path=xl/ctrlProps/ctrlProp463.xml><?xml version="1.0" encoding="utf-8"?>
<formControlPr xmlns="http://schemas.microsoft.com/office/spreadsheetml/2009/9/main" objectType="CheckBox" fmlaLink="G13" lockText="1" noThreeD="1"/>
</file>

<file path=xl/ctrlProps/ctrlProp464.xml><?xml version="1.0" encoding="utf-8"?>
<formControlPr xmlns="http://schemas.microsoft.com/office/spreadsheetml/2009/9/main" objectType="CheckBox" fmlaLink="G16" lockText="1" noThreeD="1"/>
</file>

<file path=xl/ctrlProps/ctrlProp465.xml><?xml version="1.0" encoding="utf-8"?>
<formControlPr xmlns="http://schemas.microsoft.com/office/spreadsheetml/2009/9/main" objectType="CheckBox" checked="Checked" fmlaLink="G17" lockText="1" noThreeD="1"/>
</file>

<file path=xl/ctrlProps/ctrlProp466.xml><?xml version="1.0" encoding="utf-8"?>
<formControlPr xmlns="http://schemas.microsoft.com/office/spreadsheetml/2009/9/main" objectType="CheckBox" checked="Checked" fmlaLink="L16" lockText="1" noThreeD="1"/>
</file>

<file path=xl/ctrlProps/ctrlProp467.xml><?xml version="1.0" encoding="utf-8"?>
<formControlPr xmlns="http://schemas.microsoft.com/office/spreadsheetml/2009/9/main" objectType="CheckBox" fmlaLink="L17" lockText="1" noThreeD="1"/>
</file>

<file path=xl/ctrlProps/ctrlProp468.xml><?xml version="1.0" encoding="utf-8"?>
<formControlPr xmlns="http://schemas.microsoft.com/office/spreadsheetml/2009/9/main" objectType="CheckBox" fmlaLink="B16" lockText="1" noThreeD="1"/>
</file>

<file path=xl/ctrlProps/ctrlProp469.xml><?xml version="1.0" encoding="utf-8"?>
<formControlPr xmlns="http://schemas.microsoft.com/office/spreadsheetml/2009/9/main" objectType="CheckBox" fmlaLink="B17" lockText="1" noThreeD="1"/>
</file>

<file path=xl/ctrlProps/ctrlProp470.xml><?xml version="1.0" encoding="utf-8"?>
<formControlPr xmlns="http://schemas.microsoft.com/office/spreadsheetml/2009/9/main" objectType="CheckBox" checked="Checked" fmlaLink="B12" lockText="1" noThreeD="1"/>
</file>

<file path=xl/ctrlProps/ctrlProp471.xml><?xml version="1.0" encoding="utf-8"?>
<formControlPr xmlns="http://schemas.microsoft.com/office/spreadsheetml/2009/9/main" objectType="CheckBox" fmlaLink="B13" lockText="1" noThreeD="1"/>
</file>

<file path=xl/ctrlProps/ctrlProp472.xml><?xml version="1.0" encoding="utf-8"?>
<formControlPr xmlns="http://schemas.microsoft.com/office/spreadsheetml/2009/9/main" objectType="CheckBox" fmlaLink="B21" lockText="1" noThreeD="1"/>
</file>

<file path=xl/ctrlProps/ctrlProp473.xml><?xml version="1.0" encoding="utf-8"?>
<formControlPr xmlns="http://schemas.microsoft.com/office/spreadsheetml/2009/9/main" objectType="CheckBox" fmlaLink="B25" lockText="1" noThreeD="1"/>
</file>

<file path=xl/ctrlProps/ctrlProp474.xml><?xml version="1.0" encoding="utf-8"?>
<formControlPr xmlns="http://schemas.microsoft.com/office/spreadsheetml/2009/9/main" objectType="CheckBox" fmlaLink="G25" lockText="1" noThreeD="1"/>
</file>

<file path=xl/ctrlProps/ctrlProp475.xml><?xml version="1.0" encoding="utf-8"?>
<formControlPr xmlns="http://schemas.microsoft.com/office/spreadsheetml/2009/9/main" objectType="CheckBox" fmlaLink="L25" lockText="1" noThreeD="1"/>
</file>

<file path=xl/ctrlProps/ctrlProp476.xml><?xml version="1.0" encoding="utf-8"?>
<formControlPr xmlns="http://schemas.microsoft.com/office/spreadsheetml/2009/9/main" objectType="CheckBox" fmlaLink="G21" lockText="1" noThreeD="1"/>
</file>

<file path=xl/ctrlProps/ctrlProp477.xml><?xml version="1.0" encoding="utf-8"?>
<formControlPr xmlns="http://schemas.microsoft.com/office/spreadsheetml/2009/9/main" objectType="CheckBox" fmlaLink="B29" lockText="1" noThreeD="1"/>
</file>

<file path=xl/ctrlProps/ctrlProp478.xml><?xml version="1.0" encoding="utf-8"?>
<formControlPr xmlns="http://schemas.microsoft.com/office/spreadsheetml/2009/9/main" objectType="CheckBox" fmlaLink="G29" lockText="1" noThreeD="1"/>
</file>

<file path=xl/ctrlProps/ctrlProp479.xml><?xml version="1.0" encoding="utf-8"?>
<formControlPr xmlns="http://schemas.microsoft.com/office/spreadsheetml/2009/9/main" objectType="CheckBox" checked="Checked" fmlaLink="L29" lockText="1" noThreeD="1"/>
</file>

<file path=xl/ctrlProps/ctrlProp480.xml><?xml version="1.0" encoding="utf-8"?>
<formControlPr xmlns="http://schemas.microsoft.com/office/spreadsheetml/2009/9/main" objectType="CheckBox" fmlaLink="B38" lockText="1" noThreeD="1"/>
</file>

<file path=xl/ctrlProps/ctrlProp481.xml><?xml version="1.0" encoding="utf-8"?>
<formControlPr xmlns="http://schemas.microsoft.com/office/spreadsheetml/2009/9/main" objectType="CheckBox" checked="Checked" fmlaLink="G38" lockText="1" noThreeD="1"/>
</file>

<file path=xl/ctrlProps/ctrlProp482.xml><?xml version="1.0" encoding="utf-8"?>
<formControlPr xmlns="http://schemas.microsoft.com/office/spreadsheetml/2009/9/main" objectType="CheckBox" fmlaLink="L38" lockText="1" noThreeD="1"/>
</file>

<file path=xl/ctrlProps/ctrlProp483.xml><?xml version="1.0" encoding="utf-8"?>
<formControlPr xmlns="http://schemas.microsoft.com/office/spreadsheetml/2009/9/main" objectType="CheckBox" fmlaLink="B44" lockText="1" noThreeD="1"/>
</file>

<file path=xl/ctrlProps/ctrlProp484.xml><?xml version="1.0" encoding="utf-8"?>
<formControlPr xmlns="http://schemas.microsoft.com/office/spreadsheetml/2009/9/main" objectType="CheckBox" checked="Checked" fmlaLink="G44" lockText="1" noThreeD="1"/>
</file>

<file path=xl/ctrlProps/ctrlProp485.xml><?xml version="1.0" encoding="utf-8"?>
<formControlPr xmlns="http://schemas.microsoft.com/office/spreadsheetml/2009/9/main" objectType="CheckBox" fmlaLink="B39" lockText="1" noThreeD="1"/>
</file>

<file path=xl/ctrlProps/ctrlProp486.xml><?xml version="1.0" encoding="utf-8"?>
<formControlPr xmlns="http://schemas.microsoft.com/office/spreadsheetml/2009/9/main" objectType="CheckBox" fmlaLink="B18" lockText="1" noThreeD="1"/>
</file>

<file path=xl/ctrlProps/ctrlProp487.xml><?xml version="1.0" encoding="utf-8"?>
<formControlPr xmlns="http://schemas.microsoft.com/office/spreadsheetml/2009/9/main" objectType="CheckBox" fmlaLink="B32" lockText="1" noThreeD="1"/>
</file>

<file path=xl/ctrlProps/ctrlProp488.xml><?xml version="1.0" encoding="utf-8"?>
<formControlPr xmlns="http://schemas.microsoft.com/office/spreadsheetml/2009/9/main" objectType="CheckBox" fmlaLink="B33" lockText="1" noThreeD="1"/>
</file>

<file path=xl/ctrlProps/ctrlProp489.xml><?xml version="1.0" encoding="utf-8"?>
<formControlPr xmlns="http://schemas.microsoft.com/office/spreadsheetml/2009/9/main" objectType="CheckBox" fmlaLink="B34" lockText="1" noThreeD="1"/>
</file>

<file path=xl/ctrlProps/ctrlProp490.xml><?xml version="1.0" encoding="utf-8"?>
<formControlPr xmlns="http://schemas.microsoft.com/office/spreadsheetml/2009/9/main" objectType="CheckBox" fmlaLink="G32" lockText="1" noThreeD="1"/>
</file>

<file path=xl/ctrlProps/ctrlProp491.xml><?xml version="1.0" encoding="utf-8"?>
<formControlPr xmlns="http://schemas.microsoft.com/office/spreadsheetml/2009/9/main" objectType="CheckBox" fmlaLink="G33" lockText="1" noThreeD="1"/>
</file>

<file path=xl/ctrlProps/ctrlProp492.xml><?xml version="1.0" encoding="utf-8"?>
<formControlPr xmlns="http://schemas.microsoft.com/office/spreadsheetml/2009/9/main" objectType="CheckBox" fmlaLink="G34" lockText="1" noThreeD="1"/>
</file>

<file path=xl/ctrlProps/ctrlProp493.xml><?xml version="1.0" encoding="utf-8"?>
<formControlPr xmlns="http://schemas.microsoft.com/office/spreadsheetml/2009/9/main" objectType="CheckBox" fmlaLink="L32" lockText="1" noThreeD="1"/>
</file>

<file path=xl/ctrlProps/ctrlProp494.xml><?xml version="1.0" encoding="utf-8"?>
<formControlPr xmlns="http://schemas.microsoft.com/office/spreadsheetml/2009/9/main" objectType="CheckBox" checked="Checked" fmlaLink="L33" lockText="1" noThreeD="1"/>
</file>

<file path=xl/ctrlProps/ctrlProp495.xml><?xml version="1.0" encoding="utf-8"?>
<formControlPr xmlns="http://schemas.microsoft.com/office/spreadsheetml/2009/9/main" objectType="CheckBox" checked="Checked" fmlaLink="B9" lockText="1" noThreeD="1"/>
</file>

<file path=xl/ctrlProps/ctrlProp496.xml><?xml version="1.0" encoding="utf-8"?>
<formControlPr xmlns="http://schemas.microsoft.com/office/spreadsheetml/2009/9/main" objectType="CheckBox" fmlaLink="G9" lockText="1" noThreeD="1"/>
</file>

<file path=xl/ctrlProps/ctrlProp497.xml><?xml version="1.0" encoding="utf-8"?>
<formControlPr xmlns="http://schemas.microsoft.com/office/spreadsheetml/2009/9/main" objectType="CheckBox" fmlaLink="G12" lockText="1" noThreeD="1"/>
</file>

<file path=xl/ctrlProps/ctrlProp498.xml><?xml version="1.0" encoding="utf-8"?>
<formControlPr xmlns="http://schemas.microsoft.com/office/spreadsheetml/2009/9/main" objectType="CheckBox" fmlaLink="G13" lockText="1" noThreeD="1"/>
</file>

<file path=xl/ctrlProps/ctrlProp499.xml><?xml version="1.0" encoding="utf-8"?>
<formControlPr xmlns="http://schemas.microsoft.com/office/spreadsheetml/2009/9/main" objectType="CheckBox" fmlaLink="G16" lockText="1" noThreeD="1"/>
</file>

<file path=xl/ctrlProps/ctrlProp500.xml><?xml version="1.0" encoding="utf-8"?>
<formControlPr xmlns="http://schemas.microsoft.com/office/spreadsheetml/2009/9/main" objectType="CheckBox" checked="Checked" fmlaLink="G17" lockText="1" noThreeD="1"/>
</file>

<file path=xl/ctrlProps/ctrlProp501.xml><?xml version="1.0" encoding="utf-8"?>
<formControlPr xmlns="http://schemas.microsoft.com/office/spreadsheetml/2009/9/main" objectType="CheckBox" fmlaLink="L16" lockText="1" noThreeD="1"/>
</file>

<file path=xl/ctrlProps/ctrlProp502.xml><?xml version="1.0" encoding="utf-8"?>
<formControlPr xmlns="http://schemas.microsoft.com/office/spreadsheetml/2009/9/main" objectType="CheckBox" fmlaLink="L17" lockText="1" noThreeD="1"/>
</file>

<file path=xl/ctrlProps/ctrlProp503.xml><?xml version="1.0" encoding="utf-8"?>
<formControlPr xmlns="http://schemas.microsoft.com/office/spreadsheetml/2009/9/main" objectType="CheckBox" fmlaLink="B16" lockText="1" noThreeD="1"/>
</file>

<file path=xl/ctrlProps/ctrlProp504.xml><?xml version="1.0" encoding="utf-8"?>
<formControlPr xmlns="http://schemas.microsoft.com/office/spreadsheetml/2009/9/main" objectType="CheckBox" fmlaLink="B17" lockText="1" noThreeD="1"/>
</file>

<file path=xl/ctrlProps/ctrlProp505.xml><?xml version="1.0" encoding="utf-8"?>
<formControlPr xmlns="http://schemas.microsoft.com/office/spreadsheetml/2009/9/main" objectType="CheckBox" checked="Checked" fmlaLink="B12" lockText="1" noThreeD="1"/>
</file>

<file path=xl/ctrlProps/ctrlProp506.xml><?xml version="1.0" encoding="utf-8"?>
<formControlPr xmlns="http://schemas.microsoft.com/office/spreadsheetml/2009/9/main" objectType="CheckBox" fmlaLink="B13" lockText="1" noThreeD="1"/>
</file>

<file path=xl/ctrlProps/ctrlProp507.xml><?xml version="1.0" encoding="utf-8"?>
<formControlPr xmlns="http://schemas.microsoft.com/office/spreadsheetml/2009/9/main" objectType="CheckBox" fmlaLink="B21" lockText="1" noThreeD="1"/>
</file>

<file path=xl/ctrlProps/ctrlProp508.xml><?xml version="1.0" encoding="utf-8"?>
<formControlPr xmlns="http://schemas.microsoft.com/office/spreadsheetml/2009/9/main" objectType="CheckBox" fmlaLink="B25" lockText="1" noThreeD="1"/>
</file>

<file path=xl/ctrlProps/ctrlProp509.xml><?xml version="1.0" encoding="utf-8"?>
<formControlPr xmlns="http://schemas.microsoft.com/office/spreadsheetml/2009/9/main" objectType="CheckBox" fmlaLink="G25" lockText="1" noThreeD="1"/>
</file>

<file path=xl/ctrlProps/ctrlProp510.xml><?xml version="1.0" encoding="utf-8"?>
<formControlPr xmlns="http://schemas.microsoft.com/office/spreadsheetml/2009/9/main" objectType="CheckBox" fmlaLink="L25" lockText="1" noThreeD="1"/>
</file>

<file path=xl/ctrlProps/ctrlProp511.xml><?xml version="1.0" encoding="utf-8"?>
<formControlPr xmlns="http://schemas.microsoft.com/office/spreadsheetml/2009/9/main" objectType="CheckBox" fmlaLink="G21" lockText="1" noThreeD="1"/>
</file>

<file path=xl/ctrlProps/ctrlProp512.xml><?xml version="1.0" encoding="utf-8"?>
<formControlPr xmlns="http://schemas.microsoft.com/office/spreadsheetml/2009/9/main" objectType="CheckBox" fmlaLink="B29" lockText="1" noThreeD="1"/>
</file>

<file path=xl/ctrlProps/ctrlProp513.xml><?xml version="1.0" encoding="utf-8"?>
<formControlPr xmlns="http://schemas.microsoft.com/office/spreadsheetml/2009/9/main" objectType="CheckBox" fmlaLink="G29" lockText="1" noThreeD="1"/>
</file>

<file path=xl/ctrlProps/ctrlProp514.xml><?xml version="1.0" encoding="utf-8"?>
<formControlPr xmlns="http://schemas.microsoft.com/office/spreadsheetml/2009/9/main" objectType="CheckBox" checked="Checked" fmlaLink="L29" lockText="1" noThreeD="1"/>
</file>

<file path=xl/ctrlProps/ctrlProp515.xml><?xml version="1.0" encoding="utf-8"?>
<formControlPr xmlns="http://schemas.microsoft.com/office/spreadsheetml/2009/9/main" objectType="CheckBox" fmlaLink="B38" lockText="1" noThreeD="1"/>
</file>

<file path=xl/ctrlProps/ctrlProp516.xml><?xml version="1.0" encoding="utf-8"?>
<formControlPr xmlns="http://schemas.microsoft.com/office/spreadsheetml/2009/9/main" objectType="CheckBox" checked="Checked" fmlaLink="G38" lockText="1" noThreeD="1"/>
</file>

<file path=xl/ctrlProps/ctrlProp517.xml><?xml version="1.0" encoding="utf-8"?>
<formControlPr xmlns="http://schemas.microsoft.com/office/spreadsheetml/2009/9/main" objectType="CheckBox" fmlaLink="L38" lockText="1" noThreeD="1"/>
</file>

<file path=xl/ctrlProps/ctrlProp518.xml><?xml version="1.0" encoding="utf-8"?>
<formControlPr xmlns="http://schemas.microsoft.com/office/spreadsheetml/2009/9/main" objectType="CheckBox" fmlaLink="B44" lockText="1" noThreeD="1"/>
</file>

<file path=xl/ctrlProps/ctrlProp519.xml><?xml version="1.0" encoding="utf-8"?>
<formControlPr xmlns="http://schemas.microsoft.com/office/spreadsheetml/2009/9/main" objectType="CheckBox" checked="Checked" fmlaLink="G44" lockText="1" noThreeD="1"/>
</file>

<file path=xl/ctrlProps/ctrlProp520.xml><?xml version="1.0" encoding="utf-8"?>
<formControlPr xmlns="http://schemas.microsoft.com/office/spreadsheetml/2009/9/main" objectType="CheckBox" fmlaLink="B39" lockText="1" noThreeD="1"/>
</file>

<file path=xl/ctrlProps/ctrlProp521.xml><?xml version="1.0" encoding="utf-8"?>
<formControlPr xmlns="http://schemas.microsoft.com/office/spreadsheetml/2009/9/main" objectType="CheckBox" fmlaLink="B18" lockText="1" noThreeD="1"/>
</file>

<file path=xl/ctrlProps/ctrlProp522.xml><?xml version="1.0" encoding="utf-8"?>
<formControlPr xmlns="http://schemas.microsoft.com/office/spreadsheetml/2009/9/main" objectType="CheckBox" fmlaLink="B32" lockText="1" noThreeD="1"/>
</file>

<file path=xl/ctrlProps/ctrlProp523.xml><?xml version="1.0" encoding="utf-8"?>
<formControlPr xmlns="http://schemas.microsoft.com/office/spreadsheetml/2009/9/main" objectType="CheckBox" fmlaLink="B33" lockText="1" noThreeD="1"/>
</file>

<file path=xl/ctrlProps/ctrlProp524.xml><?xml version="1.0" encoding="utf-8"?>
<formControlPr xmlns="http://schemas.microsoft.com/office/spreadsheetml/2009/9/main" objectType="CheckBox" fmlaLink="B34" lockText="1" noThreeD="1"/>
</file>

<file path=xl/ctrlProps/ctrlProp525.xml><?xml version="1.0" encoding="utf-8"?>
<formControlPr xmlns="http://schemas.microsoft.com/office/spreadsheetml/2009/9/main" objectType="CheckBox" fmlaLink="G32" lockText="1" noThreeD="1"/>
</file>

<file path=xl/ctrlProps/ctrlProp526.xml><?xml version="1.0" encoding="utf-8"?>
<formControlPr xmlns="http://schemas.microsoft.com/office/spreadsheetml/2009/9/main" objectType="CheckBox" fmlaLink="G33" lockText="1" noThreeD="1"/>
</file>

<file path=xl/ctrlProps/ctrlProp527.xml><?xml version="1.0" encoding="utf-8"?>
<formControlPr xmlns="http://schemas.microsoft.com/office/spreadsheetml/2009/9/main" objectType="CheckBox" fmlaLink="G34" lockText="1" noThreeD="1"/>
</file>

<file path=xl/ctrlProps/ctrlProp528.xml><?xml version="1.0" encoding="utf-8"?>
<formControlPr xmlns="http://schemas.microsoft.com/office/spreadsheetml/2009/9/main" objectType="CheckBox" fmlaLink="L32" lockText="1" noThreeD="1"/>
</file>

<file path=xl/ctrlProps/ctrlProp529.xml><?xml version="1.0" encoding="utf-8"?>
<formControlPr xmlns="http://schemas.microsoft.com/office/spreadsheetml/2009/9/main" objectType="CheckBox" checked="Checked" fmlaLink="L33" lockText="1" noThreeD="1"/>
</file>

<file path=xl/ctrlProps/ctrlProp530.xml><?xml version="1.0" encoding="utf-8"?>
<formControlPr xmlns="http://schemas.microsoft.com/office/spreadsheetml/2009/9/main" objectType="CheckBox" checked="Checked" fmlaLink="B9" lockText="1" noThreeD="1"/>
</file>

<file path=xl/ctrlProps/ctrlProp531.xml><?xml version="1.0" encoding="utf-8"?>
<formControlPr xmlns="http://schemas.microsoft.com/office/spreadsheetml/2009/9/main" objectType="CheckBox" fmlaLink="G9" lockText="1" noThreeD="1"/>
</file>

<file path=xl/ctrlProps/ctrlProp532.xml><?xml version="1.0" encoding="utf-8"?>
<formControlPr xmlns="http://schemas.microsoft.com/office/spreadsheetml/2009/9/main" objectType="CheckBox" fmlaLink="G12" lockText="1" noThreeD="1"/>
</file>

<file path=xl/ctrlProps/ctrlProp533.xml><?xml version="1.0" encoding="utf-8"?>
<formControlPr xmlns="http://schemas.microsoft.com/office/spreadsheetml/2009/9/main" objectType="CheckBox" fmlaLink="G13" lockText="1" noThreeD="1"/>
</file>

<file path=xl/ctrlProps/ctrlProp534.xml><?xml version="1.0" encoding="utf-8"?>
<formControlPr xmlns="http://schemas.microsoft.com/office/spreadsheetml/2009/9/main" objectType="CheckBox" fmlaLink="G16" lockText="1" noThreeD="1"/>
</file>

<file path=xl/ctrlProps/ctrlProp535.xml><?xml version="1.0" encoding="utf-8"?>
<formControlPr xmlns="http://schemas.microsoft.com/office/spreadsheetml/2009/9/main" objectType="CheckBox" fmlaLink="G17" lockText="1" noThreeD="1"/>
</file>

<file path=xl/ctrlProps/ctrlProp536.xml><?xml version="1.0" encoding="utf-8"?>
<formControlPr xmlns="http://schemas.microsoft.com/office/spreadsheetml/2009/9/main" objectType="CheckBox" checked="Checked" fmlaLink="L16" lockText="1" noThreeD="1"/>
</file>

<file path=xl/ctrlProps/ctrlProp537.xml><?xml version="1.0" encoding="utf-8"?>
<formControlPr xmlns="http://schemas.microsoft.com/office/spreadsheetml/2009/9/main" objectType="CheckBox" fmlaLink="L17" lockText="1" noThreeD="1"/>
</file>

<file path=xl/ctrlProps/ctrlProp538.xml><?xml version="1.0" encoding="utf-8"?>
<formControlPr xmlns="http://schemas.microsoft.com/office/spreadsheetml/2009/9/main" objectType="CheckBox" fmlaLink="B16" lockText="1" noThreeD="1"/>
</file>

<file path=xl/ctrlProps/ctrlProp539.xml><?xml version="1.0" encoding="utf-8"?>
<formControlPr xmlns="http://schemas.microsoft.com/office/spreadsheetml/2009/9/main" objectType="CheckBox" fmlaLink="B17" lockText="1" noThreeD="1"/>
</file>

<file path=xl/ctrlProps/ctrlProp540.xml><?xml version="1.0" encoding="utf-8"?>
<formControlPr xmlns="http://schemas.microsoft.com/office/spreadsheetml/2009/9/main" objectType="CheckBox" checked="Checked" fmlaLink="B12" lockText="1" noThreeD="1"/>
</file>

<file path=xl/ctrlProps/ctrlProp541.xml><?xml version="1.0" encoding="utf-8"?>
<formControlPr xmlns="http://schemas.microsoft.com/office/spreadsheetml/2009/9/main" objectType="CheckBox" fmlaLink="B13" lockText="1" noThreeD="1"/>
</file>

<file path=xl/ctrlProps/ctrlProp542.xml><?xml version="1.0" encoding="utf-8"?>
<formControlPr xmlns="http://schemas.microsoft.com/office/spreadsheetml/2009/9/main" objectType="CheckBox" fmlaLink="B21" lockText="1" noThreeD="1"/>
</file>

<file path=xl/ctrlProps/ctrlProp543.xml><?xml version="1.0" encoding="utf-8"?>
<formControlPr xmlns="http://schemas.microsoft.com/office/spreadsheetml/2009/9/main" objectType="CheckBox" fmlaLink="B25" lockText="1" noThreeD="1"/>
</file>

<file path=xl/ctrlProps/ctrlProp544.xml><?xml version="1.0" encoding="utf-8"?>
<formControlPr xmlns="http://schemas.microsoft.com/office/spreadsheetml/2009/9/main" objectType="CheckBox" fmlaLink="G25" lockText="1" noThreeD="1"/>
</file>

<file path=xl/ctrlProps/ctrlProp545.xml><?xml version="1.0" encoding="utf-8"?>
<formControlPr xmlns="http://schemas.microsoft.com/office/spreadsheetml/2009/9/main" objectType="CheckBox" fmlaLink="L25" lockText="1" noThreeD="1"/>
</file>

<file path=xl/ctrlProps/ctrlProp546.xml><?xml version="1.0" encoding="utf-8"?>
<formControlPr xmlns="http://schemas.microsoft.com/office/spreadsheetml/2009/9/main" objectType="CheckBox" fmlaLink="G21" lockText="1" noThreeD="1"/>
</file>

<file path=xl/ctrlProps/ctrlProp547.xml><?xml version="1.0" encoding="utf-8"?>
<formControlPr xmlns="http://schemas.microsoft.com/office/spreadsheetml/2009/9/main" objectType="CheckBox" fmlaLink="B29" lockText="1" noThreeD="1"/>
</file>

<file path=xl/ctrlProps/ctrlProp548.xml><?xml version="1.0" encoding="utf-8"?>
<formControlPr xmlns="http://schemas.microsoft.com/office/spreadsheetml/2009/9/main" objectType="CheckBox" fmlaLink="G29" lockText="1" noThreeD="1"/>
</file>

<file path=xl/ctrlProps/ctrlProp549.xml><?xml version="1.0" encoding="utf-8"?>
<formControlPr xmlns="http://schemas.microsoft.com/office/spreadsheetml/2009/9/main" objectType="CheckBox" checked="Checked" fmlaLink="L29" lockText="1" noThreeD="1"/>
</file>

<file path=xl/ctrlProps/ctrlProp550.xml><?xml version="1.0" encoding="utf-8"?>
<formControlPr xmlns="http://schemas.microsoft.com/office/spreadsheetml/2009/9/main" objectType="CheckBox" fmlaLink="B38" lockText="1" noThreeD="1"/>
</file>

<file path=xl/ctrlProps/ctrlProp551.xml><?xml version="1.0" encoding="utf-8"?>
<formControlPr xmlns="http://schemas.microsoft.com/office/spreadsheetml/2009/9/main" objectType="CheckBox" checked="Checked" fmlaLink="G38" lockText="1" noThreeD="1"/>
</file>

<file path=xl/ctrlProps/ctrlProp552.xml><?xml version="1.0" encoding="utf-8"?>
<formControlPr xmlns="http://schemas.microsoft.com/office/spreadsheetml/2009/9/main" objectType="CheckBox" fmlaLink="L38" lockText="1" noThreeD="1"/>
</file>

<file path=xl/ctrlProps/ctrlProp553.xml><?xml version="1.0" encoding="utf-8"?>
<formControlPr xmlns="http://schemas.microsoft.com/office/spreadsheetml/2009/9/main" objectType="CheckBox" fmlaLink="B44" lockText="1" noThreeD="1"/>
</file>

<file path=xl/ctrlProps/ctrlProp554.xml><?xml version="1.0" encoding="utf-8"?>
<formControlPr xmlns="http://schemas.microsoft.com/office/spreadsheetml/2009/9/main" objectType="CheckBox" checked="Checked" fmlaLink="G44" lockText="1" noThreeD="1"/>
</file>

<file path=xl/ctrlProps/ctrlProp555.xml><?xml version="1.0" encoding="utf-8"?>
<formControlPr xmlns="http://schemas.microsoft.com/office/spreadsheetml/2009/9/main" objectType="CheckBox" fmlaLink="B39" lockText="1" noThreeD="1"/>
</file>

<file path=xl/ctrlProps/ctrlProp556.xml><?xml version="1.0" encoding="utf-8"?>
<formControlPr xmlns="http://schemas.microsoft.com/office/spreadsheetml/2009/9/main" objectType="CheckBox" fmlaLink="B18" lockText="1" noThreeD="1"/>
</file>

<file path=xl/ctrlProps/ctrlProp557.xml><?xml version="1.0" encoding="utf-8"?>
<formControlPr xmlns="http://schemas.microsoft.com/office/spreadsheetml/2009/9/main" objectType="CheckBox" fmlaLink="B32" lockText="1" noThreeD="1"/>
</file>

<file path=xl/ctrlProps/ctrlProp558.xml><?xml version="1.0" encoding="utf-8"?>
<formControlPr xmlns="http://schemas.microsoft.com/office/spreadsheetml/2009/9/main" objectType="CheckBox" fmlaLink="B33" lockText="1" noThreeD="1"/>
</file>

<file path=xl/ctrlProps/ctrlProp559.xml><?xml version="1.0" encoding="utf-8"?>
<formControlPr xmlns="http://schemas.microsoft.com/office/spreadsheetml/2009/9/main" objectType="CheckBox" fmlaLink="B34" lockText="1" noThreeD="1"/>
</file>

<file path=xl/ctrlProps/ctrlProp560.xml><?xml version="1.0" encoding="utf-8"?>
<formControlPr xmlns="http://schemas.microsoft.com/office/spreadsheetml/2009/9/main" objectType="CheckBox" fmlaLink="G32" lockText="1" noThreeD="1"/>
</file>

<file path=xl/ctrlProps/ctrlProp561.xml><?xml version="1.0" encoding="utf-8"?>
<formControlPr xmlns="http://schemas.microsoft.com/office/spreadsheetml/2009/9/main" objectType="CheckBox" fmlaLink="G33" lockText="1" noThreeD="1"/>
</file>

<file path=xl/ctrlProps/ctrlProp562.xml><?xml version="1.0" encoding="utf-8"?>
<formControlPr xmlns="http://schemas.microsoft.com/office/spreadsheetml/2009/9/main" objectType="CheckBox" fmlaLink="G34" lockText="1" noThreeD="1"/>
</file>

<file path=xl/ctrlProps/ctrlProp563.xml><?xml version="1.0" encoding="utf-8"?>
<formControlPr xmlns="http://schemas.microsoft.com/office/spreadsheetml/2009/9/main" objectType="CheckBox" fmlaLink="L32" lockText="1" noThreeD="1"/>
</file>

<file path=xl/ctrlProps/ctrlProp564.xml><?xml version="1.0" encoding="utf-8"?>
<formControlPr xmlns="http://schemas.microsoft.com/office/spreadsheetml/2009/9/main" objectType="CheckBox" checked="Checked" fmlaLink="L33" lockText="1" noThreeD="1"/>
</file>

<file path=xl/ctrlProps/ctrlProp565.xml><?xml version="1.0" encoding="utf-8"?>
<formControlPr xmlns="http://schemas.microsoft.com/office/spreadsheetml/2009/9/main" objectType="CheckBox" fmlaLink="B9" lockText="1" noThreeD="1"/>
</file>

<file path=xl/ctrlProps/ctrlProp566.xml><?xml version="1.0" encoding="utf-8"?>
<formControlPr xmlns="http://schemas.microsoft.com/office/spreadsheetml/2009/9/main" objectType="CheckBox" checked="Checked" fmlaLink="G9" lockText="1" noThreeD="1"/>
</file>

<file path=xl/ctrlProps/ctrlProp567.xml><?xml version="1.0" encoding="utf-8"?>
<formControlPr xmlns="http://schemas.microsoft.com/office/spreadsheetml/2009/9/main" objectType="CheckBox" fmlaLink="G12" lockText="1" noThreeD="1"/>
</file>

<file path=xl/ctrlProps/ctrlProp568.xml><?xml version="1.0" encoding="utf-8"?>
<formControlPr xmlns="http://schemas.microsoft.com/office/spreadsheetml/2009/9/main" objectType="CheckBox" fmlaLink="G13" lockText="1" noThreeD="1"/>
</file>

<file path=xl/ctrlProps/ctrlProp569.xml><?xml version="1.0" encoding="utf-8"?>
<formControlPr xmlns="http://schemas.microsoft.com/office/spreadsheetml/2009/9/main" objectType="CheckBox" fmlaLink="G16" lockText="1" noThreeD="1"/>
</file>

<file path=xl/ctrlProps/ctrlProp570.xml><?xml version="1.0" encoding="utf-8"?>
<formControlPr xmlns="http://schemas.microsoft.com/office/spreadsheetml/2009/9/main" objectType="CheckBox" fmlaLink="G17" lockText="1" noThreeD="1"/>
</file>

<file path=xl/ctrlProps/ctrlProp571.xml><?xml version="1.0" encoding="utf-8"?>
<formControlPr xmlns="http://schemas.microsoft.com/office/spreadsheetml/2009/9/main" objectType="CheckBox" fmlaLink="L16" lockText="1" noThreeD="1"/>
</file>

<file path=xl/ctrlProps/ctrlProp572.xml><?xml version="1.0" encoding="utf-8"?>
<formControlPr xmlns="http://schemas.microsoft.com/office/spreadsheetml/2009/9/main" objectType="CheckBox" fmlaLink="L17" lockText="1" noThreeD="1"/>
</file>

<file path=xl/ctrlProps/ctrlProp573.xml><?xml version="1.0" encoding="utf-8"?>
<formControlPr xmlns="http://schemas.microsoft.com/office/spreadsheetml/2009/9/main" objectType="CheckBox" fmlaLink="B16" lockText="1" noThreeD="1"/>
</file>

<file path=xl/ctrlProps/ctrlProp574.xml><?xml version="1.0" encoding="utf-8"?>
<formControlPr xmlns="http://schemas.microsoft.com/office/spreadsheetml/2009/9/main" objectType="CheckBox" fmlaLink="B17" lockText="1" noThreeD="1"/>
</file>

<file path=xl/ctrlProps/ctrlProp575.xml><?xml version="1.0" encoding="utf-8"?>
<formControlPr xmlns="http://schemas.microsoft.com/office/spreadsheetml/2009/9/main" objectType="CheckBox" fmlaLink="B12" lockText="1" noThreeD="1"/>
</file>

<file path=xl/ctrlProps/ctrlProp576.xml><?xml version="1.0" encoding="utf-8"?>
<formControlPr xmlns="http://schemas.microsoft.com/office/spreadsheetml/2009/9/main" objectType="CheckBox" checked="Checked" fmlaLink="B13" lockText="1" noThreeD="1"/>
</file>

<file path=xl/ctrlProps/ctrlProp577.xml><?xml version="1.0" encoding="utf-8"?>
<formControlPr xmlns="http://schemas.microsoft.com/office/spreadsheetml/2009/9/main" objectType="CheckBox" fmlaLink="B21" lockText="1" noThreeD="1"/>
</file>

<file path=xl/ctrlProps/ctrlProp578.xml><?xml version="1.0" encoding="utf-8"?>
<formControlPr xmlns="http://schemas.microsoft.com/office/spreadsheetml/2009/9/main" objectType="CheckBox" checked="Checked" fmlaLink="B25" lockText="1" noThreeD="1"/>
</file>

<file path=xl/ctrlProps/ctrlProp579.xml><?xml version="1.0" encoding="utf-8"?>
<formControlPr xmlns="http://schemas.microsoft.com/office/spreadsheetml/2009/9/main" objectType="CheckBox" checked="Checked" fmlaLink="G25" lockText="1" noThreeD="1"/>
</file>

<file path=xl/ctrlProps/ctrlProp580.xml><?xml version="1.0" encoding="utf-8"?>
<formControlPr xmlns="http://schemas.microsoft.com/office/spreadsheetml/2009/9/main" objectType="CheckBox" fmlaLink="L25" lockText="1" noThreeD="1"/>
</file>

<file path=xl/ctrlProps/ctrlProp581.xml><?xml version="1.0" encoding="utf-8"?>
<formControlPr xmlns="http://schemas.microsoft.com/office/spreadsheetml/2009/9/main" objectType="CheckBox" fmlaLink="G21" lockText="1" noThreeD="1"/>
</file>

<file path=xl/ctrlProps/ctrlProp582.xml><?xml version="1.0" encoding="utf-8"?>
<formControlPr xmlns="http://schemas.microsoft.com/office/spreadsheetml/2009/9/main" objectType="CheckBox" fmlaLink="B29" lockText="1" noThreeD="1"/>
</file>

<file path=xl/ctrlProps/ctrlProp583.xml><?xml version="1.0" encoding="utf-8"?>
<formControlPr xmlns="http://schemas.microsoft.com/office/spreadsheetml/2009/9/main" objectType="CheckBox" checked="Checked" fmlaLink="G29" lockText="1" noThreeD="1"/>
</file>

<file path=xl/ctrlProps/ctrlProp584.xml><?xml version="1.0" encoding="utf-8"?>
<formControlPr xmlns="http://schemas.microsoft.com/office/spreadsheetml/2009/9/main" objectType="CheckBox" fmlaLink="L29" lockText="1" noThreeD="1"/>
</file>

<file path=xl/ctrlProps/ctrlProp585.xml><?xml version="1.0" encoding="utf-8"?>
<formControlPr xmlns="http://schemas.microsoft.com/office/spreadsheetml/2009/9/main" objectType="CheckBox" fmlaLink="B38" lockText="1" noThreeD="1"/>
</file>

<file path=xl/ctrlProps/ctrlProp586.xml><?xml version="1.0" encoding="utf-8"?>
<formControlPr xmlns="http://schemas.microsoft.com/office/spreadsheetml/2009/9/main" objectType="CheckBox" fmlaLink="G38" lockText="1" noThreeD="1"/>
</file>

<file path=xl/ctrlProps/ctrlProp587.xml><?xml version="1.0" encoding="utf-8"?>
<formControlPr xmlns="http://schemas.microsoft.com/office/spreadsheetml/2009/9/main" objectType="CheckBox" fmlaLink="L38" lockText="1" noThreeD="1"/>
</file>

<file path=xl/ctrlProps/ctrlProp588.xml><?xml version="1.0" encoding="utf-8"?>
<formControlPr xmlns="http://schemas.microsoft.com/office/spreadsheetml/2009/9/main" objectType="CheckBox" checked="Checked" fmlaLink="B44" lockText="1" noThreeD="1"/>
</file>

<file path=xl/ctrlProps/ctrlProp589.xml><?xml version="1.0" encoding="utf-8"?>
<formControlPr xmlns="http://schemas.microsoft.com/office/spreadsheetml/2009/9/main" objectType="CheckBox" fmlaLink="G44" lockText="1" noThreeD="1"/>
</file>

<file path=xl/ctrlProps/ctrlProp590.xml><?xml version="1.0" encoding="utf-8"?>
<formControlPr xmlns="http://schemas.microsoft.com/office/spreadsheetml/2009/9/main" objectType="CheckBox" checked="Checked" fmlaLink="B39" lockText="1" noThreeD="1"/>
</file>

<file path=xl/ctrlProps/ctrlProp591.xml><?xml version="1.0" encoding="utf-8"?>
<formControlPr xmlns="http://schemas.microsoft.com/office/spreadsheetml/2009/9/main" objectType="CheckBox" fmlaLink="B18" lockText="1" noThreeD="1"/>
</file>

<file path=xl/ctrlProps/ctrlProp592.xml><?xml version="1.0" encoding="utf-8"?>
<formControlPr xmlns="http://schemas.microsoft.com/office/spreadsheetml/2009/9/main" objectType="CheckBox" fmlaLink="B32" lockText="1" noThreeD="1"/>
</file>

<file path=xl/ctrlProps/ctrlProp593.xml><?xml version="1.0" encoding="utf-8"?>
<formControlPr xmlns="http://schemas.microsoft.com/office/spreadsheetml/2009/9/main" objectType="CheckBox" fmlaLink="B33" lockText="1" noThreeD="1"/>
</file>

<file path=xl/ctrlProps/ctrlProp594.xml><?xml version="1.0" encoding="utf-8"?>
<formControlPr xmlns="http://schemas.microsoft.com/office/spreadsheetml/2009/9/main" objectType="CheckBox" fmlaLink="B34" lockText="1" noThreeD="1"/>
</file>

<file path=xl/ctrlProps/ctrlProp595.xml><?xml version="1.0" encoding="utf-8"?>
<formControlPr xmlns="http://schemas.microsoft.com/office/spreadsheetml/2009/9/main" objectType="CheckBox" checked="Checked" fmlaLink="G32" lockText="1" noThreeD="1"/>
</file>

<file path=xl/ctrlProps/ctrlProp596.xml><?xml version="1.0" encoding="utf-8"?>
<formControlPr xmlns="http://schemas.microsoft.com/office/spreadsheetml/2009/9/main" objectType="CheckBox" fmlaLink="G33" lockText="1" noThreeD="1"/>
</file>

<file path=xl/ctrlProps/ctrlProp597.xml><?xml version="1.0" encoding="utf-8"?>
<formControlPr xmlns="http://schemas.microsoft.com/office/spreadsheetml/2009/9/main" objectType="CheckBox" fmlaLink="G34" lockText="1" noThreeD="1"/>
</file>

<file path=xl/ctrlProps/ctrlProp598.xml><?xml version="1.0" encoding="utf-8"?>
<formControlPr xmlns="http://schemas.microsoft.com/office/spreadsheetml/2009/9/main" objectType="CheckBox" fmlaLink="L32" lockText="1" noThreeD="1"/>
</file>

<file path=xl/ctrlProps/ctrlProp599.xml><?xml version="1.0" encoding="utf-8"?>
<formControlPr xmlns="http://schemas.microsoft.com/office/spreadsheetml/2009/9/main" objectType="CheckBox" fmlaLink="L33" lockText="1" noThreeD="1"/>
</file>

<file path=xl/ctrlProps/ctrlProp600.xml><?xml version="1.0" encoding="utf-8"?>
<formControlPr xmlns="http://schemas.microsoft.com/office/spreadsheetml/2009/9/main" objectType="CheckBox" fmlaLink="B9" lockText="1" noThreeD="1"/>
</file>

<file path=xl/ctrlProps/ctrlProp601.xml><?xml version="1.0" encoding="utf-8"?>
<formControlPr xmlns="http://schemas.microsoft.com/office/spreadsheetml/2009/9/main" objectType="CheckBox" checked="Checked" fmlaLink="G9" lockText="1" noThreeD="1"/>
</file>

<file path=xl/ctrlProps/ctrlProp602.xml><?xml version="1.0" encoding="utf-8"?>
<formControlPr xmlns="http://schemas.microsoft.com/office/spreadsheetml/2009/9/main" objectType="CheckBox" fmlaLink="G12" lockText="1" noThreeD="1"/>
</file>

<file path=xl/ctrlProps/ctrlProp603.xml><?xml version="1.0" encoding="utf-8"?>
<formControlPr xmlns="http://schemas.microsoft.com/office/spreadsheetml/2009/9/main" objectType="CheckBox" fmlaLink="G13" lockText="1" noThreeD="1"/>
</file>

<file path=xl/ctrlProps/ctrlProp604.xml><?xml version="1.0" encoding="utf-8"?>
<formControlPr xmlns="http://schemas.microsoft.com/office/spreadsheetml/2009/9/main" objectType="CheckBox" fmlaLink="G16" lockText="1" noThreeD="1"/>
</file>

<file path=xl/ctrlProps/ctrlProp605.xml><?xml version="1.0" encoding="utf-8"?>
<formControlPr xmlns="http://schemas.microsoft.com/office/spreadsheetml/2009/9/main" objectType="CheckBox" fmlaLink="G17" lockText="1" noThreeD="1"/>
</file>

<file path=xl/ctrlProps/ctrlProp606.xml><?xml version="1.0" encoding="utf-8"?>
<formControlPr xmlns="http://schemas.microsoft.com/office/spreadsheetml/2009/9/main" objectType="CheckBox" fmlaLink="L16" lockText="1" noThreeD="1"/>
</file>

<file path=xl/ctrlProps/ctrlProp607.xml><?xml version="1.0" encoding="utf-8"?>
<formControlPr xmlns="http://schemas.microsoft.com/office/spreadsheetml/2009/9/main" objectType="CheckBox" fmlaLink="L17" lockText="1" noThreeD="1"/>
</file>

<file path=xl/ctrlProps/ctrlProp608.xml><?xml version="1.0" encoding="utf-8"?>
<formControlPr xmlns="http://schemas.microsoft.com/office/spreadsheetml/2009/9/main" objectType="CheckBox" fmlaLink="B16" lockText="1" noThreeD="1"/>
</file>

<file path=xl/ctrlProps/ctrlProp609.xml><?xml version="1.0" encoding="utf-8"?>
<formControlPr xmlns="http://schemas.microsoft.com/office/spreadsheetml/2009/9/main" objectType="CheckBox" fmlaLink="B17" lockText="1" noThreeD="1"/>
</file>

<file path=xl/ctrlProps/ctrlProp610.xml><?xml version="1.0" encoding="utf-8"?>
<formControlPr xmlns="http://schemas.microsoft.com/office/spreadsheetml/2009/9/main" objectType="CheckBox" checked="Checked" fmlaLink="B12" lockText="1" noThreeD="1"/>
</file>

<file path=xl/ctrlProps/ctrlProp611.xml><?xml version="1.0" encoding="utf-8"?>
<formControlPr xmlns="http://schemas.microsoft.com/office/spreadsheetml/2009/9/main" objectType="CheckBox" fmlaLink="B13" lockText="1" noThreeD="1"/>
</file>

<file path=xl/ctrlProps/ctrlProp612.xml><?xml version="1.0" encoding="utf-8"?>
<formControlPr xmlns="http://schemas.microsoft.com/office/spreadsheetml/2009/9/main" objectType="CheckBox" fmlaLink="B21" lockText="1" noThreeD="1"/>
</file>

<file path=xl/ctrlProps/ctrlProp613.xml><?xml version="1.0" encoding="utf-8"?>
<formControlPr xmlns="http://schemas.microsoft.com/office/spreadsheetml/2009/9/main" objectType="CheckBox" fmlaLink="B25" lockText="1" noThreeD="1"/>
</file>

<file path=xl/ctrlProps/ctrlProp614.xml><?xml version="1.0" encoding="utf-8"?>
<formControlPr xmlns="http://schemas.microsoft.com/office/spreadsheetml/2009/9/main" objectType="CheckBox" fmlaLink="G25" lockText="1" noThreeD="1"/>
</file>

<file path=xl/ctrlProps/ctrlProp615.xml><?xml version="1.0" encoding="utf-8"?>
<formControlPr xmlns="http://schemas.microsoft.com/office/spreadsheetml/2009/9/main" objectType="CheckBox" checked="Checked" fmlaLink="L25" lockText="1" noThreeD="1"/>
</file>

<file path=xl/ctrlProps/ctrlProp616.xml><?xml version="1.0" encoding="utf-8"?>
<formControlPr xmlns="http://schemas.microsoft.com/office/spreadsheetml/2009/9/main" objectType="CheckBox" fmlaLink="G21" lockText="1" noThreeD="1"/>
</file>

<file path=xl/ctrlProps/ctrlProp617.xml><?xml version="1.0" encoding="utf-8"?>
<formControlPr xmlns="http://schemas.microsoft.com/office/spreadsheetml/2009/9/main" objectType="CheckBox" fmlaLink="B29" lockText="1" noThreeD="1"/>
</file>

<file path=xl/ctrlProps/ctrlProp618.xml><?xml version="1.0" encoding="utf-8"?>
<formControlPr xmlns="http://schemas.microsoft.com/office/spreadsheetml/2009/9/main" objectType="CheckBox" fmlaLink="G29" lockText="1" noThreeD="1"/>
</file>

<file path=xl/ctrlProps/ctrlProp619.xml><?xml version="1.0" encoding="utf-8"?>
<formControlPr xmlns="http://schemas.microsoft.com/office/spreadsheetml/2009/9/main" objectType="CheckBox" checked="Checked" fmlaLink="L29" lockText="1" noThreeD="1"/>
</file>

<file path=xl/ctrlProps/ctrlProp620.xml><?xml version="1.0" encoding="utf-8"?>
<formControlPr xmlns="http://schemas.microsoft.com/office/spreadsheetml/2009/9/main" objectType="CheckBox" fmlaLink="B38" lockText="1" noThreeD="1"/>
</file>

<file path=xl/ctrlProps/ctrlProp621.xml><?xml version="1.0" encoding="utf-8"?>
<formControlPr xmlns="http://schemas.microsoft.com/office/spreadsheetml/2009/9/main" objectType="CheckBox" fmlaLink="G38" lockText="1" noThreeD="1"/>
</file>

<file path=xl/ctrlProps/ctrlProp622.xml><?xml version="1.0" encoding="utf-8"?>
<formControlPr xmlns="http://schemas.microsoft.com/office/spreadsheetml/2009/9/main" objectType="CheckBox" fmlaLink="L38" lockText="1" noThreeD="1"/>
</file>

<file path=xl/ctrlProps/ctrlProp623.xml><?xml version="1.0" encoding="utf-8"?>
<formControlPr xmlns="http://schemas.microsoft.com/office/spreadsheetml/2009/9/main" objectType="CheckBox" fmlaLink="B44" lockText="1" noThreeD="1"/>
</file>

<file path=xl/ctrlProps/ctrlProp624.xml><?xml version="1.0" encoding="utf-8"?>
<formControlPr xmlns="http://schemas.microsoft.com/office/spreadsheetml/2009/9/main" objectType="CheckBox" checked="Checked" fmlaLink="G44" lockText="1" noThreeD="1"/>
</file>

<file path=xl/ctrlProps/ctrlProp625.xml><?xml version="1.0" encoding="utf-8"?>
<formControlPr xmlns="http://schemas.microsoft.com/office/spreadsheetml/2009/9/main" objectType="CheckBox" checked="Checked" fmlaLink="B39" lockText="1" noThreeD="1"/>
</file>

<file path=xl/ctrlProps/ctrlProp626.xml><?xml version="1.0" encoding="utf-8"?>
<formControlPr xmlns="http://schemas.microsoft.com/office/spreadsheetml/2009/9/main" objectType="CheckBox" fmlaLink="B18" lockText="1" noThreeD="1"/>
</file>

<file path=xl/ctrlProps/ctrlProp627.xml><?xml version="1.0" encoding="utf-8"?>
<formControlPr xmlns="http://schemas.microsoft.com/office/spreadsheetml/2009/9/main" objectType="CheckBox" fmlaLink="B32" lockText="1" noThreeD="1"/>
</file>

<file path=xl/ctrlProps/ctrlProp628.xml><?xml version="1.0" encoding="utf-8"?>
<formControlPr xmlns="http://schemas.microsoft.com/office/spreadsheetml/2009/9/main" objectType="CheckBox" fmlaLink="B33" lockText="1" noThreeD="1"/>
</file>

<file path=xl/ctrlProps/ctrlProp629.xml><?xml version="1.0" encoding="utf-8"?>
<formControlPr xmlns="http://schemas.microsoft.com/office/spreadsheetml/2009/9/main" objectType="CheckBox" fmlaLink="B34" lockText="1" noThreeD="1"/>
</file>

<file path=xl/ctrlProps/ctrlProp630.xml><?xml version="1.0" encoding="utf-8"?>
<formControlPr xmlns="http://schemas.microsoft.com/office/spreadsheetml/2009/9/main" objectType="CheckBox" fmlaLink="G32" lockText="1" noThreeD="1"/>
</file>

<file path=xl/ctrlProps/ctrlProp631.xml><?xml version="1.0" encoding="utf-8"?>
<formControlPr xmlns="http://schemas.microsoft.com/office/spreadsheetml/2009/9/main" objectType="CheckBox" fmlaLink="G33" lockText="1" noThreeD="1"/>
</file>

<file path=xl/ctrlProps/ctrlProp632.xml><?xml version="1.0" encoding="utf-8"?>
<formControlPr xmlns="http://schemas.microsoft.com/office/spreadsheetml/2009/9/main" objectType="CheckBox" checked="Checked" fmlaLink="G34" lockText="1" noThreeD="1"/>
</file>

<file path=xl/ctrlProps/ctrlProp633.xml><?xml version="1.0" encoding="utf-8"?>
<formControlPr xmlns="http://schemas.microsoft.com/office/spreadsheetml/2009/9/main" objectType="CheckBox" fmlaLink="L32" lockText="1" noThreeD="1"/>
</file>

<file path=xl/ctrlProps/ctrlProp63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0500-00000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0500-00000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0500-00000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0500-00000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0500-00000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0500-00000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0500-00000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0500-00000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0500-00000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091" name="Check Box 11" hidden="1">
              <a:extLst>
                <a:ext uri="{63B3BB69-23CF-44E3-9099-C40C66FF867C}">
                  <a14:compatExt spid="_x0000_s174091"/>
                </a:ext>
                <a:ext uri="{FF2B5EF4-FFF2-40B4-BE49-F238E27FC236}">
                  <a16:creationId xmlns:a16="http://schemas.microsoft.com/office/drawing/2014/main" id="{00000000-0008-0000-0500-00000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4092" name="Check Box 12" hidden="1">
              <a:extLst>
                <a:ext uri="{63B3BB69-23CF-44E3-9099-C40C66FF867C}">
                  <a14:compatExt spid="_x0000_s174092"/>
                </a:ext>
                <a:ext uri="{FF2B5EF4-FFF2-40B4-BE49-F238E27FC236}">
                  <a16:creationId xmlns:a16="http://schemas.microsoft.com/office/drawing/2014/main" id="{00000000-0008-0000-0500-00000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093" name="Check Box 13" hidden="1">
              <a:extLst>
                <a:ext uri="{63B3BB69-23CF-44E3-9099-C40C66FF867C}">
                  <a14:compatExt spid="_x0000_s174093"/>
                </a:ext>
                <a:ext uri="{FF2B5EF4-FFF2-40B4-BE49-F238E27FC236}">
                  <a16:creationId xmlns:a16="http://schemas.microsoft.com/office/drawing/2014/main" id="{00000000-0008-0000-0500-00000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4094" name="Check Box 14" hidden="1">
              <a:extLst>
                <a:ext uri="{63B3BB69-23CF-44E3-9099-C40C66FF867C}">
                  <a14:compatExt spid="_x0000_s174094"/>
                </a:ext>
                <a:ext uri="{FF2B5EF4-FFF2-40B4-BE49-F238E27FC236}">
                  <a16:creationId xmlns:a16="http://schemas.microsoft.com/office/drawing/2014/main" id="{00000000-0008-0000-0500-00000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4095" name="Check Box 15" hidden="1">
              <a:extLst>
                <a:ext uri="{63B3BB69-23CF-44E3-9099-C40C66FF867C}">
                  <a14:compatExt spid="_x0000_s174095"/>
                </a:ext>
                <a:ext uri="{FF2B5EF4-FFF2-40B4-BE49-F238E27FC236}">
                  <a16:creationId xmlns:a16="http://schemas.microsoft.com/office/drawing/2014/main" id="{00000000-0008-0000-0500-00000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4096" name="Check Box 16" hidden="1">
              <a:extLst>
                <a:ext uri="{63B3BB69-23CF-44E3-9099-C40C66FF867C}">
                  <a14:compatExt spid="_x0000_s174096"/>
                </a:ext>
                <a:ext uri="{FF2B5EF4-FFF2-40B4-BE49-F238E27FC236}">
                  <a16:creationId xmlns:a16="http://schemas.microsoft.com/office/drawing/2014/main" id="{00000000-0008-0000-0500-00001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097" name="Check Box 17" hidden="1">
              <a:extLst>
                <a:ext uri="{63B3BB69-23CF-44E3-9099-C40C66FF867C}">
                  <a14:compatExt spid="_x0000_s174097"/>
                </a:ext>
                <a:ext uri="{FF2B5EF4-FFF2-40B4-BE49-F238E27FC236}">
                  <a16:creationId xmlns:a16="http://schemas.microsoft.com/office/drawing/2014/main" id="{00000000-0008-0000-0500-00001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4098" name="Check Box 18" hidden="1">
              <a:extLst>
                <a:ext uri="{63B3BB69-23CF-44E3-9099-C40C66FF867C}">
                  <a14:compatExt spid="_x0000_s174098"/>
                </a:ext>
                <a:ext uri="{FF2B5EF4-FFF2-40B4-BE49-F238E27FC236}">
                  <a16:creationId xmlns:a16="http://schemas.microsoft.com/office/drawing/2014/main" id="{00000000-0008-0000-0500-00001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1489" name="Check Box Cat" descr="Catastrophe Model" hidden="1">
              <a:extLst>
                <a:ext uri="{63B3BB69-23CF-44E3-9099-C40C66FF867C}">
                  <a14:compatExt spid="_x0000_s191489"/>
                </a:ext>
                <a:ext uri="{FF2B5EF4-FFF2-40B4-BE49-F238E27FC236}">
                  <a16:creationId xmlns:a16="http://schemas.microsoft.com/office/drawing/2014/main" id="{00000000-0008-0000-1700-00000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1490" name="Check Box NonCat" descr="Non-Catastrophe Model" hidden="1">
              <a:extLst>
                <a:ext uri="{63B3BB69-23CF-44E3-9099-C40C66FF867C}">
                  <a14:compatExt spid="_x0000_s191490"/>
                </a:ext>
                <a:ext uri="{FF2B5EF4-FFF2-40B4-BE49-F238E27FC236}">
                  <a16:creationId xmlns:a16="http://schemas.microsoft.com/office/drawing/2014/main" id="{00000000-0008-0000-1700-00000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1491" name="Check Box OverallRateLvl" descr="Overall Rate Level" hidden="1">
              <a:extLst>
                <a:ext uri="{63B3BB69-23CF-44E3-9099-C40C66FF867C}">
                  <a14:compatExt spid="_x0000_s191491"/>
                </a:ext>
                <a:ext uri="{FF2B5EF4-FFF2-40B4-BE49-F238E27FC236}">
                  <a16:creationId xmlns:a16="http://schemas.microsoft.com/office/drawing/2014/main" id="{00000000-0008-0000-1700-00000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1492" name="Check Box 4" descr="Other Model Usage" hidden="1">
              <a:extLst>
                <a:ext uri="{63B3BB69-23CF-44E3-9099-C40C66FF867C}">
                  <a14:compatExt spid="_x0000_s191492"/>
                </a:ext>
                <a:ext uri="{FF2B5EF4-FFF2-40B4-BE49-F238E27FC236}">
                  <a16:creationId xmlns:a16="http://schemas.microsoft.com/office/drawing/2014/main" id="{00000000-0008-0000-1700-00000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1493" name="Check Box 5" hidden="1">
              <a:extLst>
                <a:ext uri="{63B3BB69-23CF-44E3-9099-C40C66FF867C}">
                  <a14:compatExt spid="_x0000_s191493"/>
                </a:ext>
                <a:ext uri="{FF2B5EF4-FFF2-40B4-BE49-F238E27FC236}">
                  <a16:creationId xmlns:a16="http://schemas.microsoft.com/office/drawing/2014/main" id="{00000000-0008-0000-1700-00000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1494" name="Check Box 6" hidden="1">
              <a:extLst>
                <a:ext uri="{63B3BB69-23CF-44E3-9099-C40C66FF867C}">
                  <a14:compatExt spid="_x0000_s191494"/>
                </a:ext>
                <a:ext uri="{FF2B5EF4-FFF2-40B4-BE49-F238E27FC236}">
                  <a16:creationId xmlns:a16="http://schemas.microsoft.com/office/drawing/2014/main" id="{00000000-0008-0000-1700-00000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17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1496" name="Check Box 8" hidden="1">
              <a:extLst>
                <a:ext uri="{63B3BB69-23CF-44E3-9099-C40C66FF867C}">
                  <a14:compatExt spid="_x0000_s191496"/>
                </a:ext>
                <a:ext uri="{FF2B5EF4-FFF2-40B4-BE49-F238E27FC236}">
                  <a16:creationId xmlns:a16="http://schemas.microsoft.com/office/drawing/2014/main" id="{00000000-0008-0000-1700-00000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1497" name="Check Box 9" hidden="1">
              <a:extLst>
                <a:ext uri="{63B3BB69-23CF-44E3-9099-C40C66FF867C}">
                  <a14:compatExt spid="_x0000_s191497"/>
                </a:ext>
                <a:ext uri="{FF2B5EF4-FFF2-40B4-BE49-F238E27FC236}">
                  <a16:creationId xmlns:a16="http://schemas.microsoft.com/office/drawing/2014/main" id="{00000000-0008-0000-1700-00000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1498" name="Check Box 10" hidden="1">
              <a:extLst>
                <a:ext uri="{63B3BB69-23CF-44E3-9099-C40C66FF867C}">
                  <a14:compatExt spid="_x0000_s191498"/>
                </a:ext>
                <a:ext uri="{FF2B5EF4-FFF2-40B4-BE49-F238E27FC236}">
                  <a16:creationId xmlns:a16="http://schemas.microsoft.com/office/drawing/2014/main" id="{00000000-0008-0000-1700-00000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1499" name="Check Box 11" descr="Underwriting Eligibility" hidden="1">
              <a:extLst>
                <a:ext uri="{63B3BB69-23CF-44E3-9099-C40C66FF867C}">
                  <a14:compatExt spid="_x0000_s191499"/>
                </a:ext>
                <a:ext uri="{FF2B5EF4-FFF2-40B4-BE49-F238E27FC236}">
                  <a16:creationId xmlns:a16="http://schemas.microsoft.com/office/drawing/2014/main" id="{00000000-0008-0000-1700-00000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1500" name="Check Box RateSeg" descr="Rate Segmentation" hidden="1">
              <a:extLst>
                <a:ext uri="{63B3BB69-23CF-44E3-9099-C40C66FF867C}">
                  <a14:compatExt spid="_x0000_s191500"/>
                </a:ext>
                <a:ext uri="{FF2B5EF4-FFF2-40B4-BE49-F238E27FC236}">
                  <a16:creationId xmlns:a16="http://schemas.microsoft.com/office/drawing/2014/main" id="{00000000-0008-0000-1700-00000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1501" name="Check Box 13" hidden="1">
              <a:extLst>
                <a:ext uri="{63B3BB69-23CF-44E3-9099-C40C66FF867C}">
                  <a14:compatExt spid="_x0000_s191501"/>
                </a:ext>
                <a:ext uri="{FF2B5EF4-FFF2-40B4-BE49-F238E27FC236}">
                  <a16:creationId xmlns:a16="http://schemas.microsoft.com/office/drawing/2014/main" id="{00000000-0008-0000-1700-00000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1502" name="Check Box 14" hidden="1">
              <a:extLst>
                <a:ext uri="{63B3BB69-23CF-44E3-9099-C40C66FF867C}">
                  <a14:compatExt spid="_x0000_s191502"/>
                </a:ext>
                <a:ext uri="{FF2B5EF4-FFF2-40B4-BE49-F238E27FC236}">
                  <a16:creationId xmlns:a16="http://schemas.microsoft.com/office/drawing/2014/main" id="{00000000-0008-0000-1700-00000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1503" name="Check Box 15" hidden="1">
              <a:extLst>
                <a:ext uri="{63B3BB69-23CF-44E3-9099-C40C66FF867C}">
                  <a14:compatExt spid="_x0000_s191503"/>
                </a:ext>
                <a:ext uri="{FF2B5EF4-FFF2-40B4-BE49-F238E27FC236}">
                  <a16:creationId xmlns:a16="http://schemas.microsoft.com/office/drawing/2014/main" id="{00000000-0008-0000-1700-00000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1504" name="Check Box 16" hidden="1">
              <a:extLst>
                <a:ext uri="{63B3BB69-23CF-44E3-9099-C40C66FF867C}">
                  <a14:compatExt spid="_x0000_s191504"/>
                </a:ext>
                <a:ext uri="{FF2B5EF4-FFF2-40B4-BE49-F238E27FC236}">
                  <a16:creationId xmlns:a16="http://schemas.microsoft.com/office/drawing/2014/main" id="{00000000-0008-0000-1700-00001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1505" name="Check Box 17" hidden="1">
              <a:extLst>
                <a:ext uri="{63B3BB69-23CF-44E3-9099-C40C66FF867C}">
                  <a14:compatExt spid="_x0000_s191505"/>
                </a:ext>
                <a:ext uri="{FF2B5EF4-FFF2-40B4-BE49-F238E27FC236}">
                  <a16:creationId xmlns:a16="http://schemas.microsoft.com/office/drawing/2014/main" id="{00000000-0008-0000-1700-00001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1506" name="Check Box 18" descr="Cluster Analysis" hidden="1">
              <a:extLst>
                <a:ext uri="{63B3BB69-23CF-44E3-9099-C40C66FF867C}">
                  <a14:compatExt spid="_x0000_s191506"/>
                </a:ext>
                <a:ext uri="{FF2B5EF4-FFF2-40B4-BE49-F238E27FC236}">
                  <a16:creationId xmlns:a16="http://schemas.microsoft.com/office/drawing/2014/main" id="{00000000-0008-0000-1700-00001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1507" name="Check Box 19" descr="Decision Trees" hidden="1">
              <a:extLst>
                <a:ext uri="{63B3BB69-23CF-44E3-9099-C40C66FF867C}">
                  <a14:compatExt spid="_x0000_s191507"/>
                </a:ext>
                <a:ext uri="{FF2B5EF4-FFF2-40B4-BE49-F238E27FC236}">
                  <a16:creationId xmlns:a16="http://schemas.microsoft.com/office/drawing/2014/main" id="{00000000-0008-0000-1700-00001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1508" name="Check Box 20" descr="Generalized Linear Model" hidden="1">
              <a:extLst>
                <a:ext uri="{63B3BB69-23CF-44E3-9099-C40C66FF867C}">
                  <a14:compatExt spid="_x0000_s191508"/>
                </a:ext>
                <a:ext uri="{FF2B5EF4-FFF2-40B4-BE49-F238E27FC236}">
                  <a16:creationId xmlns:a16="http://schemas.microsoft.com/office/drawing/2014/main" id="{00000000-0008-0000-1700-00001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1509" name="Check Box 21" descr="New/Initial" hidden="1">
              <a:extLst>
                <a:ext uri="{63B3BB69-23CF-44E3-9099-C40C66FF867C}">
                  <a14:compatExt spid="_x0000_s191509"/>
                </a:ext>
                <a:ext uri="{FF2B5EF4-FFF2-40B4-BE49-F238E27FC236}">
                  <a16:creationId xmlns:a16="http://schemas.microsoft.com/office/drawing/2014/main" id="{00000000-0008-0000-1700-00001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1510" name="Check Box 22" descr="Revision to Existing Model" hidden="1">
              <a:extLst>
                <a:ext uri="{63B3BB69-23CF-44E3-9099-C40C66FF867C}">
                  <a14:compatExt spid="_x0000_s191510"/>
                </a:ext>
                <a:ext uri="{FF2B5EF4-FFF2-40B4-BE49-F238E27FC236}">
                  <a16:creationId xmlns:a16="http://schemas.microsoft.com/office/drawing/2014/main" id="{00000000-0008-0000-1700-00001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1511" name="Check Box 23" descr="Refresh of Data to Existing Model" hidden="1">
              <a:extLst>
                <a:ext uri="{63B3BB69-23CF-44E3-9099-C40C66FF867C}">
                  <a14:compatExt spid="_x0000_s191511"/>
                </a:ext>
                <a:ext uri="{FF2B5EF4-FFF2-40B4-BE49-F238E27FC236}">
                  <a16:creationId xmlns:a16="http://schemas.microsoft.com/office/drawing/2014/main" id="{00000000-0008-0000-1700-00001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1512" name="Check Box 24" descr="Company Developed (&quot;In-House&quot;)" hidden="1">
              <a:extLst>
                <a:ext uri="{63B3BB69-23CF-44E3-9099-C40C66FF867C}">
                  <a14:compatExt spid="_x0000_s191512"/>
                </a:ext>
                <a:ext uri="{FF2B5EF4-FFF2-40B4-BE49-F238E27FC236}">
                  <a16:creationId xmlns:a16="http://schemas.microsoft.com/office/drawing/2014/main" id="{00000000-0008-0000-1700-00001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1513" name="Check Box 25" descr="Outside Firm" hidden="1">
              <a:extLst>
                <a:ext uri="{63B3BB69-23CF-44E3-9099-C40C66FF867C}">
                  <a14:compatExt spid="_x0000_s191513"/>
                </a:ext>
                <a:ext uri="{FF2B5EF4-FFF2-40B4-BE49-F238E27FC236}">
                  <a16:creationId xmlns:a16="http://schemas.microsoft.com/office/drawing/2014/main" id="{00000000-0008-0000-1700-00001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1514" name="Check Box 26" descr="No Revision to Existing Model" hidden="1">
              <a:extLst>
                <a:ext uri="{63B3BB69-23CF-44E3-9099-C40C66FF867C}">
                  <a14:compatExt spid="_x0000_s191514"/>
                </a:ext>
                <a:ext uri="{FF2B5EF4-FFF2-40B4-BE49-F238E27FC236}">
                  <a16:creationId xmlns:a16="http://schemas.microsoft.com/office/drawing/2014/main" id="{00000000-0008-0000-1700-00001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1515" name="Check Box 27" hidden="1">
              <a:extLst>
                <a:ext uri="{63B3BB69-23CF-44E3-9099-C40C66FF867C}">
                  <a14:compatExt spid="_x0000_s191515"/>
                </a:ext>
                <a:ext uri="{FF2B5EF4-FFF2-40B4-BE49-F238E27FC236}">
                  <a16:creationId xmlns:a16="http://schemas.microsoft.com/office/drawing/2014/main" id="{00000000-0008-0000-1700-00001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1516" name="Check Box 28" descr="Cluster Analysis" hidden="1">
              <a:extLst>
                <a:ext uri="{63B3BB69-23CF-44E3-9099-C40C66FF867C}">
                  <a14:compatExt spid="_x0000_s191516"/>
                </a:ext>
                <a:ext uri="{FF2B5EF4-FFF2-40B4-BE49-F238E27FC236}">
                  <a16:creationId xmlns:a16="http://schemas.microsoft.com/office/drawing/2014/main" id="{00000000-0008-0000-1700-00001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1517" name="Check Box 29" descr="Logistic Regression" hidden="1">
              <a:extLst>
                <a:ext uri="{63B3BB69-23CF-44E3-9099-C40C66FF867C}">
                  <a14:compatExt spid="_x0000_s191517"/>
                </a:ext>
                <a:ext uri="{FF2B5EF4-FFF2-40B4-BE49-F238E27FC236}">
                  <a16:creationId xmlns:a16="http://schemas.microsoft.com/office/drawing/2014/main" id="{00000000-0008-0000-1700-00001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1518" name="Check Box 30" descr="Neural Network" hidden="1">
              <a:extLst>
                <a:ext uri="{63B3BB69-23CF-44E3-9099-C40C66FF867C}">
                  <a14:compatExt spid="_x0000_s191518"/>
                </a:ext>
                <a:ext uri="{FF2B5EF4-FFF2-40B4-BE49-F238E27FC236}">
                  <a16:creationId xmlns:a16="http://schemas.microsoft.com/office/drawing/2014/main" id="{00000000-0008-0000-1700-00001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1519" name="Check Box 31" descr="Decision Trees" hidden="1">
              <a:extLst>
                <a:ext uri="{63B3BB69-23CF-44E3-9099-C40C66FF867C}">
                  <a14:compatExt spid="_x0000_s191519"/>
                </a:ext>
                <a:ext uri="{FF2B5EF4-FFF2-40B4-BE49-F238E27FC236}">
                  <a16:creationId xmlns:a16="http://schemas.microsoft.com/office/drawing/2014/main" id="{00000000-0008-0000-1700-00001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1520" name="Check Box 32" descr="Machine Learning" hidden="1">
              <a:extLst>
                <a:ext uri="{63B3BB69-23CF-44E3-9099-C40C66FF867C}">
                  <a14:compatExt spid="_x0000_s191520"/>
                </a:ext>
                <a:ext uri="{FF2B5EF4-FFF2-40B4-BE49-F238E27FC236}">
                  <a16:creationId xmlns:a16="http://schemas.microsoft.com/office/drawing/2014/main" id="{00000000-0008-0000-1700-00002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1521" name="Check Box 33" descr="Machine Learning" hidden="1">
              <a:extLst>
                <a:ext uri="{63B3BB69-23CF-44E3-9099-C40C66FF867C}">
                  <a14:compatExt spid="_x0000_s191521"/>
                </a:ext>
                <a:ext uri="{FF2B5EF4-FFF2-40B4-BE49-F238E27FC236}">
                  <a16:creationId xmlns:a16="http://schemas.microsoft.com/office/drawing/2014/main" id="{00000000-0008-0000-1700-00002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1522" name="Check Box 34" descr="Logistic Regression" hidden="1">
              <a:extLst>
                <a:ext uri="{63B3BB69-23CF-44E3-9099-C40C66FF867C}">
                  <a14:compatExt spid="_x0000_s191522"/>
                </a:ext>
                <a:ext uri="{FF2B5EF4-FFF2-40B4-BE49-F238E27FC236}">
                  <a16:creationId xmlns:a16="http://schemas.microsoft.com/office/drawing/2014/main" id="{00000000-0008-0000-1700-00002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1523" name="Check Box 35" descr="Neural Network" hidden="1">
              <a:extLst>
                <a:ext uri="{63B3BB69-23CF-44E3-9099-C40C66FF867C}">
                  <a14:compatExt spid="_x0000_s191523"/>
                </a:ext>
                <a:ext uri="{FF2B5EF4-FFF2-40B4-BE49-F238E27FC236}">
                  <a16:creationId xmlns:a16="http://schemas.microsoft.com/office/drawing/2014/main" id="{00000000-0008-0000-1700-00002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2513" name="Check Box Cat" descr="Catastrophe Model" hidden="1">
              <a:extLst>
                <a:ext uri="{63B3BB69-23CF-44E3-9099-C40C66FF867C}">
                  <a14:compatExt spid="_x0000_s192513"/>
                </a:ext>
                <a:ext uri="{FF2B5EF4-FFF2-40B4-BE49-F238E27FC236}">
                  <a16:creationId xmlns:a16="http://schemas.microsoft.com/office/drawing/2014/main" id="{00000000-0008-0000-18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2514" name="Check Box NonCat" descr="Non-Catastrophe Model" hidden="1">
              <a:extLst>
                <a:ext uri="{63B3BB69-23CF-44E3-9099-C40C66FF867C}">
                  <a14:compatExt spid="_x0000_s192514"/>
                </a:ext>
                <a:ext uri="{FF2B5EF4-FFF2-40B4-BE49-F238E27FC236}">
                  <a16:creationId xmlns:a16="http://schemas.microsoft.com/office/drawing/2014/main" id="{00000000-0008-0000-18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2515" name="Check Box OverallRateLvl" descr="Overall Rate Level" hidden="1">
              <a:extLst>
                <a:ext uri="{63B3BB69-23CF-44E3-9099-C40C66FF867C}">
                  <a14:compatExt spid="_x0000_s192515"/>
                </a:ext>
                <a:ext uri="{FF2B5EF4-FFF2-40B4-BE49-F238E27FC236}">
                  <a16:creationId xmlns:a16="http://schemas.microsoft.com/office/drawing/2014/main" id="{00000000-0008-0000-18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2516" name="Check Box 4" descr="Other Model Usage" hidden="1">
              <a:extLst>
                <a:ext uri="{63B3BB69-23CF-44E3-9099-C40C66FF867C}">
                  <a14:compatExt spid="_x0000_s192516"/>
                </a:ext>
                <a:ext uri="{FF2B5EF4-FFF2-40B4-BE49-F238E27FC236}">
                  <a16:creationId xmlns:a16="http://schemas.microsoft.com/office/drawing/2014/main" id="{00000000-0008-0000-18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18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18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18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18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18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18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2523" name="Check Box 11" descr="Underwriting Eligibility" hidden="1">
              <a:extLst>
                <a:ext uri="{63B3BB69-23CF-44E3-9099-C40C66FF867C}">
                  <a14:compatExt spid="_x0000_s192523"/>
                </a:ext>
                <a:ext uri="{FF2B5EF4-FFF2-40B4-BE49-F238E27FC236}">
                  <a16:creationId xmlns:a16="http://schemas.microsoft.com/office/drawing/2014/main" id="{00000000-0008-0000-1800-00000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2524" name="Check Box RateSeg" descr="Rate Segmentation" hidden="1">
              <a:extLst>
                <a:ext uri="{63B3BB69-23CF-44E3-9099-C40C66FF867C}">
                  <a14:compatExt spid="_x0000_s192524"/>
                </a:ext>
                <a:ext uri="{FF2B5EF4-FFF2-40B4-BE49-F238E27FC236}">
                  <a16:creationId xmlns:a16="http://schemas.microsoft.com/office/drawing/2014/main" id="{00000000-0008-0000-1800-00000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2525" name="Check Box 13" hidden="1">
              <a:extLst>
                <a:ext uri="{63B3BB69-23CF-44E3-9099-C40C66FF867C}">
                  <a14:compatExt spid="_x0000_s192525"/>
                </a:ext>
                <a:ext uri="{FF2B5EF4-FFF2-40B4-BE49-F238E27FC236}">
                  <a16:creationId xmlns:a16="http://schemas.microsoft.com/office/drawing/2014/main" id="{00000000-0008-0000-1800-00000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2526" name="Check Box 14" hidden="1">
              <a:extLst>
                <a:ext uri="{63B3BB69-23CF-44E3-9099-C40C66FF867C}">
                  <a14:compatExt spid="_x0000_s192526"/>
                </a:ext>
                <a:ext uri="{FF2B5EF4-FFF2-40B4-BE49-F238E27FC236}">
                  <a16:creationId xmlns:a16="http://schemas.microsoft.com/office/drawing/2014/main" id="{00000000-0008-0000-1800-00000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2527" name="Check Box 15" hidden="1">
              <a:extLst>
                <a:ext uri="{63B3BB69-23CF-44E3-9099-C40C66FF867C}">
                  <a14:compatExt spid="_x0000_s192527"/>
                </a:ext>
                <a:ext uri="{FF2B5EF4-FFF2-40B4-BE49-F238E27FC236}">
                  <a16:creationId xmlns:a16="http://schemas.microsoft.com/office/drawing/2014/main" id="{00000000-0008-0000-1800-00000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2528" name="Check Box 16" hidden="1">
              <a:extLst>
                <a:ext uri="{63B3BB69-23CF-44E3-9099-C40C66FF867C}">
                  <a14:compatExt spid="_x0000_s192528"/>
                </a:ext>
                <a:ext uri="{FF2B5EF4-FFF2-40B4-BE49-F238E27FC236}">
                  <a16:creationId xmlns:a16="http://schemas.microsoft.com/office/drawing/2014/main" id="{00000000-0008-0000-1800-00001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2529" name="Check Box 17" hidden="1">
              <a:extLst>
                <a:ext uri="{63B3BB69-23CF-44E3-9099-C40C66FF867C}">
                  <a14:compatExt spid="_x0000_s192529"/>
                </a:ext>
                <a:ext uri="{FF2B5EF4-FFF2-40B4-BE49-F238E27FC236}">
                  <a16:creationId xmlns:a16="http://schemas.microsoft.com/office/drawing/2014/main" id="{00000000-0008-0000-1800-00001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2530" name="Check Box 18" descr="Cluster Analysis" hidden="1">
              <a:extLst>
                <a:ext uri="{63B3BB69-23CF-44E3-9099-C40C66FF867C}">
                  <a14:compatExt spid="_x0000_s192530"/>
                </a:ext>
                <a:ext uri="{FF2B5EF4-FFF2-40B4-BE49-F238E27FC236}">
                  <a16:creationId xmlns:a16="http://schemas.microsoft.com/office/drawing/2014/main" id="{00000000-0008-0000-1800-00001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2531" name="Check Box 19" descr="Decision Trees" hidden="1">
              <a:extLst>
                <a:ext uri="{63B3BB69-23CF-44E3-9099-C40C66FF867C}">
                  <a14:compatExt spid="_x0000_s192531"/>
                </a:ext>
                <a:ext uri="{FF2B5EF4-FFF2-40B4-BE49-F238E27FC236}">
                  <a16:creationId xmlns:a16="http://schemas.microsoft.com/office/drawing/2014/main" id="{00000000-0008-0000-1800-00001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2532" name="Check Box 20" descr="Generalized Linear Model" hidden="1">
              <a:extLst>
                <a:ext uri="{63B3BB69-23CF-44E3-9099-C40C66FF867C}">
                  <a14:compatExt spid="_x0000_s192532"/>
                </a:ext>
                <a:ext uri="{FF2B5EF4-FFF2-40B4-BE49-F238E27FC236}">
                  <a16:creationId xmlns:a16="http://schemas.microsoft.com/office/drawing/2014/main" id="{00000000-0008-0000-1800-00001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2533" name="Check Box 21" descr="New/Initial" hidden="1">
              <a:extLst>
                <a:ext uri="{63B3BB69-23CF-44E3-9099-C40C66FF867C}">
                  <a14:compatExt spid="_x0000_s192533"/>
                </a:ext>
                <a:ext uri="{FF2B5EF4-FFF2-40B4-BE49-F238E27FC236}">
                  <a16:creationId xmlns:a16="http://schemas.microsoft.com/office/drawing/2014/main" id="{00000000-0008-0000-1800-00001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2534" name="Check Box 22" descr="Revision to Existing Model" hidden="1">
              <a:extLst>
                <a:ext uri="{63B3BB69-23CF-44E3-9099-C40C66FF867C}">
                  <a14:compatExt spid="_x0000_s192534"/>
                </a:ext>
                <a:ext uri="{FF2B5EF4-FFF2-40B4-BE49-F238E27FC236}">
                  <a16:creationId xmlns:a16="http://schemas.microsoft.com/office/drawing/2014/main" id="{00000000-0008-0000-1800-00001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2535" name="Check Box 23" descr="Refresh of Data to Existing Model" hidden="1">
              <a:extLst>
                <a:ext uri="{63B3BB69-23CF-44E3-9099-C40C66FF867C}">
                  <a14:compatExt spid="_x0000_s192535"/>
                </a:ext>
                <a:ext uri="{FF2B5EF4-FFF2-40B4-BE49-F238E27FC236}">
                  <a16:creationId xmlns:a16="http://schemas.microsoft.com/office/drawing/2014/main" id="{00000000-0008-0000-1800-00001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2536" name="Check Box 24" descr="Company Developed (&quot;In-House&quot;)" hidden="1">
              <a:extLst>
                <a:ext uri="{63B3BB69-23CF-44E3-9099-C40C66FF867C}">
                  <a14:compatExt spid="_x0000_s192536"/>
                </a:ext>
                <a:ext uri="{FF2B5EF4-FFF2-40B4-BE49-F238E27FC236}">
                  <a16:creationId xmlns:a16="http://schemas.microsoft.com/office/drawing/2014/main" id="{00000000-0008-0000-1800-00001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2537" name="Check Box 25" descr="Outside Firm" hidden="1">
              <a:extLst>
                <a:ext uri="{63B3BB69-23CF-44E3-9099-C40C66FF867C}">
                  <a14:compatExt spid="_x0000_s192537"/>
                </a:ext>
                <a:ext uri="{FF2B5EF4-FFF2-40B4-BE49-F238E27FC236}">
                  <a16:creationId xmlns:a16="http://schemas.microsoft.com/office/drawing/2014/main" id="{00000000-0008-0000-1800-00001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2538" name="Check Box 26" descr="No Revision to Existing Model" hidden="1">
              <a:extLst>
                <a:ext uri="{63B3BB69-23CF-44E3-9099-C40C66FF867C}">
                  <a14:compatExt spid="_x0000_s192538"/>
                </a:ext>
                <a:ext uri="{FF2B5EF4-FFF2-40B4-BE49-F238E27FC236}">
                  <a16:creationId xmlns:a16="http://schemas.microsoft.com/office/drawing/2014/main" id="{00000000-0008-0000-1800-00001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2539" name="Check Box 27" hidden="1">
              <a:extLst>
                <a:ext uri="{63B3BB69-23CF-44E3-9099-C40C66FF867C}">
                  <a14:compatExt spid="_x0000_s192539"/>
                </a:ext>
                <a:ext uri="{FF2B5EF4-FFF2-40B4-BE49-F238E27FC236}">
                  <a16:creationId xmlns:a16="http://schemas.microsoft.com/office/drawing/2014/main" id="{00000000-0008-0000-1800-00001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2540" name="Check Box 28" descr="Cluster Analysis" hidden="1">
              <a:extLst>
                <a:ext uri="{63B3BB69-23CF-44E3-9099-C40C66FF867C}">
                  <a14:compatExt spid="_x0000_s192540"/>
                </a:ext>
                <a:ext uri="{FF2B5EF4-FFF2-40B4-BE49-F238E27FC236}">
                  <a16:creationId xmlns:a16="http://schemas.microsoft.com/office/drawing/2014/main" id="{00000000-0008-0000-1800-00001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2541" name="Check Box 29" descr="Logistic Regression" hidden="1">
              <a:extLst>
                <a:ext uri="{63B3BB69-23CF-44E3-9099-C40C66FF867C}">
                  <a14:compatExt spid="_x0000_s192541"/>
                </a:ext>
                <a:ext uri="{FF2B5EF4-FFF2-40B4-BE49-F238E27FC236}">
                  <a16:creationId xmlns:a16="http://schemas.microsoft.com/office/drawing/2014/main" id="{00000000-0008-0000-1800-00001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2542" name="Check Box 30" descr="Neural Network" hidden="1">
              <a:extLst>
                <a:ext uri="{63B3BB69-23CF-44E3-9099-C40C66FF867C}">
                  <a14:compatExt spid="_x0000_s192542"/>
                </a:ext>
                <a:ext uri="{FF2B5EF4-FFF2-40B4-BE49-F238E27FC236}">
                  <a16:creationId xmlns:a16="http://schemas.microsoft.com/office/drawing/2014/main" id="{00000000-0008-0000-1800-00001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2543" name="Check Box 31" descr="Decision Trees" hidden="1">
              <a:extLst>
                <a:ext uri="{63B3BB69-23CF-44E3-9099-C40C66FF867C}">
                  <a14:compatExt spid="_x0000_s192543"/>
                </a:ext>
                <a:ext uri="{FF2B5EF4-FFF2-40B4-BE49-F238E27FC236}">
                  <a16:creationId xmlns:a16="http://schemas.microsoft.com/office/drawing/2014/main" id="{00000000-0008-0000-1800-00001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2544" name="Check Box 32" descr="Machine Learning" hidden="1">
              <a:extLst>
                <a:ext uri="{63B3BB69-23CF-44E3-9099-C40C66FF867C}">
                  <a14:compatExt spid="_x0000_s192544"/>
                </a:ext>
                <a:ext uri="{FF2B5EF4-FFF2-40B4-BE49-F238E27FC236}">
                  <a16:creationId xmlns:a16="http://schemas.microsoft.com/office/drawing/2014/main" id="{00000000-0008-0000-1800-00002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2545" name="Check Box 33" descr="Machine Learning" hidden="1">
              <a:extLst>
                <a:ext uri="{63B3BB69-23CF-44E3-9099-C40C66FF867C}">
                  <a14:compatExt spid="_x0000_s192545"/>
                </a:ext>
                <a:ext uri="{FF2B5EF4-FFF2-40B4-BE49-F238E27FC236}">
                  <a16:creationId xmlns:a16="http://schemas.microsoft.com/office/drawing/2014/main" id="{00000000-0008-0000-1800-00002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2546" name="Check Box 34" descr="Logistic Regression" hidden="1">
              <a:extLst>
                <a:ext uri="{63B3BB69-23CF-44E3-9099-C40C66FF867C}">
                  <a14:compatExt spid="_x0000_s192546"/>
                </a:ext>
                <a:ext uri="{FF2B5EF4-FFF2-40B4-BE49-F238E27FC236}">
                  <a16:creationId xmlns:a16="http://schemas.microsoft.com/office/drawing/2014/main" id="{00000000-0008-0000-1800-00002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2547" name="Check Box 35" descr="Neural Network" hidden="1">
              <a:extLst>
                <a:ext uri="{63B3BB69-23CF-44E3-9099-C40C66FF867C}">
                  <a14:compatExt spid="_x0000_s192547"/>
                </a:ext>
                <a:ext uri="{FF2B5EF4-FFF2-40B4-BE49-F238E27FC236}">
                  <a16:creationId xmlns:a16="http://schemas.microsoft.com/office/drawing/2014/main" id="{00000000-0008-0000-1800-00002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3537" name="Check Box Cat" descr="Catastrophe Model" hidden="1">
              <a:extLst>
                <a:ext uri="{63B3BB69-23CF-44E3-9099-C40C66FF867C}">
                  <a14:compatExt spid="_x0000_s193537"/>
                </a:ext>
                <a:ext uri="{FF2B5EF4-FFF2-40B4-BE49-F238E27FC236}">
                  <a16:creationId xmlns:a16="http://schemas.microsoft.com/office/drawing/2014/main" id="{00000000-0008-0000-1900-00000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3538" name="Check Box NonCat" descr="Non-Catastrophe Model" hidden="1">
              <a:extLst>
                <a:ext uri="{63B3BB69-23CF-44E3-9099-C40C66FF867C}">
                  <a14:compatExt spid="_x0000_s193538"/>
                </a:ext>
                <a:ext uri="{FF2B5EF4-FFF2-40B4-BE49-F238E27FC236}">
                  <a16:creationId xmlns:a16="http://schemas.microsoft.com/office/drawing/2014/main" id="{00000000-0008-0000-1900-00000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3539" name="Check Box OverallRateLvl" descr="Overall Rate Level" hidden="1">
              <a:extLst>
                <a:ext uri="{63B3BB69-23CF-44E3-9099-C40C66FF867C}">
                  <a14:compatExt spid="_x0000_s193539"/>
                </a:ext>
                <a:ext uri="{FF2B5EF4-FFF2-40B4-BE49-F238E27FC236}">
                  <a16:creationId xmlns:a16="http://schemas.microsoft.com/office/drawing/2014/main" id="{00000000-0008-0000-1900-00000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3540" name="Check Box 4" descr="Other Model Usage" hidden="1">
              <a:extLst>
                <a:ext uri="{63B3BB69-23CF-44E3-9099-C40C66FF867C}">
                  <a14:compatExt spid="_x0000_s193540"/>
                </a:ext>
                <a:ext uri="{FF2B5EF4-FFF2-40B4-BE49-F238E27FC236}">
                  <a16:creationId xmlns:a16="http://schemas.microsoft.com/office/drawing/2014/main" id="{00000000-0008-0000-1900-000004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3541" name="Check Box 5" hidden="1">
              <a:extLst>
                <a:ext uri="{63B3BB69-23CF-44E3-9099-C40C66FF867C}">
                  <a14:compatExt spid="_x0000_s193541"/>
                </a:ext>
                <a:ext uri="{FF2B5EF4-FFF2-40B4-BE49-F238E27FC236}">
                  <a16:creationId xmlns:a16="http://schemas.microsoft.com/office/drawing/2014/main" id="{00000000-0008-0000-1900-000005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3542" name="Check Box 6" hidden="1">
              <a:extLst>
                <a:ext uri="{63B3BB69-23CF-44E3-9099-C40C66FF867C}">
                  <a14:compatExt spid="_x0000_s193542"/>
                </a:ext>
                <a:ext uri="{FF2B5EF4-FFF2-40B4-BE49-F238E27FC236}">
                  <a16:creationId xmlns:a16="http://schemas.microsoft.com/office/drawing/2014/main" id="{00000000-0008-0000-1900-000006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3543" name="Check Box 7" hidden="1">
              <a:extLst>
                <a:ext uri="{63B3BB69-23CF-44E3-9099-C40C66FF867C}">
                  <a14:compatExt spid="_x0000_s193543"/>
                </a:ext>
                <a:ext uri="{FF2B5EF4-FFF2-40B4-BE49-F238E27FC236}">
                  <a16:creationId xmlns:a16="http://schemas.microsoft.com/office/drawing/2014/main" id="{00000000-0008-0000-1900-000007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3544" name="Check Box 8" hidden="1">
              <a:extLst>
                <a:ext uri="{63B3BB69-23CF-44E3-9099-C40C66FF867C}">
                  <a14:compatExt spid="_x0000_s193544"/>
                </a:ext>
                <a:ext uri="{FF2B5EF4-FFF2-40B4-BE49-F238E27FC236}">
                  <a16:creationId xmlns:a16="http://schemas.microsoft.com/office/drawing/2014/main" id="{00000000-0008-0000-1900-000008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3545" name="Check Box 9" hidden="1">
              <a:extLst>
                <a:ext uri="{63B3BB69-23CF-44E3-9099-C40C66FF867C}">
                  <a14:compatExt spid="_x0000_s193545"/>
                </a:ext>
                <a:ext uri="{FF2B5EF4-FFF2-40B4-BE49-F238E27FC236}">
                  <a16:creationId xmlns:a16="http://schemas.microsoft.com/office/drawing/2014/main" id="{00000000-0008-0000-1900-000009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3546" name="Check Box 10" hidden="1">
              <a:extLst>
                <a:ext uri="{63B3BB69-23CF-44E3-9099-C40C66FF867C}">
                  <a14:compatExt spid="_x0000_s193546"/>
                </a:ext>
                <a:ext uri="{FF2B5EF4-FFF2-40B4-BE49-F238E27FC236}">
                  <a16:creationId xmlns:a16="http://schemas.microsoft.com/office/drawing/2014/main" id="{00000000-0008-0000-1900-00000A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3547" name="Check Box 11" descr="Underwriting Eligibility" hidden="1">
              <a:extLst>
                <a:ext uri="{63B3BB69-23CF-44E3-9099-C40C66FF867C}">
                  <a14:compatExt spid="_x0000_s193547"/>
                </a:ext>
                <a:ext uri="{FF2B5EF4-FFF2-40B4-BE49-F238E27FC236}">
                  <a16:creationId xmlns:a16="http://schemas.microsoft.com/office/drawing/2014/main" id="{00000000-0008-0000-1900-00000B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3548" name="Check Box RateSeg" descr="Rate Segmentation" hidden="1">
              <a:extLst>
                <a:ext uri="{63B3BB69-23CF-44E3-9099-C40C66FF867C}">
                  <a14:compatExt spid="_x0000_s193548"/>
                </a:ext>
                <a:ext uri="{FF2B5EF4-FFF2-40B4-BE49-F238E27FC236}">
                  <a16:creationId xmlns:a16="http://schemas.microsoft.com/office/drawing/2014/main" id="{00000000-0008-0000-1900-00000C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3549" name="Check Box 13" hidden="1">
              <a:extLst>
                <a:ext uri="{63B3BB69-23CF-44E3-9099-C40C66FF867C}">
                  <a14:compatExt spid="_x0000_s193549"/>
                </a:ext>
                <a:ext uri="{FF2B5EF4-FFF2-40B4-BE49-F238E27FC236}">
                  <a16:creationId xmlns:a16="http://schemas.microsoft.com/office/drawing/2014/main" id="{00000000-0008-0000-1900-00000D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3550" name="Check Box 14" hidden="1">
              <a:extLst>
                <a:ext uri="{63B3BB69-23CF-44E3-9099-C40C66FF867C}">
                  <a14:compatExt spid="_x0000_s193550"/>
                </a:ext>
                <a:ext uri="{FF2B5EF4-FFF2-40B4-BE49-F238E27FC236}">
                  <a16:creationId xmlns:a16="http://schemas.microsoft.com/office/drawing/2014/main" id="{00000000-0008-0000-1900-00000E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3551" name="Check Box 15" hidden="1">
              <a:extLst>
                <a:ext uri="{63B3BB69-23CF-44E3-9099-C40C66FF867C}">
                  <a14:compatExt spid="_x0000_s193551"/>
                </a:ext>
                <a:ext uri="{FF2B5EF4-FFF2-40B4-BE49-F238E27FC236}">
                  <a16:creationId xmlns:a16="http://schemas.microsoft.com/office/drawing/2014/main" id="{00000000-0008-0000-1900-00000F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3552" name="Check Box 16" hidden="1">
              <a:extLst>
                <a:ext uri="{63B3BB69-23CF-44E3-9099-C40C66FF867C}">
                  <a14:compatExt spid="_x0000_s193552"/>
                </a:ext>
                <a:ext uri="{FF2B5EF4-FFF2-40B4-BE49-F238E27FC236}">
                  <a16:creationId xmlns:a16="http://schemas.microsoft.com/office/drawing/2014/main" id="{00000000-0008-0000-1900-000010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3553" name="Check Box 17" hidden="1">
              <a:extLst>
                <a:ext uri="{63B3BB69-23CF-44E3-9099-C40C66FF867C}">
                  <a14:compatExt spid="_x0000_s193553"/>
                </a:ext>
                <a:ext uri="{FF2B5EF4-FFF2-40B4-BE49-F238E27FC236}">
                  <a16:creationId xmlns:a16="http://schemas.microsoft.com/office/drawing/2014/main" id="{00000000-0008-0000-1900-00001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3554" name="Check Box 18" descr="Cluster Analysis" hidden="1">
              <a:extLst>
                <a:ext uri="{63B3BB69-23CF-44E3-9099-C40C66FF867C}">
                  <a14:compatExt spid="_x0000_s193554"/>
                </a:ext>
                <a:ext uri="{FF2B5EF4-FFF2-40B4-BE49-F238E27FC236}">
                  <a16:creationId xmlns:a16="http://schemas.microsoft.com/office/drawing/2014/main" id="{00000000-0008-0000-1900-00001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3555" name="Check Box 19" descr="Decision Trees" hidden="1">
              <a:extLst>
                <a:ext uri="{63B3BB69-23CF-44E3-9099-C40C66FF867C}">
                  <a14:compatExt spid="_x0000_s193555"/>
                </a:ext>
                <a:ext uri="{FF2B5EF4-FFF2-40B4-BE49-F238E27FC236}">
                  <a16:creationId xmlns:a16="http://schemas.microsoft.com/office/drawing/2014/main" id="{00000000-0008-0000-1900-00001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3556" name="Check Box 20" descr="Generalized Linear Model" hidden="1">
              <a:extLst>
                <a:ext uri="{63B3BB69-23CF-44E3-9099-C40C66FF867C}">
                  <a14:compatExt spid="_x0000_s193556"/>
                </a:ext>
                <a:ext uri="{FF2B5EF4-FFF2-40B4-BE49-F238E27FC236}">
                  <a16:creationId xmlns:a16="http://schemas.microsoft.com/office/drawing/2014/main" id="{00000000-0008-0000-1900-000014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3557" name="Check Box 21" descr="New/Initial" hidden="1">
              <a:extLst>
                <a:ext uri="{63B3BB69-23CF-44E3-9099-C40C66FF867C}">
                  <a14:compatExt spid="_x0000_s193557"/>
                </a:ext>
                <a:ext uri="{FF2B5EF4-FFF2-40B4-BE49-F238E27FC236}">
                  <a16:creationId xmlns:a16="http://schemas.microsoft.com/office/drawing/2014/main" id="{00000000-0008-0000-1900-000015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3558" name="Check Box 22" descr="Revision to Existing Model" hidden="1">
              <a:extLst>
                <a:ext uri="{63B3BB69-23CF-44E3-9099-C40C66FF867C}">
                  <a14:compatExt spid="_x0000_s193558"/>
                </a:ext>
                <a:ext uri="{FF2B5EF4-FFF2-40B4-BE49-F238E27FC236}">
                  <a16:creationId xmlns:a16="http://schemas.microsoft.com/office/drawing/2014/main" id="{00000000-0008-0000-1900-000016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3559" name="Check Box 23" descr="Refresh of Data to Existing Model" hidden="1">
              <a:extLst>
                <a:ext uri="{63B3BB69-23CF-44E3-9099-C40C66FF867C}">
                  <a14:compatExt spid="_x0000_s193559"/>
                </a:ext>
                <a:ext uri="{FF2B5EF4-FFF2-40B4-BE49-F238E27FC236}">
                  <a16:creationId xmlns:a16="http://schemas.microsoft.com/office/drawing/2014/main" id="{00000000-0008-0000-1900-000017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3560" name="Check Box 24" descr="Company Developed (&quot;In-House&quot;)" hidden="1">
              <a:extLst>
                <a:ext uri="{63B3BB69-23CF-44E3-9099-C40C66FF867C}">
                  <a14:compatExt spid="_x0000_s193560"/>
                </a:ext>
                <a:ext uri="{FF2B5EF4-FFF2-40B4-BE49-F238E27FC236}">
                  <a16:creationId xmlns:a16="http://schemas.microsoft.com/office/drawing/2014/main" id="{00000000-0008-0000-1900-000018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3561" name="Check Box 25" descr="Outside Firm" hidden="1">
              <a:extLst>
                <a:ext uri="{63B3BB69-23CF-44E3-9099-C40C66FF867C}">
                  <a14:compatExt spid="_x0000_s193561"/>
                </a:ext>
                <a:ext uri="{FF2B5EF4-FFF2-40B4-BE49-F238E27FC236}">
                  <a16:creationId xmlns:a16="http://schemas.microsoft.com/office/drawing/2014/main" id="{00000000-0008-0000-1900-000019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3562" name="Check Box 26" descr="No Revision to Existing Model" hidden="1">
              <a:extLst>
                <a:ext uri="{63B3BB69-23CF-44E3-9099-C40C66FF867C}">
                  <a14:compatExt spid="_x0000_s193562"/>
                </a:ext>
                <a:ext uri="{FF2B5EF4-FFF2-40B4-BE49-F238E27FC236}">
                  <a16:creationId xmlns:a16="http://schemas.microsoft.com/office/drawing/2014/main" id="{00000000-0008-0000-1900-00001A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3563" name="Check Box 27" hidden="1">
              <a:extLst>
                <a:ext uri="{63B3BB69-23CF-44E3-9099-C40C66FF867C}">
                  <a14:compatExt spid="_x0000_s193563"/>
                </a:ext>
                <a:ext uri="{FF2B5EF4-FFF2-40B4-BE49-F238E27FC236}">
                  <a16:creationId xmlns:a16="http://schemas.microsoft.com/office/drawing/2014/main" id="{00000000-0008-0000-1900-00001B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3564" name="Check Box 28" descr="Cluster Analysis" hidden="1">
              <a:extLst>
                <a:ext uri="{63B3BB69-23CF-44E3-9099-C40C66FF867C}">
                  <a14:compatExt spid="_x0000_s193564"/>
                </a:ext>
                <a:ext uri="{FF2B5EF4-FFF2-40B4-BE49-F238E27FC236}">
                  <a16:creationId xmlns:a16="http://schemas.microsoft.com/office/drawing/2014/main" id="{00000000-0008-0000-1900-00001C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3565" name="Check Box 29" descr="Logistic Regression" hidden="1">
              <a:extLst>
                <a:ext uri="{63B3BB69-23CF-44E3-9099-C40C66FF867C}">
                  <a14:compatExt spid="_x0000_s193565"/>
                </a:ext>
                <a:ext uri="{FF2B5EF4-FFF2-40B4-BE49-F238E27FC236}">
                  <a16:creationId xmlns:a16="http://schemas.microsoft.com/office/drawing/2014/main" id="{00000000-0008-0000-1900-00001D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3566" name="Check Box 30" descr="Neural Network" hidden="1">
              <a:extLst>
                <a:ext uri="{63B3BB69-23CF-44E3-9099-C40C66FF867C}">
                  <a14:compatExt spid="_x0000_s193566"/>
                </a:ext>
                <a:ext uri="{FF2B5EF4-FFF2-40B4-BE49-F238E27FC236}">
                  <a16:creationId xmlns:a16="http://schemas.microsoft.com/office/drawing/2014/main" id="{00000000-0008-0000-1900-00001E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3567" name="Check Box 31" descr="Decision Trees" hidden="1">
              <a:extLst>
                <a:ext uri="{63B3BB69-23CF-44E3-9099-C40C66FF867C}">
                  <a14:compatExt spid="_x0000_s193567"/>
                </a:ext>
                <a:ext uri="{FF2B5EF4-FFF2-40B4-BE49-F238E27FC236}">
                  <a16:creationId xmlns:a16="http://schemas.microsoft.com/office/drawing/2014/main" id="{00000000-0008-0000-1900-00001F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3568" name="Check Box 32" descr="Machine Learning" hidden="1">
              <a:extLst>
                <a:ext uri="{63B3BB69-23CF-44E3-9099-C40C66FF867C}">
                  <a14:compatExt spid="_x0000_s193568"/>
                </a:ext>
                <a:ext uri="{FF2B5EF4-FFF2-40B4-BE49-F238E27FC236}">
                  <a16:creationId xmlns:a16="http://schemas.microsoft.com/office/drawing/2014/main" id="{00000000-0008-0000-1900-000020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3569" name="Check Box 33" descr="Machine Learning" hidden="1">
              <a:extLst>
                <a:ext uri="{63B3BB69-23CF-44E3-9099-C40C66FF867C}">
                  <a14:compatExt spid="_x0000_s193569"/>
                </a:ext>
                <a:ext uri="{FF2B5EF4-FFF2-40B4-BE49-F238E27FC236}">
                  <a16:creationId xmlns:a16="http://schemas.microsoft.com/office/drawing/2014/main" id="{00000000-0008-0000-1900-00002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3570" name="Check Box 34" descr="Logistic Regression" hidden="1">
              <a:extLst>
                <a:ext uri="{63B3BB69-23CF-44E3-9099-C40C66FF867C}">
                  <a14:compatExt spid="_x0000_s193570"/>
                </a:ext>
                <a:ext uri="{FF2B5EF4-FFF2-40B4-BE49-F238E27FC236}">
                  <a16:creationId xmlns:a16="http://schemas.microsoft.com/office/drawing/2014/main" id="{00000000-0008-0000-1900-00002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3571" name="Check Box 35" descr="Neural Network" hidden="1">
              <a:extLst>
                <a:ext uri="{63B3BB69-23CF-44E3-9099-C40C66FF867C}">
                  <a14:compatExt spid="_x0000_s193571"/>
                </a:ext>
                <a:ext uri="{FF2B5EF4-FFF2-40B4-BE49-F238E27FC236}">
                  <a16:creationId xmlns:a16="http://schemas.microsoft.com/office/drawing/2014/main" id="{00000000-0008-0000-1900-00002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4561" name="Check Box Cat" descr="Catastrophe Model" hidden="1">
              <a:extLst>
                <a:ext uri="{63B3BB69-23CF-44E3-9099-C40C66FF867C}">
                  <a14:compatExt spid="_x0000_s194561"/>
                </a:ext>
                <a:ext uri="{FF2B5EF4-FFF2-40B4-BE49-F238E27FC236}">
                  <a16:creationId xmlns:a16="http://schemas.microsoft.com/office/drawing/2014/main" id="{00000000-0008-0000-1A00-00000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4562" name="Check Box NonCat" descr="Non-Catastrophe Model" hidden="1">
              <a:extLst>
                <a:ext uri="{63B3BB69-23CF-44E3-9099-C40C66FF867C}">
                  <a14:compatExt spid="_x0000_s194562"/>
                </a:ext>
                <a:ext uri="{FF2B5EF4-FFF2-40B4-BE49-F238E27FC236}">
                  <a16:creationId xmlns:a16="http://schemas.microsoft.com/office/drawing/2014/main" id="{00000000-0008-0000-1A00-00000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4563" name="Check Box OverallRateLvl" descr="Overall Rate Level" hidden="1">
              <a:extLst>
                <a:ext uri="{63B3BB69-23CF-44E3-9099-C40C66FF867C}">
                  <a14:compatExt spid="_x0000_s194563"/>
                </a:ext>
                <a:ext uri="{FF2B5EF4-FFF2-40B4-BE49-F238E27FC236}">
                  <a16:creationId xmlns:a16="http://schemas.microsoft.com/office/drawing/2014/main" id="{00000000-0008-0000-1A00-00000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4564" name="Check Box 4" descr="Other Model Usage" hidden="1">
              <a:extLst>
                <a:ext uri="{63B3BB69-23CF-44E3-9099-C40C66FF867C}">
                  <a14:compatExt spid="_x0000_s194564"/>
                </a:ext>
                <a:ext uri="{FF2B5EF4-FFF2-40B4-BE49-F238E27FC236}">
                  <a16:creationId xmlns:a16="http://schemas.microsoft.com/office/drawing/2014/main" id="{00000000-0008-0000-1A00-00000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4565" name="Check Box 5" hidden="1">
              <a:extLst>
                <a:ext uri="{63B3BB69-23CF-44E3-9099-C40C66FF867C}">
                  <a14:compatExt spid="_x0000_s194565"/>
                </a:ext>
                <a:ext uri="{FF2B5EF4-FFF2-40B4-BE49-F238E27FC236}">
                  <a16:creationId xmlns:a16="http://schemas.microsoft.com/office/drawing/2014/main" id="{00000000-0008-0000-1A00-00000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4566" name="Check Box 6" hidden="1">
              <a:extLst>
                <a:ext uri="{63B3BB69-23CF-44E3-9099-C40C66FF867C}">
                  <a14:compatExt spid="_x0000_s194566"/>
                </a:ext>
                <a:ext uri="{FF2B5EF4-FFF2-40B4-BE49-F238E27FC236}">
                  <a16:creationId xmlns:a16="http://schemas.microsoft.com/office/drawing/2014/main" id="{00000000-0008-0000-1A00-00000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4567" name="Check Box 7" hidden="1">
              <a:extLst>
                <a:ext uri="{63B3BB69-23CF-44E3-9099-C40C66FF867C}">
                  <a14:compatExt spid="_x0000_s194567"/>
                </a:ext>
                <a:ext uri="{FF2B5EF4-FFF2-40B4-BE49-F238E27FC236}">
                  <a16:creationId xmlns:a16="http://schemas.microsoft.com/office/drawing/2014/main" id="{00000000-0008-0000-1A00-00000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4568" name="Check Box 8" hidden="1">
              <a:extLst>
                <a:ext uri="{63B3BB69-23CF-44E3-9099-C40C66FF867C}">
                  <a14:compatExt spid="_x0000_s194568"/>
                </a:ext>
                <a:ext uri="{FF2B5EF4-FFF2-40B4-BE49-F238E27FC236}">
                  <a16:creationId xmlns:a16="http://schemas.microsoft.com/office/drawing/2014/main" id="{00000000-0008-0000-1A00-00000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4569" name="Check Box 9" hidden="1">
              <a:extLst>
                <a:ext uri="{63B3BB69-23CF-44E3-9099-C40C66FF867C}">
                  <a14:compatExt spid="_x0000_s194569"/>
                </a:ext>
                <a:ext uri="{FF2B5EF4-FFF2-40B4-BE49-F238E27FC236}">
                  <a16:creationId xmlns:a16="http://schemas.microsoft.com/office/drawing/2014/main" id="{00000000-0008-0000-1A00-00000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4570" name="Check Box 10" hidden="1">
              <a:extLst>
                <a:ext uri="{63B3BB69-23CF-44E3-9099-C40C66FF867C}">
                  <a14:compatExt spid="_x0000_s194570"/>
                </a:ext>
                <a:ext uri="{FF2B5EF4-FFF2-40B4-BE49-F238E27FC236}">
                  <a16:creationId xmlns:a16="http://schemas.microsoft.com/office/drawing/2014/main" id="{00000000-0008-0000-1A00-00000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4571" name="Check Box 11" descr="Underwriting Eligibility" hidden="1">
              <a:extLst>
                <a:ext uri="{63B3BB69-23CF-44E3-9099-C40C66FF867C}">
                  <a14:compatExt spid="_x0000_s194571"/>
                </a:ext>
                <a:ext uri="{FF2B5EF4-FFF2-40B4-BE49-F238E27FC236}">
                  <a16:creationId xmlns:a16="http://schemas.microsoft.com/office/drawing/2014/main" id="{00000000-0008-0000-1A00-00000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4572" name="Check Box RateSeg" descr="Rate Segmentation" hidden="1">
              <a:extLst>
                <a:ext uri="{63B3BB69-23CF-44E3-9099-C40C66FF867C}">
                  <a14:compatExt spid="_x0000_s194572"/>
                </a:ext>
                <a:ext uri="{FF2B5EF4-FFF2-40B4-BE49-F238E27FC236}">
                  <a16:creationId xmlns:a16="http://schemas.microsoft.com/office/drawing/2014/main" id="{00000000-0008-0000-1A00-00000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4573" name="Check Box 13" hidden="1">
              <a:extLst>
                <a:ext uri="{63B3BB69-23CF-44E3-9099-C40C66FF867C}">
                  <a14:compatExt spid="_x0000_s194573"/>
                </a:ext>
                <a:ext uri="{FF2B5EF4-FFF2-40B4-BE49-F238E27FC236}">
                  <a16:creationId xmlns:a16="http://schemas.microsoft.com/office/drawing/2014/main" id="{00000000-0008-0000-1A00-00000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4574" name="Check Box 14" hidden="1">
              <a:extLst>
                <a:ext uri="{63B3BB69-23CF-44E3-9099-C40C66FF867C}">
                  <a14:compatExt spid="_x0000_s194574"/>
                </a:ext>
                <a:ext uri="{FF2B5EF4-FFF2-40B4-BE49-F238E27FC236}">
                  <a16:creationId xmlns:a16="http://schemas.microsoft.com/office/drawing/2014/main" id="{00000000-0008-0000-1A00-00000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4575" name="Check Box 15" hidden="1">
              <a:extLst>
                <a:ext uri="{63B3BB69-23CF-44E3-9099-C40C66FF867C}">
                  <a14:compatExt spid="_x0000_s194575"/>
                </a:ext>
                <a:ext uri="{FF2B5EF4-FFF2-40B4-BE49-F238E27FC236}">
                  <a16:creationId xmlns:a16="http://schemas.microsoft.com/office/drawing/2014/main" id="{00000000-0008-0000-1A00-00000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4576" name="Check Box 16" hidden="1">
              <a:extLst>
                <a:ext uri="{63B3BB69-23CF-44E3-9099-C40C66FF867C}">
                  <a14:compatExt spid="_x0000_s194576"/>
                </a:ext>
                <a:ext uri="{FF2B5EF4-FFF2-40B4-BE49-F238E27FC236}">
                  <a16:creationId xmlns:a16="http://schemas.microsoft.com/office/drawing/2014/main" id="{00000000-0008-0000-1A00-00001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4577" name="Check Box 17" hidden="1">
              <a:extLst>
                <a:ext uri="{63B3BB69-23CF-44E3-9099-C40C66FF867C}">
                  <a14:compatExt spid="_x0000_s194577"/>
                </a:ext>
                <a:ext uri="{FF2B5EF4-FFF2-40B4-BE49-F238E27FC236}">
                  <a16:creationId xmlns:a16="http://schemas.microsoft.com/office/drawing/2014/main" id="{00000000-0008-0000-1A00-00001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4578" name="Check Box 18" descr="Cluster Analysis" hidden="1">
              <a:extLst>
                <a:ext uri="{63B3BB69-23CF-44E3-9099-C40C66FF867C}">
                  <a14:compatExt spid="_x0000_s194578"/>
                </a:ext>
                <a:ext uri="{FF2B5EF4-FFF2-40B4-BE49-F238E27FC236}">
                  <a16:creationId xmlns:a16="http://schemas.microsoft.com/office/drawing/2014/main" id="{00000000-0008-0000-1A00-00001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4579" name="Check Box 19" descr="Decision Trees" hidden="1">
              <a:extLst>
                <a:ext uri="{63B3BB69-23CF-44E3-9099-C40C66FF867C}">
                  <a14:compatExt spid="_x0000_s194579"/>
                </a:ext>
                <a:ext uri="{FF2B5EF4-FFF2-40B4-BE49-F238E27FC236}">
                  <a16:creationId xmlns:a16="http://schemas.microsoft.com/office/drawing/2014/main" id="{00000000-0008-0000-1A00-00001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4580" name="Check Box 20" descr="Generalized Linear Model" hidden="1">
              <a:extLst>
                <a:ext uri="{63B3BB69-23CF-44E3-9099-C40C66FF867C}">
                  <a14:compatExt spid="_x0000_s194580"/>
                </a:ext>
                <a:ext uri="{FF2B5EF4-FFF2-40B4-BE49-F238E27FC236}">
                  <a16:creationId xmlns:a16="http://schemas.microsoft.com/office/drawing/2014/main" id="{00000000-0008-0000-1A00-00001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4581" name="Check Box 21" descr="New/Initial" hidden="1">
              <a:extLst>
                <a:ext uri="{63B3BB69-23CF-44E3-9099-C40C66FF867C}">
                  <a14:compatExt spid="_x0000_s194581"/>
                </a:ext>
                <a:ext uri="{FF2B5EF4-FFF2-40B4-BE49-F238E27FC236}">
                  <a16:creationId xmlns:a16="http://schemas.microsoft.com/office/drawing/2014/main" id="{00000000-0008-0000-1A00-00001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4582" name="Check Box 22" descr="Revision to Existing Model" hidden="1">
              <a:extLst>
                <a:ext uri="{63B3BB69-23CF-44E3-9099-C40C66FF867C}">
                  <a14:compatExt spid="_x0000_s194582"/>
                </a:ext>
                <a:ext uri="{FF2B5EF4-FFF2-40B4-BE49-F238E27FC236}">
                  <a16:creationId xmlns:a16="http://schemas.microsoft.com/office/drawing/2014/main" id="{00000000-0008-0000-1A00-00001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4583" name="Check Box 23" descr="Refresh of Data to Existing Model" hidden="1">
              <a:extLst>
                <a:ext uri="{63B3BB69-23CF-44E3-9099-C40C66FF867C}">
                  <a14:compatExt spid="_x0000_s194583"/>
                </a:ext>
                <a:ext uri="{FF2B5EF4-FFF2-40B4-BE49-F238E27FC236}">
                  <a16:creationId xmlns:a16="http://schemas.microsoft.com/office/drawing/2014/main" id="{00000000-0008-0000-1A00-00001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4584" name="Check Box 24" descr="Company Developed (&quot;In-House&quot;)" hidden="1">
              <a:extLst>
                <a:ext uri="{63B3BB69-23CF-44E3-9099-C40C66FF867C}">
                  <a14:compatExt spid="_x0000_s194584"/>
                </a:ext>
                <a:ext uri="{FF2B5EF4-FFF2-40B4-BE49-F238E27FC236}">
                  <a16:creationId xmlns:a16="http://schemas.microsoft.com/office/drawing/2014/main" id="{00000000-0008-0000-1A00-00001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4585" name="Check Box 25" descr="Outside Firm" hidden="1">
              <a:extLst>
                <a:ext uri="{63B3BB69-23CF-44E3-9099-C40C66FF867C}">
                  <a14:compatExt spid="_x0000_s194585"/>
                </a:ext>
                <a:ext uri="{FF2B5EF4-FFF2-40B4-BE49-F238E27FC236}">
                  <a16:creationId xmlns:a16="http://schemas.microsoft.com/office/drawing/2014/main" id="{00000000-0008-0000-1A00-00001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4586" name="Check Box 26" descr="No Revision to Existing Model" hidden="1">
              <a:extLst>
                <a:ext uri="{63B3BB69-23CF-44E3-9099-C40C66FF867C}">
                  <a14:compatExt spid="_x0000_s194586"/>
                </a:ext>
                <a:ext uri="{FF2B5EF4-FFF2-40B4-BE49-F238E27FC236}">
                  <a16:creationId xmlns:a16="http://schemas.microsoft.com/office/drawing/2014/main" id="{00000000-0008-0000-1A00-00001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4587" name="Check Box 27" hidden="1">
              <a:extLst>
                <a:ext uri="{63B3BB69-23CF-44E3-9099-C40C66FF867C}">
                  <a14:compatExt spid="_x0000_s194587"/>
                </a:ext>
                <a:ext uri="{FF2B5EF4-FFF2-40B4-BE49-F238E27FC236}">
                  <a16:creationId xmlns:a16="http://schemas.microsoft.com/office/drawing/2014/main" id="{00000000-0008-0000-1A00-00001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4588" name="Check Box 28" descr="Cluster Analysis" hidden="1">
              <a:extLst>
                <a:ext uri="{63B3BB69-23CF-44E3-9099-C40C66FF867C}">
                  <a14:compatExt spid="_x0000_s194588"/>
                </a:ext>
                <a:ext uri="{FF2B5EF4-FFF2-40B4-BE49-F238E27FC236}">
                  <a16:creationId xmlns:a16="http://schemas.microsoft.com/office/drawing/2014/main" id="{00000000-0008-0000-1A00-00001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4589" name="Check Box 29" descr="Logistic Regression" hidden="1">
              <a:extLst>
                <a:ext uri="{63B3BB69-23CF-44E3-9099-C40C66FF867C}">
                  <a14:compatExt spid="_x0000_s194589"/>
                </a:ext>
                <a:ext uri="{FF2B5EF4-FFF2-40B4-BE49-F238E27FC236}">
                  <a16:creationId xmlns:a16="http://schemas.microsoft.com/office/drawing/2014/main" id="{00000000-0008-0000-1A00-00001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4590" name="Check Box 30" descr="Neural Network" hidden="1">
              <a:extLst>
                <a:ext uri="{63B3BB69-23CF-44E3-9099-C40C66FF867C}">
                  <a14:compatExt spid="_x0000_s194590"/>
                </a:ext>
                <a:ext uri="{FF2B5EF4-FFF2-40B4-BE49-F238E27FC236}">
                  <a16:creationId xmlns:a16="http://schemas.microsoft.com/office/drawing/2014/main" id="{00000000-0008-0000-1A00-00001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4591" name="Check Box 31" descr="Decision Trees" hidden="1">
              <a:extLst>
                <a:ext uri="{63B3BB69-23CF-44E3-9099-C40C66FF867C}">
                  <a14:compatExt spid="_x0000_s194591"/>
                </a:ext>
                <a:ext uri="{FF2B5EF4-FFF2-40B4-BE49-F238E27FC236}">
                  <a16:creationId xmlns:a16="http://schemas.microsoft.com/office/drawing/2014/main" id="{00000000-0008-0000-1A00-00001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4592" name="Check Box 32" descr="Machine Learning" hidden="1">
              <a:extLst>
                <a:ext uri="{63B3BB69-23CF-44E3-9099-C40C66FF867C}">
                  <a14:compatExt spid="_x0000_s194592"/>
                </a:ext>
                <a:ext uri="{FF2B5EF4-FFF2-40B4-BE49-F238E27FC236}">
                  <a16:creationId xmlns:a16="http://schemas.microsoft.com/office/drawing/2014/main" id="{00000000-0008-0000-1A00-00002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4593" name="Check Box 33" descr="Machine Learning" hidden="1">
              <a:extLst>
                <a:ext uri="{63B3BB69-23CF-44E3-9099-C40C66FF867C}">
                  <a14:compatExt spid="_x0000_s194593"/>
                </a:ext>
                <a:ext uri="{FF2B5EF4-FFF2-40B4-BE49-F238E27FC236}">
                  <a16:creationId xmlns:a16="http://schemas.microsoft.com/office/drawing/2014/main" id="{00000000-0008-0000-1A00-00002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4594" name="Check Box 34" descr="Logistic Regression" hidden="1">
              <a:extLst>
                <a:ext uri="{63B3BB69-23CF-44E3-9099-C40C66FF867C}">
                  <a14:compatExt spid="_x0000_s194594"/>
                </a:ext>
                <a:ext uri="{FF2B5EF4-FFF2-40B4-BE49-F238E27FC236}">
                  <a16:creationId xmlns:a16="http://schemas.microsoft.com/office/drawing/2014/main" id="{00000000-0008-0000-1A00-00002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4595" name="Check Box 35" descr="Neural Network" hidden="1">
              <a:extLst>
                <a:ext uri="{63B3BB69-23CF-44E3-9099-C40C66FF867C}">
                  <a14:compatExt spid="_x0000_s194595"/>
                </a:ext>
                <a:ext uri="{FF2B5EF4-FFF2-40B4-BE49-F238E27FC236}">
                  <a16:creationId xmlns:a16="http://schemas.microsoft.com/office/drawing/2014/main" id="{00000000-0008-0000-1A00-00002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B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B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B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B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B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B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B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B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B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B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B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B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B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B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B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B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B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B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B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B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B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B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B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B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B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B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B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B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B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B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B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B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B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B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B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0465" name="Check Box Cat" descr="Catastrophe Model" hidden="1">
              <a:extLst>
                <a:ext uri="{63B3BB69-23CF-44E3-9099-C40C66FF867C}">
                  <a14:compatExt spid="_x0000_s190465"/>
                </a:ext>
                <a:ext uri="{FF2B5EF4-FFF2-40B4-BE49-F238E27FC236}">
                  <a16:creationId xmlns:a16="http://schemas.microsoft.com/office/drawing/2014/main" id="{00000000-0008-0000-1C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0466" name="Check Box NonCat" descr="Non-Catastrophe Model" hidden="1">
              <a:extLst>
                <a:ext uri="{63B3BB69-23CF-44E3-9099-C40C66FF867C}">
                  <a14:compatExt spid="_x0000_s190466"/>
                </a:ext>
                <a:ext uri="{FF2B5EF4-FFF2-40B4-BE49-F238E27FC236}">
                  <a16:creationId xmlns:a16="http://schemas.microsoft.com/office/drawing/2014/main" id="{00000000-0008-0000-1C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0467" name="Check Box OverallRateLvl" descr="Overall Rate Level" hidden="1">
              <a:extLst>
                <a:ext uri="{63B3BB69-23CF-44E3-9099-C40C66FF867C}">
                  <a14:compatExt spid="_x0000_s190467"/>
                </a:ext>
                <a:ext uri="{FF2B5EF4-FFF2-40B4-BE49-F238E27FC236}">
                  <a16:creationId xmlns:a16="http://schemas.microsoft.com/office/drawing/2014/main" id="{00000000-0008-0000-1C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0468" name="Check Box 4" descr="Other Model Usage" hidden="1">
              <a:extLst>
                <a:ext uri="{63B3BB69-23CF-44E3-9099-C40C66FF867C}">
                  <a14:compatExt spid="_x0000_s190468"/>
                </a:ext>
                <a:ext uri="{FF2B5EF4-FFF2-40B4-BE49-F238E27FC236}">
                  <a16:creationId xmlns:a16="http://schemas.microsoft.com/office/drawing/2014/main" id="{00000000-0008-0000-1C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1C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1C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1C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1C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1C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1C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0475" name="Check Box 11" descr="Underwriting Eligibility" hidden="1">
              <a:extLst>
                <a:ext uri="{63B3BB69-23CF-44E3-9099-C40C66FF867C}">
                  <a14:compatExt spid="_x0000_s190475"/>
                </a:ext>
                <a:ext uri="{FF2B5EF4-FFF2-40B4-BE49-F238E27FC236}">
                  <a16:creationId xmlns:a16="http://schemas.microsoft.com/office/drawing/2014/main" id="{00000000-0008-0000-1C00-00000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0476" name="Check Box RateSeg" descr="Rate Segmentation" hidden="1">
              <a:extLst>
                <a:ext uri="{63B3BB69-23CF-44E3-9099-C40C66FF867C}">
                  <a14:compatExt spid="_x0000_s190476"/>
                </a:ext>
                <a:ext uri="{FF2B5EF4-FFF2-40B4-BE49-F238E27FC236}">
                  <a16:creationId xmlns:a16="http://schemas.microsoft.com/office/drawing/2014/main" id="{00000000-0008-0000-1C00-00000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0477" name="Check Box 13" hidden="1">
              <a:extLst>
                <a:ext uri="{63B3BB69-23CF-44E3-9099-C40C66FF867C}">
                  <a14:compatExt spid="_x0000_s190477"/>
                </a:ext>
                <a:ext uri="{FF2B5EF4-FFF2-40B4-BE49-F238E27FC236}">
                  <a16:creationId xmlns:a16="http://schemas.microsoft.com/office/drawing/2014/main" id="{00000000-0008-0000-1C00-00000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0478" name="Check Box 14" hidden="1">
              <a:extLst>
                <a:ext uri="{63B3BB69-23CF-44E3-9099-C40C66FF867C}">
                  <a14:compatExt spid="_x0000_s190478"/>
                </a:ext>
                <a:ext uri="{FF2B5EF4-FFF2-40B4-BE49-F238E27FC236}">
                  <a16:creationId xmlns:a16="http://schemas.microsoft.com/office/drawing/2014/main" id="{00000000-0008-0000-1C00-00000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0479" name="Check Box 15" hidden="1">
              <a:extLst>
                <a:ext uri="{63B3BB69-23CF-44E3-9099-C40C66FF867C}">
                  <a14:compatExt spid="_x0000_s190479"/>
                </a:ext>
                <a:ext uri="{FF2B5EF4-FFF2-40B4-BE49-F238E27FC236}">
                  <a16:creationId xmlns:a16="http://schemas.microsoft.com/office/drawing/2014/main" id="{00000000-0008-0000-1C00-00000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0480" name="Check Box 16" hidden="1">
              <a:extLst>
                <a:ext uri="{63B3BB69-23CF-44E3-9099-C40C66FF867C}">
                  <a14:compatExt spid="_x0000_s190480"/>
                </a:ext>
                <a:ext uri="{FF2B5EF4-FFF2-40B4-BE49-F238E27FC236}">
                  <a16:creationId xmlns:a16="http://schemas.microsoft.com/office/drawing/2014/main" id="{00000000-0008-0000-1C00-00001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0481" name="Check Box 17" hidden="1">
              <a:extLst>
                <a:ext uri="{63B3BB69-23CF-44E3-9099-C40C66FF867C}">
                  <a14:compatExt spid="_x0000_s190481"/>
                </a:ext>
                <a:ext uri="{FF2B5EF4-FFF2-40B4-BE49-F238E27FC236}">
                  <a16:creationId xmlns:a16="http://schemas.microsoft.com/office/drawing/2014/main" id="{00000000-0008-0000-1C00-00001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0482" name="Check Box 18" descr="Cluster Analysis" hidden="1">
              <a:extLst>
                <a:ext uri="{63B3BB69-23CF-44E3-9099-C40C66FF867C}">
                  <a14:compatExt spid="_x0000_s190482"/>
                </a:ext>
                <a:ext uri="{FF2B5EF4-FFF2-40B4-BE49-F238E27FC236}">
                  <a16:creationId xmlns:a16="http://schemas.microsoft.com/office/drawing/2014/main" id="{00000000-0008-0000-1C00-00001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0483" name="Check Box 19" descr="Decision Trees" hidden="1">
              <a:extLst>
                <a:ext uri="{63B3BB69-23CF-44E3-9099-C40C66FF867C}">
                  <a14:compatExt spid="_x0000_s190483"/>
                </a:ext>
                <a:ext uri="{FF2B5EF4-FFF2-40B4-BE49-F238E27FC236}">
                  <a16:creationId xmlns:a16="http://schemas.microsoft.com/office/drawing/2014/main" id="{00000000-0008-0000-1C00-00001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0484" name="Check Box 20" descr="Generalized Linear Model" hidden="1">
              <a:extLst>
                <a:ext uri="{63B3BB69-23CF-44E3-9099-C40C66FF867C}">
                  <a14:compatExt spid="_x0000_s190484"/>
                </a:ext>
                <a:ext uri="{FF2B5EF4-FFF2-40B4-BE49-F238E27FC236}">
                  <a16:creationId xmlns:a16="http://schemas.microsoft.com/office/drawing/2014/main" id="{00000000-0008-0000-1C00-00001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0485" name="Check Box 21" descr="New/Initial" hidden="1">
              <a:extLst>
                <a:ext uri="{63B3BB69-23CF-44E3-9099-C40C66FF867C}">
                  <a14:compatExt spid="_x0000_s190485"/>
                </a:ext>
                <a:ext uri="{FF2B5EF4-FFF2-40B4-BE49-F238E27FC236}">
                  <a16:creationId xmlns:a16="http://schemas.microsoft.com/office/drawing/2014/main" id="{00000000-0008-0000-1C00-00001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0486" name="Check Box 22" descr="Revision to Existing Model" hidden="1">
              <a:extLst>
                <a:ext uri="{63B3BB69-23CF-44E3-9099-C40C66FF867C}">
                  <a14:compatExt spid="_x0000_s190486"/>
                </a:ext>
                <a:ext uri="{FF2B5EF4-FFF2-40B4-BE49-F238E27FC236}">
                  <a16:creationId xmlns:a16="http://schemas.microsoft.com/office/drawing/2014/main" id="{00000000-0008-0000-1C00-00001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0487" name="Check Box 23" descr="Refresh of Data to Existing Model" hidden="1">
              <a:extLst>
                <a:ext uri="{63B3BB69-23CF-44E3-9099-C40C66FF867C}">
                  <a14:compatExt spid="_x0000_s190487"/>
                </a:ext>
                <a:ext uri="{FF2B5EF4-FFF2-40B4-BE49-F238E27FC236}">
                  <a16:creationId xmlns:a16="http://schemas.microsoft.com/office/drawing/2014/main" id="{00000000-0008-0000-1C00-00001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0488" name="Check Box 24" descr="Company Developed (&quot;In-House&quot;)" hidden="1">
              <a:extLst>
                <a:ext uri="{63B3BB69-23CF-44E3-9099-C40C66FF867C}">
                  <a14:compatExt spid="_x0000_s190488"/>
                </a:ext>
                <a:ext uri="{FF2B5EF4-FFF2-40B4-BE49-F238E27FC236}">
                  <a16:creationId xmlns:a16="http://schemas.microsoft.com/office/drawing/2014/main" id="{00000000-0008-0000-1C00-00001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0489" name="Check Box 25" descr="Outside Firm" hidden="1">
              <a:extLst>
                <a:ext uri="{63B3BB69-23CF-44E3-9099-C40C66FF867C}">
                  <a14:compatExt spid="_x0000_s190489"/>
                </a:ext>
                <a:ext uri="{FF2B5EF4-FFF2-40B4-BE49-F238E27FC236}">
                  <a16:creationId xmlns:a16="http://schemas.microsoft.com/office/drawing/2014/main" id="{00000000-0008-0000-1C00-00001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0490" name="Check Box 26" descr="No Revision to Existing Model" hidden="1">
              <a:extLst>
                <a:ext uri="{63B3BB69-23CF-44E3-9099-C40C66FF867C}">
                  <a14:compatExt spid="_x0000_s190490"/>
                </a:ext>
                <a:ext uri="{FF2B5EF4-FFF2-40B4-BE49-F238E27FC236}">
                  <a16:creationId xmlns:a16="http://schemas.microsoft.com/office/drawing/2014/main" id="{00000000-0008-0000-1C00-00001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0491" name="Check Box 27" hidden="1">
              <a:extLst>
                <a:ext uri="{63B3BB69-23CF-44E3-9099-C40C66FF867C}">
                  <a14:compatExt spid="_x0000_s190491"/>
                </a:ext>
                <a:ext uri="{FF2B5EF4-FFF2-40B4-BE49-F238E27FC236}">
                  <a16:creationId xmlns:a16="http://schemas.microsoft.com/office/drawing/2014/main" id="{00000000-0008-0000-1C00-00001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0492" name="Check Box 28" descr="Cluster Analysis" hidden="1">
              <a:extLst>
                <a:ext uri="{63B3BB69-23CF-44E3-9099-C40C66FF867C}">
                  <a14:compatExt spid="_x0000_s190492"/>
                </a:ext>
                <a:ext uri="{FF2B5EF4-FFF2-40B4-BE49-F238E27FC236}">
                  <a16:creationId xmlns:a16="http://schemas.microsoft.com/office/drawing/2014/main" id="{00000000-0008-0000-1C00-00001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0493" name="Check Box 29" descr="Logistic Regression" hidden="1">
              <a:extLst>
                <a:ext uri="{63B3BB69-23CF-44E3-9099-C40C66FF867C}">
                  <a14:compatExt spid="_x0000_s190493"/>
                </a:ext>
                <a:ext uri="{FF2B5EF4-FFF2-40B4-BE49-F238E27FC236}">
                  <a16:creationId xmlns:a16="http://schemas.microsoft.com/office/drawing/2014/main" id="{00000000-0008-0000-1C00-00001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0494" name="Check Box 30" descr="Neural Network" hidden="1">
              <a:extLst>
                <a:ext uri="{63B3BB69-23CF-44E3-9099-C40C66FF867C}">
                  <a14:compatExt spid="_x0000_s190494"/>
                </a:ext>
                <a:ext uri="{FF2B5EF4-FFF2-40B4-BE49-F238E27FC236}">
                  <a16:creationId xmlns:a16="http://schemas.microsoft.com/office/drawing/2014/main" id="{00000000-0008-0000-1C00-00001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0495" name="Check Box 31" descr="Decision Trees" hidden="1">
              <a:extLst>
                <a:ext uri="{63B3BB69-23CF-44E3-9099-C40C66FF867C}">
                  <a14:compatExt spid="_x0000_s190495"/>
                </a:ext>
                <a:ext uri="{FF2B5EF4-FFF2-40B4-BE49-F238E27FC236}">
                  <a16:creationId xmlns:a16="http://schemas.microsoft.com/office/drawing/2014/main" id="{00000000-0008-0000-1C00-00001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0496" name="Check Box 32" descr="Machine Learning" hidden="1">
              <a:extLst>
                <a:ext uri="{63B3BB69-23CF-44E3-9099-C40C66FF867C}">
                  <a14:compatExt spid="_x0000_s190496"/>
                </a:ext>
                <a:ext uri="{FF2B5EF4-FFF2-40B4-BE49-F238E27FC236}">
                  <a16:creationId xmlns:a16="http://schemas.microsoft.com/office/drawing/2014/main" id="{00000000-0008-0000-1C00-00002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0497" name="Check Box 33" descr="Machine Learning" hidden="1">
              <a:extLst>
                <a:ext uri="{63B3BB69-23CF-44E3-9099-C40C66FF867C}">
                  <a14:compatExt spid="_x0000_s190497"/>
                </a:ext>
                <a:ext uri="{FF2B5EF4-FFF2-40B4-BE49-F238E27FC236}">
                  <a16:creationId xmlns:a16="http://schemas.microsoft.com/office/drawing/2014/main" id="{00000000-0008-0000-1C00-00002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0498" name="Check Box 34" descr="Logistic Regression" hidden="1">
              <a:extLst>
                <a:ext uri="{63B3BB69-23CF-44E3-9099-C40C66FF867C}">
                  <a14:compatExt spid="_x0000_s190498"/>
                </a:ext>
                <a:ext uri="{FF2B5EF4-FFF2-40B4-BE49-F238E27FC236}">
                  <a16:creationId xmlns:a16="http://schemas.microsoft.com/office/drawing/2014/main" id="{00000000-0008-0000-1C00-00002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0499" name="Check Box 35" descr="Neural Network" hidden="1">
              <a:extLst>
                <a:ext uri="{63B3BB69-23CF-44E3-9099-C40C66FF867C}">
                  <a14:compatExt spid="_x0000_s190499"/>
                </a:ext>
                <a:ext uri="{FF2B5EF4-FFF2-40B4-BE49-F238E27FC236}">
                  <a16:creationId xmlns:a16="http://schemas.microsoft.com/office/drawing/2014/main" id="{00000000-0008-0000-1C00-00002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7" Type="http://schemas.openxmlformats.org/officeDocument/2006/relationships/ctrlProp" Target="../ctrlProps/ctrlProp48.xml"/><Relationship Id="rId2" Type="http://schemas.openxmlformats.org/officeDocument/2006/relationships/drawing" Target="../drawings/drawing6.xml"/><Relationship Id="rId16" Type="http://schemas.openxmlformats.org/officeDocument/2006/relationships/ctrlProp" Target="../ctrlProps/ctrlProp57.xml"/><Relationship Id="rId29" Type="http://schemas.openxmlformats.org/officeDocument/2006/relationships/ctrlProp" Target="../ctrlProps/ctrlProp70.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8" Type="http://schemas.openxmlformats.org/officeDocument/2006/relationships/ctrlProp" Target="../ctrlProps/ctrlProp49.xml"/><Relationship Id="rId3" Type="http://schemas.openxmlformats.org/officeDocument/2006/relationships/vmlDrawing" Target="../drawings/vmlDrawing6.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2.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8.vml"/><Relationship Id="rId7" Type="http://schemas.openxmlformats.org/officeDocument/2006/relationships/ctrlProp" Target="../ctrlProps/ctrlProp96.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5.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vmlDrawing" Target="../drawings/vmlDrawing9.v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0" Type="http://schemas.openxmlformats.org/officeDocument/2006/relationships/ctrlProp" Target="../ctrlProps/ctrlProp106.xml"/><Relationship Id="rId4" Type="http://schemas.openxmlformats.org/officeDocument/2006/relationships/ctrlProp" Target="../ctrlProps/ctrlProp100.xml"/><Relationship Id="rId9" Type="http://schemas.openxmlformats.org/officeDocument/2006/relationships/ctrlProp" Target="../ctrlProps/ctrlProp105.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9.xml"/><Relationship Id="rId18" Type="http://schemas.openxmlformats.org/officeDocument/2006/relationships/ctrlProp" Target="../ctrlProps/ctrlProp124.xml"/><Relationship Id="rId26" Type="http://schemas.openxmlformats.org/officeDocument/2006/relationships/ctrlProp" Target="../ctrlProps/ctrlProp132.xml"/><Relationship Id="rId21" Type="http://schemas.openxmlformats.org/officeDocument/2006/relationships/ctrlProp" Target="../ctrlProps/ctrlProp127.xml"/><Relationship Id="rId34" Type="http://schemas.openxmlformats.org/officeDocument/2006/relationships/ctrlProp" Target="../ctrlProps/ctrlProp140.x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5" Type="http://schemas.openxmlformats.org/officeDocument/2006/relationships/ctrlProp" Target="../ctrlProps/ctrlProp131.xml"/><Relationship Id="rId33" Type="http://schemas.openxmlformats.org/officeDocument/2006/relationships/ctrlProp" Target="../ctrlProps/ctrlProp139.xml"/><Relationship Id="rId38" Type="http://schemas.openxmlformats.org/officeDocument/2006/relationships/ctrlProp" Target="../ctrlProps/ctrlProp144.xml"/><Relationship Id="rId2" Type="http://schemas.openxmlformats.org/officeDocument/2006/relationships/drawing" Target="../drawings/drawing10.xml"/><Relationship Id="rId16" Type="http://schemas.openxmlformats.org/officeDocument/2006/relationships/ctrlProp" Target="../ctrlProps/ctrlProp122.xml"/><Relationship Id="rId20" Type="http://schemas.openxmlformats.org/officeDocument/2006/relationships/ctrlProp" Target="../ctrlProps/ctrlProp126.xml"/><Relationship Id="rId29" Type="http://schemas.openxmlformats.org/officeDocument/2006/relationships/ctrlProp" Target="../ctrlProps/ctrlProp135.xml"/><Relationship Id="rId1" Type="http://schemas.openxmlformats.org/officeDocument/2006/relationships/printerSettings" Target="../printerSettings/printerSettings15.bin"/><Relationship Id="rId6" Type="http://schemas.openxmlformats.org/officeDocument/2006/relationships/ctrlProp" Target="../ctrlProps/ctrlProp112.xml"/><Relationship Id="rId11" Type="http://schemas.openxmlformats.org/officeDocument/2006/relationships/ctrlProp" Target="../ctrlProps/ctrlProp117.xml"/><Relationship Id="rId24" Type="http://schemas.openxmlformats.org/officeDocument/2006/relationships/ctrlProp" Target="../ctrlProps/ctrlProp130.xml"/><Relationship Id="rId32" Type="http://schemas.openxmlformats.org/officeDocument/2006/relationships/ctrlProp" Target="../ctrlProps/ctrlProp138.xml"/><Relationship Id="rId37" Type="http://schemas.openxmlformats.org/officeDocument/2006/relationships/ctrlProp" Target="../ctrlProps/ctrlProp143.xml"/><Relationship Id="rId5" Type="http://schemas.openxmlformats.org/officeDocument/2006/relationships/ctrlProp" Target="../ctrlProps/ctrlProp111.xml"/><Relationship Id="rId15" Type="http://schemas.openxmlformats.org/officeDocument/2006/relationships/ctrlProp" Target="../ctrlProps/ctrlProp121.xml"/><Relationship Id="rId23" Type="http://schemas.openxmlformats.org/officeDocument/2006/relationships/ctrlProp" Target="../ctrlProps/ctrlProp129.xml"/><Relationship Id="rId28" Type="http://schemas.openxmlformats.org/officeDocument/2006/relationships/ctrlProp" Target="../ctrlProps/ctrlProp134.xml"/><Relationship Id="rId36" Type="http://schemas.openxmlformats.org/officeDocument/2006/relationships/ctrlProp" Target="../ctrlProps/ctrlProp142.xml"/><Relationship Id="rId10" Type="http://schemas.openxmlformats.org/officeDocument/2006/relationships/ctrlProp" Target="../ctrlProps/ctrlProp116.xml"/><Relationship Id="rId19" Type="http://schemas.openxmlformats.org/officeDocument/2006/relationships/ctrlProp" Target="../ctrlProps/ctrlProp125.xml"/><Relationship Id="rId31" Type="http://schemas.openxmlformats.org/officeDocument/2006/relationships/ctrlProp" Target="../ctrlProps/ctrlProp137.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 Id="rId22" Type="http://schemas.openxmlformats.org/officeDocument/2006/relationships/ctrlProp" Target="../ctrlProps/ctrlProp128.xml"/><Relationship Id="rId27" Type="http://schemas.openxmlformats.org/officeDocument/2006/relationships/ctrlProp" Target="../ctrlProps/ctrlProp133.xml"/><Relationship Id="rId30" Type="http://schemas.openxmlformats.org/officeDocument/2006/relationships/ctrlProp" Target="../ctrlProps/ctrlProp136.xml"/><Relationship Id="rId35" Type="http://schemas.openxmlformats.org/officeDocument/2006/relationships/ctrlProp" Target="../ctrlProps/ctrlProp141.xml"/><Relationship Id="rId8" Type="http://schemas.openxmlformats.org/officeDocument/2006/relationships/ctrlProp" Target="../ctrlProps/ctrlProp114.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21" Type="http://schemas.openxmlformats.org/officeDocument/2006/relationships/ctrlProp" Target="../ctrlProps/ctrlProp162.xml"/><Relationship Id="rId34" Type="http://schemas.openxmlformats.org/officeDocument/2006/relationships/ctrlProp" Target="../ctrlProps/ctrlProp175.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33" Type="http://schemas.openxmlformats.org/officeDocument/2006/relationships/ctrlProp" Target="../ctrlProps/ctrlProp174.xml"/><Relationship Id="rId38" Type="http://schemas.openxmlformats.org/officeDocument/2006/relationships/ctrlProp" Target="../ctrlProps/ctrlProp179.xml"/><Relationship Id="rId2" Type="http://schemas.openxmlformats.org/officeDocument/2006/relationships/drawing" Target="../drawings/drawing11.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16.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32" Type="http://schemas.openxmlformats.org/officeDocument/2006/relationships/ctrlProp" Target="../ctrlProps/ctrlProp173.xml"/><Relationship Id="rId37" Type="http://schemas.openxmlformats.org/officeDocument/2006/relationships/ctrlProp" Target="../ctrlProps/ctrlProp178.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36" Type="http://schemas.openxmlformats.org/officeDocument/2006/relationships/ctrlProp" Target="../ctrlProps/ctrlProp177.xml"/><Relationship Id="rId10" Type="http://schemas.openxmlformats.org/officeDocument/2006/relationships/ctrlProp" Target="../ctrlProps/ctrlProp151.xml"/><Relationship Id="rId19" Type="http://schemas.openxmlformats.org/officeDocument/2006/relationships/ctrlProp" Target="../ctrlProps/ctrlProp160.xml"/><Relationship Id="rId31" Type="http://schemas.openxmlformats.org/officeDocument/2006/relationships/ctrlProp" Target="../ctrlProps/ctrlProp172.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trlProp" Target="../ctrlProps/ctrlProp171.xml"/><Relationship Id="rId35" Type="http://schemas.openxmlformats.org/officeDocument/2006/relationships/ctrlProp" Target="../ctrlProps/ctrlProp176.xml"/><Relationship Id="rId8" Type="http://schemas.openxmlformats.org/officeDocument/2006/relationships/ctrlProp" Target="../ctrlProps/ctrlProp149.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9.xml"/><Relationship Id="rId18" Type="http://schemas.openxmlformats.org/officeDocument/2006/relationships/ctrlProp" Target="../ctrlProps/ctrlProp194.xml"/><Relationship Id="rId26" Type="http://schemas.openxmlformats.org/officeDocument/2006/relationships/ctrlProp" Target="../ctrlProps/ctrlProp202.xml"/><Relationship Id="rId21" Type="http://schemas.openxmlformats.org/officeDocument/2006/relationships/ctrlProp" Target="../ctrlProps/ctrlProp197.xml"/><Relationship Id="rId34" Type="http://schemas.openxmlformats.org/officeDocument/2006/relationships/ctrlProp" Target="../ctrlProps/ctrlProp210.xml"/><Relationship Id="rId7" Type="http://schemas.openxmlformats.org/officeDocument/2006/relationships/ctrlProp" Target="../ctrlProps/ctrlProp183.xml"/><Relationship Id="rId12" Type="http://schemas.openxmlformats.org/officeDocument/2006/relationships/ctrlProp" Target="../ctrlProps/ctrlProp188.xml"/><Relationship Id="rId17" Type="http://schemas.openxmlformats.org/officeDocument/2006/relationships/ctrlProp" Target="../ctrlProps/ctrlProp193.xml"/><Relationship Id="rId25" Type="http://schemas.openxmlformats.org/officeDocument/2006/relationships/ctrlProp" Target="../ctrlProps/ctrlProp201.xml"/><Relationship Id="rId33" Type="http://schemas.openxmlformats.org/officeDocument/2006/relationships/ctrlProp" Target="../ctrlProps/ctrlProp209.xml"/><Relationship Id="rId38" Type="http://schemas.openxmlformats.org/officeDocument/2006/relationships/ctrlProp" Target="../ctrlProps/ctrlProp214.xml"/><Relationship Id="rId2" Type="http://schemas.openxmlformats.org/officeDocument/2006/relationships/drawing" Target="../drawings/drawing12.xml"/><Relationship Id="rId16" Type="http://schemas.openxmlformats.org/officeDocument/2006/relationships/ctrlProp" Target="../ctrlProps/ctrlProp192.xml"/><Relationship Id="rId20" Type="http://schemas.openxmlformats.org/officeDocument/2006/relationships/ctrlProp" Target="../ctrlProps/ctrlProp196.xml"/><Relationship Id="rId29" Type="http://schemas.openxmlformats.org/officeDocument/2006/relationships/ctrlProp" Target="../ctrlProps/ctrlProp205.xml"/><Relationship Id="rId1" Type="http://schemas.openxmlformats.org/officeDocument/2006/relationships/printerSettings" Target="../printerSettings/printerSettings17.bin"/><Relationship Id="rId6" Type="http://schemas.openxmlformats.org/officeDocument/2006/relationships/ctrlProp" Target="../ctrlProps/ctrlProp182.xml"/><Relationship Id="rId11" Type="http://schemas.openxmlformats.org/officeDocument/2006/relationships/ctrlProp" Target="../ctrlProps/ctrlProp187.xml"/><Relationship Id="rId24" Type="http://schemas.openxmlformats.org/officeDocument/2006/relationships/ctrlProp" Target="../ctrlProps/ctrlProp200.xml"/><Relationship Id="rId32" Type="http://schemas.openxmlformats.org/officeDocument/2006/relationships/ctrlProp" Target="../ctrlProps/ctrlProp208.xml"/><Relationship Id="rId37" Type="http://schemas.openxmlformats.org/officeDocument/2006/relationships/ctrlProp" Target="../ctrlProps/ctrlProp213.xml"/><Relationship Id="rId5" Type="http://schemas.openxmlformats.org/officeDocument/2006/relationships/ctrlProp" Target="../ctrlProps/ctrlProp181.xml"/><Relationship Id="rId15" Type="http://schemas.openxmlformats.org/officeDocument/2006/relationships/ctrlProp" Target="../ctrlProps/ctrlProp191.xml"/><Relationship Id="rId23" Type="http://schemas.openxmlformats.org/officeDocument/2006/relationships/ctrlProp" Target="../ctrlProps/ctrlProp199.xml"/><Relationship Id="rId28" Type="http://schemas.openxmlformats.org/officeDocument/2006/relationships/ctrlProp" Target="../ctrlProps/ctrlProp204.xml"/><Relationship Id="rId36" Type="http://schemas.openxmlformats.org/officeDocument/2006/relationships/ctrlProp" Target="../ctrlProps/ctrlProp212.xml"/><Relationship Id="rId10" Type="http://schemas.openxmlformats.org/officeDocument/2006/relationships/ctrlProp" Target="../ctrlProps/ctrlProp186.xml"/><Relationship Id="rId19" Type="http://schemas.openxmlformats.org/officeDocument/2006/relationships/ctrlProp" Target="../ctrlProps/ctrlProp195.xml"/><Relationship Id="rId31" Type="http://schemas.openxmlformats.org/officeDocument/2006/relationships/ctrlProp" Target="../ctrlProps/ctrlProp207.xml"/><Relationship Id="rId4" Type="http://schemas.openxmlformats.org/officeDocument/2006/relationships/ctrlProp" Target="../ctrlProps/ctrlProp180.xml"/><Relationship Id="rId9" Type="http://schemas.openxmlformats.org/officeDocument/2006/relationships/ctrlProp" Target="../ctrlProps/ctrlProp185.xml"/><Relationship Id="rId14" Type="http://schemas.openxmlformats.org/officeDocument/2006/relationships/ctrlProp" Target="../ctrlProps/ctrlProp190.xml"/><Relationship Id="rId22" Type="http://schemas.openxmlformats.org/officeDocument/2006/relationships/ctrlProp" Target="../ctrlProps/ctrlProp198.xml"/><Relationship Id="rId27" Type="http://schemas.openxmlformats.org/officeDocument/2006/relationships/ctrlProp" Target="../ctrlProps/ctrlProp203.xml"/><Relationship Id="rId30" Type="http://schemas.openxmlformats.org/officeDocument/2006/relationships/ctrlProp" Target="../ctrlProps/ctrlProp206.xml"/><Relationship Id="rId35" Type="http://schemas.openxmlformats.org/officeDocument/2006/relationships/ctrlProp" Target="../ctrlProps/ctrlProp211.xml"/><Relationship Id="rId8" Type="http://schemas.openxmlformats.org/officeDocument/2006/relationships/ctrlProp" Target="../ctrlProps/ctrlProp184.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4.xml"/><Relationship Id="rId18" Type="http://schemas.openxmlformats.org/officeDocument/2006/relationships/ctrlProp" Target="../ctrlProps/ctrlProp229.xml"/><Relationship Id="rId26" Type="http://schemas.openxmlformats.org/officeDocument/2006/relationships/ctrlProp" Target="../ctrlProps/ctrlProp237.xml"/><Relationship Id="rId21" Type="http://schemas.openxmlformats.org/officeDocument/2006/relationships/ctrlProp" Target="../ctrlProps/ctrlProp232.xml"/><Relationship Id="rId34" Type="http://schemas.openxmlformats.org/officeDocument/2006/relationships/ctrlProp" Target="../ctrlProps/ctrlProp245.xml"/><Relationship Id="rId7" Type="http://schemas.openxmlformats.org/officeDocument/2006/relationships/ctrlProp" Target="../ctrlProps/ctrlProp218.xml"/><Relationship Id="rId12" Type="http://schemas.openxmlformats.org/officeDocument/2006/relationships/ctrlProp" Target="../ctrlProps/ctrlProp223.xml"/><Relationship Id="rId17" Type="http://schemas.openxmlformats.org/officeDocument/2006/relationships/ctrlProp" Target="../ctrlProps/ctrlProp228.xml"/><Relationship Id="rId25" Type="http://schemas.openxmlformats.org/officeDocument/2006/relationships/ctrlProp" Target="../ctrlProps/ctrlProp236.xml"/><Relationship Id="rId33" Type="http://schemas.openxmlformats.org/officeDocument/2006/relationships/ctrlProp" Target="../ctrlProps/ctrlProp244.xml"/><Relationship Id="rId38" Type="http://schemas.openxmlformats.org/officeDocument/2006/relationships/ctrlProp" Target="../ctrlProps/ctrlProp249.xml"/><Relationship Id="rId2" Type="http://schemas.openxmlformats.org/officeDocument/2006/relationships/drawing" Target="../drawings/drawing13.xml"/><Relationship Id="rId16" Type="http://schemas.openxmlformats.org/officeDocument/2006/relationships/ctrlProp" Target="../ctrlProps/ctrlProp227.xml"/><Relationship Id="rId20" Type="http://schemas.openxmlformats.org/officeDocument/2006/relationships/ctrlProp" Target="../ctrlProps/ctrlProp231.xml"/><Relationship Id="rId29" Type="http://schemas.openxmlformats.org/officeDocument/2006/relationships/ctrlProp" Target="../ctrlProps/ctrlProp240.xml"/><Relationship Id="rId1" Type="http://schemas.openxmlformats.org/officeDocument/2006/relationships/printerSettings" Target="../printerSettings/printerSettings18.bin"/><Relationship Id="rId6" Type="http://schemas.openxmlformats.org/officeDocument/2006/relationships/ctrlProp" Target="../ctrlProps/ctrlProp217.xml"/><Relationship Id="rId11" Type="http://schemas.openxmlformats.org/officeDocument/2006/relationships/ctrlProp" Target="../ctrlProps/ctrlProp222.xml"/><Relationship Id="rId24" Type="http://schemas.openxmlformats.org/officeDocument/2006/relationships/ctrlProp" Target="../ctrlProps/ctrlProp235.xml"/><Relationship Id="rId32" Type="http://schemas.openxmlformats.org/officeDocument/2006/relationships/ctrlProp" Target="../ctrlProps/ctrlProp243.xml"/><Relationship Id="rId37" Type="http://schemas.openxmlformats.org/officeDocument/2006/relationships/ctrlProp" Target="../ctrlProps/ctrlProp248.xml"/><Relationship Id="rId5" Type="http://schemas.openxmlformats.org/officeDocument/2006/relationships/ctrlProp" Target="../ctrlProps/ctrlProp216.xml"/><Relationship Id="rId15" Type="http://schemas.openxmlformats.org/officeDocument/2006/relationships/ctrlProp" Target="../ctrlProps/ctrlProp226.xml"/><Relationship Id="rId23" Type="http://schemas.openxmlformats.org/officeDocument/2006/relationships/ctrlProp" Target="../ctrlProps/ctrlProp234.xml"/><Relationship Id="rId28" Type="http://schemas.openxmlformats.org/officeDocument/2006/relationships/ctrlProp" Target="../ctrlProps/ctrlProp239.xml"/><Relationship Id="rId36" Type="http://schemas.openxmlformats.org/officeDocument/2006/relationships/ctrlProp" Target="../ctrlProps/ctrlProp247.xml"/><Relationship Id="rId10" Type="http://schemas.openxmlformats.org/officeDocument/2006/relationships/ctrlProp" Target="../ctrlProps/ctrlProp221.xml"/><Relationship Id="rId19" Type="http://schemas.openxmlformats.org/officeDocument/2006/relationships/ctrlProp" Target="../ctrlProps/ctrlProp230.xml"/><Relationship Id="rId31" Type="http://schemas.openxmlformats.org/officeDocument/2006/relationships/ctrlProp" Target="../ctrlProps/ctrlProp242.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 Id="rId22" Type="http://schemas.openxmlformats.org/officeDocument/2006/relationships/ctrlProp" Target="../ctrlProps/ctrlProp233.xml"/><Relationship Id="rId27" Type="http://schemas.openxmlformats.org/officeDocument/2006/relationships/ctrlProp" Target="../ctrlProps/ctrlProp238.xml"/><Relationship Id="rId30" Type="http://schemas.openxmlformats.org/officeDocument/2006/relationships/ctrlProp" Target="../ctrlProps/ctrlProp241.xml"/><Relationship Id="rId35" Type="http://schemas.openxmlformats.org/officeDocument/2006/relationships/ctrlProp" Target="../ctrlProps/ctrlProp246.xml"/><Relationship Id="rId8" Type="http://schemas.openxmlformats.org/officeDocument/2006/relationships/ctrlProp" Target="../ctrlProps/ctrlProp219.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9.xml"/><Relationship Id="rId18" Type="http://schemas.openxmlformats.org/officeDocument/2006/relationships/ctrlProp" Target="../ctrlProps/ctrlProp264.xml"/><Relationship Id="rId26" Type="http://schemas.openxmlformats.org/officeDocument/2006/relationships/ctrlProp" Target="../ctrlProps/ctrlProp272.xml"/><Relationship Id="rId21" Type="http://schemas.openxmlformats.org/officeDocument/2006/relationships/ctrlProp" Target="../ctrlProps/ctrlProp267.xml"/><Relationship Id="rId34" Type="http://schemas.openxmlformats.org/officeDocument/2006/relationships/ctrlProp" Target="../ctrlProps/ctrlProp280.xml"/><Relationship Id="rId7" Type="http://schemas.openxmlformats.org/officeDocument/2006/relationships/ctrlProp" Target="../ctrlProps/ctrlProp253.xml"/><Relationship Id="rId12" Type="http://schemas.openxmlformats.org/officeDocument/2006/relationships/ctrlProp" Target="../ctrlProps/ctrlProp258.xml"/><Relationship Id="rId17" Type="http://schemas.openxmlformats.org/officeDocument/2006/relationships/ctrlProp" Target="../ctrlProps/ctrlProp263.xml"/><Relationship Id="rId25" Type="http://schemas.openxmlformats.org/officeDocument/2006/relationships/ctrlProp" Target="../ctrlProps/ctrlProp271.xml"/><Relationship Id="rId33" Type="http://schemas.openxmlformats.org/officeDocument/2006/relationships/ctrlProp" Target="../ctrlProps/ctrlProp279.xml"/><Relationship Id="rId38" Type="http://schemas.openxmlformats.org/officeDocument/2006/relationships/ctrlProp" Target="../ctrlProps/ctrlProp284.xml"/><Relationship Id="rId2" Type="http://schemas.openxmlformats.org/officeDocument/2006/relationships/drawing" Target="../drawings/drawing14.xml"/><Relationship Id="rId16" Type="http://schemas.openxmlformats.org/officeDocument/2006/relationships/ctrlProp" Target="../ctrlProps/ctrlProp262.xml"/><Relationship Id="rId20" Type="http://schemas.openxmlformats.org/officeDocument/2006/relationships/ctrlProp" Target="../ctrlProps/ctrlProp266.xml"/><Relationship Id="rId29" Type="http://schemas.openxmlformats.org/officeDocument/2006/relationships/ctrlProp" Target="../ctrlProps/ctrlProp275.xml"/><Relationship Id="rId1" Type="http://schemas.openxmlformats.org/officeDocument/2006/relationships/printerSettings" Target="../printerSettings/printerSettings19.bin"/><Relationship Id="rId6" Type="http://schemas.openxmlformats.org/officeDocument/2006/relationships/ctrlProp" Target="../ctrlProps/ctrlProp252.xml"/><Relationship Id="rId11" Type="http://schemas.openxmlformats.org/officeDocument/2006/relationships/ctrlProp" Target="../ctrlProps/ctrlProp257.xml"/><Relationship Id="rId24" Type="http://schemas.openxmlformats.org/officeDocument/2006/relationships/ctrlProp" Target="../ctrlProps/ctrlProp270.xml"/><Relationship Id="rId32" Type="http://schemas.openxmlformats.org/officeDocument/2006/relationships/ctrlProp" Target="../ctrlProps/ctrlProp278.xml"/><Relationship Id="rId37" Type="http://schemas.openxmlformats.org/officeDocument/2006/relationships/ctrlProp" Target="../ctrlProps/ctrlProp283.xml"/><Relationship Id="rId5" Type="http://schemas.openxmlformats.org/officeDocument/2006/relationships/ctrlProp" Target="../ctrlProps/ctrlProp251.xml"/><Relationship Id="rId15" Type="http://schemas.openxmlformats.org/officeDocument/2006/relationships/ctrlProp" Target="../ctrlProps/ctrlProp261.xml"/><Relationship Id="rId23" Type="http://schemas.openxmlformats.org/officeDocument/2006/relationships/ctrlProp" Target="../ctrlProps/ctrlProp269.xml"/><Relationship Id="rId28" Type="http://schemas.openxmlformats.org/officeDocument/2006/relationships/ctrlProp" Target="../ctrlProps/ctrlProp274.xml"/><Relationship Id="rId36" Type="http://schemas.openxmlformats.org/officeDocument/2006/relationships/ctrlProp" Target="../ctrlProps/ctrlProp282.xml"/><Relationship Id="rId10" Type="http://schemas.openxmlformats.org/officeDocument/2006/relationships/ctrlProp" Target="../ctrlProps/ctrlProp256.xml"/><Relationship Id="rId19" Type="http://schemas.openxmlformats.org/officeDocument/2006/relationships/ctrlProp" Target="../ctrlProps/ctrlProp265.xml"/><Relationship Id="rId31" Type="http://schemas.openxmlformats.org/officeDocument/2006/relationships/ctrlProp" Target="../ctrlProps/ctrlProp277.xml"/><Relationship Id="rId4" Type="http://schemas.openxmlformats.org/officeDocument/2006/relationships/ctrlProp" Target="../ctrlProps/ctrlProp250.xml"/><Relationship Id="rId9" Type="http://schemas.openxmlformats.org/officeDocument/2006/relationships/ctrlProp" Target="../ctrlProps/ctrlProp255.xml"/><Relationship Id="rId14" Type="http://schemas.openxmlformats.org/officeDocument/2006/relationships/ctrlProp" Target="../ctrlProps/ctrlProp260.xml"/><Relationship Id="rId22" Type="http://schemas.openxmlformats.org/officeDocument/2006/relationships/ctrlProp" Target="../ctrlProps/ctrlProp268.xml"/><Relationship Id="rId27" Type="http://schemas.openxmlformats.org/officeDocument/2006/relationships/ctrlProp" Target="../ctrlProps/ctrlProp273.xml"/><Relationship Id="rId30" Type="http://schemas.openxmlformats.org/officeDocument/2006/relationships/ctrlProp" Target="../ctrlProps/ctrlProp276.xml"/><Relationship Id="rId35" Type="http://schemas.openxmlformats.org/officeDocument/2006/relationships/ctrlProp" Target="../ctrlProps/ctrlProp281.xml"/><Relationship Id="rId8" Type="http://schemas.openxmlformats.org/officeDocument/2006/relationships/ctrlProp" Target="../ctrlProps/ctrlProp254.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4.xml"/><Relationship Id="rId18" Type="http://schemas.openxmlformats.org/officeDocument/2006/relationships/ctrlProp" Target="../ctrlProps/ctrlProp299.xml"/><Relationship Id="rId26" Type="http://schemas.openxmlformats.org/officeDocument/2006/relationships/ctrlProp" Target="../ctrlProps/ctrlProp307.xml"/><Relationship Id="rId21" Type="http://schemas.openxmlformats.org/officeDocument/2006/relationships/ctrlProp" Target="../ctrlProps/ctrlProp302.xml"/><Relationship Id="rId34" Type="http://schemas.openxmlformats.org/officeDocument/2006/relationships/ctrlProp" Target="../ctrlProps/ctrlProp315.xml"/><Relationship Id="rId7" Type="http://schemas.openxmlformats.org/officeDocument/2006/relationships/ctrlProp" Target="../ctrlProps/ctrlProp288.xml"/><Relationship Id="rId12" Type="http://schemas.openxmlformats.org/officeDocument/2006/relationships/ctrlProp" Target="../ctrlProps/ctrlProp293.xml"/><Relationship Id="rId17" Type="http://schemas.openxmlformats.org/officeDocument/2006/relationships/ctrlProp" Target="../ctrlProps/ctrlProp298.xml"/><Relationship Id="rId25" Type="http://schemas.openxmlformats.org/officeDocument/2006/relationships/ctrlProp" Target="../ctrlProps/ctrlProp306.xml"/><Relationship Id="rId33" Type="http://schemas.openxmlformats.org/officeDocument/2006/relationships/ctrlProp" Target="../ctrlProps/ctrlProp314.xml"/><Relationship Id="rId38" Type="http://schemas.openxmlformats.org/officeDocument/2006/relationships/ctrlProp" Target="../ctrlProps/ctrlProp319.xml"/><Relationship Id="rId2" Type="http://schemas.openxmlformats.org/officeDocument/2006/relationships/drawing" Target="../drawings/drawing15.xml"/><Relationship Id="rId16" Type="http://schemas.openxmlformats.org/officeDocument/2006/relationships/ctrlProp" Target="../ctrlProps/ctrlProp297.xml"/><Relationship Id="rId20" Type="http://schemas.openxmlformats.org/officeDocument/2006/relationships/ctrlProp" Target="../ctrlProps/ctrlProp301.xml"/><Relationship Id="rId29" Type="http://schemas.openxmlformats.org/officeDocument/2006/relationships/ctrlProp" Target="../ctrlProps/ctrlProp310.xml"/><Relationship Id="rId1" Type="http://schemas.openxmlformats.org/officeDocument/2006/relationships/printerSettings" Target="../printerSettings/printerSettings20.bin"/><Relationship Id="rId6" Type="http://schemas.openxmlformats.org/officeDocument/2006/relationships/ctrlProp" Target="../ctrlProps/ctrlProp287.xml"/><Relationship Id="rId11" Type="http://schemas.openxmlformats.org/officeDocument/2006/relationships/ctrlProp" Target="../ctrlProps/ctrlProp292.xml"/><Relationship Id="rId24" Type="http://schemas.openxmlformats.org/officeDocument/2006/relationships/ctrlProp" Target="../ctrlProps/ctrlProp305.xml"/><Relationship Id="rId32" Type="http://schemas.openxmlformats.org/officeDocument/2006/relationships/ctrlProp" Target="../ctrlProps/ctrlProp313.xml"/><Relationship Id="rId37" Type="http://schemas.openxmlformats.org/officeDocument/2006/relationships/ctrlProp" Target="../ctrlProps/ctrlProp318.xml"/><Relationship Id="rId5" Type="http://schemas.openxmlformats.org/officeDocument/2006/relationships/ctrlProp" Target="../ctrlProps/ctrlProp286.xml"/><Relationship Id="rId15" Type="http://schemas.openxmlformats.org/officeDocument/2006/relationships/ctrlProp" Target="../ctrlProps/ctrlProp296.xml"/><Relationship Id="rId23" Type="http://schemas.openxmlformats.org/officeDocument/2006/relationships/ctrlProp" Target="../ctrlProps/ctrlProp304.xml"/><Relationship Id="rId28" Type="http://schemas.openxmlformats.org/officeDocument/2006/relationships/ctrlProp" Target="../ctrlProps/ctrlProp309.xml"/><Relationship Id="rId36" Type="http://schemas.openxmlformats.org/officeDocument/2006/relationships/ctrlProp" Target="../ctrlProps/ctrlProp317.xml"/><Relationship Id="rId10" Type="http://schemas.openxmlformats.org/officeDocument/2006/relationships/ctrlProp" Target="../ctrlProps/ctrlProp291.xml"/><Relationship Id="rId19" Type="http://schemas.openxmlformats.org/officeDocument/2006/relationships/ctrlProp" Target="../ctrlProps/ctrlProp300.xml"/><Relationship Id="rId31" Type="http://schemas.openxmlformats.org/officeDocument/2006/relationships/ctrlProp" Target="../ctrlProps/ctrlProp312.xml"/><Relationship Id="rId4" Type="http://schemas.openxmlformats.org/officeDocument/2006/relationships/ctrlProp" Target="../ctrlProps/ctrlProp285.xml"/><Relationship Id="rId9" Type="http://schemas.openxmlformats.org/officeDocument/2006/relationships/ctrlProp" Target="../ctrlProps/ctrlProp290.xml"/><Relationship Id="rId14" Type="http://schemas.openxmlformats.org/officeDocument/2006/relationships/ctrlProp" Target="../ctrlProps/ctrlProp295.xml"/><Relationship Id="rId22" Type="http://schemas.openxmlformats.org/officeDocument/2006/relationships/ctrlProp" Target="../ctrlProps/ctrlProp303.xml"/><Relationship Id="rId27" Type="http://schemas.openxmlformats.org/officeDocument/2006/relationships/ctrlProp" Target="../ctrlProps/ctrlProp308.xml"/><Relationship Id="rId30" Type="http://schemas.openxmlformats.org/officeDocument/2006/relationships/ctrlProp" Target="../ctrlProps/ctrlProp311.xml"/><Relationship Id="rId35" Type="http://schemas.openxmlformats.org/officeDocument/2006/relationships/ctrlProp" Target="../ctrlProps/ctrlProp316.xml"/><Relationship Id="rId8" Type="http://schemas.openxmlformats.org/officeDocument/2006/relationships/ctrlProp" Target="../ctrlProps/ctrlProp289.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9.xml"/><Relationship Id="rId18" Type="http://schemas.openxmlformats.org/officeDocument/2006/relationships/ctrlProp" Target="../ctrlProps/ctrlProp334.xml"/><Relationship Id="rId26" Type="http://schemas.openxmlformats.org/officeDocument/2006/relationships/ctrlProp" Target="../ctrlProps/ctrlProp342.xml"/><Relationship Id="rId21" Type="http://schemas.openxmlformats.org/officeDocument/2006/relationships/ctrlProp" Target="../ctrlProps/ctrlProp337.xml"/><Relationship Id="rId34" Type="http://schemas.openxmlformats.org/officeDocument/2006/relationships/ctrlProp" Target="../ctrlProps/ctrlProp350.xml"/><Relationship Id="rId7" Type="http://schemas.openxmlformats.org/officeDocument/2006/relationships/ctrlProp" Target="../ctrlProps/ctrlProp323.xml"/><Relationship Id="rId12" Type="http://schemas.openxmlformats.org/officeDocument/2006/relationships/ctrlProp" Target="../ctrlProps/ctrlProp328.xml"/><Relationship Id="rId17" Type="http://schemas.openxmlformats.org/officeDocument/2006/relationships/ctrlProp" Target="../ctrlProps/ctrlProp333.xml"/><Relationship Id="rId25" Type="http://schemas.openxmlformats.org/officeDocument/2006/relationships/ctrlProp" Target="../ctrlProps/ctrlProp341.xml"/><Relationship Id="rId33" Type="http://schemas.openxmlformats.org/officeDocument/2006/relationships/ctrlProp" Target="../ctrlProps/ctrlProp349.xml"/><Relationship Id="rId38" Type="http://schemas.openxmlformats.org/officeDocument/2006/relationships/ctrlProp" Target="../ctrlProps/ctrlProp354.xml"/><Relationship Id="rId2" Type="http://schemas.openxmlformats.org/officeDocument/2006/relationships/drawing" Target="../drawings/drawing16.xml"/><Relationship Id="rId16" Type="http://schemas.openxmlformats.org/officeDocument/2006/relationships/ctrlProp" Target="../ctrlProps/ctrlProp332.xml"/><Relationship Id="rId20" Type="http://schemas.openxmlformats.org/officeDocument/2006/relationships/ctrlProp" Target="../ctrlProps/ctrlProp336.xml"/><Relationship Id="rId29" Type="http://schemas.openxmlformats.org/officeDocument/2006/relationships/ctrlProp" Target="../ctrlProps/ctrlProp345.xml"/><Relationship Id="rId1" Type="http://schemas.openxmlformats.org/officeDocument/2006/relationships/printerSettings" Target="../printerSettings/printerSettings21.bin"/><Relationship Id="rId6" Type="http://schemas.openxmlformats.org/officeDocument/2006/relationships/ctrlProp" Target="../ctrlProps/ctrlProp322.xml"/><Relationship Id="rId11" Type="http://schemas.openxmlformats.org/officeDocument/2006/relationships/ctrlProp" Target="../ctrlProps/ctrlProp327.xml"/><Relationship Id="rId24" Type="http://schemas.openxmlformats.org/officeDocument/2006/relationships/ctrlProp" Target="../ctrlProps/ctrlProp340.xml"/><Relationship Id="rId32" Type="http://schemas.openxmlformats.org/officeDocument/2006/relationships/ctrlProp" Target="../ctrlProps/ctrlProp348.xml"/><Relationship Id="rId37" Type="http://schemas.openxmlformats.org/officeDocument/2006/relationships/ctrlProp" Target="../ctrlProps/ctrlProp353.xml"/><Relationship Id="rId5" Type="http://schemas.openxmlformats.org/officeDocument/2006/relationships/ctrlProp" Target="../ctrlProps/ctrlProp321.xml"/><Relationship Id="rId15" Type="http://schemas.openxmlformats.org/officeDocument/2006/relationships/ctrlProp" Target="../ctrlProps/ctrlProp331.xml"/><Relationship Id="rId23" Type="http://schemas.openxmlformats.org/officeDocument/2006/relationships/ctrlProp" Target="../ctrlProps/ctrlProp339.xml"/><Relationship Id="rId28" Type="http://schemas.openxmlformats.org/officeDocument/2006/relationships/ctrlProp" Target="../ctrlProps/ctrlProp344.xml"/><Relationship Id="rId36" Type="http://schemas.openxmlformats.org/officeDocument/2006/relationships/ctrlProp" Target="../ctrlProps/ctrlProp352.xml"/><Relationship Id="rId10" Type="http://schemas.openxmlformats.org/officeDocument/2006/relationships/ctrlProp" Target="../ctrlProps/ctrlProp326.xml"/><Relationship Id="rId19" Type="http://schemas.openxmlformats.org/officeDocument/2006/relationships/ctrlProp" Target="../ctrlProps/ctrlProp335.xml"/><Relationship Id="rId31" Type="http://schemas.openxmlformats.org/officeDocument/2006/relationships/ctrlProp" Target="../ctrlProps/ctrlProp347.xml"/><Relationship Id="rId4" Type="http://schemas.openxmlformats.org/officeDocument/2006/relationships/ctrlProp" Target="../ctrlProps/ctrlProp320.xml"/><Relationship Id="rId9" Type="http://schemas.openxmlformats.org/officeDocument/2006/relationships/ctrlProp" Target="../ctrlProps/ctrlProp325.xml"/><Relationship Id="rId14" Type="http://schemas.openxmlformats.org/officeDocument/2006/relationships/ctrlProp" Target="../ctrlProps/ctrlProp330.xml"/><Relationship Id="rId22" Type="http://schemas.openxmlformats.org/officeDocument/2006/relationships/ctrlProp" Target="../ctrlProps/ctrlProp338.xml"/><Relationship Id="rId27" Type="http://schemas.openxmlformats.org/officeDocument/2006/relationships/ctrlProp" Target="../ctrlProps/ctrlProp343.xml"/><Relationship Id="rId30" Type="http://schemas.openxmlformats.org/officeDocument/2006/relationships/ctrlProp" Target="../ctrlProps/ctrlProp346.xml"/><Relationship Id="rId35" Type="http://schemas.openxmlformats.org/officeDocument/2006/relationships/ctrlProp" Target="../ctrlProps/ctrlProp351.xml"/><Relationship Id="rId8" Type="http://schemas.openxmlformats.org/officeDocument/2006/relationships/ctrlProp" Target="../ctrlProps/ctrlProp324.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4.xml"/><Relationship Id="rId18" Type="http://schemas.openxmlformats.org/officeDocument/2006/relationships/ctrlProp" Target="../ctrlProps/ctrlProp369.xml"/><Relationship Id="rId26" Type="http://schemas.openxmlformats.org/officeDocument/2006/relationships/ctrlProp" Target="../ctrlProps/ctrlProp377.xml"/><Relationship Id="rId21" Type="http://schemas.openxmlformats.org/officeDocument/2006/relationships/ctrlProp" Target="../ctrlProps/ctrlProp372.xml"/><Relationship Id="rId34" Type="http://schemas.openxmlformats.org/officeDocument/2006/relationships/ctrlProp" Target="../ctrlProps/ctrlProp385.xml"/><Relationship Id="rId7" Type="http://schemas.openxmlformats.org/officeDocument/2006/relationships/ctrlProp" Target="../ctrlProps/ctrlProp358.xml"/><Relationship Id="rId12" Type="http://schemas.openxmlformats.org/officeDocument/2006/relationships/ctrlProp" Target="../ctrlProps/ctrlProp363.xml"/><Relationship Id="rId17" Type="http://schemas.openxmlformats.org/officeDocument/2006/relationships/ctrlProp" Target="../ctrlProps/ctrlProp368.xml"/><Relationship Id="rId25" Type="http://schemas.openxmlformats.org/officeDocument/2006/relationships/ctrlProp" Target="../ctrlProps/ctrlProp376.xml"/><Relationship Id="rId33" Type="http://schemas.openxmlformats.org/officeDocument/2006/relationships/ctrlProp" Target="../ctrlProps/ctrlProp384.xml"/><Relationship Id="rId38" Type="http://schemas.openxmlformats.org/officeDocument/2006/relationships/ctrlProp" Target="../ctrlProps/ctrlProp389.xml"/><Relationship Id="rId2" Type="http://schemas.openxmlformats.org/officeDocument/2006/relationships/drawing" Target="../drawings/drawing17.xml"/><Relationship Id="rId16" Type="http://schemas.openxmlformats.org/officeDocument/2006/relationships/ctrlProp" Target="../ctrlProps/ctrlProp367.xml"/><Relationship Id="rId20" Type="http://schemas.openxmlformats.org/officeDocument/2006/relationships/ctrlProp" Target="../ctrlProps/ctrlProp371.xml"/><Relationship Id="rId29" Type="http://schemas.openxmlformats.org/officeDocument/2006/relationships/ctrlProp" Target="../ctrlProps/ctrlProp380.xml"/><Relationship Id="rId1" Type="http://schemas.openxmlformats.org/officeDocument/2006/relationships/printerSettings" Target="../printerSettings/printerSettings22.bin"/><Relationship Id="rId6" Type="http://schemas.openxmlformats.org/officeDocument/2006/relationships/ctrlProp" Target="../ctrlProps/ctrlProp357.xml"/><Relationship Id="rId11" Type="http://schemas.openxmlformats.org/officeDocument/2006/relationships/ctrlProp" Target="../ctrlProps/ctrlProp362.xml"/><Relationship Id="rId24" Type="http://schemas.openxmlformats.org/officeDocument/2006/relationships/ctrlProp" Target="../ctrlProps/ctrlProp375.xml"/><Relationship Id="rId32" Type="http://schemas.openxmlformats.org/officeDocument/2006/relationships/ctrlProp" Target="../ctrlProps/ctrlProp383.xml"/><Relationship Id="rId37" Type="http://schemas.openxmlformats.org/officeDocument/2006/relationships/ctrlProp" Target="../ctrlProps/ctrlProp388.xml"/><Relationship Id="rId5" Type="http://schemas.openxmlformats.org/officeDocument/2006/relationships/ctrlProp" Target="../ctrlProps/ctrlProp356.xml"/><Relationship Id="rId15" Type="http://schemas.openxmlformats.org/officeDocument/2006/relationships/ctrlProp" Target="../ctrlProps/ctrlProp366.xml"/><Relationship Id="rId23" Type="http://schemas.openxmlformats.org/officeDocument/2006/relationships/ctrlProp" Target="../ctrlProps/ctrlProp374.xml"/><Relationship Id="rId28" Type="http://schemas.openxmlformats.org/officeDocument/2006/relationships/ctrlProp" Target="../ctrlProps/ctrlProp379.xml"/><Relationship Id="rId36" Type="http://schemas.openxmlformats.org/officeDocument/2006/relationships/ctrlProp" Target="../ctrlProps/ctrlProp387.xml"/><Relationship Id="rId10" Type="http://schemas.openxmlformats.org/officeDocument/2006/relationships/ctrlProp" Target="../ctrlProps/ctrlProp361.xml"/><Relationship Id="rId19" Type="http://schemas.openxmlformats.org/officeDocument/2006/relationships/ctrlProp" Target="../ctrlProps/ctrlProp370.xml"/><Relationship Id="rId31" Type="http://schemas.openxmlformats.org/officeDocument/2006/relationships/ctrlProp" Target="../ctrlProps/ctrlProp382.xml"/><Relationship Id="rId4" Type="http://schemas.openxmlformats.org/officeDocument/2006/relationships/ctrlProp" Target="../ctrlProps/ctrlProp355.xml"/><Relationship Id="rId9" Type="http://schemas.openxmlformats.org/officeDocument/2006/relationships/ctrlProp" Target="../ctrlProps/ctrlProp360.xml"/><Relationship Id="rId14" Type="http://schemas.openxmlformats.org/officeDocument/2006/relationships/ctrlProp" Target="../ctrlProps/ctrlProp365.xml"/><Relationship Id="rId22" Type="http://schemas.openxmlformats.org/officeDocument/2006/relationships/ctrlProp" Target="../ctrlProps/ctrlProp373.xml"/><Relationship Id="rId27" Type="http://schemas.openxmlformats.org/officeDocument/2006/relationships/ctrlProp" Target="../ctrlProps/ctrlProp378.xml"/><Relationship Id="rId30" Type="http://schemas.openxmlformats.org/officeDocument/2006/relationships/ctrlProp" Target="../ctrlProps/ctrlProp381.xml"/><Relationship Id="rId35" Type="http://schemas.openxmlformats.org/officeDocument/2006/relationships/ctrlProp" Target="../ctrlProps/ctrlProp386.xml"/><Relationship Id="rId8" Type="http://schemas.openxmlformats.org/officeDocument/2006/relationships/ctrlProp" Target="../ctrlProps/ctrlProp359.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9.xml"/><Relationship Id="rId18" Type="http://schemas.openxmlformats.org/officeDocument/2006/relationships/ctrlProp" Target="../ctrlProps/ctrlProp404.xml"/><Relationship Id="rId26" Type="http://schemas.openxmlformats.org/officeDocument/2006/relationships/ctrlProp" Target="../ctrlProps/ctrlProp412.xml"/><Relationship Id="rId21" Type="http://schemas.openxmlformats.org/officeDocument/2006/relationships/ctrlProp" Target="../ctrlProps/ctrlProp407.xml"/><Relationship Id="rId34" Type="http://schemas.openxmlformats.org/officeDocument/2006/relationships/ctrlProp" Target="../ctrlProps/ctrlProp420.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5" Type="http://schemas.openxmlformats.org/officeDocument/2006/relationships/ctrlProp" Target="../ctrlProps/ctrlProp411.xml"/><Relationship Id="rId33" Type="http://schemas.openxmlformats.org/officeDocument/2006/relationships/ctrlProp" Target="../ctrlProps/ctrlProp419.xml"/><Relationship Id="rId38" Type="http://schemas.openxmlformats.org/officeDocument/2006/relationships/ctrlProp" Target="../ctrlProps/ctrlProp424.xml"/><Relationship Id="rId2" Type="http://schemas.openxmlformats.org/officeDocument/2006/relationships/drawing" Target="../drawings/drawing18.xml"/><Relationship Id="rId16" Type="http://schemas.openxmlformats.org/officeDocument/2006/relationships/ctrlProp" Target="../ctrlProps/ctrlProp402.xml"/><Relationship Id="rId20" Type="http://schemas.openxmlformats.org/officeDocument/2006/relationships/ctrlProp" Target="../ctrlProps/ctrlProp406.xml"/><Relationship Id="rId29" Type="http://schemas.openxmlformats.org/officeDocument/2006/relationships/ctrlProp" Target="../ctrlProps/ctrlProp415.xml"/><Relationship Id="rId1" Type="http://schemas.openxmlformats.org/officeDocument/2006/relationships/printerSettings" Target="../printerSettings/printerSettings23.bin"/><Relationship Id="rId6" Type="http://schemas.openxmlformats.org/officeDocument/2006/relationships/ctrlProp" Target="../ctrlProps/ctrlProp392.xml"/><Relationship Id="rId11" Type="http://schemas.openxmlformats.org/officeDocument/2006/relationships/ctrlProp" Target="../ctrlProps/ctrlProp397.xml"/><Relationship Id="rId24" Type="http://schemas.openxmlformats.org/officeDocument/2006/relationships/ctrlProp" Target="../ctrlProps/ctrlProp410.xml"/><Relationship Id="rId32" Type="http://schemas.openxmlformats.org/officeDocument/2006/relationships/ctrlProp" Target="../ctrlProps/ctrlProp418.xml"/><Relationship Id="rId37" Type="http://schemas.openxmlformats.org/officeDocument/2006/relationships/ctrlProp" Target="../ctrlProps/ctrlProp423.xml"/><Relationship Id="rId5" Type="http://schemas.openxmlformats.org/officeDocument/2006/relationships/ctrlProp" Target="../ctrlProps/ctrlProp391.xml"/><Relationship Id="rId15" Type="http://schemas.openxmlformats.org/officeDocument/2006/relationships/ctrlProp" Target="../ctrlProps/ctrlProp401.xml"/><Relationship Id="rId23" Type="http://schemas.openxmlformats.org/officeDocument/2006/relationships/ctrlProp" Target="../ctrlProps/ctrlProp409.xml"/><Relationship Id="rId28" Type="http://schemas.openxmlformats.org/officeDocument/2006/relationships/ctrlProp" Target="../ctrlProps/ctrlProp414.xml"/><Relationship Id="rId36" Type="http://schemas.openxmlformats.org/officeDocument/2006/relationships/ctrlProp" Target="../ctrlProps/ctrlProp422.xml"/><Relationship Id="rId10" Type="http://schemas.openxmlformats.org/officeDocument/2006/relationships/ctrlProp" Target="../ctrlProps/ctrlProp396.xml"/><Relationship Id="rId19" Type="http://schemas.openxmlformats.org/officeDocument/2006/relationships/ctrlProp" Target="../ctrlProps/ctrlProp405.xml"/><Relationship Id="rId31" Type="http://schemas.openxmlformats.org/officeDocument/2006/relationships/ctrlProp" Target="../ctrlProps/ctrlProp417.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 Id="rId27" Type="http://schemas.openxmlformats.org/officeDocument/2006/relationships/ctrlProp" Target="../ctrlProps/ctrlProp413.xml"/><Relationship Id="rId30" Type="http://schemas.openxmlformats.org/officeDocument/2006/relationships/ctrlProp" Target="../ctrlProps/ctrlProp416.xml"/><Relationship Id="rId35" Type="http://schemas.openxmlformats.org/officeDocument/2006/relationships/ctrlProp" Target="../ctrlProps/ctrlProp421.xml"/><Relationship Id="rId8" Type="http://schemas.openxmlformats.org/officeDocument/2006/relationships/ctrlProp" Target="../ctrlProps/ctrlProp394.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4.xml"/><Relationship Id="rId18" Type="http://schemas.openxmlformats.org/officeDocument/2006/relationships/ctrlProp" Target="../ctrlProps/ctrlProp439.xml"/><Relationship Id="rId26" Type="http://schemas.openxmlformats.org/officeDocument/2006/relationships/ctrlProp" Target="../ctrlProps/ctrlProp447.xml"/><Relationship Id="rId21" Type="http://schemas.openxmlformats.org/officeDocument/2006/relationships/ctrlProp" Target="../ctrlProps/ctrlProp442.xml"/><Relationship Id="rId34" Type="http://schemas.openxmlformats.org/officeDocument/2006/relationships/ctrlProp" Target="../ctrlProps/ctrlProp455.xml"/><Relationship Id="rId7" Type="http://schemas.openxmlformats.org/officeDocument/2006/relationships/ctrlProp" Target="../ctrlProps/ctrlProp428.xml"/><Relationship Id="rId12" Type="http://schemas.openxmlformats.org/officeDocument/2006/relationships/ctrlProp" Target="../ctrlProps/ctrlProp433.xml"/><Relationship Id="rId17" Type="http://schemas.openxmlformats.org/officeDocument/2006/relationships/ctrlProp" Target="../ctrlProps/ctrlProp438.xml"/><Relationship Id="rId25" Type="http://schemas.openxmlformats.org/officeDocument/2006/relationships/ctrlProp" Target="../ctrlProps/ctrlProp446.xml"/><Relationship Id="rId33" Type="http://schemas.openxmlformats.org/officeDocument/2006/relationships/ctrlProp" Target="../ctrlProps/ctrlProp454.xml"/><Relationship Id="rId38" Type="http://schemas.openxmlformats.org/officeDocument/2006/relationships/ctrlProp" Target="../ctrlProps/ctrlProp459.xml"/><Relationship Id="rId2" Type="http://schemas.openxmlformats.org/officeDocument/2006/relationships/drawing" Target="../drawings/drawing19.xml"/><Relationship Id="rId16" Type="http://schemas.openxmlformats.org/officeDocument/2006/relationships/ctrlProp" Target="../ctrlProps/ctrlProp437.xml"/><Relationship Id="rId20" Type="http://schemas.openxmlformats.org/officeDocument/2006/relationships/ctrlProp" Target="../ctrlProps/ctrlProp441.xml"/><Relationship Id="rId29" Type="http://schemas.openxmlformats.org/officeDocument/2006/relationships/ctrlProp" Target="../ctrlProps/ctrlProp450.xml"/><Relationship Id="rId1" Type="http://schemas.openxmlformats.org/officeDocument/2006/relationships/printerSettings" Target="../printerSettings/printerSettings24.bin"/><Relationship Id="rId6" Type="http://schemas.openxmlformats.org/officeDocument/2006/relationships/ctrlProp" Target="../ctrlProps/ctrlProp427.xml"/><Relationship Id="rId11" Type="http://schemas.openxmlformats.org/officeDocument/2006/relationships/ctrlProp" Target="../ctrlProps/ctrlProp432.xml"/><Relationship Id="rId24" Type="http://schemas.openxmlformats.org/officeDocument/2006/relationships/ctrlProp" Target="../ctrlProps/ctrlProp445.xml"/><Relationship Id="rId32" Type="http://schemas.openxmlformats.org/officeDocument/2006/relationships/ctrlProp" Target="../ctrlProps/ctrlProp453.xml"/><Relationship Id="rId37" Type="http://schemas.openxmlformats.org/officeDocument/2006/relationships/ctrlProp" Target="../ctrlProps/ctrlProp458.xml"/><Relationship Id="rId5" Type="http://schemas.openxmlformats.org/officeDocument/2006/relationships/ctrlProp" Target="../ctrlProps/ctrlProp426.xml"/><Relationship Id="rId15" Type="http://schemas.openxmlformats.org/officeDocument/2006/relationships/ctrlProp" Target="../ctrlProps/ctrlProp436.xml"/><Relationship Id="rId23" Type="http://schemas.openxmlformats.org/officeDocument/2006/relationships/ctrlProp" Target="../ctrlProps/ctrlProp444.xml"/><Relationship Id="rId28" Type="http://schemas.openxmlformats.org/officeDocument/2006/relationships/ctrlProp" Target="../ctrlProps/ctrlProp449.xml"/><Relationship Id="rId36" Type="http://schemas.openxmlformats.org/officeDocument/2006/relationships/ctrlProp" Target="../ctrlProps/ctrlProp457.xml"/><Relationship Id="rId10" Type="http://schemas.openxmlformats.org/officeDocument/2006/relationships/ctrlProp" Target="../ctrlProps/ctrlProp431.xml"/><Relationship Id="rId19" Type="http://schemas.openxmlformats.org/officeDocument/2006/relationships/ctrlProp" Target="../ctrlProps/ctrlProp440.xml"/><Relationship Id="rId31" Type="http://schemas.openxmlformats.org/officeDocument/2006/relationships/ctrlProp" Target="../ctrlProps/ctrlProp452.xml"/><Relationship Id="rId4" Type="http://schemas.openxmlformats.org/officeDocument/2006/relationships/ctrlProp" Target="../ctrlProps/ctrlProp425.xml"/><Relationship Id="rId9" Type="http://schemas.openxmlformats.org/officeDocument/2006/relationships/ctrlProp" Target="../ctrlProps/ctrlProp430.xml"/><Relationship Id="rId14" Type="http://schemas.openxmlformats.org/officeDocument/2006/relationships/ctrlProp" Target="../ctrlProps/ctrlProp435.xml"/><Relationship Id="rId22" Type="http://schemas.openxmlformats.org/officeDocument/2006/relationships/ctrlProp" Target="../ctrlProps/ctrlProp443.xml"/><Relationship Id="rId27" Type="http://schemas.openxmlformats.org/officeDocument/2006/relationships/ctrlProp" Target="../ctrlProps/ctrlProp448.xml"/><Relationship Id="rId30" Type="http://schemas.openxmlformats.org/officeDocument/2006/relationships/ctrlProp" Target="../ctrlProps/ctrlProp451.xml"/><Relationship Id="rId35" Type="http://schemas.openxmlformats.org/officeDocument/2006/relationships/ctrlProp" Target="../ctrlProps/ctrlProp456.xml"/><Relationship Id="rId8" Type="http://schemas.openxmlformats.org/officeDocument/2006/relationships/ctrlProp" Target="../ctrlProps/ctrlProp429.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469.xml"/><Relationship Id="rId18" Type="http://schemas.openxmlformats.org/officeDocument/2006/relationships/ctrlProp" Target="../ctrlProps/ctrlProp474.xml"/><Relationship Id="rId26" Type="http://schemas.openxmlformats.org/officeDocument/2006/relationships/ctrlProp" Target="../ctrlProps/ctrlProp482.xml"/><Relationship Id="rId21" Type="http://schemas.openxmlformats.org/officeDocument/2006/relationships/ctrlProp" Target="../ctrlProps/ctrlProp477.xml"/><Relationship Id="rId34" Type="http://schemas.openxmlformats.org/officeDocument/2006/relationships/ctrlProp" Target="../ctrlProps/ctrlProp490.xml"/><Relationship Id="rId7" Type="http://schemas.openxmlformats.org/officeDocument/2006/relationships/ctrlProp" Target="../ctrlProps/ctrlProp463.xml"/><Relationship Id="rId12" Type="http://schemas.openxmlformats.org/officeDocument/2006/relationships/ctrlProp" Target="../ctrlProps/ctrlProp468.xml"/><Relationship Id="rId17" Type="http://schemas.openxmlformats.org/officeDocument/2006/relationships/ctrlProp" Target="../ctrlProps/ctrlProp473.xml"/><Relationship Id="rId25" Type="http://schemas.openxmlformats.org/officeDocument/2006/relationships/ctrlProp" Target="../ctrlProps/ctrlProp481.xml"/><Relationship Id="rId33" Type="http://schemas.openxmlformats.org/officeDocument/2006/relationships/ctrlProp" Target="../ctrlProps/ctrlProp489.xml"/><Relationship Id="rId38" Type="http://schemas.openxmlformats.org/officeDocument/2006/relationships/ctrlProp" Target="../ctrlProps/ctrlProp494.xml"/><Relationship Id="rId2" Type="http://schemas.openxmlformats.org/officeDocument/2006/relationships/drawing" Target="../drawings/drawing20.xml"/><Relationship Id="rId16" Type="http://schemas.openxmlformats.org/officeDocument/2006/relationships/ctrlProp" Target="../ctrlProps/ctrlProp472.xml"/><Relationship Id="rId20" Type="http://schemas.openxmlformats.org/officeDocument/2006/relationships/ctrlProp" Target="../ctrlProps/ctrlProp476.xml"/><Relationship Id="rId29" Type="http://schemas.openxmlformats.org/officeDocument/2006/relationships/ctrlProp" Target="../ctrlProps/ctrlProp485.xml"/><Relationship Id="rId1" Type="http://schemas.openxmlformats.org/officeDocument/2006/relationships/printerSettings" Target="../printerSettings/printerSettings25.bin"/><Relationship Id="rId6" Type="http://schemas.openxmlformats.org/officeDocument/2006/relationships/ctrlProp" Target="../ctrlProps/ctrlProp462.xml"/><Relationship Id="rId11" Type="http://schemas.openxmlformats.org/officeDocument/2006/relationships/ctrlProp" Target="../ctrlProps/ctrlProp467.xml"/><Relationship Id="rId24" Type="http://schemas.openxmlformats.org/officeDocument/2006/relationships/ctrlProp" Target="../ctrlProps/ctrlProp480.xml"/><Relationship Id="rId32" Type="http://schemas.openxmlformats.org/officeDocument/2006/relationships/ctrlProp" Target="../ctrlProps/ctrlProp488.xml"/><Relationship Id="rId37" Type="http://schemas.openxmlformats.org/officeDocument/2006/relationships/ctrlProp" Target="../ctrlProps/ctrlProp493.xml"/><Relationship Id="rId5" Type="http://schemas.openxmlformats.org/officeDocument/2006/relationships/ctrlProp" Target="../ctrlProps/ctrlProp461.xml"/><Relationship Id="rId15" Type="http://schemas.openxmlformats.org/officeDocument/2006/relationships/ctrlProp" Target="../ctrlProps/ctrlProp471.xml"/><Relationship Id="rId23" Type="http://schemas.openxmlformats.org/officeDocument/2006/relationships/ctrlProp" Target="../ctrlProps/ctrlProp479.xml"/><Relationship Id="rId28" Type="http://schemas.openxmlformats.org/officeDocument/2006/relationships/ctrlProp" Target="../ctrlProps/ctrlProp484.xml"/><Relationship Id="rId36" Type="http://schemas.openxmlformats.org/officeDocument/2006/relationships/ctrlProp" Target="../ctrlProps/ctrlProp492.xml"/><Relationship Id="rId10" Type="http://schemas.openxmlformats.org/officeDocument/2006/relationships/ctrlProp" Target="../ctrlProps/ctrlProp466.xml"/><Relationship Id="rId19" Type="http://schemas.openxmlformats.org/officeDocument/2006/relationships/ctrlProp" Target="../ctrlProps/ctrlProp475.xml"/><Relationship Id="rId31" Type="http://schemas.openxmlformats.org/officeDocument/2006/relationships/ctrlProp" Target="../ctrlProps/ctrlProp487.xml"/><Relationship Id="rId4" Type="http://schemas.openxmlformats.org/officeDocument/2006/relationships/ctrlProp" Target="../ctrlProps/ctrlProp460.xml"/><Relationship Id="rId9" Type="http://schemas.openxmlformats.org/officeDocument/2006/relationships/ctrlProp" Target="../ctrlProps/ctrlProp465.xml"/><Relationship Id="rId14" Type="http://schemas.openxmlformats.org/officeDocument/2006/relationships/ctrlProp" Target="../ctrlProps/ctrlProp470.xml"/><Relationship Id="rId22" Type="http://schemas.openxmlformats.org/officeDocument/2006/relationships/ctrlProp" Target="../ctrlProps/ctrlProp478.xml"/><Relationship Id="rId27" Type="http://schemas.openxmlformats.org/officeDocument/2006/relationships/ctrlProp" Target="../ctrlProps/ctrlProp483.xml"/><Relationship Id="rId30" Type="http://schemas.openxmlformats.org/officeDocument/2006/relationships/ctrlProp" Target="../ctrlProps/ctrlProp486.xml"/><Relationship Id="rId35" Type="http://schemas.openxmlformats.org/officeDocument/2006/relationships/ctrlProp" Target="../ctrlProps/ctrlProp491.xml"/><Relationship Id="rId8" Type="http://schemas.openxmlformats.org/officeDocument/2006/relationships/ctrlProp" Target="../ctrlProps/ctrlProp464.xml"/><Relationship Id="rId3"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04.xml"/><Relationship Id="rId18" Type="http://schemas.openxmlformats.org/officeDocument/2006/relationships/ctrlProp" Target="../ctrlProps/ctrlProp509.xml"/><Relationship Id="rId26" Type="http://schemas.openxmlformats.org/officeDocument/2006/relationships/ctrlProp" Target="../ctrlProps/ctrlProp517.xml"/><Relationship Id="rId21" Type="http://schemas.openxmlformats.org/officeDocument/2006/relationships/ctrlProp" Target="../ctrlProps/ctrlProp512.xml"/><Relationship Id="rId34" Type="http://schemas.openxmlformats.org/officeDocument/2006/relationships/ctrlProp" Target="../ctrlProps/ctrlProp525.xml"/><Relationship Id="rId7" Type="http://schemas.openxmlformats.org/officeDocument/2006/relationships/ctrlProp" Target="../ctrlProps/ctrlProp498.xml"/><Relationship Id="rId12" Type="http://schemas.openxmlformats.org/officeDocument/2006/relationships/ctrlProp" Target="../ctrlProps/ctrlProp503.xml"/><Relationship Id="rId17" Type="http://schemas.openxmlformats.org/officeDocument/2006/relationships/ctrlProp" Target="../ctrlProps/ctrlProp508.xml"/><Relationship Id="rId25" Type="http://schemas.openxmlformats.org/officeDocument/2006/relationships/ctrlProp" Target="../ctrlProps/ctrlProp516.xml"/><Relationship Id="rId33" Type="http://schemas.openxmlformats.org/officeDocument/2006/relationships/ctrlProp" Target="../ctrlProps/ctrlProp524.xml"/><Relationship Id="rId38" Type="http://schemas.openxmlformats.org/officeDocument/2006/relationships/ctrlProp" Target="../ctrlProps/ctrlProp529.xml"/><Relationship Id="rId2" Type="http://schemas.openxmlformats.org/officeDocument/2006/relationships/drawing" Target="../drawings/drawing21.xml"/><Relationship Id="rId16" Type="http://schemas.openxmlformats.org/officeDocument/2006/relationships/ctrlProp" Target="../ctrlProps/ctrlProp507.xml"/><Relationship Id="rId20" Type="http://schemas.openxmlformats.org/officeDocument/2006/relationships/ctrlProp" Target="../ctrlProps/ctrlProp511.xml"/><Relationship Id="rId29" Type="http://schemas.openxmlformats.org/officeDocument/2006/relationships/ctrlProp" Target="../ctrlProps/ctrlProp520.xml"/><Relationship Id="rId1" Type="http://schemas.openxmlformats.org/officeDocument/2006/relationships/printerSettings" Target="../printerSettings/printerSettings26.bin"/><Relationship Id="rId6" Type="http://schemas.openxmlformats.org/officeDocument/2006/relationships/ctrlProp" Target="../ctrlProps/ctrlProp497.xml"/><Relationship Id="rId11" Type="http://schemas.openxmlformats.org/officeDocument/2006/relationships/ctrlProp" Target="../ctrlProps/ctrlProp502.xml"/><Relationship Id="rId24" Type="http://schemas.openxmlformats.org/officeDocument/2006/relationships/ctrlProp" Target="../ctrlProps/ctrlProp515.xml"/><Relationship Id="rId32" Type="http://schemas.openxmlformats.org/officeDocument/2006/relationships/ctrlProp" Target="../ctrlProps/ctrlProp523.xml"/><Relationship Id="rId37" Type="http://schemas.openxmlformats.org/officeDocument/2006/relationships/ctrlProp" Target="../ctrlProps/ctrlProp528.xml"/><Relationship Id="rId5" Type="http://schemas.openxmlformats.org/officeDocument/2006/relationships/ctrlProp" Target="../ctrlProps/ctrlProp496.xml"/><Relationship Id="rId15" Type="http://schemas.openxmlformats.org/officeDocument/2006/relationships/ctrlProp" Target="../ctrlProps/ctrlProp506.xml"/><Relationship Id="rId23" Type="http://schemas.openxmlformats.org/officeDocument/2006/relationships/ctrlProp" Target="../ctrlProps/ctrlProp514.xml"/><Relationship Id="rId28" Type="http://schemas.openxmlformats.org/officeDocument/2006/relationships/ctrlProp" Target="../ctrlProps/ctrlProp519.xml"/><Relationship Id="rId36" Type="http://schemas.openxmlformats.org/officeDocument/2006/relationships/ctrlProp" Target="../ctrlProps/ctrlProp527.xml"/><Relationship Id="rId10" Type="http://schemas.openxmlformats.org/officeDocument/2006/relationships/ctrlProp" Target="../ctrlProps/ctrlProp501.xml"/><Relationship Id="rId19" Type="http://schemas.openxmlformats.org/officeDocument/2006/relationships/ctrlProp" Target="../ctrlProps/ctrlProp510.xml"/><Relationship Id="rId31" Type="http://schemas.openxmlformats.org/officeDocument/2006/relationships/ctrlProp" Target="../ctrlProps/ctrlProp522.xml"/><Relationship Id="rId4" Type="http://schemas.openxmlformats.org/officeDocument/2006/relationships/ctrlProp" Target="../ctrlProps/ctrlProp495.xml"/><Relationship Id="rId9" Type="http://schemas.openxmlformats.org/officeDocument/2006/relationships/ctrlProp" Target="../ctrlProps/ctrlProp500.xml"/><Relationship Id="rId14" Type="http://schemas.openxmlformats.org/officeDocument/2006/relationships/ctrlProp" Target="../ctrlProps/ctrlProp505.xml"/><Relationship Id="rId22" Type="http://schemas.openxmlformats.org/officeDocument/2006/relationships/ctrlProp" Target="../ctrlProps/ctrlProp513.xml"/><Relationship Id="rId27" Type="http://schemas.openxmlformats.org/officeDocument/2006/relationships/ctrlProp" Target="../ctrlProps/ctrlProp518.xml"/><Relationship Id="rId30" Type="http://schemas.openxmlformats.org/officeDocument/2006/relationships/ctrlProp" Target="../ctrlProps/ctrlProp521.xml"/><Relationship Id="rId35" Type="http://schemas.openxmlformats.org/officeDocument/2006/relationships/ctrlProp" Target="../ctrlProps/ctrlProp526.xml"/><Relationship Id="rId8" Type="http://schemas.openxmlformats.org/officeDocument/2006/relationships/ctrlProp" Target="../ctrlProps/ctrlProp499.xml"/><Relationship Id="rId3"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39.xml"/><Relationship Id="rId18" Type="http://schemas.openxmlformats.org/officeDocument/2006/relationships/ctrlProp" Target="../ctrlProps/ctrlProp544.xml"/><Relationship Id="rId26" Type="http://schemas.openxmlformats.org/officeDocument/2006/relationships/ctrlProp" Target="../ctrlProps/ctrlProp552.xml"/><Relationship Id="rId21" Type="http://schemas.openxmlformats.org/officeDocument/2006/relationships/ctrlProp" Target="../ctrlProps/ctrlProp547.xml"/><Relationship Id="rId34" Type="http://schemas.openxmlformats.org/officeDocument/2006/relationships/ctrlProp" Target="../ctrlProps/ctrlProp560.xml"/><Relationship Id="rId7" Type="http://schemas.openxmlformats.org/officeDocument/2006/relationships/ctrlProp" Target="../ctrlProps/ctrlProp533.xml"/><Relationship Id="rId12" Type="http://schemas.openxmlformats.org/officeDocument/2006/relationships/ctrlProp" Target="../ctrlProps/ctrlProp538.xml"/><Relationship Id="rId17" Type="http://schemas.openxmlformats.org/officeDocument/2006/relationships/ctrlProp" Target="../ctrlProps/ctrlProp543.xml"/><Relationship Id="rId25" Type="http://schemas.openxmlformats.org/officeDocument/2006/relationships/ctrlProp" Target="../ctrlProps/ctrlProp551.xml"/><Relationship Id="rId33" Type="http://schemas.openxmlformats.org/officeDocument/2006/relationships/ctrlProp" Target="../ctrlProps/ctrlProp559.xml"/><Relationship Id="rId38" Type="http://schemas.openxmlformats.org/officeDocument/2006/relationships/ctrlProp" Target="../ctrlProps/ctrlProp564.xml"/><Relationship Id="rId2" Type="http://schemas.openxmlformats.org/officeDocument/2006/relationships/drawing" Target="../drawings/drawing22.xml"/><Relationship Id="rId16" Type="http://schemas.openxmlformats.org/officeDocument/2006/relationships/ctrlProp" Target="../ctrlProps/ctrlProp542.xml"/><Relationship Id="rId20" Type="http://schemas.openxmlformats.org/officeDocument/2006/relationships/ctrlProp" Target="../ctrlProps/ctrlProp546.xml"/><Relationship Id="rId29" Type="http://schemas.openxmlformats.org/officeDocument/2006/relationships/ctrlProp" Target="../ctrlProps/ctrlProp555.xml"/><Relationship Id="rId1" Type="http://schemas.openxmlformats.org/officeDocument/2006/relationships/printerSettings" Target="../printerSettings/printerSettings27.bin"/><Relationship Id="rId6" Type="http://schemas.openxmlformats.org/officeDocument/2006/relationships/ctrlProp" Target="../ctrlProps/ctrlProp532.xml"/><Relationship Id="rId11" Type="http://schemas.openxmlformats.org/officeDocument/2006/relationships/ctrlProp" Target="../ctrlProps/ctrlProp537.xml"/><Relationship Id="rId24" Type="http://schemas.openxmlformats.org/officeDocument/2006/relationships/ctrlProp" Target="../ctrlProps/ctrlProp550.xml"/><Relationship Id="rId32" Type="http://schemas.openxmlformats.org/officeDocument/2006/relationships/ctrlProp" Target="../ctrlProps/ctrlProp558.xml"/><Relationship Id="rId37" Type="http://schemas.openxmlformats.org/officeDocument/2006/relationships/ctrlProp" Target="../ctrlProps/ctrlProp563.xml"/><Relationship Id="rId5" Type="http://schemas.openxmlformats.org/officeDocument/2006/relationships/ctrlProp" Target="../ctrlProps/ctrlProp531.xml"/><Relationship Id="rId15" Type="http://schemas.openxmlformats.org/officeDocument/2006/relationships/ctrlProp" Target="../ctrlProps/ctrlProp541.xml"/><Relationship Id="rId23" Type="http://schemas.openxmlformats.org/officeDocument/2006/relationships/ctrlProp" Target="../ctrlProps/ctrlProp549.xml"/><Relationship Id="rId28" Type="http://schemas.openxmlformats.org/officeDocument/2006/relationships/ctrlProp" Target="../ctrlProps/ctrlProp554.xml"/><Relationship Id="rId36" Type="http://schemas.openxmlformats.org/officeDocument/2006/relationships/ctrlProp" Target="../ctrlProps/ctrlProp562.xml"/><Relationship Id="rId10" Type="http://schemas.openxmlformats.org/officeDocument/2006/relationships/ctrlProp" Target="../ctrlProps/ctrlProp536.xml"/><Relationship Id="rId19" Type="http://schemas.openxmlformats.org/officeDocument/2006/relationships/ctrlProp" Target="../ctrlProps/ctrlProp545.xml"/><Relationship Id="rId31" Type="http://schemas.openxmlformats.org/officeDocument/2006/relationships/ctrlProp" Target="../ctrlProps/ctrlProp557.xml"/><Relationship Id="rId4" Type="http://schemas.openxmlformats.org/officeDocument/2006/relationships/ctrlProp" Target="../ctrlProps/ctrlProp530.xml"/><Relationship Id="rId9" Type="http://schemas.openxmlformats.org/officeDocument/2006/relationships/ctrlProp" Target="../ctrlProps/ctrlProp535.xml"/><Relationship Id="rId14" Type="http://schemas.openxmlformats.org/officeDocument/2006/relationships/ctrlProp" Target="../ctrlProps/ctrlProp540.xml"/><Relationship Id="rId22" Type="http://schemas.openxmlformats.org/officeDocument/2006/relationships/ctrlProp" Target="../ctrlProps/ctrlProp548.xml"/><Relationship Id="rId27" Type="http://schemas.openxmlformats.org/officeDocument/2006/relationships/ctrlProp" Target="../ctrlProps/ctrlProp553.xml"/><Relationship Id="rId30" Type="http://schemas.openxmlformats.org/officeDocument/2006/relationships/ctrlProp" Target="../ctrlProps/ctrlProp556.xml"/><Relationship Id="rId35" Type="http://schemas.openxmlformats.org/officeDocument/2006/relationships/ctrlProp" Target="../ctrlProps/ctrlProp561.xml"/><Relationship Id="rId8" Type="http://schemas.openxmlformats.org/officeDocument/2006/relationships/ctrlProp" Target="../ctrlProps/ctrlProp534.xml"/><Relationship Id="rId3" Type="http://schemas.openxmlformats.org/officeDocument/2006/relationships/vmlDrawing" Target="../drawings/vmlDrawing22.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574.xml"/><Relationship Id="rId18" Type="http://schemas.openxmlformats.org/officeDocument/2006/relationships/ctrlProp" Target="../ctrlProps/ctrlProp579.xml"/><Relationship Id="rId26" Type="http://schemas.openxmlformats.org/officeDocument/2006/relationships/ctrlProp" Target="../ctrlProps/ctrlProp587.xml"/><Relationship Id="rId21" Type="http://schemas.openxmlformats.org/officeDocument/2006/relationships/ctrlProp" Target="../ctrlProps/ctrlProp582.xml"/><Relationship Id="rId34" Type="http://schemas.openxmlformats.org/officeDocument/2006/relationships/ctrlProp" Target="../ctrlProps/ctrlProp595.xml"/><Relationship Id="rId7" Type="http://schemas.openxmlformats.org/officeDocument/2006/relationships/ctrlProp" Target="../ctrlProps/ctrlProp568.xml"/><Relationship Id="rId12" Type="http://schemas.openxmlformats.org/officeDocument/2006/relationships/ctrlProp" Target="../ctrlProps/ctrlProp573.xml"/><Relationship Id="rId17" Type="http://schemas.openxmlformats.org/officeDocument/2006/relationships/ctrlProp" Target="../ctrlProps/ctrlProp578.xml"/><Relationship Id="rId25" Type="http://schemas.openxmlformats.org/officeDocument/2006/relationships/ctrlProp" Target="../ctrlProps/ctrlProp586.xml"/><Relationship Id="rId33" Type="http://schemas.openxmlformats.org/officeDocument/2006/relationships/ctrlProp" Target="../ctrlProps/ctrlProp594.xml"/><Relationship Id="rId38" Type="http://schemas.openxmlformats.org/officeDocument/2006/relationships/ctrlProp" Target="../ctrlProps/ctrlProp599.xml"/><Relationship Id="rId2" Type="http://schemas.openxmlformats.org/officeDocument/2006/relationships/drawing" Target="../drawings/drawing23.xml"/><Relationship Id="rId16" Type="http://schemas.openxmlformats.org/officeDocument/2006/relationships/ctrlProp" Target="../ctrlProps/ctrlProp577.xml"/><Relationship Id="rId20" Type="http://schemas.openxmlformats.org/officeDocument/2006/relationships/ctrlProp" Target="../ctrlProps/ctrlProp581.xml"/><Relationship Id="rId29" Type="http://schemas.openxmlformats.org/officeDocument/2006/relationships/ctrlProp" Target="../ctrlProps/ctrlProp590.xml"/><Relationship Id="rId1" Type="http://schemas.openxmlformats.org/officeDocument/2006/relationships/printerSettings" Target="../printerSettings/printerSettings28.bin"/><Relationship Id="rId6" Type="http://schemas.openxmlformats.org/officeDocument/2006/relationships/ctrlProp" Target="../ctrlProps/ctrlProp567.xml"/><Relationship Id="rId11" Type="http://schemas.openxmlformats.org/officeDocument/2006/relationships/ctrlProp" Target="../ctrlProps/ctrlProp572.xml"/><Relationship Id="rId24" Type="http://schemas.openxmlformats.org/officeDocument/2006/relationships/ctrlProp" Target="../ctrlProps/ctrlProp585.xml"/><Relationship Id="rId32" Type="http://schemas.openxmlformats.org/officeDocument/2006/relationships/ctrlProp" Target="../ctrlProps/ctrlProp593.xml"/><Relationship Id="rId37" Type="http://schemas.openxmlformats.org/officeDocument/2006/relationships/ctrlProp" Target="../ctrlProps/ctrlProp598.xml"/><Relationship Id="rId5" Type="http://schemas.openxmlformats.org/officeDocument/2006/relationships/ctrlProp" Target="../ctrlProps/ctrlProp566.xml"/><Relationship Id="rId15" Type="http://schemas.openxmlformats.org/officeDocument/2006/relationships/ctrlProp" Target="../ctrlProps/ctrlProp576.xml"/><Relationship Id="rId23" Type="http://schemas.openxmlformats.org/officeDocument/2006/relationships/ctrlProp" Target="../ctrlProps/ctrlProp584.xml"/><Relationship Id="rId28" Type="http://schemas.openxmlformats.org/officeDocument/2006/relationships/ctrlProp" Target="../ctrlProps/ctrlProp589.xml"/><Relationship Id="rId36" Type="http://schemas.openxmlformats.org/officeDocument/2006/relationships/ctrlProp" Target="../ctrlProps/ctrlProp597.xml"/><Relationship Id="rId10" Type="http://schemas.openxmlformats.org/officeDocument/2006/relationships/ctrlProp" Target="../ctrlProps/ctrlProp571.xml"/><Relationship Id="rId19" Type="http://schemas.openxmlformats.org/officeDocument/2006/relationships/ctrlProp" Target="../ctrlProps/ctrlProp580.xml"/><Relationship Id="rId31" Type="http://schemas.openxmlformats.org/officeDocument/2006/relationships/ctrlProp" Target="../ctrlProps/ctrlProp592.xml"/><Relationship Id="rId4" Type="http://schemas.openxmlformats.org/officeDocument/2006/relationships/ctrlProp" Target="../ctrlProps/ctrlProp565.xml"/><Relationship Id="rId9" Type="http://schemas.openxmlformats.org/officeDocument/2006/relationships/ctrlProp" Target="../ctrlProps/ctrlProp570.xml"/><Relationship Id="rId14" Type="http://schemas.openxmlformats.org/officeDocument/2006/relationships/ctrlProp" Target="../ctrlProps/ctrlProp575.xml"/><Relationship Id="rId22" Type="http://schemas.openxmlformats.org/officeDocument/2006/relationships/ctrlProp" Target="../ctrlProps/ctrlProp583.xml"/><Relationship Id="rId27" Type="http://schemas.openxmlformats.org/officeDocument/2006/relationships/ctrlProp" Target="../ctrlProps/ctrlProp588.xml"/><Relationship Id="rId30" Type="http://schemas.openxmlformats.org/officeDocument/2006/relationships/ctrlProp" Target="../ctrlProps/ctrlProp591.xml"/><Relationship Id="rId35" Type="http://schemas.openxmlformats.org/officeDocument/2006/relationships/ctrlProp" Target="../ctrlProps/ctrlProp596.xml"/><Relationship Id="rId8" Type="http://schemas.openxmlformats.org/officeDocument/2006/relationships/ctrlProp" Target="../ctrlProps/ctrlProp569.xml"/><Relationship Id="rId3" Type="http://schemas.openxmlformats.org/officeDocument/2006/relationships/vmlDrawing" Target="../drawings/vmlDrawing23.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609.xml"/><Relationship Id="rId18" Type="http://schemas.openxmlformats.org/officeDocument/2006/relationships/ctrlProp" Target="../ctrlProps/ctrlProp614.xml"/><Relationship Id="rId26" Type="http://schemas.openxmlformats.org/officeDocument/2006/relationships/ctrlProp" Target="../ctrlProps/ctrlProp622.xml"/><Relationship Id="rId21" Type="http://schemas.openxmlformats.org/officeDocument/2006/relationships/ctrlProp" Target="../ctrlProps/ctrlProp617.xml"/><Relationship Id="rId34" Type="http://schemas.openxmlformats.org/officeDocument/2006/relationships/ctrlProp" Target="../ctrlProps/ctrlProp630.xml"/><Relationship Id="rId7" Type="http://schemas.openxmlformats.org/officeDocument/2006/relationships/ctrlProp" Target="../ctrlProps/ctrlProp603.xml"/><Relationship Id="rId12" Type="http://schemas.openxmlformats.org/officeDocument/2006/relationships/ctrlProp" Target="../ctrlProps/ctrlProp608.xml"/><Relationship Id="rId17" Type="http://schemas.openxmlformats.org/officeDocument/2006/relationships/ctrlProp" Target="../ctrlProps/ctrlProp613.xml"/><Relationship Id="rId25" Type="http://schemas.openxmlformats.org/officeDocument/2006/relationships/ctrlProp" Target="../ctrlProps/ctrlProp621.xml"/><Relationship Id="rId33" Type="http://schemas.openxmlformats.org/officeDocument/2006/relationships/ctrlProp" Target="../ctrlProps/ctrlProp629.xml"/><Relationship Id="rId38" Type="http://schemas.openxmlformats.org/officeDocument/2006/relationships/ctrlProp" Target="../ctrlProps/ctrlProp634.xml"/><Relationship Id="rId2" Type="http://schemas.openxmlformats.org/officeDocument/2006/relationships/drawing" Target="../drawings/drawing24.xml"/><Relationship Id="rId16" Type="http://schemas.openxmlformats.org/officeDocument/2006/relationships/ctrlProp" Target="../ctrlProps/ctrlProp612.xml"/><Relationship Id="rId20" Type="http://schemas.openxmlformats.org/officeDocument/2006/relationships/ctrlProp" Target="../ctrlProps/ctrlProp616.xml"/><Relationship Id="rId29" Type="http://schemas.openxmlformats.org/officeDocument/2006/relationships/ctrlProp" Target="../ctrlProps/ctrlProp625.xml"/><Relationship Id="rId1" Type="http://schemas.openxmlformats.org/officeDocument/2006/relationships/printerSettings" Target="../printerSettings/printerSettings29.bin"/><Relationship Id="rId6" Type="http://schemas.openxmlformats.org/officeDocument/2006/relationships/ctrlProp" Target="../ctrlProps/ctrlProp602.xml"/><Relationship Id="rId11" Type="http://schemas.openxmlformats.org/officeDocument/2006/relationships/ctrlProp" Target="../ctrlProps/ctrlProp607.xml"/><Relationship Id="rId24" Type="http://schemas.openxmlformats.org/officeDocument/2006/relationships/ctrlProp" Target="../ctrlProps/ctrlProp620.xml"/><Relationship Id="rId32" Type="http://schemas.openxmlformats.org/officeDocument/2006/relationships/ctrlProp" Target="../ctrlProps/ctrlProp628.xml"/><Relationship Id="rId37" Type="http://schemas.openxmlformats.org/officeDocument/2006/relationships/ctrlProp" Target="../ctrlProps/ctrlProp633.xml"/><Relationship Id="rId5" Type="http://schemas.openxmlformats.org/officeDocument/2006/relationships/ctrlProp" Target="../ctrlProps/ctrlProp601.xml"/><Relationship Id="rId15" Type="http://schemas.openxmlformats.org/officeDocument/2006/relationships/ctrlProp" Target="../ctrlProps/ctrlProp611.xml"/><Relationship Id="rId23" Type="http://schemas.openxmlformats.org/officeDocument/2006/relationships/ctrlProp" Target="../ctrlProps/ctrlProp619.xml"/><Relationship Id="rId28" Type="http://schemas.openxmlformats.org/officeDocument/2006/relationships/ctrlProp" Target="../ctrlProps/ctrlProp624.xml"/><Relationship Id="rId36" Type="http://schemas.openxmlformats.org/officeDocument/2006/relationships/ctrlProp" Target="../ctrlProps/ctrlProp632.xml"/><Relationship Id="rId10" Type="http://schemas.openxmlformats.org/officeDocument/2006/relationships/ctrlProp" Target="../ctrlProps/ctrlProp606.xml"/><Relationship Id="rId19" Type="http://schemas.openxmlformats.org/officeDocument/2006/relationships/ctrlProp" Target="../ctrlProps/ctrlProp615.xml"/><Relationship Id="rId31" Type="http://schemas.openxmlformats.org/officeDocument/2006/relationships/ctrlProp" Target="../ctrlProps/ctrlProp627.xml"/><Relationship Id="rId4" Type="http://schemas.openxmlformats.org/officeDocument/2006/relationships/ctrlProp" Target="../ctrlProps/ctrlProp600.xml"/><Relationship Id="rId9" Type="http://schemas.openxmlformats.org/officeDocument/2006/relationships/ctrlProp" Target="../ctrlProps/ctrlProp605.xml"/><Relationship Id="rId14" Type="http://schemas.openxmlformats.org/officeDocument/2006/relationships/ctrlProp" Target="../ctrlProps/ctrlProp610.xml"/><Relationship Id="rId22" Type="http://schemas.openxmlformats.org/officeDocument/2006/relationships/ctrlProp" Target="../ctrlProps/ctrlProp618.xml"/><Relationship Id="rId27" Type="http://schemas.openxmlformats.org/officeDocument/2006/relationships/ctrlProp" Target="../ctrlProps/ctrlProp623.xml"/><Relationship Id="rId30" Type="http://schemas.openxmlformats.org/officeDocument/2006/relationships/ctrlProp" Target="../ctrlProps/ctrlProp626.xml"/><Relationship Id="rId35" Type="http://schemas.openxmlformats.org/officeDocument/2006/relationships/ctrlProp" Target="../ctrlProps/ctrlProp631.xml"/><Relationship Id="rId8" Type="http://schemas.openxmlformats.org/officeDocument/2006/relationships/ctrlProp" Target="../ctrlProps/ctrlProp604.xml"/><Relationship Id="rId3" Type="http://schemas.openxmlformats.org/officeDocument/2006/relationships/vmlDrawing" Target="../drawings/vmlDrawing2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245</v>
      </c>
      <c r="B3" s="56"/>
    </row>
    <row r="4" spans="1:5" x14ac:dyDescent="0.25">
      <c r="A4" s="167"/>
      <c r="B4" s="56"/>
    </row>
    <row r="5" spans="1:5" x14ac:dyDescent="0.25">
      <c r="A5" s="167" t="s">
        <v>280</v>
      </c>
      <c r="B5" s="56" t="s">
        <v>567</v>
      </c>
    </row>
    <row r="6" spans="1:5" x14ac:dyDescent="0.25">
      <c r="A6" s="167"/>
      <c r="B6" s="56"/>
    </row>
    <row r="7" spans="1:5" x14ac:dyDescent="0.25">
      <c r="A7" s="56" t="s">
        <v>246</v>
      </c>
      <c r="B7" s="56"/>
    </row>
    <row r="8" spans="1:5" x14ac:dyDescent="0.25">
      <c r="A8" s="167"/>
      <c r="B8" s="56"/>
    </row>
    <row r="9" spans="1:5" x14ac:dyDescent="0.25">
      <c r="A9" s="167"/>
      <c r="B9" s="56"/>
    </row>
    <row r="10" spans="1:5" x14ac:dyDescent="0.25">
      <c r="A10" s="56" t="s">
        <v>70</v>
      </c>
      <c r="B10" s="168" t="s">
        <v>525</v>
      </c>
    </row>
    <row r="11" spans="1:5" x14ac:dyDescent="0.25">
      <c r="A11" s="56" t="s">
        <v>241</v>
      </c>
      <c r="B11" s="169"/>
    </row>
    <row r="12" spans="1:5" x14ac:dyDescent="0.25">
      <c r="A12" s="56"/>
      <c r="B12" s="169"/>
    </row>
    <row r="13" spans="1:5" x14ac:dyDescent="0.25">
      <c r="A13" s="56" t="s">
        <v>185</v>
      </c>
      <c r="B13" s="169"/>
    </row>
    <row r="14" spans="1:5" x14ac:dyDescent="0.25">
      <c r="A14" s="56"/>
      <c r="B14" s="169"/>
    </row>
    <row r="15" spans="1:5" x14ac:dyDescent="0.25">
      <c r="A15" s="56" t="s">
        <v>252</v>
      </c>
      <c r="B15" s="169"/>
      <c r="E15" t="s">
        <v>309</v>
      </c>
    </row>
    <row r="16" spans="1:5" x14ac:dyDescent="0.25">
      <c r="A16" s="56" t="s">
        <v>253</v>
      </c>
      <c r="B16" s="169"/>
    </row>
    <row r="17" spans="1:6" x14ac:dyDescent="0.25">
      <c r="A17" s="56"/>
      <c r="B17" s="169"/>
    </row>
    <row r="18" spans="1:6" x14ac:dyDescent="0.25">
      <c r="A18" s="56"/>
      <c r="B18" s="169"/>
    </row>
    <row r="19" spans="1:6" x14ac:dyDescent="0.25">
      <c r="A19" s="170" t="s">
        <v>254</v>
      </c>
      <c r="B19" s="169"/>
    </row>
    <row r="20" spans="1:6" x14ac:dyDescent="0.25">
      <c r="A20" s="56" t="s">
        <v>62</v>
      </c>
      <c r="B20" s="153" t="str">
        <f>B10&amp;" Edition"</f>
        <v>6/5/2023 Edition</v>
      </c>
    </row>
    <row r="21" spans="1:6" x14ac:dyDescent="0.25">
      <c r="A21" s="56" t="s">
        <v>60</v>
      </c>
      <c r="B21" s="154" t="str">
        <f>IF(ISBLANK(Co_Name),"",Co_Name)</f>
        <v>State Farm General Insurance Company</v>
      </c>
    </row>
    <row r="22" spans="1:6" x14ac:dyDescent="0.25">
      <c r="A22" s="56" t="s">
        <v>61</v>
      </c>
      <c r="B22" s="154" t="str">
        <f>INDEX(List_GeneralLine,References!$F$5,1)</f>
        <v>Homeowners</v>
      </c>
    </row>
    <row r="23" spans="1:6" x14ac:dyDescent="0.25">
      <c r="A23" s="56" t="s">
        <v>113</v>
      </c>
      <c r="B23" s="154" t="str">
        <f>IF(ISBLANK('1.General'!$H$14),"",'1.General'!$H$14)</f>
        <v/>
      </c>
    </row>
    <row r="24" spans="1:6" x14ac:dyDescent="0.25">
      <c r="A24" s="56" t="s">
        <v>222</v>
      </c>
      <c r="B24" s="154" t="str">
        <f>IF(ISBLANK('1.General'!$B$7),"",'1.General'!$B$7)</f>
        <v>Nicole Pettis</v>
      </c>
    </row>
    <row r="25" spans="1:6" x14ac:dyDescent="0.25">
      <c r="A25" s="56" t="s">
        <v>223</v>
      </c>
      <c r="B25" s="155">
        <f>IF(ISBLANK('1.General'!$E$7),"",'1.General'!$E$7)</f>
        <v>45371</v>
      </c>
      <c r="F25" t="s">
        <v>309</v>
      </c>
    </row>
    <row r="26" spans="1:6" x14ac:dyDescent="0.25">
      <c r="A26" s="56" t="s">
        <v>220</v>
      </c>
      <c r="B26" s="155" t="str">
        <f>IF(ISBLANK('4.Proposed Impact'!$D$9),"",'4.Proposed Impact'!$D$9)</f>
        <v/>
      </c>
    </row>
    <row r="27" spans="1:6" x14ac:dyDescent="0.25">
      <c r="A27" s="56" t="s">
        <v>278</v>
      </c>
      <c r="B27" s="154" t="b">
        <v>0</v>
      </c>
    </row>
    <row r="28" spans="1:6" x14ac:dyDescent="0.25">
      <c r="A28" s="56" t="s">
        <v>366</v>
      </c>
      <c r="B28" s="315" t="b">
        <f>IF('3.Filing Type and Checklist'!E8="Y",TRUE,FALSE)</f>
        <v>0</v>
      </c>
    </row>
    <row r="29" spans="1:6" x14ac:dyDescent="0.25">
      <c r="A29" s="56" t="s">
        <v>367</v>
      </c>
      <c r="B29" s="315" t="b">
        <f>IF('3.Filing Type and Checklist'!E9="Y",TRUE,FALSE)</f>
        <v>1</v>
      </c>
    </row>
    <row r="30" spans="1:6" x14ac:dyDescent="0.25">
      <c r="A30" s="56" t="s">
        <v>368</v>
      </c>
      <c r="B30" s="315" t="b">
        <f>IF('3.Filing Type and Checklist'!E11="Y",TRUE,FALSE)</f>
        <v>0</v>
      </c>
    </row>
    <row r="31" spans="1:6" x14ac:dyDescent="0.25">
      <c r="A31" s="56" t="s">
        <v>369</v>
      </c>
      <c r="B31" s="315" t="b">
        <f>IF('3.Filing Type and Checklist'!E6="Y",TRUE,FALSE)</f>
        <v>0</v>
      </c>
    </row>
    <row r="32" spans="1:6" x14ac:dyDescent="0.25">
      <c r="A32" s="56" t="s">
        <v>514</v>
      </c>
      <c r="B32" s="315" t="b">
        <f>IF('3.Filing Type and Checklist'!E7="Y",TRUE,FALSE)</f>
        <v>0</v>
      </c>
    </row>
    <row r="33" spans="1:2" x14ac:dyDescent="0.25">
      <c r="A33" s="56" t="s">
        <v>370</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378</v>
      </c>
      <c r="B34" s="56"/>
    </row>
    <row r="35" spans="1:2" x14ac:dyDescent="0.25">
      <c r="A35" s="56" t="s">
        <v>425</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181</v>
      </c>
      <c r="G2" s="115"/>
      <c r="H2" s="117" t="s">
        <v>105</v>
      </c>
      <c r="I2" s="118" t="s">
        <v>274</v>
      </c>
      <c r="L2" s="117" t="s">
        <v>393</v>
      </c>
      <c r="M2" s="349"/>
      <c r="N2" s="330"/>
      <c r="O2" s="330"/>
      <c r="P2" s="330"/>
      <c r="Q2" s="330"/>
      <c r="R2" s="330"/>
      <c r="S2" s="330"/>
      <c r="T2" s="350"/>
      <c r="U2" s="351"/>
      <c r="V2" s="352" t="s">
        <v>411</v>
      </c>
      <c r="W2" s="353"/>
      <c r="Y2" s="114" t="s">
        <v>454</v>
      </c>
    </row>
    <row r="3" spans="1:27" x14ac:dyDescent="0.25">
      <c r="B3" s="119" t="s">
        <v>106</v>
      </c>
      <c r="C3" s="115"/>
      <c r="D3" s="127" t="s">
        <v>183</v>
      </c>
      <c r="F3" s="121"/>
      <c r="H3" s="122"/>
      <c r="I3" s="123"/>
      <c r="L3" s="354"/>
      <c r="M3" s="120"/>
      <c r="N3" s="355"/>
      <c r="O3" s="355"/>
      <c r="P3" s="355"/>
      <c r="Q3" s="355"/>
      <c r="R3" s="355"/>
      <c r="S3" s="355"/>
      <c r="T3" s="356"/>
      <c r="U3" s="123"/>
      <c r="V3" s="357" t="s">
        <v>412</v>
      </c>
      <c r="W3" s="358"/>
      <c r="Y3" s="119" t="s">
        <v>455</v>
      </c>
      <c r="AA3" s="7" t="s">
        <v>516</v>
      </c>
    </row>
    <row r="4" spans="1:27" ht="102.75" x14ac:dyDescent="0.25">
      <c r="B4" s="119" t="s">
        <v>182</v>
      </c>
      <c r="C4" s="143"/>
      <c r="D4" s="120"/>
      <c r="F4" s="121"/>
      <c r="H4" s="122"/>
      <c r="I4" s="123"/>
      <c r="L4" s="122" t="s">
        <v>413</v>
      </c>
      <c r="M4" s="120"/>
      <c r="N4" s="359" t="s">
        <v>414</v>
      </c>
      <c r="O4" s="359" t="s">
        <v>415</v>
      </c>
      <c r="P4" s="359" t="s">
        <v>416</v>
      </c>
      <c r="Q4" s="359" t="s">
        <v>417</v>
      </c>
      <c r="R4" s="359" t="s">
        <v>399</v>
      </c>
      <c r="S4" s="359" t="s">
        <v>499</v>
      </c>
      <c r="T4" s="356"/>
      <c r="U4" s="123"/>
      <c r="V4" s="360" t="s">
        <v>418</v>
      </c>
      <c r="W4" s="361" t="s">
        <v>419</v>
      </c>
      <c r="Y4" s="394">
        <v>11</v>
      </c>
    </row>
    <row r="5" spans="1:27" ht="45" customHeight="1" x14ac:dyDescent="0.25">
      <c r="A5" s="175" t="s">
        <v>255</v>
      </c>
      <c r="B5" s="176"/>
      <c r="C5" s="9"/>
      <c r="D5" s="177">
        <v>2</v>
      </c>
      <c r="E5" s="139"/>
      <c r="F5" s="178">
        <v>16</v>
      </c>
      <c r="G5" s="139"/>
      <c r="H5" s="179"/>
      <c r="I5" s="180"/>
      <c r="J5" s="139"/>
      <c r="L5" s="122" t="s">
        <v>420</v>
      </c>
      <c r="M5" s="120"/>
      <c r="N5" s="362">
        <f>IF('3.Filing Type and Checklist'!A18="",1,0)</f>
        <v>1</v>
      </c>
      <c r="O5" s="362">
        <f>IF(OR('3.Filing Type and Checklist'!$E$8="Y",'3.Filing Type and Checklist'!$E$10="Y",'3.Filing Type and Checklist'!$E$12="Y"),1,0)</f>
        <v>0</v>
      </c>
      <c r="P5" s="362">
        <f>IF('3.Filing Type and Checklist'!$E$11="Y",1,0)</f>
        <v>0</v>
      </c>
      <c r="Q5" s="362">
        <f>IF('3.Filing Type and Checklist'!$E$9="Y",1,0)</f>
        <v>1</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A21,A23,A24,A25,A26,A27,A28,A30,A33,A37,A38,A39,A40,A41,A42,A43,A44,A45,A46,A47,A48,A49,A50,A51,A52,A55,A56,A58,A59,A62,A63,A64,A65,A66,A67</v>
      </c>
      <c r="Y5" s="395">
        <f>Y4-1</f>
        <v>10</v>
      </c>
    </row>
    <row r="6" spans="1:27" ht="30" x14ac:dyDescent="0.25">
      <c r="B6" s="124" t="s">
        <v>5</v>
      </c>
      <c r="C6" s="40"/>
      <c r="D6" s="120" t="s">
        <v>28</v>
      </c>
      <c r="F6" s="121"/>
      <c r="H6" s="110" t="s">
        <v>82</v>
      </c>
      <c r="I6" s="111" t="s">
        <v>225</v>
      </c>
      <c r="L6" s="331" t="s">
        <v>392</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226</v>
      </c>
      <c r="L7" s="333" t="s">
        <v>290</v>
      </c>
      <c r="M7" s="363" t="s">
        <v>421</v>
      </c>
      <c r="N7" s="334"/>
      <c r="O7" s="334"/>
      <c r="P7" s="334"/>
      <c r="Q7" s="334"/>
      <c r="R7" s="334"/>
      <c r="S7" s="334"/>
      <c r="T7" s="368" t="s">
        <v>383</v>
      </c>
      <c r="U7" s="369" t="s">
        <v>384</v>
      </c>
      <c r="V7" s="338"/>
      <c r="W7" s="361"/>
      <c r="Y7" s="370">
        <v>1</v>
      </c>
    </row>
    <row r="8" spans="1:27" ht="30.75" thickBot="1" x14ac:dyDescent="0.3">
      <c r="B8" s="125" t="s">
        <v>51</v>
      </c>
      <c r="C8" s="40"/>
      <c r="D8" s="346"/>
      <c r="F8" s="121" t="s">
        <v>35</v>
      </c>
      <c r="H8" s="110" t="s">
        <v>84</v>
      </c>
      <c r="I8" s="111" t="s">
        <v>227</v>
      </c>
      <c r="L8" s="332" t="s">
        <v>377</v>
      </c>
      <c r="M8" s="370">
        <v>20</v>
      </c>
      <c r="N8" s="371">
        <v>1</v>
      </c>
      <c r="O8" s="371"/>
      <c r="P8" s="371"/>
      <c r="Q8" s="371"/>
      <c r="R8" s="371" t="s">
        <v>422</v>
      </c>
      <c r="S8" s="371"/>
      <c r="T8" s="372">
        <v>1</v>
      </c>
      <c r="U8" s="373">
        <v>1</v>
      </c>
      <c r="V8" s="339">
        <f>SUMPRODUCT(N$5:S$5,N8:S8)</f>
        <v>1</v>
      </c>
      <c r="W8" s="374" t="str">
        <f t="shared" ref="W8:W55" si="0">IF(V8=0,"A"&amp;$M8&amp;",","")</f>
        <v/>
      </c>
      <c r="Y8" s="370">
        <v>2</v>
      </c>
    </row>
    <row r="9" spans="1:27" ht="30" x14ac:dyDescent="0.25">
      <c r="F9" s="121" t="s">
        <v>492</v>
      </c>
      <c r="H9" s="110" t="s">
        <v>85</v>
      </c>
      <c r="I9" s="111" t="s">
        <v>228</v>
      </c>
      <c r="L9" s="375" t="s">
        <v>288</v>
      </c>
      <c r="M9" s="370">
        <v>21</v>
      </c>
      <c r="N9" s="376" t="s">
        <v>422</v>
      </c>
      <c r="O9" s="376"/>
      <c r="P9" s="376"/>
      <c r="Q9" s="376"/>
      <c r="R9" s="376" t="s">
        <v>422</v>
      </c>
      <c r="S9" s="376"/>
      <c r="T9" s="372">
        <v>1</v>
      </c>
      <c r="U9" s="373">
        <v>1</v>
      </c>
      <c r="V9" s="377">
        <f>IF('1.General'!$K$24=1,1,0)</f>
        <v>0</v>
      </c>
      <c r="W9" s="374" t="str">
        <f t="shared" si="0"/>
        <v>A21,</v>
      </c>
      <c r="Y9" s="370">
        <v>3</v>
      </c>
    </row>
    <row r="10" spans="1:27" ht="30" x14ac:dyDescent="0.25">
      <c r="F10" s="121" t="s">
        <v>36</v>
      </c>
      <c r="H10" s="110" t="s">
        <v>86</v>
      </c>
      <c r="I10" s="111" t="s">
        <v>229</v>
      </c>
      <c r="L10" s="332" t="s">
        <v>390</v>
      </c>
      <c r="M10" s="370">
        <v>22</v>
      </c>
      <c r="N10" s="371">
        <v>1</v>
      </c>
      <c r="O10" s="371"/>
      <c r="P10" s="371"/>
      <c r="Q10" s="371"/>
      <c r="R10" s="371" t="s">
        <v>422</v>
      </c>
      <c r="S10" s="371"/>
      <c r="T10" s="372">
        <v>1</v>
      </c>
      <c r="U10" s="373">
        <v>1</v>
      </c>
      <c r="V10" s="339">
        <f>SUMPRODUCT(N$5:S$5,N10:S10)</f>
        <v>1</v>
      </c>
      <c r="W10" s="374" t="str">
        <f t="shared" si="0"/>
        <v/>
      </c>
      <c r="Y10" s="370">
        <v>4</v>
      </c>
    </row>
    <row r="11" spans="1:27" ht="29.25" customHeight="1" x14ac:dyDescent="0.25">
      <c r="F11" s="121" t="s">
        <v>37</v>
      </c>
      <c r="H11" s="110" t="s">
        <v>89</v>
      </c>
      <c r="I11" s="111" t="s">
        <v>230</v>
      </c>
      <c r="L11" s="332" t="s">
        <v>289</v>
      </c>
      <c r="M11" s="370">
        <v>23</v>
      </c>
      <c r="N11" s="371" t="s">
        <v>422</v>
      </c>
      <c r="O11" s="371">
        <v>1</v>
      </c>
      <c r="P11" s="371"/>
      <c r="Q11" s="371"/>
      <c r="R11" s="371">
        <v>1</v>
      </c>
      <c r="S11" s="371">
        <v>1</v>
      </c>
      <c r="T11" s="372">
        <v>1</v>
      </c>
      <c r="U11" s="373">
        <v>1</v>
      </c>
      <c r="V11" s="339">
        <f>SUMPRODUCT(N$5:S$5,N11:S11)</f>
        <v>0</v>
      </c>
      <c r="W11" s="374" t="str">
        <f t="shared" si="0"/>
        <v>A23,</v>
      </c>
      <c r="Y11" s="370">
        <v>5</v>
      </c>
    </row>
    <row r="12" spans="1:27" ht="30" x14ac:dyDescent="0.25">
      <c r="F12" s="121" t="s">
        <v>38</v>
      </c>
      <c r="H12" s="110" t="s">
        <v>87</v>
      </c>
      <c r="I12" s="111" t="s">
        <v>231</v>
      </c>
      <c r="L12" s="332" t="s">
        <v>297</v>
      </c>
      <c r="M12" s="370">
        <v>24</v>
      </c>
      <c r="N12" s="371" t="s">
        <v>422</v>
      </c>
      <c r="O12" s="371">
        <v>1</v>
      </c>
      <c r="P12" s="371"/>
      <c r="Q12" s="371"/>
      <c r="R12" s="371"/>
      <c r="S12" s="371">
        <v>1</v>
      </c>
      <c r="T12" s="372">
        <v>1</v>
      </c>
      <c r="U12" s="373">
        <v>1</v>
      </c>
      <c r="V12" s="339">
        <f t="shared" ref="V12:V17" si="1">SUMPRODUCT(N$5:S$5,N12:S12)</f>
        <v>0</v>
      </c>
      <c r="W12" s="374" t="str">
        <f t="shared" si="0"/>
        <v>A24,</v>
      </c>
      <c r="Y12" s="370">
        <v>6</v>
      </c>
    </row>
    <row r="13" spans="1:27" ht="30" x14ac:dyDescent="0.25">
      <c r="F13" s="121" t="s">
        <v>39</v>
      </c>
      <c r="H13" s="110" t="s">
        <v>88</v>
      </c>
      <c r="I13" s="111" t="s">
        <v>232</v>
      </c>
      <c r="L13" s="332" t="s">
        <v>357</v>
      </c>
      <c r="M13" s="370">
        <v>25</v>
      </c>
      <c r="N13" s="371" t="s">
        <v>422</v>
      </c>
      <c r="O13" s="371">
        <v>1</v>
      </c>
      <c r="P13" s="371"/>
      <c r="Q13" s="371"/>
      <c r="R13" s="371" t="s">
        <v>422</v>
      </c>
      <c r="S13" s="371">
        <v>1</v>
      </c>
      <c r="T13" s="372">
        <v>1</v>
      </c>
      <c r="U13" s="373">
        <v>1</v>
      </c>
      <c r="V13" s="339">
        <f t="shared" si="1"/>
        <v>0</v>
      </c>
      <c r="W13" s="374" t="str">
        <f t="shared" si="0"/>
        <v>A25,</v>
      </c>
      <c r="Y13" s="370">
        <v>7</v>
      </c>
    </row>
    <row r="14" spans="1:27" ht="30" x14ac:dyDescent="0.25">
      <c r="F14" s="121" t="s">
        <v>40</v>
      </c>
      <c r="H14" s="110" t="s">
        <v>110</v>
      </c>
      <c r="I14" s="111" t="s">
        <v>233</v>
      </c>
      <c r="L14" s="332" t="s">
        <v>298</v>
      </c>
      <c r="M14" s="370">
        <v>26</v>
      </c>
      <c r="N14" s="371" t="s">
        <v>422</v>
      </c>
      <c r="O14" s="371">
        <v>1</v>
      </c>
      <c r="P14" s="371"/>
      <c r="Q14" s="371"/>
      <c r="R14" s="371" t="s">
        <v>422</v>
      </c>
      <c r="S14" s="371">
        <v>1</v>
      </c>
      <c r="T14" s="372">
        <v>1</v>
      </c>
      <c r="U14" s="373">
        <v>1</v>
      </c>
      <c r="V14" s="339">
        <f t="shared" si="1"/>
        <v>0</v>
      </c>
      <c r="W14" s="374" t="str">
        <f t="shared" si="0"/>
        <v>A26,</v>
      </c>
      <c r="Y14" s="370">
        <v>8</v>
      </c>
    </row>
    <row r="15" spans="1:27" ht="30" x14ac:dyDescent="0.25">
      <c r="F15" s="121" t="s">
        <v>41</v>
      </c>
      <c r="H15" s="110" t="s">
        <v>90</v>
      </c>
      <c r="I15" s="111" t="s">
        <v>234</v>
      </c>
      <c r="L15" s="332" t="s">
        <v>299</v>
      </c>
      <c r="M15" s="370">
        <v>27</v>
      </c>
      <c r="N15" s="371" t="s">
        <v>422</v>
      </c>
      <c r="O15" s="371">
        <v>1</v>
      </c>
      <c r="P15" s="371"/>
      <c r="Q15" s="371"/>
      <c r="R15" s="371">
        <v>1</v>
      </c>
      <c r="S15" s="371">
        <v>1</v>
      </c>
      <c r="T15" s="372">
        <v>1</v>
      </c>
      <c r="U15" s="373">
        <v>1</v>
      </c>
      <c r="V15" s="339">
        <f t="shared" si="1"/>
        <v>0</v>
      </c>
      <c r="W15" s="374" t="str">
        <f t="shared" si="0"/>
        <v>A27,</v>
      </c>
      <c r="Y15" s="370">
        <v>9</v>
      </c>
    </row>
    <row r="16" spans="1:27" ht="30.75" thickBot="1" x14ac:dyDescent="0.3">
      <c r="F16" s="121" t="s">
        <v>42</v>
      </c>
      <c r="H16" s="110" t="s">
        <v>91</v>
      </c>
      <c r="I16" s="111" t="s">
        <v>235</v>
      </c>
      <c r="L16" s="332" t="s">
        <v>300</v>
      </c>
      <c r="M16" s="370">
        <v>28</v>
      </c>
      <c r="N16" s="371" t="s">
        <v>422</v>
      </c>
      <c r="O16" s="371"/>
      <c r="P16" s="371">
        <v>1</v>
      </c>
      <c r="Q16" s="371"/>
      <c r="R16" s="371">
        <v>1</v>
      </c>
      <c r="S16" s="371"/>
      <c r="T16" s="372">
        <v>1</v>
      </c>
      <c r="U16" s="373">
        <v>1</v>
      </c>
      <c r="V16" s="339">
        <f t="shared" si="1"/>
        <v>0</v>
      </c>
      <c r="W16" s="374" t="str">
        <f t="shared" si="0"/>
        <v>A28,</v>
      </c>
      <c r="Y16" s="378">
        <v>10</v>
      </c>
    </row>
    <row r="17" spans="6:23" ht="30" x14ac:dyDescent="0.25">
      <c r="F17" s="121" t="s">
        <v>343</v>
      </c>
      <c r="H17" s="110" t="s">
        <v>92</v>
      </c>
      <c r="I17" s="111" t="s">
        <v>236</v>
      </c>
      <c r="L17" s="332" t="s">
        <v>325</v>
      </c>
      <c r="M17" s="370">
        <v>29</v>
      </c>
      <c r="N17" s="371" t="s">
        <v>422</v>
      </c>
      <c r="O17" s="371"/>
      <c r="P17" s="371"/>
      <c r="Q17" s="371">
        <v>1</v>
      </c>
      <c r="R17" s="371" t="s">
        <v>422</v>
      </c>
      <c r="S17" s="371"/>
      <c r="T17" s="372">
        <v>1</v>
      </c>
      <c r="U17" s="373">
        <v>1</v>
      </c>
      <c r="V17" s="339">
        <f t="shared" si="1"/>
        <v>1</v>
      </c>
      <c r="W17" s="374" t="str">
        <f t="shared" si="0"/>
        <v/>
      </c>
    </row>
    <row r="18" spans="6:23" ht="30" x14ac:dyDescent="0.25">
      <c r="F18" s="121" t="s">
        <v>490</v>
      </c>
      <c r="H18" s="110" t="s">
        <v>93</v>
      </c>
      <c r="I18" s="111" t="s">
        <v>237</v>
      </c>
      <c r="L18" s="375" t="s">
        <v>76</v>
      </c>
      <c r="M18" s="370">
        <v>30</v>
      </c>
      <c r="N18" s="371" t="s">
        <v>422</v>
      </c>
      <c r="O18" s="371"/>
      <c r="P18" s="371"/>
      <c r="Q18" s="371"/>
      <c r="R18" s="371" t="s">
        <v>422</v>
      </c>
      <c r="S18" s="371"/>
      <c r="T18" s="372">
        <v>1</v>
      </c>
      <c r="U18" s="373">
        <v>1</v>
      </c>
      <c r="V18" s="377">
        <f>IF('1.General'!$K$14=1,1,0)</f>
        <v>0</v>
      </c>
      <c r="W18" s="374" t="str">
        <f t="shared" si="0"/>
        <v>A30,</v>
      </c>
    </row>
    <row r="19" spans="6:23" ht="30" x14ac:dyDescent="0.25">
      <c r="F19" s="121" t="s">
        <v>491</v>
      </c>
      <c r="H19" s="110" t="s">
        <v>94</v>
      </c>
      <c r="I19" s="111" t="s">
        <v>238</v>
      </c>
      <c r="L19" s="375" t="s">
        <v>456</v>
      </c>
      <c r="M19" s="370">
        <v>31</v>
      </c>
      <c r="N19" s="371"/>
      <c r="O19" s="371"/>
      <c r="P19" s="371"/>
      <c r="Q19" s="371"/>
      <c r="R19" s="371"/>
      <c r="S19" s="371"/>
      <c r="T19" s="372">
        <v>1</v>
      </c>
      <c r="U19" s="373">
        <v>1</v>
      </c>
      <c r="V19" s="377">
        <f>IF(Y5&gt;0,1,0)</f>
        <v>1</v>
      </c>
      <c r="W19" s="374" t="str">
        <f t="shared" si="0"/>
        <v/>
      </c>
    </row>
    <row r="20" spans="6:23" ht="30" x14ac:dyDescent="0.25">
      <c r="F20" s="121" t="s">
        <v>43</v>
      </c>
      <c r="H20" s="110" t="s">
        <v>95</v>
      </c>
      <c r="I20" s="111" t="s">
        <v>239</v>
      </c>
      <c r="L20" s="489" t="s">
        <v>493</v>
      </c>
      <c r="M20" s="370">
        <v>32</v>
      </c>
      <c r="N20" s="371"/>
      <c r="O20" s="490"/>
      <c r="P20" s="490"/>
      <c r="Q20" s="490"/>
      <c r="R20" s="490"/>
      <c r="S20" s="490"/>
      <c r="T20" s="372">
        <v>1</v>
      </c>
      <c r="U20" s="491"/>
      <c r="V20" s="377">
        <f>IF(Y5&gt;0,1,0)</f>
        <v>1</v>
      </c>
      <c r="W20" s="374" t="str">
        <f t="shared" si="0"/>
        <v/>
      </c>
    </row>
    <row r="21" spans="6:23" ht="30" x14ac:dyDescent="0.25">
      <c r="F21" s="121" t="s">
        <v>44</v>
      </c>
      <c r="H21" s="110" t="s">
        <v>96</v>
      </c>
      <c r="I21" s="111" t="s">
        <v>348</v>
      </c>
      <c r="L21" s="489" t="s">
        <v>494</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349</v>
      </c>
      <c r="L22" s="489" t="s">
        <v>457</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350</v>
      </c>
      <c r="L23" s="179" t="s">
        <v>291</v>
      </c>
      <c r="M23" s="370">
        <v>35</v>
      </c>
      <c r="N23" s="334" t="s">
        <v>422</v>
      </c>
      <c r="O23" s="334"/>
      <c r="P23" s="334"/>
      <c r="Q23" s="334"/>
      <c r="R23" s="334" t="s">
        <v>422</v>
      </c>
      <c r="S23" s="334"/>
      <c r="T23" s="372"/>
      <c r="U23" s="373"/>
      <c r="V23" s="338"/>
      <c r="W23" s="374" t="str">
        <f t="shared" si="0"/>
        <v>A35,</v>
      </c>
    </row>
    <row r="24" spans="6:23" ht="45" x14ac:dyDescent="0.25">
      <c r="F24" s="121" t="s">
        <v>47</v>
      </c>
      <c r="H24" s="110" t="s">
        <v>99</v>
      </c>
      <c r="I24" s="111" t="s">
        <v>351</v>
      </c>
      <c r="L24" s="332" t="s">
        <v>283</v>
      </c>
      <c r="M24" s="370">
        <v>36</v>
      </c>
      <c r="N24" s="371" t="s">
        <v>422</v>
      </c>
      <c r="O24" s="371">
        <v>1</v>
      </c>
      <c r="P24" s="371">
        <v>1</v>
      </c>
      <c r="Q24" s="371">
        <v>1</v>
      </c>
      <c r="R24" s="371" t="s">
        <v>422</v>
      </c>
      <c r="S24" s="371">
        <v>1</v>
      </c>
      <c r="T24" s="372">
        <v>1</v>
      </c>
      <c r="U24" s="373"/>
      <c r="V24" s="339">
        <f>SUMPRODUCT(N$5:S$5,N24:S24)</f>
        <v>1</v>
      </c>
      <c r="W24" s="374" t="str">
        <f t="shared" si="0"/>
        <v/>
      </c>
    </row>
    <row r="25" spans="6:23" ht="30" x14ac:dyDescent="0.25">
      <c r="F25" s="121" t="s">
        <v>48</v>
      </c>
      <c r="H25" s="110" t="s">
        <v>100</v>
      </c>
      <c r="I25" s="111" t="s">
        <v>352</v>
      </c>
      <c r="L25" s="332" t="s">
        <v>284</v>
      </c>
      <c r="M25" s="370">
        <v>37</v>
      </c>
      <c r="N25" s="371" t="s">
        <v>422</v>
      </c>
      <c r="O25" s="371">
        <v>1</v>
      </c>
      <c r="P25" s="371"/>
      <c r="Q25" s="371"/>
      <c r="R25" s="371" t="s">
        <v>422</v>
      </c>
      <c r="S25" s="371">
        <v>1</v>
      </c>
      <c r="T25" s="372">
        <v>1</v>
      </c>
      <c r="U25" s="373">
        <v>1</v>
      </c>
      <c r="V25" s="339">
        <f>SUMPRODUCT(N$5:S$5,N25:S25)</f>
        <v>0</v>
      </c>
      <c r="W25" s="374" t="str">
        <f t="shared" si="0"/>
        <v>A37,</v>
      </c>
    </row>
    <row r="26" spans="6:23" ht="30" x14ac:dyDescent="0.25">
      <c r="F26" s="121" t="s">
        <v>49</v>
      </c>
      <c r="H26" s="110" t="s">
        <v>101</v>
      </c>
      <c r="I26" s="111" t="s">
        <v>353</v>
      </c>
      <c r="L26" s="332" t="s">
        <v>285</v>
      </c>
      <c r="M26" s="370">
        <v>38</v>
      </c>
      <c r="N26" s="371" t="s">
        <v>422</v>
      </c>
      <c r="O26" s="371">
        <v>1</v>
      </c>
      <c r="P26" s="371"/>
      <c r="Q26" s="371"/>
      <c r="R26" s="371" t="s">
        <v>422</v>
      </c>
      <c r="S26" s="371">
        <v>1</v>
      </c>
      <c r="T26" s="372">
        <v>1</v>
      </c>
      <c r="U26" s="373">
        <v>1</v>
      </c>
      <c r="V26" s="339">
        <f>SUMPRODUCT(N$5:S$5,N26:S26)</f>
        <v>0</v>
      </c>
      <c r="W26" s="374" t="str">
        <f t="shared" si="0"/>
        <v>A38,</v>
      </c>
    </row>
    <row r="27" spans="6:23" ht="30.75" customHeight="1" x14ac:dyDescent="0.25">
      <c r="F27" s="121" t="s">
        <v>496</v>
      </c>
      <c r="H27" s="110" t="s">
        <v>102</v>
      </c>
      <c r="I27" s="111" t="s">
        <v>240</v>
      </c>
      <c r="L27" s="332" t="s">
        <v>286</v>
      </c>
      <c r="M27" s="370">
        <v>39</v>
      </c>
      <c r="N27" s="371" t="s">
        <v>422</v>
      </c>
      <c r="O27" s="371">
        <v>1</v>
      </c>
      <c r="P27" s="371"/>
      <c r="Q27" s="371"/>
      <c r="R27" s="371" t="s">
        <v>422</v>
      </c>
      <c r="S27" s="371">
        <v>1</v>
      </c>
      <c r="T27" s="372">
        <v>1</v>
      </c>
      <c r="U27" s="373">
        <v>1</v>
      </c>
      <c r="V27" s="339">
        <f t="shared" ref="V27:V35" si="2">SUMPRODUCT(N$5:S$5,N27:S27)</f>
        <v>0</v>
      </c>
      <c r="W27" s="374" t="str">
        <f t="shared" si="0"/>
        <v>A39,</v>
      </c>
    </row>
    <row r="28" spans="6:23" ht="30.75" customHeight="1" thickBot="1" x14ac:dyDescent="0.3">
      <c r="F28" s="126" t="s">
        <v>50</v>
      </c>
      <c r="H28" s="112" t="s">
        <v>51</v>
      </c>
      <c r="I28" s="113" t="str">
        <f>""</f>
        <v/>
      </c>
      <c r="L28" s="332" t="s">
        <v>385</v>
      </c>
      <c r="M28" s="370">
        <v>40</v>
      </c>
      <c r="N28" s="371" t="s">
        <v>422</v>
      </c>
      <c r="O28" s="371">
        <v>1</v>
      </c>
      <c r="P28" s="371"/>
      <c r="Q28" s="371"/>
      <c r="R28" s="371" t="s">
        <v>422</v>
      </c>
      <c r="S28" s="371">
        <v>1</v>
      </c>
      <c r="T28" s="372">
        <v>1</v>
      </c>
      <c r="U28" s="373">
        <v>1</v>
      </c>
      <c r="V28" s="339">
        <f t="shared" si="2"/>
        <v>0</v>
      </c>
      <c r="W28" s="374" t="str">
        <f t="shared" si="0"/>
        <v>A40,</v>
      </c>
    </row>
    <row r="29" spans="6:23" ht="30.75" customHeight="1" x14ac:dyDescent="0.25">
      <c r="I29" s="13"/>
      <c r="L29" s="332" t="s">
        <v>287</v>
      </c>
      <c r="M29" s="370">
        <v>41</v>
      </c>
      <c r="N29" s="371" t="s">
        <v>422</v>
      </c>
      <c r="O29" s="371">
        <v>1</v>
      </c>
      <c r="P29" s="371"/>
      <c r="Q29" s="371"/>
      <c r="R29" s="371" t="s">
        <v>422</v>
      </c>
      <c r="S29" s="371">
        <v>1</v>
      </c>
      <c r="T29" s="372">
        <v>1</v>
      </c>
      <c r="U29" s="373">
        <v>1</v>
      </c>
      <c r="V29" s="339">
        <f t="shared" si="2"/>
        <v>0</v>
      </c>
      <c r="W29" s="374" t="str">
        <f t="shared" si="0"/>
        <v>A41,</v>
      </c>
    </row>
    <row r="30" spans="6:23" ht="30.75" customHeight="1" x14ac:dyDescent="0.25">
      <c r="I30" s="13"/>
      <c r="L30" s="332" t="s">
        <v>386</v>
      </c>
      <c r="M30" s="370">
        <v>42</v>
      </c>
      <c r="N30" s="371" t="s">
        <v>422</v>
      </c>
      <c r="O30" s="371">
        <v>1</v>
      </c>
      <c r="P30" s="371"/>
      <c r="Q30" s="371"/>
      <c r="R30" s="371" t="s">
        <v>422</v>
      </c>
      <c r="S30" s="371">
        <v>1</v>
      </c>
      <c r="T30" s="372">
        <v>1</v>
      </c>
      <c r="U30" s="373">
        <v>1</v>
      </c>
      <c r="V30" s="339">
        <f t="shared" si="2"/>
        <v>0</v>
      </c>
      <c r="W30" s="374" t="str">
        <f t="shared" si="0"/>
        <v>A42,</v>
      </c>
    </row>
    <row r="31" spans="6:23" ht="30.75" customHeight="1" x14ac:dyDescent="0.25">
      <c r="I31" s="13"/>
      <c r="L31" s="332" t="s">
        <v>387</v>
      </c>
      <c r="M31" s="370">
        <v>43</v>
      </c>
      <c r="N31" s="371" t="s">
        <v>422</v>
      </c>
      <c r="O31" s="371">
        <v>1</v>
      </c>
      <c r="P31" s="371"/>
      <c r="Q31" s="371"/>
      <c r="R31" s="371" t="s">
        <v>422</v>
      </c>
      <c r="S31" s="371">
        <v>1</v>
      </c>
      <c r="T31" s="372">
        <v>1</v>
      </c>
      <c r="U31" s="373">
        <v>1</v>
      </c>
      <c r="V31" s="339">
        <f t="shared" si="2"/>
        <v>0</v>
      </c>
      <c r="W31" s="374" t="str">
        <f t="shared" si="0"/>
        <v>A43,</v>
      </c>
    </row>
    <row r="32" spans="6:23" ht="30.75" customHeight="1" x14ac:dyDescent="0.25">
      <c r="I32" s="13"/>
      <c r="L32" s="332" t="s">
        <v>293</v>
      </c>
      <c r="M32" s="370">
        <v>44</v>
      </c>
      <c r="N32" s="371" t="s">
        <v>422</v>
      </c>
      <c r="O32" s="371">
        <v>1</v>
      </c>
      <c r="P32" s="371"/>
      <c r="Q32" s="371"/>
      <c r="R32" s="371" t="s">
        <v>422</v>
      </c>
      <c r="S32" s="371">
        <v>1</v>
      </c>
      <c r="T32" s="372">
        <v>1</v>
      </c>
      <c r="U32" s="373">
        <v>1</v>
      </c>
      <c r="V32" s="339">
        <f t="shared" si="2"/>
        <v>0</v>
      </c>
      <c r="W32" s="374" t="str">
        <f t="shared" si="0"/>
        <v>A44,</v>
      </c>
    </row>
    <row r="33" spans="9:49" ht="30.75" customHeight="1" x14ac:dyDescent="0.25">
      <c r="I33" s="13"/>
      <c r="L33" s="332" t="s">
        <v>294</v>
      </c>
      <c r="M33" s="370">
        <v>45</v>
      </c>
      <c r="N33" s="371" t="s">
        <v>422</v>
      </c>
      <c r="O33" s="371">
        <v>1</v>
      </c>
      <c r="P33" s="371"/>
      <c r="Q33" s="371"/>
      <c r="R33" s="371" t="s">
        <v>422</v>
      </c>
      <c r="S33" s="371">
        <v>1</v>
      </c>
      <c r="T33" s="372">
        <v>1</v>
      </c>
      <c r="U33" s="373">
        <v>1</v>
      </c>
      <c r="V33" s="339">
        <f t="shared" si="2"/>
        <v>0</v>
      </c>
      <c r="W33" s="374" t="str">
        <f t="shared" si="0"/>
        <v>A45,</v>
      </c>
    </row>
    <row r="34" spans="9:49" ht="30.75" customHeight="1" x14ac:dyDescent="0.25">
      <c r="I34" s="13"/>
      <c r="L34" s="332" t="s">
        <v>295</v>
      </c>
      <c r="M34" s="370">
        <v>46</v>
      </c>
      <c r="N34" s="371" t="s">
        <v>422</v>
      </c>
      <c r="O34" s="371">
        <v>1</v>
      </c>
      <c r="P34" s="371"/>
      <c r="Q34" s="371"/>
      <c r="R34" s="371" t="s">
        <v>422</v>
      </c>
      <c r="S34" s="371">
        <v>1</v>
      </c>
      <c r="T34" s="372">
        <v>1</v>
      </c>
      <c r="U34" s="373">
        <v>1</v>
      </c>
      <c r="V34" s="339">
        <f t="shared" si="2"/>
        <v>0</v>
      </c>
      <c r="W34" s="374" t="str">
        <f t="shared" si="0"/>
        <v>A46,</v>
      </c>
    </row>
    <row r="35" spans="9:49" ht="30.75" customHeight="1" x14ac:dyDescent="0.25">
      <c r="I35" s="13"/>
      <c r="L35" s="332" t="s">
        <v>296</v>
      </c>
      <c r="M35" s="370">
        <v>47</v>
      </c>
      <c r="N35" s="371" t="s">
        <v>422</v>
      </c>
      <c r="O35" s="371">
        <v>1</v>
      </c>
      <c r="P35" s="371"/>
      <c r="Q35" s="371"/>
      <c r="R35" s="371">
        <v>1</v>
      </c>
      <c r="S35" s="371">
        <v>1</v>
      </c>
      <c r="T35" s="372">
        <v>1</v>
      </c>
      <c r="U35" s="373">
        <v>1</v>
      </c>
      <c r="V35" s="339">
        <f t="shared" si="2"/>
        <v>0</v>
      </c>
      <c r="W35" s="374" t="str">
        <f t="shared" si="0"/>
        <v>A47,</v>
      </c>
    </row>
    <row r="36" spans="9:49" ht="30.75" customHeight="1" x14ac:dyDescent="0.25">
      <c r="I36" s="13"/>
      <c r="L36" s="332" t="s">
        <v>328</v>
      </c>
      <c r="M36" s="370">
        <v>48</v>
      </c>
      <c r="N36" s="371" t="s">
        <v>422</v>
      </c>
      <c r="O36" s="371"/>
      <c r="P36" s="371"/>
      <c r="Q36" s="371"/>
      <c r="R36" s="371" t="s">
        <v>422</v>
      </c>
      <c r="S36" s="371"/>
      <c r="T36" s="372">
        <v>1</v>
      </c>
      <c r="U36" s="373"/>
      <c r="V36" s="377">
        <f>IF('1.General'!$K$14=1,1,0)</f>
        <v>0</v>
      </c>
      <c r="W36" s="374" t="str">
        <f t="shared" si="0"/>
        <v>A48,</v>
      </c>
    </row>
    <row r="37" spans="9:49" ht="30.75" customHeight="1" x14ac:dyDescent="0.25">
      <c r="I37" s="13"/>
      <c r="L37" s="332" t="s">
        <v>320</v>
      </c>
      <c r="M37" s="370">
        <v>49</v>
      </c>
      <c r="N37" s="371" t="s">
        <v>422</v>
      </c>
      <c r="O37" s="371">
        <v>1</v>
      </c>
      <c r="P37" s="371"/>
      <c r="Q37" s="371"/>
      <c r="R37" s="371" t="s">
        <v>422</v>
      </c>
      <c r="S37" s="371">
        <v>1</v>
      </c>
      <c r="T37" s="372">
        <v>1</v>
      </c>
      <c r="U37" s="373">
        <v>1</v>
      </c>
      <c r="V37" s="339">
        <f>SUMPRODUCT(N$5:S$5,N37:S37)</f>
        <v>0</v>
      </c>
      <c r="W37" s="374" t="str">
        <f t="shared" si="0"/>
        <v>A49,</v>
      </c>
    </row>
    <row r="38" spans="9:49" ht="30.75" customHeight="1" x14ac:dyDescent="0.25">
      <c r="I38" s="13"/>
      <c r="L38" s="332" t="s">
        <v>321</v>
      </c>
      <c r="M38" s="370">
        <v>50</v>
      </c>
      <c r="N38" s="371" t="s">
        <v>422</v>
      </c>
      <c r="O38" s="371">
        <v>1</v>
      </c>
      <c r="P38" s="371"/>
      <c r="Q38" s="371"/>
      <c r="R38" s="371" t="s">
        <v>422</v>
      </c>
      <c r="S38" s="371">
        <v>1</v>
      </c>
      <c r="T38" s="372">
        <v>1</v>
      </c>
      <c r="U38" s="373">
        <v>1</v>
      </c>
      <c r="V38" s="339">
        <f t="shared" ref="V38:V39" si="3">SUMPRODUCT(N$5:S$5,N38:S38)</f>
        <v>0</v>
      </c>
      <c r="W38" s="374" t="str">
        <f t="shared" si="0"/>
        <v>A50,</v>
      </c>
    </row>
    <row r="39" spans="9:49" ht="30.75" customHeight="1" x14ac:dyDescent="0.25">
      <c r="I39" s="13"/>
      <c r="L39" s="332" t="s">
        <v>322</v>
      </c>
      <c r="M39" s="370">
        <v>51</v>
      </c>
      <c r="N39" s="371" t="s">
        <v>422</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323</v>
      </c>
      <c r="M40" s="370">
        <v>52</v>
      </c>
      <c r="N40" s="376" t="s">
        <v>422</v>
      </c>
      <c r="O40" s="376"/>
      <c r="P40" s="376"/>
      <c r="Q40" s="376"/>
      <c r="R40" s="376" t="s">
        <v>422</v>
      </c>
      <c r="S40" s="376"/>
      <c r="T40" s="372">
        <v>1</v>
      </c>
      <c r="U40" s="373"/>
      <c r="V40" s="377">
        <f>IF(AND($D$5=2,$F$5=4,'1.General'!$K$40=2),1,0)</f>
        <v>0</v>
      </c>
      <c r="W40" s="374" t="str">
        <f t="shared" si="0"/>
        <v>A52,</v>
      </c>
      <c r="X40"/>
      <c r="Y40"/>
    </row>
    <row r="41" spans="9:49" ht="30" customHeight="1" x14ac:dyDescent="0.25">
      <c r="I41" s="13"/>
      <c r="L41" s="332" t="s">
        <v>423</v>
      </c>
      <c r="M41" s="370">
        <v>53</v>
      </c>
      <c r="N41" s="371" t="s">
        <v>422</v>
      </c>
      <c r="O41" s="371">
        <v>1</v>
      </c>
      <c r="P41" s="371"/>
      <c r="Q41" s="371">
        <v>1</v>
      </c>
      <c r="R41" s="371" t="s">
        <v>422</v>
      </c>
      <c r="S41" s="371">
        <v>1</v>
      </c>
      <c r="T41" s="372">
        <v>1</v>
      </c>
      <c r="U41" s="373"/>
      <c r="V41" s="339">
        <f>SUMPRODUCT(N$5:S$5,N41:S41)</f>
        <v>1</v>
      </c>
      <c r="W41" s="374" t="str">
        <f t="shared" si="0"/>
        <v/>
      </c>
    </row>
    <row r="42" spans="9:49" ht="30" customHeight="1" x14ac:dyDescent="0.25">
      <c r="I42" s="13"/>
      <c r="L42" s="332" t="s">
        <v>324</v>
      </c>
      <c r="M42" s="370">
        <v>54</v>
      </c>
      <c r="N42" s="371">
        <v>1</v>
      </c>
      <c r="O42" s="371"/>
      <c r="P42" s="371"/>
      <c r="Q42" s="371"/>
      <c r="R42" s="371" t="s">
        <v>422</v>
      </c>
      <c r="S42" s="371"/>
      <c r="T42" s="372">
        <v>1</v>
      </c>
      <c r="U42" s="373">
        <v>1</v>
      </c>
      <c r="V42" s="339">
        <f>SUMPRODUCT(N$5:S$5,N42:S42)</f>
        <v>1</v>
      </c>
      <c r="W42" s="374" t="str">
        <f t="shared" si="0"/>
        <v/>
      </c>
    </row>
    <row r="43" spans="9:49" ht="30" customHeight="1" x14ac:dyDescent="0.25">
      <c r="I43" s="13"/>
      <c r="L43" s="332" t="s">
        <v>333</v>
      </c>
      <c r="M43" s="370">
        <v>55</v>
      </c>
      <c r="N43" s="371"/>
      <c r="O43" s="371">
        <v>1</v>
      </c>
      <c r="P43" s="371"/>
      <c r="Q43" s="371"/>
      <c r="R43" s="371" t="s">
        <v>422</v>
      </c>
      <c r="S43" s="371">
        <v>1</v>
      </c>
      <c r="T43" s="372">
        <v>1</v>
      </c>
      <c r="U43" s="373">
        <v>1</v>
      </c>
      <c r="V43" s="339">
        <f>SUMPRODUCT(N$5:S$5,N43:S43)</f>
        <v>0</v>
      </c>
      <c r="W43" s="374" t="str">
        <f t="shared" si="0"/>
        <v>A55,</v>
      </c>
    </row>
    <row r="44" spans="9:49" ht="30" customHeight="1" x14ac:dyDescent="0.25">
      <c r="I44" s="13"/>
      <c r="L44" s="375" t="s">
        <v>332</v>
      </c>
      <c r="M44" s="370">
        <v>56</v>
      </c>
      <c r="N44" s="376" t="s">
        <v>422</v>
      </c>
      <c r="O44" s="376"/>
      <c r="P44" s="376"/>
      <c r="Q44" s="376"/>
      <c r="R44" s="376" t="s">
        <v>422</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422</v>
      </c>
      <c r="S45" s="371"/>
      <c r="T45" s="372">
        <v>1</v>
      </c>
      <c r="U45" s="373"/>
      <c r="V45" s="339">
        <f>SUMPRODUCT(N$5:S$5,N45:S45)</f>
        <v>1</v>
      </c>
      <c r="W45" s="374" t="str">
        <f t="shared" si="0"/>
        <v/>
      </c>
    </row>
    <row r="46" spans="9:49" ht="30" customHeight="1" x14ac:dyDescent="0.25">
      <c r="I46" s="13"/>
      <c r="L46" s="179" t="s">
        <v>388</v>
      </c>
      <c r="M46" s="370">
        <v>58</v>
      </c>
      <c r="N46" s="371" t="s">
        <v>422</v>
      </c>
      <c r="O46" s="371">
        <v>1</v>
      </c>
      <c r="P46" s="371"/>
      <c r="Q46" s="371"/>
      <c r="R46" s="371">
        <v>1</v>
      </c>
      <c r="S46" s="371">
        <v>1</v>
      </c>
      <c r="T46" s="372">
        <v>1</v>
      </c>
      <c r="U46" s="373">
        <v>1</v>
      </c>
      <c r="V46" s="339">
        <f t="shared" ref="V46:V54" si="4">SUMPRODUCT(N$5:S$5,N46:S46)</f>
        <v>0</v>
      </c>
      <c r="W46" s="374" t="str">
        <f t="shared" si="0"/>
        <v>A58,</v>
      </c>
    </row>
    <row r="47" spans="9:49" ht="30" customHeight="1" x14ac:dyDescent="0.25">
      <c r="I47" s="13"/>
      <c r="L47" s="179" t="s">
        <v>389</v>
      </c>
      <c r="M47" s="370">
        <v>59</v>
      </c>
      <c r="N47" s="371" t="s">
        <v>422</v>
      </c>
      <c r="O47" s="371">
        <v>1</v>
      </c>
      <c r="P47" s="371"/>
      <c r="Q47" s="371"/>
      <c r="R47" s="371" t="s">
        <v>422</v>
      </c>
      <c r="S47" s="371">
        <v>1</v>
      </c>
      <c r="T47" s="372">
        <v>1</v>
      </c>
      <c r="U47" s="373">
        <v>1</v>
      </c>
      <c r="V47" s="339">
        <f t="shared" si="4"/>
        <v>0</v>
      </c>
      <c r="W47" s="374" t="str">
        <f t="shared" si="0"/>
        <v>A59,</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70">
        <v>60</v>
      </c>
      <c r="N48" s="371" t="s">
        <v>422</v>
      </c>
      <c r="O48" s="371">
        <v>1</v>
      </c>
      <c r="P48" s="371"/>
      <c r="Q48" s="371">
        <v>1</v>
      </c>
      <c r="R48" s="371">
        <v>1</v>
      </c>
      <c r="S48" s="371">
        <v>1</v>
      </c>
      <c r="T48" s="372">
        <v>1</v>
      </c>
      <c r="U48" s="373"/>
      <c r="V48" s="339">
        <f t="shared" si="4"/>
        <v>1</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25">
      <c r="I50" s="13"/>
      <c r="L50" s="179" t="s">
        <v>301</v>
      </c>
      <c r="M50" s="370">
        <v>62</v>
      </c>
      <c r="N50" s="371" t="s">
        <v>422</v>
      </c>
      <c r="O50" s="371"/>
      <c r="P50" s="371">
        <v>1</v>
      </c>
      <c r="Q50" s="371"/>
      <c r="R50" s="371">
        <v>1</v>
      </c>
      <c r="S50" s="371"/>
      <c r="T50" s="372">
        <v>1</v>
      </c>
      <c r="U50" s="373"/>
      <c r="V50" s="339">
        <f t="shared" si="4"/>
        <v>0</v>
      </c>
      <c r="W50" s="374" t="str">
        <f t="shared" si="0"/>
        <v>A62,</v>
      </c>
    </row>
    <row r="51" spans="9:23" ht="30" customHeight="1" x14ac:dyDescent="0.25">
      <c r="I51" s="13"/>
      <c r="L51" s="179" t="s">
        <v>329</v>
      </c>
      <c r="M51" s="370">
        <v>63</v>
      </c>
      <c r="N51" s="371" t="s">
        <v>422</v>
      </c>
      <c r="O51" s="371">
        <v>1</v>
      </c>
      <c r="P51" s="371"/>
      <c r="Q51" s="371"/>
      <c r="R51" s="371">
        <v>1</v>
      </c>
      <c r="S51" s="371">
        <v>1</v>
      </c>
      <c r="T51" s="372">
        <v>1</v>
      </c>
      <c r="U51" s="373"/>
      <c r="V51" s="339">
        <f t="shared" si="4"/>
        <v>0</v>
      </c>
      <c r="W51" s="374" t="str">
        <f t="shared" si="0"/>
        <v>A63,</v>
      </c>
    </row>
    <row r="52" spans="9:23" ht="30" customHeight="1" x14ac:dyDescent="0.25">
      <c r="I52" s="13"/>
      <c r="L52" s="335" t="s">
        <v>391</v>
      </c>
      <c r="M52" s="370">
        <v>64</v>
      </c>
      <c r="N52" s="371"/>
      <c r="O52" s="371">
        <v>1</v>
      </c>
      <c r="P52" s="371">
        <v>1</v>
      </c>
      <c r="Q52" s="371"/>
      <c r="R52" s="371">
        <v>1</v>
      </c>
      <c r="S52" s="371">
        <v>1</v>
      </c>
      <c r="T52" s="372"/>
      <c r="U52" s="373"/>
      <c r="V52" s="339">
        <f t="shared" si="4"/>
        <v>0</v>
      </c>
      <c r="W52" s="374" t="str">
        <f t="shared" si="0"/>
        <v>A64,</v>
      </c>
    </row>
    <row r="53" spans="9:23" ht="30" customHeight="1" x14ac:dyDescent="0.25">
      <c r="I53" s="13"/>
      <c r="L53" s="335" t="s">
        <v>489</v>
      </c>
      <c r="M53" s="370">
        <v>65</v>
      </c>
      <c r="N53" s="371" t="s">
        <v>422</v>
      </c>
      <c r="O53" s="371"/>
      <c r="P53" s="371">
        <v>1</v>
      </c>
      <c r="Q53" s="371"/>
      <c r="R53" s="371">
        <v>1</v>
      </c>
      <c r="S53" s="371"/>
      <c r="T53" s="372"/>
      <c r="U53" s="373"/>
      <c r="V53" s="339">
        <f t="shared" si="4"/>
        <v>0</v>
      </c>
      <c r="W53" s="374" t="str">
        <f t="shared" si="0"/>
        <v>A65,</v>
      </c>
    </row>
    <row r="54" spans="9:23" ht="30" customHeight="1" x14ac:dyDescent="0.25">
      <c r="I54" s="13"/>
      <c r="L54" s="335" t="s">
        <v>397</v>
      </c>
      <c r="M54" s="370">
        <v>66</v>
      </c>
      <c r="N54" s="371" t="s">
        <v>422</v>
      </c>
      <c r="O54" s="371"/>
      <c r="P54" s="371"/>
      <c r="Q54" s="371"/>
      <c r="R54" s="371">
        <v>1</v>
      </c>
      <c r="S54" s="371"/>
      <c r="T54" s="372"/>
      <c r="U54" s="373"/>
      <c r="V54" s="339">
        <f t="shared" si="4"/>
        <v>0</v>
      </c>
      <c r="W54" s="374" t="str">
        <f t="shared" si="0"/>
        <v>A66,</v>
      </c>
    </row>
    <row r="55" spans="9:23" ht="30" customHeight="1" thickBot="1" x14ac:dyDescent="0.3">
      <c r="I55" s="13"/>
      <c r="L55" s="337" t="s">
        <v>382</v>
      </c>
      <c r="M55" s="378">
        <v>67</v>
      </c>
      <c r="N55" s="379" t="s">
        <v>422</v>
      </c>
      <c r="O55" s="379"/>
      <c r="P55" s="379"/>
      <c r="Q55" s="379"/>
      <c r="R55" s="379" t="s">
        <v>422</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9t+SHQ9NV87pOsdLQWHmpSo+5HTVh5y2EBAOR0OhLYywveQPc3esqnVmn2jm5a+s9hkgePe8Dyxa0DYmBhIs3g==" saltValue="myXXj95XeGVi26vw+8MFvg=="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5"/>
      <c r="B1" s="286" t="s">
        <v>306</v>
      </c>
    </row>
    <row r="2" spans="1:2" ht="26.25" customHeight="1" x14ac:dyDescent="0.25">
      <c r="A2" s="285"/>
      <c r="B2" s="287"/>
    </row>
    <row r="3" spans="1:2" ht="47.25" x14ac:dyDescent="0.25">
      <c r="A3" s="162"/>
      <c r="B3" s="163" t="s">
        <v>310</v>
      </c>
    </row>
    <row r="4" spans="1:2" ht="27" thickBot="1" x14ac:dyDescent="0.3">
      <c r="A4" s="161"/>
      <c r="B4" s="164" t="s">
        <v>58</v>
      </c>
    </row>
    <row r="5" spans="1:2" ht="15" customHeight="1" x14ac:dyDescent="0.25">
      <c r="A5" s="162"/>
      <c r="B5" s="165"/>
    </row>
    <row r="6" spans="1:2" ht="75" customHeight="1" x14ac:dyDescent="0.25">
      <c r="A6" s="9" t="s">
        <v>303</v>
      </c>
      <c r="B6" s="152" t="s">
        <v>307</v>
      </c>
    </row>
    <row r="7" spans="1:2" ht="75" customHeight="1" x14ac:dyDescent="0.25">
      <c r="A7" s="9" t="s">
        <v>304</v>
      </c>
      <c r="B7" s="152" t="s">
        <v>400</v>
      </c>
    </row>
    <row r="8" spans="1:2" ht="92.25" customHeight="1" x14ac:dyDescent="0.25">
      <c r="A8" s="9" t="s">
        <v>305</v>
      </c>
      <c r="B8" s="152" t="s">
        <v>347</v>
      </c>
    </row>
    <row r="9" spans="1:2" ht="68.25" customHeight="1" x14ac:dyDescent="0.25">
      <c r="A9" s="9" t="s">
        <v>308</v>
      </c>
      <c r="B9" s="152" t="s">
        <v>311</v>
      </c>
    </row>
    <row r="11" spans="1:2" x14ac:dyDescent="0.25">
      <c r="B11" s="488" t="str">
        <f>Edition_Date</f>
        <v>6/5/2023 Edition</v>
      </c>
    </row>
  </sheetData>
  <sheetProtection algorithmName="SHA-512" hashValue="PF9GrIKgpQ6hYFnjDuFTINxWvFoKEvzh5FAdlNSJqu4AEvWVIL7KdSQRps0qHJ+jtgxROJaAoZVjvf3xbiTI+A==" saltValue="g4U81Xk7Y4IXRDPWXhU4nA=="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E8" sqref="E8"/>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General Insurance Company</v>
      </c>
      <c r="L1" s="303" t="s">
        <v>302</v>
      </c>
    </row>
    <row r="2" spans="1:18" x14ac:dyDescent="0.25">
      <c r="A2" s="1" t="s">
        <v>67</v>
      </c>
      <c r="D2" s="1" t="s">
        <v>69</v>
      </c>
      <c r="I2" s="28" t="str">
        <f>General_Line</f>
        <v>Homeowners</v>
      </c>
      <c r="L2" s="304" t="s">
        <v>107</v>
      </c>
    </row>
    <row r="3" spans="1:18" ht="18" customHeight="1" x14ac:dyDescent="0.25">
      <c r="A3" s="1"/>
      <c r="B3" s="145"/>
      <c r="J3" s="28"/>
      <c r="K3" s="28"/>
      <c r="L3" s="305"/>
    </row>
    <row r="4" spans="1:18" ht="23.25" x14ac:dyDescent="0.25">
      <c r="A4" s="5" t="s">
        <v>313</v>
      </c>
      <c r="B4" s="6"/>
      <c r="C4" s="6"/>
      <c r="D4" s="6"/>
      <c r="E4" s="6"/>
      <c r="F4" s="6"/>
      <c r="G4" s="6"/>
      <c r="H4" s="6"/>
      <c r="I4" s="6"/>
      <c r="J4" s="6"/>
      <c r="K4" s="6"/>
      <c r="L4" s="305"/>
      <c r="M4" s="7"/>
      <c r="R4" s="8"/>
    </row>
    <row r="5" spans="1:18" ht="23.25" customHeight="1" x14ac:dyDescent="0.25">
      <c r="A5" s="5" t="s">
        <v>312</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526</v>
      </c>
      <c r="C7" s="7"/>
      <c r="D7" s="7" t="s">
        <v>1</v>
      </c>
      <c r="E7" s="323">
        <v>45371</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559</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(Page 11 hidden)</v>
      </c>
      <c r="F14" s="7"/>
      <c r="G14" s="36" t="s">
        <v>112</v>
      </c>
      <c r="H14" s="513"/>
      <c r="I14" s="514"/>
      <c r="J14" s="214"/>
      <c r="K14" s="222">
        <v>2</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13"/>
      <c r="I16" s="514"/>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15"/>
      <c r="I18" s="51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15"/>
      <c r="I20" s="516"/>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20"/>
      <c r="D22" s="521"/>
      <c r="E22" s="7"/>
      <c r="F22" s="7"/>
      <c r="G22" s="36" t="s">
        <v>19</v>
      </c>
      <c r="H22" s="517"/>
      <c r="I22" s="518"/>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379</v>
      </c>
      <c r="B24" s="7"/>
      <c r="C24" s="7"/>
      <c r="D24" s="7"/>
      <c r="E24" s="290" t="str">
        <f>IF(INDEX(List_YNIndicator,$K$24,1)="N","(Page 2 hidden)","")</f>
        <v>(Page 2 hidden)</v>
      </c>
      <c r="F24" s="7"/>
      <c r="G24" s="36" t="s">
        <v>13</v>
      </c>
      <c r="H24" s="515" t="str">
        <f>IF(ISBLANK(H22)," ",H22+60)</f>
        <v xml:space="preserve"> </v>
      </c>
      <c r="I24" s="51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401</v>
      </c>
      <c r="B26" s="7"/>
      <c r="C26" s="7"/>
      <c r="D26" s="7"/>
      <c r="E26" s="7"/>
      <c r="F26" s="7"/>
      <c r="G26" s="36" t="s">
        <v>14</v>
      </c>
      <c r="H26" s="513"/>
      <c r="I26" s="514"/>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22"/>
      <c r="I28" s="523"/>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02" t="s">
        <v>527</v>
      </c>
      <c r="C32" s="503"/>
      <c r="D32" s="503"/>
      <c r="E32" s="504"/>
      <c r="F32" s="7"/>
      <c r="G32" s="36" t="s">
        <v>20</v>
      </c>
      <c r="H32" s="513"/>
      <c r="I32" s="514"/>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02" t="s">
        <v>560</v>
      </c>
      <c r="C34" s="503"/>
      <c r="D34" s="503"/>
      <c r="E34" s="504"/>
      <c r="F34" s="7"/>
      <c r="G34" s="36" t="s">
        <v>32</v>
      </c>
      <c r="H34" s="39"/>
      <c r="I34" s="39"/>
      <c r="J34" s="215"/>
      <c r="K34" s="220"/>
      <c r="L34" s="300"/>
      <c r="M34" s="317" t="b">
        <f>IF(FilingType_Rate=TRUE,TRUE,FALSE)</f>
        <v>0</v>
      </c>
      <c r="N34" s="316" t="b">
        <f>IF(FilingType_Rule=TRUE,TRUE,FALSE)</f>
        <v>1</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264</v>
      </c>
      <c r="F36" s="7"/>
      <c r="G36" s="38"/>
      <c r="H36" s="39"/>
      <c r="I36" s="39"/>
      <c r="J36" s="214"/>
      <c r="K36" s="218"/>
      <c r="L36" s="308"/>
      <c r="M36" s="317" t="b">
        <f>IF(FilingType_Form=TRUE,TRUE,FALSE)</f>
        <v>0</v>
      </c>
      <c r="N36" s="316" t="b">
        <f>IF(K14=1,TRUE,FALSE)</f>
        <v>0</v>
      </c>
    </row>
    <row r="37" spans="1:14" ht="18" customHeight="1" x14ac:dyDescent="0.25">
      <c r="A37" s="18" t="s">
        <v>9</v>
      </c>
      <c r="B37" s="7"/>
      <c r="C37" s="520" t="s">
        <v>561</v>
      </c>
      <c r="D37" s="521"/>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10"/>
      <c r="I40" s="510"/>
      <c r="J40" s="214"/>
      <c r="K40" s="222"/>
      <c r="L40" s="308"/>
      <c r="M40" s="7"/>
    </row>
    <row r="41" spans="1:14" ht="15.75" customHeight="1" x14ac:dyDescent="0.25">
      <c r="A41" s="7" t="s">
        <v>464</v>
      </c>
      <c r="B41" s="7"/>
      <c r="C41" s="7"/>
      <c r="D41" s="7"/>
      <c r="E41" s="7"/>
      <c r="F41" s="7"/>
      <c r="G41" s="36" t="s">
        <v>22</v>
      </c>
      <c r="H41" s="519"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19"/>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10"/>
      <c r="I43" s="511"/>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02" t="s">
        <v>528</v>
      </c>
      <c r="C45" s="503"/>
      <c r="D45" s="503"/>
      <c r="E45" s="504"/>
      <c r="F45" s="7"/>
      <c r="G45" s="7"/>
      <c r="H45" s="7"/>
      <c r="I45" s="7"/>
      <c r="J45" s="7"/>
      <c r="K45" s="7"/>
      <c r="L45" s="307"/>
      <c r="M45" s="7"/>
    </row>
    <row r="46" spans="1:14" ht="18" customHeight="1" x14ac:dyDescent="0.25">
      <c r="A46" s="7" t="s">
        <v>23</v>
      </c>
      <c r="B46" s="502" t="s">
        <v>529</v>
      </c>
      <c r="C46" s="503"/>
      <c r="D46" s="503"/>
      <c r="E46" s="504"/>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05" t="s">
        <v>530</v>
      </c>
      <c r="D51" s="506"/>
      <c r="E51" s="507"/>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02" t="s">
        <v>531</v>
      </c>
      <c r="C53" s="503"/>
      <c r="D53" s="503"/>
      <c r="E53" s="503"/>
      <c r="F53" s="503"/>
      <c r="G53" s="503"/>
      <c r="H53" s="503"/>
      <c r="I53" s="503"/>
      <c r="J53" s="504"/>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02" t="s">
        <v>532</v>
      </c>
      <c r="C55" s="503"/>
      <c r="D55" s="503"/>
      <c r="E55" s="503"/>
      <c r="F55" s="503"/>
      <c r="G55" s="503"/>
      <c r="H55" s="503"/>
      <c r="I55" s="503"/>
      <c r="J55" s="504"/>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02" t="s">
        <v>533</v>
      </c>
      <c r="C57" s="503"/>
      <c r="D57" s="503"/>
      <c r="E57" s="504"/>
      <c r="F57" s="7" t="s">
        <v>55</v>
      </c>
      <c r="G57" s="502" t="s">
        <v>534</v>
      </c>
      <c r="H57" s="503"/>
      <c r="I57" s="503"/>
      <c r="J57" s="504"/>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02" t="s">
        <v>535</v>
      </c>
      <c r="C59" s="503"/>
      <c r="D59" s="503"/>
      <c r="E59" s="503"/>
      <c r="F59" s="503"/>
      <c r="G59" s="503"/>
      <c r="H59" s="503"/>
      <c r="I59" s="503"/>
      <c r="J59" s="504"/>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02" t="s">
        <v>536</v>
      </c>
      <c r="C61" s="503"/>
      <c r="D61" s="503"/>
      <c r="E61" s="503"/>
      <c r="F61" s="503"/>
      <c r="G61" s="503"/>
      <c r="H61" s="503"/>
      <c r="I61" s="503"/>
      <c r="J61" s="504"/>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09"/>
      <c r="B69" s="509"/>
      <c r="C69" s="7"/>
      <c r="D69" s="512"/>
      <c r="E69" s="512"/>
      <c r="F69" s="512"/>
      <c r="H69" s="508"/>
      <c r="I69" s="508"/>
      <c r="J69" s="508"/>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JLBrHBc+lu4kmPti6Q0mpHyaRUIsG5jL7hU787tiSD8di+L7Yg5ihWVCWyCvItZUKf104jyr8QTgrKZ8tc+1Gw==" saltValue="L+sz5Q9WKCL0/pK/v+kHcg=="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General Insurance Company</v>
      </c>
    </row>
    <row r="2" spans="1:9" x14ac:dyDescent="0.25">
      <c r="A2" s="1" t="s">
        <v>67</v>
      </c>
      <c r="C2" s="29" t="s">
        <v>69</v>
      </c>
      <c r="E2" s="1"/>
      <c r="F2" s="28" t="str">
        <f>General_Line</f>
        <v>Homeowners</v>
      </c>
    </row>
    <row r="3" spans="1:9" ht="11.25" customHeight="1" x14ac:dyDescent="0.25">
      <c r="B3" s="145"/>
    </row>
    <row r="4" spans="1:9" ht="23.25" x14ac:dyDescent="0.25">
      <c r="A4" s="5" t="s">
        <v>327</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380</v>
      </c>
      <c r="B7" s="7"/>
      <c r="C7" s="7"/>
      <c r="D7" s="7"/>
      <c r="E7" s="7"/>
      <c r="F7" s="297"/>
    </row>
    <row r="8" spans="1:9" ht="18" customHeight="1" x14ac:dyDescent="0.25">
      <c r="A8" s="2" t="s">
        <v>381</v>
      </c>
      <c r="B8" s="7"/>
      <c r="C8" s="7"/>
      <c r="D8" s="7"/>
      <c r="E8" s="7"/>
      <c r="F8" s="297"/>
    </row>
    <row r="9" spans="1:9" ht="11.25" customHeight="1" x14ac:dyDescent="0.25">
      <c r="A9" s="2"/>
      <c r="B9" s="7"/>
      <c r="C9" s="7"/>
      <c r="D9" s="7"/>
      <c r="E9" s="7"/>
      <c r="F9" s="297"/>
    </row>
    <row r="10" spans="1:9" ht="21" customHeight="1" x14ac:dyDescent="0.25">
      <c r="A10" s="19" t="s">
        <v>395</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General Insurance Company</v>
      </c>
      <c r="C13" s="30"/>
      <c r="E13" s="44" t="s">
        <v>16</v>
      </c>
      <c r="F13" s="234"/>
    </row>
    <row r="14" spans="1:9" ht="18" customHeight="1" x14ac:dyDescent="0.25">
      <c r="E14" s="44"/>
      <c r="F14" s="44" t="s">
        <v>63</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371</v>
      </c>
    </row>
    <row r="103" spans="1:6" x14ac:dyDescent="0.25">
      <c r="A103" s="291" t="s">
        <v>374</v>
      </c>
    </row>
    <row r="105" spans="1:6" hidden="1" x14ac:dyDescent="0.25"/>
  </sheetData>
  <sheetProtection algorithmName="SHA-512" hashValue="9LoJnlNgNQ6D30ra7zIS8yaRxkt9WLYDkJ+VfRMbbaLo1+lfMWP92WgMOzyFAjpY6njLaF8rHW6a6mZ5ld6ZLw==" saltValue="Vj8chboquTN0YflCN3graQ==" spinCount="100000" sheet="1" objects="1" scenarios="1" formatColumns="0" formatRows="0" sort="0"/>
  <conditionalFormatting sqref="B16">
    <cfRule type="expression" dxfId="29" priority="15">
      <formula>NOT(ISBLANK(B13))</formula>
    </cfRule>
  </conditionalFormatting>
  <conditionalFormatting sqref="B22">
    <cfRule type="expression" dxfId="28" priority="14">
      <formula>NOT(ISBLANK(B19))</formula>
    </cfRule>
  </conditionalFormatting>
  <conditionalFormatting sqref="B28">
    <cfRule type="expression" dxfId="27" priority="13">
      <formula>NOT(ISBLANK(B25))</formula>
    </cfRule>
  </conditionalFormatting>
  <conditionalFormatting sqref="B34">
    <cfRule type="expression" dxfId="26" priority="12">
      <formula>NOT(ISBLANK(B31))</formula>
    </cfRule>
  </conditionalFormatting>
  <conditionalFormatting sqref="B40">
    <cfRule type="expression" dxfId="25" priority="11">
      <formula>NOT(ISBLANK(B37))</formula>
    </cfRule>
  </conditionalFormatting>
  <conditionalFormatting sqref="B46">
    <cfRule type="expression" dxfId="24" priority="10">
      <formula>NOT(ISBLANK(B43))</formula>
    </cfRule>
  </conditionalFormatting>
  <conditionalFormatting sqref="B52">
    <cfRule type="expression" dxfId="23" priority="9">
      <formula>NOT(ISBLANK(B49))</formula>
    </cfRule>
  </conditionalFormatting>
  <conditionalFormatting sqref="B58">
    <cfRule type="expression" dxfId="22" priority="8">
      <formula>NOT(ISBLANK(B55))</formula>
    </cfRule>
  </conditionalFormatting>
  <conditionalFormatting sqref="B64">
    <cfRule type="expression" dxfId="21" priority="7">
      <formula>NOT(ISBLANK(B61))</formula>
    </cfRule>
  </conditionalFormatting>
  <conditionalFormatting sqref="B70">
    <cfRule type="expression" dxfId="20" priority="6">
      <formula>NOT(ISBLANK(B67))</formula>
    </cfRule>
  </conditionalFormatting>
  <conditionalFormatting sqref="B76">
    <cfRule type="expression" dxfId="19" priority="5">
      <formula>NOT(ISBLANK(B73))</formula>
    </cfRule>
  </conditionalFormatting>
  <conditionalFormatting sqref="B82">
    <cfRule type="expression" dxfId="18" priority="4">
      <formula>NOT(ISBLANK(B79))</formula>
    </cfRule>
  </conditionalFormatting>
  <conditionalFormatting sqref="B88">
    <cfRule type="expression" dxfId="17" priority="3">
      <formula>NOT(ISBLANK(B85))</formula>
    </cfRule>
  </conditionalFormatting>
  <conditionalFormatting sqref="B94">
    <cfRule type="expression" dxfId="16" priority="2">
      <formula>NOT(ISBLANK(B91))</formula>
    </cfRule>
  </conditionalFormatting>
  <conditionalFormatting sqref="B100">
    <cfRule type="expression" dxfId="15"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topLeftCell="A12" zoomScaleNormal="100" zoomScaleSheetLayoutView="100" workbookViewId="0">
      <selection activeCell="E9" sqref="E9"/>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General Insurance Company</v>
      </c>
      <c r="H1" s="303" t="s">
        <v>424</v>
      </c>
    </row>
    <row r="2" spans="1:8" x14ac:dyDescent="0.25">
      <c r="A2" s="1" t="s">
        <v>67</v>
      </c>
      <c r="B2" s="1"/>
      <c r="D2" s="29" t="s">
        <v>69</v>
      </c>
      <c r="E2" s="29"/>
      <c r="G2" s="28" t="str">
        <f>General_Line</f>
        <v>Homeowners</v>
      </c>
      <c r="H2" s="384"/>
    </row>
    <row r="3" spans="1:8" ht="18" customHeight="1" x14ac:dyDescent="0.25">
      <c r="C3" s="145"/>
      <c r="H3" s="385"/>
    </row>
    <row r="4" spans="1:8" ht="23.25" x14ac:dyDescent="0.25">
      <c r="A4" s="5" t="s">
        <v>281</v>
      </c>
      <c r="B4" s="5"/>
      <c r="C4" s="3"/>
      <c r="D4" s="3"/>
      <c r="E4" s="3"/>
      <c r="F4" s="3"/>
      <c r="G4" s="3"/>
      <c r="H4" s="385" t="str">
        <f>IF(COUNTIF(E6:E12,"")&gt;=1,"",IF(COUNTIF(E6:E12,"Y")=0,"ERROR! You must select yes to at least one filing type.",""))</f>
        <v/>
      </c>
    </row>
    <row r="5" spans="1:8" ht="22.5" customHeight="1" x14ac:dyDescent="0.25">
      <c r="A5" s="336" t="s">
        <v>396</v>
      </c>
      <c r="B5" s="5"/>
      <c r="C5" s="3"/>
      <c r="D5" s="3"/>
      <c r="E5" s="3"/>
      <c r="F5" s="3"/>
      <c r="G5" s="3"/>
      <c r="H5" s="386"/>
    </row>
    <row r="6" spans="1:8" ht="21" customHeight="1" x14ac:dyDescent="0.25">
      <c r="A6" s="13" t="s">
        <v>398</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501</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500</v>
      </c>
      <c r="B8" s="13"/>
      <c r="C8" s="13"/>
      <c r="E8" s="174" t="s">
        <v>6</v>
      </c>
      <c r="G8" s="87"/>
      <c r="H8" s="387" t="str">
        <f>IF(E8="","← ERROR! Please select a response.","")</f>
        <v/>
      </c>
    </row>
    <row r="9" spans="1:8" ht="21" customHeight="1" x14ac:dyDescent="0.25">
      <c r="A9" s="13" t="s">
        <v>517</v>
      </c>
      <c r="B9" s="13"/>
      <c r="C9" s="13"/>
      <c r="E9" s="174" t="s">
        <v>5</v>
      </c>
      <c r="G9" s="87"/>
      <c r="H9" s="387" t="str">
        <f>IF(E9="","← ERROR! Please select a response.","")</f>
        <v/>
      </c>
    </row>
    <row r="10" spans="1:8" ht="21" customHeight="1" x14ac:dyDescent="0.25">
      <c r="A10" s="13" t="s">
        <v>518</v>
      </c>
      <c r="B10" s="13"/>
      <c r="C10" s="13"/>
      <c r="E10" s="174" t="s">
        <v>6</v>
      </c>
      <c r="G10" s="87"/>
      <c r="H10" s="387" t="str">
        <f>IF(E10="","← ERROR! Please select a response.",IF(E10="Y",IF(E9="Y","","← ERROR! The response to question 3 indicates that this is not a Rule filing."),""))</f>
        <v/>
      </c>
    </row>
    <row r="11" spans="1:8" ht="21" customHeight="1" x14ac:dyDescent="0.25">
      <c r="A11" s="13" t="s">
        <v>519</v>
      </c>
      <c r="B11" s="13"/>
      <c r="C11" s="13"/>
      <c r="E11" s="174" t="s">
        <v>6</v>
      </c>
      <c r="G11" s="87"/>
      <c r="H11" s="387" t="str">
        <f>IF(E11="","← ERROR! Please select a response.","")</f>
        <v/>
      </c>
    </row>
    <row r="12" spans="1:8" ht="21" customHeight="1" x14ac:dyDescent="0.25">
      <c r="A12" s="13" t="s">
        <v>520</v>
      </c>
      <c r="B12" s="13"/>
      <c r="C12" s="13"/>
      <c r="E12" s="174" t="s">
        <v>6</v>
      </c>
      <c r="G12" s="87"/>
      <c r="H12" s="387" t="str">
        <f>IF(E12="","← ERROR! Please select a response.",IF(E12="Y",IF(E11="Y","","← ERROR! The response to question 4 indicates that this is not a Form filing."),""))</f>
        <v/>
      </c>
    </row>
    <row r="13" spans="1:8" ht="21" customHeight="1" x14ac:dyDescent="0.25">
      <c r="A13" s="139" t="s">
        <v>521</v>
      </c>
      <c r="B13" s="13"/>
      <c r="C13" s="13"/>
      <c r="E13" s="390" t="str">
        <f>IF('1.General'!$K$14=1,"Y","N")</f>
        <v>N</v>
      </c>
      <c r="G13" s="492"/>
      <c r="H13" s="388" t="str">
        <f>IF(E13="Y",IF(OR(E6="Y",E7="Y",E8="Y",E10="Y",E12="Y"),"","← ERROR! You cannot file for a variance unless this is a New Program filing, Transferred Program filing or a filing with rate impact."),"")</f>
        <v/>
      </c>
    </row>
    <row r="14" spans="1:8" ht="21" customHeight="1" x14ac:dyDescent="0.25">
      <c r="A14" s="41" t="s">
        <v>522</v>
      </c>
      <c r="C14" s="139"/>
      <c r="D14" s="1"/>
      <c r="E14" s="1"/>
      <c r="F14" s="1"/>
      <c r="G14" s="492"/>
      <c r="H14" s="388"/>
    </row>
    <row r="15" spans="1:8" ht="21" customHeight="1" thickBot="1" x14ac:dyDescent="0.3">
      <c r="A15" s="326" t="s">
        <v>523</v>
      </c>
      <c r="B15" s="13"/>
      <c r="C15" s="139"/>
      <c r="D15" s="1"/>
      <c r="E15" s="1"/>
      <c r="F15" s="1"/>
      <c r="G15" s="492"/>
      <c r="H15" s="389"/>
    </row>
    <row r="16" spans="1:8" ht="23.25" x14ac:dyDescent="0.25">
      <c r="A16" s="5" t="s">
        <v>75</v>
      </c>
      <c r="B16" s="5"/>
      <c r="C16" s="3"/>
      <c r="D16" s="3"/>
      <c r="E16" s="3"/>
      <c r="F16" s="3"/>
      <c r="G16" s="3"/>
    </row>
    <row r="17" spans="1:7" x14ac:dyDescent="0.25">
      <c r="A17" s="326" t="s">
        <v>403</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383</v>
      </c>
      <c r="B19" s="9" t="s">
        <v>384</v>
      </c>
      <c r="C19" s="9" t="s">
        <v>290</v>
      </c>
      <c r="D19" s="9"/>
      <c r="E19" s="1"/>
      <c r="F19" s="1"/>
      <c r="G19" s="87"/>
    </row>
    <row r="20" spans="1:7" ht="21" customHeight="1" x14ac:dyDescent="0.25">
      <c r="A20" s="40"/>
      <c r="B20" s="40"/>
      <c r="C20" s="13" t="s">
        <v>377</v>
      </c>
      <c r="D20" s="13"/>
      <c r="E20" s="13"/>
    </row>
    <row r="21" spans="1:7" ht="21" hidden="1" customHeight="1" x14ac:dyDescent="0.25">
      <c r="A21" s="40"/>
      <c r="B21" s="40"/>
      <c r="C21" s="13" t="s">
        <v>288</v>
      </c>
      <c r="D21" s="13"/>
      <c r="E21" s="13"/>
    </row>
    <row r="22" spans="1:7" ht="21" customHeight="1" x14ac:dyDescent="0.25">
      <c r="A22" s="40"/>
      <c r="B22" s="40"/>
      <c r="C22" s="13" t="s">
        <v>394</v>
      </c>
      <c r="D22" s="13"/>
      <c r="E22" s="13"/>
    </row>
    <row r="23" spans="1:7" ht="21" hidden="1" customHeight="1" x14ac:dyDescent="0.25">
      <c r="A23" s="40"/>
      <c r="B23" s="40"/>
      <c r="C23" s="13" t="s">
        <v>289</v>
      </c>
      <c r="D23" s="13"/>
      <c r="E23" s="13"/>
    </row>
    <row r="24" spans="1:7" ht="21" hidden="1" customHeight="1" x14ac:dyDescent="0.25">
      <c r="A24" s="40"/>
      <c r="B24" s="40"/>
      <c r="C24" s="13" t="s">
        <v>297</v>
      </c>
      <c r="D24" s="13"/>
      <c r="E24" s="13"/>
    </row>
    <row r="25" spans="1:7" ht="21" hidden="1" customHeight="1" x14ac:dyDescent="0.25">
      <c r="A25" s="40"/>
      <c r="B25" s="40"/>
      <c r="C25" s="13" t="s">
        <v>357</v>
      </c>
      <c r="D25" s="13"/>
      <c r="E25" s="13"/>
    </row>
    <row r="26" spans="1:7" ht="21" hidden="1" customHeight="1" x14ac:dyDescent="0.25">
      <c r="A26" s="40"/>
      <c r="B26" s="40"/>
      <c r="C26" s="13" t="s">
        <v>298</v>
      </c>
      <c r="D26" s="13"/>
      <c r="E26" s="13"/>
    </row>
    <row r="27" spans="1:7" ht="21" hidden="1" customHeight="1" x14ac:dyDescent="0.25">
      <c r="A27" s="40"/>
      <c r="B27" s="40"/>
      <c r="C27" s="13" t="s">
        <v>299</v>
      </c>
      <c r="D27" s="13"/>
      <c r="E27" s="13"/>
    </row>
    <row r="28" spans="1:7" ht="21" hidden="1" customHeight="1" x14ac:dyDescent="0.25">
      <c r="A28" s="40"/>
      <c r="B28" s="40"/>
      <c r="C28" s="13" t="s">
        <v>300</v>
      </c>
      <c r="D28" s="13"/>
      <c r="E28" s="13"/>
    </row>
    <row r="29" spans="1:7" ht="21" customHeight="1" x14ac:dyDescent="0.25">
      <c r="A29" s="40"/>
      <c r="B29" s="40"/>
      <c r="C29" s="13" t="s">
        <v>405</v>
      </c>
      <c r="D29" s="13"/>
      <c r="E29" s="13"/>
    </row>
    <row r="30" spans="1:7" ht="21" hidden="1" customHeight="1" x14ac:dyDescent="0.25">
      <c r="A30" s="40"/>
      <c r="B30" s="40"/>
      <c r="C30" s="13" t="s">
        <v>76</v>
      </c>
      <c r="D30" s="13"/>
      <c r="E30" s="13"/>
    </row>
    <row r="31" spans="1:7" ht="21" customHeight="1" x14ac:dyDescent="0.25">
      <c r="A31" s="40"/>
      <c r="B31" s="40"/>
      <c r="C31" s="13" t="s">
        <v>456</v>
      </c>
      <c r="D31" s="13"/>
      <c r="E31" s="13"/>
    </row>
    <row r="32" spans="1:7" ht="21" customHeight="1" x14ac:dyDescent="0.25">
      <c r="A32" s="40"/>
      <c r="B32" s="40"/>
      <c r="C32" s="139" t="s">
        <v>493</v>
      </c>
      <c r="D32" s="13"/>
      <c r="E32" s="13"/>
    </row>
    <row r="33" spans="1:7" ht="21" hidden="1" customHeight="1" x14ac:dyDescent="0.25">
      <c r="A33" s="40"/>
      <c r="B33" s="40"/>
      <c r="C33" s="139" t="s">
        <v>494</v>
      </c>
      <c r="D33" s="13"/>
      <c r="E33" s="13"/>
    </row>
    <row r="34" spans="1:7" ht="21" customHeight="1" x14ac:dyDescent="0.25">
      <c r="A34" s="40"/>
      <c r="B34" s="40"/>
      <c r="C34" s="139" t="s">
        <v>457</v>
      </c>
      <c r="D34" s="13"/>
      <c r="E34" s="13"/>
    </row>
    <row r="35" spans="1:7" ht="21" customHeight="1" x14ac:dyDescent="0.25">
      <c r="A35" s="40"/>
      <c r="B35" s="40"/>
      <c r="C35" s="139" t="s">
        <v>291</v>
      </c>
      <c r="D35" s="139"/>
      <c r="E35" s="139"/>
      <c r="F35" s="139"/>
      <c r="G35" s="139"/>
    </row>
    <row r="36" spans="1:7" ht="21" customHeight="1" x14ac:dyDescent="0.25">
      <c r="A36" s="40"/>
      <c r="B36" s="40"/>
      <c r="C36" s="13" t="s">
        <v>283</v>
      </c>
      <c r="D36" s="13"/>
      <c r="E36" s="13"/>
    </row>
    <row r="37" spans="1:7" ht="21" hidden="1" customHeight="1" x14ac:dyDescent="0.25">
      <c r="A37" s="40"/>
      <c r="B37" s="40"/>
      <c r="C37" s="13" t="s">
        <v>284</v>
      </c>
      <c r="D37" s="13"/>
      <c r="E37" s="13"/>
    </row>
    <row r="38" spans="1:7" ht="21" hidden="1" customHeight="1" x14ac:dyDescent="0.25">
      <c r="A38" s="40"/>
      <c r="B38" s="40"/>
      <c r="C38" s="13" t="s">
        <v>285</v>
      </c>
      <c r="D38" s="13"/>
      <c r="E38" s="13"/>
    </row>
    <row r="39" spans="1:7" ht="21" hidden="1" customHeight="1" x14ac:dyDescent="0.25">
      <c r="A39" s="40"/>
      <c r="B39" s="40"/>
      <c r="C39" s="13" t="s">
        <v>286</v>
      </c>
      <c r="D39" s="13"/>
      <c r="E39" s="13"/>
    </row>
    <row r="40" spans="1:7" ht="21" hidden="1" customHeight="1" x14ac:dyDescent="0.25">
      <c r="A40" s="40"/>
      <c r="B40" s="40"/>
      <c r="C40" s="13" t="s">
        <v>385</v>
      </c>
      <c r="D40" s="13"/>
      <c r="E40" s="13"/>
    </row>
    <row r="41" spans="1:7" ht="21" hidden="1" customHeight="1" x14ac:dyDescent="0.25">
      <c r="A41" s="40"/>
      <c r="B41" s="40"/>
      <c r="C41" s="13" t="s">
        <v>287</v>
      </c>
      <c r="D41" s="13"/>
      <c r="E41" s="13"/>
    </row>
    <row r="42" spans="1:7" ht="21" hidden="1" customHeight="1" x14ac:dyDescent="0.25">
      <c r="A42" s="40"/>
      <c r="B42" s="40"/>
      <c r="C42" s="13" t="s">
        <v>386</v>
      </c>
      <c r="D42" s="13"/>
      <c r="E42" s="13"/>
    </row>
    <row r="43" spans="1:7" ht="21" hidden="1" customHeight="1" x14ac:dyDescent="0.25">
      <c r="A43" s="40"/>
      <c r="B43" s="40"/>
      <c r="C43" s="13" t="s">
        <v>387</v>
      </c>
      <c r="D43" s="13"/>
      <c r="E43" s="13"/>
    </row>
    <row r="44" spans="1:7" ht="21" hidden="1" customHeight="1" x14ac:dyDescent="0.25">
      <c r="A44" s="40"/>
      <c r="B44" s="40"/>
      <c r="C44" s="13" t="s">
        <v>293</v>
      </c>
      <c r="D44" s="13"/>
      <c r="E44" s="13"/>
    </row>
    <row r="45" spans="1:7" ht="21" hidden="1" customHeight="1" x14ac:dyDescent="0.25">
      <c r="A45" s="40"/>
      <c r="B45" s="40"/>
      <c r="C45" s="13" t="s">
        <v>294</v>
      </c>
      <c r="D45" s="13"/>
      <c r="E45" s="13"/>
    </row>
    <row r="46" spans="1:7" ht="21" hidden="1" customHeight="1" x14ac:dyDescent="0.25">
      <c r="A46" s="40"/>
      <c r="B46" s="40"/>
      <c r="C46" s="13" t="s">
        <v>295</v>
      </c>
      <c r="D46" s="13"/>
      <c r="E46" s="13"/>
    </row>
    <row r="47" spans="1:7" ht="21" hidden="1" customHeight="1" x14ac:dyDescent="0.25">
      <c r="A47" s="40"/>
      <c r="B47" s="40"/>
      <c r="C47" s="13" t="s">
        <v>402</v>
      </c>
      <c r="D47" s="13"/>
      <c r="E47" s="13"/>
    </row>
    <row r="48" spans="1:7" ht="21" hidden="1" customHeight="1" x14ac:dyDescent="0.25">
      <c r="A48" s="40"/>
      <c r="B48" s="40"/>
      <c r="C48" s="13" t="s">
        <v>328</v>
      </c>
      <c r="D48" s="13"/>
      <c r="E48" s="13"/>
    </row>
    <row r="49" spans="1:7" ht="21" hidden="1" customHeight="1" x14ac:dyDescent="0.25">
      <c r="A49" s="40"/>
      <c r="B49" s="40"/>
      <c r="C49" s="13" t="s">
        <v>320</v>
      </c>
      <c r="D49" s="13"/>
      <c r="E49" s="13"/>
    </row>
    <row r="50" spans="1:7" ht="21" hidden="1" customHeight="1" x14ac:dyDescent="0.25">
      <c r="A50" s="40"/>
      <c r="B50" s="40"/>
      <c r="C50" s="13" t="s">
        <v>321</v>
      </c>
      <c r="D50" s="13"/>
      <c r="E50" s="13"/>
    </row>
    <row r="51" spans="1:7" ht="21" hidden="1" customHeight="1" x14ac:dyDescent="0.25">
      <c r="A51" s="40"/>
      <c r="B51" s="40"/>
      <c r="C51" s="13" t="s">
        <v>322</v>
      </c>
      <c r="D51" s="13"/>
      <c r="E51" s="13"/>
    </row>
    <row r="52" spans="1:7" ht="21" hidden="1" customHeight="1" x14ac:dyDescent="0.25">
      <c r="A52" s="40"/>
      <c r="B52" s="40"/>
      <c r="C52" s="13" t="s">
        <v>323</v>
      </c>
      <c r="D52" s="13"/>
      <c r="E52" s="13"/>
    </row>
    <row r="53" spans="1:7" ht="21" customHeight="1" x14ac:dyDescent="0.25">
      <c r="A53" s="40"/>
      <c r="B53" s="40"/>
      <c r="C53" s="13" t="s">
        <v>404</v>
      </c>
      <c r="D53" s="13"/>
      <c r="E53" s="13"/>
    </row>
    <row r="54" spans="1:7" ht="21" customHeight="1" x14ac:dyDescent="0.25">
      <c r="A54" s="40"/>
      <c r="B54" s="40"/>
      <c r="C54" s="13" t="s">
        <v>324</v>
      </c>
      <c r="D54" s="13"/>
      <c r="E54" s="13"/>
    </row>
    <row r="55" spans="1:7" ht="21" hidden="1" customHeight="1" x14ac:dyDescent="0.25">
      <c r="A55" s="40"/>
      <c r="B55" s="40"/>
      <c r="C55" s="13" t="s">
        <v>333</v>
      </c>
      <c r="D55" s="13"/>
      <c r="E55" s="13"/>
    </row>
    <row r="56" spans="1:7" ht="21" hidden="1" customHeight="1" x14ac:dyDescent="0.25">
      <c r="A56" s="40"/>
      <c r="B56" s="40"/>
      <c r="C56" s="13" t="s">
        <v>332</v>
      </c>
      <c r="D56" s="13"/>
      <c r="E56" s="13"/>
    </row>
    <row r="57" spans="1:7" ht="21" customHeight="1" x14ac:dyDescent="0.25">
      <c r="A57" s="40"/>
      <c r="B57" s="40"/>
      <c r="C57" s="139" t="s">
        <v>77</v>
      </c>
      <c r="D57" s="139"/>
      <c r="E57" s="139"/>
    </row>
    <row r="58" spans="1:7" ht="21" hidden="1" customHeight="1" x14ac:dyDescent="0.25">
      <c r="A58" s="40"/>
      <c r="B58" s="40"/>
      <c r="C58" s="139" t="s">
        <v>388</v>
      </c>
      <c r="D58" s="139"/>
      <c r="E58" s="139"/>
    </row>
    <row r="59" spans="1:7" ht="21" hidden="1" customHeight="1" x14ac:dyDescent="0.25">
      <c r="A59" s="40"/>
      <c r="B59" s="40"/>
      <c r="C59" s="139" t="s">
        <v>389</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301</v>
      </c>
      <c r="D62" s="139"/>
      <c r="E62" s="139"/>
    </row>
    <row r="63" spans="1:7" ht="21" hidden="1" customHeight="1" x14ac:dyDescent="0.25">
      <c r="A63" s="40"/>
      <c r="B63" s="40"/>
      <c r="C63" s="139" t="s">
        <v>329</v>
      </c>
      <c r="D63" s="139"/>
      <c r="E63" s="139"/>
    </row>
    <row r="64" spans="1:7" ht="21" hidden="1" customHeight="1" x14ac:dyDescent="0.25">
      <c r="A64" s="329" t="s">
        <v>391</v>
      </c>
      <c r="B64" s="40"/>
      <c r="D64" s="327"/>
      <c r="E64" s="327"/>
      <c r="F64" s="328"/>
      <c r="G64" s="328"/>
    </row>
    <row r="65" spans="1:7" ht="17.25" hidden="1" x14ac:dyDescent="0.25">
      <c r="A65" s="329" t="s">
        <v>489</v>
      </c>
      <c r="B65" s="6"/>
      <c r="D65" s="327"/>
      <c r="E65" s="327"/>
      <c r="F65" s="328"/>
      <c r="G65" s="328"/>
    </row>
    <row r="66" spans="1:7" hidden="1" x14ac:dyDescent="0.25">
      <c r="A66" t="s">
        <v>397</v>
      </c>
    </row>
    <row r="67" spans="1:7" hidden="1" x14ac:dyDescent="0.25">
      <c r="A67" s="41" t="s">
        <v>382</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z/wBarxiYN/DBYUMA1Pubzv5NXGovmNStVV8HVh6U8lAlC1m5gzV2kr8Jo9eJlJ20S+uTOIzBxhvsUqbQFsUGw==" saltValue="OffB/70b0NaXYT1tZs9RF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2" r:id="rId4" name="Check Box 2">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083" r:id="rId5" name="Check Box 3">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084" r:id="rId6" name="Check Box 4">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085" r:id="rId7" name="Check Box 5">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086" r:id="rId8" name="Check Box 6">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087" r:id="rId9" name="Check Box 7">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088" r:id="rId10" name="Check Box 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089" r:id="rId11" name="Check Box 9">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090" r:id="rId12" name="Check Box 10">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091" r:id="rId13" name="Check Box 11">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092" r:id="rId14" name="Check Box 12">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093" r:id="rId15" name="Check Box 13">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094" r:id="rId16" name="Check Box 14">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095" r:id="rId17" name="Check Box 15">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096" r:id="rId18" name="Check Box 16">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097" r:id="rId19" name="Check Box 1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098" r:id="rId20" name="Check Box 18">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General Insurance Company</v>
      </c>
    </row>
    <row r="2" spans="1:7" x14ac:dyDescent="0.25">
      <c r="A2" s="1" t="s">
        <v>67</v>
      </c>
      <c r="D2" s="29" t="s">
        <v>69</v>
      </c>
      <c r="F2" s="28" t="str">
        <f>General_Line</f>
        <v>Homeowners</v>
      </c>
    </row>
    <row r="3" spans="1:7" x14ac:dyDescent="0.25">
      <c r="B3" s="145"/>
    </row>
    <row r="4" spans="1:7" ht="23.25" x14ac:dyDescent="0.25">
      <c r="A4" s="5" t="s">
        <v>282</v>
      </c>
      <c r="B4" s="3"/>
      <c r="C4" s="3"/>
      <c r="D4" s="3"/>
      <c r="E4" s="3"/>
      <c r="F4" s="3"/>
    </row>
    <row r="6" spans="1:7" ht="15.75" x14ac:dyDescent="0.25">
      <c r="B6" s="43" t="s">
        <v>72</v>
      </c>
      <c r="C6" s="20"/>
      <c r="D6" s="288" t="e">
        <f>$D$22</f>
        <v>#DIV/0!</v>
      </c>
    </row>
    <row r="7" spans="1:7" ht="4.5" customHeight="1" x14ac:dyDescent="0.25"/>
    <row r="8" spans="1:7" s="7" customFormat="1" ht="18" customHeight="1" x14ac:dyDescent="0.25">
      <c r="A8" s="42"/>
      <c r="B8" s="43" t="s">
        <v>71</v>
      </c>
      <c r="C8" s="20"/>
      <c r="D8" s="289"/>
      <c r="G8" s="302" t="str">
        <f>IF(ISBLANK(D8),"←ERROR! Enter the Proposed Earned Premium Per Exposure.","")</f>
        <v>←ERROR! Enter the Proposed Earned Premium Per Exposure.</v>
      </c>
    </row>
    <row r="9" spans="1:7" ht="18" customHeight="1" x14ac:dyDescent="0.25">
      <c r="A9" s="42"/>
      <c r="B9" s="43" t="s">
        <v>221</v>
      </c>
      <c r="C9" s="20"/>
      <c r="D9" s="237"/>
      <c r="G9" s="189" t="str">
        <f>IF(ISBLANK(D9),"←ERROR! Enter the Proposed Effective Date.","")</f>
        <v>←ERROR! Enter the Proposed Effective Date.</v>
      </c>
    </row>
    <row r="10" spans="1:7" ht="15.75" thickBot="1" x14ac:dyDescent="0.3"/>
    <row r="11" spans="1:7" ht="33" thickBot="1" x14ac:dyDescent="0.3">
      <c r="A11" s="46"/>
      <c r="B11" s="47" t="s">
        <v>124</v>
      </c>
      <c r="C11" s="47" t="s">
        <v>73</v>
      </c>
      <c r="D11" s="47" t="s">
        <v>354</v>
      </c>
      <c r="E11" s="47" t="s">
        <v>355</v>
      </c>
      <c r="F11" s="48" t="s">
        <v>356</v>
      </c>
    </row>
    <row r="12" spans="1:7" ht="30" customHeight="1" x14ac:dyDescent="0.25">
      <c r="A12" s="49">
        <v>-1</v>
      </c>
      <c r="B12" s="238"/>
      <c r="C12" s="239"/>
      <c r="D12" s="239"/>
      <c r="E12" s="240"/>
      <c r="F12" s="60">
        <f>E12*(1+D12)</f>
        <v>0</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t="e">
        <f>SUMPRODUCT(C$12:C$21,$E$12:$E$21)/$E$22</f>
        <v>#DIV/0!</v>
      </c>
      <c r="D22" s="64" t="e">
        <f>SUMPRODUCT(D$12:D$21,$E$12:$E$21)/$E$22</f>
        <v>#DIV/0!</v>
      </c>
      <c r="E22" s="65">
        <f>SUM($E$12:$E$21)</f>
        <v>0</v>
      </c>
      <c r="F22" s="62">
        <f>SUM($F$12:$F$21)</f>
        <v>0</v>
      </c>
    </row>
    <row r="23" spans="1:7" x14ac:dyDescent="0.25">
      <c r="D23" s="45"/>
    </row>
    <row r="24" spans="1:7" ht="17.25" x14ac:dyDescent="0.25">
      <c r="A24" t="s">
        <v>372</v>
      </c>
      <c r="D24" s="45"/>
    </row>
    <row r="25" spans="1:7" x14ac:dyDescent="0.25">
      <c r="A25" t="s">
        <v>373</v>
      </c>
      <c r="D25" s="45"/>
    </row>
    <row r="26" spans="1:7" ht="18" customHeight="1" x14ac:dyDescent="0.25">
      <c r="A26" t="s">
        <v>365</v>
      </c>
    </row>
    <row r="27" spans="1:7" ht="18" customHeight="1" x14ac:dyDescent="0.25">
      <c r="A27" s="291" t="s">
        <v>331</v>
      </c>
    </row>
    <row r="28" spans="1:7" ht="5.0999999999999996" customHeight="1" x14ac:dyDescent="0.25">
      <c r="A28" s="2"/>
    </row>
    <row r="29" spans="1:7" ht="18" customHeight="1" x14ac:dyDescent="0.25">
      <c r="A29" t="s">
        <v>362</v>
      </c>
    </row>
    <row r="30" spans="1:7" ht="18" customHeight="1" x14ac:dyDescent="0.25">
      <c r="A30" s="291" t="s">
        <v>360</v>
      </c>
    </row>
    <row r="31" spans="1:7" ht="18" customHeight="1" x14ac:dyDescent="0.25">
      <c r="A31" s="291" t="s">
        <v>359</v>
      </c>
    </row>
    <row r="32" spans="1:7" ht="5.0999999999999996" customHeight="1" x14ac:dyDescent="0.25">
      <c r="A32" s="291"/>
    </row>
    <row r="33" spans="1:1" ht="17.25" x14ac:dyDescent="0.25">
      <c r="A33" t="s">
        <v>363</v>
      </c>
    </row>
    <row r="34" spans="1:1" ht="18" customHeight="1" x14ac:dyDescent="0.25">
      <c r="A34" s="291" t="s">
        <v>361</v>
      </c>
    </row>
    <row r="35" spans="1:1" ht="5.0999999999999996" customHeight="1" x14ac:dyDescent="0.25">
      <c r="A35" s="2"/>
    </row>
    <row r="36" spans="1:1" ht="17.25" x14ac:dyDescent="0.25">
      <c r="A36" t="s">
        <v>364</v>
      </c>
    </row>
  </sheetData>
  <sheetProtection algorithmName="SHA-512" hashValue="RQ1kDvWUvf9izIFd1oPIgEsxsWF1hcm/PPaMDjG8sxmMmZmL5XbTACyJRtg47O39W+DetckE+OoiRpdVEQsYGw==" saltValue="+Mr7RQkUYs5V6RFeDwFleA==" spinCount="100000" sheet="1" objects="1" scenarios="1" formatColumns="0" formatRows="0" sort="0"/>
  <printOptions horizontalCentered="1"/>
  <pageMargins left="0.45" right="0.45" top="0.5" bottom="0.5" header="0.3" footer="0.05"/>
  <pageSetup scale="79"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General Insurance Company</v>
      </c>
    </row>
    <row r="2" spans="1:10" x14ac:dyDescent="0.25">
      <c r="A2" s="1" t="s">
        <v>67</v>
      </c>
      <c r="C2" s="29" t="s">
        <v>69</v>
      </c>
      <c r="F2" s="28" t="str">
        <f>General_Line</f>
        <v>Homeowners</v>
      </c>
    </row>
    <row r="3" spans="1:10" x14ac:dyDescent="0.25">
      <c r="B3" s="145"/>
    </row>
    <row r="4" spans="1:10" ht="23.25" x14ac:dyDescent="0.25">
      <c r="A4" s="5" t="s">
        <v>292</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t="e">
        <f>E8-1</f>
        <v>#VALUE!</v>
      </c>
      <c r="E8" s="224" t="e">
        <f>F8-1</f>
        <v>#VALUE!</v>
      </c>
      <c r="F8" s="223" t="s">
        <v>170</v>
      </c>
    </row>
    <row r="9" spans="1:10" ht="30" customHeight="1" x14ac:dyDescent="0.25">
      <c r="A9" s="49">
        <v>-1</v>
      </c>
      <c r="B9" s="247"/>
      <c r="C9" s="248"/>
      <c r="D9" s="249"/>
      <c r="E9" s="249"/>
      <c r="F9" s="250"/>
      <c r="J9" s="299"/>
    </row>
    <row r="10" spans="1:10" ht="30" customHeight="1" x14ac:dyDescent="0.25">
      <c r="A10" s="50">
        <v>-2</v>
      </c>
      <c r="B10" s="251"/>
      <c r="C10" s="252"/>
      <c r="D10" s="253"/>
      <c r="E10" s="253"/>
      <c r="F10" s="254"/>
    </row>
    <row r="11" spans="1:10" ht="30" customHeight="1" x14ac:dyDescent="0.25">
      <c r="A11" s="50">
        <v>-3</v>
      </c>
      <c r="B11" s="251"/>
      <c r="C11" s="252"/>
      <c r="D11" s="253"/>
      <c r="E11" s="253"/>
      <c r="F11" s="254"/>
    </row>
    <row r="12" spans="1:10" ht="30" customHeight="1" x14ac:dyDescent="0.25">
      <c r="A12" s="50">
        <v>-4</v>
      </c>
      <c r="B12" s="251"/>
      <c r="C12" s="252"/>
      <c r="D12" s="253"/>
      <c r="E12" s="253"/>
      <c r="F12" s="254"/>
    </row>
    <row r="13" spans="1:10" ht="30" customHeight="1" x14ac:dyDescent="0.25">
      <c r="A13" s="50">
        <v>-5</v>
      </c>
      <c r="B13" s="251"/>
      <c r="C13" s="252"/>
      <c r="D13" s="253"/>
      <c r="E13" s="253"/>
      <c r="F13" s="254"/>
    </row>
    <row r="14" spans="1:10" ht="30" customHeight="1" x14ac:dyDescent="0.25">
      <c r="A14" s="50">
        <v>-6</v>
      </c>
      <c r="B14" s="251"/>
      <c r="C14" s="252"/>
      <c r="D14" s="253"/>
      <c r="E14" s="253"/>
      <c r="F14" s="254"/>
    </row>
    <row r="15" spans="1:10" ht="30" customHeight="1" x14ac:dyDescent="0.25">
      <c r="A15" s="50">
        <v>-7</v>
      </c>
      <c r="B15" s="251"/>
      <c r="C15" s="252"/>
      <c r="D15" s="253"/>
      <c r="E15" s="253"/>
      <c r="F15" s="254"/>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0</v>
      </c>
      <c r="E19" s="66">
        <f>SUM(E$9:E$18)</f>
        <v>0</v>
      </c>
      <c r="F19" s="67">
        <f>SUM(F$9:F$18)</f>
        <v>0</v>
      </c>
    </row>
    <row r="20" spans="1:7" ht="24.95" customHeight="1" x14ac:dyDescent="0.25">
      <c r="A20" s="206" t="s">
        <v>121</v>
      </c>
      <c r="B20" s="207"/>
      <c r="C20" s="208"/>
      <c r="D20" s="259"/>
      <c r="E20" s="260"/>
      <c r="F20" s="261"/>
      <c r="G20" s="302" t="str">
        <f>IF(COUNTA(D20:F20)&lt;3,"←ERROR! Enter Statutory Page 14 Data."," ")</f>
        <v>←ERROR! Enter Statutory Page 14 Data.</v>
      </c>
    </row>
    <row r="21" spans="1:7" ht="24.95" customHeight="1" thickBot="1" x14ac:dyDescent="0.3">
      <c r="A21" s="209" t="s">
        <v>122</v>
      </c>
      <c r="B21" s="210"/>
      <c r="C21" s="211"/>
      <c r="D21" s="212">
        <f>D19-D20</f>
        <v>0</v>
      </c>
      <c r="E21" s="212">
        <f t="shared" ref="E21:F21" si="0">E19-E20</f>
        <v>0</v>
      </c>
      <c r="F21" s="226">
        <f t="shared" si="0"/>
        <v>0</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358</v>
      </c>
    </row>
    <row r="27" spans="1:7" x14ac:dyDescent="0.25">
      <c r="A27" s="298" t="s">
        <v>375</v>
      </c>
    </row>
    <row r="28" spans="1:7" x14ac:dyDescent="0.25">
      <c r="A28" s="298" t="s">
        <v>376</v>
      </c>
    </row>
    <row r="29" spans="1:7" ht="17.25" x14ac:dyDescent="0.25">
      <c r="A29" t="s">
        <v>126</v>
      </c>
    </row>
  </sheetData>
  <sheetProtection algorithmName="SHA-512" hashValue="5BiTle8PB9EelvJctbc7gsETX+lbUIFcB21JzUW5H8pWfZGkYvO81Ols6lbdWqYWgwJvV1EtpeZDJlO7iJHChA==" saltValue="dia+CBEh5prdKYwY0peZvA=="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General Insurance Company</v>
      </c>
    </row>
    <row r="2" spans="1:10" x14ac:dyDescent="0.25">
      <c r="A2" s="1" t="s">
        <v>67</v>
      </c>
      <c r="G2" s="29" t="s">
        <v>69</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108</v>
      </c>
      <c r="C5" s="182" t="s">
        <v>256</v>
      </c>
      <c r="D5" s="182" t="s">
        <v>257</v>
      </c>
      <c r="E5" s="182" t="s">
        <v>114</v>
      </c>
      <c r="F5" s="182" t="s">
        <v>258</v>
      </c>
      <c r="G5" s="182" t="s">
        <v>115</v>
      </c>
      <c r="H5" s="182" t="s">
        <v>259</v>
      </c>
      <c r="I5" s="182" t="s">
        <v>260</v>
      </c>
      <c r="J5" s="182" t="s">
        <v>261</v>
      </c>
    </row>
    <row r="6" spans="1:10" x14ac:dyDescent="0.25">
      <c r="A6" s="183" t="s">
        <v>212</v>
      </c>
      <c r="B6" s="229" t="s">
        <v>170</v>
      </c>
      <c r="C6" s="281">
        <v>0</v>
      </c>
      <c r="D6" s="272">
        <v>0</v>
      </c>
      <c r="E6" s="273">
        <v>0</v>
      </c>
      <c r="F6" s="192" t="e">
        <f>E6/$D6</f>
        <v>#DIV/0!</v>
      </c>
      <c r="G6" s="278">
        <v>0</v>
      </c>
      <c r="H6" s="192" t="e">
        <f>G6/$D6</f>
        <v>#DIV/0!</v>
      </c>
      <c r="I6" s="191">
        <f>E6+G6</f>
        <v>0</v>
      </c>
      <c r="J6" s="192" t="e">
        <f>I6/$D6</f>
        <v>#DIV/0!</v>
      </c>
    </row>
    <row r="7" spans="1:10" x14ac:dyDescent="0.25">
      <c r="A7" s="183" t="s">
        <v>213</v>
      </c>
      <c r="B7" s="230" t="e">
        <f>B6-1</f>
        <v>#VALUE!</v>
      </c>
      <c r="C7" s="282">
        <v>0</v>
      </c>
      <c r="D7" s="274">
        <v>0</v>
      </c>
      <c r="E7" s="275">
        <v>0</v>
      </c>
      <c r="F7" s="192" t="e">
        <f>E7/$D7</f>
        <v>#DIV/0!</v>
      </c>
      <c r="G7" s="279">
        <v>0</v>
      </c>
      <c r="H7" s="192" t="e">
        <f>G7/$D7</f>
        <v>#DIV/0!</v>
      </c>
      <c r="I7" s="191">
        <f>E7+G7</f>
        <v>0</v>
      </c>
      <c r="J7" s="192" t="e">
        <f>I7/$D7</f>
        <v>#DIV/0!</v>
      </c>
    </row>
    <row r="8" spans="1:10" x14ac:dyDescent="0.25">
      <c r="A8" s="183" t="s">
        <v>215</v>
      </c>
      <c r="B8" s="231" t="e">
        <f>B7-1</f>
        <v>#VALUE!</v>
      </c>
      <c r="C8" s="283">
        <v>0</v>
      </c>
      <c r="D8" s="276">
        <v>0</v>
      </c>
      <c r="E8" s="277">
        <v>0</v>
      </c>
      <c r="F8" s="193" t="e">
        <f>E8/$D8</f>
        <v>#DIV/0!</v>
      </c>
      <c r="G8" s="280">
        <v>0</v>
      </c>
      <c r="H8" s="193" t="e">
        <f>G8/$D8</f>
        <v>#DIV/0!</v>
      </c>
      <c r="I8" s="200">
        <f>E8+G8</f>
        <v>0</v>
      </c>
      <c r="J8" s="193" t="e">
        <f>I8/$D8</f>
        <v>#DIV/0!</v>
      </c>
    </row>
    <row r="9" spans="1:10" x14ac:dyDescent="0.25">
      <c r="A9" s="183" t="s">
        <v>214</v>
      </c>
      <c r="B9" s="232" t="s">
        <v>262</v>
      </c>
      <c r="C9" s="191">
        <f>AVERAGE(C6:C8)</f>
        <v>0</v>
      </c>
      <c r="D9" s="191">
        <f>AVERAGE(D6:D8)</f>
        <v>0</v>
      </c>
      <c r="E9" s="191">
        <f>AVERAGE(E6:E8)</f>
        <v>0</v>
      </c>
      <c r="F9" s="192" t="e">
        <f>E9/$D9</f>
        <v>#DIV/0!</v>
      </c>
      <c r="G9" s="191">
        <f>AVERAGE(G6:G8)</f>
        <v>0</v>
      </c>
      <c r="H9" s="192" t="e">
        <f>G9/$D9</f>
        <v>#DIV/0!</v>
      </c>
      <c r="I9" s="191">
        <f>AVERAGE(I6:I8)</f>
        <v>0</v>
      </c>
      <c r="J9" s="192" t="e">
        <f>I9/$D9</f>
        <v>#DIV/0!</v>
      </c>
    </row>
    <row r="10" spans="1:10" ht="5.0999999999999996" customHeight="1" x14ac:dyDescent="0.25">
      <c r="A10" s="183"/>
      <c r="B10" s="4"/>
      <c r="C10" s="185"/>
      <c r="D10" s="185"/>
      <c r="E10" s="185"/>
      <c r="F10" s="184"/>
      <c r="G10" s="185"/>
      <c r="H10" s="184"/>
      <c r="I10" s="185"/>
      <c r="J10" s="184"/>
    </row>
    <row r="11" spans="1:10" x14ac:dyDescent="0.25">
      <c r="A11" s="128"/>
      <c r="B11" s="186" t="e">
        <f>"Source: Annual Statement for "&amp;B8&amp;", "&amp;B7&amp;" &amp; "&amp;B6</f>
        <v>#VALUE!</v>
      </c>
      <c r="F11" s="187"/>
    </row>
    <row r="12" spans="1:10" x14ac:dyDescent="0.25">
      <c r="B12" s="296" t="s">
        <v>344</v>
      </c>
      <c r="F12" s="187"/>
    </row>
    <row r="13" spans="1:10" x14ac:dyDescent="0.25">
      <c r="A13" s="128"/>
      <c r="B13" s="186" t="s">
        <v>263</v>
      </c>
    </row>
    <row r="14" spans="1:10" x14ac:dyDescent="0.25">
      <c r="A14" s="128"/>
    </row>
    <row r="15" spans="1:10" x14ac:dyDescent="0.25">
      <c r="A15" s="128"/>
      <c r="B15" s="187" t="s">
        <v>345</v>
      </c>
    </row>
    <row r="16" spans="1:10" ht="30.75" thickBot="1" x14ac:dyDescent="0.3">
      <c r="A16" s="128"/>
      <c r="B16" s="182" t="s">
        <v>108</v>
      </c>
      <c r="C16" s="182" t="s">
        <v>256</v>
      </c>
      <c r="D16" s="182" t="s">
        <v>257</v>
      </c>
      <c r="E16" s="182" t="s">
        <v>114</v>
      </c>
      <c r="F16" s="182" t="s">
        <v>258</v>
      </c>
      <c r="G16" s="182" t="s">
        <v>115</v>
      </c>
      <c r="H16" s="182" t="s">
        <v>259</v>
      </c>
      <c r="I16" s="182" t="s">
        <v>260</v>
      </c>
      <c r="J16" s="182" t="s">
        <v>261</v>
      </c>
    </row>
    <row r="17" spans="1:10" x14ac:dyDescent="0.25">
      <c r="A17" s="183" t="s">
        <v>216</v>
      </c>
      <c r="B17" s="190" t="str">
        <f>$B$6</f>
        <v>YYYY</v>
      </c>
      <c r="C17" s="194">
        <f t="shared" ref="C17:E18" si="0">C26+C33+C40+C47+C54+C61+C68+C75+C82+C89+C96+C103+C110+C117+C124+C131+C138+C145+C152+C159+C166+C173+C180+C187+C194+C201+C208+C215+C222+C229</f>
        <v>0</v>
      </c>
      <c r="D17" s="194">
        <f t="shared" si="0"/>
        <v>0</v>
      </c>
      <c r="E17" s="194">
        <f t="shared" si="0"/>
        <v>0</v>
      </c>
      <c r="F17" s="195" t="e">
        <f>E17/$D17</f>
        <v>#DIV/0!</v>
      </c>
      <c r="G17" s="194">
        <f>G26+G33+G40+G47+G54+G61+G68+G75+G82+G89+G96+G103+G110+G117+G124+G131+G138+G145+G152+G159+G166+G173+G180+G187+G194+G201+G208+G215+G222+G229</f>
        <v>0</v>
      </c>
      <c r="H17" s="195" t="e">
        <f>G17/$D17</f>
        <v>#DIV/0!</v>
      </c>
      <c r="I17" s="194">
        <f>I26+I33+I40+I47+I54+I61+I68+I75+I82+I89+I96+I103+I110+I117+I124+I131+I138+I145+I152+I159+I166+I173+I180+I187+I194+I201+I208+I215+I222+I229</f>
        <v>0</v>
      </c>
      <c r="J17" s="195" t="e">
        <f>I17/$D17</f>
        <v>#DIV/0!</v>
      </c>
    </row>
    <row r="18" spans="1:10" x14ac:dyDescent="0.25">
      <c r="A18" s="183" t="s">
        <v>217</v>
      </c>
      <c r="B18" s="190" t="e">
        <f>$B$7</f>
        <v>#VALUE!</v>
      </c>
      <c r="C18" s="194">
        <f t="shared" si="0"/>
        <v>0</v>
      </c>
      <c r="D18" s="194">
        <f t="shared" si="0"/>
        <v>0</v>
      </c>
      <c r="E18" s="194">
        <f t="shared" si="0"/>
        <v>0</v>
      </c>
      <c r="F18" s="195" t="e">
        <f>E18/$D18</f>
        <v>#DIV/0!</v>
      </c>
      <c r="G18" s="194">
        <f>G27+G34+G41+G48+G55+G62+G69+G76+G83+G90+G97+G104+G111+G118+G125+G132+G139+G146+G153+G160+G167+G174+G181+G188+G195+G202+G209+G216+G223+G230</f>
        <v>0</v>
      </c>
      <c r="H18" s="195" t="e">
        <f>G18/$D18</f>
        <v>#DIV/0!</v>
      </c>
      <c r="I18" s="194">
        <f>I27+I34+I41+I48+I55+I62+I69+I76+I83+I90+I97+I104+I111+I118+I125+I132+I139+I146+I153+I160+I167+I174+I181+I188+I195+I1202+I209+I216+I223+I230</f>
        <v>0</v>
      </c>
      <c r="J18" s="195" t="e">
        <f>I18/$D18</f>
        <v>#DIV/0!</v>
      </c>
    </row>
    <row r="19" spans="1:10" x14ac:dyDescent="0.25">
      <c r="A19" s="183" t="s">
        <v>218</v>
      </c>
      <c r="B19" s="196" t="e">
        <f>$B$8</f>
        <v>#VALUE!</v>
      </c>
      <c r="C19" s="197">
        <f>C28+C35+C42+C49+C56+C63+C70+C77+C84+C91+C98+C105+C112+C119+C126+C133+C140+C147+C154+C161+C168+C175+C182+C189+C196+C203+C210+C217+C224+C231</f>
        <v>0</v>
      </c>
      <c r="D19" s="197">
        <f>D28+D35+D42+D49+D56+D63+D70+D77+D84+D91+D98+D105+D112+D119+D126+D133+D140+D147+D154+D161+D168+D175+D182+D189+D196+D203+D210+D217+D224+D231</f>
        <v>0</v>
      </c>
      <c r="E19" s="197">
        <f>E28+E35+E42+E49+E56+E63+E70+E77+E84+E91+E98+E105+E112+E119+E126+E133+E140+E147+E154+E161+E168+E175+E182+E189+E196+E203+E210+E217+E224+E231</f>
        <v>0</v>
      </c>
      <c r="F19" s="198" t="e">
        <f>E19/$D19</f>
        <v>#DIV/0!</v>
      </c>
      <c r="G19" s="197">
        <f>G28+G35+G42+G49+G56+G63+G70+G77+G84+G91+G98+G105+G112+G119+G126+G133+G140+G147+G154+G161+G168+G175+G181+G189+G196+G203+G210+G217+G224+G231</f>
        <v>0</v>
      </c>
      <c r="H19" s="198" t="e">
        <f>G19/$D19</f>
        <v>#DIV/0!</v>
      </c>
      <c r="I19" s="197">
        <f>I28+I35+I42+I49+I56+I63+I70+I77+I84+I91+I98+I105+I112+I119+I126+I133+I140+I147+I154+I161+I168+I175+I182+I189+I196+I203+I210+I217+I224+I231</f>
        <v>0</v>
      </c>
      <c r="J19" s="198" t="e">
        <f>I19/$D19</f>
        <v>#DIV/0!</v>
      </c>
    </row>
    <row r="20" spans="1:10" x14ac:dyDescent="0.25">
      <c r="A20" s="183" t="s">
        <v>219</v>
      </c>
      <c r="B20" s="190" t="s">
        <v>262</v>
      </c>
      <c r="C20" s="194">
        <f>AVERAGE(C17:C19)</f>
        <v>0</v>
      </c>
      <c r="D20" s="194">
        <f>AVERAGE(D17:D19)</f>
        <v>0</v>
      </c>
      <c r="E20" s="194">
        <f>AVERAGE(E17:E19)</f>
        <v>0</v>
      </c>
      <c r="F20" s="195" t="e">
        <f>E20/$D20</f>
        <v>#DIV/0!</v>
      </c>
      <c r="G20" s="194">
        <f>AVERAGE(G17:G19)</f>
        <v>0</v>
      </c>
      <c r="H20" s="195" t="e">
        <f>G20/$D20</f>
        <v>#DIV/0!</v>
      </c>
      <c r="I20" s="194">
        <f>AVERAGE(I17:I19)</f>
        <v>0</v>
      </c>
      <c r="J20" s="195" t="e">
        <f>I20/$D20</f>
        <v>#DIV/0!</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t="e">
        <f t="shared" si="1"/>
        <v>#DIV/0!</v>
      </c>
      <c r="G22" s="199">
        <f t="shared" si="1"/>
        <v>0</v>
      </c>
      <c r="H22" s="199" t="e">
        <f t="shared" si="1"/>
        <v>#DIV/0!</v>
      </c>
      <c r="I22" s="199">
        <f>I20-I9</f>
        <v>0</v>
      </c>
      <c r="J22" s="199" t="e">
        <f t="shared" si="1"/>
        <v>#DIV/0!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346</v>
      </c>
      <c r="C24" s="527"/>
    </row>
    <row r="25" spans="1:10" ht="30.75" thickBot="1" x14ac:dyDescent="0.3">
      <c r="A25" s="128"/>
      <c r="B25" s="182" t="s">
        <v>108</v>
      </c>
      <c r="C25" s="182" t="s">
        <v>256</v>
      </c>
      <c r="D25" s="182" t="s">
        <v>257</v>
      </c>
      <c r="E25" s="182" t="s">
        <v>114</v>
      </c>
      <c r="F25" s="182" t="s">
        <v>258</v>
      </c>
      <c r="G25" s="182" t="s">
        <v>115</v>
      </c>
      <c r="H25" s="182" t="s">
        <v>259</v>
      </c>
      <c r="I25" s="182" t="s">
        <v>260</v>
      </c>
      <c r="J25" s="182" t="s">
        <v>261</v>
      </c>
    </row>
    <row r="26" spans="1:10" x14ac:dyDescent="0.25">
      <c r="A26" s="128"/>
      <c r="B26" s="190" t="str">
        <f>$B$6</f>
        <v>YYYY</v>
      </c>
      <c r="C26" s="281">
        <v>0</v>
      </c>
      <c r="D26" s="272">
        <v>0</v>
      </c>
      <c r="E26" s="273">
        <v>0</v>
      </c>
      <c r="F26" s="192" t="e">
        <f>E26/$D26</f>
        <v>#DIV/0!</v>
      </c>
      <c r="G26" s="278">
        <v>0</v>
      </c>
      <c r="H26" s="192" t="e">
        <f>G26/$D26</f>
        <v>#DIV/0!</v>
      </c>
      <c r="I26" s="191">
        <f>E26+G26</f>
        <v>0</v>
      </c>
      <c r="J26" s="192" t="e">
        <f>I26/$D26</f>
        <v>#DIV/0!</v>
      </c>
    </row>
    <row r="27" spans="1:10" x14ac:dyDescent="0.25">
      <c r="A27" s="128"/>
      <c r="B27" s="190" t="e">
        <f>$B$7</f>
        <v>#VALUE!</v>
      </c>
      <c r="C27" s="282">
        <v>0</v>
      </c>
      <c r="D27" s="274">
        <v>0</v>
      </c>
      <c r="E27" s="275">
        <v>0</v>
      </c>
      <c r="F27" s="192" t="e">
        <f>E27/$D27</f>
        <v>#DIV/0!</v>
      </c>
      <c r="G27" s="279">
        <v>0</v>
      </c>
      <c r="H27" s="192" t="e">
        <f>G27/$D27</f>
        <v>#DIV/0!</v>
      </c>
      <c r="I27" s="191">
        <f>E27+G27</f>
        <v>0</v>
      </c>
      <c r="J27" s="192" t="e">
        <f>I27/$D27</f>
        <v>#DIV/0!</v>
      </c>
    </row>
    <row r="28" spans="1:10" x14ac:dyDescent="0.25">
      <c r="A28" s="128"/>
      <c r="B28" s="196" t="e">
        <f>$B$8</f>
        <v>#VALUE!</v>
      </c>
      <c r="C28" s="283">
        <v>0</v>
      </c>
      <c r="D28" s="276">
        <v>0</v>
      </c>
      <c r="E28" s="277">
        <v>0</v>
      </c>
      <c r="F28" s="193" t="e">
        <f>E28/$D28</f>
        <v>#DIV/0!</v>
      </c>
      <c r="G28" s="280">
        <v>0</v>
      </c>
      <c r="H28" s="193" t="e">
        <f>G28/$D28</f>
        <v>#DIV/0!</v>
      </c>
      <c r="I28" s="200">
        <f>E28+G28</f>
        <v>0</v>
      </c>
      <c r="J28" s="193" t="e">
        <f>I28/$D28</f>
        <v>#DIV/0!</v>
      </c>
    </row>
    <row r="29" spans="1:10" x14ac:dyDescent="0.25">
      <c r="A29" s="128"/>
      <c r="B29" s="190" t="s">
        <v>262</v>
      </c>
      <c r="C29" s="191">
        <f>AVERAGE(C26:C28)</f>
        <v>0</v>
      </c>
      <c r="D29" s="191">
        <f>AVERAGE(D26:D28)</f>
        <v>0</v>
      </c>
      <c r="E29" s="191">
        <f>AVERAGE(E26:E28)</f>
        <v>0</v>
      </c>
      <c r="F29" s="192" t="e">
        <f>E29/$D29</f>
        <v>#DIV/0!</v>
      </c>
      <c r="G29" s="191">
        <f>AVERAGE(G26:G28)</f>
        <v>0</v>
      </c>
      <c r="H29" s="192" t="e">
        <f>G29/$D29</f>
        <v>#DIV/0!</v>
      </c>
      <c r="I29" s="191">
        <f>AVERAGE(I26:I28)</f>
        <v>0</v>
      </c>
      <c r="J29" s="192" t="e">
        <f>I29/$D29</f>
        <v>#DIV/0!</v>
      </c>
    </row>
    <row r="30" spans="1:10" x14ac:dyDescent="0.25">
      <c r="A30" s="128"/>
    </row>
    <row r="31" spans="1:10" x14ac:dyDescent="0.25">
      <c r="A31" s="128"/>
      <c r="B31" s="527" t="s">
        <v>346</v>
      </c>
      <c r="C31" s="527"/>
    </row>
    <row r="32" spans="1:10" ht="30.75" thickBot="1" x14ac:dyDescent="0.3">
      <c r="A32" s="128"/>
      <c r="B32" s="182" t="s">
        <v>108</v>
      </c>
      <c r="C32" s="182" t="s">
        <v>256</v>
      </c>
      <c r="D32" s="182" t="s">
        <v>257</v>
      </c>
      <c r="E32" s="182" t="s">
        <v>114</v>
      </c>
      <c r="F32" s="182" t="s">
        <v>258</v>
      </c>
      <c r="G32" s="182" t="s">
        <v>115</v>
      </c>
      <c r="H32" s="182" t="s">
        <v>259</v>
      </c>
      <c r="I32" s="182" t="s">
        <v>260</v>
      </c>
      <c r="J32" s="182" t="s">
        <v>261</v>
      </c>
    </row>
    <row r="33" spans="1:10" x14ac:dyDescent="0.25">
      <c r="A33" s="128"/>
      <c r="B33" s="190" t="str">
        <f>$B$6</f>
        <v>YYYY</v>
      </c>
      <c r="C33" s="281">
        <v>0</v>
      </c>
      <c r="D33" s="272">
        <v>0</v>
      </c>
      <c r="E33" s="273">
        <v>0</v>
      </c>
      <c r="F33" s="192" t="e">
        <f>E33/$D33</f>
        <v>#DIV/0!</v>
      </c>
      <c r="G33" s="278">
        <v>0</v>
      </c>
      <c r="H33" s="192" t="e">
        <f>G33/$D33</f>
        <v>#DIV/0!</v>
      </c>
      <c r="I33" s="191">
        <f>E33+G33</f>
        <v>0</v>
      </c>
      <c r="J33" s="192" t="e">
        <f>I33/$D33</f>
        <v>#DIV/0!</v>
      </c>
    </row>
    <row r="34" spans="1:10" x14ac:dyDescent="0.25">
      <c r="A34" s="128"/>
      <c r="B34" s="190" t="e">
        <f>$B$7</f>
        <v>#VALUE!</v>
      </c>
      <c r="C34" s="282">
        <v>0</v>
      </c>
      <c r="D34" s="274">
        <v>0</v>
      </c>
      <c r="E34" s="275">
        <v>0</v>
      </c>
      <c r="F34" s="192" t="e">
        <f>E34/$D34</f>
        <v>#DIV/0!</v>
      </c>
      <c r="G34" s="279">
        <v>0</v>
      </c>
      <c r="H34" s="192" t="e">
        <f>G34/$D34</f>
        <v>#DIV/0!</v>
      </c>
      <c r="I34" s="191">
        <f>E34+G34</f>
        <v>0</v>
      </c>
      <c r="J34" s="192" t="e">
        <f>I34/$D34</f>
        <v>#DIV/0!</v>
      </c>
    </row>
    <row r="35" spans="1:10" x14ac:dyDescent="0.25">
      <c r="A35" s="128"/>
      <c r="B35" s="196" t="e">
        <f>$B$8</f>
        <v>#VALUE!</v>
      </c>
      <c r="C35" s="283">
        <v>0</v>
      </c>
      <c r="D35" s="276">
        <v>0</v>
      </c>
      <c r="E35" s="277">
        <v>0</v>
      </c>
      <c r="F35" s="193" t="e">
        <f>E35/$D35</f>
        <v>#DIV/0!</v>
      </c>
      <c r="G35" s="280">
        <v>0</v>
      </c>
      <c r="H35" s="193" t="e">
        <f>G35/$D35</f>
        <v>#DIV/0!</v>
      </c>
      <c r="I35" s="200">
        <f>E35+G35</f>
        <v>0</v>
      </c>
      <c r="J35" s="193" t="e">
        <f>I35/$D35</f>
        <v>#DIV/0!</v>
      </c>
    </row>
    <row r="36" spans="1:10" x14ac:dyDescent="0.25">
      <c r="A36" s="128"/>
      <c r="B36" s="190" t="s">
        <v>262</v>
      </c>
      <c r="C36" s="191">
        <f>AVERAGE(C33:C35)</f>
        <v>0</v>
      </c>
      <c r="D36" s="191">
        <f>AVERAGE(D33:D35)</f>
        <v>0</v>
      </c>
      <c r="E36" s="191">
        <f>AVERAGE(E33:E35)</f>
        <v>0</v>
      </c>
      <c r="F36" s="192" t="e">
        <f>E36/$D36</f>
        <v>#DIV/0!</v>
      </c>
      <c r="G36" s="191">
        <f>AVERAGE(G33:G35)</f>
        <v>0</v>
      </c>
      <c r="H36" s="192" t="e">
        <f>G36/$D36</f>
        <v>#DIV/0!</v>
      </c>
      <c r="I36" s="191">
        <f>AVERAGE(I33:I35)</f>
        <v>0</v>
      </c>
      <c r="J36" s="192" t="e">
        <f>I36/$D36</f>
        <v>#DIV/0!</v>
      </c>
    </row>
    <row r="37" spans="1:10" x14ac:dyDescent="0.25">
      <c r="A37" s="128"/>
    </row>
    <row r="38" spans="1:10" x14ac:dyDescent="0.25">
      <c r="A38" s="128"/>
      <c r="B38" s="527" t="s">
        <v>346</v>
      </c>
      <c r="C38" s="527"/>
    </row>
    <row r="39" spans="1:10" ht="30.75" thickBot="1" x14ac:dyDescent="0.3">
      <c r="A39" s="128"/>
      <c r="B39" s="182" t="s">
        <v>108</v>
      </c>
      <c r="C39" s="182" t="s">
        <v>256</v>
      </c>
      <c r="D39" s="182" t="s">
        <v>257</v>
      </c>
      <c r="E39" s="182" t="s">
        <v>114</v>
      </c>
      <c r="F39" s="182" t="s">
        <v>258</v>
      </c>
      <c r="G39" s="182" t="s">
        <v>115</v>
      </c>
      <c r="H39" s="182" t="s">
        <v>259</v>
      </c>
      <c r="I39" s="182" t="s">
        <v>260</v>
      </c>
      <c r="J39" s="182" t="s">
        <v>261</v>
      </c>
    </row>
    <row r="40" spans="1:10" x14ac:dyDescent="0.25">
      <c r="A40" s="128"/>
      <c r="B40" s="190" t="str">
        <f>$B$6</f>
        <v>YYYY</v>
      </c>
      <c r="C40" s="281">
        <v>0</v>
      </c>
      <c r="D40" s="272">
        <v>0</v>
      </c>
      <c r="E40" s="273">
        <v>0</v>
      </c>
      <c r="F40" s="192" t="e">
        <f>E40/$D40</f>
        <v>#DIV/0!</v>
      </c>
      <c r="G40" s="278">
        <v>0</v>
      </c>
      <c r="H40" s="192" t="e">
        <f>G40/$D40</f>
        <v>#DIV/0!</v>
      </c>
      <c r="I40" s="191">
        <f>E40+G40</f>
        <v>0</v>
      </c>
      <c r="J40" s="192" t="e">
        <f>I40/$D40</f>
        <v>#DIV/0!</v>
      </c>
    </row>
    <row r="41" spans="1:10" x14ac:dyDescent="0.25">
      <c r="A41" s="128"/>
      <c r="B41" s="190" t="e">
        <f>$B$7</f>
        <v>#VALUE!</v>
      </c>
      <c r="C41" s="282">
        <v>0</v>
      </c>
      <c r="D41" s="274">
        <v>0</v>
      </c>
      <c r="E41" s="275">
        <v>0</v>
      </c>
      <c r="F41" s="192" t="e">
        <f>E41/$D41</f>
        <v>#DIV/0!</v>
      </c>
      <c r="G41" s="279">
        <v>0</v>
      </c>
      <c r="H41" s="192" t="e">
        <f>G41/$D41</f>
        <v>#DIV/0!</v>
      </c>
      <c r="I41" s="191">
        <f>E41+G41</f>
        <v>0</v>
      </c>
      <c r="J41" s="192" t="e">
        <f>I41/$D41</f>
        <v>#DIV/0!</v>
      </c>
    </row>
    <row r="42" spans="1:10" x14ac:dyDescent="0.25">
      <c r="A42" s="128"/>
      <c r="B42" s="196" t="e">
        <f>$B$8</f>
        <v>#VALUE!</v>
      </c>
      <c r="C42" s="283">
        <v>0</v>
      </c>
      <c r="D42" s="276">
        <v>0</v>
      </c>
      <c r="E42" s="277">
        <v>0</v>
      </c>
      <c r="F42" s="193" t="e">
        <f>E42/$D42</f>
        <v>#DIV/0!</v>
      </c>
      <c r="G42" s="280">
        <v>0</v>
      </c>
      <c r="H42" s="193" t="e">
        <f>G42/$D42</f>
        <v>#DIV/0!</v>
      </c>
      <c r="I42" s="200">
        <f>E42+G42</f>
        <v>0</v>
      </c>
      <c r="J42" s="193" t="e">
        <f>I42/$D42</f>
        <v>#DIV/0!</v>
      </c>
    </row>
    <row r="43" spans="1:10" x14ac:dyDescent="0.25">
      <c r="A43" s="128"/>
      <c r="B43" s="190" t="s">
        <v>262</v>
      </c>
      <c r="C43" s="191">
        <f>AVERAGE(C40:C42)</f>
        <v>0</v>
      </c>
      <c r="D43" s="191">
        <f>AVERAGE(D40:D42)</f>
        <v>0</v>
      </c>
      <c r="E43" s="191">
        <f>AVERAGE(E40:E42)</f>
        <v>0</v>
      </c>
      <c r="F43" s="192" t="e">
        <f>E43/$D43</f>
        <v>#DIV/0!</v>
      </c>
      <c r="G43" s="191">
        <f>AVERAGE(G40:G42)</f>
        <v>0</v>
      </c>
      <c r="H43" s="192" t="e">
        <f>G43/$D43</f>
        <v>#DIV/0!</v>
      </c>
      <c r="I43" s="191">
        <f>AVERAGE(I40:I42)</f>
        <v>0</v>
      </c>
      <c r="J43" s="192" t="e">
        <f>I43/$D43</f>
        <v>#DIV/0!</v>
      </c>
    </row>
    <row r="44" spans="1:10" x14ac:dyDescent="0.25">
      <c r="A44" s="128"/>
    </row>
    <row r="45" spans="1:10" x14ac:dyDescent="0.25">
      <c r="A45" s="128"/>
      <c r="B45" s="527" t="s">
        <v>346</v>
      </c>
      <c r="C45" s="527"/>
    </row>
    <row r="46" spans="1:10" ht="30.75" thickBot="1" x14ac:dyDescent="0.3">
      <c r="A46" s="128"/>
      <c r="B46" s="182" t="s">
        <v>108</v>
      </c>
      <c r="C46" s="182" t="s">
        <v>256</v>
      </c>
      <c r="D46" s="182" t="s">
        <v>257</v>
      </c>
      <c r="E46" s="182" t="s">
        <v>114</v>
      </c>
      <c r="F46" s="182" t="s">
        <v>258</v>
      </c>
      <c r="G46" s="182" t="s">
        <v>115</v>
      </c>
      <c r="H46" s="182" t="s">
        <v>259</v>
      </c>
      <c r="I46" s="182" t="s">
        <v>260</v>
      </c>
      <c r="J46" s="182" t="s">
        <v>261</v>
      </c>
    </row>
    <row r="47" spans="1:10" x14ac:dyDescent="0.25">
      <c r="A47" s="128"/>
      <c r="B47" s="190" t="str">
        <f>$B$6</f>
        <v>YYYY</v>
      </c>
      <c r="C47" s="281">
        <v>0</v>
      </c>
      <c r="D47" s="272">
        <v>0</v>
      </c>
      <c r="E47" s="273">
        <v>0</v>
      </c>
      <c r="F47" s="192" t="e">
        <f>E47/$D47</f>
        <v>#DIV/0!</v>
      </c>
      <c r="G47" s="278">
        <v>0</v>
      </c>
      <c r="H47" s="192" t="e">
        <f>G47/$D47</f>
        <v>#DIV/0!</v>
      </c>
      <c r="I47" s="191">
        <f>E47+G47</f>
        <v>0</v>
      </c>
      <c r="J47" s="192" t="e">
        <f>I47/$D47</f>
        <v>#DIV/0!</v>
      </c>
    </row>
    <row r="48" spans="1:10" x14ac:dyDescent="0.25">
      <c r="A48" s="128"/>
      <c r="B48" s="190" t="e">
        <f>$B$7</f>
        <v>#VALUE!</v>
      </c>
      <c r="C48" s="282">
        <v>0</v>
      </c>
      <c r="D48" s="274">
        <v>0</v>
      </c>
      <c r="E48" s="275">
        <v>0</v>
      </c>
      <c r="F48" s="192" t="e">
        <f>E48/$D48</f>
        <v>#DIV/0!</v>
      </c>
      <c r="G48" s="279">
        <v>0</v>
      </c>
      <c r="H48" s="192" t="e">
        <f>G48/$D48</f>
        <v>#DIV/0!</v>
      </c>
      <c r="I48" s="191">
        <f>E48+G48</f>
        <v>0</v>
      </c>
      <c r="J48" s="192" t="e">
        <f>I48/$D48</f>
        <v>#DIV/0!</v>
      </c>
    </row>
    <row r="49" spans="1:10" x14ac:dyDescent="0.25">
      <c r="A49" s="128"/>
      <c r="B49" s="196" t="e">
        <f>$B$8</f>
        <v>#VALUE!</v>
      </c>
      <c r="C49" s="283">
        <v>0</v>
      </c>
      <c r="D49" s="276">
        <v>0</v>
      </c>
      <c r="E49" s="277">
        <v>0</v>
      </c>
      <c r="F49" s="193" t="e">
        <f>E49/$D49</f>
        <v>#DIV/0!</v>
      </c>
      <c r="G49" s="280">
        <v>0</v>
      </c>
      <c r="H49" s="193" t="e">
        <f>G49/$D49</f>
        <v>#DIV/0!</v>
      </c>
      <c r="I49" s="200">
        <f>E49+G49</f>
        <v>0</v>
      </c>
      <c r="J49" s="193" t="e">
        <f>I49/$D49</f>
        <v>#DIV/0!</v>
      </c>
    </row>
    <row r="50" spans="1:10" x14ac:dyDescent="0.25">
      <c r="A50" s="128"/>
      <c r="B50" s="190" t="s">
        <v>262</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7" t="s">
        <v>346</v>
      </c>
      <c r="C52" s="527"/>
    </row>
    <row r="53" spans="1:10" ht="30.75" thickBot="1" x14ac:dyDescent="0.3">
      <c r="A53" s="128"/>
      <c r="B53" s="182" t="s">
        <v>108</v>
      </c>
      <c r="C53" s="182" t="s">
        <v>256</v>
      </c>
      <c r="D53" s="182" t="s">
        <v>257</v>
      </c>
      <c r="E53" s="182" t="s">
        <v>114</v>
      </c>
      <c r="F53" s="182" t="s">
        <v>258</v>
      </c>
      <c r="G53" s="182" t="s">
        <v>115</v>
      </c>
      <c r="H53" s="182" t="s">
        <v>259</v>
      </c>
      <c r="I53" s="182" t="s">
        <v>260</v>
      </c>
      <c r="J53" s="182" t="s">
        <v>261</v>
      </c>
    </row>
    <row r="54" spans="1:10" x14ac:dyDescent="0.25">
      <c r="A54" s="128"/>
      <c r="B54" s="190" t="str">
        <f>$B$6</f>
        <v>YYYY</v>
      </c>
      <c r="C54" s="281">
        <v>0</v>
      </c>
      <c r="D54" s="272">
        <v>0</v>
      </c>
      <c r="E54" s="273">
        <v>0</v>
      </c>
      <c r="F54" s="192" t="e">
        <f>E54/$D54</f>
        <v>#DIV/0!</v>
      </c>
      <c r="G54" s="278">
        <v>0</v>
      </c>
      <c r="H54" s="192" t="e">
        <f>G54/$D54</f>
        <v>#DIV/0!</v>
      </c>
      <c r="I54" s="191">
        <f>E54+G54</f>
        <v>0</v>
      </c>
      <c r="J54" s="192" t="e">
        <f>I54/$D54</f>
        <v>#DIV/0!</v>
      </c>
    </row>
    <row r="55" spans="1:10" x14ac:dyDescent="0.25">
      <c r="A55" s="128"/>
      <c r="B55" s="190" t="e">
        <f>$B$7</f>
        <v>#VALUE!</v>
      </c>
      <c r="C55" s="282">
        <v>0</v>
      </c>
      <c r="D55" s="274">
        <v>0</v>
      </c>
      <c r="E55" s="275">
        <v>0</v>
      </c>
      <c r="F55" s="192" t="e">
        <f>E55/$D55</f>
        <v>#DIV/0!</v>
      </c>
      <c r="G55" s="279">
        <v>0</v>
      </c>
      <c r="H55" s="192" t="e">
        <f>G55/$D55</f>
        <v>#DIV/0!</v>
      </c>
      <c r="I55" s="191">
        <f>E55+G55</f>
        <v>0</v>
      </c>
      <c r="J55" s="192" t="e">
        <f>I55/$D55</f>
        <v>#DIV/0!</v>
      </c>
    </row>
    <row r="56" spans="1:10" x14ac:dyDescent="0.25">
      <c r="A56" s="128"/>
      <c r="B56" s="196" t="e">
        <f>$B$8</f>
        <v>#VALUE!</v>
      </c>
      <c r="C56" s="283">
        <v>0</v>
      </c>
      <c r="D56" s="276">
        <v>0</v>
      </c>
      <c r="E56" s="277">
        <v>0</v>
      </c>
      <c r="F56" s="193" t="e">
        <f>E56/$D56</f>
        <v>#DIV/0!</v>
      </c>
      <c r="G56" s="280">
        <v>0</v>
      </c>
      <c r="H56" s="193" t="e">
        <f>G56/$D56</f>
        <v>#DIV/0!</v>
      </c>
      <c r="I56" s="200">
        <f>E56+G56</f>
        <v>0</v>
      </c>
      <c r="J56" s="193" t="e">
        <f>I56/$D56</f>
        <v>#DIV/0!</v>
      </c>
    </row>
    <row r="57" spans="1:10" x14ac:dyDescent="0.25">
      <c r="A57" s="128"/>
      <c r="B57" s="190" t="s">
        <v>262</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7" t="s">
        <v>346</v>
      </c>
      <c r="C59" s="527"/>
    </row>
    <row r="60" spans="1:10" ht="30.75" hidden="1" thickBot="1" x14ac:dyDescent="0.3">
      <c r="A60" s="128"/>
      <c r="B60" s="182" t="s">
        <v>108</v>
      </c>
      <c r="C60" s="182" t="s">
        <v>256</v>
      </c>
      <c r="D60" s="182" t="s">
        <v>257</v>
      </c>
      <c r="E60" s="182" t="s">
        <v>114</v>
      </c>
      <c r="F60" s="182" t="s">
        <v>258</v>
      </c>
      <c r="G60" s="182" t="s">
        <v>115</v>
      </c>
      <c r="H60" s="182" t="s">
        <v>259</v>
      </c>
      <c r="I60" s="182" t="s">
        <v>260</v>
      </c>
      <c r="J60" s="182" t="s">
        <v>261</v>
      </c>
    </row>
    <row r="61" spans="1:10" hidden="1" x14ac:dyDescent="0.25">
      <c r="A61" s="128"/>
      <c r="B61" s="190" t="str">
        <f>$B$6</f>
        <v>YYYY</v>
      </c>
      <c r="C61" s="281">
        <v>0</v>
      </c>
      <c r="D61" s="272">
        <v>0</v>
      </c>
      <c r="E61" s="273">
        <v>0</v>
      </c>
      <c r="F61" s="192" t="e">
        <f>E61/$D61</f>
        <v>#DIV/0!</v>
      </c>
      <c r="G61" s="278">
        <v>0</v>
      </c>
      <c r="H61" s="192" t="e">
        <f>G61/$D61</f>
        <v>#DIV/0!</v>
      </c>
      <c r="I61" s="191">
        <f>E61+G61</f>
        <v>0</v>
      </c>
      <c r="J61" s="192" t="e">
        <f>I61/$D61</f>
        <v>#DIV/0!</v>
      </c>
    </row>
    <row r="62" spans="1:10" hidden="1" x14ac:dyDescent="0.25">
      <c r="A62" s="128"/>
      <c r="B62" s="190" t="e">
        <f>$B$7</f>
        <v>#VALUE!</v>
      </c>
      <c r="C62" s="282">
        <v>0</v>
      </c>
      <c r="D62" s="274">
        <v>0</v>
      </c>
      <c r="E62" s="275">
        <v>0</v>
      </c>
      <c r="F62" s="192" t="e">
        <f>E62/$D62</f>
        <v>#DIV/0!</v>
      </c>
      <c r="G62" s="279">
        <v>0</v>
      </c>
      <c r="H62" s="192" t="e">
        <f>G62/$D62</f>
        <v>#DIV/0!</v>
      </c>
      <c r="I62" s="191">
        <f>E62+G62</f>
        <v>0</v>
      </c>
      <c r="J62" s="192" t="e">
        <f>I62/$D62</f>
        <v>#DIV/0!</v>
      </c>
    </row>
    <row r="63" spans="1:10" hidden="1" x14ac:dyDescent="0.25">
      <c r="A63" s="128"/>
      <c r="B63" s="196" t="e">
        <f>$B$8</f>
        <v>#VALUE!</v>
      </c>
      <c r="C63" s="283">
        <v>0</v>
      </c>
      <c r="D63" s="276">
        <v>0</v>
      </c>
      <c r="E63" s="277">
        <v>0</v>
      </c>
      <c r="F63" s="193" t="e">
        <f>E63/$D63</f>
        <v>#DIV/0!</v>
      </c>
      <c r="G63" s="280">
        <v>0</v>
      </c>
      <c r="H63" s="193" t="e">
        <f>G63/$D63</f>
        <v>#DIV/0!</v>
      </c>
      <c r="I63" s="200">
        <f>E63+G63</f>
        <v>0</v>
      </c>
      <c r="J63" s="193" t="e">
        <f>I63/$D63</f>
        <v>#DIV/0!</v>
      </c>
    </row>
    <row r="64" spans="1:10" hidden="1" x14ac:dyDescent="0.25">
      <c r="A64" s="128"/>
      <c r="B64" s="190" t="s">
        <v>262</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7" t="s">
        <v>346</v>
      </c>
      <c r="C66" s="527"/>
    </row>
    <row r="67" spans="1:10" ht="30.75" hidden="1" thickBot="1" x14ac:dyDescent="0.3">
      <c r="A67" s="128"/>
      <c r="B67" s="182" t="s">
        <v>108</v>
      </c>
      <c r="C67" s="182" t="s">
        <v>256</v>
      </c>
      <c r="D67" s="182" t="s">
        <v>257</v>
      </c>
      <c r="E67" s="182" t="s">
        <v>114</v>
      </c>
      <c r="F67" s="182" t="s">
        <v>258</v>
      </c>
      <c r="G67" s="182" t="s">
        <v>115</v>
      </c>
      <c r="H67" s="182" t="s">
        <v>259</v>
      </c>
      <c r="I67" s="182" t="s">
        <v>260</v>
      </c>
      <c r="J67" s="182" t="s">
        <v>261</v>
      </c>
    </row>
    <row r="68" spans="1:10" hidden="1" x14ac:dyDescent="0.25">
      <c r="A68" s="128"/>
      <c r="B68" s="190" t="str">
        <f>$B$6</f>
        <v>YYYY</v>
      </c>
      <c r="C68" s="281">
        <v>0</v>
      </c>
      <c r="D68" s="272">
        <v>0</v>
      </c>
      <c r="E68" s="273">
        <v>0</v>
      </c>
      <c r="F68" s="192" t="e">
        <f>E68/$D68</f>
        <v>#DIV/0!</v>
      </c>
      <c r="G68" s="278">
        <v>0</v>
      </c>
      <c r="H68" s="192" t="e">
        <f>G68/$D68</f>
        <v>#DIV/0!</v>
      </c>
      <c r="I68" s="191">
        <f>E68+G68</f>
        <v>0</v>
      </c>
      <c r="J68" s="192" t="e">
        <f>I68/$D68</f>
        <v>#DIV/0!</v>
      </c>
    </row>
    <row r="69" spans="1:10" hidden="1" x14ac:dyDescent="0.25">
      <c r="A69" s="128"/>
      <c r="B69" s="190" t="e">
        <f>$B$7</f>
        <v>#VALUE!</v>
      </c>
      <c r="C69" s="282">
        <v>0</v>
      </c>
      <c r="D69" s="274">
        <v>0</v>
      </c>
      <c r="E69" s="275">
        <v>0</v>
      </c>
      <c r="F69" s="192" t="e">
        <f>E69/$D69</f>
        <v>#DIV/0!</v>
      </c>
      <c r="G69" s="279">
        <v>0</v>
      </c>
      <c r="H69" s="192" t="e">
        <f>G69/$D69</f>
        <v>#DIV/0!</v>
      </c>
      <c r="I69" s="191">
        <f>E69+G69</f>
        <v>0</v>
      </c>
      <c r="J69" s="192" t="e">
        <f>I69/$D69</f>
        <v>#DIV/0!</v>
      </c>
    </row>
    <row r="70" spans="1:10" hidden="1" x14ac:dyDescent="0.25">
      <c r="A70" s="128"/>
      <c r="B70" s="196" t="e">
        <f>$B$8</f>
        <v>#VALUE!</v>
      </c>
      <c r="C70" s="283">
        <v>0</v>
      </c>
      <c r="D70" s="276">
        <v>0</v>
      </c>
      <c r="E70" s="277">
        <v>0</v>
      </c>
      <c r="F70" s="193" t="e">
        <f>E70/$D70</f>
        <v>#DIV/0!</v>
      </c>
      <c r="G70" s="280">
        <v>0</v>
      </c>
      <c r="H70" s="193" t="e">
        <f>G70/$D70</f>
        <v>#DIV/0!</v>
      </c>
      <c r="I70" s="200">
        <f>E70+G70</f>
        <v>0</v>
      </c>
      <c r="J70" s="193" t="e">
        <f>I70/$D70</f>
        <v>#DIV/0!</v>
      </c>
    </row>
    <row r="71" spans="1:10" hidden="1" x14ac:dyDescent="0.25">
      <c r="A71" s="128"/>
      <c r="B71" s="190" t="s">
        <v>262</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7" t="s">
        <v>346</v>
      </c>
      <c r="C73" s="527"/>
    </row>
    <row r="74" spans="1:10" ht="30.75" hidden="1" thickBot="1" x14ac:dyDescent="0.3">
      <c r="A74" s="128"/>
      <c r="B74" s="182" t="s">
        <v>108</v>
      </c>
      <c r="C74" s="182" t="s">
        <v>256</v>
      </c>
      <c r="D74" s="182" t="s">
        <v>257</v>
      </c>
      <c r="E74" s="182" t="s">
        <v>114</v>
      </c>
      <c r="F74" s="182" t="s">
        <v>258</v>
      </c>
      <c r="G74" s="182" t="s">
        <v>115</v>
      </c>
      <c r="H74" s="182" t="s">
        <v>259</v>
      </c>
      <c r="I74" s="182" t="s">
        <v>260</v>
      </c>
      <c r="J74" s="182" t="s">
        <v>261</v>
      </c>
    </row>
    <row r="75" spans="1:10" hidden="1" x14ac:dyDescent="0.25">
      <c r="A75" s="128"/>
      <c r="B75" s="190" t="str">
        <f>$B$6</f>
        <v>YYYY</v>
      </c>
      <c r="C75" s="281">
        <v>0</v>
      </c>
      <c r="D75" s="272">
        <v>0</v>
      </c>
      <c r="E75" s="273">
        <v>0</v>
      </c>
      <c r="F75" s="192" t="e">
        <f>E75/$D75</f>
        <v>#DIV/0!</v>
      </c>
      <c r="G75" s="278">
        <v>0</v>
      </c>
      <c r="H75" s="192" t="e">
        <f>G75/$D75</f>
        <v>#DIV/0!</v>
      </c>
      <c r="I75" s="191">
        <f>E75+G75</f>
        <v>0</v>
      </c>
      <c r="J75" s="192" t="e">
        <f>I75/$D75</f>
        <v>#DIV/0!</v>
      </c>
    </row>
    <row r="76" spans="1:10" hidden="1" x14ac:dyDescent="0.25">
      <c r="A76" s="128"/>
      <c r="B76" s="190" t="e">
        <f>$B$7</f>
        <v>#VALUE!</v>
      </c>
      <c r="C76" s="282">
        <v>0</v>
      </c>
      <c r="D76" s="274">
        <v>0</v>
      </c>
      <c r="E76" s="275">
        <v>0</v>
      </c>
      <c r="F76" s="192" t="e">
        <f>E76/$D76</f>
        <v>#DIV/0!</v>
      </c>
      <c r="G76" s="279">
        <v>0</v>
      </c>
      <c r="H76" s="192" t="e">
        <f>G76/$D76</f>
        <v>#DIV/0!</v>
      </c>
      <c r="I76" s="191">
        <f>E76+G76</f>
        <v>0</v>
      </c>
      <c r="J76" s="192" t="e">
        <f>I76/$D76</f>
        <v>#DIV/0!</v>
      </c>
    </row>
    <row r="77" spans="1:10" hidden="1" x14ac:dyDescent="0.25">
      <c r="A77" s="128"/>
      <c r="B77" s="196" t="e">
        <f>$B$8</f>
        <v>#VALUE!</v>
      </c>
      <c r="C77" s="283">
        <v>0</v>
      </c>
      <c r="D77" s="276">
        <v>0</v>
      </c>
      <c r="E77" s="277">
        <v>0</v>
      </c>
      <c r="F77" s="193" t="e">
        <f>E77/$D77</f>
        <v>#DIV/0!</v>
      </c>
      <c r="G77" s="280">
        <v>0</v>
      </c>
      <c r="H77" s="193" t="e">
        <f>G77/$D77</f>
        <v>#DIV/0!</v>
      </c>
      <c r="I77" s="200">
        <f>E77+G77</f>
        <v>0</v>
      </c>
      <c r="J77" s="193" t="e">
        <f>I77/$D77</f>
        <v>#DIV/0!</v>
      </c>
    </row>
    <row r="78" spans="1:10" hidden="1" x14ac:dyDescent="0.25">
      <c r="A78" s="128"/>
      <c r="B78" s="190" t="s">
        <v>262</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346</v>
      </c>
      <c r="C80" s="527"/>
    </row>
    <row r="81" spans="1:10" ht="30.75" hidden="1" thickBot="1" x14ac:dyDescent="0.3">
      <c r="A81" s="128"/>
      <c r="B81" s="182" t="s">
        <v>108</v>
      </c>
      <c r="C81" s="182" t="s">
        <v>256</v>
      </c>
      <c r="D81" s="182" t="s">
        <v>257</v>
      </c>
      <c r="E81" s="182" t="s">
        <v>114</v>
      </c>
      <c r="F81" s="182" t="s">
        <v>258</v>
      </c>
      <c r="G81" s="182" t="s">
        <v>115</v>
      </c>
      <c r="H81" s="182" t="s">
        <v>259</v>
      </c>
      <c r="I81" s="182" t="s">
        <v>260</v>
      </c>
      <c r="J81" s="182" t="s">
        <v>261</v>
      </c>
    </row>
    <row r="82" spans="1:10" hidden="1" x14ac:dyDescent="0.25">
      <c r="A82" s="128"/>
      <c r="B82" s="190" t="str">
        <f>$B$6</f>
        <v>YYYY</v>
      </c>
      <c r="C82" s="281">
        <v>0</v>
      </c>
      <c r="D82" s="272">
        <v>0</v>
      </c>
      <c r="E82" s="273">
        <v>0</v>
      </c>
      <c r="F82" s="192" t="e">
        <f>E82/$D82</f>
        <v>#DIV/0!</v>
      </c>
      <c r="G82" s="278">
        <v>0</v>
      </c>
      <c r="H82" s="192" t="e">
        <f>G82/$D82</f>
        <v>#DIV/0!</v>
      </c>
      <c r="I82" s="191">
        <f>E82+G82</f>
        <v>0</v>
      </c>
      <c r="J82" s="192" t="e">
        <f>I82/$D82</f>
        <v>#DIV/0!</v>
      </c>
    </row>
    <row r="83" spans="1:10" hidden="1" x14ac:dyDescent="0.25">
      <c r="A83" s="128"/>
      <c r="B83" s="190" t="e">
        <f>$B$7</f>
        <v>#VALUE!</v>
      </c>
      <c r="C83" s="282">
        <v>0</v>
      </c>
      <c r="D83" s="274">
        <v>0</v>
      </c>
      <c r="E83" s="275">
        <v>0</v>
      </c>
      <c r="F83" s="192" t="e">
        <f>E83/$D83</f>
        <v>#DIV/0!</v>
      </c>
      <c r="G83" s="279">
        <v>0</v>
      </c>
      <c r="H83" s="192" t="e">
        <f>G83/$D83</f>
        <v>#DIV/0!</v>
      </c>
      <c r="I83" s="191">
        <f>E83+G83</f>
        <v>0</v>
      </c>
      <c r="J83" s="192" t="e">
        <f>I83/$D83</f>
        <v>#DIV/0!</v>
      </c>
    </row>
    <row r="84" spans="1:10" hidden="1" x14ac:dyDescent="0.25">
      <c r="A84" s="128"/>
      <c r="B84" s="196" t="e">
        <f>$B$8</f>
        <v>#VALUE!</v>
      </c>
      <c r="C84" s="283">
        <v>0</v>
      </c>
      <c r="D84" s="276">
        <v>0</v>
      </c>
      <c r="E84" s="277">
        <v>0</v>
      </c>
      <c r="F84" s="193" t="e">
        <f>E84/$D84</f>
        <v>#DIV/0!</v>
      </c>
      <c r="G84" s="280">
        <v>0</v>
      </c>
      <c r="H84" s="193" t="e">
        <f>G84/$D84</f>
        <v>#DIV/0!</v>
      </c>
      <c r="I84" s="200">
        <f>E84+G84</f>
        <v>0</v>
      </c>
      <c r="J84" s="193" t="e">
        <f>I84/$D84</f>
        <v>#DIV/0!</v>
      </c>
    </row>
    <row r="85" spans="1:10" hidden="1" x14ac:dyDescent="0.25">
      <c r="A85" s="128"/>
      <c r="B85" s="190" t="s">
        <v>262</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346</v>
      </c>
      <c r="C87" s="527"/>
    </row>
    <row r="88" spans="1:10" ht="30.75" hidden="1" thickBot="1" x14ac:dyDescent="0.3">
      <c r="A88" s="128"/>
      <c r="B88" s="182" t="s">
        <v>108</v>
      </c>
      <c r="C88" s="182" t="s">
        <v>256</v>
      </c>
      <c r="D88" s="182" t="s">
        <v>257</v>
      </c>
      <c r="E88" s="182" t="s">
        <v>114</v>
      </c>
      <c r="F88" s="182" t="s">
        <v>258</v>
      </c>
      <c r="G88" s="182" t="s">
        <v>115</v>
      </c>
      <c r="H88" s="182" t="s">
        <v>259</v>
      </c>
      <c r="I88" s="182" t="s">
        <v>260</v>
      </c>
      <c r="J88" s="182" t="s">
        <v>261</v>
      </c>
    </row>
    <row r="89" spans="1:10" hidden="1" x14ac:dyDescent="0.25">
      <c r="A89" s="128"/>
      <c r="B89" s="190" t="str">
        <f>$B$6</f>
        <v>YYYY</v>
      </c>
      <c r="C89" s="281">
        <v>0</v>
      </c>
      <c r="D89" s="272">
        <v>0</v>
      </c>
      <c r="E89" s="273">
        <v>0</v>
      </c>
      <c r="F89" s="192" t="e">
        <f>E89/$D89</f>
        <v>#DIV/0!</v>
      </c>
      <c r="G89" s="278">
        <v>0</v>
      </c>
      <c r="H89" s="192" t="e">
        <f>G89/$D89</f>
        <v>#DIV/0!</v>
      </c>
      <c r="I89" s="191">
        <f>E89+G89</f>
        <v>0</v>
      </c>
      <c r="J89" s="192" t="e">
        <f>I89/$D89</f>
        <v>#DIV/0!</v>
      </c>
    </row>
    <row r="90" spans="1:10" hidden="1" x14ac:dyDescent="0.25">
      <c r="A90" s="128"/>
      <c r="B90" s="190" t="e">
        <f>$B$7</f>
        <v>#VALUE!</v>
      </c>
      <c r="C90" s="282">
        <v>0</v>
      </c>
      <c r="D90" s="274">
        <v>0</v>
      </c>
      <c r="E90" s="275">
        <v>0</v>
      </c>
      <c r="F90" s="192" t="e">
        <f>E90/$D90</f>
        <v>#DIV/0!</v>
      </c>
      <c r="G90" s="279">
        <v>0</v>
      </c>
      <c r="H90" s="192" t="e">
        <f>G90/$D90</f>
        <v>#DIV/0!</v>
      </c>
      <c r="I90" s="191">
        <f>E90+G90</f>
        <v>0</v>
      </c>
      <c r="J90" s="192" t="e">
        <f>I90/$D90</f>
        <v>#DIV/0!</v>
      </c>
    </row>
    <row r="91" spans="1:10" hidden="1" x14ac:dyDescent="0.25">
      <c r="A91" s="128"/>
      <c r="B91" s="196" t="e">
        <f>$B$8</f>
        <v>#VALUE!</v>
      </c>
      <c r="C91" s="283">
        <v>0</v>
      </c>
      <c r="D91" s="276">
        <v>0</v>
      </c>
      <c r="E91" s="277">
        <v>0</v>
      </c>
      <c r="F91" s="193" t="e">
        <f>E91/$D91</f>
        <v>#DIV/0!</v>
      </c>
      <c r="G91" s="280">
        <v>0</v>
      </c>
      <c r="H91" s="193" t="e">
        <f>G91/$D91</f>
        <v>#DIV/0!</v>
      </c>
      <c r="I91" s="200">
        <f>E91+G91</f>
        <v>0</v>
      </c>
      <c r="J91" s="193" t="e">
        <f>I91/$D91</f>
        <v>#DIV/0!</v>
      </c>
    </row>
    <row r="92" spans="1:10" hidden="1" x14ac:dyDescent="0.25">
      <c r="A92" s="128"/>
      <c r="B92" s="190" t="s">
        <v>262</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346</v>
      </c>
      <c r="C94" s="527"/>
    </row>
    <row r="95" spans="1:10" ht="30.75" hidden="1" thickBot="1" x14ac:dyDescent="0.3">
      <c r="A95" s="128"/>
      <c r="B95" s="182" t="s">
        <v>108</v>
      </c>
      <c r="C95" s="182" t="s">
        <v>256</v>
      </c>
      <c r="D95" s="182" t="s">
        <v>257</v>
      </c>
      <c r="E95" s="182" t="s">
        <v>114</v>
      </c>
      <c r="F95" s="182" t="s">
        <v>258</v>
      </c>
      <c r="G95" s="182" t="s">
        <v>115</v>
      </c>
      <c r="H95" s="182" t="s">
        <v>259</v>
      </c>
      <c r="I95" s="182" t="s">
        <v>260</v>
      </c>
      <c r="J95" s="182" t="s">
        <v>261</v>
      </c>
    </row>
    <row r="96" spans="1:10" hidden="1" x14ac:dyDescent="0.25">
      <c r="A96" s="128"/>
      <c r="B96" s="190" t="str">
        <f>$B$6</f>
        <v>YYYY</v>
      </c>
      <c r="C96" s="281">
        <v>0</v>
      </c>
      <c r="D96" s="272">
        <v>0</v>
      </c>
      <c r="E96" s="273">
        <v>0</v>
      </c>
      <c r="F96" s="192" t="e">
        <f>E96/$D96</f>
        <v>#DIV/0!</v>
      </c>
      <c r="G96" s="278">
        <v>0</v>
      </c>
      <c r="H96" s="192" t="e">
        <f>G96/$D96</f>
        <v>#DIV/0!</v>
      </c>
      <c r="I96" s="191">
        <f>E96+G96</f>
        <v>0</v>
      </c>
      <c r="J96" s="192" t="e">
        <f>I96/$D96</f>
        <v>#DIV/0!</v>
      </c>
    </row>
    <row r="97" spans="1:10" hidden="1" x14ac:dyDescent="0.25">
      <c r="A97" s="128"/>
      <c r="B97" s="190" t="e">
        <f>$B$7</f>
        <v>#VALUE!</v>
      </c>
      <c r="C97" s="282">
        <v>0</v>
      </c>
      <c r="D97" s="274">
        <v>0</v>
      </c>
      <c r="E97" s="275">
        <v>0</v>
      </c>
      <c r="F97" s="192" t="e">
        <f>E97/$D97</f>
        <v>#DIV/0!</v>
      </c>
      <c r="G97" s="279">
        <v>0</v>
      </c>
      <c r="H97" s="192" t="e">
        <f>G97/$D97</f>
        <v>#DIV/0!</v>
      </c>
      <c r="I97" s="191">
        <f>E97+G97</f>
        <v>0</v>
      </c>
      <c r="J97" s="192" t="e">
        <f>I97/$D97</f>
        <v>#DIV/0!</v>
      </c>
    </row>
    <row r="98" spans="1:10" hidden="1" x14ac:dyDescent="0.25">
      <c r="A98" s="128"/>
      <c r="B98" s="196" t="e">
        <f>$B$8</f>
        <v>#VALUE!</v>
      </c>
      <c r="C98" s="283">
        <v>0</v>
      </c>
      <c r="D98" s="276">
        <v>0</v>
      </c>
      <c r="E98" s="277">
        <v>0</v>
      </c>
      <c r="F98" s="193" t="e">
        <f>E98/$D98</f>
        <v>#DIV/0!</v>
      </c>
      <c r="G98" s="280">
        <v>0</v>
      </c>
      <c r="H98" s="193" t="e">
        <f>G98/$D98</f>
        <v>#DIV/0!</v>
      </c>
      <c r="I98" s="200">
        <f>E98+G98</f>
        <v>0</v>
      </c>
      <c r="J98" s="193" t="e">
        <f>I98/$D98</f>
        <v>#DIV/0!</v>
      </c>
    </row>
    <row r="99" spans="1:10" hidden="1" x14ac:dyDescent="0.25">
      <c r="A99" s="128"/>
      <c r="B99" s="190" t="s">
        <v>262</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346</v>
      </c>
      <c r="C101" s="527"/>
    </row>
    <row r="102" spans="1:10" ht="30.75" hidden="1" thickBot="1" x14ac:dyDescent="0.3">
      <c r="A102" s="128"/>
      <c r="B102" s="182" t="s">
        <v>108</v>
      </c>
      <c r="C102" s="182" t="s">
        <v>256</v>
      </c>
      <c r="D102" s="182" t="s">
        <v>257</v>
      </c>
      <c r="E102" s="182" t="s">
        <v>114</v>
      </c>
      <c r="F102" s="182" t="s">
        <v>258</v>
      </c>
      <c r="G102" s="182" t="s">
        <v>115</v>
      </c>
      <c r="H102" s="182" t="s">
        <v>259</v>
      </c>
      <c r="I102" s="182" t="s">
        <v>260</v>
      </c>
      <c r="J102" s="182" t="s">
        <v>261</v>
      </c>
    </row>
    <row r="103" spans="1:10" hidden="1" x14ac:dyDescent="0.25">
      <c r="A103" s="128"/>
      <c r="B103" s="190" t="str">
        <f>$B$6</f>
        <v>YYYY</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t="e">
        <f>$B$7</f>
        <v>#VALUE!</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t="e">
        <f>$B$8</f>
        <v>#VALUE!</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262</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346</v>
      </c>
      <c r="C108" s="527"/>
    </row>
    <row r="109" spans="1:10" ht="30.75" hidden="1" thickBot="1" x14ac:dyDescent="0.3">
      <c r="A109" s="128"/>
      <c r="B109" s="182" t="s">
        <v>108</v>
      </c>
      <c r="C109" s="182" t="s">
        <v>256</v>
      </c>
      <c r="D109" s="182" t="s">
        <v>257</v>
      </c>
      <c r="E109" s="182" t="s">
        <v>114</v>
      </c>
      <c r="F109" s="182" t="s">
        <v>258</v>
      </c>
      <c r="G109" s="182" t="s">
        <v>115</v>
      </c>
      <c r="H109" s="182" t="s">
        <v>259</v>
      </c>
      <c r="I109" s="182" t="s">
        <v>260</v>
      </c>
      <c r="J109" s="182" t="s">
        <v>261</v>
      </c>
    </row>
    <row r="110" spans="1:10" hidden="1" x14ac:dyDescent="0.25">
      <c r="A110" s="128"/>
      <c r="B110" s="190" t="str">
        <f>$B$6</f>
        <v>YYYY</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t="e">
        <f>$B$7</f>
        <v>#VALUE!</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t="e">
        <f>$B$8</f>
        <v>#VALUE!</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262</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346</v>
      </c>
      <c r="C115" s="527"/>
    </row>
    <row r="116" spans="1:10" ht="30.75" hidden="1" thickBot="1" x14ac:dyDescent="0.3">
      <c r="A116" s="128"/>
      <c r="B116" s="182" t="s">
        <v>108</v>
      </c>
      <c r="C116" s="182" t="s">
        <v>256</v>
      </c>
      <c r="D116" s="182" t="s">
        <v>257</v>
      </c>
      <c r="E116" s="182" t="s">
        <v>114</v>
      </c>
      <c r="F116" s="182" t="s">
        <v>258</v>
      </c>
      <c r="G116" s="182" t="s">
        <v>115</v>
      </c>
      <c r="H116" s="182" t="s">
        <v>259</v>
      </c>
      <c r="I116" s="182" t="s">
        <v>260</v>
      </c>
      <c r="J116" s="182" t="s">
        <v>261</v>
      </c>
    </row>
    <row r="117" spans="1:10" hidden="1" x14ac:dyDescent="0.25">
      <c r="A117" s="128"/>
      <c r="B117" s="190" t="str">
        <f>$B$6</f>
        <v>YYYY</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t="e">
        <f>$B$7</f>
        <v>#VALUE!</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t="e">
        <f>$B$8</f>
        <v>#VALUE!</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262</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346</v>
      </c>
      <c r="C122" s="527"/>
    </row>
    <row r="123" spans="1:10" ht="30.75" hidden="1" thickBot="1" x14ac:dyDescent="0.3">
      <c r="A123" s="128"/>
      <c r="B123" s="182" t="s">
        <v>108</v>
      </c>
      <c r="C123" s="182" t="s">
        <v>256</v>
      </c>
      <c r="D123" s="182" t="s">
        <v>257</v>
      </c>
      <c r="E123" s="182" t="s">
        <v>114</v>
      </c>
      <c r="F123" s="182" t="s">
        <v>258</v>
      </c>
      <c r="G123" s="182" t="s">
        <v>115</v>
      </c>
      <c r="H123" s="182" t="s">
        <v>259</v>
      </c>
      <c r="I123" s="182" t="s">
        <v>260</v>
      </c>
      <c r="J123" s="182" t="s">
        <v>261</v>
      </c>
    </row>
    <row r="124" spans="1:10" hidden="1" x14ac:dyDescent="0.25">
      <c r="A124" s="128"/>
      <c r="B124" s="190" t="str">
        <f>$B$6</f>
        <v>YYYY</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t="e">
        <f>$B$7</f>
        <v>#VALUE!</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t="e">
        <f>$B$8</f>
        <v>#VALUE!</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262</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346</v>
      </c>
      <c r="C129" s="527"/>
    </row>
    <row r="130" spans="1:10" ht="30.75" hidden="1" thickBot="1" x14ac:dyDescent="0.3">
      <c r="A130" s="128"/>
      <c r="B130" s="182" t="s">
        <v>108</v>
      </c>
      <c r="C130" s="182" t="s">
        <v>256</v>
      </c>
      <c r="D130" s="182" t="s">
        <v>257</v>
      </c>
      <c r="E130" s="182" t="s">
        <v>114</v>
      </c>
      <c r="F130" s="182" t="s">
        <v>258</v>
      </c>
      <c r="G130" s="182" t="s">
        <v>115</v>
      </c>
      <c r="H130" s="182" t="s">
        <v>259</v>
      </c>
      <c r="I130" s="182" t="s">
        <v>260</v>
      </c>
      <c r="J130" s="182" t="s">
        <v>261</v>
      </c>
    </row>
    <row r="131" spans="1:10" hidden="1" x14ac:dyDescent="0.25">
      <c r="A131" s="128"/>
      <c r="B131" s="190" t="str">
        <f>$B$6</f>
        <v>YYYY</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t="e">
        <f>$B$7</f>
        <v>#VALUE!</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t="e">
        <f>$B$8</f>
        <v>#VALUE!</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262</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346</v>
      </c>
      <c r="C136" s="527"/>
    </row>
    <row r="137" spans="1:10" ht="30.75" hidden="1" thickBot="1" x14ac:dyDescent="0.3">
      <c r="A137" s="128"/>
      <c r="B137" s="182" t="s">
        <v>108</v>
      </c>
      <c r="C137" s="182" t="s">
        <v>256</v>
      </c>
      <c r="D137" s="182" t="s">
        <v>257</v>
      </c>
      <c r="E137" s="182" t="s">
        <v>114</v>
      </c>
      <c r="F137" s="182" t="s">
        <v>258</v>
      </c>
      <c r="G137" s="182" t="s">
        <v>115</v>
      </c>
      <c r="H137" s="182" t="s">
        <v>259</v>
      </c>
      <c r="I137" s="182" t="s">
        <v>260</v>
      </c>
      <c r="J137" s="182" t="s">
        <v>261</v>
      </c>
    </row>
    <row r="138" spans="1:10" hidden="1" x14ac:dyDescent="0.25">
      <c r="A138" s="128"/>
      <c r="B138" s="190" t="str">
        <f>$B$6</f>
        <v>YYYY</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t="e">
        <f>$B$7</f>
        <v>#VALUE!</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t="e">
        <f>$B$8</f>
        <v>#VALUE!</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262</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346</v>
      </c>
      <c r="C143" s="527"/>
    </row>
    <row r="144" spans="1:10" ht="30.75" hidden="1" thickBot="1" x14ac:dyDescent="0.3">
      <c r="A144" s="128"/>
      <c r="B144" s="182" t="s">
        <v>108</v>
      </c>
      <c r="C144" s="182" t="s">
        <v>256</v>
      </c>
      <c r="D144" s="182" t="s">
        <v>257</v>
      </c>
      <c r="E144" s="182" t="s">
        <v>114</v>
      </c>
      <c r="F144" s="182" t="s">
        <v>258</v>
      </c>
      <c r="G144" s="182" t="s">
        <v>115</v>
      </c>
      <c r="H144" s="182" t="s">
        <v>259</v>
      </c>
      <c r="I144" s="182" t="s">
        <v>260</v>
      </c>
      <c r="J144" s="182" t="s">
        <v>261</v>
      </c>
    </row>
    <row r="145" spans="1:10" hidden="1" x14ac:dyDescent="0.25">
      <c r="A145" s="128"/>
      <c r="B145" s="190" t="str">
        <f>$B$6</f>
        <v>YYYY</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t="e">
        <f>$B$7</f>
        <v>#VALUE!</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t="e">
        <f>$B$8</f>
        <v>#VALUE!</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262</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346</v>
      </c>
      <c r="C150" s="527"/>
    </row>
    <row r="151" spans="1:10" ht="30.75" hidden="1" thickBot="1" x14ac:dyDescent="0.3">
      <c r="A151" s="128"/>
      <c r="B151" s="182" t="s">
        <v>108</v>
      </c>
      <c r="C151" s="182" t="s">
        <v>256</v>
      </c>
      <c r="D151" s="182" t="s">
        <v>257</v>
      </c>
      <c r="E151" s="182" t="s">
        <v>114</v>
      </c>
      <c r="F151" s="182" t="s">
        <v>258</v>
      </c>
      <c r="G151" s="182" t="s">
        <v>115</v>
      </c>
      <c r="H151" s="182" t="s">
        <v>259</v>
      </c>
      <c r="I151" s="182" t="s">
        <v>260</v>
      </c>
      <c r="J151" s="182" t="s">
        <v>261</v>
      </c>
    </row>
    <row r="152" spans="1:10" hidden="1" x14ac:dyDescent="0.25">
      <c r="A152" s="128"/>
      <c r="B152" s="190" t="str">
        <f>$B$6</f>
        <v>YYYY</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t="e">
        <f>$B$7</f>
        <v>#VALUE!</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t="e">
        <f>$B$8</f>
        <v>#VALUE!</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262</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346</v>
      </c>
      <c r="C157" s="527"/>
    </row>
    <row r="158" spans="1:10" ht="30.75" hidden="1" thickBot="1" x14ac:dyDescent="0.3">
      <c r="A158" s="128"/>
      <c r="B158" s="182" t="s">
        <v>108</v>
      </c>
      <c r="C158" s="182" t="s">
        <v>256</v>
      </c>
      <c r="D158" s="182" t="s">
        <v>257</v>
      </c>
      <c r="E158" s="182" t="s">
        <v>114</v>
      </c>
      <c r="F158" s="182" t="s">
        <v>258</v>
      </c>
      <c r="G158" s="182" t="s">
        <v>115</v>
      </c>
      <c r="H158" s="182" t="s">
        <v>259</v>
      </c>
      <c r="I158" s="182" t="s">
        <v>260</v>
      </c>
      <c r="J158" s="182" t="s">
        <v>261</v>
      </c>
    </row>
    <row r="159" spans="1:10" hidden="1" x14ac:dyDescent="0.25">
      <c r="A159" s="128"/>
      <c r="B159" s="190" t="str">
        <f>$B$6</f>
        <v>YYYY</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t="e">
        <f>$B$7</f>
        <v>#VALUE!</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t="e">
        <f>$B$8</f>
        <v>#VALUE!</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262</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346</v>
      </c>
      <c r="C164" s="527"/>
    </row>
    <row r="165" spans="1:10" ht="30.75" hidden="1" thickBot="1" x14ac:dyDescent="0.3">
      <c r="A165" s="128"/>
      <c r="B165" s="182" t="s">
        <v>108</v>
      </c>
      <c r="C165" s="182" t="s">
        <v>256</v>
      </c>
      <c r="D165" s="182" t="s">
        <v>257</v>
      </c>
      <c r="E165" s="182" t="s">
        <v>114</v>
      </c>
      <c r="F165" s="182" t="s">
        <v>258</v>
      </c>
      <c r="G165" s="182" t="s">
        <v>115</v>
      </c>
      <c r="H165" s="182" t="s">
        <v>259</v>
      </c>
      <c r="I165" s="182" t="s">
        <v>260</v>
      </c>
      <c r="J165" s="182" t="s">
        <v>261</v>
      </c>
    </row>
    <row r="166" spans="1:10" hidden="1" x14ac:dyDescent="0.25">
      <c r="A166" s="128"/>
      <c r="B166" s="190" t="str">
        <f>$B$6</f>
        <v>YYYY</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t="e">
        <f>$B$7</f>
        <v>#VALUE!</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t="e">
        <f>$B$8</f>
        <v>#VALUE!</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262</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346</v>
      </c>
      <c r="C171" s="527"/>
    </row>
    <row r="172" spans="1:10" ht="30.75" hidden="1" thickBot="1" x14ac:dyDescent="0.3">
      <c r="A172" s="128"/>
      <c r="B172" s="182" t="s">
        <v>108</v>
      </c>
      <c r="C172" s="182" t="s">
        <v>256</v>
      </c>
      <c r="D172" s="182" t="s">
        <v>257</v>
      </c>
      <c r="E172" s="182" t="s">
        <v>114</v>
      </c>
      <c r="F172" s="182" t="s">
        <v>258</v>
      </c>
      <c r="G172" s="182" t="s">
        <v>115</v>
      </c>
      <c r="H172" s="182" t="s">
        <v>259</v>
      </c>
      <c r="I172" s="182" t="s">
        <v>260</v>
      </c>
      <c r="J172" s="182" t="s">
        <v>261</v>
      </c>
    </row>
    <row r="173" spans="1:10" hidden="1" x14ac:dyDescent="0.25">
      <c r="A173" s="128"/>
      <c r="B173" s="190" t="str">
        <f>$B$6</f>
        <v>YYYY</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t="e">
        <f>$B$7</f>
        <v>#VALUE!</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t="e">
        <f>$B$8</f>
        <v>#VALUE!</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262</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346</v>
      </c>
      <c r="C178" s="527"/>
    </row>
    <row r="179" spans="1:10" ht="30.75" hidden="1" thickBot="1" x14ac:dyDescent="0.3">
      <c r="A179" s="128"/>
      <c r="B179" s="182" t="s">
        <v>108</v>
      </c>
      <c r="C179" s="182" t="s">
        <v>256</v>
      </c>
      <c r="D179" s="182" t="s">
        <v>257</v>
      </c>
      <c r="E179" s="182" t="s">
        <v>114</v>
      </c>
      <c r="F179" s="182" t="s">
        <v>258</v>
      </c>
      <c r="G179" s="182" t="s">
        <v>115</v>
      </c>
      <c r="H179" s="182" t="s">
        <v>259</v>
      </c>
      <c r="I179" s="182" t="s">
        <v>260</v>
      </c>
      <c r="J179" s="182" t="s">
        <v>261</v>
      </c>
    </row>
    <row r="180" spans="1:10" hidden="1" x14ac:dyDescent="0.25">
      <c r="A180" s="128"/>
      <c r="B180" s="190" t="str">
        <f>$B$6</f>
        <v>YYYY</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t="e">
        <f>$B$7</f>
        <v>#VALUE!</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t="e">
        <f>$B$8</f>
        <v>#VALUE!</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262</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346</v>
      </c>
      <c r="C185" s="527"/>
    </row>
    <row r="186" spans="1:10" ht="30.75" hidden="1" thickBot="1" x14ac:dyDescent="0.3">
      <c r="A186" s="128"/>
      <c r="B186" s="182" t="s">
        <v>108</v>
      </c>
      <c r="C186" s="182" t="s">
        <v>256</v>
      </c>
      <c r="D186" s="182" t="s">
        <v>257</v>
      </c>
      <c r="E186" s="182" t="s">
        <v>114</v>
      </c>
      <c r="F186" s="182" t="s">
        <v>258</v>
      </c>
      <c r="G186" s="182" t="s">
        <v>115</v>
      </c>
      <c r="H186" s="182" t="s">
        <v>259</v>
      </c>
      <c r="I186" s="182" t="s">
        <v>260</v>
      </c>
      <c r="J186" s="182" t="s">
        <v>261</v>
      </c>
    </row>
    <row r="187" spans="1:10" hidden="1" x14ac:dyDescent="0.25">
      <c r="A187" s="128"/>
      <c r="B187" s="190" t="str">
        <f>$B$6</f>
        <v>YYYY</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t="e">
        <f>$B$7</f>
        <v>#VALUE!</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t="e">
        <f>$B$8</f>
        <v>#VALUE!</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262</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346</v>
      </c>
      <c r="C192" s="527"/>
    </row>
    <row r="193" spans="1:10" ht="30.75" hidden="1" thickBot="1" x14ac:dyDescent="0.3">
      <c r="A193" s="128"/>
      <c r="B193" s="182" t="s">
        <v>108</v>
      </c>
      <c r="C193" s="182" t="s">
        <v>256</v>
      </c>
      <c r="D193" s="182" t="s">
        <v>257</v>
      </c>
      <c r="E193" s="182" t="s">
        <v>114</v>
      </c>
      <c r="F193" s="182" t="s">
        <v>258</v>
      </c>
      <c r="G193" s="182" t="s">
        <v>115</v>
      </c>
      <c r="H193" s="182" t="s">
        <v>259</v>
      </c>
      <c r="I193" s="182" t="s">
        <v>260</v>
      </c>
      <c r="J193" s="182" t="s">
        <v>261</v>
      </c>
    </row>
    <row r="194" spans="1:10" hidden="1" x14ac:dyDescent="0.25">
      <c r="A194" s="128"/>
      <c r="B194" s="190" t="str">
        <f>$B$6</f>
        <v>YYYY</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t="e">
        <f>$B$7</f>
        <v>#VALUE!</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t="e">
        <f>$B$8</f>
        <v>#VALUE!</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262</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346</v>
      </c>
      <c r="C199" s="527"/>
    </row>
    <row r="200" spans="1:10" ht="30.75" hidden="1" thickBot="1" x14ac:dyDescent="0.3">
      <c r="A200" s="128"/>
      <c r="B200" s="182" t="s">
        <v>108</v>
      </c>
      <c r="C200" s="182" t="s">
        <v>256</v>
      </c>
      <c r="D200" s="182" t="s">
        <v>257</v>
      </c>
      <c r="E200" s="182" t="s">
        <v>114</v>
      </c>
      <c r="F200" s="182" t="s">
        <v>258</v>
      </c>
      <c r="G200" s="182" t="s">
        <v>115</v>
      </c>
      <c r="H200" s="182" t="s">
        <v>259</v>
      </c>
      <c r="I200" s="182" t="s">
        <v>260</v>
      </c>
      <c r="J200" s="182" t="s">
        <v>261</v>
      </c>
    </row>
    <row r="201" spans="1:10" hidden="1" x14ac:dyDescent="0.25">
      <c r="A201" s="128"/>
      <c r="B201" s="190" t="str">
        <f>$B$6</f>
        <v>YYYY</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t="e">
        <f>$B$7</f>
        <v>#VALUE!</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t="e">
        <f>$B$8</f>
        <v>#VALUE!</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262</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346</v>
      </c>
      <c r="C206" s="527"/>
    </row>
    <row r="207" spans="1:10" ht="30.75" hidden="1" thickBot="1" x14ac:dyDescent="0.3">
      <c r="A207" s="128"/>
      <c r="B207" s="182" t="s">
        <v>108</v>
      </c>
      <c r="C207" s="182" t="s">
        <v>256</v>
      </c>
      <c r="D207" s="182" t="s">
        <v>257</v>
      </c>
      <c r="E207" s="182" t="s">
        <v>114</v>
      </c>
      <c r="F207" s="182" t="s">
        <v>258</v>
      </c>
      <c r="G207" s="182" t="s">
        <v>115</v>
      </c>
      <c r="H207" s="182" t="s">
        <v>259</v>
      </c>
      <c r="I207" s="182" t="s">
        <v>260</v>
      </c>
      <c r="J207" s="182" t="s">
        <v>261</v>
      </c>
    </row>
    <row r="208" spans="1:10" hidden="1" x14ac:dyDescent="0.25">
      <c r="A208" s="128"/>
      <c r="B208" s="190" t="str">
        <f>$B$6</f>
        <v>YYYY</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t="e">
        <f>$B$7</f>
        <v>#VALUE!</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t="e">
        <f>$B$8</f>
        <v>#VALUE!</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262</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346</v>
      </c>
      <c r="C213" s="527"/>
    </row>
    <row r="214" spans="1:10" ht="30.75" hidden="1" thickBot="1" x14ac:dyDescent="0.3">
      <c r="A214" s="128"/>
      <c r="B214" s="182" t="s">
        <v>108</v>
      </c>
      <c r="C214" s="182" t="s">
        <v>256</v>
      </c>
      <c r="D214" s="182" t="s">
        <v>257</v>
      </c>
      <c r="E214" s="182" t="s">
        <v>114</v>
      </c>
      <c r="F214" s="182" t="s">
        <v>258</v>
      </c>
      <c r="G214" s="182" t="s">
        <v>115</v>
      </c>
      <c r="H214" s="182" t="s">
        <v>259</v>
      </c>
      <c r="I214" s="182" t="s">
        <v>260</v>
      </c>
      <c r="J214" s="182" t="s">
        <v>261</v>
      </c>
    </row>
    <row r="215" spans="1:10" hidden="1" x14ac:dyDescent="0.25">
      <c r="A215" s="128"/>
      <c r="B215" s="190" t="str">
        <f>$B$6</f>
        <v>YYYY</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t="e">
        <f>$B$7</f>
        <v>#VALUE!</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t="e">
        <f>$B$8</f>
        <v>#VALUE!</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262</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346</v>
      </c>
      <c r="C220" s="527"/>
    </row>
    <row r="221" spans="1:10" ht="30.75" hidden="1" thickBot="1" x14ac:dyDescent="0.3">
      <c r="A221" s="128"/>
      <c r="B221" s="182" t="s">
        <v>108</v>
      </c>
      <c r="C221" s="182" t="s">
        <v>256</v>
      </c>
      <c r="D221" s="182" t="s">
        <v>257</v>
      </c>
      <c r="E221" s="182" t="s">
        <v>114</v>
      </c>
      <c r="F221" s="182" t="s">
        <v>258</v>
      </c>
      <c r="G221" s="182" t="s">
        <v>115</v>
      </c>
      <c r="H221" s="182" t="s">
        <v>259</v>
      </c>
      <c r="I221" s="182" t="s">
        <v>260</v>
      </c>
      <c r="J221" s="182" t="s">
        <v>261</v>
      </c>
    </row>
    <row r="222" spans="1:10" hidden="1" x14ac:dyDescent="0.25">
      <c r="A222" s="128"/>
      <c r="B222" s="190" t="str">
        <f>$B$6</f>
        <v>YYYY</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t="e">
        <f>$B$7</f>
        <v>#VALUE!</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t="e">
        <f>$B$8</f>
        <v>#VALUE!</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262</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346</v>
      </c>
      <c r="C227" s="527"/>
    </row>
    <row r="228" spans="1:10" ht="30.75" hidden="1" thickBot="1" x14ac:dyDescent="0.3">
      <c r="A228" s="128"/>
      <c r="B228" s="182" t="s">
        <v>108</v>
      </c>
      <c r="C228" s="182" t="s">
        <v>256</v>
      </c>
      <c r="D228" s="182" t="s">
        <v>257</v>
      </c>
      <c r="E228" s="182" t="s">
        <v>114</v>
      </c>
      <c r="F228" s="182" t="s">
        <v>258</v>
      </c>
      <c r="G228" s="182" t="s">
        <v>115</v>
      </c>
      <c r="H228" s="182" t="s">
        <v>259</v>
      </c>
      <c r="I228" s="182" t="s">
        <v>260</v>
      </c>
      <c r="J228" s="182" t="s">
        <v>261</v>
      </c>
    </row>
    <row r="229" spans="1:10" hidden="1" x14ac:dyDescent="0.25">
      <c r="A229" s="128"/>
      <c r="B229" s="190" t="str">
        <f>$B$6</f>
        <v>YYYY</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t="e">
        <f>$B$7</f>
        <v>#VALUE!</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t="e">
        <f>$B$8</f>
        <v>#VALUE!</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262</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dxwQvNNha2IgHs2NuUbK3Od1gvWlyGMwClgtcOHVW89d9fahOFE/ZOUAcPZ+ZWTBHjZAmk+YgqS6PH94jcPanA==" saltValue="fEejh4ewC1WorYLqhpMc4g=="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General Insurance Company</v>
      </c>
    </row>
    <row r="2" spans="1:5" x14ac:dyDescent="0.25">
      <c r="A2" s="1" t="s">
        <v>67</v>
      </c>
      <c r="C2" s="29" t="s">
        <v>69</v>
      </c>
      <c r="E2" s="28" t="str">
        <f>General_Line</f>
        <v>Homeowners</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170</v>
      </c>
    </row>
    <row r="10" spans="1:5" ht="18" customHeight="1" x14ac:dyDescent="0.25">
      <c r="A10" s="49">
        <v>-1</v>
      </c>
      <c r="B10" s="146" t="s">
        <v>128</v>
      </c>
      <c r="C10" s="80"/>
      <c r="D10" s="74"/>
      <c r="E10" s="262"/>
    </row>
    <row r="11" spans="1:5" ht="18" customHeight="1" x14ac:dyDescent="0.25">
      <c r="A11" s="50">
        <v>-2</v>
      </c>
      <c r="B11" s="147" t="s">
        <v>129</v>
      </c>
      <c r="C11" s="81"/>
      <c r="D11" s="53"/>
      <c r="E11" s="263"/>
    </row>
    <row r="12" spans="1:5" ht="18" customHeight="1" x14ac:dyDescent="0.25">
      <c r="A12" s="50">
        <v>-3</v>
      </c>
      <c r="B12" s="147" t="s">
        <v>130</v>
      </c>
      <c r="C12" s="81"/>
      <c r="D12" s="54"/>
      <c r="E12" s="264"/>
    </row>
    <row r="13" spans="1:5" ht="18" customHeight="1" x14ac:dyDescent="0.25">
      <c r="A13" s="50">
        <v>-4</v>
      </c>
      <c r="B13" s="147" t="s">
        <v>131</v>
      </c>
      <c r="C13" s="81"/>
      <c r="D13" s="54"/>
      <c r="E13" s="159">
        <f>E10+E11-E12</f>
        <v>0</v>
      </c>
    </row>
    <row r="14" spans="1:5" ht="18" customHeight="1" x14ac:dyDescent="0.25">
      <c r="A14" s="50">
        <v>-5</v>
      </c>
      <c r="B14" s="147" t="s">
        <v>132</v>
      </c>
      <c r="C14" s="81"/>
      <c r="D14" s="53"/>
      <c r="E14" s="265"/>
    </row>
    <row r="15" spans="1:5" ht="18" customHeight="1" x14ac:dyDescent="0.25">
      <c r="A15" s="50">
        <v>-6</v>
      </c>
      <c r="B15" s="147" t="s">
        <v>133</v>
      </c>
      <c r="C15" s="81"/>
      <c r="D15" s="53"/>
      <c r="E15" s="266"/>
    </row>
    <row r="16" spans="1:5" ht="18" customHeight="1" x14ac:dyDescent="0.25">
      <c r="A16" s="50">
        <v>-7</v>
      </c>
      <c r="B16" s="147" t="s">
        <v>136</v>
      </c>
      <c r="C16" s="81"/>
      <c r="D16" s="53"/>
      <c r="E16" s="266"/>
    </row>
    <row r="17" spans="1:5" ht="18" customHeight="1" x14ac:dyDescent="0.25">
      <c r="A17" s="50">
        <v>-8</v>
      </c>
      <c r="B17" s="147" t="s">
        <v>135</v>
      </c>
      <c r="C17" s="81"/>
      <c r="D17" s="53"/>
      <c r="E17" s="266"/>
    </row>
    <row r="18" spans="1:5" ht="18" customHeight="1" x14ac:dyDescent="0.25">
      <c r="A18" s="50">
        <v>-9</v>
      </c>
      <c r="B18" s="147" t="s">
        <v>137</v>
      </c>
      <c r="C18" s="81"/>
      <c r="D18" s="54"/>
      <c r="E18" s="267"/>
    </row>
    <row r="19" spans="1:5" ht="18" customHeight="1" x14ac:dyDescent="0.25">
      <c r="A19" s="50">
        <v>-10</v>
      </c>
      <c r="B19" s="147" t="s">
        <v>138</v>
      </c>
      <c r="C19" s="81"/>
      <c r="D19" s="54"/>
      <c r="E19" s="268"/>
    </row>
    <row r="20" spans="1:5" ht="18" customHeight="1" x14ac:dyDescent="0.25">
      <c r="A20" s="50">
        <v>-11</v>
      </c>
      <c r="B20" s="147" t="s">
        <v>247</v>
      </c>
      <c r="C20" s="81"/>
      <c r="D20" s="54"/>
      <c r="E20" s="158">
        <f>E19+E24</f>
        <v>0</v>
      </c>
    </row>
    <row r="21" spans="1:5" ht="18" customHeight="1" x14ac:dyDescent="0.25">
      <c r="A21" s="50">
        <v>-12</v>
      </c>
      <c r="B21" s="147" t="s">
        <v>139</v>
      </c>
      <c r="C21" s="81"/>
      <c r="D21" s="54"/>
      <c r="E21" s="269"/>
    </row>
    <row r="22" spans="1:5" ht="18" customHeight="1" x14ac:dyDescent="0.25">
      <c r="A22" s="50">
        <v>-13</v>
      </c>
      <c r="B22" s="147" t="s">
        <v>140</v>
      </c>
      <c r="C22" s="81"/>
      <c r="D22" s="54"/>
      <c r="E22" s="263"/>
    </row>
    <row r="23" spans="1:5" ht="18" customHeight="1" x14ac:dyDescent="0.25">
      <c r="A23" s="50">
        <v>-14</v>
      </c>
      <c r="B23" s="147" t="s">
        <v>141</v>
      </c>
      <c r="C23" s="81"/>
      <c r="D23" s="54"/>
      <c r="E23" s="263"/>
    </row>
    <row r="24" spans="1:5" ht="18" customHeight="1" x14ac:dyDescent="0.25">
      <c r="A24" s="50">
        <v>-15</v>
      </c>
      <c r="B24" s="147" t="s">
        <v>248</v>
      </c>
      <c r="C24" s="81"/>
      <c r="D24" s="54"/>
      <c r="E24" s="268"/>
    </row>
    <row r="25" spans="1:5" ht="18" customHeight="1" x14ac:dyDescent="0.25">
      <c r="A25" s="50">
        <v>-16</v>
      </c>
      <c r="B25" s="147" t="s">
        <v>142</v>
      </c>
      <c r="C25" s="81"/>
      <c r="D25" s="54"/>
      <c r="E25" s="157"/>
    </row>
    <row r="26" spans="1:5" ht="18" customHeight="1" x14ac:dyDescent="0.25">
      <c r="A26" s="50">
        <v>-17</v>
      </c>
      <c r="B26" s="148" t="s">
        <v>148</v>
      </c>
      <c r="C26" s="82"/>
      <c r="D26" s="54"/>
      <c r="E26" s="265"/>
    </row>
    <row r="27" spans="1:5" ht="18" customHeight="1" x14ac:dyDescent="0.25">
      <c r="A27" s="50">
        <v>-18</v>
      </c>
      <c r="B27" s="148" t="s">
        <v>147</v>
      </c>
      <c r="C27" s="82"/>
      <c r="D27" s="54"/>
      <c r="E27" s="266"/>
    </row>
    <row r="28" spans="1:5" ht="18" customHeight="1" x14ac:dyDescent="0.25">
      <c r="A28" s="50">
        <v>-19</v>
      </c>
      <c r="B28" s="148" t="s">
        <v>146</v>
      </c>
      <c r="C28" s="82"/>
      <c r="D28" s="54"/>
      <c r="E28" s="266"/>
    </row>
    <row r="29" spans="1:5" ht="18" customHeight="1" x14ac:dyDescent="0.25">
      <c r="A29" s="50">
        <v>-20</v>
      </c>
      <c r="B29" s="148" t="s">
        <v>145</v>
      </c>
      <c r="C29" s="82"/>
      <c r="D29" s="54"/>
      <c r="E29" s="266"/>
    </row>
    <row r="30" spans="1:5" ht="18" customHeight="1" x14ac:dyDescent="0.25">
      <c r="A30" s="50">
        <v>-21</v>
      </c>
      <c r="B30" s="148" t="s">
        <v>144</v>
      </c>
      <c r="C30" s="82"/>
      <c r="D30" s="54"/>
      <c r="E30" s="266"/>
    </row>
    <row r="31" spans="1:5" ht="18" customHeight="1" thickBot="1" x14ac:dyDescent="0.3">
      <c r="A31" s="76">
        <v>-22</v>
      </c>
      <c r="B31" s="149" t="s">
        <v>143</v>
      </c>
      <c r="C31" s="83"/>
      <c r="D31" s="77"/>
      <c r="E31" s="270"/>
    </row>
  </sheetData>
  <sheetProtection algorithmName="SHA-512" hashValue="nyTOAdLmlyp6Bu/Buc/BvubNp9Crw2YwYIAKTBODaLPS0owJgOzlbwvS1wX6VhqTSTxuH4rucwEB0fqfUV8xEA==" saltValue="h+GuY0Tnr77Gf2TbjgJBjQ=="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General Insurance Company</v>
      </c>
      <c r="G1" s="303" t="s">
        <v>279</v>
      </c>
    </row>
    <row r="2" spans="1:7" x14ac:dyDescent="0.25">
      <c r="A2" s="1" t="s">
        <v>67</v>
      </c>
      <c r="C2" s="29" t="s">
        <v>69</v>
      </c>
      <c r="F2" s="28" t="str">
        <f>General_Line</f>
        <v>Homeowners</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410</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55"/>
      <c r="G8" s="227" t="str">
        <f>IF(AND(No_Fees=TRUE,OR(COUNTA(D12:D25)&lt;&gt;0,COUNTA(F12:F25)&lt;&gt;0,COUNTA(D29:D37)&lt;&gt;0,COUNTA(F29:F37)&lt;&gt;0)),"no fees apply.","")</f>
        <v/>
      </c>
    </row>
    <row r="9" spans="1:7" ht="18" customHeight="1" x14ac:dyDescent="0.25">
      <c r="A9" t="s">
        <v>409</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407</v>
      </c>
      <c r="B12" s="6"/>
      <c r="C12" s="6"/>
      <c r="D12" s="172"/>
      <c r="E12" s="1"/>
      <c r="F12" s="172"/>
      <c r="G12" s="348"/>
    </row>
    <row r="13" spans="1:7" ht="18" customHeight="1" x14ac:dyDescent="0.25">
      <c r="A13" t="s">
        <v>153</v>
      </c>
      <c r="C13" s="55"/>
      <c r="D13" s="172"/>
      <c r="E13" s="55"/>
      <c r="F13" s="172"/>
      <c r="G13" s="314"/>
    </row>
    <row r="14" spans="1:7" ht="18" customHeight="1" x14ac:dyDescent="0.25">
      <c r="A14" t="s">
        <v>334</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224</v>
      </c>
      <c r="C20" s="55"/>
      <c r="D20" s="172"/>
      <c r="E20" s="55"/>
      <c r="F20" s="172"/>
      <c r="G20" s="312"/>
    </row>
    <row r="21" spans="1:7" ht="18" customHeight="1" x14ac:dyDescent="0.25">
      <c r="A21" t="s">
        <v>165</v>
      </c>
      <c r="G21" s="312"/>
    </row>
    <row r="22" spans="1:7" ht="18" customHeight="1" x14ac:dyDescent="0.25">
      <c r="A22" s="293" t="s">
        <v>336</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335</v>
      </c>
      <c r="C32" s="55"/>
      <c r="D32" s="172"/>
      <c r="E32" s="55"/>
      <c r="F32" s="172"/>
      <c r="G32" s="312"/>
    </row>
    <row r="33" spans="1:7" ht="18" customHeight="1" x14ac:dyDescent="0.25">
      <c r="A33" t="s">
        <v>165</v>
      </c>
      <c r="G33" s="312"/>
    </row>
    <row r="34" spans="1:7" ht="18" customHeight="1" x14ac:dyDescent="0.25">
      <c r="A34" s="293" t="s">
        <v>336</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Wo2PaQEoEQwXidBNSOtxaAznps7j5V2QkRFNuc1PG3aKdRqkeKUePiYlXbsFcT5xeGeyQ9pqN0uspVPfwFnuHg==" saltValue="gLxEuU0WV7kJyL/Tt5pF3Q==" spinCount="100000" sheet="1" objects="1" scenarios="1" formatColumns="0" formatRows="0" sort="0"/>
  <printOptions horizontalCentered="1"/>
  <pageMargins left="0.45" right="0.45" top="0.5" bottom="0.5" header="0.3" footer="0.05"/>
  <pageSetup scale="80"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General Insurance Company</v>
      </c>
    </row>
    <row r="2" spans="1:12" x14ac:dyDescent="0.25">
      <c r="A2" s="1" t="s">
        <v>67</v>
      </c>
      <c r="B2" s="1"/>
      <c r="G2"/>
      <c r="J2" s="29" t="s">
        <v>69</v>
      </c>
      <c r="L2" t="str">
        <f>General_Line</f>
        <v>Homeowners</v>
      </c>
    </row>
    <row r="3" spans="1:12" ht="5.0999999999999996" customHeight="1" x14ac:dyDescent="0.25">
      <c r="B3" s="145"/>
      <c r="G3" s="187"/>
    </row>
    <row r="4" spans="1:12" ht="23.25" x14ac:dyDescent="0.25">
      <c r="A4" s="5" t="s">
        <v>184</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487</v>
      </c>
      <c r="C7" s="95"/>
      <c r="D7" s="95"/>
      <c r="E7" s="485"/>
      <c r="F7" s="95"/>
      <c r="G7" s="95"/>
      <c r="H7" s="95"/>
      <c r="I7" s="95"/>
      <c r="J7" s="95"/>
      <c r="K7" s="95"/>
      <c r="L7" s="95"/>
    </row>
    <row r="8" spans="1:12" x14ac:dyDescent="0.25">
      <c r="A8" s="436"/>
      <c r="B8" s="415" t="s">
        <v>197</v>
      </c>
      <c r="C8" s="418"/>
      <c r="D8" s="416" t="s">
        <v>198</v>
      </c>
      <c r="E8" s="437" t="s">
        <v>199</v>
      </c>
      <c r="F8" s="426"/>
      <c r="G8" s="426"/>
      <c r="H8" s="426"/>
      <c r="I8" s="426"/>
      <c r="J8" s="420"/>
      <c r="K8" s="423"/>
      <c r="L8" s="435"/>
    </row>
    <row r="9" spans="1:12" x14ac:dyDescent="0.25">
      <c r="A9" s="419"/>
      <c r="B9" t="s">
        <v>480</v>
      </c>
      <c r="C9" s="419"/>
      <c r="D9" s="417" t="s">
        <v>498</v>
      </c>
      <c r="E9" s="427" t="s">
        <v>467</v>
      </c>
      <c r="F9" s="427"/>
      <c r="G9" s="427"/>
      <c r="H9" s="427" t="s">
        <v>470</v>
      </c>
      <c r="I9" s="427"/>
      <c r="J9" s="421"/>
      <c r="K9" s="424" t="s">
        <v>473</v>
      </c>
      <c r="L9" s="429"/>
    </row>
    <row r="10" spans="1:12" x14ac:dyDescent="0.25">
      <c r="A10" s="419"/>
      <c r="B10" t="s">
        <v>481</v>
      </c>
      <c r="C10" s="419"/>
      <c r="D10" s="417" t="s">
        <v>477</v>
      </c>
      <c r="E10" s="427" t="s">
        <v>468</v>
      </c>
      <c r="F10" s="427"/>
      <c r="G10" s="427"/>
      <c r="H10" s="427" t="s">
        <v>471</v>
      </c>
      <c r="I10" s="427"/>
      <c r="J10" s="421"/>
      <c r="K10" s="424" t="s">
        <v>474</v>
      </c>
      <c r="L10" s="429"/>
    </row>
    <row r="11" spans="1:12" x14ac:dyDescent="0.25">
      <c r="A11" s="419"/>
      <c r="B11" t="s">
        <v>482</v>
      </c>
      <c r="C11" s="419"/>
      <c r="D11" s="417" t="s">
        <v>478</v>
      </c>
      <c r="E11" s="427" t="s">
        <v>469</v>
      </c>
      <c r="F11" s="427"/>
      <c r="G11" s="427"/>
      <c r="H11" s="427" t="s">
        <v>472</v>
      </c>
      <c r="I11" s="427"/>
      <c r="J11" s="421"/>
      <c r="K11" s="424" t="s">
        <v>475</v>
      </c>
      <c r="L11" s="429"/>
    </row>
    <row r="12" spans="1:12" x14ac:dyDescent="0.25">
      <c r="A12" s="475">
        <v>1</v>
      </c>
      <c r="B12" t="s">
        <v>483</v>
      </c>
      <c r="C12" s="419"/>
      <c r="D12" s="417" t="s">
        <v>479</v>
      </c>
      <c r="E12" s="427"/>
      <c r="F12" s="427"/>
      <c r="G12" s="427"/>
      <c r="H12" s="427"/>
      <c r="I12" s="427"/>
      <c r="J12" s="421"/>
      <c r="K12" s="424" t="s">
        <v>476</v>
      </c>
      <c r="L12" s="429"/>
    </row>
    <row r="13" spans="1:12" x14ac:dyDescent="0.25">
      <c r="A13" s="431"/>
      <c r="C13" s="431"/>
      <c r="D13" s="433"/>
      <c r="E13" s="427" t="s">
        <v>484</v>
      </c>
      <c r="F13" s="427"/>
      <c r="G13" s="427"/>
      <c r="H13" s="427"/>
      <c r="I13" s="427"/>
      <c r="J13" s="421"/>
      <c r="K13" s="424"/>
      <c r="L13" s="429"/>
    </row>
    <row r="14" spans="1:12" x14ac:dyDescent="0.25">
      <c r="A14" s="431"/>
      <c r="C14" s="431"/>
      <c r="D14" s="433"/>
      <c r="E14" s="427" t="s">
        <v>485</v>
      </c>
      <c r="F14" s="427"/>
      <c r="G14" s="427"/>
      <c r="H14" s="427"/>
      <c r="I14" s="427"/>
      <c r="J14" s="421"/>
      <c r="K14" s="424"/>
      <c r="L14" s="429"/>
    </row>
    <row r="15" spans="1:12" ht="15.75" thickBot="1" x14ac:dyDescent="0.3">
      <c r="A15" s="431"/>
      <c r="B15" s="95"/>
      <c r="C15" s="432"/>
      <c r="D15" s="434"/>
      <c r="E15" s="428" t="s">
        <v>486</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186</v>
      </c>
      <c r="D17" s="130"/>
      <c r="E17" s="132"/>
      <c r="F17" s="134" t="s">
        <v>190</v>
      </c>
      <c r="G17" s="132"/>
      <c r="H17" s="136"/>
      <c r="I17" s="134" t="s">
        <v>192</v>
      </c>
      <c r="J17" s="132"/>
      <c r="K17" s="134" t="s">
        <v>193</v>
      </c>
      <c r="L17" s="132"/>
    </row>
    <row r="18" spans="1:15" ht="18" thickBot="1" x14ac:dyDescent="0.3">
      <c r="A18" s="138"/>
      <c r="B18" s="137"/>
      <c r="C18" s="135" t="s">
        <v>187</v>
      </c>
      <c r="D18" s="406" t="s">
        <v>188</v>
      </c>
      <c r="E18" s="407" t="s">
        <v>189</v>
      </c>
      <c r="F18" s="135" t="s">
        <v>79</v>
      </c>
      <c r="G18" s="407" t="s">
        <v>330</v>
      </c>
      <c r="H18" s="412" t="s">
        <v>495</v>
      </c>
      <c r="I18" s="135" t="s">
        <v>276</v>
      </c>
      <c r="J18" s="407" t="s">
        <v>194</v>
      </c>
      <c r="K18" s="135" t="s">
        <v>195</v>
      </c>
      <c r="L18" s="407" t="s">
        <v>191</v>
      </c>
      <c r="N18" s="55"/>
      <c r="O18" s="55"/>
    </row>
    <row r="19" spans="1:15" hidden="1" x14ac:dyDescent="0.25">
      <c r="A19" s="404">
        <f>A12-1</f>
        <v>0</v>
      </c>
      <c r="B19" s="480" t="s">
        <v>196</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265</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61" t="s">
        <v>462</v>
      </c>
      <c r="C21" s="562"/>
      <c r="D21" s="556"/>
      <c r="E21" s="556"/>
      <c r="F21" s="556"/>
      <c r="G21" s="556"/>
      <c r="H21" s="556"/>
      <c r="I21" s="556"/>
      <c r="J21" s="556"/>
      <c r="K21" s="556"/>
      <c r="L21" s="557"/>
      <c r="M21" s="501" t="str">
        <f>IF(LEN(TRIM(CLEAN(D21)))=0,"←ERROR! Detailed explanation was not provided.","")</f>
        <v>←ERROR! Detailed explanation was not provided.</v>
      </c>
      <c r="N21" s="55"/>
      <c r="O21" s="55"/>
    </row>
    <row r="22" spans="1:15" ht="105" hidden="1" customHeight="1" x14ac:dyDescent="0.25">
      <c r="A22" s="404"/>
      <c r="B22" s="561" t="s">
        <v>460</v>
      </c>
      <c r="C22" s="562"/>
      <c r="D22" s="530"/>
      <c r="E22" s="530"/>
      <c r="F22" s="530"/>
      <c r="G22" s="530"/>
      <c r="H22" s="530"/>
      <c r="I22" s="530"/>
      <c r="J22" s="530"/>
      <c r="K22" s="530"/>
      <c r="L22" s="531"/>
      <c r="N22" s="55"/>
      <c r="O22" s="55"/>
    </row>
    <row r="23" spans="1:15" ht="45.95" hidden="1" customHeight="1" x14ac:dyDescent="0.25">
      <c r="A23" s="397"/>
      <c r="B23" s="561" t="s">
        <v>461</v>
      </c>
      <c r="C23" s="562"/>
      <c r="D23" s="530"/>
      <c r="E23" s="530"/>
      <c r="F23" s="530"/>
      <c r="G23" s="530"/>
      <c r="H23" s="530"/>
      <c r="I23" s="530"/>
      <c r="J23" s="530"/>
      <c r="K23" s="530"/>
      <c r="L23" s="531"/>
      <c r="N23" s="55"/>
      <c r="O23" s="55"/>
    </row>
    <row r="24" spans="1:15" ht="45.95" hidden="1" customHeight="1" x14ac:dyDescent="0.25">
      <c r="A24" s="397"/>
      <c r="B24" s="561" t="s">
        <v>488</v>
      </c>
      <c r="C24" s="562"/>
      <c r="D24" s="530"/>
      <c r="E24" s="530"/>
      <c r="F24" s="530"/>
      <c r="G24" s="530"/>
      <c r="H24" s="530"/>
      <c r="I24" s="530"/>
      <c r="J24" s="530"/>
      <c r="K24" s="530"/>
      <c r="L24" s="531"/>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63"/>
      <c r="C25" s="563"/>
      <c r="D25" s="564"/>
      <c r="E25" s="564"/>
      <c r="F25" s="564"/>
      <c r="G25" s="564"/>
      <c r="H25" s="564"/>
      <c r="I25" s="564"/>
      <c r="J25" s="564"/>
      <c r="K25" s="564"/>
      <c r="L25" s="564"/>
      <c r="N25" s="55"/>
      <c r="O25" s="55"/>
    </row>
    <row r="26" spans="1:15" hidden="1" x14ac:dyDescent="0.25">
      <c r="A26" s="463">
        <f>A19-1</f>
        <v>-1</v>
      </c>
      <c r="B26" s="482" t="s">
        <v>196</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265</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65" t="s">
        <v>462</v>
      </c>
      <c r="C28" s="566"/>
      <c r="D28" s="558"/>
      <c r="E28" s="559"/>
      <c r="F28" s="559"/>
      <c r="G28" s="559"/>
      <c r="H28" s="559"/>
      <c r="I28" s="559"/>
      <c r="J28" s="559"/>
      <c r="K28" s="559"/>
      <c r="L28" s="560"/>
      <c r="M28" s="501" t="str">
        <f>IF(LEN(TRIM(CLEAN(D28)))=0,"←ERROR! Detailed explanation was not provided.","")</f>
        <v>←ERROR! Detailed explanation was not provided.</v>
      </c>
      <c r="N28" s="55"/>
      <c r="O28" s="55"/>
    </row>
    <row r="29" spans="1:15" ht="105" hidden="1" customHeight="1" x14ac:dyDescent="0.25">
      <c r="A29" s="405"/>
      <c r="B29" s="567" t="s">
        <v>460</v>
      </c>
      <c r="C29" s="568"/>
      <c r="D29" s="558"/>
      <c r="E29" s="559"/>
      <c r="F29" s="559"/>
      <c r="G29" s="559"/>
      <c r="H29" s="559"/>
      <c r="I29" s="559"/>
      <c r="J29" s="559"/>
      <c r="K29" s="559"/>
      <c r="L29" s="560"/>
      <c r="N29" s="55"/>
      <c r="O29" s="55"/>
    </row>
    <row r="30" spans="1:15" ht="45.95" hidden="1" customHeight="1" x14ac:dyDescent="0.25">
      <c r="A30" s="398"/>
      <c r="B30" s="567" t="s">
        <v>461</v>
      </c>
      <c r="C30" s="568"/>
      <c r="D30" s="558"/>
      <c r="E30" s="559"/>
      <c r="F30" s="559"/>
      <c r="G30" s="559"/>
      <c r="H30" s="559"/>
      <c r="I30" s="559"/>
      <c r="J30" s="559"/>
      <c r="K30" s="559"/>
      <c r="L30" s="560"/>
      <c r="N30" s="55"/>
      <c r="O30" s="55"/>
    </row>
    <row r="31" spans="1:15" ht="45.95" hidden="1" customHeight="1" x14ac:dyDescent="0.25">
      <c r="A31" s="398"/>
      <c r="B31" s="567" t="s">
        <v>488</v>
      </c>
      <c r="C31" s="568"/>
      <c r="D31" s="558"/>
      <c r="E31" s="559"/>
      <c r="F31" s="559"/>
      <c r="G31" s="559"/>
      <c r="H31" s="559"/>
      <c r="I31" s="559"/>
      <c r="J31" s="559"/>
      <c r="K31" s="559"/>
      <c r="L31" s="560"/>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70"/>
      <c r="C32" s="570"/>
      <c r="D32" s="553"/>
      <c r="E32" s="553"/>
      <c r="F32" s="553"/>
      <c r="G32" s="553"/>
      <c r="H32" s="553"/>
      <c r="I32" s="553"/>
      <c r="J32" s="553"/>
      <c r="K32" s="553"/>
      <c r="L32" s="553"/>
      <c r="N32" s="55"/>
      <c r="O32" s="55"/>
    </row>
    <row r="33" spans="1:15" x14ac:dyDescent="0.25">
      <c r="A33" s="463">
        <f>A19-1</f>
        <v>-1</v>
      </c>
      <c r="B33" s="476" t="s">
        <v>196</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265</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28" t="s">
        <v>462</v>
      </c>
      <c r="C35" s="529"/>
      <c r="D35" s="530"/>
      <c r="E35" s="530"/>
      <c r="F35" s="530"/>
      <c r="G35" s="530"/>
      <c r="H35" s="530"/>
      <c r="I35" s="530"/>
      <c r="J35" s="530"/>
      <c r="K35" s="530"/>
      <c r="L35" s="531"/>
      <c r="M35" s="501" t="str">
        <f>IF(LEN(TRIM(CLEAN(D35)))=0,"←ERROR! Detailed explanation was not provided.","")</f>
        <v>←ERROR! Detailed explanation was not provided.</v>
      </c>
      <c r="N35" s="55"/>
      <c r="O35" s="55"/>
    </row>
    <row r="36" spans="1:15" ht="105" customHeight="1" x14ac:dyDescent="0.25">
      <c r="A36" s="404"/>
      <c r="B36" s="528" t="s">
        <v>460</v>
      </c>
      <c r="C36" s="529"/>
      <c r="D36" s="530"/>
      <c r="E36" s="530"/>
      <c r="F36" s="530"/>
      <c r="G36" s="530"/>
      <c r="H36" s="530"/>
      <c r="I36" s="530"/>
      <c r="J36" s="530"/>
      <c r="K36" s="530"/>
      <c r="L36" s="531"/>
      <c r="N36" s="55"/>
      <c r="O36" s="55"/>
    </row>
    <row r="37" spans="1:15" ht="45.95" customHeight="1" x14ac:dyDescent="0.25">
      <c r="A37" s="397"/>
      <c r="B37" s="528" t="s">
        <v>461</v>
      </c>
      <c r="C37" s="529"/>
      <c r="D37" s="530"/>
      <c r="E37" s="530"/>
      <c r="F37" s="530"/>
      <c r="G37" s="530"/>
      <c r="H37" s="530"/>
      <c r="I37" s="530"/>
      <c r="J37" s="530"/>
      <c r="K37" s="530"/>
      <c r="L37" s="531"/>
      <c r="N37" s="55"/>
      <c r="O37" s="55"/>
    </row>
    <row r="38" spans="1:15" ht="45.95" customHeight="1" x14ac:dyDescent="0.25">
      <c r="A38" s="397"/>
      <c r="B38" s="528" t="s">
        <v>488</v>
      </c>
      <c r="C38" s="529"/>
      <c r="D38" s="530"/>
      <c r="E38" s="530"/>
      <c r="F38" s="530"/>
      <c r="G38" s="530"/>
      <c r="H38" s="530"/>
      <c r="I38" s="530"/>
      <c r="J38" s="530"/>
      <c r="K38" s="530"/>
      <c r="L38" s="531"/>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69"/>
      <c r="C39" s="569"/>
      <c r="D39" s="564"/>
      <c r="E39" s="564"/>
      <c r="F39" s="564"/>
      <c r="G39" s="564"/>
      <c r="H39" s="564"/>
      <c r="I39" s="564"/>
      <c r="J39" s="564"/>
      <c r="K39" s="564"/>
      <c r="L39" s="564"/>
      <c r="N39" s="55"/>
      <c r="O39" s="55"/>
    </row>
    <row r="40" spans="1:15" ht="18" customHeight="1" x14ac:dyDescent="0.25">
      <c r="A40" s="472">
        <f>A33-1</f>
        <v>-2</v>
      </c>
      <c r="B40" s="478" t="s">
        <v>196</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265</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35" t="s">
        <v>462</v>
      </c>
      <c r="C42" s="536"/>
      <c r="D42" s="532"/>
      <c r="E42" s="532"/>
      <c r="F42" s="532"/>
      <c r="G42" s="532"/>
      <c r="H42" s="532"/>
      <c r="I42" s="532"/>
      <c r="J42" s="532"/>
      <c r="K42" s="532"/>
      <c r="L42" s="533"/>
      <c r="M42" s="501" t="str">
        <f>IF(LEN(TRIM(CLEAN(D42)))=0,"←ERROR! Detailed explanation was not provided.","")</f>
        <v>←ERROR! Detailed explanation was not provided.</v>
      </c>
      <c r="N42" s="55"/>
      <c r="O42" s="55"/>
    </row>
    <row r="43" spans="1:15" ht="120" customHeight="1" x14ac:dyDescent="0.25">
      <c r="A43" s="405"/>
      <c r="B43" s="535" t="s">
        <v>460</v>
      </c>
      <c r="C43" s="536"/>
      <c r="D43" s="532"/>
      <c r="E43" s="532"/>
      <c r="F43" s="532"/>
      <c r="G43" s="532"/>
      <c r="H43" s="532"/>
      <c r="I43" s="532"/>
      <c r="J43" s="532"/>
      <c r="K43" s="532"/>
      <c r="L43" s="533"/>
      <c r="N43" s="55"/>
      <c r="O43" s="55"/>
    </row>
    <row r="44" spans="1:15" ht="45.95" customHeight="1" x14ac:dyDescent="0.25">
      <c r="A44" s="398"/>
      <c r="B44" s="535" t="s">
        <v>461</v>
      </c>
      <c r="C44" s="536"/>
      <c r="D44" s="532"/>
      <c r="E44" s="532"/>
      <c r="F44" s="532"/>
      <c r="G44" s="532"/>
      <c r="H44" s="532"/>
      <c r="I44" s="532"/>
      <c r="J44" s="532"/>
      <c r="K44" s="532"/>
      <c r="L44" s="533"/>
      <c r="N44" s="55"/>
      <c r="O44" s="55"/>
    </row>
    <row r="45" spans="1:15" ht="60.95" customHeight="1" x14ac:dyDescent="0.25">
      <c r="A45" s="398"/>
      <c r="B45" s="535" t="s">
        <v>488</v>
      </c>
      <c r="C45" s="536"/>
      <c r="D45" s="532"/>
      <c r="E45" s="532"/>
      <c r="F45" s="532"/>
      <c r="G45" s="532"/>
      <c r="H45" s="532"/>
      <c r="I45" s="532"/>
      <c r="J45" s="532"/>
      <c r="K45" s="532"/>
      <c r="L45" s="533"/>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37"/>
      <c r="C46" s="538"/>
      <c r="D46" s="534"/>
      <c r="E46" s="534"/>
      <c r="F46" s="534"/>
      <c r="G46" s="534"/>
      <c r="H46" s="534"/>
      <c r="I46" s="534"/>
      <c r="J46" s="534"/>
      <c r="K46" s="534"/>
      <c r="L46" s="534"/>
      <c r="N46" s="55"/>
      <c r="O46" s="55"/>
    </row>
    <row r="47" spans="1:15" ht="18" customHeight="1" x14ac:dyDescent="0.25">
      <c r="A47" s="463">
        <f>A40-1</f>
        <v>-3</v>
      </c>
      <c r="B47" s="476" t="s">
        <v>196</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265</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28" t="s">
        <v>462</v>
      </c>
      <c r="C49" s="529"/>
      <c r="D49" s="530"/>
      <c r="E49" s="530"/>
      <c r="F49" s="530"/>
      <c r="G49" s="530"/>
      <c r="H49" s="530"/>
      <c r="I49" s="530"/>
      <c r="J49" s="530"/>
      <c r="K49" s="530"/>
      <c r="L49" s="531"/>
      <c r="M49" s="501" t="str">
        <f>IF(LEN(TRIM(CLEAN(D49)))=0,"←ERROR! Detailed explanation was not provided.","")</f>
        <v>←ERROR! Detailed explanation was not provided.</v>
      </c>
      <c r="N49" s="55"/>
      <c r="O49" s="55"/>
    </row>
    <row r="50" spans="1:15" ht="120" customHeight="1" x14ac:dyDescent="0.25">
      <c r="A50" s="404"/>
      <c r="B50" s="528" t="s">
        <v>460</v>
      </c>
      <c r="C50" s="529"/>
      <c r="D50" s="530"/>
      <c r="E50" s="530"/>
      <c r="F50" s="530"/>
      <c r="G50" s="530"/>
      <c r="H50" s="530"/>
      <c r="I50" s="530"/>
      <c r="J50" s="530"/>
      <c r="K50" s="530"/>
      <c r="L50" s="531"/>
      <c r="N50" s="55"/>
      <c r="O50" s="55"/>
    </row>
    <row r="51" spans="1:15" ht="45.95" customHeight="1" x14ac:dyDescent="0.25">
      <c r="A51" s="397"/>
      <c r="B51" s="528" t="s">
        <v>461</v>
      </c>
      <c r="C51" s="529"/>
      <c r="D51" s="530"/>
      <c r="E51" s="530"/>
      <c r="F51" s="530"/>
      <c r="G51" s="530"/>
      <c r="H51" s="530"/>
      <c r="I51" s="530"/>
      <c r="J51" s="530"/>
      <c r="K51" s="530"/>
      <c r="L51" s="531"/>
      <c r="N51" s="55"/>
      <c r="O51" s="55"/>
    </row>
    <row r="52" spans="1:15" ht="60.95" customHeight="1" x14ac:dyDescent="0.25">
      <c r="A52" s="397"/>
      <c r="B52" s="528" t="s">
        <v>488</v>
      </c>
      <c r="C52" s="529"/>
      <c r="D52" s="530"/>
      <c r="E52" s="530"/>
      <c r="F52" s="530"/>
      <c r="G52" s="530"/>
      <c r="H52" s="530"/>
      <c r="I52" s="530"/>
      <c r="J52" s="530"/>
      <c r="K52" s="530"/>
      <c r="L52" s="531"/>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49"/>
      <c r="C53" s="550"/>
      <c r="D53" s="548"/>
      <c r="E53" s="548"/>
      <c r="F53" s="548"/>
      <c r="G53" s="548"/>
      <c r="H53" s="548"/>
      <c r="I53" s="548"/>
      <c r="J53" s="548"/>
      <c r="K53" s="548"/>
      <c r="L53" s="548"/>
      <c r="N53" s="55"/>
      <c r="O53" s="55"/>
    </row>
    <row r="54" spans="1:15" ht="18" customHeight="1" x14ac:dyDescent="0.25">
      <c r="A54" s="472">
        <f>A47-1</f>
        <v>-4</v>
      </c>
      <c r="B54" s="473" t="s">
        <v>196</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265</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51" t="s">
        <v>462</v>
      </c>
      <c r="C56" s="552"/>
      <c r="D56" s="532"/>
      <c r="E56" s="532"/>
      <c r="F56" s="532"/>
      <c r="G56" s="532"/>
      <c r="H56" s="532"/>
      <c r="I56" s="532"/>
      <c r="J56" s="532"/>
      <c r="K56" s="532"/>
      <c r="L56" s="533"/>
      <c r="M56" s="501" t="str">
        <f>IF(LEN(TRIM(CLEAN(D56)))=0,"←ERROR! Detailed explanation was not provided.","")</f>
        <v>←ERROR! Detailed explanation was not provided.</v>
      </c>
      <c r="N56" s="55"/>
      <c r="O56" s="55"/>
    </row>
    <row r="57" spans="1:15" ht="120" customHeight="1" x14ac:dyDescent="0.25">
      <c r="A57" s="405"/>
      <c r="B57" s="551" t="s">
        <v>460</v>
      </c>
      <c r="C57" s="552"/>
      <c r="D57" s="532"/>
      <c r="E57" s="532"/>
      <c r="F57" s="532"/>
      <c r="G57" s="532"/>
      <c r="H57" s="532"/>
      <c r="I57" s="532"/>
      <c r="J57" s="532"/>
      <c r="K57" s="532"/>
      <c r="L57" s="533"/>
      <c r="N57" s="55"/>
      <c r="O57" s="55"/>
    </row>
    <row r="58" spans="1:15" ht="45.95" customHeight="1" x14ac:dyDescent="0.25">
      <c r="A58" s="398"/>
      <c r="B58" s="551" t="s">
        <v>461</v>
      </c>
      <c r="C58" s="552"/>
      <c r="D58" s="532"/>
      <c r="E58" s="532"/>
      <c r="F58" s="532"/>
      <c r="G58" s="532"/>
      <c r="H58" s="532"/>
      <c r="I58" s="532"/>
      <c r="J58" s="532"/>
      <c r="K58" s="532"/>
      <c r="L58" s="533"/>
      <c r="N58" s="55"/>
      <c r="O58" s="55"/>
    </row>
    <row r="59" spans="1:15" ht="60.95" customHeight="1" x14ac:dyDescent="0.25">
      <c r="A59" s="398"/>
      <c r="B59" s="551" t="s">
        <v>488</v>
      </c>
      <c r="C59" s="552"/>
      <c r="D59" s="532"/>
      <c r="E59" s="532"/>
      <c r="F59" s="532"/>
      <c r="G59" s="532"/>
      <c r="H59" s="532"/>
      <c r="I59" s="532"/>
      <c r="J59" s="532"/>
      <c r="K59" s="532"/>
      <c r="L59" s="533"/>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54"/>
      <c r="C60" s="555"/>
      <c r="D60" s="553"/>
      <c r="E60" s="553"/>
      <c r="F60" s="553"/>
      <c r="G60" s="553"/>
      <c r="H60" s="553"/>
      <c r="I60" s="553"/>
      <c r="J60" s="553"/>
      <c r="K60" s="553"/>
      <c r="L60" s="553"/>
      <c r="N60" s="55"/>
      <c r="O60" s="55"/>
    </row>
    <row r="61" spans="1:15" ht="3.75" customHeight="1" x14ac:dyDescent="0.25"/>
    <row r="62" spans="1:15" ht="17.25" x14ac:dyDescent="0.25">
      <c r="B62" s="7" t="s">
        <v>458</v>
      </c>
    </row>
    <row r="63" spans="1:15" x14ac:dyDescent="0.25">
      <c r="B63" s="13" t="s">
        <v>459</v>
      </c>
    </row>
    <row r="64" spans="1:15" ht="17.25" customHeight="1" x14ac:dyDescent="0.25">
      <c r="B64" s="7" t="s">
        <v>277</v>
      </c>
    </row>
    <row r="65" spans="2:12" ht="17.25" x14ac:dyDescent="0.25">
      <c r="B65" s="7" t="s">
        <v>497</v>
      </c>
    </row>
    <row r="66" spans="2:12" x14ac:dyDescent="0.25">
      <c r="B66" s="7"/>
    </row>
    <row r="67" spans="2:12" ht="15.75" thickBot="1" x14ac:dyDescent="0.3">
      <c r="B67" s="1" t="s">
        <v>466</v>
      </c>
      <c r="F67" s="129"/>
      <c r="G67"/>
    </row>
    <row r="68" spans="2:12" ht="15" customHeight="1" x14ac:dyDescent="0.25">
      <c r="B68" s="539"/>
      <c r="C68" s="540"/>
      <c r="D68" s="540"/>
      <c r="E68" s="540"/>
      <c r="F68" s="540"/>
      <c r="G68" s="540"/>
      <c r="H68" s="540"/>
      <c r="I68" s="540"/>
      <c r="J68" s="540"/>
      <c r="K68" s="540"/>
      <c r="L68" s="541"/>
    </row>
    <row r="69" spans="2:12" x14ac:dyDescent="0.25">
      <c r="B69" s="542"/>
      <c r="C69" s="543"/>
      <c r="D69" s="543"/>
      <c r="E69" s="543"/>
      <c r="F69" s="543"/>
      <c r="G69" s="543"/>
      <c r="H69" s="543"/>
      <c r="I69" s="543"/>
      <c r="J69" s="543"/>
      <c r="K69" s="543"/>
      <c r="L69" s="544"/>
    </row>
    <row r="70" spans="2:12" x14ac:dyDescent="0.25">
      <c r="B70" s="542"/>
      <c r="C70" s="543"/>
      <c r="D70" s="543"/>
      <c r="E70" s="543"/>
      <c r="F70" s="543"/>
      <c r="G70" s="543"/>
      <c r="H70" s="543"/>
      <c r="I70" s="543"/>
      <c r="J70" s="543"/>
      <c r="K70" s="543"/>
      <c r="L70" s="544"/>
    </row>
    <row r="71" spans="2:12" x14ac:dyDescent="0.25">
      <c r="B71" s="542"/>
      <c r="C71" s="543"/>
      <c r="D71" s="543"/>
      <c r="E71" s="543"/>
      <c r="F71" s="543"/>
      <c r="G71" s="543"/>
      <c r="H71" s="543"/>
      <c r="I71" s="543"/>
      <c r="J71" s="543"/>
      <c r="K71" s="543"/>
      <c r="L71" s="544"/>
    </row>
    <row r="72" spans="2:12" x14ac:dyDescent="0.25">
      <c r="B72" s="542"/>
      <c r="C72" s="543"/>
      <c r="D72" s="543"/>
      <c r="E72" s="543"/>
      <c r="F72" s="543"/>
      <c r="G72" s="543"/>
      <c r="H72" s="543"/>
      <c r="I72" s="543"/>
      <c r="J72" s="543"/>
      <c r="K72" s="543"/>
      <c r="L72" s="544"/>
    </row>
    <row r="73" spans="2:12" x14ac:dyDescent="0.25">
      <c r="B73" s="542"/>
      <c r="C73" s="543"/>
      <c r="D73" s="543"/>
      <c r="E73" s="543"/>
      <c r="F73" s="543"/>
      <c r="G73" s="543"/>
      <c r="H73" s="543"/>
      <c r="I73" s="543"/>
      <c r="J73" s="543"/>
      <c r="K73" s="543"/>
      <c r="L73" s="544"/>
    </row>
    <row r="74" spans="2:12" x14ac:dyDescent="0.25">
      <c r="B74" s="542"/>
      <c r="C74" s="543"/>
      <c r="D74" s="543"/>
      <c r="E74" s="543"/>
      <c r="F74" s="543"/>
      <c r="G74" s="543"/>
      <c r="H74" s="543"/>
      <c r="I74" s="543"/>
      <c r="J74" s="543"/>
      <c r="K74" s="543"/>
      <c r="L74" s="544"/>
    </row>
    <row r="75" spans="2:12" x14ac:dyDescent="0.25">
      <c r="B75" s="542"/>
      <c r="C75" s="543"/>
      <c r="D75" s="543"/>
      <c r="E75" s="543"/>
      <c r="F75" s="543"/>
      <c r="G75" s="543"/>
      <c r="H75" s="543"/>
      <c r="I75" s="543"/>
      <c r="J75" s="543"/>
      <c r="K75" s="543"/>
      <c r="L75" s="544"/>
    </row>
    <row r="76" spans="2:12" ht="15.75" thickBot="1" x14ac:dyDescent="0.3">
      <c r="B76" s="545"/>
      <c r="C76" s="546"/>
      <c r="D76" s="546"/>
      <c r="E76" s="546"/>
      <c r="F76" s="546"/>
      <c r="G76" s="546"/>
      <c r="H76" s="546"/>
      <c r="I76" s="546"/>
      <c r="J76" s="546"/>
      <c r="K76" s="546"/>
      <c r="L76" s="547"/>
    </row>
  </sheetData>
  <sheetProtection algorithmName="SHA-512" hashValue="3gXplMo9Sy9ZBkZe8IckoQuFGY3oA8oga4ZtLaGO3mVBEYyT0pCjSOHBiEFU5ubG6APaupcXc/BY/zx4ecM85A==" saltValue="iFkpHuIGn4hlzWaIHOjuFA=="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zoomScaleNormal="100" zoomScaleSheetLayoutView="100" workbookViewId="0"/>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General Insurance Company</v>
      </c>
      <c r="H1" s="140"/>
      <c r="I1" s="139"/>
    </row>
    <row r="2" spans="1:14" x14ac:dyDescent="0.25">
      <c r="A2" s="9" t="s">
        <v>67</v>
      </c>
      <c r="B2" s="9"/>
      <c r="C2" s="139" t="s">
        <v>69</v>
      </c>
      <c r="D2" s="140" t="str">
        <f>General_Line</f>
        <v>Homeowners</v>
      </c>
      <c r="H2" s="140"/>
      <c r="I2" s="139"/>
    </row>
    <row r="3" spans="1:14" x14ac:dyDescent="0.25">
      <c r="B3" s="144"/>
    </row>
    <row r="4" spans="1:14" ht="23.25" x14ac:dyDescent="0.25">
      <c r="A4" s="5" t="s">
        <v>406</v>
      </c>
      <c r="B4" s="5"/>
      <c r="C4" s="6"/>
      <c r="D4" s="6"/>
      <c r="F4" s="6"/>
      <c r="G4" s="6"/>
      <c r="H4" s="6"/>
      <c r="I4" s="6"/>
      <c r="J4" s="6"/>
      <c r="K4" s="6"/>
      <c r="L4" s="6"/>
      <c r="M4" s="6"/>
      <c r="N4" s="6"/>
    </row>
    <row r="6" spans="1:14" x14ac:dyDescent="0.25">
      <c r="A6" s="7" t="s">
        <v>251</v>
      </c>
    </row>
    <row r="7" spans="1:14" x14ac:dyDescent="0.25">
      <c r="A7" s="7" t="s">
        <v>314</v>
      </c>
    </row>
    <row r="9" spans="1:14" ht="18" customHeight="1" x14ac:dyDescent="0.25">
      <c r="A9" s="7" t="s">
        <v>200</v>
      </c>
    </row>
    <row r="10" spans="1:14" ht="24.95" customHeight="1" x14ac:dyDescent="0.25">
      <c r="B10" s="7" t="s">
        <v>202</v>
      </c>
    </row>
    <row r="11" spans="1:14" ht="24.95" customHeight="1" x14ac:dyDescent="0.25">
      <c r="B11" s="7" t="s">
        <v>201</v>
      </c>
    </row>
    <row r="12" spans="1:14" ht="24.95" customHeight="1" x14ac:dyDescent="0.25">
      <c r="B12" s="7" t="s">
        <v>272</v>
      </c>
      <c r="E12" s="17" t="b">
        <v>0</v>
      </c>
    </row>
    <row r="13" spans="1:14" ht="24.95" customHeight="1" x14ac:dyDescent="0.25">
      <c r="B13" s="7" t="s">
        <v>205</v>
      </c>
    </row>
    <row r="14" spans="1:14" ht="24.75" customHeight="1" x14ac:dyDescent="0.25">
      <c r="B14" s="7" t="s">
        <v>269</v>
      </c>
    </row>
    <row r="15" spans="1:14" ht="9.75" customHeight="1" x14ac:dyDescent="0.25"/>
    <row r="16" spans="1:14" ht="18" customHeight="1" x14ac:dyDescent="0.25">
      <c r="A16" s="7" t="s">
        <v>266</v>
      </c>
    </row>
    <row r="17" spans="1:6" ht="24.95" customHeight="1" x14ac:dyDescent="0.25">
      <c r="B17" s="7" t="s">
        <v>271</v>
      </c>
    </row>
    <row r="18" spans="1:6" ht="24.95" customHeight="1" x14ac:dyDescent="0.25">
      <c r="B18" s="22" t="s">
        <v>315</v>
      </c>
    </row>
    <row r="19" spans="1:6" ht="24.95" customHeight="1" x14ac:dyDescent="0.25">
      <c r="B19" s="7" t="s">
        <v>267</v>
      </c>
    </row>
    <row r="20" spans="1:6" ht="24.95" customHeight="1" x14ac:dyDescent="0.25">
      <c r="B20" s="7" t="s">
        <v>210</v>
      </c>
    </row>
    <row r="21" spans="1:6" ht="24.95" customHeight="1" x14ac:dyDescent="0.25">
      <c r="B21" s="22" t="s">
        <v>316</v>
      </c>
    </row>
    <row r="22" spans="1:6" ht="24.95" customHeight="1" x14ac:dyDescent="0.25">
      <c r="B22" s="7" t="s">
        <v>273</v>
      </c>
    </row>
    <row r="23" spans="1:6" ht="24.95" customHeight="1" x14ac:dyDescent="0.25">
      <c r="B23" s="22" t="s">
        <v>317</v>
      </c>
    </row>
    <row r="24" spans="1:6" ht="24.95" customHeight="1" x14ac:dyDescent="0.25">
      <c r="B24" s="7" t="s">
        <v>206</v>
      </c>
    </row>
    <row r="25" spans="1:6" ht="18" customHeight="1" x14ac:dyDescent="0.25">
      <c r="B25" s="22" t="s">
        <v>203</v>
      </c>
    </row>
    <row r="26" spans="1:6" ht="18" customHeight="1" x14ac:dyDescent="0.25">
      <c r="B26" s="22" t="s">
        <v>204</v>
      </c>
    </row>
    <row r="27" spans="1:6" ht="9.9499999999999993" customHeight="1" x14ac:dyDescent="0.25"/>
    <row r="28" spans="1:6" ht="18" customHeight="1" x14ac:dyDescent="0.25">
      <c r="A28" s="7" t="s">
        <v>209</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207</v>
      </c>
    </row>
    <row r="31" spans="1:6" ht="24.95" customHeight="1" x14ac:dyDescent="0.25">
      <c r="B31" s="7" t="s">
        <v>318</v>
      </c>
    </row>
    <row r="32" spans="1:6" ht="24.95" customHeight="1" x14ac:dyDescent="0.25">
      <c r="B32" s="7" t="s">
        <v>208</v>
      </c>
    </row>
    <row r="33" spans="1:2" ht="24.95" customHeight="1" x14ac:dyDescent="0.25">
      <c r="B33" s="7" t="s">
        <v>211</v>
      </c>
    </row>
    <row r="34" spans="1:2" ht="24.95" customHeight="1" x14ac:dyDescent="0.25">
      <c r="B34" s="22" t="s">
        <v>317</v>
      </c>
    </row>
    <row r="36" spans="1:2" ht="18" customHeight="1" x14ac:dyDescent="0.25">
      <c r="A36" s="7" t="s">
        <v>275</v>
      </c>
    </row>
    <row r="37" spans="1:2" ht="18" customHeight="1" x14ac:dyDescent="0.25">
      <c r="A37" s="7" t="s">
        <v>319</v>
      </c>
    </row>
    <row r="39" spans="1:2" ht="17.25" x14ac:dyDescent="0.25">
      <c r="A39" s="7" t="s">
        <v>270</v>
      </c>
    </row>
    <row r="40" spans="1:2" x14ac:dyDescent="0.25">
      <c r="A40" s="18" t="s">
        <v>268</v>
      </c>
    </row>
  </sheetData>
  <sheetProtection algorithmName="SHA-512" hashValue="4eznijKlO8nNqPlkMIqpiSmCXp9URFTZQDWxJTxxr5Qw83cv1oJzDNZVeDWjBuSyx4Jy0a74dvrcttwktthyuA==" saltValue="qCp/JcMvgpLDgUyH+EK9Kg=="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General Insurance Company</v>
      </c>
    </row>
    <row r="2" spans="1:10" x14ac:dyDescent="0.25">
      <c r="A2" s="1" t="s">
        <v>67</v>
      </c>
      <c r="E2" s="29" t="s">
        <v>69</v>
      </c>
      <c r="G2" s="28" t="str">
        <f>General_Line</f>
        <v>Homeowners</v>
      </c>
    </row>
    <row r="3" spans="1:10" x14ac:dyDescent="0.25">
      <c r="B3" s="145"/>
    </row>
    <row r="4" spans="1:10" ht="23.25" x14ac:dyDescent="0.25">
      <c r="A4" s="5" t="s">
        <v>326</v>
      </c>
      <c r="B4" s="3"/>
      <c r="C4" s="3"/>
      <c r="D4" s="3"/>
      <c r="E4" s="3"/>
      <c r="F4" s="3"/>
      <c r="G4" s="3"/>
      <c r="I4" s="205"/>
    </row>
    <row r="6" spans="1:10" x14ac:dyDescent="0.25">
      <c r="A6" t="s">
        <v>243</v>
      </c>
    </row>
    <row r="7" spans="1:10" x14ac:dyDescent="0.25">
      <c r="A7" s="2" t="s">
        <v>242</v>
      </c>
    </row>
    <row r="8" spans="1:10" ht="5.0999999999999996" customHeight="1" x14ac:dyDescent="0.25">
      <c r="A8" s="2"/>
    </row>
    <row r="9" spans="1:10" x14ac:dyDescent="0.25">
      <c r="A9" t="s">
        <v>244</v>
      </c>
    </row>
    <row r="10" spans="1:10" x14ac:dyDescent="0.25">
      <c r="A10" s="2" t="s">
        <v>250</v>
      </c>
    </row>
    <row r="11" spans="1:10" ht="15.75" thickBot="1" x14ac:dyDescent="0.3"/>
    <row r="12" spans="1:10" ht="195" x14ac:dyDescent="0.25">
      <c r="A12" s="91"/>
      <c r="B12" s="92"/>
      <c r="C12" s="92"/>
      <c r="D12" s="202" t="s">
        <v>171</v>
      </c>
      <c r="E12" s="202" t="s">
        <v>178</v>
      </c>
      <c r="F12" s="202" t="s">
        <v>172</v>
      </c>
      <c r="G12" s="93" t="s">
        <v>179</v>
      </c>
      <c r="H12" s="89" t="s">
        <v>177</v>
      </c>
    </row>
    <row r="13" spans="1:10" ht="5.0999999999999996" customHeight="1" thickBot="1" x14ac:dyDescent="0.3">
      <c r="A13" s="97"/>
      <c r="B13" s="95"/>
      <c r="C13" s="95"/>
      <c r="D13" s="201"/>
      <c r="E13" s="201"/>
      <c r="F13" s="201"/>
      <c r="G13" s="98"/>
      <c r="H13" s="4"/>
    </row>
    <row r="14" spans="1:10" ht="18" customHeight="1" x14ac:dyDescent="0.25">
      <c r="A14" s="99" t="s">
        <v>337</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180</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1" t="str">
        <f>INDEX(List_Variances,$H16,2)</f>
        <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173</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174</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175</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176</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338</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339</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340</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341</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342</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249</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lhhZl6dsQWKTYC6ux/vaingll8no/tUGrikfJXDSjFe3pHdukcUUHI6Hm3zMb6XtBNLroLEgS1mebqqp3/2sIg==" saltValue="zwYICdGkgk/Pa+zjQg8W8A=="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election activeCell="R33" sqref="R33"/>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7" t="s">
        <v>524</v>
      </c>
    </row>
    <row r="6" spans="1:16" ht="15.75" customHeight="1" x14ac:dyDescent="0.25">
      <c r="A6" s="1" t="s">
        <v>450</v>
      </c>
      <c r="E6" s="502" t="s">
        <v>539</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541</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wBt93AIzcNfG5qVLHOKG0LTrEv0tDzV3aa6O2BCzv0XHw/vMDcy5+lnbJR99AjKE0t5HFDMPD6OgHcSpyegQCA==" saltValue="vcZaT6HpD4WPFRVRWFxc6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4"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topLeftCell="A3"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c r="I5" s="500"/>
      <c r="J5" s="4"/>
    </row>
    <row r="6" spans="1:16" ht="15.75" customHeight="1" x14ac:dyDescent="0.25">
      <c r="A6" s="1" t="s">
        <v>450</v>
      </c>
      <c r="E6" s="502" t="s">
        <v>543</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SDYFGkzH/RAcrh7Udgql7aahFtQGItwNB+hh8dUhXJvQdlF7cWTyR0xLJxQX4Y5dYFzzYHk9/ElUOEY/DbbnvQ==" saltValue="sqfPHtIHIHygVkRWyLnDx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3"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topLeftCell="A5"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row>
    <row r="6" spans="1:16" ht="15.75" customHeight="1" x14ac:dyDescent="0.25">
      <c r="A6" s="1" t="s">
        <v>450</v>
      </c>
      <c r="E6" s="502" t="s">
        <v>545</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SUbFPNB5mAl0ZFsySCaD1t/IQAvPRowylMmZeh1VExAue5IRtEZoZkeZHUCNdwaV1TLKioDtjAkY+TJsyrpR9w==" saltValue="8tS4eC1y7U45ge1X6jTRk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2"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topLeftCell="A5"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547</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541</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N9DBu3VYRxYXIBupjg0/U9KX1dzKAHRAxxW1Z+4L4FtRztWbpb48JUorsAjSpxhuTR9XMuDEeu0jF/+0V3CA/Q==" saltValue="vs1Jf7GHoYIM55+WG4dlo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1"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topLeftCell="A5"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548</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R+wKNlgB/7HLxsG/5niJ7jjUmamlDEoVlI6T3juedV5uwXmSnsGEZ0PnEsVMGO754DkQg/DNi2YUzXUXP+CaFQ==" saltValue="zh5ngriXBCoSNOW0bPoFK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topLeftCell="A11" zoomScaleNormal="115" zoomScaleSheetLayoutView="100" workbookViewId="0">
      <selection activeCell="R29" sqref="R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549</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hNyo+pDATiHPxWeRq37M1HFtQpwbEtx2ajckd5x0w+XFEfDpxnjBrZJ8F6PuICXGw1E7jRn7QIKk+mRqrwRU0Q==" saltValue="gv7rQPzTax0/OW9lOvVhy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topLeftCell="A4" zoomScaleNormal="115" zoomScaleSheetLayoutView="100" workbookViewId="0">
      <selection activeCell="E36" sqref="E36"/>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550</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YTpoVGi2Dq+RE2xR525KoSfso2WadPsqk0/hopRU0Q1Xgf6Q93LRKF0DO4kXwSm/Er5lWXBt2iZUKtCYarMYHQ==" saltValue="kmQHo1v0qXCvEVIlkXQQ6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551</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RMQVDTpSr1Jr3FKO7plX64Zje6wWuWelEvLDfxmgYDRhgkRZxEYhp+WO1EW9h63xQ/3+T3E9zbfrkBRwx9tb/Q==" saltValue="ElPaS5CFBgom0SN9+WjQ3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552</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553</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9h+qEOPdiSNBjoqr4m9M4ZUT2Cg2UTs98TPZO5yT0jJWozYV7pvNbN3WLtwepooDYevCK0Mvst6Mi+ZgPQa0qg==" saltValue="rLFw/9TnBcx8TjNmiHiyW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ACC53-E7B7-4E64-A873-A1F67692C062}">
  <sheetPr codeName="Sheet24">
    <tabColor rgb="FF0000FF"/>
  </sheetPr>
  <dimension ref="A1:P48"/>
  <sheetViews>
    <sheetView showGridLines="0" view="pageBreakPreview" zoomScaleNormal="115" zoomScaleSheetLayoutView="100" workbookViewId="0">
      <selection activeCell="K47" sqref="K4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562</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563</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2D+Palu/dlhYDCqM1pVA2V3h9o+jqOp8+3rPyzVG7FLyZL+Yylf/k6RfPcLJ8URdspl8CPRJ7RKFqFfs94i7eg==" saltValue="PIdVKPcgwpnZyGdPQfZvd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1490"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1491"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1492"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149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149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149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149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149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149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1499"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1500"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150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150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150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150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150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150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150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150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150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1510"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1511"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151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151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151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151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151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151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151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151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152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152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152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152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18AC-C131-4724-869C-0E16C9D21C73}">
  <sheetPr codeName="Sheet25">
    <tabColor rgb="FF0000FF"/>
  </sheetPr>
  <dimension ref="A1:P48"/>
  <sheetViews>
    <sheetView showGridLines="0" view="pageBreakPreview" topLeftCell="A14"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564</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nCC99j7R/cGljr+zrVFuQQtoCNZ1X4FEiJQB+AfnDPkUbZb/fI2gHraf2QGAYJQcVqZndM89gOxSGXPWjTrmtg==" saltValue="VAn1UcvAEMetJtajUd78b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251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251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251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251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251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251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252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252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252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252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252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252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252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252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252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252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253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253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253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253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253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253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253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253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253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253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254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254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254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254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254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254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254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254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D317D-948E-4491-9A38-B26D22112DEF}">
  <sheetPr codeName="Sheet26">
    <tabColor rgb="FF0000FF"/>
  </sheetPr>
  <dimension ref="A1:P48"/>
  <sheetViews>
    <sheetView showGridLines="0" view="pageBreakPreview" topLeftCell="A14" zoomScaleNormal="115" zoomScaleSheetLayoutView="100" workbookViewId="0">
      <selection activeCell="J46" sqref="J46"/>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565</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553</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SNteXpNpowxS015XyT3oteqsUArKWuQXs0tF5sydnNXTRh4kcoUCDqQbnNbXaGUGwSjb/6AvBMkbgmE58sGmw==" saltValue="0iZYNiEYbT8O6sDk6RNn6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3538"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3539"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3540"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35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35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35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35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35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35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3547"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3548"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35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35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35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35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35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35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35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35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35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3558"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3559"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35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35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35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35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35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35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35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35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35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35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35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35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76C3-D7BA-43C6-AB65-047AF442B1C9}">
  <sheetPr codeName="Sheet27">
    <tabColor rgb="FF0000FF"/>
  </sheetPr>
  <dimension ref="A1:P48"/>
  <sheetViews>
    <sheetView showGridLines="0" view="pageBreakPreview" zoomScaleNormal="115" zoomScaleSheetLayoutView="100" workbookViewId="0">
      <selection activeCell="K47" sqref="K4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566</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541</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FaMOryAbOcgNuERqkbY7UyWGmmj1lUjF2SAZotSlLWalUg9docnWvMfuSQ8NH8IeM0OJ8S83Sv6ze4sfQlyzWw==" saltValue="O5HVqPetu64CJdOvJA4n+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4562"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4563"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4564"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45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45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45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45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45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45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4571"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4572"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45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45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45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45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45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45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45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45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45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4582"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4583"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45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45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45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45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45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45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45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45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45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45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45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45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election activeCell="A26" sqref="A26:XFD2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554</v>
      </c>
      <c r="F6" s="503"/>
      <c r="G6" s="503"/>
      <c r="H6" s="503"/>
      <c r="I6" s="503"/>
      <c r="J6" s="504"/>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1</v>
      </c>
      <c r="C25" t="s">
        <v>439</v>
      </c>
      <c r="G25" s="55" t="b">
        <v>1</v>
      </c>
      <c r="H25" t="s">
        <v>438</v>
      </c>
      <c r="L25" s="55" t="b">
        <v>0</v>
      </c>
      <c r="M25" t="s">
        <v>451</v>
      </c>
      <c r="N25" s="502"/>
      <c r="O25" s="504"/>
    </row>
    <row r="26" spans="1:15" ht="15.75" customHeight="1" x14ac:dyDescent="0.25">
      <c r="B26" s="55"/>
      <c r="G26" s="55"/>
    </row>
    <row r="28" spans="1:15" ht="15.75" customHeight="1" x14ac:dyDescent="0.25">
      <c r="A28" s="187" t="s">
        <v>515</v>
      </c>
    </row>
    <row r="29" spans="1:15" ht="15.75" customHeight="1" x14ac:dyDescent="0.25">
      <c r="B29" s="55" t="b">
        <v>0</v>
      </c>
      <c r="C29" t="s">
        <v>507</v>
      </c>
      <c r="G29" s="55" t="b">
        <v>1</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1</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537</v>
      </c>
      <c r="N40" s="504"/>
    </row>
    <row r="41" spans="1:15" ht="15.75" customHeight="1" x14ac:dyDescent="0.25">
      <c r="K41" s="8" t="s">
        <v>428</v>
      </c>
      <c r="M41" s="502" t="s">
        <v>538</v>
      </c>
      <c r="N41" s="504"/>
    </row>
    <row r="43" spans="1:15" ht="15.75" customHeight="1" x14ac:dyDescent="0.25">
      <c r="A43" s="1" t="s">
        <v>427</v>
      </c>
    </row>
    <row r="44" spans="1:15" ht="15.75" customHeight="1" x14ac:dyDescent="0.25">
      <c r="B44" s="55" t="b">
        <v>1</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v/o5raD0YiMNcd6W3HK9Q2Vb5pHQ6LcVO/XazlgHMf8rEr4pN5i/c8Y5PsEVZSkBGKuARHk593LRtU7sydYXGA==" saltValue="lRAeUulgGeceOOntKRbi7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8B8A8-241D-40E7-9FE9-F81A7DDAAE19}">
  <sheetPr codeName="Sheet23">
    <tabColor rgb="FF0000FF"/>
  </sheetPr>
  <dimension ref="A1:P48"/>
  <sheetViews>
    <sheetView showGridLines="0" view="pageBreakPreview" topLeftCell="A8" zoomScaleNormal="115" zoomScaleSheetLayoutView="100" workbookViewId="0">
      <selection activeCell="I34" sqref="I34:J3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555</v>
      </c>
      <c r="F6" s="503"/>
      <c r="G6" s="503"/>
      <c r="H6" s="503"/>
      <c r="I6" s="503"/>
      <c r="J6" s="504"/>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0</v>
      </c>
      <c r="C25" t="s">
        <v>439</v>
      </c>
      <c r="G25" s="55" t="b">
        <v>0</v>
      </c>
      <c r="H25" t="s">
        <v>438</v>
      </c>
      <c r="L25" s="55" t="b">
        <v>1</v>
      </c>
      <c r="M25" t="s">
        <v>451</v>
      </c>
      <c r="N25" s="502" t="s">
        <v>556</v>
      </c>
      <c r="O25" s="504"/>
    </row>
    <row r="26" spans="1:15" ht="15.75" customHeight="1" x14ac:dyDescent="0.25">
      <c r="B26" s="55"/>
      <c r="G26" s="55"/>
    </row>
    <row r="28" spans="1:15" ht="15.75" customHeight="1" x14ac:dyDescent="0.25">
      <c r="A28" s="187" t="s">
        <v>515</v>
      </c>
    </row>
    <row r="29" spans="1:15" ht="15.75" customHeight="1" x14ac:dyDescent="0.25">
      <c r="B29" s="55" t="b">
        <v>0</v>
      </c>
      <c r="C29" t="s">
        <v>507</v>
      </c>
      <c r="G29" s="55" t="b">
        <v>0</v>
      </c>
      <c r="H29" t="s">
        <v>502</v>
      </c>
      <c r="L29" s="55" t="b">
        <v>1</v>
      </c>
      <c r="M29" t="s">
        <v>503</v>
      </c>
      <c r="N29" s="502" t="s">
        <v>557</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1</v>
      </c>
      <c r="H34" s="55" t="s">
        <v>512</v>
      </c>
      <c r="I34" s="502" t="s">
        <v>558</v>
      </c>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542</v>
      </c>
      <c r="N40" s="504"/>
    </row>
    <row r="41" spans="1:15" ht="15.75" customHeight="1" x14ac:dyDescent="0.25">
      <c r="K41" s="8" t="s">
        <v>428</v>
      </c>
      <c r="M41" s="502" t="s">
        <v>542</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jhfdAq45vs9fln0YmItg7gXV5UZdnmoASWQePf+n8onz0/qDQs88EE/Bs6m7wsP2XlN3o4s74VdrLod2jSUrBQ==" saltValue="fxMmhdUTDTYy43YU9PseX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046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046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046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046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047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047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047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047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047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047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047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047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047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047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048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048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048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048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048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048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048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048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048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048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049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049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049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049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049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049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049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049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049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049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189</vt:i4>
      </vt:variant>
    </vt:vector>
  </HeadingPairs>
  <TitlesOfParts>
    <vt:vector size="214"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12.14Model Disclosure</vt:lpstr>
      <vt:lpstr>12.15Model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'12.14Model Disclosure'!Model_Catastrophe</vt:lpstr>
      <vt:lpstr>'12.15Model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'12.14Model Disclosure'!Model_NonCatastrophe</vt:lpstr>
      <vt:lpstr>'12.15Model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'12.12Model Disclosure'!Model_Other</vt:lpstr>
      <vt:lpstr>'12.13Model Disclosure'!Model_Other</vt:lpstr>
      <vt:lpstr>'12.14Model Disclosure'!Model_Other</vt:lpstr>
      <vt:lpstr>'12.15Model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'12.12Model Disclosure'!Model_OverallRateLevel</vt:lpstr>
      <vt:lpstr>'12.13Model Disclosure'!Model_OverallRateLevel</vt:lpstr>
      <vt:lpstr>'12.14Model Disclosure'!Model_OverallRateLevel</vt:lpstr>
      <vt:lpstr>'12.15Model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'12.14Model Disclosure'!Model_RateSegmentation</vt:lpstr>
      <vt:lpstr>'12.15Model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'12.14Model Disclosure'!Model_Refresh</vt:lpstr>
      <vt:lpstr>'12.15Model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'12.14Model Disclosure'!Model_Revision</vt:lpstr>
      <vt:lpstr>'12.15Model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'12.14Model Disclosure'!Model_RevisionNo</vt:lpstr>
      <vt:lpstr>'12.15Model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'12.14Model Disclosure'!Print_Area</vt:lpstr>
      <vt:lpstr>'12.15Model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'12.12Model Disclosure'!UW_Model</vt:lpstr>
      <vt:lpstr>'12.13Model Disclosure'!UW_Model</vt:lpstr>
      <vt:lpstr>'12.14Model Disclosure'!UW_Model</vt:lpstr>
      <vt:lpstr>'12.15Model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Emily Gaertner</cp:lastModifiedBy>
  <cp:lastPrinted>2024-01-10T19:53:29Z</cp:lastPrinted>
  <dcterms:created xsi:type="dcterms:W3CDTF">2014-04-24T17:59:28Z</dcterms:created>
  <dcterms:modified xsi:type="dcterms:W3CDTF">2024-03-19T18:50:42Z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2024-01-10T19:21:38Z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cab7f730-b434-4bff-a70f-9c2b5fdfa3f3</vt:lpwstr>
  </property>
  <property fmtid="{D5CDD505-2E9C-101B-9397-08002B2CF9AE}" pid="8" name="MSIP_Label_9fec7713-ff10-4e30-a417-5bbcd9826c75_ContentBits">
    <vt:lpwstr>0</vt:lpwstr>
  </property>
</Properties>
</file>