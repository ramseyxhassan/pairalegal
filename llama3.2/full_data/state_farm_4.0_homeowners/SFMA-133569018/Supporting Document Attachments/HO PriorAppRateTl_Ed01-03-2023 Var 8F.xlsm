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Filing\Filing Documents\@@Prop Chg Amendment\Rate Template\"/>
    </mc:Choice>
  </mc:AlternateContent>
  <xr:revisionPtr revIDLastSave="0" documentId="13_ncr:1_{FAE1B02A-DC7E-4D6C-A7CB-D0CD4DACE2BE}" xr6:coauthVersionLast="47" xr6:coauthVersionMax="47" xr10:uidLastSave="{00000000-0000-0000-0000-000000000000}"/>
  <bookViews>
    <workbookView xWindow="16284"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References!$H$41:$I$42</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34" l="1"/>
  <c r="I44" i="3"/>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I15" i="34" s="1"/>
  <c r="B48" i="1"/>
  <c r="I14" i="34" s="1"/>
  <c r="B47" i="1"/>
  <c r="I13" i="34" s="1"/>
  <c r="B46" i="1"/>
  <c r="I12" i="34" s="1"/>
  <c r="B45" i="1"/>
  <c r="B44" i="1"/>
  <c r="B43" i="1"/>
  <c r="G16" i="32" l="1"/>
  <c r="D30" i="34"/>
  <c r="C30" i="34"/>
  <c r="D34" i="34"/>
  <c r="C34" i="34"/>
  <c r="C28" i="34"/>
  <c r="D28" i="34"/>
  <c r="C32" i="34"/>
  <c r="D32" i="34"/>
  <c r="C31" i="34"/>
  <c r="D31" i="34"/>
  <c r="D29" i="34"/>
  <c r="C29" i="34"/>
  <c r="D33" i="34"/>
  <c r="C33" i="34"/>
  <c r="B34" i="1"/>
  <c r="B12" i="34"/>
  <c r="H12" i="34" s="1"/>
  <c r="C41" i="34"/>
  <c r="F28" i="34"/>
  <c r="B16" i="34"/>
  <c r="B45" i="34" s="1"/>
  <c r="C45" i="34"/>
  <c r="F32" i="34"/>
  <c r="H16" i="34"/>
  <c r="B35" i="1"/>
  <c r="E34" i="1" s="1"/>
  <c r="F29" i="34"/>
  <c r="H13" i="34"/>
  <c r="B13" i="34"/>
  <c r="C42" i="34"/>
  <c r="C46" i="34"/>
  <c r="B17" i="34"/>
  <c r="H17" i="34" s="1"/>
  <c r="E33" i="34" s="1"/>
  <c r="F33" i="34"/>
  <c r="B32" i="1"/>
  <c r="E31" i="1" s="1"/>
  <c r="C39" i="34"/>
  <c r="F26" i="34"/>
  <c r="B10" i="34"/>
  <c r="H10" i="34" s="1"/>
  <c r="B36" i="1"/>
  <c r="E35" i="1" s="1"/>
  <c r="C43" i="34"/>
  <c r="F30" i="34"/>
  <c r="H14" i="34"/>
  <c r="B14" i="34"/>
  <c r="C47" i="34"/>
  <c r="F34" i="34"/>
  <c r="B18" i="34"/>
  <c r="H18" i="34"/>
  <c r="B33"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B74" i="1"/>
  <c r="B75" i="1"/>
  <c r="B72" i="1"/>
  <c r="B70" i="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D38" i="34" s="1"/>
  <c r="H53" i="28"/>
  <c r="H30" i="28"/>
  <c r="G19" i="34" l="1"/>
  <c r="B48" i="34"/>
  <c r="D48" i="34" s="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H67" i="56"/>
  <c r="H63" i="56" s="1"/>
  <c r="H67" i="54"/>
  <c r="H63" i="54" s="1"/>
  <c r="H66" i="54"/>
  <c r="C27" i="34" l="1"/>
  <c r="H68" i="50"/>
  <c r="E11" i="34" s="1"/>
  <c r="D9" i="34"/>
  <c r="D19" i="34" s="1"/>
  <c r="D35" i="34" s="1"/>
  <c r="F19" i="34"/>
  <c r="I22" i="59"/>
  <c r="I40" i="59"/>
  <c r="I22" i="29"/>
  <c r="I40" i="29"/>
  <c r="C26" i="34"/>
  <c r="H68" i="49"/>
  <c r="E10" i="34" s="1"/>
  <c r="I10" i="34" s="1"/>
  <c r="C11" i="34" l="1"/>
  <c r="I11"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<sst xmlns="http://schemas.openxmlformats.org/spreadsheetml/2006/main" count="3088" uniqueCount="759">
  <si>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</si>
  <si>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</si>
  <si>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</si>
  <si>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</si>
  <si>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</si>
  <si>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</si>
  <si>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</si>
  <si>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</si>
  <si>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</si>
  <si>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</si>
  <si>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</si>
  <si>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</si>
  <si>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</si>
  <si>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</si>
  <si>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</si>
  <si>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</si>
  <si>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</si>
  <si>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</si>
  <si>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</si>
  <si>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</si>
  <si>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</si>
  <si>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</si>
  <si>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</si>
  <si>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</si>
  <si>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</si>
  <si>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</si>
  <si>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</si>
  <si>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</si>
  <si>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</si>
  <si>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</si>
  <si>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</si>
  <si>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</si>
  <si>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</si>
  <si>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</si>
  <si>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</si>
  <si>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</si>
  <si>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</si>
  <si>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</si>
  <si>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</si>
  <si>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</si>
  <si>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</si>
  <si>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</si>
  <si>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</si>
  <si>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</si>
  <si>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</si>
  <si>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</si>
  <si>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</si>
  <si>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</si>
  <si>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</si>
  <si>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</si>
  <si>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</si>
  <si>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</si>
  <si>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</si>
  <si>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</si>
  <si>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</si>
  <si>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</si>
  <si>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</si>
  <si>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</si>
  <si>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</si>
  <si>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</si>
  <si>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</si>
  <si>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</si>
  <si>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</si>
  <si>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</si>
  <si>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</si>
  <si>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</si>
  <si>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</si>
  <si>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</si>
  <si>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</si>
  <si>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</si>
  <si>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</si>
  <si>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</si>
  <si>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</si>
  <si>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</si>
  <si>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</si>
  <si>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</si>
  <si>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</si>
  <si>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</si>
  <si>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</si>
  <si>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</si>
  <si>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</si>
  <si>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</si>
  <si>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</si>
  <si>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</si>
  <si>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</si>
  <si>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</si>
  <si>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</si>
  <si>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</si>
  <si>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</si>
  <si>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</si>
  <si>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</si>
  <si>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</si>
  <si>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</si>
  <si>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</si>
  <si>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</si>
  <si>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</si>
  <si>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</si>
  <si>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</si>
  <si>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</si>
  <si>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</si>
  <si>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</si>
  <si>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</si>
  <si>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</si>
  <si>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</si>
  <si>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</si>
  <si>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</si>
  <si>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</si>
  <si>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</si>
  <si>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</si>
  <si>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</si>
  <si>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</si>
  <si>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</si>
  <si>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</si>
  <si>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</si>
  <si>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</si>
  <si>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</si>
  <si>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</si>
  <si>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</si>
  <si>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</si>
  <si>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</si>
  <si>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</si>
  <si>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</si>
  <si>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</si>
  <si>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</si>
  <si>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</si>
  <si>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</si>
  <si>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</si>
  <si>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</si>
  <si>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</si>
  <si>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</si>
  <si>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</si>
  <si>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</si>
  <si>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</si>
  <si>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</si>
  <si>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</si>
  <si>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</si>
  <si>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</si>
  <si>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</si>
  <si>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</si>
  <si>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</si>
  <si>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</si>
  <si>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</si>
  <si>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</si>
  <si>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</si>
  <si>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</si>
  <si>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</si>
  <si>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</si>
  <si>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</si>
  <si>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</si>
  <si>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</si>
  <si>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</si>
  <si>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</si>
  <si>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</si>
  <si>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</si>
  <si>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</si>
  <si>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</si>
  <si>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</si>
  <si>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</si>
  <si>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</si>
  <si>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</si>
  <si>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</si>
  <si>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</si>
  <si>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</si>
  <si>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</si>
  <si>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</si>
  <si>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</si>
  <si>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</si>
  <si>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</si>
  <si>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</si>
  <si>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</si>
  <si>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</si>
  <si>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</si>
  <si>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</si>
  <si>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</si>
  <si>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</si>
  <si>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</si>
  <si>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</si>
  <si>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</si>
  <si>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</si>
  <si>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</si>
  <si>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</si>
  <si>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</si>
  <si>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</si>
  <si>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</si>
  <si>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</si>
  <si>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</si>
  <si>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</si>
  <si>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</si>
  <si>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</si>
  <si>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</si>
  <si>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</si>
  <si>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</si>
  <si>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</si>
  <si>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</si>
  <si>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</si>
  <si>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</si>
  <si>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</si>
  <si>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</si>
  <si>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</si>
  <si>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</si>
  <si>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</si>
  <si>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</si>
  <si>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</si>
  <si>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</si>
  <si>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</si>
  <si>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</si>
  <si>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</si>
  <si>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</si>
  <si>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</si>
  <si>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</si>
  <si>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</si>
  <si>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</si>
  <si>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</si>
  <si>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</si>
  <si>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</si>
  <si>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</si>
  <si>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</si>
  <si>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</si>
  <si>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</si>
  <si>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</si>
  <si>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</si>
  <si>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</si>
  <si>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</si>
  <si>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</si>
  <si>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</si>
  <si>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</si>
  <si>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</si>
  <si>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</si>
  <si>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</si>
  <si>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</si>
  <si>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</si>
  <si>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</si>
  <si>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</si>
  <si>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</si>
  <si>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</si>
  <si>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</si>
  <si>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</si>
  <si>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</si>
  <si>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</si>
  <si>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</si>
  <si>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</si>
  <si>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</si>
  <si>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</si>
  <si>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</si>
  <si>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</si>
  <si>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</si>
  <si>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</si>
  <si>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</si>
  <si>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</si>
  <si>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</si>
  <si>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</si>
  <si>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</si>
  <si>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</si>
  <si>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</si>
  <si>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</si>
  <si>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</si>
  <si>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</si>
  <si>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</si>
  <si>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</si>
  <si>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</si>
  <si>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</si>
  <si>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</si>
  <si>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</si>
  <si>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</si>
  <si>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</si>
  <si>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</si>
  <si>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</si>
  <si>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</si>
  <si>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</si>
  <si>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</si>
  <si>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</si>
  <si>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</si>
  <si>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</si>
  <si>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</si>
  <si>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</si>
  <si>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</si>
  <si>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</si>
  <si>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</si>
  <si>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</si>
  <si>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</si>
  <si>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</si>
  <si>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</si>
  <si>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</si>
  <si>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</si>
  <si>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</si>
  <si>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</si>
  <si>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</si>
  <si>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</si>
  <si>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</si>
  <si>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</si>
  <si>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</si>
  <si>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</si>
  <si>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</si>
  <si>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</si>
  <si>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</si>
  <si>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</si>
  <si>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</si>
  <si>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</si>
  <si>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</si>
  <si>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</si>
  <si>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</si>
  <si>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</si>
  <si>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</si>
  <si>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</si>
  <si>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</si>
  <si>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</si>
  <si>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</si>
  <si>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</si>
  <si>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</si>
  <si>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</si>
  <si>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</si>
  <si>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</si>
  <si>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</si>
  <si>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</si>
  <si>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</si>
  <si>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</si>
  <si>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</si>
  <si>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</si>
  <si>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</si>
  <si>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</si>
  <si>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</si>
  <si>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</si>
  <si>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</si>
  <si>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</si>
  <si>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</si>
  <si>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</si>
  <si>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</si>
  <si>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</si>
  <si>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</si>
  <si>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</si>
  <si>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</si>
  <si>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</si>
  <si>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</si>
  <si>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</si>
  <si>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</si>
  <si>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</si>
  <si>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</si>
  <si>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</si>
  <si>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</si>
  <si>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</si>
  <si>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</si>
  <si>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</si>
  <si>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</si>
  <si>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</si>
  <si>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</si>
  <si>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</si>
  <si>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</si>
  <si>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</si>
  <si>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</si>
  <si>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</si>
  <si>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</si>
  <si>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</si>
  <si>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</si>
  <si>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</si>
  <si>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</si>
  <si>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</si>
  <si>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</si>
  <si>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</si>
  <si>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</si>
  <si>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</si>
  <si>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</si>
  <si>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</si>
  <si>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</si>
  <si>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</si>
  <si>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</si>
  <si>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</si>
  <si>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</si>
  <si>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</si>
  <si>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</si>
  <si>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</si>
  <si>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</si>
  <si>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</si>
  <si>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</si>
  <si>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</si>
  <si>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</si>
  <si>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</si>
  <si>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</si>
  <si>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</si>
  <si>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</si>
  <si>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</si>
  <si>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</si>
  <si>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</si>
  <si>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</si>
  <si>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</si>
  <si>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</si>
  <si>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</si>
  <si>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</si>
  <si>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</si>
  <si>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</si>
  <si>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</si>
  <si>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</si>
  <si>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</si>
  <si>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</si>
  <si>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</si>
  <si>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</si>
  <si>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</si>
  <si>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</si>
  <si>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</si>
  <si>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</si>
  <si>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</si>
  <si>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</si>
  <si>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</si>
  <si>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</si>
  <si>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</si>
  <si>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</si>
  <si>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</si>
  <si>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</si>
  <si>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</si>
  <si>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</si>
  <si>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</si>
  <si>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</si>
  <si>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</si>
  <si>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</si>
  <si>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</si>
  <si>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</si>
  <si>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</si>
  <si>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</si>
  <si>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</si>
  <si>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</si>
  <si>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</si>
  <si>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</si>
  <si>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</si>
  <si>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</si>
  <si>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</si>
  <si>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</si>
  <si>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</si>
  <si>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</si>
  <si>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</si>
  <si>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</si>
  <si>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</si>
  <si>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</si>
  <si>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</si>
  <si>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</si>
  <si>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</si>
  <si>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</si>
  <si>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</si>
  <si>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</si>
  <si>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</si>
  <si>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</si>
  <si>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</si>
  <si>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</si>
  <si>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</si>
  <si>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</si>
  <si>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</si>
  <si>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</si>
  <si>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</si>
  <si>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</si>
  <si>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</si>
  <si>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</si>
  <si>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</si>
  <si>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</si>
  <si>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</si>
  <si>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</si>
  <si>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</si>
  <si>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</si>
  <si>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</si>
  <si>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</si>
  <si>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</si>
  <si>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</si>
  <si>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</si>
  <si>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</si>
  <si>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</si>
  <si>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</si>
  <si>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</si>
  <si>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</si>
  <si>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</si>
  <si>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</si>
  <si>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</si>
  <si>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</si>
  <si>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</si>
  <si>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</si>
  <si>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</si>
  <si>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</si>
  <si>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</si>
  <si>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</si>
  <si>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</si>
  <si>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</si>
  <si>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</si>
  <si>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</si>
  <si>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</si>
  <si>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</si>
  <si>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</si>
  <si>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</si>
  <si>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</si>
  <si>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</si>
  <si>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</si>
  <si>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</si>
  <si>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</si>
  <si>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</si>
  <si>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</si>
  <si>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</si>
  <si>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</si>
  <si>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</si>
  <si>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</si>
  <si>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</si>
  <si>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</si>
  <si>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</si>
  <si>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</si>
  <si>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</si>
  <si>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</si>
  <si>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</si>
  <si>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</si>
  <si>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</si>
  <si>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</si>
  <si>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</si>
  <si>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</si>
  <si>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</si>
  <si>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</si>
  <si>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</si>
  <si>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</si>
  <si>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</si>
  <si>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</si>
  <si>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</si>
  <si>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</si>
  <si>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</si>
  <si>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</si>
  <si>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</si>
  <si>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</si>
  <si>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</si>
  <si>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</si>
  <si>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</si>
  <si>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</si>
  <si>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</si>
  <si>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</si>
  <si>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</si>
  <si>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</si>
  <si>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</si>
  <si>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</si>
  <si>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</si>
  <si>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</si>
  <si>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</si>
  <si>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</si>
  <si>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</si>
  <si>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</si>
  <si>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</si>
  <si>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</si>
  <si>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</si>
  <si>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</si>
  <si>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</si>
  <si>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</si>
  <si>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</si>
  <si>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</si>
  <si>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</si>
  <si>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</si>
  <si>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</si>
  <si>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</si>
  <si>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</si>
  <si>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</si>
  <si>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</si>
  <si>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</si>
  <si>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</si>
  <si>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</si>
  <si>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</si>
  <si>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</si>
  <si>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</si>
  <si>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</si>
  <si>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</si>
  <si>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</si>
  <si>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</si>
  <si>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</si>
  <si>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</si>
  <si>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</si>
  <si>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</si>
  <si>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</si>
  <si>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</si>
  <si>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</si>
  <si>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</si>
  <si>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</si>
  <si>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</si>
  <si>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</si>
  <si>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</si>
  <si>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</si>
  <si>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</si>
  <si>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</si>
  <si>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</si>
  <si>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</si>
  <si>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</si>
  <si>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</si>
  <si>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</si>
  <si>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</si>
  <si>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</si>
  <si>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</si>
  <si>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</si>
  <si>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</si>
  <si>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</si>
  <si>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</si>
  <si>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</si>
  <si>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</si>
  <si>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</si>
  <si>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</si>
  <si>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</si>
  <si>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</si>
  <si>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</si>
  <si>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</si>
  <si>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</si>
  <si>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</si>
  <si>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</si>
  <si>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</si>
  <si>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</si>
  <si>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</si>
  <si>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</si>
  <si>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</si>
  <si>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</si>
  <si>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</si>
  <si>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</si>
  <si>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</si>
  <si>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</si>
  <si>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</si>
  <si>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</si>
  <si>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</si>
  <si>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</si>
  <si>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</si>
  <si>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</si>
  <si>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</si>
  <si>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</si>
  <si>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</si>
  <si>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</si>
  <si>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</si>
  <si>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</si>
  <si>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</si>
  <si>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</si>
  <si>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</si>
  <si>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</si>
  <si>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</si>
  <si>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</si>
  <si>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</si>
  <si>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</si>
  <si>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</si>
  <si>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</si>
  <si>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</si>
  <si>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</si>
  <si>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</si>
  <si>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</si>
  <si>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</si>
  <si>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</si>
  <si>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</si>
  <si>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</si>
  <si>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</si>
  <si>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</si>
  <si>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</si>
  <si>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</si>
  <si>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</si>
  <si>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</si>
  <si>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</si>
  <si>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</si>
  <si>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</si>
  <si>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</si>
  <si>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</si>
  <si>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</si>
  <si>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</si>
  <si>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</si>
  <si>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</si>
  <si>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</si>
  <si>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</si>
  <si>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</si>
  <si>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</si>
  <si>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</si>
  <si>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</si>
  <si>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</si>
  <si>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</si>
  <si>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</si>
  <si>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</si>
  <si>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</si>
  <si>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</si>
  <si>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</si>
  <si>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</si>
  <si>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</si>
  <si>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</si>
  <si>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</si>
  <si>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</si>
  <si>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</si>
  <si>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</si>
  <si>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</si>
  <si>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</si>
  <si>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</si>
  <si>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</si>
  <si>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</si>
  <si>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</si>
  <si>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</si>
  <si>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</si>
  <si>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</si>
  <si>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</si>
  <si>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</si>
  <si>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</si>
  <si>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</si>
  <si>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</si>
  <si>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</si>
  <si>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</si>
  <si>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</si>
  <si>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</si>
  <si>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</si>
  <si>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</si>
  <si>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</si>
  <si>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</si>
  <si>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</si>
  <si>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</si>
  <si>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</si>
  <si>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</si>
  <si>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</si>
  <si>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</si>
  <si>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</si>
  <si>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</si>
  <si>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</si>
  <si>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</si>
  <si>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</si>
  <si>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</si>
  <si>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</si>
  <si>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</si>
  <si>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</si>
  <si>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</si>
  <si>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</si>
  <si>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</si>
  <si>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</si>
  <si>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</si>
  <si>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</si>
  <si>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</si>
  <si>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</si>
  <si>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</si>
  <si>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</si>
  <si>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</si>
  <si>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</si>
  <si>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</si>
  <si>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</si>
  <si>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</si>
  <si>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</si>
  <si>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</si>
  <si>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</si>
  <si>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</si>
  <si>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</si>
  <si>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</si>
  <si>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</si>
  <si>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</si>
  <si>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</si>
  <si>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</si>
  <si>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</si>
  <si>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</si>
  <si>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</si>
  <si>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</si>
  <si>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</si>
  <si>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</si>
  <si>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</si>
  <si>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</si>
  <si>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</si>
  <si>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</si>
  <si>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</si>
  <si>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</si>
  <si>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</si>
  <si>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</si>
  <si>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</si>
  <si>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</si>
  <si>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</si>
  <si>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Nicole Pettis</t>
  </si>
  <si>
    <t>State Farm General Insurance Company</t>
  </si>
  <si>
    <t>Non-Tenant Homeowners</t>
  </si>
  <si>
    <t>Renters</t>
  </si>
  <si>
    <t>Condominium Unitowners</t>
  </si>
  <si>
    <t>December 2022</t>
  </si>
  <si>
    <t>2021</t>
  </si>
  <si>
    <t>SCK5WJUe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</si>
</sst>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59">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7"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1"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1546860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464820</xdr:colOff>
          <xdr:row>27</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541020</xdr:colOff>
          <xdr:row>47</xdr:row>
          <xdr:rowOff>22860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1584960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test"/>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Apr 2021"/>
      <sheetName val="Settings"/>
      <sheetName val="Inputs"/>
      <sheetName val="July2020"/>
    </sheetNames>
    <sheetDataSet>
      <sheetData sheetId="0">
        <row r="1">
          <cell r="A1" t="str">
            <v>April 2023</v>
          </cell>
        </row>
      </sheetData>
      <sheetData sheetId="1"/>
      <sheetData sheetId="2"/>
      <sheetData sheetId="3"/>
      <sheetData sheetId="4"/>
      <sheetData sheetId="5"/>
      <sheetData sheetId="6"/>
      <sheetData sheetId="7"/>
      <sheetData sheetId="8"/>
      <sheetData sheetId="9"/>
      <sheetData sheetId="10"/>
      <sheetData sheetId="11">
        <row r="6">
          <cell r="E6">
            <v>3.9611111111111104E-2</v>
          </cell>
        </row>
      </sheetData>
      <sheetData sheetId="12">
        <row r="6">
          <cell r="E6">
            <v>3.9399999999999998E-2</v>
          </cell>
        </row>
      </sheetData>
      <sheetData sheetId="13"/>
      <sheetData sheetId="14"/>
      <sheetData sheetId="15"/>
      <sheetData sheetId="16"/>
      <sheetData sheetId="17"/>
      <sheetData sheetId="18">
        <row r="6">
          <cell r="E6">
            <v>2.2799999999999997E-2</v>
          </cell>
        </row>
      </sheetData>
      <sheetData sheetId="19">
        <row r="6">
          <cell r="E6">
            <v>1.9544444444444444E-2</v>
          </cell>
        </row>
      </sheetData>
      <sheetData sheetId="20"/>
      <sheetData sheetId="21">
        <row r="6">
          <cell r="E6">
            <v>1.4111111111111111E-2</v>
          </cell>
        </row>
      </sheetData>
      <sheetData sheetId="22"/>
      <sheetData sheetId="23"/>
      <sheetData sheetId="24">
        <row r="6">
          <cell r="E6">
            <v>1.0677777777777777E-2</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129</v>
      </c>
      <c r="B1" s="72"/>
      <c r="C1" s="72"/>
      <c r="D1" s="72"/>
      <c r="E1" s="72"/>
    </row>
    <row r="2" spans="1:5" x14ac:dyDescent="0.25">
      <c r="A2" s="72"/>
      <c r="B2" s="72"/>
      <c r="C2" s="72"/>
      <c r="D2" s="72"/>
      <c r="E2" s="72"/>
    </row>
    <row r="3" spans="1:5" x14ac:dyDescent="0.25">
      <c r="A3" s="72" t="s">
        <v>283</v>
      </c>
      <c r="B3" s="72"/>
      <c r="C3" s="72"/>
      <c r="D3" s="72"/>
      <c r="E3" s="72"/>
    </row>
    <row r="4" spans="1:5" x14ac:dyDescent="0.25">
      <c r="A4" s="186"/>
      <c r="B4" s="72"/>
      <c r="C4" s="72"/>
      <c r="D4" s="72"/>
      <c r="E4" s="72"/>
    </row>
    <row r="5" spans="1:5" x14ac:dyDescent="0.25">
      <c r="A5" s="186" t="s">
        <v>340</v>
      </c>
      <c r="B5" s="72" t="s">
        <v>758</v>
      </c>
      <c r="C5" s="72"/>
      <c r="D5" s="72"/>
      <c r="E5" s="72"/>
    </row>
    <row r="6" spans="1:5" x14ac:dyDescent="0.25">
      <c r="A6" s="186"/>
      <c r="B6" s="72"/>
      <c r="C6" s="72"/>
      <c r="D6" s="72"/>
      <c r="E6" s="72"/>
    </row>
    <row r="7" spans="1:5" x14ac:dyDescent="0.25">
      <c r="A7" s="72" t="s">
        <v>284</v>
      </c>
      <c r="B7" s="72"/>
      <c r="C7" s="72"/>
      <c r="D7" s="72"/>
      <c r="E7" s="72"/>
    </row>
    <row r="8" spans="1:5" x14ac:dyDescent="0.25">
      <c r="A8" s="186"/>
      <c r="B8" s="72"/>
      <c r="C8" s="72"/>
      <c r="D8" s="72"/>
      <c r="E8" s="72"/>
    </row>
    <row r="9" spans="1:5" x14ac:dyDescent="0.25">
      <c r="A9" s="186"/>
      <c r="B9" s="72"/>
      <c r="C9" s="72"/>
      <c r="D9" s="72"/>
      <c r="E9" s="72"/>
    </row>
    <row r="10" spans="1:5" x14ac:dyDescent="0.25">
      <c r="A10" s="72" t="s">
        <v>35</v>
      </c>
      <c r="B10" s="187" t="s">
        <v>750</v>
      </c>
      <c r="C10" s="72"/>
      <c r="D10" s="72"/>
      <c r="E10" s="72"/>
    </row>
    <row r="11" spans="1:5" x14ac:dyDescent="0.25">
      <c r="A11" s="72" t="s">
        <v>279</v>
      </c>
      <c r="B11" s="188"/>
      <c r="C11" s="72"/>
      <c r="D11" s="72"/>
      <c r="E11" s="72"/>
    </row>
    <row r="12" spans="1:5" x14ac:dyDescent="0.25">
      <c r="A12" s="72"/>
      <c r="B12" s="188"/>
      <c r="C12" s="72"/>
      <c r="D12" s="72"/>
      <c r="E12" s="72"/>
    </row>
    <row r="13" spans="1:5" x14ac:dyDescent="0.25">
      <c r="A13" s="72" t="s">
        <v>161</v>
      </c>
      <c r="B13" s="188"/>
      <c r="C13" s="72"/>
      <c r="D13" s="72"/>
      <c r="E13" s="72"/>
    </row>
    <row r="14" spans="1:5" x14ac:dyDescent="0.25">
      <c r="A14" s="72"/>
      <c r="B14" s="188"/>
      <c r="C14" s="72"/>
      <c r="D14" s="72"/>
      <c r="E14" s="72"/>
    </row>
    <row r="15" spans="1:5" x14ac:dyDescent="0.25">
      <c r="A15" s="72" t="s">
        <v>286</v>
      </c>
      <c r="B15" s="188"/>
      <c r="C15" s="72"/>
      <c r="D15" s="72"/>
      <c r="E15" s="72"/>
    </row>
    <row r="16" spans="1:5" x14ac:dyDescent="0.25">
      <c r="A16" s="72" t="s">
        <v>287</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288</v>
      </c>
      <c r="B19" s="325"/>
      <c r="C19" s="326"/>
      <c r="D19" s="326"/>
      <c r="E19" s="326"/>
    </row>
    <row r="20" spans="1:5" x14ac:dyDescent="0.25">
      <c r="A20" s="72" t="s">
        <v>30</v>
      </c>
      <c r="B20" s="173" t="str">
        <f>B10&amp;" Edition"</f>
        <v>1/3/2023 Edition</v>
      </c>
      <c r="C20" s="72"/>
      <c r="D20" s="72" t="s">
        <v>141</v>
      </c>
      <c r="E20" s="174" t="str">
        <f>IF(ISBLANK('1.General'!$C$10),"",'1.General'!$C$10)</f>
        <v/>
      </c>
    </row>
    <row r="21" spans="1:5" x14ac:dyDescent="0.25">
      <c r="A21" s="72" t="s">
        <v>28</v>
      </c>
      <c r="B21" s="174" t="str">
        <f>IF(ISBLANK('1.General'!$C$13),"",'1.General'!$C$13)</f>
        <v>State Farm General Insurance Company</v>
      </c>
      <c r="C21" s="72"/>
      <c r="D21" s="72" t="s">
        <v>186</v>
      </c>
      <c r="E21" s="174" t="str">
        <f>IF(ISBLANK('1.General'!$C$8),"",'1.General'!$C$8)</f>
        <v>Nicole Pettis</v>
      </c>
    </row>
    <row r="22" spans="1:5" x14ac:dyDescent="0.25">
      <c r="A22" s="72" t="s">
        <v>29</v>
      </c>
      <c r="B22" s="174" t="str">
        <f>INDEX(List_GeneralLine,References!$F$5,1)</f>
        <v>Homeowners Multiple Peril</v>
      </c>
      <c r="C22" s="72"/>
      <c r="D22" s="72" t="s">
        <v>187</v>
      </c>
      <c r="E22" s="175">
        <f>IF(ISBLANK('1.General'!$F$8),"",'1.General'!$F$8)</f>
        <v>44981</v>
      </c>
    </row>
    <row r="23" spans="1:5" x14ac:dyDescent="0.25">
      <c r="A23" s="72" t="s">
        <v>165</v>
      </c>
      <c r="B23" s="333">
        <f>IFERROR('3.2YieldFIT'!$D$42,"")</f>
        <v>4.3359497935155651E-2</v>
      </c>
      <c r="C23" s="72"/>
      <c r="D23" s="72" t="s">
        <v>168</v>
      </c>
      <c r="E23" s="175">
        <f>IF(ISBLANK('1.General'!$D$23),"",'1.General'!$D$23)</f>
        <v>45366</v>
      </c>
    </row>
    <row r="24" spans="1:5" x14ac:dyDescent="0.25">
      <c r="A24" s="72" t="s">
        <v>166</v>
      </c>
      <c r="B24" s="333">
        <f>IFERROR('3.2YieldFIT'!$F$34,"")</f>
        <v>0.15389771415501849</v>
      </c>
      <c r="C24" s="72"/>
      <c r="D24" s="72" t="s">
        <v>379</v>
      </c>
      <c r="E24" s="174" t="b">
        <v>0</v>
      </c>
    </row>
    <row r="25" spans="1:5" x14ac:dyDescent="0.25">
      <c r="A25" s="72" t="s">
        <v>281</v>
      </c>
      <c r="B25" s="174" t="b">
        <v>0</v>
      </c>
      <c r="C25" s="72"/>
      <c r="D25" s="72" t="s">
        <v>613</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743</v>
      </c>
      <c r="B26" s="174" t="b">
        <v>0</v>
      </c>
      <c r="C26" s="72"/>
      <c r="D26" s="72" t="s">
        <v>741</v>
      </c>
      <c r="E26" s="174">
        <f>IF(ISBLANK('1.General'!$F$10),"",'1.General'!$F$10)</f>
        <v>44985</v>
      </c>
    </row>
    <row r="27" spans="1:5" x14ac:dyDescent="0.25">
      <c r="A27" s="72" t="s">
        <v>185</v>
      </c>
      <c r="B27" s="333">
        <f>IFERROR('4.2Excluded Exp'!$E$20,0)</f>
        <v>1.3597264756398558E-2</v>
      </c>
      <c r="C27" s="72"/>
      <c r="D27" s="72"/>
      <c r="E27" s="174"/>
    </row>
    <row r="28" spans="1:5" x14ac:dyDescent="0.25">
      <c r="A28" s="446"/>
      <c r="B28" s="447"/>
      <c r="C28" s="72"/>
      <c r="D28" s="72"/>
      <c r="E28" s="72"/>
    </row>
    <row r="29" spans="1:5" x14ac:dyDescent="0.25">
      <c r="A29" s="72"/>
      <c r="B29" s="174"/>
      <c r="C29" s="72"/>
      <c r="D29" s="338" t="s">
        <v>588</v>
      </c>
      <c r="E29" s="72"/>
    </row>
    <row r="30" spans="1:5" x14ac:dyDescent="0.25">
      <c r="A30" s="338" t="s">
        <v>589</v>
      </c>
      <c r="B30" s="174"/>
      <c r="C30" s="72"/>
      <c r="D30" s="72" t="s">
        <v>347</v>
      </c>
      <c r="E30" s="174">
        <f ca="1">IF(OR(Covg01="",ISERR(Detailed_LineDesc01)),"",VLOOKUP($B31,List_DetailLine,2,FALSE))</f>
        <v>4</v>
      </c>
    </row>
    <row r="31" spans="1:5" x14ac:dyDescent="0.25">
      <c r="A31" s="72" t="s">
        <v>346</v>
      </c>
      <c r="B31" s="174" t="str">
        <f>IF(Covg01="","",INDEX(List_DetailLine,'1.General'!$A34,1))</f>
        <v>Homeowners Multiple Peril</v>
      </c>
      <c r="C31" s="72"/>
      <c r="D31" s="72" t="s">
        <v>349</v>
      </c>
      <c r="E31" s="174">
        <f ca="1">IF(OR(Covg02="",ISERR(Detailed_LineDesc02)),"",VLOOKUP($B32,List_DetailLine,2,FALSE))</f>
        <v>4</v>
      </c>
    </row>
    <row r="32" spans="1:5" x14ac:dyDescent="0.25">
      <c r="A32" s="72" t="s">
        <v>348</v>
      </c>
      <c r="B32" s="174" t="str">
        <f>IF(Covg02="","",INDEX(List_DetailLine,'1.General'!$A35,1))</f>
        <v>Homeowners Multiple Peril</v>
      </c>
      <c r="C32" s="72"/>
      <c r="D32" s="72" t="s">
        <v>350</v>
      </c>
      <c r="E32" s="174">
        <f ca="1">IF(OR(Covg03="",ISERR(Detailed_LineDesc03)),"",VLOOKUP($B33,List_DetailLine,2,FALSE))</f>
        <v>4</v>
      </c>
    </row>
    <row r="33" spans="1:5" x14ac:dyDescent="0.25">
      <c r="A33" s="72" t="s">
        <v>357</v>
      </c>
      <c r="B33" s="174" t="str">
        <f>IF(Covg03="","",INDEX(List_DetailLine,'1.General'!$A36,1))</f>
        <v>Homeowners Multiple Peril</v>
      </c>
      <c r="C33" s="72"/>
      <c r="D33" s="72" t="s">
        <v>351</v>
      </c>
      <c r="E33" s="174" t="str">
        <f>IF(OR(Covg04="",ISERR(Detailed_LineDesc03)),"",VLOOKUP($B34,List_DetailLine,2,FALSE))</f>
        <v/>
      </c>
    </row>
    <row r="34" spans="1:5" x14ac:dyDescent="0.25">
      <c r="A34" s="72" t="s">
        <v>358</v>
      </c>
      <c r="B34" s="174" t="str">
        <f>IF(Covg04="","",INDEX(List_DetailLine,'1.General'!$A37,1))</f>
        <v/>
      </c>
      <c r="C34" s="72"/>
      <c r="D34" s="72" t="s">
        <v>352</v>
      </c>
      <c r="E34" s="174" t="str">
        <f>IF(OR(Covg05="",ISERR(Detailed_LineDesc05)),"",VLOOKUP($B35,List_DetailLine,2,FALSE))</f>
        <v/>
      </c>
    </row>
    <row r="35" spans="1:5" x14ac:dyDescent="0.25">
      <c r="A35" s="72" t="s">
        <v>359</v>
      </c>
      <c r="B35" s="174" t="str">
        <f>IF(Covg05="","",INDEX(List_DetailLine,'1.General'!$A38,1))</f>
        <v/>
      </c>
      <c r="C35" s="72"/>
      <c r="D35" s="72" t="s">
        <v>353</v>
      </c>
      <c r="E35" s="174" t="str">
        <f>IF(OR(Covg06="",ISERR(Detailed_LineDesc06)),"",VLOOKUP($B36,List_DetailLine,2,FALSE))</f>
        <v/>
      </c>
    </row>
    <row r="36" spans="1:5" x14ac:dyDescent="0.25">
      <c r="A36" s="72" t="s">
        <v>360</v>
      </c>
      <c r="B36" s="174" t="str">
        <f>IF(Covg06="","",INDEX(List_DetailLine,'1.General'!$A39,1))</f>
        <v/>
      </c>
      <c r="C36" s="72"/>
      <c r="D36" s="72" t="s">
        <v>354</v>
      </c>
      <c r="E36" s="174" t="str">
        <f>IF(OR(Covg07="",ISERR(Detailed_LineDesc07)),"",VLOOKUP($B37,List_DetailLine,2,FALSE))</f>
        <v/>
      </c>
    </row>
    <row r="37" spans="1:5" x14ac:dyDescent="0.25">
      <c r="A37" s="72" t="s">
        <v>361</v>
      </c>
      <c r="B37" s="174" t="str">
        <f>IF(Covg07="","",INDEX(List_DetailLine,'1.General'!$A40,1))</f>
        <v/>
      </c>
      <c r="C37" s="72"/>
      <c r="D37" s="72" t="s">
        <v>355</v>
      </c>
      <c r="E37" s="174" t="str">
        <f>IF(OR(Covg08="",ISERR(Detailed_LineDesc08)),"",VLOOKUP($B38,List_DetailLine,2,FALSE))</f>
        <v/>
      </c>
    </row>
    <row r="38" spans="1:5" x14ac:dyDescent="0.25">
      <c r="A38" s="72" t="s">
        <v>362</v>
      </c>
      <c r="B38" s="174" t="str">
        <f>IF(Covg08="","",INDEX(List_DetailLine,'1.General'!$A41,1))</f>
        <v/>
      </c>
      <c r="C38" s="72"/>
      <c r="D38" s="72" t="s">
        <v>356</v>
      </c>
      <c r="E38" s="174" t="str">
        <f>IF(OR(Covg09="",ISERR(Detailed_LineDesc09)),"",VLOOKUP($B39,List_DetailLine,2,FALSE))</f>
        <v/>
      </c>
    </row>
    <row r="39" spans="1:5" x14ac:dyDescent="0.25">
      <c r="A39" s="72" t="s">
        <v>363</v>
      </c>
      <c r="B39" s="174" t="str">
        <f>IF(Covg09="","",INDEX(List_DetailLine,'1.General'!$A42,1))</f>
        <v/>
      </c>
      <c r="C39" s="72"/>
      <c r="D39" s="72" t="s">
        <v>345</v>
      </c>
      <c r="E39" s="174" t="str">
        <f>IF(OR(Covg10="",ISERR(Detailed_LineDesc10)),"",VLOOKUP($B40,List_DetailLine,2,FALSE))</f>
        <v/>
      </c>
    </row>
    <row r="40" spans="1:5" x14ac:dyDescent="0.25">
      <c r="A40" s="72" t="s">
        <v>344</v>
      </c>
      <c r="B40" s="174" t="str">
        <f>IF(Covg10="","",INDEX(List_DetailLine,'1.General'!$A43,1))</f>
        <v/>
      </c>
      <c r="C40" s="72"/>
      <c r="D40" s="72"/>
      <c r="E40" s="72"/>
    </row>
    <row r="41" spans="1:5" x14ac:dyDescent="0.25">
      <c r="A41" s="72"/>
      <c r="B41" s="174"/>
      <c r="C41" s="72"/>
      <c r="D41" s="338" t="s">
        <v>557</v>
      </c>
      <c r="E41" s="72"/>
    </row>
    <row r="42" spans="1:5" x14ac:dyDescent="0.25">
      <c r="A42" s="338" t="s">
        <v>559</v>
      </c>
      <c r="B42" s="174"/>
      <c r="C42" s="336"/>
      <c r="D42" s="336" t="s">
        <v>537</v>
      </c>
      <c r="E42" s="335">
        <f ca="1">IF(ISBLANK('5.CDI Parameters'!$J11),"",'5.CDI Parameters'!$J11)</f>
        <v>0.33989442694828298</v>
      </c>
    </row>
    <row r="43" spans="1:5" x14ac:dyDescent="0.25">
      <c r="A43" s="336" t="s">
        <v>368</v>
      </c>
      <c r="B43" s="340" t="str">
        <f>IF(ISBLANK('1.General'!$C34),"",'1.General'!$C34)</f>
        <v>Non-Tenant Homeowners</v>
      </c>
      <c r="C43" s="336"/>
      <c r="D43" s="336" t="s">
        <v>538</v>
      </c>
      <c r="E43" s="335">
        <f ca="1">IF(ISBLANK('5.CDI Parameters'!$J12),"",'5.CDI Parameters'!$J12)</f>
        <v>0.33989442694828298</v>
      </c>
    </row>
    <row r="44" spans="1:5" x14ac:dyDescent="0.25">
      <c r="A44" s="336" t="s">
        <v>369</v>
      </c>
      <c r="B44" s="340" t="str">
        <f>IF(ISBLANK('1.General'!$C35),"",'1.General'!$C35)</f>
        <v>Renters</v>
      </c>
      <c r="C44" s="336"/>
      <c r="D44" s="336" t="s">
        <v>539</v>
      </c>
      <c r="E44" s="335">
        <f ca="1">IF(ISBLANK('5.CDI Parameters'!$J13),"",'5.CDI Parameters'!$J13)</f>
        <v>0.33989442694828298</v>
      </c>
    </row>
    <row r="45" spans="1:5" x14ac:dyDescent="0.25">
      <c r="A45" s="336" t="s">
        <v>370</v>
      </c>
      <c r="B45" s="340" t="str">
        <f>IF(ISBLANK('1.General'!$C36),"",'1.General'!$C36)</f>
        <v>Condominium Unitowners</v>
      </c>
      <c r="C45" s="336"/>
      <c r="D45" s="336" t="s">
        <v>540</v>
      </c>
      <c r="E45" s="335" t="str">
        <f>IF(ISBLANK('5.CDI Parameters'!$J14),"",'5.CDI Parameters'!$J14)</f>
        <v/>
      </c>
    </row>
    <row r="46" spans="1:5" x14ac:dyDescent="0.25">
      <c r="A46" s="336" t="s">
        <v>371</v>
      </c>
      <c r="B46" s="340" t="str">
        <f>IF(ISBLANK('1.General'!$C37),"",'1.General'!$C37)</f>
        <v/>
      </c>
      <c r="C46" s="336"/>
      <c r="D46" s="336" t="s">
        <v>541</v>
      </c>
      <c r="E46" s="335" t="str">
        <f>IF(ISBLANK('5.CDI Parameters'!$J15),"",'5.CDI Parameters'!$J15)</f>
        <v/>
      </c>
    </row>
    <row r="47" spans="1:5" x14ac:dyDescent="0.25">
      <c r="A47" s="336" t="s">
        <v>372</v>
      </c>
      <c r="B47" s="340" t="str">
        <f>IF(ISBLANK('1.General'!$C38),"",'1.General'!$C38)</f>
        <v/>
      </c>
      <c r="C47" s="336"/>
      <c r="D47" s="336" t="s">
        <v>542</v>
      </c>
      <c r="E47" s="335" t="str">
        <f>IF(ISBLANK('5.CDI Parameters'!$J16),"",'5.CDI Parameters'!$J16)</f>
        <v/>
      </c>
    </row>
    <row r="48" spans="1:5" x14ac:dyDescent="0.25">
      <c r="A48" s="336" t="s">
        <v>373</v>
      </c>
      <c r="B48" s="340" t="str">
        <f>IF(ISBLANK('1.General'!$C39),"",'1.General'!$C39)</f>
        <v/>
      </c>
      <c r="C48" s="336"/>
      <c r="D48" s="336" t="s">
        <v>543</v>
      </c>
      <c r="E48" s="335" t="str">
        <f>IF(ISBLANK('5.CDI Parameters'!$J17),"",'5.CDI Parameters'!$J17)</f>
        <v/>
      </c>
    </row>
    <row r="49" spans="1:5" x14ac:dyDescent="0.25">
      <c r="A49" s="336" t="s">
        <v>374</v>
      </c>
      <c r="B49" s="340" t="str">
        <f>IF(ISBLANK('1.General'!$C40),"",'1.General'!$C40)</f>
        <v/>
      </c>
      <c r="C49" s="336"/>
      <c r="D49" s="336" t="s">
        <v>544</v>
      </c>
      <c r="E49" s="335" t="str">
        <f>IF(ISBLANK('5.CDI Parameters'!$J18),"",'5.CDI Parameters'!$J18)</f>
        <v/>
      </c>
    </row>
    <row r="50" spans="1:5" x14ac:dyDescent="0.25">
      <c r="A50" s="336" t="s">
        <v>375</v>
      </c>
      <c r="B50" s="340" t="str">
        <f>IF(ISBLANK('1.General'!$C41),"",'1.General'!$C41)</f>
        <v/>
      </c>
      <c r="C50" s="336"/>
      <c r="D50" s="336" t="s">
        <v>545</v>
      </c>
      <c r="E50" s="335" t="str">
        <f>IF(ISBLANK('5.CDI Parameters'!$J19),"",'5.CDI Parameters'!$J19)</f>
        <v/>
      </c>
    </row>
    <row r="51" spans="1:5" x14ac:dyDescent="0.25">
      <c r="A51" s="336" t="s">
        <v>376</v>
      </c>
      <c r="B51" s="340" t="str">
        <f>IF(ISBLANK('1.General'!$C42),"",'1.General'!$C42)</f>
        <v/>
      </c>
      <c r="C51" s="336"/>
      <c r="D51" s="336" t="s">
        <v>546</v>
      </c>
      <c r="E51" s="335" t="str">
        <f>IF(ISBLANK('5.CDI Parameters'!$J20),"",'5.CDI Parameters'!$J20)</f>
        <v/>
      </c>
    </row>
    <row r="52" spans="1:5" x14ac:dyDescent="0.25">
      <c r="A52" s="336" t="s">
        <v>377</v>
      </c>
      <c r="B52" s="340" t="str">
        <f>IF(ISBLANK('1.General'!$C43),"",'1.General'!$C43)</f>
        <v/>
      </c>
      <c r="C52" s="336"/>
      <c r="D52" s="336"/>
      <c r="E52" s="72"/>
    </row>
    <row r="53" spans="1:5" x14ac:dyDescent="0.25">
      <c r="A53" s="336"/>
      <c r="B53" s="340"/>
      <c r="C53" s="336"/>
      <c r="D53" s="339" t="s">
        <v>586</v>
      </c>
      <c r="E53" s="72"/>
    </row>
    <row r="54" spans="1:5" x14ac:dyDescent="0.25">
      <c r="A54" s="339" t="s">
        <v>587</v>
      </c>
      <c r="B54" s="340"/>
      <c r="C54" s="336"/>
      <c r="D54" s="336" t="s">
        <v>517</v>
      </c>
      <c r="E54" s="337">
        <f>IF(ISBLANK('6.1Ratemaking Data'!$J$39),0,'6.1Ratemaking Data'!$J$39)</f>
        <v>0</v>
      </c>
    </row>
    <row r="55" spans="1:5" x14ac:dyDescent="0.25">
      <c r="A55" s="336" t="s">
        <v>507</v>
      </c>
      <c r="B55" s="337">
        <f ca="1">IF(ISBLANK('5.CDI Parameters'!$G11),"",'5.CDI Parameters'!$G11)</f>
        <v>0.35349169170468153</v>
      </c>
      <c r="C55" s="336"/>
      <c r="D55" s="336" t="s">
        <v>518</v>
      </c>
      <c r="E55" s="337">
        <f>IF(ISBLANK('6.2Ratemaking Data'!$J$39),0,'6.2Ratemaking Data'!$J$39)</f>
        <v>0</v>
      </c>
    </row>
    <row r="56" spans="1:5" x14ac:dyDescent="0.25">
      <c r="A56" s="336" t="s">
        <v>508</v>
      </c>
      <c r="B56" s="337">
        <f ca="1">IF(ISBLANK('5.CDI Parameters'!$G12),"",'5.CDI Parameters'!$G12)</f>
        <v>0.35349169170468153</v>
      </c>
      <c r="C56" s="72"/>
      <c r="D56" s="336" t="s">
        <v>519</v>
      </c>
      <c r="E56" s="337">
        <f>IF(ISBLANK('6.3Ratemaking Data'!$J$39),0,'6.3Ratemaking Data'!$J$39)</f>
        <v>0</v>
      </c>
    </row>
    <row r="57" spans="1:5" x14ac:dyDescent="0.25">
      <c r="A57" s="72" t="s">
        <v>509</v>
      </c>
      <c r="B57" s="333">
        <f ca="1">IF(ISBLANK('5.CDI Parameters'!$G13),"",'5.CDI Parameters'!$G13)</f>
        <v>0.35349169170468153</v>
      </c>
      <c r="C57" s="72"/>
      <c r="D57" s="336" t="s">
        <v>520</v>
      </c>
      <c r="E57" s="337">
        <f>IF(ISBLANK('6.4Ratemaking Data'!$J$39),0,'6.4Ratemaking Data'!$J$39)</f>
        <v>0</v>
      </c>
    </row>
    <row r="58" spans="1:5" x14ac:dyDescent="0.25">
      <c r="A58" s="72" t="s">
        <v>510</v>
      </c>
      <c r="B58" s="333" t="str">
        <f>IF(ISBLANK('5.CDI Parameters'!$G14),"",'5.CDI Parameters'!$G14)</f>
        <v/>
      </c>
      <c r="C58" s="72"/>
      <c r="D58" s="336" t="s">
        <v>521</v>
      </c>
      <c r="E58" s="337">
        <f>IF(ISBLANK('6.5Ratemaking Data'!$J$39),0,'6.5Ratemaking Data'!$J$39)</f>
        <v>0</v>
      </c>
    </row>
    <row r="59" spans="1:5" x14ac:dyDescent="0.25">
      <c r="A59" s="72" t="s">
        <v>511</v>
      </c>
      <c r="B59" s="333" t="str">
        <f>IF(ISBLANK('5.CDI Parameters'!$G15),"",'5.CDI Parameters'!$G15)</f>
        <v/>
      </c>
      <c r="C59" s="72"/>
      <c r="D59" s="336" t="s">
        <v>522</v>
      </c>
      <c r="E59" s="337">
        <f>IF(ISBLANK('6.6Ratemaking Data'!$J$39),0,'6.6Ratemaking Data'!$J$39)</f>
        <v>0</v>
      </c>
    </row>
    <row r="60" spans="1:5" x14ac:dyDescent="0.25">
      <c r="A60" s="72" t="s">
        <v>512</v>
      </c>
      <c r="B60" s="333" t="str">
        <f>IF(ISBLANK('5.CDI Parameters'!$G16),"",'5.CDI Parameters'!$G16)</f>
        <v/>
      </c>
      <c r="C60" s="72"/>
      <c r="D60" s="336" t="s">
        <v>523</v>
      </c>
      <c r="E60" s="337">
        <f>IF(ISBLANK('6.7Ratemaking Data'!$J$39),0,'6.7Ratemaking Data'!$J$39)</f>
        <v>0</v>
      </c>
    </row>
    <row r="61" spans="1:5" x14ac:dyDescent="0.25">
      <c r="A61" s="72" t="s">
        <v>513</v>
      </c>
      <c r="B61" s="333" t="str">
        <f>IF(ISBLANK('5.CDI Parameters'!$G17),"",'5.CDI Parameters'!$G17)</f>
        <v/>
      </c>
      <c r="C61" s="72"/>
      <c r="D61" s="336" t="s">
        <v>524</v>
      </c>
      <c r="E61" s="337">
        <f>IF(ISBLANK('6.8Ratemaking Data'!$J$39),0,'6.8Ratemaking Data'!$J$39)</f>
        <v>0</v>
      </c>
    </row>
    <row r="62" spans="1:5" x14ac:dyDescent="0.25">
      <c r="A62" s="72" t="s">
        <v>514</v>
      </c>
      <c r="B62" s="333" t="str">
        <f>IF(ISBLANK('5.CDI Parameters'!$G18),"",'5.CDI Parameters'!$G18)</f>
        <v/>
      </c>
      <c r="C62" s="72"/>
      <c r="D62" s="336" t="s">
        <v>525</v>
      </c>
      <c r="E62" s="337">
        <f>IF(ISBLANK('6.9Ratemaking Data'!$J$39),0,'6.9Ratemaking Data'!$J$39)</f>
        <v>0</v>
      </c>
    </row>
    <row r="63" spans="1:5" x14ac:dyDescent="0.25">
      <c r="A63" s="72" t="s">
        <v>515</v>
      </c>
      <c r="B63" s="333" t="str">
        <f>IF(ISBLANK('5.CDI Parameters'!$G19),"",'5.CDI Parameters'!$G19)</f>
        <v/>
      </c>
      <c r="C63" s="72"/>
      <c r="D63" s="336" t="s">
        <v>526</v>
      </c>
      <c r="E63" s="337">
        <f>IF(ISBLANK('6.10Ratemaking Data'!$J$39),0,'6.10Ratemaking Data'!$J$39)</f>
        <v>0</v>
      </c>
    </row>
    <row r="64" spans="1:5" x14ac:dyDescent="0.25">
      <c r="A64" s="72" t="s">
        <v>516</v>
      </c>
      <c r="B64" s="333" t="str">
        <f>IF(ISBLANK('5.CDI Parameters'!$G20),"",'5.CDI Parameters'!$G20)</f>
        <v/>
      </c>
      <c r="C64" s="72"/>
      <c r="D64" s="336"/>
      <c r="E64" s="334"/>
    </row>
    <row r="65" spans="1:5" x14ac:dyDescent="0.25">
      <c r="A65" s="72"/>
      <c r="B65" s="174"/>
      <c r="C65" s="72"/>
      <c r="D65" s="339"/>
      <c r="E65" s="334"/>
    </row>
    <row r="66" spans="1:5" x14ac:dyDescent="0.25">
      <c r="A66" s="338" t="s">
        <v>584</v>
      </c>
      <c r="B66" s="174"/>
      <c r="C66" s="72"/>
      <c r="D66" s="339" t="s">
        <v>558</v>
      </c>
      <c r="E66" s="334"/>
    </row>
    <row r="67" spans="1:5" x14ac:dyDescent="0.25">
      <c r="A67" s="338" t="s">
        <v>560</v>
      </c>
      <c r="B67" s="174"/>
      <c r="C67" s="72"/>
      <c r="D67" s="336" t="s">
        <v>547</v>
      </c>
      <c r="E67" s="337">
        <f>IF(ISBLANK('6.1Ratemaking Data'!$J$40),0,'6.1Ratemaking Data'!$J$40)</f>
        <v>0</v>
      </c>
    </row>
    <row r="68" spans="1:5" x14ac:dyDescent="0.25">
      <c r="A68" s="336" t="s">
        <v>527</v>
      </c>
      <c r="B68" s="337">
        <f ca="1">IF(ExpRatio_Actual01&gt;EffStd_Wtd01,MIN(ExpRatio_Actual01-EffStd_Wtd01,EffStd_VarReq01),0)</f>
        <v>0</v>
      </c>
      <c r="C68" s="72"/>
      <c r="D68" s="336" t="s">
        <v>548</v>
      </c>
      <c r="E68" s="337">
        <f>IF(ISBLANK('6.2Ratemaking Data'!$J$40),0,'6.2Ratemaking Data'!$J$40)</f>
        <v>0</v>
      </c>
    </row>
    <row r="69" spans="1:5" x14ac:dyDescent="0.25">
      <c r="A69" s="336" t="s">
        <v>528</v>
      </c>
      <c r="B69" s="337">
        <f ca="1">IF(ExpRatio_Actual02&gt;EffStd_Wtd02,MIN(ExpRatio_Actual02-EffStd_Wtd02,EffStd_VarReq02),0)</f>
        <v>0</v>
      </c>
      <c r="C69" s="72"/>
      <c r="D69" s="336" t="s">
        <v>549</v>
      </c>
      <c r="E69" s="337">
        <f>IF(ISBLANK('6.3Ratemaking Data'!$J$40),0,'6.3Ratemaking Data'!$J$40)</f>
        <v>0</v>
      </c>
    </row>
    <row r="70" spans="1:5" x14ac:dyDescent="0.25">
      <c r="A70" s="336" t="s">
        <v>529</v>
      </c>
      <c r="B70" s="337">
        <f ca="1">IF(ExpRatio_Actual03&gt;EffStd_Wtd03,MIN(ExpRatio_Actual03-EffStd_Wtd03,EffStd_VarReq03),0)</f>
        <v>0</v>
      </c>
      <c r="C70" s="72"/>
      <c r="D70" s="336" t="s">
        <v>550</v>
      </c>
      <c r="E70" s="337">
        <f>IF(ISBLANK('6.4Ratemaking Data'!$J$40),0,'6.4Ratemaking Data'!$J$40)</f>
        <v>0</v>
      </c>
    </row>
    <row r="71" spans="1:5" x14ac:dyDescent="0.25">
      <c r="A71" s="336" t="s">
        <v>530</v>
      </c>
      <c r="B71" s="337">
        <f>IF(ExpRatio_Actual04&gt;EffStd_Wtd04,MIN(ExpRatio_Actual04-EffStd_Wtd04,EffStd_VarReq04),0)</f>
        <v>0</v>
      </c>
      <c r="C71" s="72"/>
      <c r="D71" s="336" t="s">
        <v>551</v>
      </c>
      <c r="E71" s="337">
        <f>IF(ISBLANK('6.5Ratemaking Data'!$J$40),0,'6.5Ratemaking Data'!$J$40)</f>
        <v>0</v>
      </c>
    </row>
    <row r="72" spans="1:5" x14ac:dyDescent="0.25">
      <c r="A72" s="336" t="s">
        <v>531</v>
      </c>
      <c r="B72" s="337">
        <f>IF(ExpRatio_Actual05&gt;EffStd_Wtd05,MIN(ExpRatio_Actual05-EffStd_Wtd05,EffStd_VarReq05),0)</f>
        <v>0</v>
      </c>
      <c r="C72" s="72"/>
      <c r="D72" s="336" t="s">
        <v>552</v>
      </c>
      <c r="E72" s="337">
        <f>IF(ISBLANK('6.6Ratemaking Data'!$J$40),0,'6.6Ratemaking Data'!$J$40)</f>
        <v>0</v>
      </c>
    </row>
    <row r="73" spans="1:5" x14ac:dyDescent="0.25">
      <c r="A73" s="336" t="s">
        <v>532</v>
      </c>
      <c r="B73" s="337">
        <f>IF(ExpRatio_Actual06&gt;EffStd_Wtd06,MIN(ExpRatio_Actual06-EffStd_Wtd06,EffStd_VarReq06),0)</f>
        <v>0</v>
      </c>
      <c r="C73" s="72"/>
      <c r="D73" s="336" t="s">
        <v>553</v>
      </c>
      <c r="E73" s="337">
        <f>IF(ISBLANK('6.7Ratemaking Data'!$J$40),0,'6.7Ratemaking Data'!$J$40)</f>
        <v>0</v>
      </c>
    </row>
    <row r="74" spans="1:5" x14ac:dyDescent="0.25">
      <c r="A74" s="336" t="s">
        <v>533</v>
      </c>
      <c r="B74" s="337">
        <f>IF(ExpRatio_Actual07&gt;EffStd_Wtd07,MIN(ExpRatio_Actual07-EffStd_Wtd07,EffStd_VarReq07),0)</f>
        <v>0</v>
      </c>
      <c r="C74" s="72"/>
      <c r="D74" s="336" t="s">
        <v>554</v>
      </c>
      <c r="E74" s="337">
        <f>IF(ISBLANK('6.8Ratemaking Data'!$J$40),0,'6.8Ratemaking Data'!$J$40)</f>
        <v>0</v>
      </c>
    </row>
    <row r="75" spans="1:5" x14ac:dyDescent="0.25">
      <c r="A75" s="336" t="s">
        <v>534</v>
      </c>
      <c r="B75" s="337">
        <f>IF(ExpRatio_Actual08&gt;EffStd_Wtd08,MIN(ExpRatio_Actual08-EffStd_Wtd08,EffStd_VarReq08),0)</f>
        <v>0</v>
      </c>
      <c r="C75" s="72"/>
      <c r="D75" s="336" t="s">
        <v>555</v>
      </c>
      <c r="E75" s="337">
        <f>IF(ISBLANK('6.9Ratemaking Data'!$J$40),0,'6.9Ratemaking Data'!$J$40)</f>
        <v>0</v>
      </c>
    </row>
    <row r="76" spans="1:5" x14ac:dyDescent="0.25">
      <c r="A76" s="336" t="s">
        <v>535</v>
      </c>
      <c r="B76" s="337">
        <f>IF(ExpRatio_Actual09&gt;EffStd_Wtd09,MIN(ExpRatio_Actual09-EffStd_Wtd09,EffStd_VarReq09),0)</f>
        <v>0</v>
      </c>
      <c r="C76" s="72"/>
      <c r="D76" s="336" t="s">
        <v>556</v>
      </c>
      <c r="E76" s="337">
        <f>IF(ISBLANK('6.10Ratemaking Data'!$J$40),0,'6.10Ratemaking Data'!$J$40)</f>
        <v>0</v>
      </c>
    </row>
    <row r="77" spans="1:5" x14ac:dyDescent="0.25">
      <c r="A77" s="336" t="s">
        <v>536</v>
      </c>
      <c r="B77" s="337">
        <f>IF(ExpRatio_Actual10&gt;EffStd_Wtd10,MIN(ExpRatio_Actual10-EffStd_Wtd10,EffStd_VarReq10),0)</f>
        <v>0</v>
      </c>
      <c r="C77" s="72"/>
      <c r="D77" s="336"/>
      <c r="E77" s="337"/>
    </row>
    <row r="78" spans="1:5" x14ac:dyDescent="0.25">
      <c r="A78" s="336"/>
      <c r="B78" s="337"/>
      <c r="C78" s="72"/>
      <c r="D78" s="338" t="s">
        <v>583</v>
      </c>
      <c r="E78" s="72"/>
    </row>
    <row r="79" spans="1:5" x14ac:dyDescent="0.25">
      <c r="A79" s="338" t="s">
        <v>585</v>
      </c>
      <c r="B79" s="174"/>
      <c r="C79" s="72"/>
      <c r="D79" s="72" t="s">
        <v>573</v>
      </c>
      <c r="E79" s="393">
        <f ca="1">IF(ISBLANK('5.CDI Parameters'!$E26),"",'5.CDI Parameters'!$E26)</f>
        <v>1.3010095886105004</v>
      </c>
    </row>
    <row r="80" spans="1:5" x14ac:dyDescent="0.25">
      <c r="A80" s="72" t="s">
        <v>563</v>
      </c>
      <c r="B80" s="393">
        <f ca="1">IF(ISBLANK('5.CDI Parameters'!$D26),"",'5.CDI Parameters'!$D26)</f>
        <v>0.52182970801271056</v>
      </c>
      <c r="C80" s="72"/>
      <c r="D80" s="72" t="s">
        <v>574</v>
      </c>
      <c r="E80" s="393">
        <f ca="1">IF(ISBLANK('5.CDI Parameters'!$E27),"",'5.CDI Parameters'!$E27)</f>
        <v>1.3010095886105004</v>
      </c>
    </row>
    <row r="81" spans="1:5" x14ac:dyDescent="0.25">
      <c r="A81" s="72" t="s">
        <v>564</v>
      </c>
      <c r="B81" s="393">
        <f ca="1">IF(ISBLANK('5.CDI Parameters'!$D27),"",'5.CDI Parameters'!$D27)</f>
        <v>0.52182970801271056</v>
      </c>
      <c r="C81" s="72"/>
      <c r="D81" s="72" t="s">
        <v>575</v>
      </c>
      <c r="E81" s="393">
        <f ca="1">IF(ISBLANK('5.CDI Parameters'!$E28),"",'5.CDI Parameters'!$E28)</f>
        <v>1.3010095886105004</v>
      </c>
    </row>
    <row r="82" spans="1:5" x14ac:dyDescent="0.25">
      <c r="A82" s="72" t="s">
        <v>565</v>
      </c>
      <c r="B82" s="393">
        <f ca="1">IF(ISBLANK('5.CDI Parameters'!$D28),"",'5.CDI Parameters'!$D28)</f>
        <v>0.52182970801271056</v>
      </c>
      <c r="C82" s="72"/>
      <c r="D82" s="72" t="s">
        <v>576</v>
      </c>
      <c r="E82" s="393" t="str">
        <f>IF(ISBLANK('5.CDI Parameters'!$E29),"",'5.CDI Parameters'!$E29)</f>
        <v/>
      </c>
    </row>
    <row r="83" spans="1:5" x14ac:dyDescent="0.25">
      <c r="A83" s="72" t="s">
        <v>566</v>
      </c>
      <c r="B83" s="393" t="str">
        <f>IF(ISBLANK('5.CDI Parameters'!$D29),"",'5.CDI Parameters'!$D29)</f>
        <v/>
      </c>
      <c r="C83" s="72"/>
      <c r="D83" s="72" t="s">
        <v>577</v>
      </c>
      <c r="E83" s="393" t="str">
        <f>IF(ISBLANK('5.CDI Parameters'!$E30),"",'5.CDI Parameters'!$E30)</f>
        <v/>
      </c>
    </row>
    <row r="84" spans="1:5" x14ac:dyDescent="0.25">
      <c r="A84" s="72" t="s">
        <v>567</v>
      </c>
      <c r="B84" s="393" t="str">
        <f>IF(ISBLANK('5.CDI Parameters'!$D30),"",'5.CDI Parameters'!$D30)</f>
        <v/>
      </c>
      <c r="C84" s="72"/>
      <c r="D84" s="72" t="s">
        <v>578</v>
      </c>
      <c r="E84" s="393" t="str">
        <f>IF(ISBLANK('5.CDI Parameters'!$E31),"",'5.CDI Parameters'!$E31)</f>
        <v/>
      </c>
    </row>
    <row r="85" spans="1:5" x14ac:dyDescent="0.25">
      <c r="A85" s="72" t="s">
        <v>568</v>
      </c>
      <c r="B85" s="393" t="str">
        <f>IF(ISBLANK('5.CDI Parameters'!$D31),"",'5.CDI Parameters'!$D31)</f>
        <v/>
      </c>
      <c r="C85" s="72"/>
      <c r="D85" s="72" t="s">
        <v>579</v>
      </c>
      <c r="E85" s="393" t="str">
        <f>IF(ISBLANK('5.CDI Parameters'!$E32),"",'5.CDI Parameters'!$E32)</f>
        <v/>
      </c>
    </row>
    <row r="86" spans="1:5" x14ac:dyDescent="0.25">
      <c r="A86" s="72" t="s">
        <v>569</v>
      </c>
      <c r="B86" s="393" t="str">
        <f>IF(ISBLANK('5.CDI Parameters'!$D32),"",'5.CDI Parameters'!$D32)</f>
        <v/>
      </c>
      <c r="C86" s="72"/>
      <c r="D86" s="72" t="s">
        <v>580</v>
      </c>
      <c r="E86" s="393" t="str">
        <f>IF(ISBLANK('5.CDI Parameters'!$E33),"",'5.CDI Parameters'!$E33)</f>
        <v/>
      </c>
    </row>
    <row r="87" spans="1:5" x14ac:dyDescent="0.25">
      <c r="A87" s="72" t="s">
        <v>570</v>
      </c>
      <c r="B87" s="393" t="str">
        <f>IF(ISBLANK('5.CDI Parameters'!$D33),"",'5.CDI Parameters'!$D33)</f>
        <v/>
      </c>
      <c r="C87" s="72"/>
      <c r="D87" s="72" t="s">
        <v>581</v>
      </c>
      <c r="E87" s="393" t="str">
        <f>IF(ISBLANK('5.CDI Parameters'!$E34),"",'5.CDI Parameters'!$E34)</f>
        <v/>
      </c>
    </row>
    <row r="88" spans="1:5" x14ac:dyDescent="0.25">
      <c r="A88" s="72" t="s">
        <v>571</v>
      </c>
      <c r="B88" s="393" t="str">
        <f>IF(ISBLANK('5.CDI Parameters'!$D34),"",'5.CDI Parameters'!$D34)</f>
        <v/>
      </c>
      <c r="C88" s="72"/>
      <c r="D88" s="72" t="s">
        <v>582</v>
      </c>
      <c r="E88" s="393" t="str">
        <f>IF(ISBLANK('5.CDI Parameters'!$E35),"",'5.CDI Parameters'!$E35)</f>
        <v/>
      </c>
    </row>
    <row r="89" spans="1:5" x14ac:dyDescent="0.25">
      <c r="A89" s="72" t="s">
        <v>572</v>
      </c>
      <c r="B89" s="393" t="str">
        <f>IF(ISBLANK('5.CDI Parameters'!$D35),"",'5.CDI Parameters'!$D35)</f>
        <v/>
      </c>
      <c r="C89" s="72"/>
      <c r="D89" s="72"/>
      <c r="E89" s="72"/>
    </row>
    <row r="90" spans="1:5" x14ac:dyDescent="0.25">
      <c r="A90" s="72"/>
      <c r="B90" s="174"/>
      <c r="C90" s="72"/>
      <c r="D90" s="338" t="s">
        <v>691</v>
      </c>
      <c r="E90" s="72"/>
    </row>
    <row r="91" spans="1:5" x14ac:dyDescent="0.25">
      <c r="A91" s="338" t="s">
        <v>603</v>
      </c>
      <c r="B91" s="174"/>
      <c r="C91" s="72"/>
      <c r="D91" s="72" t="s">
        <v>681</v>
      </c>
      <c r="E91" s="175">
        <f>IF(ISBLANK('1.General'!$E$34),"",'1.General'!$E$34)</f>
        <v>45078</v>
      </c>
    </row>
    <row r="92" spans="1:5" x14ac:dyDescent="0.25">
      <c r="A92" s="72" t="s">
        <v>590</v>
      </c>
      <c r="B92" s="393">
        <f ca="1">IF(ISBLANK('5.CDI Parameters'!$H26),"",'5.CDI Parameters'!$H26)</f>
        <v>0.91552166118720324</v>
      </c>
      <c r="C92" s="72"/>
      <c r="D92" s="72" t="s">
        <v>682</v>
      </c>
      <c r="E92" s="175">
        <f>IF(ISBLANK('1.General'!$E$35),"",'1.General'!$E$35)</f>
        <v>44287</v>
      </c>
    </row>
    <row r="93" spans="1:5" x14ac:dyDescent="0.25">
      <c r="A93" s="72" t="s">
        <v>591</v>
      </c>
      <c r="B93" s="393">
        <f ca="1">IF(ISBLANK('5.CDI Parameters'!$H27),"",'5.CDI Parameters'!$H27)</f>
        <v>0.91552166118720324</v>
      </c>
      <c r="C93" s="72"/>
      <c r="D93" s="72" t="s">
        <v>683</v>
      </c>
      <c r="E93" s="175">
        <f>IF(ISBLANK('1.General'!$E$36),"",'1.General'!$E$36)</f>
        <v>45078</v>
      </c>
    </row>
    <row r="94" spans="1:5" x14ac:dyDescent="0.25">
      <c r="A94" s="72" t="s">
        <v>592</v>
      </c>
      <c r="B94" s="393">
        <f ca="1">IF(ISBLANK('5.CDI Parameters'!$H28),"",'5.CDI Parameters'!$H28)</f>
        <v>0.91552166118720324</v>
      </c>
      <c r="C94" s="72"/>
      <c r="D94" s="72" t="s">
        <v>684</v>
      </c>
      <c r="E94" s="175" t="str">
        <f>IF(ISBLANK('1.General'!$E$37),"",'1.General'!$E$37)</f>
        <v/>
      </c>
    </row>
    <row r="95" spans="1:5" x14ac:dyDescent="0.25">
      <c r="A95" s="72" t="s">
        <v>593</v>
      </c>
      <c r="B95" s="393" t="str">
        <f>IF(ISBLANK('5.CDI Parameters'!$H29),"",'5.CDI Parameters'!$H29)</f>
        <v/>
      </c>
      <c r="C95" s="72"/>
      <c r="D95" s="72" t="s">
        <v>685</v>
      </c>
      <c r="E95" s="175" t="str">
        <f>IF(ISBLANK('1.General'!$E$38),"",'1.General'!$E$38)</f>
        <v/>
      </c>
    </row>
    <row r="96" spans="1:5" x14ac:dyDescent="0.25">
      <c r="A96" s="72" t="s">
        <v>594</v>
      </c>
      <c r="B96" s="393" t="str">
        <f>IF(ISBLANK('5.CDI Parameters'!$H30),"",'5.CDI Parameters'!$H30)</f>
        <v/>
      </c>
      <c r="C96" s="72"/>
      <c r="D96" s="72" t="s">
        <v>686</v>
      </c>
      <c r="E96" s="175" t="str">
        <f>IF(ISBLANK('1.General'!$E$39),"",'1.General'!$E$39)</f>
        <v/>
      </c>
    </row>
    <row r="97" spans="1:5" x14ac:dyDescent="0.25">
      <c r="A97" s="72" t="s">
        <v>595</v>
      </c>
      <c r="B97" s="393" t="str">
        <f>IF(ISBLANK('5.CDI Parameters'!$H31),"",'5.CDI Parameters'!$H31)</f>
        <v/>
      </c>
      <c r="C97" s="72"/>
      <c r="D97" s="72" t="s">
        <v>687</v>
      </c>
      <c r="E97" s="175" t="str">
        <f>IF(ISBLANK('1.General'!$E$40),"",'1.General'!$E$40)</f>
        <v/>
      </c>
    </row>
    <row r="98" spans="1:5" x14ac:dyDescent="0.25">
      <c r="A98" s="72" t="s">
        <v>596</v>
      </c>
      <c r="B98" s="393" t="str">
        <f>IF(ISBLANK('5.CDI Parameters'!$H32),"",'5.CDI Parameters'!$H32)</f>
        <v/>
      </c>
      <c r="C98" s="72"/>
      <c r="D98" s="72" t="s">
        <v>688</v>
      </c>
      <c r="E98" s="175" t="str">
        <f>IF(ISBLANK('1.General'!$E$41),"",'1.General'!$E$41)</f>
        <v/>
      </c>
    </row>
    <row r="99" spans="1:5" x14ac:dyDescent="0.25">
      <c r="A99" s="72" t="s">
        <v>597</v>
      </c>
      <c r="B99" s="393" t="str">
        <f>IF(ISBLANK('5.CDI Parameters'!$H33),"",'5.CDI Parameters'!$H33)</f>
        <v/>
      </c>
      <c r="C99" s="72"/>
      <c r="D99" s="72" t="s">
        <v>689</v>
      </c>
      <c r="E99" s="175" t="str">
        <f>IF(ISBLANK('1.General'!$E$42),"",'1.General'!$E$42)</f>
        <v/>
      </c>
    </row>
    <row r="100" spans="1:5" x14ac:dyDescent="0.25">
      <c r="A100" s="72" t="s">
        <v>598</v>
      </c>
      <c r="B100" s="393" t="str">
        <f>IF(ISBLANK('5.CDI Parameters'!$H34),"",'5.CDI Parameters'!$H34)</f>
        <v/>
      </c>
      <c r="C100" s="72"/>
      <c r="D100" s="72" t="s">
        <v>690</v>
      </c>
      <c r="E100" s="175" t="str">
        <f>IF(ISBLANK('1.General'!$E$43),"",'1.General'!$E$43)</f>
        <v/>
      </c>
    </row>
    <row r="101" spans="1:5" x14ac:dyDescent="0.25">
      <c r="A101" s="72" t="s">
        <v>599</v>
      </c>
      <c r="B101" s="393" t="str">
        <f>IF(ISBLANK('5.CDI Parameters'!$H35),"",'5.CDI Parameters'!$H35)</f>
        <v/>
      </c>
      <c r="C101" s="72"/>
      <c r="D101" s="72"/>
      <c r="E101" s="175"/>
    </row>
    <row r="102" spans="1:5" x14ac:dyDescent="0.25">
      <c r="A102" s="72"/>
      <c r="B102" s="393"/>
      <c r="C102" s="72"/>
      <c r="D102" s="72"/>
      <c r="E102" s="175"/>
    </row>
    <row r="103" spans="1:5" x14ac:dyDescent="0.25">
      <c r="A103" s="72" t="s">
        <v>167</v>
      </c>
      <c r="B103" s="555">
        <f>'Federal Income Tax Rate'!B9</f>
        <v>0.21</v>
      </c>
      <c r="C103" s="72"/>
      <c r="D103" s="72"/>
      <c r="E103" s="175"/>
    </row>
    <row r="104" spans="1:5" x14ac:dyDescent="0.25">
      <c r="A104" s="72" t="s">
        <v>192</v>
      </c>
      <c r="B104" s="555">
        <f>'5.CDI Parameters'!$J$28</f>
        <v>2.35E-2</v>
      </c>
      <c r="C104" s="72"/>
      <c r="D104" s="72" t="s">
        <v>729</v>
      </c>
      <c r="E104" s="175" t="str">
        <f>'3.2YieldFIT'!$G$48</f>
        <v>December 2022</v>
      </c>
    </row>
    <row r="105" spans="1:5" x14ac:dyDescent="0.25">
      <c r="A105" s="72" t="s">
        <v>195</v>
      </c>
      <c r="B105" s="555">
        <f>'5.CDI Parameters'!$J$31</f>
        <v>3.9399999999999998E-2</v>
      </c>
      <c r="C105" s="72"/>
      <c r="D105" s="72"/>
      <c r="E105" s="175"/>
    </row>
    <row r="106" spans="1:5" x14ac:dyDescent="0.25">
      <c r="A106" s="72" t="s">
        <v>197</v>
      </c>
      <c r="B106" s="555">
        <v>-0.06</v>
      </c>
      <c r="C106" s="72"/>
      <c r="D106" s="72"/>
      <c r="E106" s="175"/>
    </row>
    <row r="107" spans="1:5" x14ac:dyDescent="0.25">
      <c r="A107" s="72" t="s">
        <v>196</v>
      </c>
      <c r="B107" s="555">
        <f>ROR_RiskFree+0.06</f>
        <v>9.9399999999999988E-2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129</v>
      </c>
    </row>
    <row r="2" spans="1:22" x14ac:dyDescent="0.25">
      <c r="B2" s="90" t="s">
        <v>105</v>
      </c>
      <c r="C2" s="91"/>
      <c r="D2" s="92" t="s">
        <v>106</v>
      </c>
      <c r="E2" s="91"/>
      <c r="F2" s="90" t="s">
        <v>158</v>
      </c>
      <c r="G2" s="91"/>
      <c r="H2" s="106" t="s">
        <v>503</v>
      </c>
      <c r="I2" s="107"/>
      <c r="J2" s="91"/>
      <c r="K2" s="92" t="s">
        <v>504</v>
      </c>
      <c r="L2" s="91"/>
      <c r="M2" s="93" t="s">
        <v>107</v>
      </c>
      <c r="N2" s="94" t="s">
        <v>506</v>
      </c>
      <c r="P2" s="92" t="s">
        <v>505</v>
      </c>
      <c r="S2" s="92" t="s">
        <v>625</v>
      </c>
    </row>
    <row r="3" spans="1:22" ht="15.75" thickBot="1" x14ac:dyDescent="0.3">
      <c r="B3" s="95" t="s">
        <v>108</v>
      </c>
      <c r="C3" s="91"/>
      <c r="D3" s="108" t="s">
        <v>160</v>
      </c>
      <c r="F3" s="97"/>
      <c r="H3" s="98"/>
      <c r="I3" s="99"/>
      <c r="K3" s="96"/>
      <c r="M3" s="100"/>
      <c r="N3" s="101"/>
      <c r="P3" s="96"/>
      <c r="S3" s="96"/>
    </row>
    <row r="4" spans="1:22" ht="30" x14ac:dyDescent="0.25">
      <c r="B4" s="95" t="s">
        <v>159</v>
      </c>
      <c r="C4" s="155"/>
      <c r="D4" s="96"/>
      <c r="F4" s="97"/>
      <c r="H4" s="98"/>
      <c r="I4" s="99"/>
      <c r="K4" s="96"/>
      <c r="M4" s="100"/>
      <c r="N4" s="101"/>
      <c r="P4" s="96"/>
      <c r="S4" s="96"/>
      <c r="U4" s="599" t="s">
        <v>736</v>
      </c>
      <c r="V4" s="600" t="s">
        <v>737</v>
      </c>
    </row>
    <row r="5" spans="1:22" ht="90" x14ac:dyDescent="0.25">
      <c r="A5" s="193" t="s">
        <v>502</v>
      </c>
      <c r="B5" s="194"/>
      <c r="C5" s="7"/>
      <c r="D5" s="195">
        <v>2</v>
      </c>
      <c r="E5" s="109"/>
      <c r="F5" s="196">
        <v>17</v>
      </c>
      <c r="G5" s="109"/>
      <c r="H5" s="197"/>
      <c r="I5" s="198"/>
      <c r="J5" s="7"/>
      <c r="K5" s="195">
        <v>1</v>
      </c>
      <c r="L5" s="7"/>
      <c r="M5" s="199"/>
      <c r="N5" s="200"/>
      <c r="O5" s="109"/>
      <c r="P5" s="195">
        <v>3</v>
      </c>
      <c r="S5" s="196">
        <v>9</v>
      </c>
      <c r="U5" s="603" t="s">
        <v>735</v>
      </c>
      <c r="V5" s="604" t="s">
        <v>738</v>
      </c>
    </row>
    <row r="6" spans="1:22" ht="30" x14ac:dyDescent="0.25">
      <c r="B6" s="102" t="s">
        <v>2</v>
      </c>
      <c r="C6" s="11"/>
      <c r="D6" s="96" t="s">
        <v>5</v>
      </c>
      <c r="F6" s="97"/>
      <c r="H6" s="98"/>
      <c r="I6" s="99"/>
      <c r="K6" s="96" t="s">
        <v>38</v>
      </c>
      <c r="M6" s="86" t="s">
        <v>84</v>
      </c>
      <c r="N6" s="87" t="s">
        <v>257</v>
      </c>
      <c r="P6" s="96"/>
      <c r="S6" s="96" t="s">
        <v>626</v>
      </c>
      <c r="U6" s="100" t="str">
        <f>TEXT(V6,"mmm")&amp;YEAR(V6)</f>
        <v>Dec2022</v>
      </c>
      <c r="V6" s="101" t="str">
        <f>'3.2YieldFIT'!G48</f>
        <v>December 2022</v>
      </c>
    </row>
    <row r="7" spans="1:22" ht="30" x14ac:dyDescent="0.25">
      <c r="B7" s="102" t="s">
        <v>3</v>
      </c>
      <c r="C7" s="11"/>
      <c r="D7" s="96" t="s">
        <v>6</v>
      </c>
      <c r="F7" s="97" t="s">
        <v>8</v>
      </c>
      <c r="H7" s="98" t="s">
        <v>8</v>
      </c>
      <c r="I7" s="99">
        <v>22</v>
      </c>
      <c r="K7" s="96" t="s">
        <v>74</v>
      </c>
      <c r="M7" s="86" t="s">
        <v>85</v>
      </c>
      <c r="N7" s="87" t="s">
        <v>258</v>
      </c>
      <c r="P7" s="96" t="s">
        <v>240</v>
      </c>
      <c r="S7" s="96" t="s">
        <v>627</v>
      </c>
      <c r="U7" s="100" t="str">
        <f>TEXT(V7,"mmm")&amp;YEAR(V7)</f>
        <v>Apr2023</v>
      </c>
      <c r="V7" s="101" t="str">
        <f>[1]Latest!$A$1</f>
        <v>April 2023</v>
      </c>
    </row>
    <row r="8" spans="1:22" ht="30.75" thickBot="1" x14ac:dyDescent="0.3">
      <c r="B8" s="104" t="s">
        <v>26</v>
      </c>
      <c r="C8" s="11"/>
      <c r="D8" s="103"/>
      <c r="F8" s="97" t="s">
        <v>9</v>
      </c>
      <c r="H8" s="98" t="s">
        <v>9</v>
      </c>
      <c r="I8" s="99">
        <v>2.1</v>
      </c>
      <c r="K8" s="103" t="s">
        <v>75</v>
      </c>
      <c r="M8" s="86" t="s">
        <v>86</v>
      </c>
      <c r="N8" s="87" t="s">
        <v>259</v>
      </c>
      <c r="P8" s="96" t="s">
        <v>241</v>
      </c>
      <c r="S8" s="96" t="s">
        <v>628</v>
      </c>
      <c r="U8" s="100" t="str">
        <f t="shared" ref="U8:U30" si="0">TEXT(EOMONTH(U7,-1),"mmm")&amp;YEAR(EOMONTH(U7,-1))</f>
        <v>Mar2023</v>
      </c>
      <c r="V8" s="101" t="str">
        <f t="shared" ref="V8:V30" si="1">TEXT(U8,"mmmm ")&amp;YEAR(U8)</f>
        <v>March 2023</v>
      </c>
    </row>
    <row r="9" spans="1:22" ht="30.75" thickBot="1" x14ac:dyDescent="0.3">
      <c r="F9" s="97" t="s">
        <v>745</v>
      </c>
      <c r="H9" s="98" t="s">
        <v>11</v>
      </c>
      <c r="I9" s="99">
        <v>17</v>
      </c>
      <c r="M9" s="86" t="s">
        <v>87</v>
      </c>
      <c r="N9" s="87" t="s">
        <v>260</v>
      </c>
      <c r="P9" s="103" t="s">
        <v>242</v>
      </c>
      <c r="S9" s="96" t="s">
        <v>629</v>
      </c>
      <c r="U9" s="100" t="str">
        <f t="shared" si="0"/>
        <v>Feb2023</v>
      </c>
      <c r="V9" s="101" t="str">
        <f t="shared" si="1"/>
        <v>February 2023</v>
      </c>
    </row>
    <row r="10" spans="1:22" ht="30" x14ac:dyDescent="0.25">
      <c r="F10" s="97" t="s">
        <v>10</v>
      </c>
      <c r="H10" s="98" t="s">
        <v>12</v>
      </c>
      <c r="I10" s="99">
        <v>27</v>
      </c>
      <c r="M10" s="86" t="s">
        <v>88</v>
      </c>
      <c r="N10" s="87" t="s">
        <v>261</v>
      </c>
      <c r="P10" s="327" t="s">
        <v>623</v>
      </c>
      <c r="Q10" s="328"/>
      <c r="S10" s="96" t="s">
        <v>630</v>
      </c>
      <c r="U10" s="100" t="str">
        <f t="shared" si="0"/>
        <v>Jan2023</v>
      </c>
      <c r="V10" s="101" t="str">
        <f t="shared" si="1"/>
        <v>January 2023</v>
      </c>
    </row>
    <row r="11" spans="1:22" ht="45" x14ac:dyDescent="0.25">
      <c r="F11" s="97" t="s">
        <v>11</v>
      </c>
      <c r="H11" s="98" t="s">
        <v>13</v>
      </c>
      <c r="I11" s="99">
        <v>26</v>
      </c>
      <c r="M11" s="86" t="s">
        <v>91</v>
      </c>
      <c r="N11" s="87" t="s">
        <v>262</v>
      </c>
      <c r="P11" s="329" t="s">
        <v>346</v>
      </c>
      <c r="Q11" s="330">
        <v>1</v>
      </c>
      <c r="S11" s="96" t="s">
        <v>631</v>
      </c>
      <c r="U11" s="100" t="str">
        <f t="shared" si="0"/>
        <v>Dec2022</v>
      </c>
      <c r="V11" s="101" t="str">
        <f t="shared" si="1"/>
        <v>December 2022</v>
      </c>
    </row>
    <row r="12" spans="1:22" ht="30" x14ac:dyDescent="0.25">
      <c r="F12" s="97" t="s">
        <v>12</v>
      </c>
      <c r="H12" s="98" t="s">
        <v>39</v>
      </c>
      <c r="I12" s="99">
        <v>19.399999999999999</v>
      </c>
      <c r="M12" s="86" t="s">
        <v>89</v>
      </c>
      <c r="N12" s="87" t="s">
        <v>263</v>
      </c>
      <c r="P12" s="329" t="s">
        <v>348</v>
      </c>
      <c r="Q12" s="330">
        <v>2</v>
      </c>
      <c r="S12" s="96" t="s">
        <v>695</v>
      </c>
      <c r="U12" s="100" t="str">
        <f t="shared" si="0"/>
        <v>Nov2022</v>
      </c>
      <c r="V12" s="101" t="str">
        <f t="shared" si="1"/>
        <v>November 2022</v>
      </c>
    </row>
    <row r="13" spans="1:22" ht="30" x14ac:dyDescent="0.25">
      <c r="F13" s="97" t="s">
        <v>13</v>
      </c>
      <c r="H13" s="98" t="s">
        <v>40</v>
      </c>
      <c r="I13" s="99">
        <v>21.2</v>
      </c>
      <c r="M13" s="86" t="s">
        <v>90</v>
      </c>
      <c r="N13" s="87" t="s">
        <v>264</v>
      </c>
      <c r="P13" s="329" t="s">
        <v>357</v>
      </c>
      <c r="Q13" s="330">
        <v>1</v>
      </c>
      <c r="S13" s="96" t="s">
        <v>694</v>
      </c>
      <c r="U13" s="100" t="str">
        <f t="shared" si="0"/>
        <v>Oct2022</v>
      </c>
      <c r="V13" s="101" t="str">
        <f t="shared" si="1"/>
        <v>October 2022</v>
      </c>
    </row>
    <row r="14" spans="1:22" ht="30.75" thickBot="1" x14ac:dyDescent="0.3">
      <c r="F14" s="97" t="s">
        <v>14</v>
      </c>
      <c r="H14" s="98" t="s">
        <v>41</v>
      </c>
      <c r="I14" s="99">
        <v>5</v>
      </c>
      <c r="M14" s="86" t="s">
        <v>116</v>
      </c>
      <c r="N14" s="87" t="s">
        <v>265</v>
      </c>
      <c r="P14" s="329" t="s">
        <v>358</v>
      </c>
      <c r="Q14" s="330">
        <v>1</v>
      </c>
      <c r="S14" s="103" t="s">
        <v>632</v>
      </c>
      <c r="U14" s="100" t="str">
        <f t="shared" si="0"/>
        <v>Sep2022</v>
      </c>
      <c r="V14" s="101" t="str">
        <f t="shared" si="1"/>
        <v>September 2022</v>
      </c>
    </row>
    <row r="15" spans="1:22" ht="30" x14ac:dyDescent="0.25">
      <c r="F15" s="97" t="s">
        <v>15</v>
      </c>
      <c r="H15" s="98" t="s">
        <v>42</v>
      </c>
      <c r="I15" s="99">
        <v>5.2</v>
      </c>
      <c r="M15" s="86" t="s">
        <v>92</v>
      </c>
      <c r="N15" s="87" t="s">
        <v>266</v>
      </c>
      <c r="P15" s="329" t="s">
        <v>359</v>
      </c>
      <c r="Q15" s="330">
        <v>1</v>
      </c>
      <c r="U15" s="100" t="str">
        <f t="shared" si="0"/>
        <v>Aug2022</v>
      </c>
      <c r="V15" s="101" t="str">
        <f t="shared" si="1"/>
        <v>August 2022</v>
      </c>
    </row>
    <row r="16" spans="1:22" ht="30" x14ac:dyDescent="0.25">
      <c r="F16" s="97" t="s">
        <v>16</v>
      </c>
      <c r="H16" s="98" t="s">
        <v>43</v>
      </c>
      <c r="I16" s="99">
        <v>5.0999999999999996</v>
      </c>
      <c r="M16" s="86" t="s">
        <v>93</v>
      </c>
      <c r="N16" s="87" t="s">
        <v>267</v>
      </c>
      <c r="P16" s="329" t="s">
        <v>360</v>
      </c>
      <c r="Q16" s="330">
        <v>1</v>
      </c>
      <c r="U16" s="100" t="str">
        <f t="shared" si="0"/>
        <v>Jul2022</v>
      </c>
      <c r="V16" s="101" t="str">
        <f t="shared" si="1"/>
        <v>July 2022</v>
      </c>
    </row>
    <row r="17" spans="6:22" ht="30" x14ac:dyDescent="0.25">
      <c r="F17" s="97" t="s">
        <v>17</v>
      </c>
      <c r="H17" s="98" t="s">
        <v>14</v>
      </c>
      <c r="I17" s="99">
        <v>12</v>
      </c>
      <c r="M17" s="86" t="s">
        <v>94</v>
      </c>
      <c r="N17" s="87" t="s">
        <v>268</v>
      </c>
      <c r="P17" s="329" t="s">
        <v>361</v>
      </c>
      <c r="Q17" s="330">
        <v>1</v>
      </c>
      <c r="U17" s="100" t="str">
        <f t="shared" si="0"/>
        <v>Jun2022</v>
      </c>
      <c r="V17" s="101" t="str">
        <f t="shared" si="1"/>
        <v>June 2022</v>
      </c>
    </row>
    <row r="18" spans="6:22" ht="30" x14ac:dyDescent="0.25">
      <c r="F18" s="97" t="s">
        <v>712</v>
      </c>
      <c r="H18" s="98" t="s">
        <v>325</v>
      </c>
      <c r="I18" s="99" t="s">
        <v>331</v>
      </c>
      <c r="M18" s="86" t="s">
        <v>95</v>
      </c>
      <c r="N18" s="87" t="s">
        <v>269</v>
      </c>
      <c r="P18" s="329" t="s">
        <v>362</v>
      </c>
      <c r="Q18" s="330">
        <v>1</v>
      </c>
      <c r="U18" s="100" t="str">
        <f t="shared" si="0"/>
        <v>May2022</v>
      </c>
      <c r="V18" s="101" t="str">
        <f t="shared" si="1"/>
        <v>May 2022</v>
      </c>
    </row>
    <row r="19" spans="6:22" ht="30" x14ac:dyDescent="0.25">
      <c r="F19" s="97" t="s">
        <v>744</v>
      </c>
      <c r="H19" s="98" t="s">
        <v>44</v>
      </c>
      <c r="I19" s="99">
        <v>3</v>
      </c>
      <c r="M19" s="86" t="s">
        <v>96</v>
      </c>
      <c r="N19" s="87" t="s">
        <v>270</v>
      </c>
      <c r="P19" s="329" t="s">
        <v>363</v>
      </c>
      <c r="Q19" s="330">
        <v>1</v>
      </c>
      <c r="U19" s="100" t="str">
        <f t="shared" si="0"/>
        <v>Apr2022</v>
      </c>
      <c r="V19" s="101" t="str">
        <f t="shared" si="1"/>
        <v>April 2022</v>
      </c>
    </row>
    <row r="20" spans="6:22" ht="30" x14ac:dyDescent="0.25">
      <c r="F20" s="97" t="s">
        <v>746</v>
      </c>
      <c r="H20" s="98" t="s">
        <v>16</v>
      </c>
      <c r="I20" s="99">
        <v>23</v>
      </c>
      <c r="M20" s="86" t="s">
        <v>97</v>
      </c>
      <c r="N20" s="87" t="s">
        <v>271</v>
      </c>
      <c r="P20" s="331" t="s">
        <v>344</v>
      </c>
      <c r="Q20" s="332">
        <v>1</v>
      </c>
      <c r="U20" s="100" t="str">
        <f t="shared" si="0"/>
        <v>Mar2022</v>
      </c>
      <c r="V20" s="101" t="str">
        <f t="shared" si="1"/>
        <v>March 2022</v>
      </c>
    </row>
    <row r="21" spans="6:22" ht="30" x14ac:dyDescent="0.25">
      <c r="F21" s="97" t="s">
        <v>18</v>
      </c>
      <c r="H21" s="98" t="s">
        <v>17</v>
      </c>
      <c r="I21" s="99">
        <v>1</v>
      </c>
      <c r="M21" s="86" t="s">
        <v>98</v>
      </c>
      <c r="N21" s="87" t="s">
        <v>272</v>
      </c>
      <c r="U21" s="100" t="str">
        <f t="shared" si="0"/>
        <v>Feb2022</v>
      </c>
      <c r="V21" s="101" t="str">
        <f t="shared" si="1"/>
        <v>February 2022</v>
      </c>
    </row>
    <row r="22" spans="6:22" ht="30" x14ac:dyDescent="0.25">
      <c r="F22" s="97" t="s">
        <v>45</v>
      </c>
      <c r="H22" s="98" t="s">
        <v>19</v>
      </c>
      <c r="I22" s="99">
        <v>9</v>
      </c>
      <c r="M22" s="86" t="s">
        <v>99</v>
      </c>
      <c r="N22" s="87" t="s">
        <v>273</v>
      </c>
      <c r="U22" s="100" t="str">
        <f t="shared" si="0"/>
        <v>Jan2022</v>
      </c>
      <c r="V22" s="101" t="str">
        <f t="shared" si="1"/>
        <v>January 2022</v>
      </c>
    </row>
    <row r="23" spans="6:22" ht="30" x14ac:dyDescent="0.25">
      <c r="F23" s="97" t="s">
        <v>19</v>
      </c>
      <c r="H23" s="98" t="s">
        <v>45</v>
      </c>
      <c r="I23" s="99">
        <v>4</v>
      </c>
      <c r="M23" s="86" t="s">
        <v>100</v>
      </c>
      <c r="N23" s="87" t="s">
        <v>274</v>
      </c>
      <c r="U23" s="100" t="str">
        <f t="shared" si="0"/>
        <v>Dec2021</v>
      </c>
      <c r="V23" s="101" t="str">
        <f t="shared" si="1"/>
        <v>December 2021</v>
      </c>
    </row>
    <row r="24" spans="6:22" ht="45" x14ac:dyDescent="0.25">
      <c r="F24" s="97" t="s">
        <v>20</v>
      </c>
      <c r="H24" s="98" t="s">
        <v>20</v>
      </c>
      <c r="I24" s="99">
        <v>9</v>
      </c>
      <c r="M24" s="86" t="s">
        <v>101</v>
      </c>
      <c r="N24" s="87" t="s">
        <v>275</v>
      </c>
      <c r="U24" s="100" t="str">
        <f t="shared" si="0"/>
        <v>Nov2021</v>
      </c>
      <c r="V24" s="101" t="str">
        <f t="shared" si="1"/>
        <v>November 2021</v>
      </c>
    </row>
    <row r="25" spans="6:22" ht="30" x14ac:dyDescent="0.25">
      <c r="F25" s="97" t="s">
        <v>21</v>
      </c>
      <c r="H25" s="98" t="s">
        <v>21</v>
      </c>
      <c r="I25" s="99">
        <v>11</v>
      </c>
      <c r="M25" s="86" t="s">
        <v>102</v>
      </c>
      <c r="N25" s="87" t="s">
        <v>276</v>
      </c>
      <c r="U25" s="100" t="str">
        <f t="shared" si="0"/>
        <v>Oct2021</v>
      </c>
      <c r="V25" s="101" t="str">
        <f t="shared" si="1"/>
        <v>October 2021</v>
      </c>
    </row>
    <row r="26" spans="6:22" ht="30" x14ac:dyDescent="0.25">
      <c r="F26" s="97" t="s">
        <v>22</v>
      </c>
      <c r="H26" s="98" t="s">
        <v>46</v>
      </c>
      <c r="I26" s="99">
        <v>11.2</v>
      </c>
      <c r="M26" s="86" t="s">
        <v>103</v>
      </c>
      <c r="N26" s="87" t="s">
        <v>277</v>
      </c>
      <c r="U26" s="100" t="str">
        <f t="shared" si="0"/>
        <v>Sep2021</v>
      </c>
      <c r="V26" s="101" t="str">
        <f t="shared" si="1"/>
        <v>September 2021</v>
      </c>
    </row>
    <row r="27" spans="6:22" ht="30.75" customHeight="1" x14ac:dyDescent="0.25">
      <c r="F27" s="97" t="s">
        <v>23</v>
      </c>
      <c r="H27" s="98" t="s">
        <v>47</v>
      </c>
      <c r="I27" s="99">
        <v>11.1</v>
      </c>
      <c r="M27" s="86" t="s">
        <v>104</v>
      </c>
      <c r="N27" s="87" t="s">
        <v>278</v>
      </c>
      <c r="U27" s="100" t="str">
        <f t="shared" si="0"/>
        <v>Aug2021</v>
      </c>
      <c r="V27" s="101" t="str">
        <f t="shared" si="1"/>
        <v>August 2021</v>
      </c>
    </row>
    <row r="28" spans="6:22" ht="30.75" customHeight="1" x14ac:dyDescent="0.25">
      <c r="F28" s="97" t="s">
        <v>24</v>
      </c>
      <c r="H28" s="98" t="s">
        <v>326</v>
      </c>
      <c r="I28" s="99" t="s">
        <v>328</v>
      </c>
      <c r="M28" s="453" t="s">
        <v>26</v>
      </c>
      <c r="N28" s="454" t="str">
        <f>""</f>
        <v/>
      </c>
      <c r="U28" s="100" t="str">
        <f t="shared" si="0"/>
        <v>Jul2021</v>
      </c>
      <c r="V28" s="101" t="str">
        <f t="shared" si="1"/>
        <v>July 2021</v>
      </c>
    </row>
    <row r="29" spans="6:22" ht="30.75" customHeight="1" thickBot="1" x14ac:dyDescent="0.3">
      <c r="F29" s="97" t="s">
        <v>747</v>
      </c>
      <c r="H29" s="98" t="s">
        <v>324</v>
      </c>
      <c r="I29" s="99" t="s">
        <v>330</v>
      </c>
      <c r="M29" s="88" t="s">
        <v>378</v>
      </c>
      <c r="N29" s="89" t="str">
        <f>""</f>
        <v/>
      </c>
      <c r="U29" s="100" t="str">
        <f t="shared" si="0"/>
        <v>Jun2021</v>
      </c>
      <c r="V29" s="101" t="str">
        <f t="shared" si="1"/>
        <v>June 2021</v>
      </c>
    </row>
    <row r="30" spans="6:22" ht="30.75" customHeight="1" thickBot="1" x14ac:dyDescent="0.3">
      <c r="F30" s="105" t="s">
        <v>25</v>
      </c>
      <c r="H30" s="98" t="s">
        <v>327</v>
      </c>
      <c r="I30" s="99" t="s">
        <v>329</v>
      </c>
      <c r="N30" s="13"/>
      <c r="U30" s="601" t="str">
        <f t="shared" si="0"/>
        <v>May2021</v>
      </c>
      <c r="V30" s="602" t="str">
        <f t="shared" si="1"/>
        <v>May 2021</v>
      </c>
    </row>
    <row r="31" spans="6:22" ht="30.75" customHeight="1" x14ac:dyDescent="0.25">
      <c r="H31" s="98" t="s">
        <v>23</v>
      </c>
      <c r="I31" s="99">
        <v>17</v>
      </c>
      <c r="N31" s="13"/>
    </row>
    <row r="32" spans="6:22" ht="30.75" customHeight="1" x14ac:dyDescent="0.25">
      <c r="H32" s="98" t="s">
        <v>48</v>
      </c>
      <c r="I32" s="99">
        <v>17.2</v>
      </c>
      <c r="N32" s="13"/>
    </row>
    <row r="33" spans="8:14" ht="30.75" customHeight="1" x14ac:dyDescent="0.25">
      <c r="H33" s="98" t="s">
        <v>49</v>
      </c>
      <c r="I33" s="99">
        <v>17.100000000000001</v>
      </c>
      <c r="N33" s="13"/>
    </row>
    <row r="34" spans="8:14" ht="30.75" customHeight="1" x14ac:dyDescent="0.25">
      <c r="H34" s="98" t="s">
        <v>50</v>
      </c>
      <c r="I34" s="99">
        <v>19.2</v>
      </c>
      <c r="N34" s="13"/>
    </row>
    <row r="35" spans="8:14" ht="30.75" customHeight="1" x14ac:dyDescent="0.25">
      <c r="H35" s="98" t="s">
        <v>51</v>
      </c>
      <c r="I35" s="99">
        <v>21.1</v>
      </c>
      <c r="N35" s="13"/>
    </row>
    <row r="36" spans="8:14" ht="30.75" customHeight="1" x14ac:dyDescent="0.25">
      <c r="H36" s="98" t="s">
        <v>24</v>
      </c>
      <c r="I36" s="99">
        <v>18</v>
      </c>
      <c r="N36" s="13"/>
    </row>
    <row r="37" spans="8:14" ht="30.75" customHeight="1" x14ac:dyDescent="0.25">
      <c r="H37" s="98" t="s">
        <v>52</v>
      </c>
      <c r="I37" s="99">
        <v>18.2</v>
      </c>
      <c r="N37" s="13"/>
    </row>
    <row r="38" spans="8:14" ht="30.75" customHeight="1" x14ac:dyDescent="0.25">
      <c r="H38" s="98" t="s">
        <v>53</v>
      </c>
      <c r="I38" s="99">
        <v>18.100000000000001</v>
      </c>
      <c r="N38" s="13"/>
    </row>
    <row r="39" spans="8:14" ht="30.75" customHeight="1" x14ac:dyDescent="0.25">
      <c r="H39" s="98" t="s">
        <v>25</v>
      </c>
      <c r="I39" s="99">
        <v>24</v>
      </c>
      <c r="N39" s="13"/>
    </row>
    <row r="40" spans="8:14" ht="30" customHeight="1" x14ac:dyDescent="0.25">
      <c r="H40" s="327" t="s">
        <v>679</v>
      </c>
      <c r="I40" s="328"/>
      <c r="N40" s="13"/>
    </row>
    <row r="41" spans="8:14" ht="30" customHeight="1" x14ac:dyDescent="0.25">
      <c r="H41" s="329"/>
      <c r="I41" s="426"/>
      <c r="N41" s="13"/>
    </row>
    <row r="42" spans="8:14" ht="30" customHeight="1" x14ac:dyDescent="0.25">
      <c r="H42" s="329" t="s">
        <v>45</v>
      </c>
      <c r="I42" s="426">
        <f ca="1">IF(ISNA(OFFSET($I$6,MATCH($H42,$H$7:$H$39),0)),"",OFFSET($I$6,MATCH($H42,$H$7:$H$39),0))</f>
        <v>4</v>
      </c>
      <c r="N42" s="13"/>
    </row>
    <row r="43" spans="8:14" ht="30" customHeight="1" x14ac:dyDescent="0.25">
      <c r="H43" s="329"/>
      <c r="I43" s="426" t="str">
        <f ca="1">IF(ISNA(OFFSET($I$6,MATCH($H43,$H$7:$H$39),0)),"",OFFSET($I$6,MATCH($H43,$H$7:$H$39),0))</f>
        <v/>
      </c>
      <c r="N43" s="13"/>
    </row>
    <row r="44" spans="8:14" ht="30" customHeight="1" x14ac:dyDescent="0.25">
      <c r="H44" s="329"/>
      <c r="I44" s="426" t="str">
        <f ca="1">IF(ISNA(OFFSET($I$6,MATCH($H44,$H$7:$H$39),0)),"",OFFSET($I$6,MATCH($H44,$H$7:$H$39),0))</f>
        <v/>
      </c>
      <c r="N44" s="13"/>
    </row>
    <row r="45" spans="8:14" ht="30" customHeight="1" x14ac:dyDescent="0.25">
      <c r="H45" s="329"/>
      <c r="I45" s="426" t="str">
        <f t="shared" ref="I45:I50" ca="1" si="2">IF(ISNA(OFFSET($I$6,MATCH($H45,$H$7:$H$39),0)),"",OFFSET($I$6,MATCH($H45,$H$7:$H$39),0))</f>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29"/>
      <c r="I48" s="426" t="str">
        <f t="shared" ca="1" si="2"/>
        <v/>
      </c>
      <c r="N48" s="13"/>
    </row>
    <row r="49" spans="8:14" ht="30" customHeight="1" x14ac:dyDescent="0.25">
      <c r="H49" s="329"/>
      <c r="I49" s="426" t="str">
        <f t="shared" ca="1" si="2"/>
        <v/>
      </c>
      <c r="N49" s="13"/>
    </row>
    <row r="50" spans="8:14" ht="30" customHeight="1" x14ac:dyDescent="0.25">
      <c r="H50" s="331"/>
      <c r="I50" s="456" t="str">
        <f t="shared" ca="1" si="2"/>
        <v/>
      </c>
      <c r="N50" s="13"/>
    </row>
    <row r="51" spans="8:14" ht="30" customHeight="1" x14ac:dyDescent="0.25">
      <c r="N51" s="13"/>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AVl1jLjdP1XU9yjePwsC2zWobuiLPfmsz89B+8Q4erWdGC7iV9A3iJuAIMX8EaVcRJA39TFZzouRkpTkNYfRdw==" saltValue="0vxQ7g05l8FlKuXSg9ls5Q=="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285</v>
      </c>
      <c r="B1" s="183"/>
      <c r="C1" s="183" t="s">
        <v>704</v>
      </c>
      <c r="D1" s="5"/>
    </row>
    <row r="2" spans="1:4" ht="26.25" x14ac:dyDescent="0.25">
      <c r="A2" s="183" t="s">
        <v>380</v>
      </c>
      <c r="B2" s="3"/>
      <c r="C2" s="183" t="s">
        <v>500</v>
      </c>
      <c r="D2" s="5"/>
    </row>
    <row r="3" spans="1:4" ht="26.25" customHeight="1" x14ac:dyDescent="0.25">
      <c r="A3" s="183"/>
      <c r="B3" s="3"/>
      <c r="C3" s="3"/>
    </row>
    <row r="4" spans="1:4" ht="47.25" x14ac:dyDescent="0.25">
      <c r="A4" s="180"/>
      <c r="B4" s="181" t="s">
        <v>651</v>
      </c>
      <c r="C4" s="181"/>
    </row>
    <row r="5" spans="1:4" ht="27" thickBot="1" x14ac:dyDescent="0.3">
      <c r="A5" s="179"/>
      <c r="B5" s="182" t="s">
        <v>27</v>
      </c>
      <c r="C5" s="182"/>
      <c r="D5" s="84"/>
    </row>
    <row r="6" spans="1:4" ht="15" customHeight="1" x14ac:dyDescent="0.25">
      <c r="A6" s="180"/>
      <c r="B6" s="184"/>
      <c r="C6" s="184"/>
    </row>
    <row r="7" spans="1:4" ht="75" customHeight="1" x14ac:dyDescent="0.25">
      <c r="A7" s="7" t="s">
        <v>641</v>
      </c>
      <c r="B7" s="164" t="s">
        <v>657</v>
      </c>
      <c r="C7" s="7" t="s">
        <v>641</v>
      </c>
      <c r="D7" s="164" t="s">
        <v>693</v>
      </c>
    </row>
    <row r="8" spans="1:4" ht="32.25" x14ac:dyDescent="0.25">
      <c r="A8" s="7" t="s">
        <v>642</v>
      </c>
      <c r="B8" s="164" t="s">
        <v>635</v>
      </c>
      <c r="C8" s="7" t="s">
        <v>642</v>
      </c>
      <c r="D8" s="10" t="s">
        <v>659</v>
      </c>
    </row>
    <row r="9" spans="1:4" ht="99.95" customHeight="1" x14ac:dyDescent="0.25">
      <c r="A9" s="7" t="s">
        <v>643</v>
      </c>
      <c r="B9" s="164" t="s">
        <v>653</v>
      </c>
      <c r="C9" s="7" t="s">
        <v>643</v>
      </c>
      <c r="D9" s="10" t="s">
        <v>307</v>
      </c>
    </row>
    <row r="10" spans="1:4" ht="75" x14ac:dyDescent="0.25">
      <c r="A10" s="7" t="s">
        <v>644</v>
      </c>
      <c r="B10" s="164" t="s">
        <v>636</v>
      </c>
      <c r="C10" s="7" t="s">
        <v>644</v>
      </c>
      <c r="D10" s="10" t="s">
        <v>308</v>
      </c>
    </row>
    <row r="11" spans="1:4" ht="69.95" customHeight="1" x14ac:dyDescent="0.25">
      <c r="A11" s="7" t="s">
        <v>645</v>
      </c>
      <c r="B11" s="164" t="s">
        <v>637</v>
      </c>
      <c r="C11" s="7" t="s">
        <v>645</v>
      </c>
      <c r="D11" s="10" t="s">
        <v>309</v>
      </c>
    </row>
    <row r="12" spans="1:4" ht="60" x14ac:dyDescent="0.25">
      <c r="A12" s="7" t="s">
        <v>646</v>
      </c>
      <c r="B12" s="164" t="s">
        <v>638</v>
      </c>
      <c r="C12" s="7"/>
    </row>
    <row r="13" spans="1:4" ht="54.95" customHeight="1" x14ac:dyDescent="0.25">
      <c r="A13" s="7" t="s">
        <v>647</v>
      </c>
      <c r="B13" s="164" t="s">
        <v>639</v>
      </c>
      <c r="C13" s="7"/>
    </row>
    <row r="14" spans="1:4" ht="54.95" customHeight="1" x14ac:dyDescent="0.25">
      <c r="A14" s="7" t="s">
        <v>648</v>
      </c>
      <c r="B14" s="164" t="s">
        <v>658</v>
      </c>
      <c r="C14" s="7"/>
    </row>
    <row r="15" spans="1:4" ht="39.950000000000003" customHeight="1" x14ac:dyDescent="0.25">
      <c r="A15" s="7" t="s">
        <v>649</v>
      </c>
      <c r="B15" s="164" t="s">
        <v>640</v>
      </c>
      <c r="C15" s="7"/>
      <c r="D15" s="237"/>
    </row>
    <row r="16" spans="1:4" ht="24.95" customHeight="1" x14ac:dyDescent="0.25">
      <c r="A16" s="7" t="s">
        <v>650</v>
      </c>
      <c r="B16" s="10" t="s">
        <v>309</v>
      </c>
      <c r="C16" s="164"/>
      <c r="D16" s="23" t="str">
        <f>Edition_Date</f>
        <v>1/3/2023 Edition</v>
      </c>
    </row>
    <row r="17" spans="1:3" ht="90" customHeight="1" x14ac:dyDescent="0.25">
      <c r="A17" s="7"/>
      <c r="B17" s="164"/>
      <c r="C17" s="164"/>
    </row>
    <row r="19" spans="1:3" x14ac:dyDescent="0.25">
      <c r="B19" s="164"/>
    </row>
    <row r="22" spans="1:3" x14ac:dyDescent="0.25">
      <c r="B22" s="164"/>
    </row>
  </sheetData>
  <sheetProtection algorithmName="SHA-512" hashValue="wiEIHBf2vEVPv6PUmpQdzXm4x3qRA4be1dXjxCSvACmyw+OsTHIxLcpa+M1aTMRdDm78TT1ovjxKoA22f0xOzQ==" saltValue="hZ2zUWEahViZlpIhKz7HX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tabSelected="1" view="pageBreakPreview" topLeftCell="A19" zoomScaleNormal="100" zoomScaleSheetLayoutView="100" workbookViewId="0">
      <selection activeCell="D34" sqref="D34"/>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31</v>
      </c>
      <c r="B1" s="1"/>
      <c r="E1" s="1" t="s">
        <v>33</v>
      </c>
      <c r="G1" s="8" t="str">
        <f>Co_Name</f>
        <v>State Farm General Insurance Company</v>
      </c>
      <c r="H1" s="8"/>
      <c r="J1" s="74" t="s">
        <v>661</v>
      </c>
    </row>
    <row r="2" spans="1:10" x14ac:dyDescent="0.25">
      <c r="A2" s="1" t="s">
        <v>32</v>
      </c>
      <c r="B2" s="1"/>
      <c r="E2" s="1" t="s">
        <v>34</v>
      </c>
      <c r="G2" s="8" t="str">
        <f>General_Line</f>
        <v>Homeowners Multiple Peril</v>
      </c>
      <c r="H2" s="8"/>
      <c r="J2" s="176" t="s">
        <v>113</v>
      </c>
    </row>
    <row r="3" spans="1:10" ht="18" customHeight="1" x14ac:dyDescent="0.25">
      <c r="A3" s="1"/>
      <c r="B3" s="1"/>
      <c r="C3" s="158"/>
      <c r="I3" s="8"/>
      <c r="J3" s="213"/>
    </row>
    <row r="4" spans="1:10" ht="23.25" x14ac:dyDescent="0.25">
      <c r="A4" s="4" t="s">
        <v>655</v>
      </c>
      <c r="B4" s="4"/>
      <c r="C4" s="5"/>
      <c r="D4" s="5"/>
      <c r="E4" s="5"/>
      <c r="F4" s="5"/>
      <c r="G4" s="5"/>
      <c r="H4" s="5"/>
      <c r="I4" s="5"/>
      <c r="J4" s="213"/>
    </row>
    <row r="5" spans="1:10" ht="23.25" x14ac:dyDescent="0.25">
      <c r="A5" s="4" t="s">
        <v>656</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751</v>
      </c>
      <c r="D8" s="6"/>
      <c r="E8" s="23" t="s">
        <v>740</v>
      </c>
      <c r="F8" s="241">
        <v>44981</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365</v>
      </c>
      <c r="B10" s="7"/>
      <c r="C10" s="403"/>
      <c r="D10" s="6"/>
      <c r="E10" s="23" t="s">
        <v>739</v>
      </c>
      <c r="F10" s="241">
        <v>44985</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18" t="s">
        <v>752</v>
      </c>
      <c r="D13" s="619"/>
      <c r="E13" s="619"/>
      <c r="F13" s="620"/>
      <c r="G13" s="6"/>
      <c r="H13" s="6"/>
      <c r="I13" s="6"/>
      <c r="J13" s="214"/>
    </row>
    <row r="14" spans="1:10" ht="15" customHeight="1" x14ac:dyDescent="0.25">
      <c r="A14" s="7"/>
      <c r="B14" s="7"/>
      <c r="C14" s="7"/>
      <c r="D14" s="7"/>
      <c r="E14" s="7"/>
      <c r="F14" s="7"/>
      <c r="G14" s="6"/>
      <c r="H14" s="6"/>
      <c r="I14" s="6"/>
      <c r="J14" s="214"/>
    </row>
    <row r="15" spans="1:10" ht="15" customHeight="1" x14ac:dyDescent="0.25">
      <c r="A15" s="7" t="s">
        <v>155</v>
      </c>
      <c r="B15" s="7"/>
      <c r="C15" s="1"/>
      <c r="D15" s="239" t="s">
        <v>79</v>
      </c>
      <c r="E15" s="239" t="s">
        <v>80</v>
      </c>
      <c r="F15" s="239" t="s">
        <v>81</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82</v>
      </c>
      <c r="B23" s="7"/>
      <c r="C23" s="7"/>
      <c r="D23" s="241">
        <v>45366</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364</v>
      </c>
      <c r="B25" s="7"/>
      <c r="C25" s="7" t="s">
        <v>702</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748</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386</v>
      </c>
      <c r="B29" s="7"/>
      <c r="C29" s="341">
        <v>20222</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601</v>
      </c>
      <c r="B30" s="7"/>
      <c r="C30" s="437"/>
      <c r="D30" s="6"/>
      <c r="E30" s="6"/>
      <c r="F30" s="6"/>
      <c r="G30" s="234"/>
      <c r="H30" s="234"/>
      <c r="I30" s="6"/>
      <c r="J30" s="400"/>
    </row>
    <row r="31" spans="1:10" ht="30" customHeight="1" x14ac:dyDescent="0.25">
      <c r="A31" s="7"/>
      <c r="B31" s="7"/>
      <c r="C31" s="621" t="s">
        <v>660</v>
      </c>
      <c r="D31" s="621"/>
      <c r="E31" s="621"/>
      <c r="F31" s="6"/>
      <c r="G31" s="234"/>
      <c r="H31" s="234"/>
      <c r="I31" s="6"/>
      <c r="J31" s="214"/>
    </row>
    <row r="32" spans="1:10" ht="60" x14ac:dyDescent="0.25">
      <c r="A32" s="237" t="s">
        <v>382</v>
      </c>
      <c r="B32" s="237"/>
      <c r="C32" s="342" t="s">
        <v>634</v>
      </c>
      <c r="D32" s="342" t="s">
        <v>561</v>
      </c>
      <c r="E32" s="342" t="s">
        <v>680</v>
      </c>
      <c r="G32" s="234"/>
      <c r="J32" s="214"/>
    </row>
    <row r="33" spans="1:10" ht="5.0999999999999996" customHeight="1" x14ac:dyDescent="0.25">
      <c r="G33" s="234"/>
      <c r="J33" s="429"/>
    </row>
    <row r="34" spans="1:10" ht="20.100000000000001" customHeight="1" x14ac:dyDescent="0.25">
      <c r="A34" s="238">
        <v>2</v>
      </c>
      <c r="C34" s="512" t="s">
        <v>753</v>
      </c>
      <c r="D34" s="240">
        <v>0.20799999999999999</v>
      </c>
      <c r="E34" s="241">
        <v>45078</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754</v>
      </c>
      <c r="D35" s="240">
        <v>0</v>
      </c>
      <c r="E35" s="241">
        <v>44287</v>
      </c>
      <c r="G35" s="234"/>
      <c r="J35" s="429" t="str">
        <f t="shared" si="0"/>
        <v/>
      </c>
    </row>
    <row r="36" spans="1:10" ht="20.100000000000001" customHeight="1" x14ac:dyDescent="0.25">
      <c r="A36" s="238">
        <v>2</v>
      </c>
      <c r="C36" s="512" t="s">
        <v>755</v>
      </c>
      <c r="D36" s="240">
        <v>0.2</v>
      </c>
      <c r="E36" s="241">
        <v>45078</v>
      </c>
      <c r="G36" s="234"/>
      <c r="J36" s="429" t="str">
        <f t="shared" si="0"/>
        <v/>
      </c>
    </row>
    <row r="37" spans="1:10" ht="20.100000000000001" customHeight="1" x14ac:dyDescent="0.25">
      <c r="A37" s="238">
        <v>1</v>
      </c>
      <c r="C37" s="512"/>
      <c r="D37" s="240"/>
      <c r="E37" s="241"/>
      <c r="G37" s="234"/>
      <c r="J37" s="429" t="str">
        <f t="shared" si="0"/>
        <v/>
      </c>
    </row>
    <row r="38" spans="1:10" ht="20.100000000000001" customHeight="1" x14ac:dyDescent="0.25">
      <c r="A38" s="238">
        <v>1</v>
      </c>
      <c r="C38" s="512"/>
      <c r="D38" s="240"/>
      <c r="E38" s="241"/>
      <c r="G38" s="234"/>
      <c r="J38" s="429" t="str">
        <f t="shared" si="0"/>
        <v/>
      </c>
    </row>
    <row r="39" spans="1:10" ht="20.100000000000001" customHeight="1" x14ac:dyDescent="0.25">
      <c r="A39" s="238">
        <v>1</v>
      </c>
      <c r="C39" s="512"/>
      <c r="D39" s="240"/>
      <c r="E39" s="241"/>
      <c r="G39" s="234"/>
      <c r="J39" s="429" t="str">
        <f t="shared" si="0"/>
        <v/>
      </c>
    </row>
    <row r="40" spans="1:10" ht="20.100000000000001" customHeight="1" x14ac:dyDescent="0.25">
      <c r="A40" s="238">
        <v>1</v>
      </c>
      <c r="C40" s="512"/>
      <c r="D40" s="240"/>
      <c r="E40" s="241"/>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602</v>
      </c>
      <c r="J46" s="214"/>
    </row>
    <row r="47" spans="1:10" ht="18" customHeight="1" x14ac:dyDescent="0.25">
      <c r="A47" t="s">
        <v>604</v>
      </c>
      <c r="D47" s="23" t="s">
        <v>83</v>
      </c>
      <c r="E47" s="424" t="s">
        <v>103</v>
      </c>
      <c r="I47" s="430">
        <v>1</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610</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624</v>
      </c>
      <c r="B51" s="1"/>
      <c r="C51" s="427"/>
    </row>
  </sheetData>
  <sheetProtection algorithmName="SHA-512" hashValue="fp4r6HtVd75XMPMoIQ9HcnAkD/TeWatc/jJNua6o+Z6h1Exqn01cze8w2hoVdxG6Cn+8kYPBG8KKJ91T1UHhkw==" saltValue="oRRXQHYmXRYbHS5dUWD0Cg=="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&amp;L1/3/2023 Edition
&amp;CPrior Approval Rate Template
Portions of the material contained in this document are protected by copyright owned by the State Farm Mutual Automobile Insurance Company, 2023&amp;RPage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election activeCell="C8" sqref="C8"/>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31</v>
      </c>
      <c r="D1" s="7" t="s">
        <v>33</v>
      </c>
      <c r="G1" s="23" t="str">
        <f>Co_Name</f>
        <v>State Farm General Insurance Company</v>
      </c>
      <c r="I1" s="74" t="s">
        <v>662</v>
      </c>
    </row>
    <row r="2" spans="1:9" x14ac:dyDescent="0.25">
      <c r="A2" s="7" t="s">
        <v>32</v>
      </c>
      <c r="B2" s="573"/>
      <c r="D2" s="7" t="s">
        <v>34</v>
      </c>
      <c r="G2" s="23" t="str">
        <f>General_Line</f>
        <v>Homeowners Multiple Peril</v>
      </c>
      <c r="I2" s="176" t="s">
        <v>113</v>
      </c>
    </row>
    <row r="3" spans="1:9" x14ac:dyDescent="0.25">
      <c r="B3" s="573"/>
      <c r="D3" s="154" t="s">
        <v>142</v>
      </c>
      <c r="E3" s="77"/>
      <c r="F3" s="77"/>
      <c r="G3" s="249" t="str">
        <f>CDI_FileNo</f>
        <v/>
      </c>
      <c r="I3" s="214"/>
    </row>
    <row r="4" spans="1:9" ht="18" customHeight="1" x14ac:dyDescent="0.25">
      <c r="D4" s="7"/>
      <c r="G4" s="23"/>
      <c r="I4" s="214"/>
    </row>
    <row r="5" spans="1:9" ht="23.25" x14ac:dyDescent="0.25">
      <c r="A5" s="4" t="s">
        <v>655</v>
      </c>
      <c r="B5" s="4"/>
      <c r="C5" s="5"/>
      <c r="D5" s="5"/>
      <c r="E5" s="5"/>
      <c r="F5" s="5"/>
      <c r="G5" s="5"/>
      <c r="I5" s="214"/>
    </row>
    <row r="6" spans="1:9" ht="23.25" x14ac:dyDescent="0.25">
      <c r="A6" s="4" t="s">
        <v>381</v>
      </c>
      <c r="B6" s="4"/>
      <c r="C6" s="5"/>
      <c r="D6" s="5"/>
      <c r="E6" s="5"/>
      <c r="F6" s="5"/>
      <c r="G6" s="5"/>
      <c r="I6" s="214"/>
    </row>
    <row r="7" spans="1:9" ht="15.75" thickBot="1" x14ac:dyDescent="0.3">
      <c r="I7" s="214"/>
    </row>
    <row r="8" spans="1:9" ht="45.75" thickBot="1" x14ac:dyDescent="0.3">
      <c r="A8" s="244" t="s">
        <v>634</v>
      </c>
      <c r="B8" s="245" t="str">
        <f>IF(New_Program=TRUE,"Projected ","Latest Year Adjusted ")&amp;"Annual Premium ($)"</f>
        <v>Latest Year Adjusted Annual Premium ($)</v>
      </c>
      <c r="C8" s="246" t="s">
        <v>383</v>
      </c>
      <c r="D8" s="247" t="s">
        <v>384</v>
      </c>
      <c r="E8" s="246" t="s">
        <v>696</v>
      </c>
      <c r="F8" s="247" t="s">
        <v>697</v>
      </c>
      <c r="G8" s="247" t="s">
        <v>367</v>
      </c>
      <c r="H8" s="246" t="s">
        <v>612</v>
      </c>
      <c r="I8" s="523"/>
    </row>
    <row r="9" spans="1:9" x14ac:dyDescent="0.25">
      <c r="A9" s="515" t="str">
        <f>IF(Covg01="","",Covg01)</f>
        <v>Non-Tenant Homeowners</v>
      </c>
      <c r="B9" s="250">
        <f>IF(Covg01="","",IF(New_Program=TRUE,'7.1Rate Change Calculation'!$H$48,'7.1Rate Change Calculation'!$G$48))</f>
        <v>2262527846.5360608</v>
      </c>
      <c r="C9" s="418">
        <f ca="1">IF(Covg01="","",IF(Rein_Indicator=TRUE,"NA",(1+E9)*$B9))</f>
        <v>2133181440.4680252</v>
      </c>
      <c r="D9" s="419">
        <f ca="1">IF(Covg01="","",(1+F9)*$B9)</f>
        <v>2919843758.2216444</v>
      </c>
      <c r="E9" s="410">
        <f ca="1">IF(Covg01="","",IF(Rein_Indicator=TRUE,"NA",'7.1Rate Change Calculation'!CHANGE_AT_MIN))</f>
        <v>-5.7168978612159589E-2</v>
      </c>
      <c r="F9" s="411">
        <f ca="1">IF(Covg01="","",IF(Rein_Indicator=TRUE,'7.1Rate Change Calculation'!Rein_CHANGE_AT_MAX,'7.1Rate Change Calculation'!CHANGE_AT_MAX))</f>
        <v>0.29052279409154536</v>
      </c>
      <c r="G9" s="411">
        <f t="array" ref="G9:G18">IF('1.General'!$C$34:$C$43="","",'1.General'!$D$34:$D$43)</f>
        <v>0.20799999999999999</v>
      </c>
      <c r="H9" s="251">
        <f>IF(Covg01="","",IF(New_Program=TRUE,$B9,(1+$G9)*$B9))</f>
        <v>2733133638.6155615</v>
      </c>
      <c r="I9" s="521" t="str">
        <f ca="1">IF(Covg01="","",IF(AND(ROUND($G9,3)&gt;=ROUND($E9,3),ROUND($G9,3)&lt;=ROUND($F9,3)),"","← WARNING! Proposed % is outside of range of permitted rate changes."))</f>
        <v/>
      </c>
    </row>
    <row r="10" spans="1:9" x14ac:dyDescent="0.25">
      <c r="A10" s="515" t="str">
        <f>IF(Covg02="","",Covg02)</f>
        <v>Renters</v>
      </c>
      <c r="B10" s="250">
        <f>IF(Covg02="","",IF(New_Program=TRUE,'7.2Rate Change Calculation'!$H$48,'7.2Rate Change Calculation'!$G$48))</f>
        <v>89710899.496831939</v>
      </c>
      <c r="C10" s="418">
        <f ca="1">IF(Covg02="","",IF(Rein_Indicator=TRUE,"NA",(1+E10)*$B10))</f>
        <v>66937808.527354375</v>
      </c>
      <c r="D10" s="419">
        <f ca="1">IF(Covg02="","",(1+F10)*$B10)</f>
        <v>91622746.527716607</v>
      </c>
      <c r="E10" s="410">
        <f ca="1">IF(Covg02="","",IF(Rein_Indicator=TRUE,"NA",'7.2Rate Change Calculation'!CHANGE_AT_MIN))</f>
        <v>-0.2538497673884294</v>
      </c>
      <c r="F10" s="411">
        <f ca="1">IF(Covg02="","",IF(Rein_Indicator=TRUE,'7.2Rate Change Calculation'!Rein_CHANGE_AT_MAX,'7.2Rate Change Calculation'!CHANGE_AT_MAX))</f>
        <v>2.131120122089707E-2</v>
      </c>
      <c r="G10" s="411">
        <v>0</v>
      </c>
      <c r="H10" s="251">
        <f>IF(Covg02="","",IF(New_Program=TRUE,$B10,(1+$G10)*$B10))</f>
        <v>89710899.496831939</v>
      </c>
      <c r="I10" s="521" t="str">
        <f ca="1">IF(Covg02="","",IF(AND(ROUND($G10,3)&gt;=ROUND($E10,3),ROUND($G10,3)&lt;=ROUND($F10,3)),"","← WARNING! Proposed % is outside of range of permitted rate changes."))</f>
        <v/>
      </c>
    </row>
    <row r="11" spans="1:9" x14ac:dyDescent="0.25">
      <c r="A11" s="515" t="str">
        <f>IF(Covg03="","",Covg03)</f>
        <v>Condominium Unitowners</v>
      </c>
      <c r="B11" s="250">
        <f>IF(Covg03="","",IF(New_Program=TRUE,'7.3Rate Change Calculation'!$H$48,'7.3Rate Change Calculation'!$G$48))</f>
        <v>113660717.30398443</v>
      </c>
      <c r="C11" s="418">
        <f ca="1">IF(Covg03="","",IF(Rein_Indicator=TRUE,"NA",(1+E11)*$B11))</f>
        <v>103751027.89864381</v>
      </c>
      <c r="D11" s="419">
        <f ca="1">IF(Covg03="","",(1+F11)*$B11)</f>
        <v>142011732.08804485</v>
      </c>
      <c r="E11" s="410">
        <f ca="1">IF(Covg03="","",IF(Rein_Indicator=TRUE,"NA",'7.3Rate Change Calculation'!CHANGE_AT_MIN))</f>
        <v>-8.7186581612337166E-2</v>
      </c>
      <c r="F11" s="411">
        <f ca="1">IF(Covg03="","",IF(Rein_Indicator=TRUE,'7.3Rate Change Calculation'!Rein_CHANGE_AT_MAX,'7.3Rate Change Calculation'!CHANGE_AT_MAX))</f>
        <v>0.24943547301602825</v>
      </c>
      <c r="G11" s="411">
        <v>0.2</v>
      </c>
      <c r="H11" s="251">
        <f>IF(Covg03="","",IF(New_Program=TRUE,$B11,(1+$G11)*$B11))</f>
        <v>136392860.76478133</v>
      </c>
      <c r="I11" s="521" t="str">
        <f ca="1">IF(Covg03="","",IF(AND(ROUND($G11,3)&gt;=ROUND($E11,3),ROUND($G11,3)&lt;=ROUND($F11,3)),"","← WARNING! Proposed % is outside of range of permitted rate changes."))</f>
        <v/>
      </c>
    </row>
    <row r="12" spans="1:9" x14ac:dyDescent="0.2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2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2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2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378</v>
      </c>
      <c r="B19" s="256">
        <f>IF(AND(Covg01="",Covg02="",Covg03="",Covg04="",Covg05="",Covg06="",Covg07="",Covg08="",Covg09="",Covg10=""),"",SUM(B9:B18))</f>
        <v>2465899463.3368773</v>
      </c>
      <c r="C19" s="257">
        <f ca="1">IF(AND(Covg01="",Covg02="",Covg03="",Covg04="",Covg05="",Covg06="",Covg07="",Covg08="",Covg09="",Covg10=""),"",SUM(C9:C18))</f>
        <v>2303870276.8940234</v>
      </c>
      <c r="D19" s="258">
        <f ca="1">IF(AND(Covg01="",Covg02="",Covg03="",Covg04="",Covg05="",Covg06="",Covg07="",Covg08="",Covg09="",Covg10=""),"",SUM(D9:D18))</f>
        <v>3153478236.8374057</v>
      </c>
      <c r="E19" s="414">
        <f ca="1">IF(AND(Covg01="",Covg02="",Covg03="",Covg04="",Covg05="",Covg06="",Covg07="",Covg08="",Covg09="",Covg10=""),"",IF(Rein_Indicator=TRUE,"NA",SUMPRODUCT(E9:E18,$B$9:$B$18)/$B$19))</f>
        <v>-6.5707945052875097E-2</v>
      </c>
      <c r="F19" s="415">
        <f ca="1">IF(AND(Covg01="",Covg02="",Covg03="",Covg04="",Covg05="",Covg06="",Covg07="",Covg08="",Covg09="",Covg10=""),"",SUMPRODUCT(F9:F18,$B$9:$B$18)/$B$19)</f>
        <v>0.27883487697835452</v>
      </c>
      <c r="G19" s="415">
        <f>IF(AND(Covg01="",Covg02="",Covg03="",Covg04="",Covg05="",Covg06="",Covg07="",Covg08="",Covg09="",Covg10=""),"",SUMPRODUCT(G9:G18,$B$9:$B$18)/$B$19)</f>
        <v>0.20006409136920295</v>
      </c>
      <c r="H19" s="257">
        <f>IF(AND(Covg01="",Covg02="",Covg03="",Covg04="",Covg05="",Covg06="",Covg07="",Covg08="",Covg09="",Covg10=""),"",SUM(H9:H18))</f>
        <v>2959237398.8771749</v>
      </c>
      <c r="I19" s="521" t="str">
        <f ca="1">IF(AND(Covg01="",Covg02="",Covg03="",Covg04="",Covg05="",Covg06="",Covg07="",Covg08="",Covg09="",Covg10=""),"",IF(AND(ROUND($G19,3)&gt;=ROUND($E19,3),ROUND($G19,3)&lt;=ROUND($F19,3)),"","← WARNING! Proposed % is outside of range of permitted rate changes."))</f>
        <v/>
      </c>
    </row>
    <row r="20" spans="1:9" ht="30" customHeight="1" x14ac:dyDescent="0.25">
      <c r="I20" s="214"/>
    </row>
    <row r="21" spans="1:9" x14ac:dyDescent="0.25">
      <c r="A21" s="7" t="s">
        <v>652</v>
      </c>
      <c r="C21" s="436">
        <f>SUM('6.1Ratemaking Data'!I20,'6.2Ratemaking Data'!I20,'6.3Ratemaking Data'!I20)</f>
        <v>1898347.3199999998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2" t="s">
        <v>634</v>
      </c>
      <c r="B23" s="402" t="s">
        <v>385</v>
      </c>
      <c r="C23" s="242"/>
      <c r="D23" s="242"/>
      <c r="E23" s="243"/>
      <c r="F23" s="625" t="str">
        <f>IF(New_Program=TRUE,"Projected ","Latest Year ")&amp;"Earned Exposures"</f>
        <v>Latest Year Earned Exposures</v>
      </c>
      <c r="G23" s="624"/>
      <c r="I23" s="214"/>
    </row>
    <row r="24" spans="1:9" ht="52.5" customHeight="1" thickBot="1" x14ac:dyDescent="0.3">
      <c r="A24" s="623"/>
      <c r="B24" s="246" t="str">
        <f>IF(New_Program=TRUE,"Projected ","Latest Year Adjusted ")</f>
        <v xml:space="preserve">Latest Year Adjusted </v>
      </c>
      <c r="C24" s="248" t="s">
        <v>707</v>
      </c>
      <c r="D24" s="248" t="s">
        <v>708</v>
      </c>
      <c r="E24" s="247" t="s">
        <v>609</v>
      </c>
      <c r="F24" s="626"/>
      <c r="G24" s="624"/>
      <c r="I24" s="214"/>
    </row>
    <row r="25" spans="1:9" x14ac:dyDescent="0.25">
      <c r="A25" s="515" t="str">
        <f>IF(Covg01="","",Covg01)</f>
        <v>Non-Tenant Homeowners</v>
      </c>
      <c r="B25" s="254">
        <f>IF(Covg01="","",$B9/$F25)</f>
        <v>1878.6123061682563</v>
      </c>
      <c r="C25" s="407">
        <f ca="1">IF(Covg01="","",'7.1Rate Change Calculation'!H66)</f>
        <v>1771.2139594163834</v>
      </c>
      <c r="D25" s="408">
        <f ca="1">IF(Covg01="","",'7.1Rate Change Calculation'!H67)</f>
        <v>2424.3920023710198</v>
      </c>
      <c r="E25" s="130">
        <f>IF(Covg01="","",$H9/$F25)</f>
        <v>2269.3636658512537</v>
      </c>
      <c r="F25" s="433">
        <f>IF(Covg01="","",IF(New_Program=TRUE,'7.1Rate Change Calculation'!$H$21,'7.1Rate Change Calculation'!$G$21))</f>
        <v>1204361.24</v>
      </c>
      <c r="G25" s="422"/>
      <c r="I25" s="214"/>
    </row>
    <row r="26" spans="1:9" x14ac:dyDescent="0.25">
      <c r="A26" s="515" t="str">
        <f>IF(Covg02="","",Covg02)</f>
        <v>Renters</v>
      </c>
      <c r="B26" s="254">
        <f>IF(Covg02="","",$B10/$F26)</f>
        <v>165.72191619762984</v>
      </c>
      <c r="C26" s="407">
        <f ca="1">IF(Covg02="","",'7.2Rate Change Calculation'!H66)</f>
        <v>123.65344631969671</v>
      </c>
      <c r="D26" s="407">
        <f ca="1">IF(Covg02="","",'7.2Rate Change Calculation'!H67)</f>
        <v>169.25364930043017</v>
      </c>
      <c r="E26" s="130">
        <f>IF(Covg02="","",$H10/$F26)</f>
        <v>165.72191619762984</v>
      </c>
      <c r="F26" s="250">
        <f>IF(Covg02="","",IF(New_Program=TRUE,'7.2Rate Change Calculation'!$H$21,'7.2Rate Change Calculation'!$G$21))</f>
        <v>541333.94999999995</v>
      </c>
      <c r="G26" s="422"/>
      <c r="I26" s="214"/>
    </row>
    <row r="27" spans="1:9" x14ac:dyDescent="0.25">
      <c r="A27" s="515" t="str">
        <f>IF(Covg03="","",Covg03)</f>
        <v>Condominium Unitowners</v>
      </c>
      <c r="B27" s="254">
        <f>IF(Covg03="","",$B11/$F27)</f>
        <v>744.57341213636801</v>
      </c>
      <c r="C27" s="407">
        <f ca="1">IF(Covg03="","",'7.3Rate Change Calculation'!H66)</f>
        <v>679.6566015727642</v>
      </c>
      <c r="D27" s="407">
        <f ca="1">IF(Covg03="","",'7.3Rate Change Calculation'!H67)</f>
        <v>930.29643338776111</v>
      </c>
      <c r="E27" s="130">
        <f>IF(Covg03="","",$H11/$F27)</f>
        <v>893.48809456364165</v>
      </c>
      <c r="F27" s="250">
        <f>IF(Covg03="","",IF(New_Program=TRUE,'7.3Rate Change Calculation'!$H$21,'7.3Rate Change Calculation'!$G$21))</f>
        <v>152652.13</v>
      </c>
      <c r="G27" s="422"/>
      <c r="I27" s="214"/>
    </row>
    <row r="28" spans="1:9" x14ac:dyDescent="0.2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378</v>
      </c>
      <c r="B35" s="423">
        <f>IF(AND(Covg01="",Covg02="",Covg03="",Covg04="",Covg05="",Covg06="",Covg07="",Covg08="",Covg09="",Covg10=""),"",$B19/$F35)</f>
        <v>1298.9717094218972</v>
      </c>
      <c r="C35" s="260">
        <f ca="1">IF(AND(Covg01="",Covg02="",Covg03="",Covg04="",Covg05="",Covg06="",Covg07="",Covg08="",Covg09="",Covg10=""),"",$C19/$F35)</f>
        <v>1213.618947713964</v>
      </c>
      <c r="D35" s="260">
        <f ca="1">IF(AND(Covg01="",Covg02="",Covg03="",Covg04="",Covg05="",Covg06="",Covg07="",Covg08="",Covg09="",Covg10=""),"",$D19/$F35)</f>
        <v>1661.1703262169149</v>
      </c>
      <c r="E35" s="261">
        <f>IF(AND(Covg01="",Covg02="",Covg03="",Covg04="",Covg05="",Covg06="",Covg07="",Covg08="",Covg09="",Covg10=""),"",$H19/$F35)</f>
        <v>1558.8493041816896</v>
      </c>
      <c r="F35" s="518">
        <f>IF(ISBLANK($C$21),"",$C$21)</f>
        <v>1898347.3199999998</v>
      </c>
      <c r="I35" s="435"/>
    </row>
    <row r="36" spans="1:9" ht="30" customHeight="1" thickBot="1" x14ac:dyDescent="0.3">
      <c r="I36" s="214"/>
    </row>
    <row r="37" spans="1:9" ht="45.75" thickBot="1" x14ac:dyDescent="0.3">
      <c r="A37" s="244" t="s">
        <v>634</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Non-Tenant Homeowners</v>
      </c>
      <c r="B38" s="251">
        <f>$B9</f>
        <v>2262527846.5360608</v>
      </c>
      <c r="C38" s="118">
        <f>IF(Covg01="","",IF(New_Program=TRUE,'7.1Rate Change Calculation'!$H$49+'7.1Rate Change Calculation'!$H$50,'7.1Rate Change Calculation'!$G$49+'7.1Rate Change Calculation'!$G$50))</f>
        <v>1857191130.0252256</v>
      </c>
      <c r="D38" s="252">
        <f>IF(Covg01="","",C38/B38)</f>
        <v>0.82084785514069702</v>
      </c>
      <c r="H38" s="57"/>
      <c r="I38" s="214"/>
    </row>
    <row r="39" spans="1:9" x14ac:dyDescent="0.25">
      <c r="A39" s="515" t="str">
        <f>IF(Covg02="","",Covg02)</f>
        <v>Renters</v>
      </c>
      <c r="B39" s="251">
        <f t="shared" ref="B39:B47" si="0">$B10</f>
        <v>89710899.496831939</v>
      </c>
      <c r="C39" s="118">
        <f>IF(Covg02="","",IF(New_Program=TRUE,'7.2Rate Change Calculation'!$H$49+'7.2Rate Change Calculation'!$H$50,'7.2Rate Change Calculation'!$G$49+'7.2Rate Change Calculation'!$G$50))</f>
        <v>58277416.961331792</v>
      </c>
      <c r="D39" s="252">
        <f>IF(Covg02="","",C39/B39)</f>
        <v>0.64961356187705832</v>
      </c>
      <c r="H39" s="57"/>
      <c r="I39" s="214"/>
    </row>
    <row r="40" spans="1:9" x14ac:dyDescent="0.25">
      <c r="A40" s="515" t="str">
        <f>IF(Covg03="","",Covg03)</f>
        <v>Condominium Unitowners</v>
      </c>
      <c r="B40" s="251">
        <f t="shared" si="0"/>
        <v>113660717.30398443</v>
      </c>
      <c r="C40" s="118">
        <f>IF(Covg03="","",IF(New_Program=TRUE,'7.3Rate Change Calculation'!$H$49+'7.3Rate Change Calculation'!$H$50,'7.3Rate Change Calculation'!$G$49+'7.3Rate Change Calculation'!$G$50))</f>
        <v>90327754.165199071</v>
      </c>
      <c r="D40" s="252">
        <f>IF(Covg03="","",C40/B40)</f>
        <v>0.79471391970559546</v>
      </c>
      <c r="H40" s="57"/>
      <c r="I40" s="214"/>
    </row>
    <row r="41" spans="1:9" x14ac:dyDescent="0.2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378</v>
      </c>
      <c r="B48" s="262">
        <f>IF(AND(Covg01="",Covg02="",Covg03="",Covg04="",Covg05="",Covg06="",Covg07="",Covg08="",Covg09="",Covg10=""),"",SUM(B38:B47))</f>
        <v>2465899463.3368773</v>
      </c>
      <c r="C48" s="263">
        <f>IF(AND(Covg01="",Covg02="",Covg03="",Covg04="",Covg05="",Covg06="",Covg07="",Covg08="",Covg09="",Covg10=""),"",SUM(C38:C47))</f>
        <v>2005796301.1517565</v>
      </c>
      <c r="D48" s="397">
        <f>IF(AND(Covg01="",Covg02="",Covg03="",Covg04="",Covg05="",Covg06="",Covg07="",Covg08="",Covg09="",Covg10=""),"",C48/B48)</f>
        <v>0.81341365735872095</v>
      </c>
      <c r="I48" s="401"/>
    </row>
  </sheetData>
  <sheetProtection algorithmName="SHA-512" hashValue="qsZSkU1t5kA+fxryiNOTvIvjPI14epxaCwvKWnFPs0d6gkMRwl4iRU22bNCKHFXJ4k5y5gZaH3M8UMYxTjXyfw==" saltValue="ahJgHVPAf0X4RZlha99lQA=="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&amp;L1/3/2023 Edition
&amp;CPrior Approval Rate Template
Portions of the material contained in this document are protected by copyright owned by the State Farm Mutual Automobile Insurance Company, 2023&amp;RPage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election activeCell="C8" sqref="C8"/>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31</v>
      </c>
      <c r="D1" s="109" t="s">
        <v>33</v>
      </c>
      <c r="G1" s="110" t="str">
        <f>Co_Name</f>
        <v>State Farm General Insurance Company</v>
      </c>
      <c r="H1" s="110"/>
    </row>
    <row r="2" spans="1:8" x14ac:dyDescent="0.25">
      <c r="A2" s="7" t="s">
        <v>32</v>
      </c>
      <c r="D2" s="109" t="s">
        <v>34</v>
      </c>
      <c r="G2" s="110" t="str">
        <f>General_Line</f>
        <v>Homeowners Multiple Peril</v>
      </c>
      <c r="H2" s="110"/>
    </row>
    <row r="3" spans="1:8" x14ac:dyDescent="0.25">
      <c r="B3" s="158"/>
      <c r="D3" s="154" t="s">
        <v>142</v>
      </c>
      <c r="E3" s="77"/>
      <c r="F3" s="77"/>
      <c r="G3" s="249" t="str">
        <f>CDI_FileNo</f>
        <v/>
      </c>
      <c r="H3" s="249"/>
    </row>
    <row r="4" spans="1:8" ht="18" customHeight="1" x14ac:dyDescent="0.25">
      <c r="A4" s="6"/>
    </row>
    <row r="5" spans="1:8" ht="23.25" x14ac:dyDescent="0.25">
      <c r="A5" s="4" t="s">
        <v>417</v>
      </c>
      <c r="B5" s="3"/>
      <c r="C5" s="3"/>
      <c r="D5" s="3"/>
      <c r="E5" s="3"/>
      <c r="F5" s="3"/>
      <c r="G5" s="3"/>
      <c r="H5" s="3"/>
    </row>
    <row r="6" spans="1:8" ht="15.75" thickBot="1" x14ac:dyDescent="0.3"/>
    <row r="7" spans="1:8" ht="30" customHeight="1" x14ac:dyDescent="0.25">
      <c r="A7" s="286"/>
      <c r="B7" s="287"/>
      <c r="C7" s="460" t="s">
        <v>418</v>
      </c>
      <c r="D7" s="461" t="s">
        <v>419</v>
      </c>
      <c r="E7" s="461"/>
      <c r="F7" s="461" t="s">
        <v>420</v>
      </c>
      <c r="G7" s="461"/>
      <c r="H7" s="547" t="s">
        <v>722</v>
      </c>
    </row>
    <row r="8" spans="1:8" ht="30" customHeight="1" thickBot="1" x14ac:dyDescent="0.3">
      <c r="A8" s="464" t="s">
        <v>59</v>
      </c>
      <c r="B8" s="469" t="s">
        <v>64</v>
      </c>
      <c r="C8" s="470" t="s">
        <v>421</v>
      </c>
      <c r="D8" s="471" t="s">
        <v>422</v>
      </c>
      <c r="E8" s="470" t="s">
        <v>423</v>
      </c>
      <c r="F8" s="471" t="s">
        <v>424</v>
      </c>
      <c r="G8" s="471" t="s">
        <v>425</v>
      </c>
      <c r="H8" s="548" t="s">
        <v>723</v>
      </c>
    </row>
    <row r="9" spans="1:8" ht="30" customHeight="1" x14ac:dyDescent="0.25">
      <c r="A9" s="465">
        <v>1.7</v>
      </c>
      <c r="B9" s="466" t="s">
        <v>426</v>
      </c>
      <c r="C9" s="467">
        <v>156563881</v>
      </c>
      <c r="D9" s="468">
        <v>515200617</v>
      </c>
      <c r="E9" s="468">
        <v>206418888</v>
      </c>
      <c r="F9" s="468">
        <v>23536500</v>
      </c>
      <c r="G9" s="468">
        <v>507627</v>
      </c>
      <c r="H9" s="551"/>
    </row>
    <row r="10" spans="1:8" ht="30" customHeight="1" x14ac:dyDescent="0.25">
      <c r="A10" s="289">
        <v>2.7</v>
      </c>
      <c r="B10" s="283" t="s">
        <v>427</v>
      </c>
      <c r="C10" s="438">
        <v>0</v>
      </c>
      <c r="D10" s="439">
        <v>2995476</v>
      </c>
      <c r="E10" s="439">
        <v>18964182</v>
      </c>
      <c r="F10" s="439">
        <v>0</v>
      </c>
      <c r="G10" s="439">
        <v>0</v>
      </c>
      <c r="H10" s="552"/>
    </row>
    <row r="11" spans="1:8" ht="30" customHeight="1" x14ac:dyDescent="0.25">
      <c r="A11" s="289">
        <v>3.7</v>
      </c>
      <c r="B11" s="284" t="s">
        <v>428</v>
      </c>
      <c r="C11" s="438">
        <v>26124026</v>
      </c>
      <c r="D11" s="439">
        <v>148519932</v>
      </c>
      <c r="E11" s="439">
        <v>17583824</v>
      </c>
      <c r="F11" s="439">
        <v>22370000</v>
      </c>
      <c r="G11" s="439">
        <v>0</v>
      </c>
      <c r="H11" s="552"/>
    </row>
    <row r="12" spans="1:8" ht="30" customHeight="1" x14ac:dyDescent="0.25">
      <c r="A12" s="289">
        <v>4.7</v>
      </c>
      <c r="B12" s="284" t="s">
        <v>429</v>
      </c>
      <c r="C12" s="438">
        <v>159013439</v>
      </c>
      <c r="D12" s="439">
        <v>898081754</v>
      </c>
      <c r="E12" s="439">
        <v>313798397</v>
      </c>
      <c r="F12" s="439">
        <v>72013685</v>
      </c>
      <c r="G12" s="439">
        <v>0</v>
      </c>
      <c r="H12" s="552"/>
    </row>
    <row r="13" spans="1:8" ht="30" customHeight="1" x14ac:dyDescent="0.25">
      <c r="A13" s="289">
        <v>5.7</v>
      </c>
      <c r="B13" s="284" t="s">
        <v>430</v>
      </c>
      <c r="C13" s="438">
        <v>144618480</v>
      </c>
      <c r="D13" s="439">
        <v>810958126</v>
      </c>
      <c r="E13" s="439">
        <v>597935672</v>
      </c>
      <c r="F13" s="439">
        <v>36734719</v>
      </c>
      <c r="G13" s="439">
        <v>0</v>
      </c>
      <c r="H13" s="552"/>
    </row>
    <row r="14" spans="1:8" ht="30" customHeight="1" x14ac:dyDescent="0.25">
      <c r="A14" s="289">
        <v>6.7</v>
      </c>
      <c r="B14" s="284" t="s">
        <v>431</v>
      </c>
      <c r="C14" s="438">
        <v>98755081</v>
      </c>
      <c r="D14" s="439">
        <v>564950148</v>
      </c>
      <c r="E14" s="439">
        <v>1127610354</v>
      </c>
      <c r="F14" s="439">
        <v>30480332</v>
      </c>
      <c r="G14" s="439">
        <v>0</v>
      </c>
      <c r="H14" s="552"/>
    </row>
    <row r="15" spans="1:8" ht="30" customHeight="1" x14ac:dyDescent="0.25">
      <c r="A15" s="289">
        <v>7.7</v>
      </c>
      <c r="B15" s="284" t="s">
        <v>698</v>
      </c>
      <c r="C15" s="438">
        <v>0</v>
      </c>
      <c r="D15" s="439">
        <v>0</v>
      </c>
      <c r="E15" s="439">
        <v>0</v>
      </c>
      <c r="F15" s="439">
        <v>0</v>
      </c>
      <c r="G15" s="439">
        <v>0</v>
      </c>
      <c r="H15" s="552"/>
    </row>
    <row r="16" spans="1:8" ht="30" customHeight="1" x14ac:dyDescent="0.25">
      <c r="A16" s="289">
        <v>8.6999999999999993</v>
      </c>
      <c r="B16" s="284" t="s">
        <v>432</v>
      </c>
      <c r="C16" s="438">
        <v>0</v>
      </c>
      <c r="D16" s="439">
        <v>0</v>
      </c>
      <c r="E16" s="439">
        <v>0</v>
      </c>
      <c r="F16" s="439">
        <v>0</v>
      </c>
      <c r="G16" s="439">
        <v>0</v>
      </c>
      <c r="H16" s="552"/>
    </row>
    <row r="17" spans="1:8" ht="30" customHeight="1" thickBot="1" x14ac:dyDescent="0.3">
      <c r="A17" s="464">
        <v>9.6999999999999993</v>
      </c>
      <c r="B17" s="314" t="s">
        <v>726</v>
      </c>
      <c r="C17" s="549"/>
      <c r="D17" s="550"/>
      <c r="E17" s="550"/>
      <c r="F17" s="550"/>
      <c r="G17" s="550"/>
      <c r="H17" s="546"/>
    </row>
    <row r="18" spans="1:8" ht="15" customHeight="1" x14ac:dyDescent="0.25">
      <c r="A18" s="13" t="s">
        <v>120</v>
      </c>
      <c r="B18" s="285"/>
      <c r="C18" s="37"/>
      <c r="D18" s="37"/>
      <c r="E18" s="37"/>
      <c r="F18" s="37"/>
      <c r="G18" s="37"/>
      <c r="H18" s="37"/>
    </row>
    <row r="19" spans="1:8" ht="15" customHeight="1" x14ac:dyDescent="0.25">
      <c r="A19" s="6" t="s">
        <v>703</v>
      </c>
      <c r="B19" s="285"/>
      <c r="C19" s="37"/>
      <c r="D19" s="37"/>
      <c r="E19" s="37"/>
      <c r="F19" s="37"/>
      <c r="G19" s="37"/>
      <c r="H19" s="37"/>
    </row>
    <row r="20" spans="1:8" ht="30" customHeight="1" thickBot="1" x14ac:dyDescent="0.3"/>
    <row r="21" spans="1:8" ht="30" customHeight="1" x14ac:dyDescent="0.25">
      <c r="A21" s="286"/>
      <c r="B21" s="287"/>
      <c r="C21" s="460" t="s">
        <v>418</v>
      </c>
      <c r="D21" s="461" t="s">
        <v>419</v>
      </c>
      <c r="E21" s="461"/>
      <c r="F21" s="461" t="s">
        <v>420</v>
      </c>
      <c r="G21" s="462"/>
    </row>
    <row r="22" spans="1:8" ht="30" customHeight="1" thickBot="1" x14ac:dyDescent="0.3">
      <c r="A22" s="477"/>
      <c r="B22" s="36"/>
      <c r="C22" s="470" t="s">
        <v>421</v>
      </c>
      <c r="D22" s="478" t="s">
        <v>433</v>
      </c>
      <c r="E22" s="478"/>
      <c r="F22" s="478" t="s">
        <v>434</v>
      </c>
      <c r="G22" s="479"/>
    </row>
    <row r="23" spans="1:8" ht="45" customHeight="1" x14ac:dyDescent="0.25">
      <c r="A23" s="309" t="s">
        <v>163</v>
      </c>
      <c r="B23" s="475" t="s">
        <v>435</v>
      </c>
      <c r="C23" s="476">
        <f>SUM(C9:C10)</f>
        <v>156563881</v>
      </c>
      <c r="D23" s="627">
        <f>SUM(D9:E10)</f>
        <v>743579163</v>
      </c>
      <c r="E23" s="628"/>
      <c r="F23" s="629">
        <f>SUM(F9:G10)</f>
        <v>24044127</v>
      </c>
      <c r="G23" s="630"/>
    </row>
    <row r="24" spans="1:8" ht="45" customHeight="1" x14ac:dyDescent="0.25">
      <c r="A24" s="291" t="s">
        <v>164</v>
      </c>
      <c r="B24" s="281" t="s">
        <v>725</v>
      </c>
      <c r="C24" s="18">
        <f>SUM(C14:C16)+C13/2</f>
        <v>171064321</v>
      </c>
      <c r="D24" s="631">
        <f>SUM(D14:E16)+SUM(D13:E13)/2</f>
        <v>2397007401</v>
      </c>
      <c r="E24" s="632"/>
      <c r="F24" s="631">
        <f>H17+SUM(F14:G16)+SUM(F13:G13)/2</f>
        <v>48847691.5</v>
      </c>
      <c r="G24" s="633"/>
    </row>
    <row r="25" spans="1:8" ht="45" customHeight="1" thickBot="1" x14ac:dyDescent="0.3">
      <c r="A25" s="313" t="s">
        <v>436</v>
      </c>
      <c r="B25" s="473" t="s">
        <v>437</v>
      </c>
      <c r="C25" s="474">
        <f>SUM(C11:C12)+C13/2</f>
        <v>257446705</v>
      </c>
      <c r="D25" s="634">
        <f>SUM(D11:E12)+SUM(D13:E13)/2</f>
        <v>2082430806</v>
      </c>
      <c r="E25" s="635"/>
      <c r="F25" s="634">
        <f>SUM(F11:G12)+SUM(F13:G13)/2</f>
        <v>112751044.5</v>
      </c>
      <c r="G25" s="636"/>
    </row>
    <row r="26" spans="1:8" x14ac:dyDescent="0.25">
      <c r="A26" s="480" t="s">
        <v>701</v>
      </c>
    </row>
    <row r="27" spans="1:8" x14ac:dyDescent="0.25">
      <c r="A27" s="481" t="s">
        <v>700</v>
      </c>
    </row>
    <row r="28" spans="1:8" x14ac:dyDescent="0.25">
      <c r="A28" s="481" t="s">
        <v>699</v>
      </c>
    </row>
    <row r="29" spans="1:8" ht="17.25" x14ac:dyDescent="0.25">
      <c r="A29" s="319" t="s">
        <v>724</v>
      </c>
    </row>
  </sheetData>
  <sheetProtection algorithmName="SHA-512" hashValue="ynT6KXSep1i4qjj63YgoPmg49ZpVEvnvbBHVlGiccq2dAxQ0M07etdBhH21ywg5l/TsUcVQpxEp09fJK7irBhA==" saltValue="NdUqcBwFtVjgpD89nfHtM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&amp;L1/3/2023 Edition
&amp;CPrior Approval Rate Template
Portions of the material contained in this document are protected by copyright owned by the State Farm Mutual Automobile Insurance Company, 2023&amp;RPage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topLeftCell="A19" zoomScaleNormal="100" zoomScaleSheetLayoutView="100" workbookViewId="0">
      <selection activeCell="C8" sqref="C8"/>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31</v>
      </c>
      <c r="D1" s="109" t="s">
        <v>33</v>
      </c>
      <c r="G1" s="110" t="str">
        <f>Co_Name</f>
        <v>State Farm General Insurance Company</v>
      </c>
      <c r="H1" s="74" t="s">
        <v>663</v>
      </c>
    </row>
    <row r="2" spans="1:8" x14ac:dyDescent="0.25">
      <c r="A2" s="7" t="s">
        <v>32</v>
      </c>
      <c r="D2" s="109" t="s">
        <v>34</v>
      </c>
      <c r="G2" s="110" t="str">
        <f>General_Line</f>
        <v>Homeowners Multiple Peril</v>
      </c>
      <c r="H2" s="176" t="s">
        <v>113</v>
      </c>
    </row>
    <row r="3" spans="1:8" x14ac:dyDescent="0.25">
      <c r="B3" s="158"/>
      <c r="D3" s="154" t="s">
        <v>142</v>
      </c>
      <c r="E3" s="77"/>
      <c r="F3" s="77"/>
      <c r="G3" s="249" t="str">
        <f>CDI_FileNo</f>
        <v/>
      </c>
      <c r="H3" s="214"/>
    </row>
    <row r="4" spans="1:8" ht="18" customHeight="1" x14ac:dyDescent="0.25">
      <c r="A4" s="6"/>
      <c r="H4" s="214"/>
    </row>
    <row r="5" spans="1:8" ht="23.25" x14ac:dyDescent="0.25">
      <c r="A5" s="4" t="s">
        <v>417</v>
      </c>
      <c r="B5" s="3"/>
      <c r="C5" s="3"/>
      <c r="D5" s="3"/>
      <c r="E5" s="3"/>
      <c r="F5" s="3"/>
      <c r="G5" s="3"/>
      <c r="H5" s="214"/>
    </row>
    <row r="6" spans="1:8" ht="19.5" thickBot="1" x14ac:dyDescent="0.35">
      <c r="A6" s="428" t="s">
        <v>633</v>
      </c>
      <c r="B6" s="428"/>
      <c r="C6" s="428"/>
      <c r="D6" s="428"/>
      <c r="E6" s="428"/>
      <c r="F6" s="428"/>
      <c r="G6" s="428"/>
      <c r="H6" s="214"/>
    </row>
    <row r="7" spans="1:8" ht="32.25" x14ac:dyDescent="0.25">
      <c r="A7" s="286"/>
      <c r="B7" s="287"/>
      <c r="C7" s="288" t="s">
        <v>438</v>
      </c>
      <c r="D7" s="288" t="s">
        <v>439</v>
      </c>
      <c r="E7" s="288" t="s">
        <v>440</v>
      </c>
      <c r="F7" s="288" t="s">
        <v>441</v>
      </c>
      <c r="G7" s="580" t="s">
        <v>442</v>
      </c>
      <c r="H7" s="214"/>
    </row>
    <row r="8" spans="1:8" ht="18" customHeight="1" x14ac:dyDescent="0.25">
      <c r="A8" s="289"/>
      <c r="B8" s="281"/>
      <c r="C8" s="290" t="s">
        <v>443</v>
      </c>
      <c r="D8" s="290" t="s">
        <v>444</v>
      </c>
      <c r="E8" s="290" t="s">
        <v>445</v>
      </c>
      <c r="F8" s="290" t="s">
        <v>446</v>
      </c>
      <c r="G8" s="581" t="s">
        <v>447</v>
      </c>
      <c r="H8" s="214"/>
    </row>
    <row r="9" spans="1:8" ht="18" customHeight="1" x14ac:dyDescent="0.25">
      <c r="A9" s="291" t="s">
        <v>163</v>
      </c>
      <c r="B9" s="282" t="s">
        <v>448</v>
      </c>
      <c r="C9" s="73"/>
      <c r="D9" s="292"/>
      <c r="E9" s="73"/>
      <c r="F9" s="293"/>
      <c r="G9" s="582"/>
      <c r="H9" s="214"/>
    </row>
    <row r="10" spans="1:8" ht="18" customHeight="1" x14ac:dyDescent="0.25">
      <c r="A10" s="291"/>
      <c r="B10" s="294" t="s">
        <v>449</v>
      </c>
      <c r="C10" s="73">
        <f>'3.1YieldFIT'!C23</f>
        <v>156563881</v>
      </c>
      <c r="D10" s="590">
        <v>4.1833333333333333E-2</v>
      </c>
      <c r="E10" s="73">
        <f>C10*D10</f>
        <v>6549589.0218333332</v>
      </c>
      <c r="F10" s="293">
        <f>INDEX(INV_TAX_RATE,COUNTA($B$9:$B10)+1,1)</f>
        <v>0.21</v>
      </c>
      <c r="G10" s="302">
        <f>E10*F10</f>
        <v>1375413.6945849999</v>
      </c>
      <c r="H10" s="214"/>
    </row>
    <row r="11" spans="1:8" ht="18" customHeight="1" x14ac:dyDescent="0.25">
      <c r="A11" s="291"/>
      <c r="B11" s="294" t="s">
        <v>450</v>
      </c>
      <c r="C11" s="73">
        <f>'3.1YieldFIT'!D23</f>
        <v>743579163</v>
      </c>
      <c r="D11" s="590">
        <v>3.8300000000000001E-2</v>
      </c>
      <c r="E11" s="73">
        <f>C11*D11</f>
        <v>28479081.942900002</v>
      </c>
      <c r="F11" s="293">
        <f>INDEX(INV_TAX_RATE,COUNTA($B$9:$B11)+1,1)</f>
        <v>0.21</v>
      </c>
      <c r="G11" s="302">
        <f>E11*F11</f>
        <v>5980607.2080089999</v>
      </c>
      <c r="H11" s="214"/>
    </row>
    <row r="12" spans="1:8" ht="18" customHeight="1" x14ac:dyDescent="0.25">
      <c r="A12" s="291"/>
      <c r="B12" s="294" t="s">
        <v>451</v>
      </c>
      <c r="C12" s="73">
        <f>'3.1YieldFIT'!F23</f>
        <v>24044127</v>
      </c>
      <c r="D12" s="590">
        <v>4.123333333333333E-2</v>
      </c>
      <c r="E12" s="73">
        <f>C12*D12</f>
        <v>991419.50329999998</v>
      </c>
      <c r="F12" s="293">
        <f>INDEX(INV_TAX_RATE,COUNTA($B$9:$B12)+1,1)</f>
        <v>0.21</v>
      </c>
      <c r="G12" s="302">
        <f>E12*F12</f>
        <v>208198.09569299998</v>
      </c>
      <c r="H12" s="214"/>
    </row>
    <row r="13" spans="1:8" ht="18" customHeight="1" x14ac:dyDescent="0.25">
      <c r="A13" s="291" t="s">
        <v>164</v>
      </c>
      <c r="B13" s="283" t="s">
        <v>452</v>
      </c>
      <c r="C13" s="73"/>
      <c r="D13" s="591"/>
      <c r="E13" s="73"/>
      <c r="F13" s="293"/>
      <c r="G13" s="582"/>
      <c r="H13" s="214"/>
    </row>
    <row r="14" spans="1:8" ht="18" customHeight="1" x14ac:dyDescent="0.25">
      <c r="A14" s="291"/>
      <c r="B14" s="294" t="s">
        <v>449</v>
      </c>
      <c r="C14" s="73">
        <f>'3.1YieldFIT'!C24</f>
        <v>171064321</v>
      </c>
      <c r="D14" s="590">
        <v>4.2733333333333338E-2</v>
      </c>
      <c r="E14" s="73">
        <f>C14*D14</f>
        <v>7310148.650733334</v>
      </c>
      <c r="F14" s="293">
        <f>INDEX(INV_TAX_RATE,COUNTA($B$9:$B14)+1,1)</f>
        <v>0.21</v>
      </c>
      <c r="G14" s="302">
        <f>E14*F14</f>
        <v>1535131.2166540001</v>
      </c>
      <c r="H14" s="214"/>
    </row>
    <row r="15" spans="1:8" ht="18" customHeight="1" x14ac:dyDescent="0.25">
      <c r="A15" s="291"/>
      <c r="B15" s="294" t="s">
        <v>450</v>
      </c>
      <c r="C15" s="73">
        <f>'3.1YieldFIT'!D24</f>
        <v>2397007401</v>
      </c>
      <c r="D15" s="590">
        <v>4.8223849206349208E-2</v>
      </c>
      <c r="E15" s="73">
        <f>C15*D15</f>
        <v>115592923.45232703</v>
      </c>
      <c r="F15" s="293">
        <f>INDEX(INV_TAX_RATE,COUNTA($B$9:$B15)+1,1)</f>
        <v>0.21</v>
      </c>
      <c r="G15" s="302">
        <f>E15*F15</f>
        <v>24274513.924988676</v>
      </c>
      <c r="H15" s="214"/>
    </row>
    <row r="16" spans="1:8" ht="18" customHeight="1" x14ac:dyDescent="0.25">
      <c r="A16" s="291"/>
      <c r="B16" s="294" t="s">
        <v>451</v>
      </c>
      <c r="C16" s="73">
        <f>'3.1YieldFIT'!F24</f>
        <v>48847691.5</v>
      </c>
      <c r="D16" s="590">
        <v>5.2276746031746028E-2</v>
      </c>
      <c r="E16" s="73">
        <f>C16*D16</f>
        <v>2553598.3627825794</v>
      </c>
      <c r="F16" s="293">
        <f>INDEX(INV_TAX_RATE,COUNTA($B$9:$B16)+1,1)</f>
        <v>0.21</v>
      </c>
      <c r="G16" s="302">
        <f>E16*F16</f>
        <v>536255.65618434164</v>
      </c>
      <c r="H16" s="214"/>
    </row>
    <row r="17" spans="1:8" ht="18" customHeight="1" x14ac:dyDescent="0.25">
      <c r="A17" s="291" t="s">
        <v>436</v>
      </c>
      <c r="B17" s="284" t="s">
        <v>453</v>
      </c>
      <c r="C17" s="73"/>
      <c r="D17" s="591"/>
      <c r="E17" s="73"/>
      <c r="F17" s="293"/>
      <c r="G17" s="583"/>
      <c r="H17" s="214"/>
    </row>
    <row r="18" spans="1:8" ht="18" customHeight="1" x14ac:dyDescent="0.25">
      <c r="A18" s="291"/>
      <c r="B18" s="294" t="s">
        <v>449</v>
      </c>
      <c r="C18" s="73">
        <f>'3.1YieldFIT'!C25</f>
        <v>257446705</v>
      </c>
      <c r="D18" s="590">
        <v>3.3759333333333336E-2</v>
      </c>
      <c r="E18" s="73">
        <f>C18*D18</f>
        <v>8691229.1296633333</v>
      </c>
      <c r="F18" s="293">
        <f>INDEX(INV_TAX_RATE,COUNTA($B$9:$B18)+1,1)</f>
        <v>5.2499999999999998E-2</v>
      </c>
      <c r="G18" s="302">
        <f>E18*F18</f>
        <v>456289.52930732496</v>
      </c>
      <c r="H18" s="214"/>
    </row>
    <row r="19" spans="1:8" ht="18" customHeight="1" x14ac:dyDescent="0.25">
      <c r="A19" s="291"/>
      <c r="B19" s="294" t="s">
        <v>450</v>
      </c>
      <c r="C19" s="73">
        <f>'3.1YieldFIT'!D25</f>
        <v>2082430806</v>
      </c>
      <c r="D19" s="590">
        <v>3.516684523809524E-2</v>
      </c>
      <c r="E19" s="73">
        <f>C19*D19</f>
        <v>73232521.873643935</v>
      </c>
      <c r="F19" s="293">
        <f>INDEX(INV_TAX_RATE,COUNTA($B$9:$B19)+1,1)</f>
        <v>5.2499999999999998E-2</v>
      </c>
      <c r="G19" s="302">
        <f>E19*F19</f>
        <v>3844707.3983663064</v>
      </c>
      <c r="H19" s="214"/>
    </row>
    <row r="20" spans="1:8" ht="18" customHeight="1" x14ac:dyDescent="0.25">
      <c r="A20" s="291"/>
      <c r="B20" s="294" t="s">
        <v>451</v>
      </c>
      <c r="C20" s="441">
        <f>'3.1YieldFIT'!F25</f>
        <v>112751044.5</v>
      </c>
      <c r="D20" s="590">
        <v>4.3448928571428569E-2</v>
      </c>
      <c r="E20" s="73">
        <f>C20*D20</f>
        <v>4898912.0788344638</v>
      </c>
      <c r="F20" s="293">
        <f>INDEX(INV_TAX_RATE,COUNTA($B$9:$B20)+1,1)</f>
        <v>5.2499999999999998E-2</v>
      </c>
      <c r="G20" s="302">
        <f>E20*F20</f>
        <v>257192.88413880934</v>
      </c>
      <c r="H20" s="214"/>
    </row>
    <row r="21" spans="1:8" ht="18" customHeight="1" x14ac:dyDescent="0.25">
      <c r="A21" s="291" t="s">
        <v>454</v>
      </c>
      <c r="B21" s="443" t="s">
        <v>455</v>
      </c>
      <c r="C21" s="112">
        <v>0</v>
      </c>
      <c r="D21" s="592"/>
      <c r="E21" s="73"/>
      <c r="F21" s="293"/>
      <c r="G21" s="583"/>
      <c r="H21" s="399"/>
    </row>
    <row r="22" spans="1:8" ht="18" customHeight="1" x14ac:dyDescent="0.25">
      <c r="A22" s="291"/>
      <c r="B22" s="294" t="s">
        <v>456</v>
      </c>
      <c r="C22" s="442"/>
      <c r="D22" s="590">
        <v>2.1459999999999996E-2</v>
      </c>
      <c r="E22" s="73">
        <f>C21*D22</f>
        <v>0</v>
      </c>
      <c r="F22" s="293">
        <f>INDEX(INV_TAX_RATE,COUNTA($B$9:$B22)+1,1)</f>
        <v>0.13125000000000001</v>
      </c>
      <c r="G22" s="302">
        <f t="shared" ref="G22:G27" si="0">E22*F22</f>
        <v>0</v>
      </c>
      <c r="H22" s="214"/>
    </row>
    <row r="23" spans="1:8" ht="18" customHeight="1" x14ac:dyDescent="0.25">
      <c r="A23" s="291"/>
      <c r="B23" s="294" t="s">
        <v>457</v>
      </c>
      <c r="C23" s="73"/>
      <c r="D23" s="590">
        <v>9.7940000000000013E-2</v>
      </c>
      <c r="E23" s="73">
        <f>C21*D23</f>
        <v>0</v>
      </c>
      <c r="F23" s="293">
        <f>INDEX(INV_TAX_RATE,COUNTA($B$9:$B23)+1,1)</f>
        <v>0.21</v>
      </c>
      <c r="G23" s="302">
        <f t="shared" si="0"/>
        <v>0</v>
      </c>
      <c r="H23" s="214"/>
    </row>
    <row r="24" spans="1:8" ht="18" customHeight="1" x14ac:dyDescent="0.25">
      <c r="A24" s="291" t="s">
        <v>458</v>
      </c>
      <c r="B24" s="284" t="s">
        <v>459</v>
      </c>
      <c r="C24" s="112">
        <v>0</v>
      </c>
      <c r="D24" s="590">
        <v>5.475767195767197E-2</v>
      </c>
      <c r="E24" s="73">
        <f t="shared" ref="E24:E27" si="1">C24*D24</f>
        <v>0</v>
      </c>
      <c r="F24" s="293">
        <f>INDEX(INV_TAX_RATE,COUNTA($B$9:$B24)+1,1)</f>
        <v>0.13125000000000001</v>
      </c>
      <c r="G24" s="302">
        <f t="shared" si="0"/>
        <v>0</v>
      </c>
      <c r="H24" s="214"/>
    </row>
    <row r="25" spans="1:8" ht="18" customHeight="1" x14ac:dyDescent="0.25">
      <c r="A25" s="291" t="s">
        <v>460</v>
      </c>
      <c r="B25" s="284" t="s">
        <v>461</v>
      </c>
      <c r="C25" s="112">
        <v>0</v>
      </c>
      <c r="D25" s="590">
        <v>5.2276746031746028E-2</v>
      </c>
      <c r="E25" s="73">
        <f t="shared" si="1"/>
        <v>0</v>
      </c>
      <c r="F25" s="293">
        <f>INDEX(INV_TAX_RATE,COUNTA($B$9:$B25)+1,1)</f>
        <v>0.21</v>
      </c>
      <c r="G25" s="302">
        <f t="shared" si="0"/>
        <v>0</v>
      </c>
      <c r="H25" s="214"/>
    </row>
    <row r="26" spans="1:8" ht="18" customHeight="1" x14ac:dyDescent="0.25">
      <c r="A26" s="291" t="s">
        <v>462</v>
      </c>
      <c r="B26" s="284" t="s">
        <v>463</v>
      </c>
      <c r="C26" s="112">
        <v>0</v>
      </c>
      <c r="D26" s="590">
        <v>5.9399999999999994E-2</v>
      </c>
      <c r="E26" s="73">
        <f t="shared" si="1"/>
        <v>0</v>
      </c>
      <c r="F26" s="293">
        <f>INDEX(INV_TAX_RATE,COUNTA($B$9:$B26)+1,1)</f>
        <v>0.21</v>
      </c>
      <c r="G26" s="302">
        <f t="shared" si="0"/>
        <v>0</v>
      </c>
      <c r="H26" s="214"/>
    </row>
    <row r="27" spans="1:8" ht="18" customHeight="1" x14ac:dyDescent="0.25">
      <c r="A27" s="291" t="s">
        <v>464</v>
      </c>
      <c r="B27" s="284" t="s">
        <v>465</v>
      </c>
      <c r="C27" s="112">
        <v>-19710160</v>
      </c>
      <c r="D27" s="590">
        <v>4.1833333333333333E-2</v>
      </c>
      <c r="E27" s="73">
        <f t="shared" si="1"/>
        <v>-824541.69333333336</v>
      </c>
      <c r="F27" s="293">
        <f>INDEX(INV_TAX_RATE,COUNTA($B$9:$B27)+1,1)</f>
        <v>0.21</v>
      </c>
      <c r="G27" s="302">
        <f t="shared" si="0"/>
        <v>-173153.7556</v>
      </c>
      <c r="H27" s="214"/>
    </row>
    <row r="28" spans="1:8" ht="18" customHeight="1" x14ac:dyDescent="0.25">
      <c r="A28" s="291" t="s">
        <v>466</v>
      </c>
      <c r="B28" s="284" t="s">
        <v>467</v>
      </c>
      <c r="C28" s="112">
        <v>0</v>
      </c>
      <c r="D28" s="591"/>
      <c r="E28" s="73"/>
      <c r="F28" s="293"/>
      <c r="G28" s="583"/>
      <c r="H28" s="214"/>
    </row>
    <row r="29" spans="1:8" ht="18" customHeight="1" x14ac:dyDescent="0.25">
      <c r="A29" s="291"/>
      <c r="B29" s="294" t="s">
        <v>456</v>
      </c>
      <c r="C29" s="73"/>
      <c r="D29" s="590">
        <v>2.1459999999999996E-2</v>
      </c>
      <c r="E29" s="73">
        <f>C28*D29</f>
        <v>0</v>
      </c>
      <c r="F29" s="293">
        <f>INDEX(INV_TAX_RATE,COUNTA($B$9:$B29)+1,1)</f>
        <v>0.13125000000000001</v>
      </c>
      <c r="G29" s="302">
        <f>E29*F29</f>
        <v>0</v>
      </c>
      <c r="H29" s="214"/>
    </row>
    <row r="30" spans="1:8" ht="18" customHeight="1" x14ac:dyDescent="0.25">
      <c r="A30" s="291"/>
      <c r="B30" s="294" t="s">
        <v>457</v>
      </c>
      <c r="C30" s="73"/>
      <c r="D30" s="590">
        <v>9.7940000000000013E-2</v>
      </c>
      <c r="E30" s="73">
        <f>C28*D30</f>
        <v>0</v>
      </c>
      <c r="F30" s="293">
        <f>INDEX(INV_TAX_RATE,COUNTA($B$9:$B30)+1,1)</f>
        <v>0.21</v>
      </c>
      <c r="G30" s="302">
        <f>E30*F30</f>
        <v>0</v>
      </c>
      <c r="H30" s="214"/>
    </row>
    <row r="31" spans="1:8" ht="18" customHeight="1" thickBot="1" x14ac:dyDescent="0.3">
      <c r="A31" s="295" t="s">
        <v>468</v>
      </c>
      <c r="B31" s="296" t="s">
        <v>469</v>
      </c>
      <c r="C31" s="297">
        <f>SUM(C9:C30)</f>
        <v>5974024980</v>
      </c>
      <c r="D31" s="298"/>
      <c r="E31" s="297">
        <f>SUM(E9:E30)</f>
        <v>247474882.32268465</v>
      </c>
      <c r="F31" s="299"/>
      <c r="G31" s="305">
        <f>SUM(G9:G30)</f>
        <v>38295155.85232646</v>
      </c>
      <c r="H31" s="214"/>
    </row>
    <row r="32" spans="1:8" ht="18" customHeight="1" thickTop="1" x14ac:dyDescent="0.25">
      <c r="A32" s="291" t="s">
        <v>470</v>
      </c>
      <c r="B32" s="284" t="s">
        <v>471</v>
      </c>
      <c r="C32" s="20"/>
      <c r="D32" s="440"/>
      <c r="E32" s="167">
        <v>3731348</v>
      </c>
      <c r="F32" s="293">
        <f>INDEX(INV_TAX_RATE,COUNTA($B$9:$B32)+1,1)</f>
        <v>0.21</v>
      </c>
      <c r="G32" s="302">
        <f>E32*F32</f>
        <v>783583.08</v>
      </c>
      <c r="H32" s="214"/>
    </row>
    <row r="33" spans="1:8" ht="15.75" thickBot="1" x14ac:dyDescent="0.3">
      <c r="A33" s="291" t="s">
        <v>472</v>
      </c>
      <c r="B33" s="284" t="s">
        <v>473</v>
      </c>
      <c r="C33" s="73">
        <f>C31</f>
        <v>5974024980</v>
      </c>
      <c r="D33" s="300"/>
      <c r="E33" s="442">
        <f>E31-E32</f>
        <v>243743534.32268465</v>
      </c>
      <c r="F33" s="301"/>
      <c r="G33" s="302">
        <f>G31-G32</f>
        <v>37511572.772326462</v>
      </c>
      <c r="H33" s="214"/>
    </row>
    <row r="34" spans="1:8" ht="19.5" thickBot="1" x14ac:dyDescent="0.3">
      <c r="A34" s="291" t="s">
        <v>474</v>
      </c>
      <c r="B34" s="284" t="s">
        <v>475</v>
      </c>
      <c r="C34" s="73"/>
      <c r="D34" s="300"/>
      <c r="E34" s="302"/>
      <c r="F34" s="303">
        <f>G33/E33</f>
        <v>0.15389771415501849</v>
      </c>
      <c r="G34" s="584"/>
      <c r="H34" s="399" t="str">
        <f>IF(ISERROR($F$34),"← ERROR! Correct issues with input of source data on either Page 3.1 or 3.2.","")</f>
        <v/>
      </c>
    </row>
    <row r="35" spans="1:8" ht="30.75" thickBot="1" x14ac:dyDescent="0.3">
      <c r="A35" s="295" t="s">
        <v>476</v>
      </c>
      <c r="B35" s="296" t="s">
        <v>477</v>
      </c>
      <c r="C35" s="297"/>
      <c r="D35" s="304">
        <f>E33/C33</f>
        <v>4.0800554925480854E-2</v>
      </c>
      <c r="E35" s="305"/>
      <c r="F35" s="306"/>
      <c r="G35" s="585"/>
      <c r="H35" s="435"/>
    </row>
    <row r="36" spans="1:8" ht="30.75" thickTop="1" x14ac:dyDescent="0.25">
      <c r="A36" s="307"/>
      <c r="B36" s="308"/>
      <c r="C36" s="308" t="s">
        <v>394</v>
      </c>
      <c r="D36" s="308"/>
      <c r="E36" s="308"/>
      <c r="F36" s="308"/>
      <c r="G36" s="586"/>
      <c r="H36" s="214"/>
    </row>
    <row r="37" spans="1:8" ht="18" customHeight="1" x14ac:dyDescent="0.25">
      <c r="A37" s="309" t="s">
        <v>478</v>
      </c>
      <c r="B37" s="310" t="s">
        <v>479</v>
      </c>
      <c r="C37" s="112">
        <v>1520290407</v>
      </c>
      <c r="D37" s="311"/>
      <c r="E37" s="312"/>
      <c r="F37" s="311"/>
      <c r="G37" s="587"/>
      <c r="H37" s="214"/>
    </row>
    <row r="38" spans="1:8" ht="17.25" x14ac:dyDescent="0.25">
      <c r="A38" s="309" t="s">
        <v>480</v>
      </c>
      <c r="B38" s="310" t="s">
        <v>481</v>
      </c>
      <c r="C38" s="112">
        <v>479223237</v>
      </c>
      <c r="D38" s="311"/>
      <c r="E38" s="312"/>
      <c r="F38" s="311"/>
      <c r="G38" s="587"/>
      <c r="H38" s="214"/>
    </row>
    <row r="39" spans="1:8" ht="17.25" x14ac:dyDescent="0.25">
      <c r="A39" s="309" t="s">
        <v>482</v>
      </c>
      <c r="B39" s="310" t="s">
        <v>483</v>
      </c>
      <c r="C39" s="112">
        <v>1321068935</v>
      </c>
      <c r="D39" s="311"/>
      <c r="E39" s="312"/>
      <c r="F39" s="311"/>
      <c r="G39" s="587"/>
      <c r="H39" s="214"/>
    </row>
    <row r="40" spans="1:8" ht="17.25" x14ac:dyDescent="0.25">
      <c r="A40" s="309" t="s">
        <v>484</v>
      </c>
      <c r="B40" s="310" t="s">
        <v>485</v>
      </c>
      <c r="C40" s="112">
        <v>2300873986</v>
      </c>
      <c r="D40" s="311"/>
      <c r="E40" s="312"/>
      <c r="F40" s="311"/>
      <c r="G40" s="587"/>
      <c r="H40" s="214"/>
    </row>
    <row r="41" spans="1:8" ht="15.75" thickBot="1" x14ac:dyDescent="0.3">
      <c r="A41" s="309" t="s">
        <v>486</v>
      </c>
      <c r="B41" s="310" t="s">
        <v>487</v>
      </c>
      <c r="C41" s="73">
        <f>SUM(C37:C40)</f>
        <v>5621456565</v>
      </c>
      <c r="D41" s="311"/>
      <c r="E41" s="312"/>
      <c r="F41" s="311"/>
      <c r="G41" s="587"/>
      <c r="H41" s="214"/>
    </row>
    <row r="42" spans="1:8" ht="45.75" thickBot="1" x14ac:dyDescent="0.3">
      <c r="A42" s="313" t="s">
        <v>488</v>
      </c>
      <c r="B42" s="314" t="s">
        <v>713</v>
      </c>
      <c r="C42" s="315"/>
      <c r="D42" s="316">
        <f>D35*C33/C41</f>
        <v>4.3359497935155651E-2</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692</v>
      </c>
      <c r="H44" s="214"/>
    </row>
    <row r="45" spans="1:8" x14ac:dyDescent="0.25">
      <c r="A45" s="320" t="s">
        <v>489</v>
      </c>
      <c r="H45" s="214"/>
    </row>
    <row r="46" spans="1:8" x14ac:dyDescent="0.25">
      <c r="A46" s="321" t="s">
        <v>490</v>
      </c>
      <c r="H46" s="214"/>
    </row>
    <row r="47" spans="1:8" ht="17.25" x14ac:dyDescent="0.25">
      <c r="A47" s="322" t="s">
        <v>491</v>
      </c>
      <c r="H47" s="445"/>
    </row>
    <row r="48" spans="1:8" x14ac:dyDescent="0.25">
      <c r="A48" s="323" t="s">
        <v>492</v>
      </c>
      <c r="F48" s="159" t="s">
        <v>493</v>
      </c>
      <c r="G48" s="605" t="s">
        <v>756</v>
      </c>
      <c r="H48" s="445" t="s">
        <v>622</v>
      </c>
    </row>
    <row r="49" spans="1:10" ht="17.25" x14ac:dyDescent="0.25">
      <c r="A49" s="322" t="s">
        <v>494</v>
      </c>
      <c r="H49" s="445" t="s">
        <v>339</v>
      </c>
    </row>
    <row r="50" spans="1:10" ht="17.25" x14ac:dyDescent="0.25">
      <c r="A50" s="319" t="s">
        <v>495</v>
      </c>
      <c r="H50" s="445"/>
    </row>
    <row r="51" spans="1:10" ht="15.75" thickBot="1" x14ac:dyDescent="0.3">
      <c r="A51" s="321" t="s">
        <v>496</v>
      </c>
      <c r="H51" s="589"/>
    </row>
    <row r="52" spans="1:10" x14ac:dyDescent="0.25">
      <c r="H52" s="15"/>
    </row>
    <row r="57" spans="1:10" x14ac:dyDescent="0.25">
      <c r="J57" s="595"/>
    </row>
    <row r="73" spans="9:10" x14ac:dyDescent="0.25">
      <c r="I73" s="594"/>
      <c r="J73" s="594"/>
    </row>
  </sheetData>
  <sheetProtection algorithmName="SHA-512" hashValue="UZDOgBkL4/FGMcL6ujQjbEyIAG8nkmIgLuKN7pu5L0XLbx8cjk/OBTLgwJZ11pHX25gRcAKdQK4iMj99O8icfQ==" saltValue="jtX3nOUUE4YPUYPFZSeBuQ=="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&amp;L1/3/2023 Edition
&amp;CPrior Approval Rate Template
Portions of the material contained in this document are protected by copyright owned by the State Farm Mutual Automobile Insurance Company, 2023&amp;RPage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C8" sqref="C8"/>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31</v>
      </c>
      <c r="B1" s="7"/>
      <c r="D1" s="109" t="s">
        <v>33</v>
      </c>
      <c r="G1" s="110" t="str">
        <f>Co_Name</f>
        <v>State Farm General Insurance Company</v>
      </c>
    </row>
    <row r="2" spans="1:7" x14ac:dyDescent="0.25">
      <c r="A2" s="7" t="s">
        <v>32</v>
      </c>
      <c r="B2" s="7"/>
      <c r="D2" s="109" t="s">
        <v>34</v>
      </c>
      <c r="G2" s="110" t="str">
        <f>General_Line</f>
        <v>Homeowners Multiple Peril</v>
      </c>
    </row>
    <row r="3" spans="1:7" x14ac:dyDescent="0.25">
      <c r="A3" s="6"/>
      <c r="B3" s="156"/>
      <c r="C3" s="6"/>
      <c r="D3" s="154" t="s">
        <v>142</v>
      </c>
      <c r="E3" s="77"/>
      <c r="F3" s="77"/>
      <c r="G3" s="249" t="str">
        <f>CDI_FileNo</f>
        <v/>
      </c>
    </row>
    <row r="4" spans="1:7" ht="18" customHeight="1" x14ac:dyDescent="0.25">
      <c r="A4" s="6"/>
      <c r="B4" s="156"/>
      <c r="C4" s="6"/>
      <c r="D4" s="6"/>
      <c r="E4" s="6"/>
      <c r="F4" s="6"/>
      <c r="G4" s="6"/>
    </row>
    <row r="5" spans="1:7" ht="23.25" x14ac:dyDescent="0.25">
      <c r="A5" s="4" t="s">
        <v>390</v>
      </c>
      <c r="B5" s="4"/>
      <c r="C5" s="5"/>
      <c r="D5" s="5"/>
      <c r="E5" s="5"/>
      <c r="F5" s="5"/>
      <c r="G5" s="5"/>
    </row>
    <row r="6" spans="1:7" ht="23.25" x14ac:dyDescent="0.25">
      <c r="A6" s="4" t="s">
        <v>391</v>
      </c>
      <c r="B6" s="4"/>
      <c r="C6" s="4"/>
      <c r="D6" s="4"/>
      <c r="E6" s="4"/>
      <c r="F6" s="4"/>
      <c r="G6" s="4"/>
    </row>
    <row r="7" spans="1:7" ht="15.75" thickBot="1" x14ac:dyDescent="0.3"/>
    <row r="8" spans="1:7" ht="30" x14ac:dyDescent="0.25">
      <c r="E8" s="501" t="s">
        <v>392</v>
      </c>
      <c r="F8" s="288" t="s">
        <v>393</v>
      </c>
      <c r="G8" s="457" t="s">
        <v>394</v>
      </c>
    </row>
    <row r="9" spans="1:7" x14ac:dyDescent="0.25">
      <c r="D9" s="264"/>
      <c r="E9" s="502">
        <f>F9-1</f>
        <v>2019</v>
      </c>
      <c r="F9" s="459">
        <f>G9-1</f>
        <v>2020</v>
      </c>
      <c r="G9" s="522" t="s">
        <v>757</v>
      </c>
    </row>
    <row r="10" spans="1:7" ht="30" customHeight="1" x14ac:dyDescent="0.25">
      <c r="A10" s="637" t="s">
        <v>497</v>
      </c>
      <c r="B10" s="637"/>
      <c r="C10" s="637"/>
      <c r="D10" s="637"/>
      <c r="E10" s="503">
        <v>64023927173</v>
      </c>
      <c r="F10" s="265">
        <v>64818696796</v>
      </c>
      <c r="G10" s="504">
        <v>66535293970</v>
      </c>
    </row>
    <row r="11" spans="1:7" ht="30" customHeight="1" x14ac:dyDescent="0.25">
      <c r="A11" s="637" t="s">
        <v>498</v>
      </c>
      <c r="B11" s="637"/>
      <c r="C11" s="637"/>
      <c r="D11" s="637"/>
      <c r="E11" s="503">
        <v>1156476046</v>
      </c>
      <c r="F11" s="265">
        <v>1131957699</v>
      </c>
      <c r="G11" s="504">
        <v>1328791390</v>
      </c>
    </row>
    <row r="12" spans="1:7" ht="15.75" thickBot="1" x14ac:dyDescent="0.3">
      <c r="A12" s="6" t="s">
        <v>499</v>
      </c>
      <c r="B12" s="6"/>
      <c r="C12" s="6"/>
      <c r="D12" s="6"/>
      <c r="E12" s="505">
        <f>SUM(E10:E11)</f>
        <v>65180403219</v>
      </c>
      <c r="F12" s="506">
        <f>SUM(F10:F11)</f>
        <v>65950654495</v>
      </c>
      <c r="G12" s="507">
        <f>SUM(G10:G11)</f>
        <v>67864085360</v>
      </c>
    </row>
    <row r="13" spans="1:7" x14ac:dyDescent="0.25">
      <c r="A13" s="266" t="s">
        <v>675</v>
      </c>
      <c r="B13" s="6"/>
      <c r="C13" s="6"/>
      <c r="D13" s="6"/>
    </row>
    <row r="14" spans="1:7" ht="15.75" x14ac:dyDescent="0.25">
      <c r="A14" s="531" t="s">
        <v>717</v>
      </c>
      <c r="B14" s="1"/>
    </row>
    <row r="15" spans="1:7" ht="30" customHeight="1" x14ac:dyDescent="0.25">
      <c r="A15" s="267" t="s">
        <v>395</v>
      </c>
    </row>
    <row r="16" spans="1:7" ht="5.25" customHeight="1" thickBot="1" x14ac:dyDescent="0.3">
      <c r="A16" s="268"/>
    </row>
    <row r="17" spans="1:7" ht="15" customHeight="1" x14ac:dyDescent="0.25">
      <c r="A17" s="493"/>
      <c r="B17" s="461" t="s">
        <v>392</v>
      </c>
      <c r="C17" s="461"/>
      <c r="D17" s="461" t="s">
        <v>393</v>
      </c>
      <c r="E17" s="461"/>
      <c r="F17" s="461" t="s">
        <v>394</v>
      </c>
      <c r="G17" s="462"/>
    </row>
    <row r="18" spans="1:7" ht="15" customHeight="1" x14ac:dyDescent="0.25">
      <c r="A18" s="494"/>
      <c r="B18" s="270">
        <f>E$9</f>
        <v>2019</v>
      </c>
      <c r="C18" s="269"/>
      <c r="D18" s="270">
        <f>F$9</f>
        <v>2020</v>
      </c>
      <c r="E18" s="269"/>
      <c r="F18" s="270" t="str">
        <f>G$9</f>
        <v>2021</v>
      </c>
      <c r="G18" s="472"/>
    </row>
    <row r="19" spans="1:7" ht="15" customHeight="1" x14ac:dyDescent="0.25">
      <c r="A19" s="495"/>
      <c r="B19" s="32" t="s">
        <v>396</v>
      </c>
      <c r="C19" s="32" t="s">
        <v>397</v>
      </c>
      <c r="D19" s="32" t="s">
        <v>396</v>
      </c>
      <c r="E19" s="32" t="s">
        <v>397</v>
      </c>
      <c r="F19" s="32" t="s">
        <v>396</v>
      </c>
      <c r="G19" s="496" t="s">
        <v>397</v>
      </c>
    </row>
    <row r="20" spans="1:7" ht="15" customHeight="1" x14ac:dyDescent="0.25">
      <c r="A20" s="497" t="s">
        <v>398</v>
      </c>
      <c r="B20" s="112">
        <v>1988548.9400000002</v>
      </c>
      <c r="C20" s="112">
        <v>8283342.8799999999</v>
      </c>
      <c r="D20" s="112">
        <v>2184605.62</v>
      </c>
      <c r="E20" s="112">
        <v>18081900</v>
      </c>
      <c r="F20" s="112">
        <v>2130873.84</v>
      </c>
      <c r="G20" s="498">
        <v>22376700</v>
      </c>
    </row>
    <row r="21" spans="1:7" ht="15" customHeight="1" x14ac:dyDescent="0.25">
      <c r="A21" s="497" t="s">
        <v>399</v>
      </c>
      <c r="B21" s="112">
        <v>936307.37</v>
      </c>
      <c r="C21" s="112">
        <v>2625838.4</v>
      </c>
      <c r="D21" s="112">
        <v>1010750.1</v>
      </c>
      <c r="E21" s="112">
        <v>5801460</v>
      </c>
      <c r="F21" s="112">
        <v>1019146.0700000001</v>
      </c>
      <c r="G21" s="498">
        <v>7616868</v>
      </c>
    </row>
    <row r="22" spans="1:7" ht="15" customHeight="1" x14ac:dyDescent="0.25">
      <c r="A22" s="497" t="s">
        <v>400</v>
      </c>
      <c r="B22" s="112">
        <v>898152.89</v>
      </c>
      <c r="C22" s="112">
        <v>2625838.4</v>
      </c>
      <c r="D22" s="112">
        <v>1004986.77</v>
      </c>
      <c r="E22" s="112">
        <v>5801460</v>
      </c>
      <c r="F22" s="112">
        <v>1006088.25</v>
      </c>
      <c r="G22" s="498">
        <v>7253322</v>
      </c>
    </row>
    <row r="23" spans="1:7" ht="15" customHeight="1" x14ac:dyDescent="0.25">
      <c r="A23" s="497" t="s">
        <v>401</v>
      </c>
      <c r="B23" s="112">
        <v>797125.02999999991</v>
      </c>
      <c r="C23" s="112">
        <v>2160793.6000000001</v>
      </c>
      <c r="D23" s="112">
        <v>1086416.3799999999</v>
      </c>
      <c r="E23" s="112">
        <v>4962100</v>
      </c>
      <c r="F23" s="112">
        <v>979601.7</v>
      </c>
      <c r="G23" s="498">
        <v>6616284</v>
      </c>
    </row>
    <row r="24" spans="1:7" ht="15" customHeight="1" x14ac:dyDescent="0.25">
      <c r="A24" s="497" t="s">
        <v>402</v>
      </c>
      <c r="B24" s="112">
        <v>769940.92</v>
      </c>
      <c r="C24" s="112">
        <v>1780609.12</v>
      </c>
      <c r="D24" s="112">
        <v>790204.24</v>
      </c>
      <c r="E24" s="112">
        <v>2475562.5</v>
      </c>
      <c r="F24" s="112">
        <v>819194.11</v>
      </c>
      <c r="G24" s="498">
        <v>3881730</v>
      </c>
    </row>
    <row r="25" spans="1:7" ht="15" customHeight="1" x14ac:dyDescent="0.25">
      <c r="A25" s="117"/>
      <c r="B25" s="6"/>
      <c r="C25" s="6"/>
      <c r="D25" s="6"/>
      <c r="E25" s="6"/>
      <c r="F25" s="6"/>
      <c r="G25" s="144"/>
    </row>
    <row r="26" spans="1:7" ht="15" customHeight="1" x14ac:dyDescent="0.25">
      <c r="A26" s="495"/>
      <c r="B26" s="269" t="s">
        <v>392</v>
      </c>
      <c r="C26" s="269"/>
      <c r="D26" s="269" t="s">
        <v>393</v>
      </c>
      <c r="E26" s="269"/>
      <c r="F26" s="269" t="s">
        <v>394</v>
      </c>
      <c r="G26" s="472"/>
    </row>
    <row r="27" spans="1:7" ht="15" customHeight="1" x14ac:dyDescent="0.25">
      <c r="A27" s="495"/>
      <c r="B27" s="638">
        <f>E$9</f>
        <v>2019</v>
      </c>
      <c r="C27" s="639"/>
      <c r="D27" s="638">
        <f>F$9</f>
        <v>2020</v>
      </c>
      <c r="E27" s="639"/>
      <c r="F27" s="638" t="str">
        <f>G$9</f>
        <v>2021</v>
      </c>
      <c r="G27" s="640"/>
    </row>
    <row r="28" spans="1:7" ht="30" customHeight="1" x14ac:dyDescent="0.25">
      <c r="A28" s="495"/>
      <c r="B28" s="271" t="s">
        <v>403</v>
      </c>
      <c r="C28" s="271" t="s">
        <v>404</v>
      </c>
      <c r="D28" s="271" t="s">
        <v>403</v>
      </c>
      <c r="E28" s="271" t="s">
        <v>404</v>
      </c>
      <c r="F28" s="271" t="s">
        <v>403</v>
      </c>
      <c r="G28" s="463" t="s">
        <v>404</v>
      </c>
    </row>
    <row r="29" spans="1:7" ht="15" customHeight="1" x14ac:dyDescent="0.25">
      <c r="A29" s="497" t="s">
        <v>398</v>
      </c>
      <c r="B29" s="73">
        <f>1077*10^(1.46+0.406*(IF($E$10/1000000&lt;70,LOG10(70),LOG10($E$10/1000000))))</f>
        <v>2777094.6456229435</v>
      </c>
      <c r="C29" s="73">
        <f>IF(SUM(B20:C20)&lt;B29,0,SUM(B20:C20)-B29)</f>
        <v>7494797.1743770568</v>
      </c>
      <c r="D29" s="73">
        <f>1077*10^(1.46+0.406*(IF($F$10/1000000&lt;70,LOG10(70),LOG10($F$10/1000000))))</f>
        <v>2791039.7587723737</v>
      </c>
      <c r="E29" s="73">
        <f>IF(SUM(D20:E20)&lt;D29,0,SUM(D20:E20)-D29)</f>
        <v>17475465.861227628</v>
      </c>
      <c r="F29" s="73">
        <f>1077*10^(1.46+0.406*(IF($G$10/1000000&lt;70,LOG10(70),LOG10($G$10/1000000))))</f>
        <v>2820816.5810865532</v>
      </c>
      <c r="G29" s="458">
        <f>IF(SUM(F20:G20)&lt;F29,0,SUM(F20:G20)-F29)</f>
        <v>21686757.258913446</v>
      </c>
    </row>
    <row r="30" spans="1:7" ht="15" customHeight="1" x14ac:dyDescent="0.25">
      <c r="A30" s="497" t="s">
        <v>399</v>
      </c>
      <c r="B30" s="73">
        <f>1077*10^(1.414+0.349*(IF($E$10/1000000&lt;70,LOG10(70),LOG10($E$10/1000000))))</f>
        <v>1329318.8691918997</v>
      </c>
      <c r="C30" s="73">
        <f t="shared" ref="C30:E33" si="0">IF(SUM(B21:C21)&lt;B30,0,SUM(B21:C21)-B30)</f>
        <v>2232826.9008081006</v>
      </c>
      <c r="D30" s="73">
        <f>1077*10^(1.414+0.349*(IF($F$10/1000000&lt;70,LOG10(70),LOG10($F$10/1000000))))</f>
        <v>1335054.8422535942</v>
      </c>
      <c r="E30" s="73">
        <f t="shared" si="0"/>
        <v>5477155.2577464059</v>
      </c>
      <c r="F30" s="73">
        <f>1077*10^(1.414+0.349*(IF($G$10/1000000&lt;70,LOG10(70),LOG10($G$10/1000000))))</f>
        <v>1347289.3575431716</v>
      </c>
      <c r="G30" s="458">
        <f t="shared" ref="G30" si="1">IF(SUM(F21:G21)&lt;F30,0,SUM(F21:G21)-F30)</f>
        <v>7288724.7124568289</v>
      </c>
    </row>
    <row r="31" spans="1:7" ht="15" customHeight="1" x14ac:dyDescent="0.25">
      <c r="A31" s="497" t="s">
        <v>400</v>
      </c>
      <c r="B31" s="73">
        <f>1077*10^(1.231+0.382*(IF($E$10/1000000&lt;70,LOG10(70),LOG10($E$10/1000000))))</f>
        <v>1256719.823426693</v>
      </c>
      <c r="C31" s="73">
        <f t="shared" si="0"/>
        <v>2267271.4665733073</v>
      </c>
      <c r="D31" s="73">
        <f>1077*10^(1.231+0.382*(IF($F$10/1000000&lt;70,LOG10(70),LOG10($F$10/1000000))))</f>
        <v>1262656.4920574978</v>
      </c>
      <c r="E31" s="73">
        <f t="shared" si="0"/>
        <v>5543790.2779425019</v>
      </c>
      <c r="F31" s="73">
        <f>1077*10^(1.231+0.382*(IF($G$10/1000000&lt;70,LOG10(70),LOG10($G$10/1000000))))</f>
        <v>1275327.1281058325</v>
      </c>
      <c r="G31" s="458">
        <f t="shared" ref="G31" si="2">IF(SUM(F22:G22)&lt;F31,0,SUM(F22:G22)-F31)</f>
        <v>6984083.1218941677</v>
      </c>
    </row>
    <row r="32" spans="1:7" ht="15" customHeight="1" x14ac:dyDescent="0.25">
      <c r="A32" s="497" t="s">
        <v>401</v>
      </c>
      <c r="B32" s="73">
        <f>1077*10^(1.247+0.358*(IF($E$10/1000000&lt;70,LOG10(70),LOG10($E$10/1000000))))</f>
        <v>999738.11578257836</v>
      </c>
      <c r="C32" s="73">
        <f t="shared" si="0"/>
        <v>1958180.5142174214</v>
      </c>
      <c r="D32" s="73">
        <f>1077*10^(1.247+0.358*(IF($F$10/1000000&lt;70,LOG10(70),LOG10($F$10/1000000))))</f>
        <v>1004163.4483309854</v>
      </c>
      <c r="E32" s="73">
        <f t="shared" si="0"/>
        <v>5044352.9316690145</v>
      </c>
      <c r="F32" s="73">
        <f>1077*10^(1.247+0.358*(IF($G$10/1000000&lt;70,LOG10(70),LOG10($G$10/1000000))))</f>
        <v>1013604.0751812285</v>
      </c>
      <c r="G32" s="458">
        <f t="shared" ref="G32" si="3">IF(SUM(F23:G23)&lt;F32,0,SUM(F23:G23)-F32)</f>
        <v>6582281.6248187721</v>
      </c>
    </row>
    <row r="33" spans="1:7" ht="15" customHeight="1" x14ac:dyDescent="0.25">
      <c r="A33" s="497" t="s">
        <v>402</v>
      </c>
      <c r="B33" s="73">
        <f>1077*10^(1.246+0.342*(IF($E$10/1000000&lt;70,LOG10(70),LOG10($E$10/1000000))))</f>
        <v>835573.72181167104</v>
      </c>
      <c r="C33" s="73">
        <f t="shared" si="0"/>
        <v>1714976.318188329</v>
      </c>
      <c r="D33" s="73">
        <f>1077*10^(1.246+0.342*(IF($F$10/1000000&lt;70,LOG10(70),LOG10($F$10/1000000))))</f>
        <v>839106.72980252013</v>
      </c>
      <c r="E33" s="73">
        <f t="shared" si="0"/>
        <v>2426660.0101974802</v>
      </c>
      <c r="F33" s="73">
        <f>1077*10^(1.246+0.342*(IF($G$10/1000000&lt;70,LOG10(70),LOG10($G$10/1000000))))</f>
        <v>846641.42613823386</v>
      </c>
      <c r="G33" s="458">
        <f t="shared" ref="G33" si="4">IF(SUM(F24:G24)&lt;F33,0,SUM(F24:G24)-F33)</f>
        <v>3854282.6838617665</v>
      </c>
    </row>
    <row r="34" spans="1:7" ht="15" customHeight="1" thickBot="1" x14ac:dyDescent="0.3">
      <c r="A34" s="499" t="s">
        <v>405</v>
      </c>
      <c r="B34" s="17"/>
      <c r="C34" s="474">
        <f>SUM(C29:C33)</f>
        <v>15668052.374164214</v>
      </c>
      <c r="D34" s="17"/>
      <c r="E34" s="474">
        <f>SUM(E29:E33)</f>
        <v>35967424.338783033</v>
      </c>
      <c r="F34" s="17"/>
      <c r="G34" s="500">
        <f>SUM(G29:G33)</f>
        <v>46396129.401944987</v>
      </c>
    </row>
    <row r="35" spans="1:7" ht="15" customHeight="1" x14ac:dyDescent="0.25"/>
    <row r="36" spans="1:7" ht="15" customHeight="1" x14ac:dyDescent="0.25">
      <c r="A36" s="267" t="s">
        <v>406</v>
      </c>
    </row>
    <row r="37" spans="1:7" ht="15" customHeight="1" thickBot="1" x14ac:dyDescent="0.3"/>
    <row r="38" spans="1:7" ht="15" customHeight="1" x14ac:dyDescent="0.25">
      <c r="A38" s="508"/>
      <c r="B38" s="461" t="s">
        <v>392</v>
      </c>
      <c r="C38" s="461"/>
      <c r="D38" s="461" t="s">
        <v>393</v>
      </c>
      <c r="E38" s="461"/>
      <c r="F38" s="461" t="s">
        <v>394</v>
      </c>
      <c r="G38" s="462"/>
    </row>
    <row r="39" spans="1:7" ht="15" customHeight="1" x14ac:dyDescent="0.25">
      <c r="A39" s="465"/>
      <c r="B39" s="270">
        <f>E$9</f>
        <v>2019</v>
      </c>
      <c r="C39" s="269"/>
      <c r="D39" s="270">
        <f>F$9</f>
        <v>2020</v>
      </c>
      <c r="E39" s="269"/>
      <c r="F39" s="270" t="str">
        <f>G$9</f>
        <v>2021</v>
      </c>
      <c r="G39" s="472"/>
    </row>
    <row r="40" spans="1:7" ht="30" x14ac:dyDescent="0.25">
      <c r="A40" s="495"/>
      <c r="B40" s="271" t="s">
        <v>407</v>
      </c>
      <c r="C40" s="271" t="s">
        <v>719</v>
      </c>
      <c r="D40" s="271" t="s">
        <v>407</v>
      </c>
      <c r="E40" s="271" t="s">
        <v>719</v>
      </c>
      <c r="F40" s="271" t="s">
        <v>407</v>
      </c>
      <c r="G40" s="463" t="s">
        <v>719</v>
      </c>
    </row>
    <row r="41" spans="1:7" ht="18" thickBot="1" x14ac:dyDescent="0.3">
      <c r="A41" s="499" t="s">
        <v>408</v>
      </c>
      <c r="B41" s="532">
        <v>906791014.5</v>
      </c>
      <c r="C41" s="533">
        <v>302263671.5</v>
      </c>
      <c r="D41" s="532">
        <v>875227273.5</v>
      </c>
      <c r="E41" s="532">
        <v>291742424.5</v>
      </c>
      <c r="F41" s="532">
        <v>801167938.5</v>
      </c>
      <c r="G41" s="534">
        <v>267055979.5</v>
      </c>
    </row>
    <row r="42" spans="1:7" ht="15.75" x14ac:dyDescent="0.25">
      <c r="A42" s="272" t="s">
        <v>720</v>
      </c>
    </row>
    <row r="43" spans="1:7" x14ac:dyDescent="0.25">
      <c r="A43" s="272" t="s">
        <v>718</v>
      </c>
    </row>
  </sheetData>
  <sheetProtection algorithmName="SHA-512" hashValue="WBMuwPXOqmXg9/xYlI9FahNO1k4WgtljESWqiEQSaaTd43w7xs9H68YkDmATMVCyXDmTlH98+bxhYScBDlT1Uw==" saltValue="t779Yp8vPX1OwwT+3Z2g1A=="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&amp;L1/3/2023 Edition
&amp;CPrior Approval Rate Template
Portions of the material contained in this document are protected by copyright owned by the State Farm Mutual Automobile Insurance Company, 2023&amp;RPage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C8" sqref="C8"/>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31</v>
      </c>
      <c r="B1" s="109" t="s">
        <v>33</v>
      </c>
      <c r="E1" s="110" t="str">
        <f>Co_Name</f>
        <v>State Farm General Insurance Company</v>
      </c>
      <c r="F1" s="74" t="s">
        <v>709</v>
      </c>
    </row>
    <row r="2" spans="1:6" x14ac:dyDescent="0.25">
      <c r="A2" s="7" t="s">
        <v>32</v>
      </c>
      <c r="B2" s="109" t="s">
        <v>34</v>
      </c>
      <c r="E2" s="110" t="str">
        <f>General_Line</f>
        <v>Homeowners Multiple Peril</v>
      </c>
      <c r="F2" s="176" t="s">
        <v>113</v>
      </c>
    </row>
    <row r="3" spans="1:6" x14ac:dyDescent="0.25">
      <c r="A3" s="6"/>
      <c r="B3" s="154" t="s">
        <v>142</v>
      </c>
      <c r="C3" s="77"/>
      <c r="D3" s="77"/>
      <c r="E3" s="249" t="str">
        <f>CDI_FileNo</f>
        <v/>
      </c>
      <c r="F3" s="214"/>
    </row>
    <row r="4" spans="1:6" ht="18" customHeight="1" x14ac:dyDescent="0.25">
      <c r="A4" s="6"/>
      <c r="B4" s="156"/>
      <c r="F4" s="214"/>
    </row>
    <row r="5" spans="1:6" ht="23.25" x14ac:dyDescent="0.25">
      <c r="A5" s="4" t="s">
        <v>409</v>
      </c>
      <c r="B5" s="5"/>
      <c r="C5" s="5"/>
      <c r="D5" s="5"/>
      <c r="E5" s="5"/>
      <c r="F5" s="214"/>
    </row>
    <row r="6" spans="1:6" ht="23.25" x14ac:dyDescent="0.25">
      <c r="A6" s="4" t="s">
        <v>391</v>
      </c>
      <c r="B6" s="4"/>
      <c r="C6" s="4"/>
      <c r="D6" s="4"/>
      <c r="E6" s="4"/>
      <c r="F6" s="214"/>
    </row>
    <row r="7" spans="1:6" x14ac:dyDescent="0.25">
      <c r="A7" s="1"/>
      <c r="F7" s="214"/>
    </row>
    <row r="8" spans="1:6" ht="16.5" thickBot="1" x14ac:dyDescent="0.3">
      <c r="A8" s="530" t="s">
        <v>717</v>
      </c>
      <c r="F8" s="214"/>
    </row>
    <row r="9" spans="1:6" ht="30" x14ac:dyDescent="0.25">
      <c r="A9" s="484"/>
      <c r="B9" s="485"/>
      <c r="C9" s="486" t="s">
        <v>392</v>
      </c>
      <c r="D9" s="288" t="s">
        <v>393</v>
      </c>
      <c r="E9" s="457" t="s">
        <v>394</v>
      </c>
      <c r="F9" s="214"/>
    </row>
    <row r="10" spans="1:6" x14ac:dyDescent="0.25">
      <c r="A10" s="487"/>
      <c r="B10" s="274"/>
      <c r="C10" s="275">
        <f>'4.1Excluded Exp'!E$9</f>
        <v>2019</v>
      </c>
      <c r="D10" s="275">
        <f>'4.1Excluded Exp'!F$9</f>
        <v>2020</v>
      </c>
      <c r="E10" s="535" t="str">
        <f>'4.1Excluded Exp'!G$9</f>
        <v>2021</v>
      </c>
      <c r="F10" s="214"/>
    </row>
    <row r="11" spans="1:6" ht="30" customHeight="1" x14ac:dyDescent="0.25">
      <c r="A11" s="488" t="s">
        <v>410</v>
      </c>
      <c r="B11" s="273"/>
      <c r="C11" s="113">
        <v>6756791.0700000003</v>
      </c>
      <c r="D11" s="113">
        <v>6600269.0599999996</v>
      </c>
      <c r="E11" s="498">
        <v>6184292.0499999998</v>
      </c>
      <c r="F11" s="214"/>
    </row>
    <row r="12" spans="1:6" ht="30" customHeight="1" x14ac:dyDescent="0.25">
      <c r="A12" s="488" t="s">
        <v>677</v>
      </c>
      <c r="B12" s="276"/>
      <c r="C12" s="277">
        <f>'4.1Excluded Exp'!$C$34</f>
        <v>15668052.374164214</v>
      </c>
      <c r="D12" s="277">
        <f>'4.1Excluded Exp'!$E$34</f>
        <v>35967424.338783033</v>
      </c>
      <c r="E12" s="458">
        <f>'4.1Excluded Exp'!$G$34</f>
        <v>46396129.401944987</v>
      </c>
      <c r="F12" s="214"/>
    </row>
    <row r="13" spans="1:6" ht="30" customHeight="1" x14ac:dyDescent="0.25">
      <c r="A13" s="488" t="s">
        <v>411</v>
      </c>
      <c r="B13" s="276"/>
      <c r="C13" s="113">
        <v>226788</v>
      </c>
      <c r="D13" s="113">
        <v>0</v>
      </c>
      <c r="E13" s="498">
        <v>697639</v>
      </c>
      <c r="F13" s="214"/>
    </row>
    <row r="14" spans="1:6" ht="30" customHeight="1" x14ac:dyDescent="0.25">
      <c r="A14" s="488" t="s">
        <v>412</v>
      </c>
      <c r="B14" s="276"/>
      <c r="C14" s="113">
        <v>0</v>
      </c>
      <c r="D14" s="113">
        <v>0</v>
      </c>
      <c r="E14" s="498">
        <v>0</v>
      </c>
      <c r="F14" s="214"/>
    </row>
    <row r="15" spans="1:6" ht="30" customHeight="1" x14ac:dyDescent="0.25">
      <c r="A15" s="488" t="s">
        <v>413</v>
      </c>
      <c r="B15" s="276"/>
      <c r="C15" s="113">
        <v>454515.4</v>
      </c>
      <c r="D15" s="113">
        <v>901017.98</v>
      </c>
      <c r="E15" s="498">
        <v>317683.52</v>
      </c>
      <c r="F15" s="214"/>
    </row>
    <row r="16" spans="1:6" ht="30" customHeight="1" x14ac:dyDescent="0.25">
      <c r="A16" s="488" t="s">
        <v>678</v>
      </c>
      <c r="B16" s="276"/>
      <c r="C16" s="277">
        <f>'4.1Excluded Exp'!$B$41</f>
        <v>906791014.5</v>
      </c>
      <c r="D16" s="277">
        <f>'4.1Excluded Exp'!$D$41</f>
        <v>875227273.5</v>
      </c>
      <c r="E16" s="458">
        <f>'4.1Excluded Exp'!$F$41</f>
        <v>801167938.5</v>
      </c>
      <c r="F16" s="214"/>
    </row>
    <row r="17" spans="1:6" ht="30" customHeight="1" x14ac:dyDescent="0.25">
      <c r="A17" s="488" t="s">
        <v>414</v>
      </c>
      <c r="B17" s="276"/>
      <c r="C17" s="113">
        <v>0</v>
      </c>
      <c r="D17" s="113">
        <v>0</v>
      </c>
      <c r="E17" s="498">
        <v>0</v>
      </c>
      <c r="F17" s="214"/>
    </row>
    <row r="18" spans="1:6" ht="30" customHeight="1" x14ac:dyDescent="0.25">
      <c r="A18" s="489" t="s">
        <v>415</v>
      </c>
      <c r="B18" s="278"/>
      <c r="C18" s="279">
        <f>SUM(C11:C17)</f>
        <v>929897161.34416425</v>
      </c>
      <c r="D18" s="279">
        <f>SUM(D11:D17)</f>
        <v>918695984.87878299</v>
      </c>
      <c r="E18" s="536">
        <f>SUM(E11:E17)</f>
        <v>854763682.47194505</v>
      </c>
      <c r="F18" s="214"/>
    </row>
    <row r="19" spans="1:6" ht="30" customHeight="1" x14ac:dyDescent="0.25">
      <c r="A19" s="489" t="s">
        <v>162</v>
      </c>
      <c r="B19" s="278"/>
      <c r="C19" s="280">
        <f>IF(AND(New_Insurer_Group=TRUE,New_Program=TRUE),0,C18/'4.1Excluded Exp'!E$12)</f>
        <v>1.4266514403413517E-2</v>
      </c>
      <c r="D19" s="280">
        <f>IF(AND(New_Insurer_Group=TRUE,New_Program=TRUE),0,D18/'4.1Excluded Exp'!F$12)</f>
        <v>1.393005106489782E-2</v>
      </c>
      <c r="E19" s="537">
        <f>IF(AND(New_Insurer_Group=TRUE,New_Program=TRUE),0,E18/'4.1Excluded Exp'!G$12)</f>
        <v>1.2595228800884336E-2</v>
      </c>
      <c r="F19" s="519"/>
    </row>
    <row r="20" spans="1:6" ht="30" customHeight="1" thickBot="1" x14ac:dyDescent="0.3">
      <c r="A20" s="490" t="s">
        <v>416</v>
      </c>
      <c r="B20" s="491"/>
      <c r="C20" s="492"/>
      <c r="D20" s="492"/>
      <c r="E20" s="538">
        <f>AVERAGE(C19:E19)</f>
        <v>1.3597264756398558E-2</v>
      </c>
      <c r="F20" s="399" t="str">
        <f>IF(ISERROR($E$20),"← ERROR! Correct issues with input of source data on either Page 4.1 or 4.2.","")</f>
        <v/>
      </c>
    </row>
    <row r="21" spans="1:6" ht="15.75" thickBot="1" x14ac:dyDescent="0.3">
      <c r="F21" s="520"/>
    </row>
  </sheetData>
  <sheetProtection algorithmName="SHA-512" hashValue="2AtUfYYlI/phgCiNcGqwSGabBWelyl/kxWVZlZavdlGldzvHM6f5ZOmu6b+YZ8ohPvm9Eg6sjIFtaJzE/Sinxg==" saltValue="81ZrAPegEj+o2IUsZbZZUw==" spinCount="100000" sheet="1" objects="1" scenarios="1" formatColumns="0" formatRows="0" sort="0"/>
  <printOptions horizontalCentered="1"/>
  <pageMargins left="0.45" right="0.45" top="0.5" bottom="0.5" header="0.3" footer="0.05"/>
  <pageSetup scale="80" fitToHeight="2" orientation="portrait" r:id="rId1"/>
  <headerFooter>
    <oddFooter xml:space="preserve">&amp;L1/3/2023 Edition
&amp;CPrior Approval Rate Template
Portions of the material contained in this document are protected by copyright owned by the State Farm Mutual Automobile Insurance Company, 2023&amp;RPage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zoomScaleNormal="100" zoomScaleSheetLayoutView="100" workbookViewId="0">
      <selection activeCell="C8" sqref="C8"/>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31</v>
      </c>
      <c r="G1" s="109" t="s">
        <v>33</v>
      </c>
      <c r="J1" s="110" t="str">
        <f>Co_Name</f>
        <v>State Farm General Insurance Company</v>
      </c>
    </row>
    <row r="2" spans="1:10 16374:16374" x14ac:dyDescent="0.25">
      <c r="A2" s="7" t="s">
        <v>32</v>
      </c>
      <c r="G2" s="109" t="s">
        <v>34</v>
      </c>
      <c r="J2" s="110" t="str">
        <f>General_Line</f>
        <v>Homeowners Multiple Peril</v>
      </c>
    </row>
    <row r="3" spans="1:10 16374:16374" x14ac:dyDescent="0.25">
      <c r="G3" s="201" t="s">
        <v>140</v>
      </c>
      <c r="H3" s="201"/>
      <c r="I3" s="201"/>
      <c r="J3" s="160"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314</v>
      </c>
      <c r="B7" s="380"/>
      <c r="C7" s="380"/>
      <c r="D7" s="380"/>
      <c r="E7" s="380"/>
      <c r="F7" s="380"/>
      <c r="G7" s="380"/>
      <c r="H7" s="380"/>
      <c r="I7" s="380"/>
      <c r="J7" s="381"/>
    </row>
    <row r="8" spans="1:10 16374:16374" x14ac:dyDescent="0.25">
      <c r="A8" s="357"/>
      <c r="B8" s="358"/>
      <c r="C8" s="358"/>
      <c r="D8" s="359" t="s">
        <v>389</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388</v>
      </c>
      <c r="B10" s="368" t="s">
        <v>387</v>
      </c>
      <c r="C10" s="368" t="s">
        <v>366</v>
      </c>
      <c r="D10" s="369" t="s">
        <v>117</v>
      </c>
      <c r="E10" s="370" t="s">
        <v>118</v>
      </c>
      <c r="F10" s="371" t="s">
        <v>125</v>
      </c>
      <c r="G10" s="372" t="s">
        <v>501</v>
      </c>
      <c r="H10" s="372" t="s">
        <v>292</v>
      </c>
      <c r="I10" s="372" t="s">
        <v>162</v>
      </c>
      <c r="J10" s="373" t="s">
        <v>315</v>
      </c>
      <c r="XET10" s="178"/>
    </row>
    <row r="11" spans="1:10 16374:16374" ht="18" customHeight="1" x14ac:dyDescent="0.25">
      <c r="A11" s="344" t="str">
        <f>Detailed_LineDesc01</f>
        <v>Homeowners Multiple Peril</v>
      </c>
      <c r="B11" s="345">
        <f ca="1">IF(RIGHT(Detailed_LineCode01,1)="R",LEFT(Detailed_LineCode01,LEN(Detailed_LineCode01)-1),Detailed_LineCode01)</f>
        <v>4</v>
      </c>
      <c r="C11" s="513" t="str">
        <f>IF(Covg01="","",Covg01)</f>
        <v>Non-Tenant Homeowners</v>
      </c>
      <c r="D11" s="355">
        <f ca="1">IF(Covg01="","",VLOOKUP(Detailed_LineCode01,Table_EffStd,D$21+1,FALSE))</f>
        <v>0.35349169170468153</v>
      </c>
      <c r="E11" s="343">
        <f ca="1">IF(Covg01="","",VLOOKUP(Detailed_LineCode01,Table_EffStd,E$21+1,FALSE))</f>
        <v>0.30450233691492307</v>
      </c>
      <c r="F11" s="356">
        <f ca="1">IF(Covg01="","",VLOOKUP(Detailed_LineCode01,Table_EffStd,F$21+1,FALSE))</f>
        <v>0.37957507454237077</v>
      </c>
      <c r="G11" s="211">
        <f ca="1">IF(Covg01="","",SUMPRODUCT(D11:F11,D$9:F$9))</f>
        <v>0.35349169170468153</v>
      </c>
      <c r="H11" s="405">
        <f>IF(Covg01="","",IF(AND(ISBLANK('6.1Ratemaking Data'!$J$39)=FALSE,'1.General'!$I$47=1),EffStd_Var01,0))</f>
        <v>0</v>
      </c>
      <c r="I11" s="343">
        <f>IF(Covg01="","",ExpRatio_Excluded)</f>
        <v>1.3597264756398558E-2</v>
      </c>
      <c r="J11" s="347">
        <f ca="1">IF(Covg01="","",G11+H11-I11)</f>
        <v>0.33989442694828298</v>
      </c>
    </row>
    <row r="12" spans="1:10 16374:16374" ht="18" customHeight="1" x14ac:dyDescent="0.25">
      <c r="A12" s="344" t="str">
        <f>Detailed_LineDesc02</f>
        <v>Homeowners Multiple Peril</v>
      </c>
      <c r="B12" s="345">
        <f ca="1">IF(RIGHT(Detailed_LineCode02,1)="R",LEFT(Detailed_LineCode02,LEN(Detailed_LineCode02)-1),Detailed_LineCode02)</f>
        <v>4</v>
      </c>
      <c r="C12" s="513" t="str">
        <f>IF(Covg02="","",Covg02)</f>
        <v>Renters</v>
      </c>
      <c r="D12" s="355">
        <f ca="1">IF(Covg02="","",VLOOKUP(Detailed_LineCode02,Table_EffStd,D$21+1,FALSE))</f>
        <v>0.35349169170468153</v>
      </c>
      <c r="E12" s="343">
        <f ca="1">IF(Covg02="","",VLOOKUP(Detailed_LineCode02,Table_EffStd,E$21+1,FALSE))</f>
        <v>0.30450233691492307</v>
      </c>
      <c r="F12" s="356">
        <f ca="1">IF(Covg02="","",VLOOKUP(Detailed_LineCode02,Table_EffStd,F$21+1,FALSE))</f>
        <v>0.37957507454237077</v>
      </c>
      <c r="G12" s="211">
        <f ca="1">IF(Covg02="","",SUMPRODUCT(D12:F12,D$9:F$9))</f>
        <v>0.35349169170468153</v>
      </c>
      <c r="H12" s="405">
        <f>IF(Covg02="","",IF(AND(ISBLANK('6.2Ratemaking Data'!$J$39)=FALSE,'1.General'!$I$47=1),EffStd_Var02,0))</f>
        <v>0</v>
      </c>
      <c r="I12" s="343">
        <f>IF(Covg02="","",ExpRatio_Excluded)</f>
        <v>1.3597264756398558E-2</v>
      </c>
      <c r="J12" s="347">
        <f ca="1">IF(Covg02="","",G12+H12-I12)</f>
        <v>0.33989442694828298</v>
      </c>
    </row>
    <row r="13" spans="1:10 16374:16374" ht="18" customHeight="1" x14ac:dyDescent="0.25">
      <c r="A13" s="344" t="str">
        <f>Detailed_LineDesc03</f>
        <v>Homeowners Multiple Peril</v>
      </c>
      <c r="B13" s="345">
        <f ca="1">IF(RIGHT(Detailed_LineCode03,1)="R",LEFT(Detailed_LineCode03,LEN(Detailed_LineCode03)-1),Detailed_LineCode03)</f>
        <v>4</v>
      </c>
      <c r="C13" s="513" t="str">
        <f>IF(Covg03="","",Covg03)</f>
        <v>Condominium Unitowners</v>
      </c>
      <c r="D13" s="355">
        <f ca="1">IF(Covg03="","",VLOOKUP(Detailed_LineCode03,Table_EffStd,D$21+1,FALSE))</f>
        <v>0.35349169170468153</v>
      </c>
      <c r="E13" s="343">
        <f ca="1">IF(Covg03="","",VLOOKUP(Detailed_LineCode03,Table_EffStd,E$21+1,FALSE))</f>
        <v>0.30450233691492307</v>
      </c>
      <c r="F13" s="356">
        <f ca="1">IF(Covg03="","",VLOOKUP(Detailed_LineCode03,Table_EffStd,F$21+1,FALSE))</f>
        <v>0.37957507454237077</v>
      </c>
      <c r="G13" s="211">
        <f ca="1">IF(Covg03="","",SUMPRODUCT(D13:F13,D$9:F$9))</f>
        <v>0.35349169170468153</v>
      </c>
      <c r="H13" s="405">
        <f>IF(Covg03="","",IF(AND(ISBLANK('6.3Ratemaking Data'!$J$39)=FALSE,'1.General'!$I$47=1),EffStd_Var03,0))</f>
        <v>0</v>
      </c>
      <c r="I13" s="343">
        <f>IF(Covg03="","",ExpRatio_Excluded)</f>
        <v>1.3597264756398558E-2</v>
      </c>
      <c r="J13" s="347">
        <f ca="1">IF(Covg03="","",G13+H13-I13)</f>
        <v>0.33989442694828298</v>
      </c>
    </row>
    <row r="14" spans="1:10 16374:16374" ht="18" customHeight="1" x14ac:dyDescent="0.25">
      <c r="A14" s="344" t="str">
        <f>Detailed_LineDesc04</f>
        <v/>
      </c>
      <c r="B14" s="345" t="str">
        <f>IF(RIGHT(Detailed_LineCode04,1)="R",LEFT(Detailed_LineCode04,LEN(Detailed_LineCode04)-1),Detailed_LineCode04)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IF(RIGHT(Detailed_LineCode05,1)="R",LEFT(Detailed_LineCode05,LEN(Detailed_LineCode05)-1),Detailed_LineCode05)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IF(RIGHT(Detailed_LineCode06,1)="R",LEFT(Detailed_LineCode06,LEN(Detailed_LineCode06)-1),Detailed_LineCode06)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IF(RIGHT(Detailed_LineCode07,1)="R",LEFT(Detailed_LineCode07,LEN(Detailed_LineCode07)-1),Detailed_LineCode07)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IF(RIGHT(Detailed_LineCode08,1)="R",LEFT(Detailed_LineCode08,LEN(Detailed_LineCode08)-1),Detailed_LineCode08)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IF(RIGHT(Detailed_LineCode09,1)="R",LEFT(Detailed_LineCode09,LEN(Detailed_LineCode09)-1),Detailed_LineCode09)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IF(RIGHT(Detailed_LineCode10,1)="R",LEFT(Detailed_LineCode10,LEN(Detailed_LineCode10)-1),Detailed_LineCode10)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1" t="s">
        <v>136</v>
      </c>
      <c r="E23" s="642"/>
      <c r="F23" s="379" t="s">
        <v>134</v>
      </c>
      <c r="G23" s="386"/>
      <c r="H23" s="387"/>
      <c r="I23" s="652" t="str">
        <f>"Yields, Rate of Return &amp; Premium Tax Values as of "&amp;'3.2YieldFIT'!G48</f>
        <v>Yields, Rate of Return &amp; Premium Tax Values as of December 2022</v>
      </c>
      <c r="J23" s="653"/>
    </row>
    <row r="24" spans="1:11" ht="33.75" customHeight="1" thickBot="1" x14ac:dyDescent="0.35">
      <c r="A24" s="388"/>
      <c r="B24" s="389"/>
      <c r="C24" s="390"/>
      <c r="D24" s="643"/>
      <c r="E24" s="644"/>
      <c r="F24" s="528" t="str">
        <f>IF(AND('1.General'!$I$47*'1.General'!$I$48=1,FIND({3},'1.General'!$E$47&amp;"3")&lt;=LEN('1.General'!$E$47)),"(Variance 3 applied)","(Variance 3 not applied)")</f>
        <v>(Variance 3 not applied)</v>
      </c>
      <c r="G24" s="391"/>
      <c r="H24" s="392"/>
      <c r="I24" s="654"/>
      <c r="J24" s="655"/>
    </row>
    <row r="25" spans="1:11" ht="60.75" thickBot="1" x14ac:dyDescent="0.3">
      <c r="A25" s="83" t="s">
        <v>388</v>
      </c>
      <c r="B25" s="368" t="s">
        <v>387</v>
      </c>
      <c r="C25" s="377" t="s">
        <v>366</v>
      </c>
      <c r="D25" s="378" t="s">
        <v>138</v>
      </c>
      <c r="E25" s="377" t="s">
        <v>139</v>
      </c>
      <c r="F25" s="378" t="s">
        <v>562</v>
      </c>
      <c r="G25" s="368" t="s">
        <v>292</v>
      </c>
      <c r="H25" s="368" t="s">
        <v>316</v>
      </c>
      <c r="I25" s="527" t="s">
        <v>165</v>
      </c>
      <c r="J25" s="529">
        <f>'3.2YieldFIT'!D42</f>
        <v>4.3359497935155651E-2</v>
      </c>
    </row>
    <row r="26" spans="1:11" ht="18" customHeight="1" x14ac:dyDescent="0.25">
      <c r="A26" s="344" t="str">
        <f>Detailed_LineDesc01</f>
        <v>Homeowners Multiple Peril</v>
      </c>
      <c r="B26" s="345">
        <f ca="1">IF(RIGHT(Detailed_LineCode01,1)="R",LEFT(Detailed_LineCode01,LEN(Detailed_LineCode01)-1),Detailed_LineCode01)</f>
        <v>4</v>
      </c>
      <c r="C26" s="513" t="str">
        <f>IF(Covg01="","",Covg01)</f>
        <v>Non-Tenant Homeowners</v>
      </c>
      <c r="D26" s="374">
        <f ca="1">IF(Covg01="","",VLOOKUP(Detailed_LineCode01,Table_ResRatio,2,FALSE))</f>
        <v>0.52182970801271056</v>
      </c>
      <c r="E26" s="375">
        <f ca="1">IF(Covg01="","",VLOOKUP(Detailed_LineCode01,Table_ResRatio,3,FALSE))</f>
        <v>1.3010095886105004</v>
      </c>
      <c r="F26" s="374">
        <f ca="1">IF(Covg01="","",VLOOKUP(Detailed_LineCode01,Table_LevFact,2,FALSE))</f>
        <v>0.91552166118720324</v>
      </c>
      <c r="G26" s="404">
        <f>IF(Covg01="","",IF(AND('1.General'!$I$47*'1.General'!$I$48=1,FIND({3},'1.General'!$E$47&amp;"3")&lt;=LEN('1.General'!$E$47)),0.85,1))</f>
        <v>1</v>
      </c>
      <c r="H26" s="404">
        <f ca="1">IF(Covg01="","",F26*G26)</f>
        <v>0.91552166118720324</v>
      </c>
      <c r="I26" s="625" t="s">
        <v>714</v>
      </c>
      <c r="J26" s="648">
        <f>'3.2YieldFIT'!F34</f>
        <v>0.15389771415501849</v>
      </c>
    </row>
    <row r="27" spans="1:11" ht="18" customHeight="1" thickBot="1" x14ac:dyDescent="0.3">
      <c r="A27" s="344" t="str">
        <f>Detailed_LineDesc02</f>
        <v>Homeowners Multiple Peril</v>
      </c>
      <c r="B27" s="345">
        <f ca="1">IF(RIGHT(Detailed_LineCode02,1)="R",LEFT(Detailed_LineCode02,LEN(Detailed_LineCode02)-1),Detailed_LineCode02)</f>
        <v>4</v>
      </c>
      <c r="C27" s="513" t="str">
        <f>IF(Covg02="","",Covg02)</f>
        <v>Renters</v>
      </c>
      <c r="D27" s="374">
        <f ca="1">IF(Covg02="","",VLOOKUP(Detailed_LineCode02,Table_ResRatio,2,FALSE))</f>
        <v>0.52182970801271056</v>
      </c>
      <c r="E27" s="375">
        <f ca="1">IF(Covg02="","",VLOOKUP(Detailed_LineCode02,Table_ResRatio,3,FALSE))</f>
        <v>1.3010095886105004</v>
      </c>
      <c r="F27" s="374">
        <f ca="1">IF(Covg02="","",VLOOKUP(Detailed_LineCode02,Table_LevFact,2,FALSE))</f>
        <v>0.91552166118720324</v>
      </c>
      <c r="G27" s="404">
        <f>IF(Covg02="","",IF(AND('1.General'!$I$47*'1.General'!$I$48=1,FIND({3},'1.General'!$E$47&amp;"3")&lt;=LEN('1.General'!$E$47)),0.85,1))</f>
        <v>1</v>
      </c>
      <c r="H27" s="404">
        <f ca="1">IF(Covg02="","",F27*G27)</f>
        <v>0.91552166118720324</v>
      </c>
      <c r="I27" s="626"/>
      <c r="J27" s="649"/>
    </row>
    <row r="28" spans="1:11" ht="18" customHeight="1" x14ac:dyDescent="0.25">
      <c r="A28" s="344" t="str">
        <f>Detailed_LineDesc03</f>
        <v>Homeowners Multiple Peril</v>
      </c>
      <c r="B28" s="345">
        <f ca="1">IF(RIGHT(Detailed_LineCode03,1)="R",LEFT(Detailed_LineCode03,LEN(Detailed_LineCode03)-1),Detailed_LineCode03)</f>
        <v>4</v>
      </c>
      <c r="C28" s="513" t="str">
        <f>IF(Covg03="","",Covg03)</f>
        <v>Condominium Unitowners</v>
      </c>
      <c r="D28" s="374">
        <f ca="1">IF(Covg03="","",VLOOKUP(Detailed_LineCode03,Table_ResRatio,2,FALSE))</f>
        <v>0.52182970801271056</v>
      </c>
      <c r="E28" s="375">
        <f ca="1">IF(Covg03="","",VLOOKUP(Detailed_LineCode03,Table_ResRatio,3,FALSE))</f>
        <v>1.3010095886105004</v>
      </c>
      <c r="F28" s="374">
        <f ca="1">IF(Covg03="","",VLOOKUP(Detailed_LineCode03,Table_LevFact,2,FALSE))</f>
        <v>0.91552166118720324</v>
      </c>
      <c r="G28" s="404">
        <f>IF(Covg03="","",IF(AND('1.General'!$I$47*'1.General'!$I$48=1,FIND({3},'1.General'!$E$47&amp;"3")&lt;=LEN('1.General'!$E$47)),0.85,1))</f>
        <v>1</v>
      </c>
      <c r="H28" s="404">
        <f ca="1">IF(Covg03="","",F28*G28)</f>
        <v>0.91552166118720324</v>
      </c>
      <c r="I28" s="625" t="s">
        <v>730</v>
      </c>
      <c r="J28" s="648">
        <v>2.35E-2</v>
      </c>
    </row>
    <row r="29" spans="1:11" ht="18" customHeight="1" x14ac:dyDescent="0.25">
      <c r="A29" s="344" t="str">
        <f>Detailed_LineDesc04</f>
        <v/>
      </c>
      <c r="B29" s="345" t="str">
        <f>IF(RIGHT(Detailed_LineCode04,1)="R",LEFT(Detailed_LineCode04,LEN(Detailed_LineCode04)-1),Detailed_LineCode04)</f>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0"/>
      <c r="J29" s="651"/>
    </row>
    <row r="30" spans="1:11" ht="18" customHeight="1" thickBot="1" x14ac:dyDescent="0.3">
      <c r="A30" s="344" t="str">
        <f>Detailed_LineDesc05</f>
        <v/>
      </c>
      <c r="B30" s="345" t="str">
        <f>IF(RIGHT(Detailed_LineCode05,1)="R",LEFT(Detailed_LineCode05,LEN(Detailed_LineCode05)-1),Detailed_LineCode05)</f>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26"/>
      <c r="J30" s="649"/>
    </row>
    <row r="31" spans="1:11" ht="18" customHeight="1" x14ac:dyDescent="0.25">
      <c r="A31" s="344" t="str">
        <f>Detailed_LineDesc06</f>
        <v/>
      </c>
      <c r="B31" s="345" t="str">
        <f>IF(RIGHT(Detailed_LineCode06,1)="R",LEFT(Detailed_LineCode06,LEN(Detailed_LineCode06)-1),Detailed_LineCode06)</f>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5" t="s">
        <v>716</v>
      </c>
      <c r="J31" s="645">
        <v>3.9399999999999998E-2</v>
      </c>
      <c r="K31" s="15"/>
    </row>
    <row r="32" spans="1:11" ht="18" customHeight="1" x14ac:dyDescent="0.25">
      <c r="A32" s="344" t="str">
        <f>Detailed_LineDesc07</f>
        <v/>
      </c>
      <c r="B32" s="345" t="str">
        <f>IF(RIGHT(Detailed_LineCode07,1)="R",LEFT(Detailed_LineCode07,LEN(Detailed_LineCode07)-1),Detailed_LineCode07)</f>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0"/>
      <c r="J32" s="646"/>
      <c r="K32" s="15" t="s">
        <v>622</v>
      </c>
    </row>
    <row r="33" spans="1:11" ht="18" customHeight="1" x14ac:dyDescent="0.25">
      <c r="A33" s="344" t="str">
        <f>Detailed_LineDesc08</f>
        <v/>
      </c>
      <c r="B33" s="345" t="str">
        <f>IF(RIGHT(Detailed_LineCode08,1)="R",LEFT(Detailed_LineCode08,LEN(Detailed_LineCode08)-1),Detailed_LineCode08)</f>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0"/>
      <c r="J33" s="646"/>
      <c r="K33" s="15" t="s">
        <v>339</v>
      </c>
    </row>
    <row r="34" spans="1:11" ht="18" customHeight="1" x14ac:dyDescent="0.25">
      <c r="A34" s="344" t="str">
        <f>Detailed_LineDesc09</f>
        <v/>
      </c>
      <c r="B34" s="345" t="str">
        <f>IF(RIGHT(Detailed_LineCode09,1)="R",LEFT(Detailed_LineCode09,LEN(Detailed_LineCode09)-1),Detailed_LineCode09)</f>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0"/>
      <c r="J34" s="646"/>
      <c r="K34" s="15"/>
    </row>
    <row r="35" spans="1:11" ht="18" customHeight="1" thickBot="1" x14ac:dyDescent="0.3">
      <c r="A35" s="348" t="str">
        <f>Detailed_LineDesc10</f>
        <v/>
      </c>
      <c r="B35" s="349" t="str">
        <f>IF(RIGHT(Detailed_LineCode10,1)="R",LEFT(Detailed_LineCode10,LEN(Detailed_LineCode10)-1),Detailed_LineCode10)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26"/>
      <c r="J35" s="647"/>
      <c r="K35" s="15"/>
    </row>
  </sheetData>
  <sheetProtection algorithmName="SHA-512" hashValue="WhccpuCRaokl7Bn6iJmf+r+1UlLmmiKrqmYyNZIfHWC3beayBy4XfRFgwNowygX2q5BFGMBKH1uhy/dCOoKdNw==" saltValue="lS2ARsR2yslHu1gfrC45cw=="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&amp;L1/3/2023 Edition
&amp;CPrior Approval Rate Template
Portions of the material contained in this document are protected by copyright owned by the State Farm Mutual Automobile Insurance Company, 2023&amp;RPage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7" zoomScaleNormal="100" zoomScaleSheetLayoutView="100" workbookViewId="0">
      <selection activeCell="C8" sqref="C8"/>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t="s">
        <v>103</v>
      </c>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Detailed_LineDesc01</f>
        <v>Homeowners Multiple Peril</v>
      </c>
      <c r="M10" s="226"/>
    </row>
    <row r="11" spans="1:13" ht="18" customHeight="1" x14ac:dyDescent="0.25">
      <c r="B11" s="7" t="s">
        <v>78</v>
      </c>
      <c r="G11" t="str">
        <f>Covg01</f>
        <v>Non-Tenant Homeowners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1901145824.1900001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1706464268.8299999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1.1562743942203026</v>
      </c>
      <c r="J17" s="16"/>
      <c r="K17" s="16"/>
      <c r="M17" s="75"/>
    </row>
    <row r="18" spans="1:13" ht="18" customHeight="1" x14ac:dyDescent="0.25">
      <c r="A18" s="30">
        <v>-4</v>
      </c>
      <c r="B18" s="31" t="s">
        <v>130</v>
      </c>
      <c r="C18" s="32" t="s">
        <v>66</v>
      </c>
      <c r="D18" s="168"/>
      <c r="E18" s="169"/>
      <c r="F18" s="169"/>
      <c r="G18" s="169"/>
      <c r="H18" s="169"/>
      <c r="I18" s="169">
        <v>1.1466630701133407</v>
      </c>
      <c r="J18" s="170">
        <v>5.2646898601650172E-2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1204361.24</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790929424.91999996</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6326873.7000000002</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1.2434207039947311</v>
      </c>
      <c r="J23" s="16"/>
      <c r="K23" s="16"/>
      <c r="M23" s="75"/>
    </row>
    <row r="24" spans="1:13" ht="18" customHeight="1" x14ac:dyDescent="0.25">
      <c r="A24" s="30">
        <v>-10</v>
      </c>
      <c r="B24" s="31" t="s">
        <v>61</v>
      </c>
      <c r="C24" s="32" t="s">
        <v>68</v>
      </c>
      <c r="D24" s="168"/>
      <c r="E24" s="169"/>
      <c r="F24" s="169"/>
      <c r="G24" s="169"/>
      <c r="H24" s="169"/>
      <c r="I24" s="169">
        <v>7.1615927338018581</v>
      </c>
      <c r="J24" s="16"/>
      <c r="K24" s="16"/>
      <c r="M24" s="75"/>
    </row>
    <row r="25" spans="1:13" ht="18" customHeight="1" x14ac:dyDescent="0.25">
      <c r="A25" s="30">
        <v>-11</v>
      </c>
      <c r="B25" s="31" t="s">
        <v>132</v>
      </c>
      <c r="C25" s="32" t="s">
        <v>69</v>
      </c>
      <c r="D25" s="168"/>
      <c r="E25" s="169"/>
      <c r="F25" s="169"/>
      <c r="G25" s="169"/>
      <c r="H25" s="169"/>
      <c r="I25" s="169">
        <v>1.3214161816898531</v>
      </c>
      <c r="J25" s="170">
        <v>0.11014117376405186</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1.3214161816898531</v>
      </c>
      <c r="J26" s="170">
        <v>0.11014117376405186</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1.3661529228701594</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5" ht="17.25" hidden="1" customHeight="1" x14ac:dyDescent="0.25">
      <c r="A49" s="6" t="s">
        <v>338</v>
      </c>
      <c r="J49" s="159"/>
      <c r="M49" s="172"/>
    </row>
    <row r="50" spans="1:15" ht="17.25" hidden="1" customHeight="1" thickBot="1" x14ac:dyDescent="0.3">
      <c r="A50" s="6" t="s">
        <v>157</v>
      </c>
      <c r="J50" s="78"/>
      <c r="M50" s="76"/>
    </row>
    <row r="51" spans="1:15" ht="20.100000000000001" customHeight="1" x14ac:dyDescent="0.25">
      <c r="A51" s="6"/>
      <c r="H51" s="656" t="s">
        <v>665</v>
      </c>
      <c r="I51" s="656"/>
      <c r="J51" s="656"/>
      <c r="K51" s="656"/>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5r7I2gKyATuu23GlwQhq5d+XiSCIPA8SdI+9QcgruWzpGu0SB4qGbka8Arzi8jBo5VonWZ2K9H+OASTUvQXkQw==" saltValue="IUaAeKAi/MOnbXuoz1vSI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7" zoomScaleNormal="100" zoomScaleSheetLayoutView="100" workbookViewId="0">
      <selection activeCell="C8" sqref="C8"/>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31</v>
      </c>
      <c r="B1" s="9"/>
      <c r="H1" s="9" t="s">
        <v>33</v>
      </c>
      <c r="K1" s="8" t="str">
        <f>Co_Name</f>
        <v>State Farm General Insurance Company</v>
      </c>
      <c r="M1" s="74" t="s">
        <v>310</v>
      </c>
    </row>
    <row r="2" spans="1:14" x14ac:dyDescent="0.25">
      <c r="A2" s="1" t="s">
        <v>32</v>
      </c>
      <c r="B2" s="9"/>
      <c r="H2" s="9" t="s">
        <v>34</v>
      </c>
      <c r="K2" s="8" t="str">
        <f>General_Line</f>
        <v>Homeowners Multiple Peril</v>
      </c>
      <c r="M2" s="176" t="s">
        <v>113</v>
      </c>
    </row>
    <row r="3" spans="1:14" x14ac:dyDescent="0.25">
      <c r="A3" s="1"/>
      <c r="B3" s="157"/>
      <c r="H3" s="71" t="s">
        <v>142</v>
      </c>
      <c r="I3" s="72"/>
      <c r="J3" s="72"/>
      <c r="K3" s="70" t="str">
        <f>CDI_FileNo</f>
        <v/>
      </c>
      <c r="M3" s="225"/>
    </row>
    <row r="4" spans="1:14" ht="18" customHeight="1" x14ac:dyDescent="0.25">
      <c r="M4" s="75"/>
    </row>
    <row r="5" spans="1:14" ht="23.25" x14ac:dyDescent="0.25">
      <c r="A5" s="4" t="s">
        <v>605</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705</v>
      </c>
      <c r="K7" s="455"/>
      <c r="M7" s="75"/>
    </row>
    <row r="8" spans="1:14" ht="18" customHeight="1" x14ac:dyDescent="0.25">
      <c r="B8" s="7" t="s">
        <v>76</v>
      </c>
      <c r="G8" s="52">
        <f>Completed_Date</f>
        <v>44981</v>
      </c>
      <c r="M8" s="75"/>
    </row>
    <row r="9" spans="1:14" ht="5.0999999999999996" customHeight="1" x14ac:dyDescent="0.25">
      <c r="B9" s="7"/>
      <c r="M9" s="75"/>
    </row>
    <row r="10" spans="1:14" ht="18" customHeight="1" x14ac:dyDescent="0.25">
      <c r="B10" s="7" t="s">
        <v>77</v>
      </c>
      <c r="G10" t="str">
        <f>Detailed_LineDesc02</f>
        <v>Homeowners Multiple Peril</v>
      </c>
      <c r="M10" s="226"/>
    </row>
    <row r="11" spans="1:14" ht="18" customHeight="1" x14ac:dyDescent="0.25">
      <c r="B11" s="7" t="s">
        <v>78</v>
      </c>
      <c r="G11" t="str">
        <f>Covg02</f>
        <v>Renters</v>
      </c>
      <c r="M11" s="75"/>
    </row>
    <row r="12" spans="1:14" ht="9.9499999999999993" customHeight="1" x14ac:dyDescent="0.25">
      <c r="B12" s="2"/>
      <c r="G12" s="22"/>
      <c r="I12" s="23"/>
      <c r="J12" s="24"/>
      <c r="M12" s="75"/>
    </row>
    <row r="13" spans="1:14"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4"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4" ht="30" customHeight="1" x14ac:dyDescent="0.25">
      <c r="A15" s="33">
        <v>-1</v>
      </c>
      <c r="B15" s="34" t="s">
        <v>54</v>
      </c>
      <c r="C15" s="35"/>
      <c r="D15" s="166"/>
      <c r="E15" s="167"/>
      <c r="F15" s="167"/>
      <c r="G15" s="112"/>
      <c r="H15" s="112"/>
      <c r="I15" s="112">
        <v>90390186.269999996</v>
      </c>
      <c r="J15" s="19"/>
      <c r="K15" s="112"/>
      <c r="M15" s="226" t="str">
        <f>IF(AND(New_Program=TRUE,ISBLANK($K$15)),"← ERROR! Enter projected figure for new program, or deselect 'New Program' on Page '1.General'.","")</f>
        <v/>
      </c>
      <c r="N15" s="6"/>
    </row>
    <row r="16" spans="1:14" ht="30" customHeight="1" x14ac:dyDescent="0.25">
      <c r="A16" s="30">
        <v>-2</v>
      </c>
      <c r="B16" s="31" t="s">
        <v>55</v>
      </c>
      <c r="C16" s="32"/>
      <c r="D16" s="113"/>
      <c r="E16" s="112"/>
      <c r="F16" s="112"/>
      <c r="G16" s="112"/>
      <c r="H16" s="112"/>
      <c r="I16" s="112">
        <v>88738833.760000005</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36</v>
      </c>
      <c r="C17" s="32" t="s">
        <v>65</v>
      </c>
      <c r="D17" s="168"/>
      <c r="E17" s="169"/>
      <c r="F17" s="169"/>
      <c r="G17" s="169"/>
      <c r="H17" s="169"/>
      <c r="I17" s="169">
        <v>1.0030433776122234</v>
      </c>
      <c r="J17" s="16"/>
      <c r="K17" s="16"/>
      <c r="M17" s="75"/>
      <c r="N17" s="6"/>
    </row>
    <row r="18" spans="1:14" ht="18" customHeight="1" x14ac:dyDescent="0.25">
      <c r="A18" s="30">
        <v>-4</v>
      </c>
      <c r="B18" s="31" t="s">
        <v>130</v>
      </c>
      <c r="C18" s="32" t="s">
        <v>66</v>
      </c>
      <c r="D18" s="168"/>
      <c r="E18" s="169"/>
      <c r="F18" s="169"/>
      <c r="G18" s="169"/>
      <c r="H18" s="169"/>
      <c r="I18" s="169">
        <v>1.0078868513200352</v>
      </c>
      <c r="J18" s="170">
        <v>2.9513230952369351E-3</v>
      </c>
      <c r="K18" s="16"/>
      <c r="M18" s="226" t="str">
        <f>IF(AND(New_Program=FALSE,ISBLANK($J$18)),"← ERROR! Enter Annual Premium Trend as a percentage in the 'Projected' column.","")</f>
        <v/>
      </c>
      <c r="N18" s="6"/>
    </row>
    <row r="19" spans="1:14"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56</v>
      </c>
      <c r="C20" s="32"/>
      <c r="D20" s="113"/>
      <c r="E20" s="112"/>
      <c r="F20" s="112"/>
      <c r="G20" s="112"/>
      <c r="H20" s="112"/>
      <c r="I20" s="112">
        <v>541333.94999999995</v>
      </c>
      <c r="J20" s="16"/>
      <c r="K20" s="112"/>
      <c r="M20" s="226" t="str">
        <f>IF(AND(New_Program=TRUE,ISBLANK($K$20)),"← ERROR! Enter projected figure for new program, or deselect 'New Program' on Page '1.General'.","")</f>
        <v/>
      </c>
      <c r="N20" s="6"/>
    </row>
    <row r="21" spans="1:14" ht="18" customHeight="1" x14ac:dyDescent="0.25">
      <c r="A21" s="30">
        <v>-7</v>
      </c>
      <c r="B21" s="31" t="s">
        <v>133</v>
      </c>
      <c r="C21" s="32"/>
      <c r="D21" s="113"/>
      <c r="E21" s="112"/>
      <c r="F21" s="112"/>
      <c r="G21" s="112"/>
      <c r="H21" s="112"/>
      <c r="I21" s="112">
        <v>41112306.979999997</v>
      </c>
      <c r="J21" s="16"/>
      <c r="K21" s="112"/>
      <c r="M21" s="226" t="str">
        <f>IF(AND(New_Program=TRUE,ISBLANK($K$21)),"← ERROR! Enter projected figure for new program, or deselect 'New Program' on Page '1.General'.","")</f>
        <v/>
      </c>
      <c r="N21" s="6"/>
    </row>
    <row r="22" spans="1:14" ht="30" customHeight="1" x14ac:dyDescent="0.25">
      <c r="A22" s="30">
        <v>-8</v>
      </c>
      <c r="B22" s="31" t="s">
        <v>57</v>
      </c>
      <c r="C22" s="32"/>
      <c r="D22" s="113"/>
      <c r="E22" s="112"/>
      <c r="F22" s="112"/>
      <c r="G22" s="112"/>
      <c r="H22" s="112"/>
      <c r="I22" s="112">
        <v>334101.88</v>
      </c>
      <c r="J22" s="16"/>
      <c r="K22" s="112"/>
      <c r="M22" s="226" t="str">
        <f>IF(AND(New_Program=TRUE,ISBLANK($K$22)),"← ERROR! Enter projected figure for new program, or deselect 'New Program' on Page '1.General'.","")</f>
        <v/>
      </c>
      <c r="N22" s="6"/>
    </row>
    <row r="23" spans="1:14" ht="18" customHeight="1" x14ac:dyDescent="0.25">
      <c r="A23" s="30">
        <v>-9</v>
      </c>
      <c r="B23" s="31" t="s">
        <v>60</v>
      </c>
      <c r="C23" s="32" t="s">
        <v>68</v>
      </c>
      <c r="D23" s="168"/>
      <c r="E23" s="169"/>
      <c r="F23" s="169"/>
      <c r="G23" s="169"/>
      <c r="H23" s="169"/>
      <c r="I23" s="169">
        <v>1.2462101268606165</v>
      </c>
      <c r="J23" s="16"/>
      <c r="K23" s="16"/>
      <c r="M23" s="75"/>
      <c r="N23" s="6"/>
    </row>
    <row r="24" spans="1:14" ht="18" customHeight="1" x14ac:dyDescent="0.25">
      <c r="A24" s="30">
        <v>-10</v>
      </c>
      <c r="B24" s="31" t="s">
        <v>61</v>
      </c>
      <c r="C24" s="32" t="s">
        <v>68</v>
      </c>
      <c r="D24" s="168"/>
      <c r="E24" s="169"/>
      <c r="F24" s="169"/>
      <c r="G24" s="169"/>
      <c r="H24" s="169"/>
      <c r="I24" s="169">
        <v>5.842402577799886</v>
      </c>
      <c r="J24" s="16"/>
      <c r="K24" s="16"/>
      <c r="M24" s="75"/>
      <c r="N24" s="6"/>
    </row>
    <row r="25" spans="1:14" ht="18" customHeight="1" x14ac:dyDescent="0.25">
      <c r="A25" s="30">
        <v>-11</v>
      </c>
      <c r="B25" s="31" t="s">
        <v>132</v>
      </c>
      <c r="C25" s="32" t="s">
        <v>69</v>
      </c>
      <c r="D25" s="168"/>
      <c r="E25" s="169"/>
      <c r="F25" s="169"/>
      <c r="G25" s="169"/>
      <c r="H25" s="169"/>
      <c r="I25" s="169">
        <v>1.0353892008017331</v>
      </c>
      <c r="J25" s="170">
        <v>1.3131461319198179E-2</v>
      </c>
      <c r="K25" s="16"/>
      <c r="M25" s="226" t="str">
        <f>IF(AND(New_Program=FALSE,ISBLANK($J$25)),"← ERROR! Enter Annual Loss Trend as a percentage in the 'Projected' column","")</f>
        <v/>
      </c>
      <c r="N25" s="6"/>
    </row>
    <row r="26" spans="1:14" ht="18" customHeight="1" x14ac:dyDescent="0.25">
      <c r="A26" s="30">
        <v>-12</v>
      </c>
      <c r="B26" s="31" t="s">
        <v>131</v>
      </c>
      <c r="C26" s="32" t="s">
        <v>69</v>
      </c>
      <c r="D26" s="168"/>
      <c r="E26" s="169"/>
      <c r="F26" s="169"/>
      <c r="G26" s="169"/>
      <c r="H26" s="169"/>
      <c r="I26" s="169">
        <v>1.0353892008017331</v>
      </c>
      <c r="J26" s="170">
        <v>1.3131461319198179E-2</v>
      </c>
      <c r="K26" s="16"/>
      <c r="M26" s="226" t="str">
        <f>IF(AND(New_Program=FALSE,ISBLANK($J$26)),"← ERROR! Enter Annual DCCE Trend as a percentage in the 'Projected' column","")</f>
        <v/>
      </c>
      <c r="N26" s="6"/>
    </row>
    <row r="27" spans="1:14" ht="18" customHeight="1" x14ac:dyDescent="0.25">
      <c r="A27" s="30">
        <v>-13</v>
      </c>
      <c r="B27" s="31" t="s">
        <v>62</v>
      </c>
      <c r="C27" s="32" t="s">
        <v>70</v>
      </c>
      <c r="D27" s="168"/>
      <c r="E27" s="169"/>
      <c r="F27" s="169"/>
      <c r="G27" s="169"/>
      <c r="H27" s="169"/>
      <c r="I27" s="169">
        <v>1.0582663776281389</v>
      </c>
      <c r="J27" s="16"/>
      <c r="K27" s="16"/>
      <c r="M27" s="75"/>
      <c r="N27" s="6"/>
    </row>
    <row r="28" spans="1:14" ht="18" customHeight="1" x14ac:dyDescent="0.25">
      <c r="A28" s="30">
        <v>-14</v>
      </c>
      <c r="B28" s="26" t="s">
        <v>727</v>
      </c>
      <c r="C28" s="32" t="s">
        <v>71</v>
      </c>
      <c r="D28" s="27"/>
      <c r="E28" s="16"/>
      <c r="F28" s="16"/>
      <c r="G28" s="16"/>
      <c r="H28" s="16"/>
      <c r="I28" s="16"/>
      <c r="J28" s="171">
        <v>1</v>
      </c>
      <c r="K28" s="16"/>
      <c r="M28" s="227"/>
      <c r="N28" s="6"/>
    </row>
    <row r="29" spans="1:14"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c r="N33" s="6"/>
    </row>
    <row r="34" spans="1:14"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c r="N34" s="6"/>
    </row>
    <row r="35" spans="1:14"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337</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156</v>
      </c>
      <c r="C40" s="32" t="s">
        <v>111</v>
      </c>
      <c r="D40" s="16"/>
      <c r="E40" s="16"/>
      <c r="F40" s="16"/>
      <c r="G40" s="16"/>
      <c r="H40" s="16"/>
      <c r="I40" s="16"/>
      <c r="J40" s="170"/>
      <c r="K40" s="16"/>
      <c r="M40" s="227"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710</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706</v>
      </c>
      <c r="M47" s="226"/>
      <c r="N47" s="6"/>
    </row>
    <row r="48" spans="1:14" ht="17.25" customHeight="1" thickBot="1" x14ac:dyDescent="0.3">
      <c r="A48" s="6" t="s">
        <v>323</v>
      </c>
      <c r="M48" s="226"/>
      <c r="N48" s="6"/>
    </row>
    <row r="49" spans="1:15" ht="17.25" hidden="1" customHeight="1" x14ac:dyDescent="0.25">
      <c r="A49" s="6" t="s">
        <v>338</v>
      </c>
      <c r="J49" s="159"/>
      <c r="M49" s="172"/>
      <c r="N49" s="6"/>
    </row>
    <row r="50" spans="1:15" ht="17.25" hidden="1" customHeight="1" thickBot="1" x14ac:dyDescent="0.3">
      <c r="A50" s="6" t="s">
        <v>157</v>
      </c>
      <c r="J50" s="78"/>
      <c r="M50" s="76"/>
      <c r="N50" s="6"/>
    </row>
    <row r="51" spans="1:15" ht="20.100000000000001" customHeight="1" x14ac:dyDescent="0.25">
      <c r="A51" s="6"/>
      <c r="H51" s="656" t="s">
        <v>666</v>
      </c>
      <c r="I51" s="656"/>
      <c r="J51" s="656"/>
      <c r="K51" s="656"/>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Sw3G24aVLBZnurPiRTDBM1Wfo5FyIfx+HF3vzfBHjE9Asc8Rwk6uZ+VrRcK8ajoAzcgDRtmwMMhmvo6SkoW60Q==" saltValue="aqZXyFeOoTfLmklyLAuV1A=="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7" zoomScaleNormal="100" zoomScaleSheetLayoutView="100" workbookViewId="0">
      <selection activeCell="C8" sqref="C8"/>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Detailed_LineDesc03</f>
        <v>Homeowners Multiple Peril</v>
      </c>
      <c r="M10" s="226"/>
    </row>
    <row r="11" spans="1:13" ht="18" customHeight="1" x14ac:dyDescent="0.25">
      <c r="B11" s="7" t="s">
        <v>78</v>
      </c>
      <c r="G11" t="str">
        <f>Covg03</f>
        <v>Condominium Unitowners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103381139.01000001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97279106.609999999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1.0703545008635642</v>
      </c>
      <c r="J17" s="16"/>
      <c r="K17" s="16"/>
      <c r="M17" s="75"/>
    </row>
    <row r="18" spans="1:13" ht="18" customHeight="1" x14ac:dyDescent="0.25">
      <c r="A18" s="30">
        <v>-4</v>
      </c>
      <c r="B18" s="31" t="s">
        <v>130</v>
      </c>
      <c r="C18" s="32" t="s">
        <v>66</v>
      </c>
      <c r="D18" s="168"/>
      <c r="E18" s="169"/>
      <c r="F18" s="169"/>
      <c r="G18" s="169"/>
      <c r="H18" s="169"/>
      <c r="I18" s="169">
        <v>1.0915991263480467</v>
      </c>
      <c r="J18" s="170">
        <v>3.3424092622288404E-2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152652.13</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61817673.869999997</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742989.87</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1.1310178665795489</v>
      </c>
      <c r="J23" s="16"/>
      <c r="K23" s="16"/>
      <c r="M23" s="75"/>
    </row>
    <row r="24" spans="1:13" ht="18" customHeight="1" x14ac:dyDescent="0.25">
      <c r="A24" s="30">
        <v>-10</v>
      </c>
      <c r="B24" s="31" t="s">
        <v>61</v>
      </c>
      <c r="C24" s="32" t="s">
        <v>68</v>
      </c>
      <c r="D24" s="168"/>
      <c r="E24" s="169"/>
      <c r="F24" s="169"/>
      <c r="G24" s="169"/>
      <c r="H24" s="169"/>
      <c r="I24" s="169">
        <v>5.1027968051799952</v>
      </c>
      <c r="J24" s="16"/>
      <c r="K24" s="16"/>
      <c r="M24" s="75"/>
    </row>
    <row r="25" spans="1:13" ht="18" customHeight="1" x14ac:dyDescent="0.25">
      <c r="A25" s="30">
        <v>-11</v>
      </c>
      <c r="B25" s="31" t="s">
        <v>132</v>
      </c>
      <c r="C25" s="32" t="s">
        <v>69</v>
      </c>
      <c r="D25" s="168"/>
      <c r="E25" s="169"/>
      <c r="F25" s="169"/>
      <c r="G25" s="169"/>
      <c r="H25" s="169"/>
      <c r="I25" s="169">
        <v>1.1908327870627538</v>
      </c>
      <c r="J25" s="170">
        <v>6.7711175143383651E-2</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1.1908327870627538</v>
      </c>
      <c r="J26" s="170">
        <v>6.7711175143383651E-2</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1.0290927195962132</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667</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QEK/VoOnHB1LvhfBzBoElewQx+W8TvXMMe3le2ApAE/TG2zByfrBjP19um6PePoEBQQjTmz9LVgmMZON3PTDzw==" saltValue="gaxc4YV5IM0t2HMk99TPFw=="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Detailed_LineDesc04</f>
        <v/>
      </c>
      <c r="M10" s="226"/>
    </row>
    <row r="11" spans="1:13" ht="18" customHeight="1" x14ac:dyDescent="0.25">
      <c r="B11" s="7" t="s">
        <v>78</v>
      </c>
      <c r="G11" t="str">
        <f>Covg04</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3" ht="17.25" hidden="1" customHeight="1" x14ac:dyDescent="0.25">
      <c r="A49" s="6" t="s">
        <v>338</v>
      </c>
      <c r="J49" s="159"/>
      <c r="M49" s="172"/>
    </row>
    <row r="50" spans="1:13" ht="17.25" hidden="1" customHeight="1" thickBot="1" x14ac:dyDescent="0.3">
      <c r="A50" s="6" t="s">
        <v>157</v>
      </c>
      <c r="J50" s="78"/>
      <c r="M50" s="76"/>
    </row>
    <row r="51" spans="1:13" ht="20.100000000000001" customHeight="1" x14ac:dyDescent="0.25">
      <c r="A51" s="6"/>
      <c r="H51" s="656" t="s">
        <v>668</v>
      </c>
      <c r="I51" s="656"/>
      <c r="J51" s="656"/>
      <c r="K51" s="656"/>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yw9XtWRoVu9VyYmJHcj9UoUkWU7biE4s9kGYG1+Buvi/8z3+o2qe4dLq2FJ7AN5on2yjeQp69NnEOpDQeSrZaQ==" saltValue="xB4XWb00GRBUSYQj9RZHOw=="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Detailed_LineDesc05</f>
        <v/>
      </c>
      <c r="M10" s="226"/>
    </row>
    <row r="11" spans="1:13" ht="18" customHeight="1" x14ac:dyDescent="0.25">
      <c r="B11" s="7" t="s">
        <v>78</v>
      </c>
      <c r="G11" t="str">
        <f>Covg05</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669</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mxRO1FboOBUAICfVUoN4LcCpHLvlHQDumsBh3oO09hLfVVC6DT4mcoCZs3FmKVdAw8hVZhbyDGjtRb47NaBw8Q==" saltValue="xiLoJCaxqJ0T8pk2F6TVrQ=="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Detailed_LineDesc06</f>
        <v/>
      </c>
      <c r="M10" s="226"/>
    </row>
    <row r="11" spans="1:13" ht="18" customHeight="1" x14ac:dyDescent="0.25">
      <c r="B11" s="7" t="s">
        <v>78</v>
      </c>
      <c r="G11" t="str">
        <f>Covg06</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670</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SlXzsK/YqfbQiEI1cG4HVcGFbyVZor1f5I7CQhKjnAxCc8eL3nAVpIjIxiPgGx4SfPompyl/GVQON43fsqBurA==" saltValue="T0/zin2RST4dXz7jStxkWg=="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Detailed_LineDesc07</f>
        <v/>
      </c>
      <c r="M10" s="226"/>
    </row>
    <row r="11" spans="1:13" ht="18" customHeight="1" x14ac:dyDescent="0.25">
      <c r="B11" s="7" t="s">
        <v>78</v>
      </c>
      <c r="G11" t="str">
        <f>Covg07</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671</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UusbYanonux37gH20PWxRi3L+jZn/epQa1zqseYJ+pCl+GGJW1aesei1IE6+gnXbMg4kqvVEdiDFafW6B9nZ+w==" saltValue="lQkW6zdq4opMGMQwhcfZmg=="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Detailed_LineDesc08</f>
        <v/>
      </c>
      <c r="M10" s="226"/>
    </row>
    <row r="11" spans="1:13" ht="18" customHeight="1" x14ac:dyDescent="0.25">
      <c r="B11" s="7" t="s">
        <v>78</v>
      </c>
      <c r="G11" t="str">
        <f>Covg08</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672</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FAd3sruBqMr1YUH2hrxoi24m2kkjr0T37lnSLlaijT5nXx6dc6q6/Th+yeZffRgT35Zl7nuaroOY2gAIW/sniQ==" saltValue="cJq5M3vP1L+eHQJEkjqfeQ=="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Detailed_LineDesc09</f>
        <v/>
      </c>
      <c r="M10" s="226"/>
    </row>
    <row r="11" spans="1:13" ht="18" customHeight="1" x14ac:dyDescent="0.25">
      <c r="B11" s="7" t="s">
        <v>78</v>
      </c>
      <c r="G11" t="str">
        <f>Covg09</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673</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8IbykWByRjzmGIXFJWZD29cxfsdDproqUXGc6p/fVWBGcuOKY5V/RH2+PxIWRKnxyfj7Jpw1uo3piz1j+jl+g==" saltValue="RH3IxbgXOXP1d9uM9sAlEA=="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Detailed_LineDesc10</f>
        <v/>
      </c>
      <c r="M10" s="226"/>
    </row>
    <row r="11" spans="1:13" ht="18" customHeight="1" x14ac:dyDescent="0.25">
      <c r="B11" s="7" t="s">
        <v>78</v>
      </c>
      <c r="G11" t="str">
        <f>Covg10</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674</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1dGUqF35j2JIWI8h4uaAu/dZnClnMQQFgy35tPYENs+n8Ush3jh8ymXK3DwAVt0vnJHa7t/4QOy6P0YyX3J58w==" saltValue="zSRJP5lceYQLj2qrz2Z/X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43" zoomScaleNormal="100" zoomScaleSheetLayoutView="100" workbookViewId="0">
      <selection activeCell="C8" sqref="C8"/>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IF('6.1Ratemaking Data'!$K$7="","VARIANCE - NONE","VARIANCE "&amp;'6.1Ratemaking Data'!$K$7)</f>
        <v>VARIANCE 8F</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EffDate_Prior01</f>
        <v>45078</v>
      </c>
    </row>
    <row r="10" spans="1:8" ht="15" customHeight="1" x14ac:dyDescent="0.25">
      <c r="A10" s="6" t="s">
        <v>170</v>
      </c>
      <c r="B10" s="52"/>
      <c r="H10" s="161">
        <f>EffDate_Proposed</f>
        <v>45366</v>
      </c>
    </row>
    <row r="11" spans="1:8" ht="15" customHeight="1" x14ac:dyDescent="0.25">
      <c r="A11" s="6" t="s">
        <v>77</v>
      </c>
      <c r="B11" s="52"/>
      <c r="H11" s="23" t="str">
        <f>Detailed_LineDesc01</f>
        <v>Homeowners Multiple Peril</v>
      </c>
    </row>
    <row r="12" spans="1:8" ht="15" customHeight="1" x14ac:dyDescent="0.25">
      <c r="A12" s="6" t="s">
        <v>78</v>
      </c>
      <c r="B12" s="52"/>
      <c r="H12" s="23" t="str">
        <f>Covg01</f>
        <v>Non-Tenant Homeowners</v>
      </c>
    </row>
    <row r="13" spans="1:8" ht="15" customHeight="1" x14ac:dyDescent="0.25">
      <c r="H13" s="511"/>
    </row>
    <row r="14" spans="1:8" ht="9.9499999999999993" customHeight="1" x14ac:dyDescent="0.25"/>
    <row r="15" spans="1:8" ht="15.75" thickBot="1" x14ac:dyDescent="0.3">
      <c r="A15" s="7" t="s">
        <v>171</v>
      </c>
      <c r="B15" s="228" t="str">
        <f>'6.1Ratemaking Data'!D$14</f>
        <v>20172</v>
      </c>
      <c r="C15" s="228" t="str">
        <f>'6.1Ratemaking Data'!E$14</f>
        <v>20182</v>
      </c>
      <c r="D15" s="228" t="str">
        <f>'6.1Ratemaking Data'!F$14</f>
        <v>20192</v>
      </c>
      <c r="E15" s="228" t="str">
        <f>'6.1Ratemaking Data'!G$14</f>
        <v>20202</v>
      </c>
      <c r="F15" s="228" t="str">
        <f>'6.1Ratemaking Data'!H$14</f>
        <v>20212</v>
      </c>
      <c r="G15" s="228">
        <f>'6.1Ratemaking Data'!I$14</f>
        <v>20222</v>
      </c>
      <c r="H15" s="91" t="s">
        <v>306</v>
      </c>
    </row>
    <row r="16" spans="1:8" x14ac:dyDescent="0.25">
      <c r="A16" s="114" t="s">
        <v>173</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1901145824.1900001</v>
      </c>
      <c r="H16" s="116">
        <f>IF(New_Program=TRUE,'6.1Ratemaking Data'!$K$15,SUM($B16:$G16))</f>
        <v>1901145824.1900001</v>
      </c>
    </row>
    <row r="17" spans="1:10" x14ac:dyDescent="0.25">
      <c r="A17" s="117" t="s">
        <v>172</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1706464268.8299999</v>
      </c>
      <c r="H17" s="119">
        <f>IF(New_Program=TRUE,'6.1Ratemaking Data'!$K$16,SUM($B17:$G17))</f>
        <v>1706464268.8299999</v>
      </c>
    </row>
    <row r="18" spans="1:10" x14ac:dyDescent="0.25">
      <c r="A18" s="117" t="s">
        <v>174</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1.1562743942203026</v>
      </c>
      <c r="H18" s="121"/>
    </row>
    <row r="19" spans="1:10" x14ac:dyDescent="0.25">
      <c r="A19" s="117" t="s">
        <v>175</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1.1466630701133407</v>
      </c>
      <c r="H19" s="127">
        <f>IF(New_Program=TRUE,0,'6.1Ratemaking Data'!$J$18)</f>
        <v>5.2646898601650172E-2</v>
      </c>
    </row>
    <row r="20" spans="1:10" x14ac:dyDescent="0.25">
      <c r="A20" s="117" t="s">
        <v>176</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177</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1204361.24</v>
      </c>
      <c r="H21" s="119">
        <f>IF(New_Program=TRUE,'6.1Ratemaking Data'!$K$20,SUM($B21:$G21))</f>
        <v>1204361.24</v>
      </c>
      <c r="J21" s="111"/>
    </row>
    <row r="22" spans="1:10" x14ac:dyDescent="0.25">
      <c r="A22" s="117" t="s">
        <v>178</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790929424.91999996</v>
      </c>
      <c r="H22" s="119">
        <f>IF(New_Program=TRUE,'6.1Ratemaking Data'!$K$21,SUM($B22:$G22))</f>
        <v>790929424.91999996</v>
      </c>
      <c r="J22" s="111"/>
    </row>
    <row r="23" spans="1:10" x14ac:dyDescent="0.25">
      <c r="A23" s="117" t="s">
        <v>144</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6326873.7000000002</v>
      </c>
      <c r="H23" s="119">
        <f>IF(New_Program=TRUE,'6.1Ratemaking Data'!$K$22,SUM($B23:$G23))</f>
        <v>6326873.7000000002</v>
      </c>
      <c r="J23" s="111"/>
    </row>
    <row r="24" spans="1:10" x14ac:dyDescent="0.25">
      <c r="A24" s="117" t="s">
        <v>181</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1.2434207039947311</v>
      </c>
      <c r="H24" s="121"/>
    </row>
    <row r="25" spans="1:10" x14ac:dyDescent="0.25">
      <c r="A25" s="117" t="s">
        <v>182</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7.1615927338018581</v>
      </c>
      <c r="H25" s="121"/>
    </row>
    <row r="26" spans="1:10" x14ac:dyDescent="0.25">
      <c r="A26" s="117" t="s">
        <v>179</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1.3214161816898531</v>
      </c>
      <c r="H26" s="127">
        <f>IF(New_Program=TRUE,0,'6.1Ratemaking Data'!$J$25)</f>
        <v>0.11014117376405186</v>
      </c>
    </row>
    <row r="27" spans="1:10" x14ac:dyDescent="0.25">
      <c r="A27" s="117" t="s">
        <v>180</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1.3214161816898531</v>
      </c>
      <c r="H27" s="127">
        <f>IF(New_Program=TRUE,0,'6.1Ratemaking Data'!$J$26)</f>
        <v>0.11014117376405186</v>
      </c>
    </row>
    <row r="28" spans="1:10" x14ac:dyDescent="0.25">
      <c r="A28" s="117" t="s">
        <v>183</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1.3661529228701594</v>
      </c>
      <c r="H28" s="121"/>
    </row>
    <row r="29" spans="1:10" ht="15.75" thickBot="1" x14ac:dyDescent="0.3">
      <c r="A29" s="133" t="s">
        <v>188</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184</v>
      </c>
      <c r="B30" s="122"/>
      <c r="C30" s="122"/>
      <c r="D30" s="122"/>
      <c r="E30" s="122"/>
      <c r="F30" s="122"/>
      <c r="G30" s="122"/>
      <c r="H30" s="127">
        <f>IF(New_Program=TRUE,100%,'6.1Ratemaking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EffStd_Final01</f>
        <v>0.33989442694828298</v>
      </c>
    </row>
    <row r="38" spans="1:9" x14ac:dyDescent="0.25">
      <c r="A38" s="117" t="s">
        <v>191</v>
      </c>
      <c r="B38" s="77"/>
      <c r="C38" s="77"/>
      <c r="D38" s="77"/>
      <c r="E38" s="77"/>
      <c r="F38" s="577" t="s">
        <v>317</v>
      </c>
      <c r="G38" s="578">
        <f>update_leverage</f>
        <v>2021</v>
      </c>
      <c r="H38" s="162">
        <f ca="1">LevFact_Final01</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1/LevFact_Final01</f>
        <v>1.0922734462702384</v>
      </c>
    </row>
    <row r="41" spans="1:9" x14ac:dyDescent="0.25">
      <c r="A41" s="117" t="s">
        <v>198</v>
      </c>
      <c r="B41" s="77"/>
      <c r="C41" s="77"/>
      <c r="D41" s="77"/>
      <c r="E41" s="77"/>
      <c r="F41" s="577" t="s">
        <v>317</v>
      </c>
      <c r="G41" s="578">
        <f>update_reserveratios</f>
        <v>2021</v>
      </c>
      <c r="H41" s="163">
        <f ca="1">ResRatio_UPR01</f>
        <v>0.52182970801271056</v>
      </c>
    </row>
    <row r="42" spans="1:9" x14ac:dyDescent="0.25">
      <c r="A42" s="117" t="s">
        <v>194</v>
      </c>
      <c r="B42" s="77"/>
      <c r="C42" s="77"/>
      <c r="D42" s="77"/>
      <c r="E42" s="77"/>
      <c r="F42" s="577" t="s">
        <v>317</v>
      </c>
      <c r="G42" s="578">
        <f>update_reserveratios</f>
        <v>2021</v>
      </c>
      <c r="H42" s="163">
        <f ca="1">ResRatio_Loss01</f>
        <v>1.3010095886105004</v>
      </c>
    </row>
    <row r="43" spans="1:9" x14ac:dyDescent="0.25">
      <c r="A43" s="117" t="s">
        <v>195</v>
      </c>
      <c r="B43" s="77"/>
      <c r="C43" s="77"/>
      <c r="D43" s="77"/>
      <c r="E43" s="77"/>
      <c r="F43" s="574" t="s">
        <v>317</v>
      </c>
      <c r="G43" s="574"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'6.1Ratemaking Data'!D$14</f>
        <v>20172</v>
      </c>
      <c r="C47" s="228" t="str">
        <f>'6.1Ratemaking Data'!E$14</f>
        <v>20182</v>
      </c>
      <c r="D47" s="228" t="str">
        <f>'6.1Ratemaking Data'!F$14</f>
        <v>20192</v>
      </c>
      <c r="E47" s="228" t="str">
        <f>'6.1Ratemaking Data'!G$14</f>
        <v>20202</v>
      </c>
      <c r="F47" s="228" t="str">
        <f>'6.1Ratemaking Data'!H$14</f>
        <v>20212</v>
      </c>
      <c r="G47" s="228">
        <f>'6.1Ratemaking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2262527846.5360608</v>
      </c>
      <c r="H48" s="116">
        <f>IF(New_Program=TRUE,(Prem_Earned+Misc_Fees),SUM($B48:$G48))</f>
        <v>2262527846.5360608</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1775394064.951602</v>
      </c>
      <c r="H49" s="119">
        <f>IF(New_Program=TRUE,Losses,SUM($B49:$G49))</f>
        <v>1775394064.951602</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81797065.073623538</v>
      </c>
      <c r="H50" s="119">
        <f>IF(New_Program=TRUE,DCCE,SUM($B50:$G50))</f>
        <v>81797065.073623538</v>
      </c>
    </row>
    <row r="51" spans="1:9" x14ac:dyDescent="0.25">
      <c r="A51" s="117" t="s">
        <v>202</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0.82084785514069702</v>
      </c>
      <c r="H51" s="127">
        <f t="shared" si="6"/>
        <v>0.82084785514069702</v>
      </c>
    </row>
    <row r="52" spans="1:9" x14ac:dyDescent="0.25">
      <c r="A52" s="117" t="s">
        <v>215</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1878.6123061682563</v>
      </c>
      <c r="H52" s="130">
        <f t="shared" si="7"/>
        <v>1878.6123061682563</v>
      </c>
    </row>
    <row r="53" spans="1:9" x14ac:dyDescent="0.25">
      <c r="A53" s="117" t="s">
        <v>203</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1542.0548821591317</v>
      </c>
      <c r="H53" s="130">
        <f t="shared" si="8"/>
        <v>1542.0548821591317</v>
      </c>
    </row>
    <row r="54" spans="1:9" x14ac:dyDescent="0.25">
      <c r="A54" s="117" t="s">
        <v>204</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1246.0772657500304</v>
      </c>
      <c r="H54" s="130">
        <f t="shared" ca="1" si="9"/>
        <v>1246.0772657500304</v>
      </c>
    </row>
    <row r="55" spans="1:9" x14ac:dyDescent="0.25">
      <c r="A55" s="117" t="s">
        <v>214</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1542.0548821591317</v>
      </c>
      <c r="H55" s="130">
        <f t="shared" ca="1" si="10"/>
        <v>1542.0548821591317</v>
      </c>
    </row>
    <row r="56" spans="1:9" ht="15.75" thickBot="1" x14ac:dyDescent="0.3">
      <c r="A56" s="133" t="s">
        <v>216</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217</v>
      </c>
      <c r="B57" s="77"/>
      <c r="C57" s="77"/>
      <c r="D57" s="77"/>
      <c r="E57" s="77"/>
      <c r="F57" s="77"/>
      <c r="G57" s="77"/>
      <c r="H57" s="127">
        <f ca="1">Yield*((1-FIT_Inv)/(1-FIT_UW))*ResRatio_Loss01</f>
        <v>6.0417189562510278E-2</v>
      </c>
    </row>
    <row r="58" spans="1:9" x14ac:dyDescent="0.25">
      <c r="A58" s="117" t="s">
        <v>218</v>
      </c>
      <c r="B58" s="77"/>
      <c r="C58" s="77"/>
      <c r="D58" s="77"/>
      <c r="E58" s="77"/>
      <c r="F58" s="77"/>
      <c r="G58" s="77"/>
      <c r="H58" s="127">
        <f ca="1">Yield*((1-FIT_Inv)/(1-FIT_UW))*(ResRatio_UPR01+SurplusRatio)</f>
        <v>7.4956846666988208E-2</v>
      </c>
    </row>
    <row r="59" spans="1:9" x14ac:dyDescent="0.25">
      <c r="A59" s="117" t="s">
        <v>206</v>
      </c>
      <c r="B59" s="128"/>
      <c r="C59" s="128"/>
      <c r="D59" s="128"/>
      <c r="E59" s="128"/>
      <c r="F59" s="128"/>
      <c r="G59" s="128"/>
      <c r="H59" s="127">
        <f>(1+Loss_AnnualTrend)/(1+Prem_AnnualTrend)-1</f>
        <v>5.4618766500692528E-2</v>
      </c>
    </row>
    <row r="60" spans="1:9" x14ac:dyDescent="0.25">
      <c r="A60" s="117" t="s">
        <v>205</v>
      </c>
      <c r="B60" s="128"/>
      <c r="C60" s="128"/>
      <c r="D60" s="128"/>
      <c r="E60" s="128"/>
      <c r="F60" s="128"/>
      <c r="G60" s="128"/>
      <c r="H60" s="127">
        <f>IF(New_Program=TRUE,0,(1+Net_AnnualTrend)^MIN(4,((EffDate_Proposed-EffDate_Prior01)/365.25))-1)</f>
        <v>4.2823529340336286E-2</v>
      </c>
    </row>
    <row r="61" spans="1:9" x14ac:dyDescent="0.25">
      <c r="A61" s="117" t="s">
        <v>207</v>
      </c>
      <c r="B61" s="128"/>
      <c r="C61" s="128"/>
      <c r="D61" s="128"/>
      <c r="E61" s="128"/>
      <c r="F61" s="128"/>
      <c r="G61" s="128"/>
      <c r="H61" s="127">
        <f ca="1">(ROR_Max)/(LevFact_Final01*(1-FIT_UW))</f>
        <v>0.13743288678387552</v>
      </c>
    </row>
    <row r="62" spans="1:9" x14ac:dyDescent="0.25">
      <c r="A62" s="117" t="s">
        <v>208</v>
      </c>
      <c r="B62" s="77"/>
      <c r="C62" s="77"/>
      <c r="D62" s="77"/>
      <c r="E62" s="77"/>
      <c r="F62" s="77"/>
      <c r="G62" s="77"/>
      <c r="H62" s="127">
        <f ca="1">(ROR_Min)/(LevFact_Final01*(1-FIT_UW))</f>
        <v>-8.2957476931916824E-2</v>
      </c>
    </row>
    <row r="63" spans="1:9" x14ac:dyDescent="0.25">
      <c r="A63" s="117" t="s">
        <v>209</v>
      </c>
      <c r="B63" s="77"/>
      <c r="C63" s="77"/>
      <c r="D63" s="77"/>
      <c r="E63" s="77"/>
      <c r="F63" s="77"/>
      <c r="G63" s="77"/>
      <c r="H63" s="127">
        <f ca="1">1-CredLossDCCE_perExp/Max_Premium-EffStd_Final01</f>
        <v>2.4047179586046186E-2</v>
      </c>
      <c r="I63" s="204"/>
    </row>
    <row r="64" spans="1:9" x14ac:dyDescent="0.25">
      <c r="A64" s="117" t="s">
        <v>211</v>
      </c>
      <c r="B64" s="77"/>
      <c r="C64" s="77"/>
      <c r="D64" s="77"/>
      <c r="E64" s="77"/>
      <c r="F64" s="77"/>
      <c r="G64" s="77"/>
      <c r="H64" s="129">
        <f ca="1">1-EffStd_Final01-Min_Profit+InvInc_Variable</f>
        <v>0.81801989665062202</v>
      </c>
      <c r="I64" s="204"/>
    </row>
    <row r="65" spans="1:9" x14ac:dyDescent="0.25">
      <c r="A65" s="117" t="s">
        <v>210</v>
      </c>
      <c r="B65" s="77"/>
      <c r="C65" s="77"/>
      <c r="D65" s="77"/>
      <c r="E65" s="77"/>
      <c r="F65" s="77"/>
      <c r="G65" s="77"/>
      <c r="H65" s="129">
        <f ca="1">1-EffStd_Final01-Max_Profit+InvInc_Variable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1771.2139594163834</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2424.3920023710198</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-5.7168978612159589E-2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0.29052279409154536</v>
      </c>
      <c r="I69" s="396"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233</v>
      </c>
      <c r="B71" s="228" t="str">
        <f>'6.1Ratemaking Data'!D$14</f>
        <v>20172</v>
      </c>
      <c r="C71" s="228" t="str">
        <f>'6.1Ratemaking Data'!E$14</f>
        <v>20182</v>
      </c>
      <c r="D71" s="228" t="str">
        <f>'6.1Ratemaking Data'!F$14</f>
        <v>20192</v>
      </c>
      <c r="E71" s="228" t="str">
        <f>'6.1Ratemaking Data'!G$14</f>
        <v>20202</v>
      </c>
      <c r="F71" s="228" t="str">
        <f>'6.1Ratemaking Data'!H$14</f>
        <v>20212</v>
      </c>
      <c r="G71" s="228">
        <f>'6.1Ratemaking Data'!I$14</f>
        <v>20222</v>
      </c>
    </row>
    <row r="72" spans="1:9" hidden="1" x14ac:dyDescent="0.25">
      <c r="A72" s="114" t="s">
        <v>232</v>
      </c>
      <c r="B72" s="125"/>
      <c r="C72" s="125"/>
      <c r="D72" s="125"/>
      <c r="E72" s="125"/>
      <c r="F72" s="125"/>
      <c r="G72" s="125"/>
      <c r="H72" s="131" t="str">
        <f>IF(ISBLANK('6.1Ratemaking Data'!J44),"",'6.1Ratemaking Data'!J44)</f>
        <v/>
      </c>
    </row>
    <row r="73" spans="1:9" hidden="1" x14ac:dyDescent="0.25">
      <c r="A73" s="117" t="s">
        <v>219</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220</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221</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222</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223</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57" t="s">
        <v>600</v>
      </c>
      <c r="G80" s="657"/>
      <c r="H80" s="657"/>
    </row>
    <row r="81" spans="1:1" x14ac:dyDescent="0.25">
      <c r="A81" s="132"/>
    </row>
  </sheetData>
  <sheetProtection algorithmName="SHA-512" hashValue="FxYbDtqTXgA3AUc61yygNHP8bc1/EqvM8S7fgxxj7z5TNZL2y4pdU2fjl6gC14H4wH0nsCgCvl2AsebUmbX/uw==" saltValue="mYUlxtvF1VQsgePx8Zv+FA=="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37" zoomScaleNormal="100" zoomScaleSheetLayoutView="100" workbookViewId="0">
      <selection activeCell="C8" sqref="C8"/>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IF('6.2Ratemaking Data'!$K$7="","VARIANCE - NONE","VARIANCE "&amp;'6.2Ratemaking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EffDate_Prior02</f>
        <v>44287</v>
      </c>
    </row>
    <row r="10" spans="1:8" ht="15" customHeight="1" x14ac:dyDescent="0.25">
      <c r="A10" s="6" t="s">
        <v>170</v>
      </c>
      <c r="B10" s="52"/>
      <c r="H10" s="161">
        <f>EffDate_Proposed</f>
        <v>45366</v>
      </c>
    </row>
    <row r="11" spans="1:8" ht="15" customHeight="1" x14ac:dyDescent="0.25">
      <c r="A11" s="6" t="s">
        <v>77</v>
      </c>
      <c r="B11" s="52"/>
      <c r="H11" s="23" t="str">
        <f>Detailed_LineDesc02</f>
        <v>Homeowners Multiple Peril</v>
      </c>
    </row>
    <row r="12" spans="1:8" ht="15" customHeight="1" x14ac:dyDescent="0.25">
      <c r="A12" s="6" t="s">
        <v>78</v>
      </c>
      <c r="B12" s="52"/>
      <c r="H12" s="23" t="str">
        <f>Covg02</f>
        <v>Renters</v>
      </c>
    </row>
    <row r="13" spans="1:8" ht="15" customHeight="1" x14ac:dyDescent="0.25">
      <c r="H13" s="511"/>
    </row>
    <row r="14" spans="1:8" ht="9.9499999999999993" customHeight="1" x14ac:dyDescent="0.25"/>
    <row r="15" spans="1:8" ht="15.75" thickBot="1" x14ac:dyDescent="0.3">
      <c r="A15" s="7" t="s">
        <v>171</v>
      </c>
      <c r="B15" s="228" t="str">
        <f>'6.2Ratemaking Data'!D$14</f>
        <v>20172</v>
      </c>
      <c r="C15" s="228" t="str">
        <f>'6.2Ratemaking Data'!E$14</f>
        <v>20182</v>
      </c>
      <c r="D15" s="228" t="str">
        <f>'6.2Ratemaking Data'!F$14</f>
        <v>20192</v>
      </c>
      <c r="E15" s="228" t="str">
        <f>'6.2Ratemaking Data'!G$14</f>
        <v>20202</v>
      </c>
      <c r="F15" s="228" t="str">
        <f>'6.2Ratemaking Data'!H$14</f>
        <v>20212</v>
      </c>
      <c r="G15" s="228">
        <f>'6.2Ratemaking Data'!I$14</f>
        <v>20222</v>
      </c>
      <c r="H15" s="91" t="s">
        <v>306</v>
      </c>
    </row>
    <row r="16" spans="1:8" x14ac:dyDescent="0.25">
      <c r="A16" s="114" t="s">
        <v>173</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90390186.269999996</v>
      </c>
      <c r="H16" s="116">
        <f>IF(New_Program=TRUE,'6.2Ratemaking Data'!$K$15,SUM($B16:$G16))</f>
        <v>90390186.269999996</v>
      </c>
    </row>
    <row r="17" spans="1:10" x14ac:dyDescent="0.25">
      <c r="A17" s="117" t="s">
        <v>172</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88738833.760000005</v>
      </c>
      <c r="H17" s="119">
        <f>IF(New_Program=TRUE,'6.2Ratemaking Data'!$K$16,SUM($B17:$G17))</f>
        <v>88738833.760000005</v>
      </c>
    </row>
    <row r="18" spans="1:10" x14ac:dyDescent="0.25">
      <c r="A18" s="117" t="s">
        <v>174</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1.0030433776122234</v>
      </c>
      <c r="H18" s="121"/>
    </row>
    <row r="19" spans="1:10" x14ac:dyDescent="0.25">
      <c r="A19" s="117" t="s">
        <v>175</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1.0078868513200352</v>
      </c>
      <c r="H19" s="127">
        <f>IF(New_Program=TRUE,0,'6.2Ratemaking Data'!$J$18)</f>
        <v>2.9513230952369351E-3</v>
      </c>
    </row>
    <row r="20" spans="1:10" x14ac:dyDescent="0.25">
      <c r="A20" s="117" t="s">
        <v>176</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177</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541333.94999999995</v>
      </c>
      <c r="H21" s="119">
        <f>IF(New_Program=TRUE,'6.2Ratemaking Data'!$K$20,SUM($B21:$G21))</f>
        <v>541333.94999999995</v>
      </c>
      <c r="J21" s="111"/>
    </row>
    <row r="22" spans="1:10" x14ac:dyDescent="0.25">
      <c r="A22" s="117" t="s">
        <v>178</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41112306.979999997</v>
      </c>
      <c r="H22" s="119">
        <f>IF(New_Program=TRUE,'6.2Ratemaking Data'!$K$21,SUM($B22:$G22))</f>
        <v>41112306.979999997</v>
      </c>
      <c r="J22" s="111"/>
    </row>
    <row r="23" spans="1:10" x14ac:dyDescent="0.25">
      <c r="A23" s="117" t="s">
        <v>144</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334101.88</v>
      </c>
      <c r="H23" s="119">
        <f>IF(New_Program=TRUE,'6.2Ratemaking Data'!$K$22,SUM($B23:$G23))</f>
        <v>334101.88</v>
      </c>
      <c r="J23" s="111"/>
    </row>
    <row r="24" spans="1:10" x14ac:dyDescent="0.25">
      <c r="A24" s="117" t="s">
        <v>181</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1.2462101268606165</v>
      </c>
      <c r="H24" s="121"/>
    </row>
    <row r="25" spans="1:10" x14ac:dyDescent="0.25">
      <c r="A25" s="117" t="s">
        <v>182</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5.842402577799886</v>
      </c>
      <c r="H25" s="121"/>
    </row>
    <row r="26" spans="1:10" x14ac:dyDescent="0.25">
      <c r="A26" s="117" t="s">
        <v>179</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1.0353892008017331</v>
      </c>
      <c r="H26" s="127">
        <f>IF(New_Program=TRUE,0,'6.2Ratemaking Data'!$J$25)</f>
        <v>1.3131461319198179E-2</v>
      </c>
    </row>
    <row r="27" spans="1:10" x14ac:dyDescent="0.25">
      <c r="A27" s="117" t="s">
        <v>180</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1.0353892008017331</v>
      </c>
      <c r="H27" s="127">
        <f>IF(New_Program=TRUE,0,'6.2Ratemaking Data'!$J$26)</f>
        <v>1.3131461319198179E-2</v>
      </c>
    </row>
    <row r="28" spans="1:10" x14ac:dyDescent="0.25">
      <c r="A28" s="117" t="s">
        <v>183</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1.0582663776281389</v>
      </c>
      <c r="H28" s="121"/>
    </row>
    <row r="29" spans="1:10" ht="15.75" thickBot="1" x14ac:dyDescent="0.3">
      <c r="A29" s="133" t="s">
        <v>188</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184</v>
      </c>
      <c r="B30" s="122"/>
      <c r="C30" s="122"/>
      <c r="D30" s="122"/>
      <c r="E30" s="122"/>
      <c r="F30" s="122"/>
      <c r="G30" s="122"/>
      <c r="H30" s="127">
        <f>IF(New_Program=TRUE,100%,'6.2Ratemaking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EffStd_Final02</f>
        <v>0.33989442694828298</v>
      </c>
    </row>
    <row r="38" spans="1:9" x14ac:dyDescent="0.25">
      <c r="A38" s="117" t="s">
        <v>191</v>
      </c>
      <c r="B38" s="77"/>
      <c r="C38" s="77"/>
      <c r="D38" s="77"/>
      <c r="E38" s="77"/>
      <c r="F38" s="577" t="s">
        <v>317</v>
      </c>
      <c r="G38" s="578">
        <f>update_leverage</f>
        <v>2021</v>
      </c>
      <c r="H38" s="162">
        <f ca="1">LevFact_Final02</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1/LevFact_Final02</f>
        <v>1.0922734462702384</v>
      </c>
    </row>
    <row r="41" spans="1:9" x14ac:dyDescent="0.25">
      <c r="A41" s="117" t="s">
        <v>198</v>
      </c>
      <c r="B41" s="77"/>
      <c r="C41" s="77"/>
      <c r="D41" s="77"/>
      <c r="E41" s="77"/>
      <c r="F41" s="577" t="s">
        <v>317</v>
      </c>
      <c r="G41" s="578">
        <f>update_reserveratios</f>
        <v>2021</v>
      </c>
      <c r="H41" s="163">
        <f ca="1">ResRatio_UPR02</f>
        <v>0.52182970801271056</v>
      </c>
    </row>
    <row r="42" spans="1:9" x14ac:dyDescent="0.25">
      <c r="A42" s="117" t="s">
        <v>194</v>
      </c>
      <c r="B42" s="77"/>
      <c r="C42" s="77"/>
      <c r="D42" s="77"/>
      <c r="E42" s="77"/>
      <c r="F42" s="577" t="s">
        <v>317</v>
      </c>
      <c r="G42" s="578">
        <f>update_reserveratios</f>
        <v>2021</v>
      </c>
      <c r="H42" s="163">
        <f ca="1">ResRatio_Loss02</f>
        <v>1.3010095886105004</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'6.2Ratemaking Data'!D$14</f>
        <v>20172</v>
      </c>
      <c r="C47" s="228" t="str">
        <f>'6.2Ratemaking Data'!E$14</f>
        <v>20182</v>
      </c>
      <c r="D47" s="228" t="str">
        <f>'6.2Ratemaking Data'!F$14</f>
        <v>20192</v>
      </c>
      <c r="E47" s="228" t="str">
        <f>'6.2Ratemaking Data'!G$14</f>
        <v>20202</v>
      </c>
      <c r="F47" s="228" t="str">
        <f>'6.2Ratemaking Data'!H$14</f>
        <v>20212</v>
      </c>
      <c r="G47" s="228">
        <f>'6.2Ratemaking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89710899.496831939</v>
      </c>
      <c r="H48" s="116">
        <f>IF(New_Program=TRUE,(Prem_Earned+Misc_Fees),SUM($B48:$G48))</f>
        <v>89710899.496831939</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56138622.612520173</v>
      </c>
      <c r="H49" s="119">
        <f>IF(New_Program=TRUE,Losses,SUM($B49:$G49))</f>
        <v>56138622.612520173</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2138794.3488116208</v>
      </c>
      <c r="H50" s="119">
        <f>IF(New_Program=TRUE,DCCE,SUM($B50:$G50))</f>
        <v>2138794.3488116208</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0.64961356187705832</v>
      </c>
      <c r="H51" s="127">
        <f t="shared" si="3"/>
        <v>0.64961356187705832</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165.72191619762984</v>
      </c>
      <c r="H52" s="130">
        <f t="shared" si="4"/>
        <v>165.72191619762984</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107.65520426223368</v>
      </c>
      <c r="H53" s="130">
        <f t="shared" si="5"/>
        <v>107.65520426223368</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108.60095344526007</v>
      </c>
      <c r="H54" s="130">
        <f t="shared" ca="1" si="6"/>
        <v>108.60095344526007</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107.65520426223368</v>
      </c>
      <c r="H55" s="130">
        <f t="shared" ca="1" si="7"/>
        <v>107.65520426223368</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Yield*((1-FIT_Inv)/(1-FIT_UW))*ResRatio_Loss02</f>
        <v>6.0417189562510278E-2</v>
      </c>
    </row>
    <row r="58" spans="1:9" x14ac:dyDescent="0.25">
      <c r="A58" s="117" t="s">
        <v>218</v>
      </c>
      <c r="B58" s="77"/>
      <c r="C58" s="77"/>
      <c r="D58" s="77"/>
      <c r="E58" s="77"/>
      <c r="F58" s="77"/>
      <c r="G58" s="77"/>
      <c r="H58" s="127">
        <f ca="1">Yield*((1-FIT_Inv)/(1-FIT_UW))*(ResRatio_UPR02+SurplusRatio)</f>
        <v>7.4956846666988208E-2</v>
      </c>
    </row>
    <row r="59" spans="1:9" x14ac:dyDescent="0.25">
      <c r="A59" s="117" t="s">
        <v>206</v>
      </c>
      <c r="B59" s="128"/>
      <c r="C59" s="128"/>
      <c r="D59" s="128"/>
      <c r="E59" s="128"/>
      <c r="F59" s="128"/>
      <c r="G59" s="128"/>
      <c r="H59" s="127">
        <f>(1+Loss_AnnualTrend)/(1+Prem_AnnualTrend)-1</f>
        <v>1.0150181758117549E-2</v>
      </c>
    </row>
    <row r="60" spans="1:9" x14ac:dyDescent="0.25">
      <c r="A60" s="117" t="s">
        <v>205</v>
      </c>
      <c r="B60" s="128"/>
      <c r="C60" s="128"/>
      <c r="D60" s="128"/>
      <c r="E60" s="128"/>
      <c r="F60" s="128"/>
      <c r="G60" s="128"/>
      <c r="H60" s="127">
        <f>IF(New_Program=TRUE,0,(1+Net_AnnualTrend)^MIN(4,((EffDate_Proposed-EffDate_Prior02)/365.25))-1)</f>
        <v>3.0283403176109003E-2</v>
      </c>
    </row>
    <row r="61" spans="1:9" x14ac:dyDescent="0.25">
      <c r="A61" s="117" t="s">
        <v>207</v>
      </c>
      <c r="B61" s="128"/>
      <c r="C61" s="128"/>
      <c r="D61" s="128"/>
      <c r="E61" s="128"/>
      <c r="F61" s="128"/>
      <c r="G61" s="128"/>
      <c r="H61" s="127">
        <f ca="1">(ROR_Max)/(LevFact_Final02*(1-FIT_UW))</f>
        <v>0.13743288678387552</v>
      </c>
    </row>
    <row r="62" spans="1:9" x14ac:dyDescent="0.25">
      <c r="A62" s="117" t="s">
        <v>208</v>
      </c>
      <c r="B62" s="77"/>
      <c r="C62" s="77"/>
      <c r="D62" s="77"/>
      <c r="E62" s="77"/>
      <c r="F62" s="77"/>
      <c r="G62" s="77"/>
      <c r="H62" s="127">
        <f ca="1">(ROR_Min)/(LevFact_Final02*(1-FIT_UW))</f>
        <v>-8.2957476931916824E-2</v>
      </c>
    </row>
    <row r="63" spans="1:9" x14ac:dyDescent="0.25">
      <c r="A63" s="117" t="s">
        <v>209</v>
      </c>
      <c r="B63" s="77"/>
      <c r="C63" s="77"/>
      <c r="D63" s="77"/>
      <c r="E63" s="77"/>
      <c r="F63" s="77"/>
      <c r="G63" s="77"/>
      <c r="H63" s="127">
        <f ca="1">1-CredLossDCCE_perExp/Max_Premium-EffStd_Final02</f>
        <v>2.4047179586046186E-2</v>
      </c>
      <c r="I63" s="204"/>
    </row>
    <row r="64" spans="1:9" x14ac:dyDescent="0.25">
      <c r="A64" s="117" t="s">
        <v>211</v>
      </c>
      <c r="B64" s="77"/>
      <c r="C64" s="77"/>
      <c r="D64" s="77"/>
      <c r="E64" s="77"/>
      <c r="F64" s="77"/>
      <c r="G64" s="77"/>
      <c r="H64" s="129">
        <f ca="1">1-EffStd_Final02-Min_Profit+InvInc_Variable</f>
        <v>0.81801989665062202</v>
      </c>
      <c r="I64" s="204"/>
    </row>
    <row r="65" spans="1:9" x14ac:dyDescent="0.25">
      <c r="A65" s="117" t="s">
        <v>210</v>
      </c>
      <c r="B65" s="77"/>
      <c r="C65" s="77"/>
      <c r="D65" s="77"/>
      <c r="E65" s="77"/>
      <c r="F65" s="77"/>
      <c r="G65" s="77"/>
      <c r="H65" s="129">
        <f ca="1">1-EffStd_Final02-Max_Profit+InvInc_Variable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123.65344631969671</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169.25364930043017</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-0.2538497673884294</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2.131120122089707E-2</v>
      </c>
      <c r="I69" s="396"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233</v>
      </c>
      <c r="B71" s="228" t="str">
        <f>'6.2Ratemaking Data'!D$14</f>
        <v>20172</v>
      </c>
      <c r="C71" s="228" t="str">
        <f>'6.2Ratemaking Data'!E$14</f>
        <v>20182</v>
      </c>
      <c r="D71" s="228" t="str">
        <f>'6.2Ratemaking Data'!F$14</f>
        <v>20192</v>
      </c>
      <c r="E71" s="228" t="str">
        <f>'6.2Ratemaking Data'!G$14</f>
        <v>20202</v>
      </c>
      <c r="F71" s="228" t="str">
        <f>'6.2Ratemaking Data'!H$14</f>
        <v>20212</v>
      </c>
      <c r="G71" s="228">
        <f>'6.2Ratemaking Data'!I$14</f>
        <v>20222</v>
      </c>
    </row>
    <row r="72" spans="1:9" hidden="1" x14ac:dyDescent="0.25">
      <c r="A72" s="114" t="s">
        <v>232</v>
      </c>
      <c r="B72" s="125"/>
      <c r="C72" s="125"/>
      <c r="D72" s="125"/>
      <c r="E72" s="125"/>
      <c r="F72" s="125"/>
      <c r="G72" s="125"/>
      <c r="H72" s="131" t="str">
        <f>IF(ISBLANK('6.2Ratemaking Data'!J44),"",'6.2Ratemaking Data'!J44)</f>
        <v/>
      </c>
    </row>
    <row r="73" spans="1:9" hidden="1" x14ac:dyDescent="0.25">
      <c r="A73" s="117" t="s">
        <v>219</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220</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58" t="s">
        <v>611</v>
      </c>
      <c r="G80" s="658"/>
      <c r="H80" s="658"/>
    </row>
    <row r="81" spans="1:1" x14ac:dyDescent="0.25">
      <c r="A81" s="132"/>
    </row>
  </sheetData>
  <sheetProtection algorithmName="SHA-512" hashValue="xBB/dXcoaRDFNM/g4XnDtn2kbY/jyNY/6hRWHxipWmZjy128RFPXiUELpe9ktRikZ58IvNbNJDIBh/FmbXu41A==" saltValue="UuAE38g0WOoXZwXovo5lRQ=="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election activeCell="C8" sqref="C8"/>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IF('6.3Ratemaking Data'!$K$7="","VARIANCE - NONE","VARIANCE "&amp;'6.3Ratemaking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EffDate_Prior03</f>
        <v>45078</v>
      </c>
    </row>
    <row r="10" spans="1:8" ht="15" customHeight="1" x14ac:dyDescent="0.25">
      <c r="A10" s="6" t="s">
        <v>170</v>
      </c>
      <c r="B10" s="52"/>
      <c r="H10" s="161">
        <f>EffDate_Proposed</f>
        <v>45366</v>
      </c>
    </row>
    <row r="11" spans="1:8" ht="15" customHeight="1" x14ac:dyDescent="0.25">
      <c r="A11" s="6" t="s">
        <v>77</v>
      </c>
      <c r="B11" s="52"/>
      <c r="H11" s="23" t="str">
        <f>Detailed_LineDesc03</f>
        <v>Homeowners Multiple Peril</v>
      </c>
    </row>
    <row r="12" spans="1:8" ht="15" customHeight="1" x14ac:dyDescent="0.25">
      <c r="A12" s="6" t="s">
        <v>78</v>
      </c>
      <c r="B12" s="52"/>
      <c r="H12" s="23" t="str">
        <f>Covg03</f>
        <v>Condominium Unitowners</v>
      </c>
    </row>
    <row r="13" spans="1:8" ht="15" customHeight="1" x14ac:dyDescent="0.25">
      <c r="H13" s="511"/>
    </row>
    <row r="14" spans="1:8" ht="9.9499999999999993" customHeight="1" x14ac:dyDescent="0.25"/>
    <row r="15" spans="1:8" ht="15.75" thickBot="1" x14ac:dyDescent="0.3">
      <c r="A15" s="7" t="s">
        <v>171</v>
      </c>
      <c r="B15" s="228" t="str">
        <f>'6.3Ratemaking Data'!D$14</f>
        <v>20172</v>
      </c>
      <c r="C15" s="228" t="str">
        <f>'6.3Ratemaking Data'!E$14</f>
        <v>20182</v>
      </c>
      <c r="D15" s="228" t="str">
        <f>'6.3Ratemaking Data'!F$14</f>
        <v>20192</v>
      </c>
      <c r="E15" s="228" t="str">
        <f>'6.3Ratemaking Data'!G$14</f>
        <v>20202</v>
      </c>
      <c r="F15" s="228" t="str">
        <f>'6.3Ratemaking Data'!H$14</f>
        <v>20212</v>
      </c>
      <c r="G15" s="228">
        <f>'6.3Ratemaking Data'!I$14</f>
        <v>20222</v>
      </c>
      <c r="H15" s="91" t="s">
        <v>306</v>
      </c>
    </row>
    <row r="16" spans="1:8" x14ac:dyDescent="0.25">
      <c r="A16" s="114" t="s">
        <v>173</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103381139.01000001</v>
      </c>
      <c r="H16" s="116">
        <f>IF(New_Program=TRUE,'6.3Ratemaking Data'!$K$15,SUM($B16:$G16))</f>
        <v>103381139.01000001</v>
      </c>
    </row>
    <row r="17" spans="1:10" x14ac:dyDescent="0.25">
      <c r="A17" s="117" t="s">
        <v>172</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97279106.609999999</v>
      </c>
      <c r="H17" s="119">
        <f>IF(New_Program=TRUE,'6.3Ratemaking Data'!$K$16,SUM($B17:$G17))</f>
        <v>97279106.609999999</v>
      </c>
    </row>
    <row r="18" spans="1:10" x14ac:dyDescent="0.25">
      <c r="A18" s="117" t="s">
        <v>174</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1.0703545008635642</v>
      </c>
      <c r="H18" s="121"/>
    </row>
    <row r="19" spans="1:10" x14ac:dyDescent="0.25">
      <c r="A19" s="117" t="s">
        <v>175</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1.0915991263480467</v>
      </c>
      <c r="H19" s="127">
        <f>IF(New_Program=TRUE,0,'6.3Ratemaking Data'!$J$18)</f>
        <v>3.3424092622288404E-2</v>
      </c>
    </row>
    <row r="20" spans="1:10" x14ac:dyDescent="0.25">
      <c r="A20" s="117" t="s">
        <v>176</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177</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152652.13</v>
      </c>
      <c r="H21" s="119">
        <f>IF(New_Program=TRUE,'6.3Ratemaking Data'!$K$20,SUM($B21:$G21))</f>
        <v>152652.13</v>
      </c>
      <c r="J21" s="111"/>
    </row>
    <row r="22" spans="1:10" x14ac:dyDescent="0.25">
      <c r="A22" s="117" t="s">
        <v>178</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61817673.869999997</v>
      </c>
      <c r="H22" s="119">
        <f>IF(New_Program=TRUE,'6.3Ratemaking Data'!$K$21,SUM($B22:$G22))</f>
        <v>61817673.869999997</v>
      </c>
      <c r="J22" s="111"/>
    </row>
    <row r="23" spans="1:10" x14ac:dyDescent="0.25">
      <c r="A23" s="117" t="s">
        <v>144</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742989.87</v>
      </c>
      <c r="H23" s="119">
        <f>IF(New_Program=TRUE,'6.3Ratemaking Data'!$K$22,SUM($B23:$G23))</f>
        <v>742989.87</v>
      </c>
      <c r="J23" s="111"/>
    </row>
    <row r="24" spans="1:10" x14ac:dyDescent="0.25">
      <c r="A24" s="117" t="s">
        <v>181</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1.1310178665795489</v>
      </c>
      <c r="H24" s="121"/>
    </row>
    <row r="25" spans="1:10" x14ac:dyDescent="0.25">
      <c r="A25" s="117" t="s">
        <v>182</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5.1027968051799952</v>
      </c>
      <c r="H25" s="121"/>
    </row>
    <row r="26" spans="1:10" x14ac:dyDescent="0.25">
      <c r="A26" s="117" t="s">
        <v>179</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1.1908327870627538</v>
      </c>
      <c r="H26" s="127">
        <f>IF(New_Program=TRUE,0,'6.3Ratemaking Data'!$J$25)</f>
        <v>6.7711175143383651E-2</v>
      </c>
    </row>
    <row r="27" spans="1:10" x14ac:dyDescent="0.25">
      <c r="A27" s="117" t="s">
        <v>180</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1.1908327870627538</v>
      </c>
      <c r="H27" s="127">
        <f>IF(New_Program=TRUE,0,'6.3Ratemaking Data'!$J$26)</f>
        <v>6.7711175143383651E-2</v>
      </c>
    </row>
    <row r="28" spans="1:10" x14ac:dyDescent="0.25">
      <c r="A28" s="117" t="s">
        <v>183</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1.0290927195962132</v>
      </c>
      <c r="H28" s="121"/>
    </row>
    <row r="29" spans="1:10" ht="15.75" thickBot="1" x14ac:dyDescent="0.3">
      <c r="A29" s="133" t="s">
        <v>188</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184</v>
      </c>
      <c r="B30" s="122"/>
      <c r="C30" s="122"/>
      <c r="D30" s="122"/>
      <c r="E30" s="122"/>
      <c r="F30" s="122"/>
      <c r="G30" s="122"/>
      <c r="H30" s="127">
        <f>IF(New_Program=TRUE,100%,'6.3Ratemaking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EffStd_Final03</f>
        <v>0.33989442694828298</v>
      </c>
    </row>
    <row r="38" spans="1:9" x14ac:dyDescent="0.25">
      <c r="A38" s="117" t="s">
        <v>191</v>
      </c>
      <c r="B38" s="77"/>
      <c r="C38" s="77"/>
      <c r="D38" s="77"/>
      <c r="E38" s="77"/>
      <c r="F38" s="577" t="s">
        <v>317</v>
      </c>
      <c r="G38" s="578">
        <f>update_leverage</f>
        <v>2021</v>
      </c>
      <c r="H38" s="162">
        <f ca="1">LevFact_Final03</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1/LevFact_Final03</f>
        <v>1.0922734462702384</v>
      </c>
    </row>
    <row r="41" spans="1:9" x14ac:dyDescent="0.25">
      <c r="A41" s="117" t="s">
        <v>198</v>
      </c>
      <c r="B41" s="77"/>
      <c r="C41" s="77"/>
      <c r="D41" s="77"/>
      <c r="E41" s="77"/>
      <c r="F41" s="577" t="s">
        <v>317</v>
      </c>
      <c r="G41" s="578">
        <f>update_reserveratios</f>
        <v>2021</v>
      </c>
      <c r="H41" s="163">
        <f ca="1">ResRatio_UPR03</f>
        <v>0.52182970801271056</v>
      </c>
    </row>
    <row r="42" spans="1:9" x14ac:dyDescent="0.25">
      <c r="A42" s="117" t="s">
        <v>194</v>
      </c>
      <c r="B42" s="77"/>
      <c r="C42" s="77"/>
      <c r="D42" s="77"/>
      <c r="E42" s="77"/>
      <c r="F42" s="577" t="s">
        <v>317</v>
      </c>
      <c r="G42" s="578">
        <f>update_reserveratios</f>
        <v>2021</v>
      </c>
      <c r="H42" s="163">
        <f ca="1">ResRatio_Loss03</f>
        <v>1.3010095886105004</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'6.3Ratemaking Data'!D$14</f>
        <v>20172</v>
      </c>
      <c r="C47" s="228" t="str">
        <f>'6.3Ratemaking Data'!E$14</f>
        <v>20182</v>
      </c>
      <c r="D47" s="228" t="str">
        <f>'6.3Ratemaking Data'!F$14</f>
        <v>20192</v>
      </c>
      <c r="E47" s="228" t="str">
        <f>'6.3Ratemaking Data'!G$14</f>
        <v>20202</v>
      </c>
      <c r="F47" s="228" t="str">
        <f>'6.3Ratemaking Data'!H$14</f>
        <v>20212</v>
      </c>
      <c r="G47" s="228">
        <f>'6.3Ratemaking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113660717.30398443</v>
      </c>
      <c r="H48" s="116">
        <f>IF(New_Program=TRUE,(Prem_Earned+Misc_Fees),SUM($B48:$G48))</f>
        <v>113660717.30398443</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85681569.609905556</v>
      </c>
      <c r="H49" s="119">
        <f>IF(New_Program=TRUE,Losses,SUM($B49:$G49))</f>
        <v>85681569.609905556</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4646184.55529352</v>
      </c>
      <c r="H50" s="119">
        <f>IF(New_Program=TRUE,DCCE,SUM($B50:$G50))</f>
        <v>4646184.55529352</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0.79471391970559546</v>
      </c>
      <c r="H51" s="127">
        <f t="shared" si="3"/>
        <v>0.79471391970559546</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744.57341213636801</v>
      </c>
      <c r="H52" s="130">
        <f t="shared" si="4"/>
        <v>744.57341213636801</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591.72285486746284</v>
      </c>
      <c r="H53" s="130">
        <f t="shared" si="5"/>
        <v>591.72285486746284</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485.93891146566904</v>
      </c>
      <c r="H54" s="130">
        <f t="shared" ca="1" si="6"/>
        <v>485.93891146566904</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591.72285486746284</v>
      </c>
      <c r="H55" s="130">
        <f t="shared" ca="1" si="7"/>
        <v>591.72285486746284</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Yield*((1-FIT_Inv)/(1-FIT_UW))*ResRatio_Loss03</f>
        <v>6.0417189562510278E-2</v>
      </c>
    </row>
    <row r="58" spans="1:9" x14ac:dyDescent="0.25">
      <c r="A58" s="117" t="s">
        <v>218</v>
      </c>
      <c r="B58" s="77"/>
      <c r="C58" s="77"/>
      <c r="D58" s="77"/>
      <c r="E58" s="77"/>
      <c r="F58" s="77"/>
      <c r="G58" s="77"/>
      <c r="H58" s="127">
        <f ca="1">Yield*((1-FIT_Inv)/(1-FIT_UW))*(ResRatio_UPR03+SurplusRatio)</f>
        <v>7.4956846666988208E-2</v>
      </c>
    </row>
    <row r="59" spans="1:9" x14ac:dyDescent="0.25">
      <c r="A59" s="117" t="s">
        <v>206</v>
      </c>
      <c r="B59" s="128"/>
      <c r="C59" s="128"/>
      <c r="D59" s="128"/>
      <c r="E59" s="128"/>
      <c r="F59" s="128"/>
      <c r="G59" s="128"/>
      <c r="H59" s="127">
        <f>(1+Loss_AnnualTrend)/(1+Prem_AnnualTrend)-1</f>
        <v>3.3178133513505292E-2</v>
      </c>
    </row>
    <row r="60" spans="1:9" x14ac:dyDescent="0.25">
      <c r="A60" s="117" t="s">
        <v>205</v>
      </c>
      <c r="B60" s="128"/>
      <c r="C60" s="128"/>
      <c r="D60" s="128"/>
      <c r="E60" s="128"/>
      <c r="F60" s="128"/>
      <c r="G60" s="128"/>
      <c r="H60" s="127">
        <f>IF(New_Program=TRUE,0,(1+Net_AnnualTrend)^MIN(4,((EffDate_Proposed-EffDate_Prior03)/365.25))-1)</f>
        <v>2.6070412372350305E-2</v>
      </c>
    </row>
    <row r="61" spans="1:9" x14ac:dyDescent="0.25">
      <c r="A61" s="117" t="s">
        <v>207</v>
      </c>
      <c r="B61" s="128"/>
      <c r="C61" s="128"/>
      <c r="D61" s="128"/>
      <c r="E61" s="128"/>
      <c r="F61" s="128"/>
      <c r="G61" s="128"/>
      <c r="H61" s="127">
        <f ca="1">(ROR_Max)/(LevFact_Final03*(1-FIT_UW))</f>
        <v>0.13743288678387552</v>
      </c>
    </row>
    <row r="62" spans="1:9" x14ac:dyDescent="0.25">
      <c r="A62" s="117" t="s">
        <v>208</v>
      </c>
      <c r="B62" s="77"/>
      <c r="C62" s="77"/>
      <c r="D62" s="77"/>
      <c r="E62" s="77"/>
      <c r="F62" s="77"/>
      <c r="G62" s="77"/>
      <c r="H62" s="127">
        <f ca="1">(ROR_Min)/(LevFact_Final03*(1-FIT_UW))</f>
        <v>-8.2957476931916824E-2</v>
      </c>
    </row>
    <row r="63" spans="1:9" x14ac:dyDescent="0.25">
      <c r="A63" s="117" t="s">
        <v>209</v>
      </c>
      <c r="B63" s="77"/>
      <c r="C63" s="77"/>
      <c r="D63" s="77"/>
      <c r="E63" s="77"/>
      <c r="F63" s="77"/>
      <c r="G63" s="77"/>
      <c r="H63" s="127">
        <f ca="1">1-CredLossDCCE_perExp/Max_Premium-EffStd_Final03</f>
        <v>2.4047179586046186E-2</v>
      </c>
      <c r="I63" s="204"/>
    </row>
    <row r="64" spans="1:9" x14ac:dyDescent="0.25">
      <c r="A64" s="117" t="s">
        <v>211</v>
      </c>
      <c r="B64" s="77"/>
      <c r="C64" s="77"/>
      <c r="D64" s="77"/>
      <c r="E64" s="77"/>
      <c r="F64" s="77"/>
      <c r="G64" s="77"/>
      <c r="H64" s="129">
        <f ca="1">1-EffStd_Final03-Min_Profit+InvInc_Variable</f>
        <v>0.81801989665062202</v>
      </c>
      <c r="I64" s="204"/>
    </row>
    <row r="65" spans="1:9" x14ac:dyDescent="0.25">
      <c r="A65" s="117" t="s">
        <v>210</v>
      </c>
      <c r="B65" s="77"/>
      <c r="C65" s="77"/>
      <c r="D65" s="77"/>
      <c r="E65" s="77"/>
      <c r="F65" s="77"/>
      <c r="G65" s="77"/>
      <c r="H65" s="129">
        <f ca="1">1-EffStd_Final03-Max_Profit+InvInc_Variable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679.6566015727642</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930.29643338776111</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-8.7186581612337166E-2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0.24943547301602825</v>
      </c>
      <c r="I69" s="396" t="str">
        <f ca="1">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233</v>
      </c>
      <c r="B71" s="228" t="str">
        <f>'6.3Ratemaking Data'!D$14</f>
        <v>20172</v>
      </c>
      <c r="C71" s="228" t="str">
        <f>'6.3Ratemaking Data'!E$14</f>
        <v>20182</v>
      </c>
      <c r="D71" s="228" t="str">
        <f>'6.3Ratemaking Data'!F$14</f>
        <v>20192</v>
      </c>
      <c r="E71" s="228" t="str">
        <f>'6.3Ratemaking Data'!G$14</f>
        <v>20202</v>
      </c>
      <c r="F71" s="228" t="str">
        <f>'6.3Ratemaking Data'!H$14</f>
        <v>20212</v>
      </c>
      <c r="G71" s="228">
        <f>'6.3Ratemaking Data'!I$14</f>
        <v>20222</v>
      </c>
    </row>
    <row r="72" spans="1:9" hidden="1" x14ac:dyDescent="0.25">
      <c r="A72" s="114" t="s">
        <v>232</v>
      </c>
      <c r="B72" s="125"/>
      <c r="C72" s="125"/>
      <c r="D72" s="125"/>
      <c r="E72" s="125"/>
      <c r="F72" s="125"/>
      <c r="G72" s="125"/>
      <c r="H72" s="131" t="str">
        <f>IF(ISBLANK('6.3Ratemaking Data'!J44),"",'6.3Ratemaking Data'!J44)</f>
        <v/>
      </c>
    </row>
    <row r="73" spans="1:9" hidden="1" x14ac:dyDescent="0.25">
      <c r="A73" s="117" t="s">
        <v>219</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220</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58" t="s">
        <v>621</v>
      </c>
      <c r="G80" s="658"/>
      <c r="H80" s="658"/>
    </row>
    <row r="81" spans="1:1" x14ac:dyDescent="0.25">
      <c r="A81" s="132"/>
    </row>
  </sheetData>
  <sheetProtection algorithmName="SHA-512" hashValue="bSq/gC/AEcERBhG47rWQRJrkEdCAOvEwgbJycAOr3ITpP9KMH6CW1W355v7df7TzguFw6CjH6dqNMUT7lgJScw==" saltValue="V/lNtRWz0iqsIr+D2spL0w=="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IF('6.4Ratemaking Data'!$K$7="","VARIANCE - NONE","VARIANCE "&amp;'6.4Ratemaking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EffDate_Prior04</f>
        <v/>
      </c>
    </row>
    <row r="10" spans="1:8" ht="15" customHeight="1" x14ac:dyDescent="0.25">
      <c r="A10" s="6" t="s">
        <v>170</v>
      </c>
      <c r="B10" s="52"/>
      <c r="H10" s="161">
        <f>EffDate_Proposed</f>
        <v>45366</v>
      </c>
    </row>
    <row r="11" spans="1:8" ht="15" customHeight="1" x14ac:dyDescent="0.25">
      <c r="A11" s="6" t="s">
        <v>77</v>
      </c>
      <c r="B11" s="52"/>
      <c r="H11" s="23" t="str">
        <f>Detailed_LineDesc04</f>
        <v/>
      </c>
    </row>
    <row r="12" spans="1:8" ht="15" customHeight="1" x14ac:dyDescent="0.25">
      <c r="A12" s="6" t="s">
        <v>78</v>
      </c>
      <c r="B12" s="52"/>
      <c r="H12" s="23" t="str">
        <f>Covg04</f>
        <v/>
      </c>
    </row>
    <row r="13" spans="1:8" ht="15" customHeight="1" x14ac:dyDescent="0.25">
      <c r="H13" s="511"/>
    </row>
    <row r="14" spans="1:8" ht="9.9499999999999993" customHeight="1" x14ac:dyDescent="0.25"/>
    <row r="15" spans="1:8" ht="15.75" thickBot="1" x14ac:dyDescent="0.3">
      <c r="A15" s="7" t="s">
        <v>171</v>
      </c>
      <c r="B15" s="228" t="str">
        <f>'6.4Ratemaking Data'!D$14</f>
        <v>20172</v>
      </c>
      <c r="C15" s="228" t="str">
        <f>'6.4Ratemaking Data'!E$14</f>
        <v>20182</v>
      </c>
      <c r="D15" s="228" t="str">
        <f>'6.4Ratemaking Data'!F$14</f>
        <v>20192</v>
      </c>
      <c r="E15" s="228" t="str">
        <f>'6.4Ratemaking Data'!G$14</f>
        <v>20202</v>
      </c>
      <c r="F15" s="228" t="str">
        <f>'6.4Ratemaking Data'!H$14</f>
        <v>20212</v>
      </c>
      <c r="G15" s="228">
        <f>'6.4Ratemaking Data'!I$14</f>
        <v>20222</v>
      </c>
      <c r="H15" s="91" t="s">
        <v>306</v>
      </c>
    </row>
    <row r="16" spans="1:8" x14ac:dyDescent="0.25">
      <c r="A16" s="114" t="s">
        <v>173</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172</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174</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175</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176</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177</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178</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144</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181</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182</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179</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180</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183</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188</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184</v>
      </c>
      <c r="B30" s="122"/>
      <c r="C30" s="122"/>
      <c r="D30" s="122"/>
      <c r="E30" s="122"/>
      <c r="F30" s="122"/>
      <c r="G30" s="122"/>
      <c r="H30" s="127">
        <f>IF(New_Program=TRUE,100%,'6.4Ratemaking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EffStd_Final04</f>
        <v/>
      </c>
    </row>
    <row r="38" spans="1:9" x14ac:dyDescent="0.25">
      <c r="A38" s="117" t="s">
        <v>191</v>
      </c>
      <c r="B38" s="77"/>
      <c r="C38" s="77"/>
      <c r="D38" s="77"/>
      <c r="E38" s="77"/>
      <c r="F38" s="577" t="s">
        <v>317</v>
      </c>
      <c r="G38" s="578">
        <f>update_leverage</f>
        <v>2021</v>
      </c>
      <c r="H38" s="162" t="str">
        <f>LevFact_Final04</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1/LevFact_Final04</f>
        <v>#VALUE!</v>
      </c>
    </row>
    <row r="41" spans="1:9" x14ac:dyDescent="0.25">
      <c r="A41" s="117" t="s">
        <v>198</v>
      </c>
      <c r="B41" s="77"/>
      <c r="C41" s="77"/>
      <c r="D41" s="77"/>
      <c r="E41" s="77"/>
      <c r="F41" s="577" t="s">
        <v>317</v>
      </c>
      <c r="G41" s="578">
        <f>update_reserveratios</f>
        <v>2021</v>
      </c>
      <c r="H41" s="163" t="str">
        <f>ResRatio_UPR04</f>
        <v/>
      </c>
    </row>
    <row r="42" spans="1:9" x14ac:dyDescent="0.25">
      <c r="A42" s="117" t="s">
        <v>194</v>
      </c>
      <c r="B42" s="77"/>
      <c r="C42" s="77"/>
      <c r="D42" s="77"/>
      <c r="E42" s="77"/>
      <c r="F42" s="577" t="s">
        <v>317</v>
      </c>
      <c r="G42" s="578">
        <f>update_reserveratios</f>
        <v>2021</v>
      </c>
      <c r="H42" s="163" t="str">
        <f>ResRatio_Loss04</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'6.4Ratemaking Data'!D$14</f>
        <v>20172</v>
      </c>
      <c r="C47" s="228" t="str">
        <f>'6.4Ratemaking Data'!E$14</f>
        <v>20182</v>
      </c>
      <c r="D47" s="228" t="str">
        <f>'6.4Ratemaking Data'!F$14</f>
        <v>20192</v>
      </c>
      <c r="E47" s="228" t="str">
        <f>'6.4Ratemaking Data'!G$14</f>
        <v>20202</v>
      </c>
      <c r="F47" s="228" t="str">
        <f>'6.4Ratemaking Data'!H$14</f>
        <v>20212</v>
      </c>
      <c r="G47" s="228">
        <f>'6.4Ratemaking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Yield*((1-FIT_Inv)/(1-FIT_UW))*ResRatio_Loss04</f>
        <v>#VALUE!</v>
      </c>
    </row>
    <row r="58" spans="1:9" x14ac:dyDescent="0.25">
      <c r="A58" s="117" t="s">
        <v>218</v>
      </c>
      <c r="B58" s="77"/>
      <c r="C58" s="77"/>
      <c r="D58" s="77"/>
      <c r="E58" s="77"/>
      <c r="F58" s="77"/>
      <c r="G58" s="77"/>
      <c r="H58" s="127" t="e">
        <f>Yield*((1-FIT_Inv)/(1-FIT_UW))*(ResRatio_UPR04+SurplusRatio)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IF(New_Program=TRUE,0,(1+Net_AnnualTrend)^MIN(4,((EffDate_Proposed-EffDate_Prior04)/365.25))-1)</f>
        <v>#VALUE!</v>
      </c>
    </row>
    <row r="61" spans="1:9" x14ac:dyDescent="0.25">
      <c r="A61" s="117" t="s">
        <v>207</v>
      </c>
      <c r="B61" s="128"/>
      <c r="C61" s="128"/>
      <c r="D61" s="128"/>
      <c r="E61" s="128"/>
      <c r="F61" s="128"/>
      <c r="G61" s="128"/>
      <c r="H61" s="127" t="e">
        <f>(ROR_Max)/(LevFact_Final04*(1-FIT_UW))</f>
        <v>#VALUE!</v>
      </c>
    </row>
    <row r="62" spans="1:9" x14ac:dyDescent="0.25">
      <c r="A62" s="117" t="s">
        <v>208</v>
      </c>
      <c r="B62" s="77"/>
      <c r="C62" s="77"/>
      <c r="D62" s="77"/>
      <c r="E62" s="77"/>
      <c r="F62" s="77"/>
      <c r="G62" s="77"/>
      <c r="H62" s="127" t="e">
        <f>(ROR_Min)/(LevFact_Final04*(1-FIT_UW))</f>
        <v>#VALUE!</v>
      </c>
    </row>
    <row r="63" spans="1:9" x14ac:dyDescent="0.25">
      <c r="A63" s="117" t="s">
        <v>209</v>
      </c>
      <c r="B63" s="77"/>
      <c r="C63" s="77"/>
      <c r="D63" s="77"/>
      <c r="E63" s="77"/>
      <c r="F63" s="77"/>
      <c r="G63" s="77"/>
      <c r="H63" s="127" t="e">
        <f>1-CredLossDCCE_perExp/Max_Premium-EffStd_Final04</f>
        <v>#VALUE!</v>
      </c>
      <c r="I63" s="204"/>
    </row>
    <row r="64" spans="1:9" x14ac:dyDescent="0.25">
      <c r="A64" s="117" t="s">
        <v>211</v>
      </c>
      <c r="B64" s="77"/>
      <c r="C64" s="77"/>
      <c r="D64" s="77"/>
      <c r="E64" s="77"/>
      <c r="F64" s="77"/>
      <c r="G64" s="77"/>
      <c r="H64" s="129" t="e">
        <f>1-EffStd_Final04-Min_Profit+InvInc_Variable</f>
        <v>#VALUE!</v>
      </c>
      <c r="I64" s="204"/>
    </row>
    <row r="65" spans="1:9" x14ac:dyDescent="0.25">
      <c r="A65" s="117" t="s">
        <v>210</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25"/>
    <row r="71" spans="1:9" ht="15.75" hidden="1" thickBot="1" x14ac:dyDescent="0.3">
      <c r="A71" s="7" t="s">
        <v>233</v>
      </c>
      <c r="B71" s="228" t="str">
        <f>'6.4Ratemaking Data'!D$14</f>
        <v>20172</v>
      </c>
      <c r="C71" s="228" t="str">
        <f>'6.4Ratemaking Data'!E$14</f>
        <v>20182</v>
      </c>
      <c r="D71" s="228" t="str">
        <f>'6.4Ratemaking Data'!F$14</f>
        <v>20192</v>
      </c>
      <c r="E71" s="228" t="str">
        <f>'6.4Ratemaking Data'!G$14</f>
        <v>20202</v>
      </c>
      <c r="F71" s="228" t="str">
        <f>'6.4Ratemaking Data'!H$14</f>
        <v>20212</v>
      </c>
      <c r="G71" s="228">
        <f>'6.4Ratemaking Data'!I$14</f>
        <v>20222</v>
      </c>
    </row>
    <row r="72" spans="1:9" hidden="1" x14ac:dyDescent="0.25">
      <c r="A72" s="114" t="s">
        <v>232</v>
      </c>
      <c r="B72" s="125"/>
      <c r="C72" s="125"/>
      <c r="D72" s="125"/>
      <c r="E72" s="125"/>
      <c r="F72" s="125"/>
      <c r="G72" s="125"/>
      <c r="H72" s="131" t="str">
        <f>IF(ISBLANK('6.4Ratemaking Data'!J44),"",'6.4Ratemaking Data'!J44)</f>
        <v/>
      </c>
    </row>
    <row r="73" spans="1:9" hidden="1" x14ac:dyDescent="0.25">
      <c r="A73" s="117" t="s">
        <v>219</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220</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58" t="s">
        <v>620</v>
      </c>
      <c r="G80" s="658"/>
      <c r="H80" s="658"/>
    </row>
    <row r="81" spans="1:1" x14ac:dyDescent="0.25">
      <c r="A81" s="132"/>
    </row>
  </sheetData>
  <sheetProtection algorithmName="SHA-512" hashValue="V+RJiVmWV2JsxfxfIV6eNkEN4PNApRW20LSGVqk6vhDflfVxT9HEkCHcof2LFvK74su31RV8h2OTTU3PvCgdaA==" saltValue="h7LnKiyOGsdr8Wsz7U9y0A=="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IF('6.5Ratemaking Data'!$K$7="","VARIANCE - NONE","VARIANCE "&amp;'6.5Ratemaking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EffDate_Prior05</f>
        <v/>
      </c>
    </row>
    <row r="10" spans="1:8" ht="15" customHeight="1" x14ac:dyDescent="0.25">
      <c r="A10" s="6" t="s">
        <v>170</v>
      </c>
      <c r="B10" s="52"/>
      <c r="H10" s="161">
        <f>EffDate_Proposed</f>
        <v>45366</v>
      </c>
    </row>
    <row r="11" spans="1:8" ht="15" customHeight="1" x14ac:dyDescent="0.25">
      <c r="A11" s="6" t="s">
        <v>77</v>
      </c>
      <c r="B11" s="52"/>
      <c r="H11" s="23" t="str">
        <f>Detailed_LineDesc05</f>
        <v/>
      </c>
    </row>
    <row r="12" spans="1:8" ht="15" customHeight="1" x14ac:dyDescent="0.25">
      <c r="A12" s="6" t="s">
        <v>78</v>
      </c>
      <c r="B12" s="52"/>
      <c r="H12" s="23" t="str">
        <f>Covg05</f>
        <v/>
      </c>
    </row>
    <row r="13" spans="1:8" ht="15" customHeight="1" x14ac:dyDescent="0.25">
      <c r="H13" s="511"/>
    </row>
    <row r="14" spans="1:8" ht="9.9499999999999993" customHeight="1" x14ac:dyDescent="0.25"/>
    <row r="15" spans="1:8" ht="15.75" thickBot="1" x14ac:dyDescent="0.3">
      <c r="A15" s="7" t="s">
        <v>171</v>
      </c>
      <c r="B15" s="228" t="str">
        <f>'6.5Ratemaking Data'!D$14</f>
        <v>20172</v>
      </c>
      <c r="C15" s="228" t="str">
        <f>'6.5Ratemaking Data'!E$14</f>
        <v>20182</v>
      </c>
      <c r="D15" s="228" t="str">
        <f>'6.5Ratemaking Data'!F$14</f>
        <v>20192</v>
      </c>
      <c r="E15" s="228" t="str">
        <f>'6.5Ratemaking Data'!G$14</f>
        <v>20202</v>
      </c>
      <c r="F15" s="228" t="str">
        <f>'6.5Ratemaking Data'!H$14</f>
        <v>20212</v>
      </c>
      <c r="G15" s="228">
        <f>'6.5Ratemaking Data'!I$14</f>
        <v>20222</v>
      </c>
      <c r="H15" s="91" t="s">
        <v>306</v>
      </c>
    </row>
    <row r="16" spans="1:8" x14ac:dyDescent="0.25">
      <c r="A16" s="114" t="s">
        <v>173</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172</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174</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175</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176</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177</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178</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144</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181</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182</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179</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180</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183</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188</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184</v>
      </c>
      <c r="B30" s="122"/>
      <c r="C30" s="122"/>
      <c r="D30" s="122"/>
      <c r="E30" s="122"/>
      <c r="F30" s="122"/>
      <c r="G30" s="122"/>
      <c r="H30" s="127">
        <f>IF(New_Program=TRUE,100%,'6.5Ratemaking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EffStd_Final05</f>
        <v/>
      </c>
    </row>
    <row r="38" spans="1:9" x14ac:dyDescent="0.25">
      <c r="A38" s="117" t="s">
        <v>191</v>
      </c>
      <c r="B38" s="77"/>
      <c r="C38" s="77"/>
      <c r="D38" s="77"/>
      <c r="E38" s="77"/>
      <c r="F38" s="577" t="s">
        <v>317</v>
      </c>
      <c r="G38" s="578">
        <f>update_leverage</f>
        <v>2021</v>
      </c>
      <c r="H38" s="162" t="str">
        <f>LevFact_Final05</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1/LevFact_Final05</f>
        <v>#VALUE!</v>
      </c>
    </row>
    <row r="41" spans="1:9" x14ac:dyDescent="0.25">
      <c r="A41" s="117" t="s">
        <v>198</v>
      </c>
      <c r="B41" s="77"/>
      <c r="C41" s="77"/>
      <c r="D41" s="77"/>
      <c r="E41" s="77"/>
      <c r="F41" s="577" t="s">
        <v>317</v>
      </c>
      <c r="G41" s="578">
        <f>update_reserveratios</f>
        <v>2021</v>
      </c>
      <c r="H41" s="163" t="str">
        <f>ResRatio_UPR05</f>
        <v/>
      </c>
    </row>
    <row r="42" spans="1:9" x14ac:dyDescent="0.25">
      <c r="A42" s="117" t="s">
        <v>194</v>
      </c>
      <c r="B42" s="77"/>
      <c r="C42" s="77"/>
      <c r="D42" s="77"/>
      <c r="E42" s="77"/>
      <c r="F42" s="577" t="s">
        <v>317</v>
      </c>
      <c r="G42" s="578">
        <f>update_reserveratios</f>
        <v>2021</v>
      </c>
      <c r="H42" s="163" t="str">
        <f>ResRatio_Loss05</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'6.5Ratemaking Data'!D$14</f>
        <v>20172</v>
      </c>
      <c r="C47" s="228" t="str">
        <f>'6.5Ratemaking Data'!E$14</f>
        <v>20182</v>
      </c>
      <c r="D47" s="228" t="str">
        <f>'6.5Ratemaking Data'!F$14</f>
        <v>20192</v>
      </c>
      <c r="E47" s="228" t="str">
        <f>'6.5Ratemaking Data'!G$14</f>
        <v>20202</v>
      </c>
      <c r="F47" s="228" t="str">
        <f>'6.5Ratemaking Data'!H$14</f>
        <v>20212</v>
      </c>
      <c r="G47" s="228">
        <f>'6.5Ratemaking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Yield*((1-FIT_Inv)/(1-FIT_UW))*ResRatio_Loss05</f>
        <v>#VALUE!</v>
      </c>
    </row>
    <row r="58" spans="1:9" x14ac:dyDescent="0.25">
      <c r="A58" s="117" t="s">
        <v>218</v>
      </c>
      <c r="B58" s="77"/>
      <c r="C58" s="77"/>
      <c r="D58" s="77"/>
      <c r="E58" s="77"/>
      <c r="F58" s="77"/>
      <c r="G58" s="77"/>
      <c r="H58" s="127" t="e">
        <f>Yield*((1-FIT_Inv)/(1-FIT_UW))*(ResRatio_UPR05+SurplusRatio)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IF(New_Program=TRUE,0,(1+Net_AnnualTrend)^MIN(4,((EffDate_Proposed-EffDate_Prior05)/365.25))-1)</f>
        <v>#VALUE!</v>
      </c>
    </row>
    <row r="61" spans="1:9" x14ac:dyDescent="0.25">
      <c r="A61" s="117" t="s">
        <v>207</v>
      </c>
      <c r="B61" s="128"/>
      <c r="C61" s="128"/>
      <c r="D61" s="128"/>
      <c r="E61" s="128"/>
      <c r="F61" s="128"/>
      <c r="G61" s="128"/>
      <c r="H61" s="127" t="e">
        <f>(ROR_Max)/(LevFact_Final05*(1-FIT_UW))</f>
        <v>#VALUE!</v>
      </c>
    </row>
    <row r="62" spans="1:9" x14ac:dyDescent="0.25">
      <c r="A62" s="117" t="s">
        <v>208</v>
      </c>
      <c r="B62" s="77"/>
      <c r="C62" s="77"/>
      <c r="D62" s="77"/>
      <c r="E62" s="77"/>
      <c r="F62" s="77"/>
      <c r="G62" s="77"/>
      <c r="H62" s="127" t="e">
        <f>(ROR_Min)/(LevFact_Final05*(1-FIT_UW))</f>
        <v>#VALUE!</v>
      </c>
    </row>
    <row r="63" spans="1:9" x14ac:dyDescent="0.25">
      <c r="A63" s="117" t="s">
        <v>209</v>
      </c>
      <c r="B63" s="77"/>
      <c r="C63" s="77"/>
      <c r="D63" s="77"/>
      <c r="E63" s="77"/>
      <c r="F63" s="77"/>
      <c r="G63" s="77"/>
      <c r="H63" s="127" t="e">
        <f>1-CredLossDCCE_perExp/Max_Premium-EffStd_Final05</f>
        <v>#VALUE!</v>
      </c>
      <c r="I63" s="204"/>
    </row>
    <row r="64" spans="1:9" x14ac:dyDescent="0.25">
      <c r="A64" s="117" t="s">
        <v>211</v>
      </c>
      <c r="B64" s="77"/>
      <c r="C64" s="77"/>
      <c r="D64" s="77"/>
      <c r="E64" s="77"/>
      <c r="F64" s="77"/>
      <c r="G64" s="77"/>
      <c r="H64" s="129" t="e">
        <f>1-EffStd_Final05-Min_Profit+InvInc_Variable</f>
        <v>#VALUE!</v>
      </c>
      <c r="I64" s="204"/>
    </row>
    <row r="65" spans="1:9" x14ac:dyDescent="0.25">
      <c r="A65" s="117" t="s">
        <v>210</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25"/>
    <row r="71" spans="1:9" ht="15.75" hidden="1" thickBot="1" x14ac:dyDescent="0.3">
      <c r="A71" s="7" t="s">
        <v>233</v>
      </c>
      <c r="B71" s="228" t="str">
        <f>'6.5Ratemaking Data'!D$14</f>
        <v>20172</v>
      </c>
      <c r="C71" s="228" t="str">
        <f>'6.5Ratemaking Data'!E$14</f>
        <v>20182</v>
      </c>
      <c r="D71" s="228" t="str">
        <f>'6.5Ratemaking Data'!F$14</f>
        <v>20192</v>
      </c>
      <c r="E71" s="228" t="str">
        <f>'6.5Ratemaking Data'!G$14</f>
        <v>20202</v>
      </c>
      <c r="F71" s="228" t="str">
        <f>'6.5Ratemaking Data'!H$14</f>
        <v>20212</v>
      </c>
      <c r="G71" s="228">
        <f>'6.5Ratemaking Data'!I$14</f>
        <v>20222</v>
      </c>
    </row>
    <row r="72" spans="1:9" hidden="1" x14ac:dyDescent="0.25">
      <c r="A72" s="114" t="s">
        <v>232</v>
      </c>
      <c r="B72" s="125"/>
      <c r="C72" s="125"/>
      <c r="D72" s="125"/>
      <c r="E72" s="125"/>
      <c r="F72" s="125"/>
      <c r="G72" s="125"/>
      <c r="H72" s="131" t="str">
        <f>IF(ISBLANK('6.5Ratemaking Data'!J44),"",'6.5Ratemaking Data'!J44)</f>
        <v/>
      </c>
    </row>
    <row r="73" spans="1:9" hidden="1" x14ac:dyDescent="0.25">
      <c r="A73" s="117" t="s">
        <v>219</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220</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58" t="s">
        <v>619</v>
      </c>
      <c r="G80" s="658"/>
      <c r="H80" s="658"/>
    </row>
    <row r="81" spans="1:1" x14ac:dyDescent="0.25">
      <c r="A81" s="132"/>
    </row>
  </sheetData>
  <sheetProtection algorithmName="SHA-512" hashValue="xukKuIblpHSY2PIJIp9ZLYGD4lOjFhkMcAEH7YClu4X63AX3BOyjSoe0wes5bZlQQ2LG4nG5GyF8JND6RNyoJQ==" saltValue="S3BR+Sdegm460wrVcuvD/g=="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IF('6.6Ratemaking Data'!$K$7="","VARIANCE - NONE","VARIANCE "&amp;'6.6Ratemaking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EffDate_Prior06</f>
        <v/>
      </c>
    </row>
    <row r="10" spans="1:8" ht="15" customHeight="1" x14ac:dyDescent="0.25">
      <c r="A10" s="6" t="s">
        <v>170</v>
      </c>
      <c r="B10" s="52"/>
      <c r="H10" s="161">
        <f>EffDate_Proposed</f>
        <v>45366</v>
      </c>
    </row>
    <row r="11" spans="1:8" ht="15" customHeight="1" x14ac:dyDescent="0.25">
      <c r="A11" s="6" t="s">
        <v>77</v>
      </c>
      <c r="B11" s="52"/>
      <c r="H11" s="23" t="str">
        <f>Detailed_LineDesc06</f>
        <v/>
      </c>
    </row>
    <row r="12" spans="1:8" ht="15" customHeight="1" x14ac:dyDescent="0.25">
      <c r="A12" s="6" t="s">
        <v>78</v>
      </c>
      <c r="B12" s="52"/>
      <c r="H12" s="23" t="str">
        <f>Covg06</f>
        <v/>
      </c>
    </row>
    <row r="13" spans="1:8" ht="15" customHeight="1" x14ac:dyDescent="0.25">
      <c r="H13" s="511"/>
    </row>
    <row r="14" spans="1:8" ht="9.9499999999999993" customHeight="1" x14ac:dyDescent="0.25"/>
    <row r="15" spans="1:8" ht="15.75" thickBot="1" x14ac:dyDescent="0.3">
      <c r="A15" s="7" t="s">
        <v>171</v>
      </c>
      <c r="B15" s="228" t="str">
        <f>'6.6Ratemaking Data'!D$14</f>
        <v>20172</v>
      </c>
      <c r="C15" s="228" t="str">
        <f>'6.6Ratemaking Data'!E$14</f>
        <v>20182</v>
      </c>
      <c r="D15" s="228" t="str">
        <f>'6.6Ratemaking Data'!F$14</f>
        <v>20192</v>
      </c>
      <c r="E15" s="228" t="str">
        <f>'6.6Ratemaking Data'!G$14</f>
        <v>20202</v>
      </c>
      <c r="F15" s="228" t="str">
        <f>'6.6Ratemaking Data'!H$14</f>
        <v>20212</v>
      </c>
      <c r="G15" s="228">
        <f>'6.6Ratemaking Data'!I$14</f>
        <v>20222</v>
      </c>
      <c r="H15" s="91" t="s">
        <v>306</v>
      </c>
    </row>
    <row r="16" spans="1:8" x14ac:dyDescent="0.25">
      <c r="A16" s="114" t="s">
        <v>173</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172</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174</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175</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176</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177</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178</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144</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181</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182</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179</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180</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183</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188</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184</v>
      </c>
      <c r="B30" s="122"/>
      <c r="C30" s="122"/>
      <c r="D30" s="122"/>
      <c r="E30" s="122"/>
      <c r="F30" s="122"/>
      <c r="G30" s="122"/>
      <c r="H30" s="127">
        <f>IF(New_Program=TRUE,100%,'6.6Ratemaking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EffStd_Final06</f>
        <v/>
      </c>
    </row>
    <row r="38" spans="1:9" x14ac:dyDescent="0.25">
      <c r="A38" s="117" t="s">
        <v>191</v>
      </c>
      <c r="B38" s="77"/>
      <c r="C38" s="77"/>
      <c r="D38" s="77"/>
      <c r="E38" s="77"/>
      <c r="F38" s="577" t="s">
        <v>317</v>
      </c>
      <c r="G38" s="578">
        <f>update_leverage</f>
        <v>2021</v>
      </c>
      <c r="H38" s="162" t="str">
        <f>LevFact_Final06</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1/LevFact_Final06</f>
        <v>#VALUE!</v>
      </c>
    </row>
    <row r="41" spans="1:9" x14ac:dyDescent="0.25">
      <c r="A41" s="117" t="s">
        <v>198</v>
      </c>
      <c r="B41" s="77"/>
      <c r="C41" s="77"/>
      <c r="D41" s="77"/>
      <c r="E41" s="77"/>
      <c r="F41" s="577" t="s">
        <v>317</v>
      </c>
      <c r="G41" s="578">
        <f>update_reserveratios</f>
        <v>2021</v>
      </c>
      <c r="H41" s="163" t="str">
        <f>ResRatio_UPR06</f>
        <v/>
      </c>
    </row>
    <row r="42" spans="1:9" x14ac:dyDescent="0.25">
      <c r="A42" s="117" t="s">
        <v>194</v>
      </c>
      <c r="B42" s="77"/>
      <c r="C42" s="77"/>
      <c r="D42" s="77"/>
      <c r="E42" s="77"/>
      <c r="F42" s="577" t="s">
        <v>317</v>
      </c>
      <c r="G42" s="578">
        <f>update_reserveratios</f>
        <v>2021</v>
      </c>
      <c r="H42" s="163" t="str">
        <f>ResRatio_Loss06</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'6.6Ratemaking Data'!D$14</f>
        <v>20172</v>
      </c>
      <c r="C47" s="228" t="str">
        <f>'6.6Ratemaking Data'!E$14</f>
        <v>20182</v>
      </c>
      <c r="D47" s="228" t="str">
        <f>'6.6Ratemaking Data'!F$14</f>
        <v>20192</v>
      </c>
      <c r="E47" s="228" t="str">
        <f>'6.6Ratemaking Data'!G$14</f>
        <v>20202</v>
      </c>
      <c r="F47" s="228" t="str">
        <f>'6.6Ratemaking Data'!H$14</f>
        <v>20212</v>
      </c>
      <c r="G47" s="228">
        <f>'6.6Ratemaking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Yield*((1-FIT_Inv)/(1-FIT_UW))*ResRatio_Loss06</f>
        <v>#VALUE!</v>
      </c>
    </row>
    <row r="58" spans="1:9" x14ac:dyDescent="0.25">
      <c r="A58" s="117" t="s">
        <v>218</v>
      </c>
      <c r="B58" s="77"/>
      <c r="C58" s="77"/>
      <c r="D58" s="77"/>
      <c r="E58" s="77"/>
      <c r="F58" s="77"/>
      <c r="G58" s="77"/>
      <c r="H58" s="127" t="e">
        <f>Yield*((1-FIT_Inv)/(1-FIT_UW))*(ResRatio_UPR06+SurplusRatio)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IF(New_Program=TRUE,0,(1+Net_AnnualTrend)^MIN(4,((EffDate_Proposed-EffDate_Prior06)/365.25))-1)</f>
        <v>#VALUE!</v>
      </c>
    </row>
    <row r="61" spans="1:9" x14ac:dyDescent="0.25">
      <c r="A61" s="117" t="s">
        <v>207</v>
      </c>
      <c r="B61" s="128"/>
      <c r="C61" s="128"/>
      <c r="D61" s="128"/>
      <c r="E61" s="128"/>
      <c r="F61" s="128"/>
      <c r="G61" s="128"/>
      <c r="H61" s="127" t="e">
        <f>(ROR_Max)/(LevFact_Final06*(1-FIT_UW))</f>
        <v>#VALUE!</v>
      </c>
    </row>
    <row r="62" spans="1:9" x14ac:dyDescent="0.25">
      <c r="A62" s="117" t="s">
        <v>208</v>
      </c>
      <c r="B62" s="77"/>
      <c r="C62" s="77"/>
      <c r="D62" s="77"/>
      <c r="E62" s="77"/>
      <c r="F62" s="77"/>
      <c r="G62" s="77"/>
      <c r="H62" s="127" t="e">
        <f>(ROR_Min)/(LevFact_Final06*(1-FIT_UW))</f>
        <v>#VALUE!</v>
      </c>
    </row>
    <row r="63" spans="1:9" x14ac:dyDescent="0.25">
      <c r="A63" s="117" t="s">
        <v>209</v>
      </c>
      <c r="B63" s="77"/>
      <c r="C63" s="77"/>
      <c r="D63" s="77"/>
      <c r="E63" s="77"/>
      <c r="F63" s="77"/>
      <c r="G63" s="77"/>
      <c r="H63" s="127" t="e">
        <f>1-CredLossDCCE_perExp/Max_Premium-EffStd_Final06</f>
        <v>#VALUE!</v>
      </c>
      <c r="I63" s="204"/>
    </row>
    <row r="64" spans="1:9" x14ac:dyDescent="0.25">
      <c r="A64" s="117" t="s">
        <v>211</v>
      </c>
      <c r="B64" s="77"/>
      <c r="C64" s="77"/>
      <c r="D64" s="77"/>
      <c r="E64" s="77"/>
      <c r="F64" s="77"/>
      <c r="G64" s="77"/>
      <c r="H64" s="129" t="e">
        <f>1-EffStd_Final06-Min_Profit+InvInc_Variable</f>
        <v>#VALUE!</v>
      </c>
      <c r="I64" s="204"/>
    </row>
    <row r="65" spans="1:9" x14ac:dyDescent="0.25">
      <c r="A65" s="117" t="s">
        <v>210</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25"/>
    <row r="71" spans="1:9" ht="15.75" hidden="1" thickBot="1" x14ac:dyDescent="0.3">
      <c r="A71" s="7" t="s">
        <v>233</v>
      </c>
      <c r="B71" s="228" t="str">
        <f>'6.6Ratemaking Data'!D$14</f>
        <v>20172</v>
      </c>
      <c r="C71" s="228" t="str">
        <f>'6.6Ratemaking Data'!E$14</f>
        <v>20182</v>
      </c>
      <c r="D71" s="228" t="str">
        <f>'6.6Ratemaking Data'!F$14</f>
        <v>20192</v>
      </c>
      <c r="E71" s="228" t="str">
        <f>'6.6Ratemaking Data'!G$14</f>
        <v>20202</v>
      </c>
      <c r="F71" s="228" t="str">
        <f>'6.6Ratemaking Data'!H$14</f>
        <v>20212</v>
      </c>
      <c r="G71" s="228">
        <f>'6.6Ratemaking Data'!I$14</f>
        <v>20222</v>
      </c>
    </row>
    <row r="72" spans="1:9" hidden="1" x14ac:dyDescent="0.25">
      <c r="A72" s="114" t="s">
        <v>232</v>
      </c>
      <c r="B72" s="125"/>
      <c r="C72" s="125"/>
      <c r="D72" s="125"/>
      <c r="E72" s="125"/>
      <c r="F72" s="125"/>
      <c r="G72" s="125"/>
      <c r="H72" s="131" t="str">
        <f>IF(ISBLANK('6.6Ratemaking Data'!J44),"",'6.6Ratemaking Data'!J44)</f>
        <v/>
      </c>
    </row>
    <row r="73" spans="1:9" hidden="1" x14ac:dyDescent="0.25">
      <c r="A73" s="117" t="s">
        <v>219</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220</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58" t="s">
        <v>618</v>
      </c>
      <c r="G80" s="658"/>
      <c r="H80" s="658"/>
    </row>
    <row r="81" spans="1:1" x14ac:dyDescent="0.25">
      <c r="A81" s="132"/>
    </row>
  </sheetData>
  <sheetProtection algorithmName="SHA-512" hashValue="T65hFW0kPkwKHwr6GOqR379zym6M4ABn+5qj6B+p6ytP/qXa2opQ/Y4A+qGwEOn42OAO7uUJ7uh3Cf/vjRU9wA==" saltValue="8aVWpTcNxzXcjXed2NdwkA=="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IF('6.7Ratemaking Data'!$K$7="","VARIANCE - NONE","VARIANCE "&amp;'6.7Ratemaking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EffDate_Prior07</f>
        <v/>
      </c>
    </row>
    <row r="10" spans="1:8" ht="15" customHeight="1" x14ac:dyDescent="0.25">
      <c r="A10" s="6" t="s">
        <v>170</v>
      </c>
      <c r="B10" s="52"/>
      <c r="H10" s="161">
        <f>EffDate_Proposed</f>
        <v>45366</v>
      </c>
    </row>
    <row r="11" spans="1:8" ht="15" customHeight="1" x14ac:dyDescent="0.25">
      <c r="A11" s="6" t="s">
        <v>77</v>
      </c>
      <c r="B11" s="52"/>
      <c r="H11" s="23" t="str">
        <f>Detailed_LineDesc07</f>
        <v/>
      </c>
    </row>
    <row r="12" spans="1:8" ht="15" customHeight="1" x14ac:dyDescent="0.25">
      <c r="A12" s="6" t="s">
        <v>78</v>
      </c>
      <c r="B12" s="52"/>
      <c r="H12" s="23" t="str">
        <f>Covg07</f>
        <v/>
      </c>
    </row>
    <row r="13" spans="1:8" ht="15" customHeight="1" x14ac:dyDescent="0.25">
      <c r="H13" s="511"/>
    </row>
    <row r="14" spans="1:8" ht="9.9499999999999993" customHeight="1" x14ac:dyDescent="0.25"/>
    <row r="15" spans="1:8" ht="15.75" thickBot="1" x14ac:dyDescent="0.3">
      <c r="A15" s="7" t="s">
        <v>171</v>
      </c>
      <c r="B15" s="228" t="str">
        <f>'6.7Ratemaking Data'!D$14</f>
        <v>20172</v>
      </c>
      <c r="C15" s="228" t="str">
        <f>'6.7Ratemaking Data'!E$14</f>
        <v>20182</v>
      </c>
      <c r="D15" s="228" t="str">
        <f>'6.7Ratemaking Data'!F$14</f>
        <v>20192</v>
      </c>
      <c r="E15" s="228" t="str">
        <f>'6.7Ratemaking Data'!G$14</f>
        <v>20202</v>
      </c>
      <c r="F15" s="228" t="str">
        <f>'6.7Ratemaking Data'!H$14</f>
        <v>20212</v>
      </c>
      <c r="G15" s="228">
        <f>'6.7Ratemaking Data'!I$14</f>
        <v>20222</v>
      </c>
      <c r="H15" s="91" t="s">
        <v>306</v>
      </c>
    </row>
    <row r="16" spans="1:8" x14ac:dyDescent="0.25">
      <c r="A16" s="114" t="s">
        <v>173</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172</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174</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175</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176</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177</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178</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144</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181</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182</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179</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180</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183</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188</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184</v>
      </c>
      <c r="B30" s="122"/>
      <c r="C30" s="122"/>
      <c r="D30" s="122"/>
      <c r="E30" s="122"/>
      <c r="F30" s="122"/>
      <c r="G30" s="122"/>
      <c r="H30" s="127">
        <f>IF(New_Program=TRUE,100%,'6.7Ratemaking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EffStd_Final07</f>
        <v/>
      </c>
    </row>
    <row r="38" spans="1:9" x14ac:dyDescent="0.25">
      <c r="A38" s="117" t="s">
        <v>191</v>
      </c>
      <c r="B38" s="77"/>
      <c r="C38" s="77"/>
      <c r="D38" s="77"/>
      <c r="E38" s="77"/>
      <c r="F38" s="577" t="s">
        <v>317</v>
      </c>
      <c r="G38" s="578">
        <f>update_leverage</f>
        <v>2021</v>
      </c>
      <c r="H38" s="162" t="str">
        <f>LevFact_Final07</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1/LevFact_Final07</f>
        <v>#VALUE!</v>
      </c>
    </row>
    <row r="41" spans="1:9" x14ac:dyDescent="0.25">
      <c r="A41" s="117" t="s">
        <v>198</v>
      </c>
      <c r="B41" s="77"/>
      <c r="C41" s="77"/>
      <c r="D41" s="77"/>
      <c r="E41" s="77"/>
      <c r="F41" s="577" t="s">
        <v>317</v>
      </c>
      <c r="G41" s="578">
        <f>update_reserveratios</f>
        <v>2021</v>
      </c>
      <c r="H41" s="163" t="str">
        <f>ResRatio_UPR07</f>
        <v/>
      </c>
    </row>
    <row r="42" spans="1:9" x14ac:dyDescent="0.25">
      <c r="A42" s="117" t="s">
        <v>194</v>
      </c>
      <c r="B42" s="77"/>
      <c r="C42" s="77"/>
      <c r="D42" s="77"/>
      <c r="E42" s="77"/>
      <c r="F42" s="577" t="s">
        <v>317</v>
      </c>
      <c r="G42" s="578">
        <f>update_reserveratios</f>
        <v>2021</v>
      </c>
      <c r="H42" s="163" t="str">
        <f>ResRatio_Loss07</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'6.7Ratemaking Data'!D$14</f>
        <v>20172</v>
      </c>
      <c r="C47" s="228" t="str">
        <f>'6.7Ratemaking Data'!E$14</f>
        <v>20182</v>
      </c>
      <c r="D47" s="228" t="str">
        <f>'6.7Ratemaking Data'!F$14</f>
        <v>20192</v>
      </c>
      <c r="E47" s="228" t="str">
        <f>'6.7Ratemaking Data'!G$14</f>
        <v>20202</v>
      </c>
      <c r="F47" s="228" t="str">
        <f>'6.7Ratemaking Data'!H$14</f>
        <v>20212</v>
      </c>
      <c r="G47" s="228">
        <f>'6.7Ratemaking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Yield*((1-FIT_Inv)/(1-FIT_UW))*ResRatio_Loss07</f>
        <v>#VALUE!</v>
      </c>
    </row>
    <row r="58" spans="1:9" x14ac:dyDescent="0.25">
      <c r="A58" s="117" t="s">
        <v>218</v>
      </c>
      <c r="B58" s="77"/>
      <c r="C58" s="77"/>
      <c r="D58" s="77"/>
      <c r="E58" s="77"/>
      <c r="F58" s="77"/>
      <c r="G58" s="77"/>
      <c r="H58" s="127" t="e">
        <f>Yield*((1-FIT_Inv)/(1-FIT_UW))*(ResRatio_UPR07+SurplusRatio)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IF(New_Program=TRUE,0,(1+Net_AnnualTrend)^MIN(4,((EffDate_Proposed-EffDate_Prior07)/365.25))-1)</f>
        <v>#VALUE!</v>
      </c>
    </row>
    <row r="61" spans="1:9" x14ac:dyDescent="0.25">
      <c r="A61" s="117" t="s">
        <v>207</v>
      </c>
      <c r="B61" s="128"/>
      <c r="C61" s="128"/>
      <c r="D61" s="128"/>
      <c r="E61" s="128"/>
      <c r="F61" s="128"/>
      <c r="G61" s="128"/>
      <c r="H61" s="127" t="e">
        <f>(ROR_Max)/(LevFact_Final07*(1-FIT_UW))</f>
        <v>#VALUE!</v>
      </c>
    </row>
    <row r="62" spans="1:9" x14ac:dyDescent="0.25">
      <c r="A62" s="117" t="s">
        <v>208</v>
      </c>
      <c r="B62" s="77"/>
      <c r="C62" s="77"/>
      <c r="D62" s="77"/>
      <c r="E62" s="77"/>
      <c r="F62" s="77"/>
      <c r="G62" s="77"/>
      <c r="H62" s="127" t="e">
        <f>(ROR_Min)/(LevFact_Final07*(1-FIT_UW))</f>
        <v>#VALUE!</v>
      </c>
    </row>
    <row r="63" spans="1:9" x14ac:dyDescent="0.25">
      <c r="A63" s="117" t="s">
        <v>209</v>
      </c>
      <c r="B63" s="77"/>
      <c r="C63" s="77"/>
      <c r="D63" s="77"/>
      <c r="E63" s="77"/>
      <c r="F63" s="77"/>
      <c r="G63" s="77"/>
      <c r="H63" s="127" t="e">
        <f>1-CredLossDCCE_perExp/Max_Premium-EffStd_Final07</f>
        <v>#VALUE!</v>
      </c>
      <c r="I63" s="204"/>
    </row>
    <row r="64" spans="1:9" x14ac:dyDescent="0.25">
      <c r="A64" s="117" t="s">
        <v>211</v>
      </c>
      <c r="B64" s="77"/>
      <c r="C64" s="77"/>
      <c r="D64" s="77"/>
      <c r="E64" s="77"/>
      <c r="F64" s="77"/>
      <c r="G64" s="77"/>
      <c r="H64" s="129" t="e">
        <f>1-EffStd_Final07-Min_Profit+InvInc_Variable</f>
        <v>#VALUE!</v>
      </c>
      <c r="I64" s="204"/>
    </row>
    <row r="65" spans="1:9" x14ac:dyDescent="0.25">
      <c r="A65" s="117" t="s">
        <v>210</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25"/>
    <row r="71" spans="1:9" ht="15.75" hidden="1" thickBot="1" x14ac:dyDescent="0.3">
      <c r="A71" s="7" t="s">
        <v>233</v>
      </c>
      <c r="B71" s="228" t="str">
        <f>'6.7Ratemaking Data'!D$14</f>
        <v>20172</v>
      </c>
      <c r="C71" s="228" t="str">
        <f>'6.7Ratemaking Data'!E$14</f>
        <v>20182</v>
      </c>
      <c r="D71" s="228" t="str">
        <f>'6.7Ratemaking Data'!F$14</f>
        <v>20192</v>
      </c>
      <c r="E71" s="228" t="str">
        <f>'6.7Ratemaking Data'!G$14</f>
        <v>20202</v>
      </c>
      <c r="F71" s="228" t="str">
        <f>'6.7Ratemaking Data'!H$14</f>
        <v>20212</v>
      </c>
      <c r="G71" s="228">
        <f>'6.7Ratemaking Data'!I$14</f>
        <v>20222</v>
      </c>
    </row>
    <row r="72" spans="1:9" hidden="1" x14ac:dyDescent="0.25">
      <c r="A72" s="114" t="s">
        <v>232</v>
      </c>
      <c r="B72" s="125"/>
      <c r="C72" s="125"/>
      <c r="D72" s="125"/>
      <c r="E72" s="125"/>
      <c r="F72" s="125"/>
      <c r="G72" s="125"/>
      <c r="H72" s="131" t="str">
        <f>IF(ISBLANK('6.7Ratemaking Data'!J44),"",'6.7Ratemaking Data'!J44)</f>
        <v/>
      </c>
    </row>
    <row r="73" spans="1:9" hidden="1" x14ac:dyDescent="0.25">
      <c r="A73" s="117" t="s">
        <v>219</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220</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58" t="s">
        <v>617</v>
      </c>
      <c r="G80" s="658"/>
      <c r="H80" s="658"/>
    </row>
    <row r="81" spans="1:1" x14ac:dyDescent="0.25">
      <c r="A81" s="132"/>
    </row>
  </sheetData>
  <sheetProtection algorithmName="SHA-512" hashValue="Gd/GuQniq2KMCTtGUubyfCRcTHqlD4lZhQaTwIRKefLIjTp7o+GCyuKYvwHZxKv+7ZYZhq51a5KvzByN84BzLA==" saltValue="7TL/RvIF9BTf37ddU5cFpA=="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IF('6.8Ratemaking Data'!$K$7="","VARIANCE - NONE","VARIANCE "&amp;'6.8Ratemaking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EffDate_Prior08</f>
        <v/>
      </c>
    </row>
    <row r="10" spans="1:8" ht="15" customHeight="1" x14ac:dyDescent="0.25">
      <c r="A10" s="6" t="s">
        <v>170</v>
      </c>
      <c r="B10" s="52"/>
      <c r="H10" s="161">
        <f>EffDate_Proposed</f>
        <v>45366</v>
      </c>
    </row>
    <row r="11" spans="1:8" ht="15" customHeight="1" x14ac:dyDescent="0.25">
      <c r="A11" s="6" t="s">
        <v>77</v>
      </c>
      <c r="B11" s="52"/>
      <c r="H11" s="23" t="str">
        <f>Detailed_LineDesc08</f>
        <v/>
      </c>
    </row>
    <row r="12" spans="1:8" ht="15" customHeight="1" x14ac:dyDescent="0.25">
      <c r="A12" s="6" t="s">
        <v>78</v>
      </c>
      <c r="B12" s="52"/>
      <c r="H12" s="23" t="str">
        <f>Covg08</f>
        <v/>
      </c>
    </row>
    <row r="13" spans="1:8" ht="15" customHeight="1" x14ac:dyDescent="0.25">
      <c r="H13" s="511"/>
    </row>
    <row r="14" spans="1:8" ht="9.9499999999999993" customHeight="1" x14ac:dyDescent="0.25"/>
    <row r="15" spans="1:8" ht="15.75" thickBot="1" x14ac:dyDescent="0.3">
      <c r="A15" s="7" t="s">
        <v>171</v>
      </c>
      <c r="B15" s="228" t="str">
        <f>'6.8Ratemaking Data'!D$14</f>
        <v>20172</v>
      </c>
      <c r="C15" s="228" t="str">
        <f>'6.8Ratemaking Data'!E$14</f>
        <v>20182</v>
      </c>
      <c r="D15" s="228" t="str">
        <f>'6.8Ratemaking Data'!F$14</f>
        <v>20192</v>
      </c>
      <c r="E15" s="228" t="str">
        <f>'6.8Ratemaking Data'!G$14</f>
        <v>20202</v>
      </c>
      <c r="F15" s="228" t="str">
        <f>'6.8Ratemaking Data'!H$14</f>
        <v>20212</v>
      </c>
      <c r="G15" s="228">
        <f>'6.8Ratemaking Data'!I$14</f>
        <v>20222</v>
      </c>
      <c r="H15" s="91" t="s">
        <v>306</v>
      </c>
    </row>
    <row r="16" spans="1:8" x14ac:dyDescent="0.25">
      <c r="A16" s="114" t="s">
        <v>173</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172</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174</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175</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176</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177</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178</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144</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181</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182</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179</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180</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183</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188</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184</v>
      </c>
      <c r="B30" s="122"/>
      <c r="C30" s="122"/>
      <c r="D30" s="122"/>
      <c r="E30" s="122"/>
      <c r="F30" s="122"/>
      <c r="G30" s="122"/>
      <c r="H30" s="127">
        <f>IF(New_Program=TRUE,100%,'6.8Ratemaking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EffStd_Final08</f>
        <v/>
      </c>
    </row>
    <row r="38" spans="1:9" x14ac:dyDescent="0.25">
      <c r="A38" s="117" t="s">
        <v>191</v>
      </c>
      <c r="B38" s="77"/>
      <c r="C38" s="77"/>
      <c r="D38" s="77"/>
      <c r="E38" s="77"/>
      <c r="F38" s="577" t="s">
        <v>317</v>
      </c>
      <c r="G38" s="578">
        <f>update_leverage</f>
        <v>2021</v>
      </c>
      <c r="H38" s="162" t="str">
        <f>LevFact_Final08</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1/LevFact_Final08</f>
        <v>#VALUE!</v>
      </c>
    </row>
    <row r="41" spans="1:9" x14ac:dyDescent="0.25">
      <c r="A41" s="117" t="s">
        <v>198</v>
      </c>
      <c r="B41" s="77"/>
      <c r="C41" s="77"/>
      <c r="D41" s="77"/>
      <c r="E41" s="77"/>
      <c r="F41" s="577" t="s">
        <v>317</v>
      </c>
      <c r="G41" s="578">
        <f>update_reserveratios</f>
        <v>2021</v>
      </c>
      <c r="H41" s="163" t="str">
        <f>ResRatio_UPR08</f>
        <v/>
      </c>
    </row>
    <row r="42" spans="1:9" x14ac:dyDescent="0.25">
      <c r="A42" s="117" t="s">
        <v>194</v>
      </c>
      <c r="B42" s="77"/>
      <c r="C42" s="77"/>
      <c r="D42" s="77"/>
      <c r="E42" s="77"/>
      <c r="F42" s="577" t="s">
        <v>317</v>
      </c>
      <c r="G42" s="578">
        <f>update_reserveratios</f>
        <v>2021</v>
      </c>
      <c r="H42" s="163" t="str">
        <f>ResRatio_Loss08</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'6.8Ratemaking Data'!D$14</f>
        <v>20172</v>
      </c>
      <c r="C47" s="228" t="str">
        <f>'6.8Ratemaking Data'!E$14</f>
        <v>20182</v>
      </c>
      <c r="D47" s="228" t="str">
        <f>'6.8Ratemaking Data'!F$14</f>
        <v>20192</v>
      </c>
      <c r="E47" s="228" t="str">
        <f>'6.8Ratemaking Data'!G$14</f>
        <v>20202</v>
      </c>
      <c r="F47" s="228" t="str">
        <f>'6.8Ratemaking Data'!H$14</f>
        <v>20212</v>
      </c>
      <c r="G47" s="228">
        <f>'6.8Ratemaking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Yield*((1-FIT_Inv)/(1-FIT_UW))*ResRatio_Loss08</f>
        <v>#VALUE!</v>
      </c>
    </row>
    <row r="58" spans="1:9" x14ac:dyDescent="0.25">
      <c r="A58" s="117" t="s">
        <v>218</v>
      </c>
      <c r="B58" s="77"/>
      <c r="C58" s="77"/>
      <c r="D58" s="77"/>
      <c r="E58" s="77"/>
      <c r="F58" s="77"/>
      <c r="G58" s="77"/>
      <c r="H58" s="127" t="e">
        <f>Yield*((1-FIT_Inv)/(1-FIT_UW))*(ResRatio_UPR08+SurplusRatio)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IF(New_Program=TRUE,0,(1+Net_AnnualTrend)^MIN(4,((EffDate_Proposed-EffDate_Prior08)/365.25))-1)</f>
        <v>#VALUE!</v>
      </c>
    </row>
    <row r="61" spans="1:9" x14ac:dyDescent="0.25">
      <c r="A61" s="117" t="s">
        <v>207</v>
      </c>
      <c r="B61" s="128"/>
      <c r="C61" s="128"/>
      <c r="D61" s="128"/>
      <c r="E61" s="128"/>
      <c r="F61" s="128"/>
      <c r="G61" s="128"/>
      <c r="H61" s="127" t="e">
        <f>(ROR_Max)/(LevFact_Final08*(1-FIT_UW))</f>
        <v>#VALUE!</v>
      </c>
    </row>
    <row r="62" spans="1:9" x14ac:dyDescent="0.25">
      <c r="A62" s="117" t="s">
        <v>208</v>
      </c>
      <c r="B62" s="77"/>
      <c r="C62" s="77"/>
      <c r="D62" s="77"/>
      <c r="E62" s="77"/>
      <c r="F62" s="77"/>
      <c r="G62" s="77"/>
      <c r="H62" s="127" t="e">
        <f>(ROR_Min)/(LevFact_Final08*(1-FIT_UW))</f>
        <v>#VALUE!</v>
      </c>
    </row>
    <row r="63" spans="1:9" x14ac:dyDescent="0.25">
      <c r="A63" s="117" t="s">
        <v>209</v>
      </c>
      <c r="B63" s="77"/>
      <c r="C63" s="77"/>
      <c r="D63" s="77"/>
      <c r="E63" s="77"/>
      <c r="F63" s="77"/>
      <c r="G63" s="77"/>
      <c r="H63" s="127" t="e">
        <f>1-CredLossDCCE_perExp/Max_Premium-EffStd_Final08</f>
        <v>#VALUE!</v>
      </c>
      <c r="I63" s="204"/>
    </row>
    <row r="64" spans="1:9" x14ac:dyDescent="0.25">
      <c r="A64" s="117" t="s">
        <v>211</v>
      </c>
      <c r="B64" s="77"/>
      <c r="C64" s="77"/>
      <c r="D64" s="77"/>
      <c r="E64" s="77"/>
      <c r="F64" s="77"/>
      <c r="G64" s="77"/>
      <c r="H64" s="129" t="e">
        <f>1-EffStd_Final08-Min_Profit+InvInc_Variable</f>
        <v>#VALUE!</v>
      </c>
      <c r="I64" s="204"/>
    </row>
    <row r="65" spans="1:9" x14ac:dyDescent="0.25">
      <c r="A65" s="117" t="s">
        <v>210</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25"/>
    <row r="71" spans="1:9" ht="15.75" hidden="1" thickBot="1" x14ac:dyDescent="0.3">
      <c r="A71" s="7" t="s">
        <v>233</v>
      </c>
      <c r="B71" s="228" t="str">
        <f>'6.8Ratemaking Data'!D$14</f>
        <v>20172</v>
      </c>
      <c r="C71" s="228" t="str">
        <f>'6.8Ratemaking Data'!E$14</f>
        <v>20182</v>
      </c>
      <c r="D71" s="228" t="str">
        <f>'6.8Ratemaking Data'!F$14</f>
        <v>20192</v>
      </c>
      <c r="E71" s="228" t="str">
        <f>'6.8Ratemaking Data'!G$14</f>
        <v>20202</v>
      </c>
      <c r="F71" s="228" t="str">
        <f>'6.8Ratemaking Data'!H$14</f>
        <v>20212</v>
      </c>
      <c r="G71" s="228">
        <f>'6.8Ratemaking Data'!I$14</f>
        <v>20222</v>
      </c>
    </row>
    <row r="72" spans="1:9" hidden="1" x14ac:dyDescent="0.25">
      <c r="A72" s="114" t="s">
        <v>232</v>
      </c>
      <c r="B72" s="125"/>
      <c r="C72" s="125"/>
      <c r="D72" s="125"/>
      <c r="E72" s="125"/>
      <c r="F72" s="125"/>
      <c r="G72" s="125"/>
      <c r="H72" s="131" t="str">
        <f>IF(ISBLANK('6.8Ratemaking Data'!J44),"",'6.8Ratemaking Data'!J44)</f>
        <v/>
      </c>
    </row>
    <row r="73" spans="1:9" hidden="1" x14ac:dyDescent="0.25">
      <c r="A73" s="117" t="s">
        <v>219</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220</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58" t="s">
        <v>616</v>
      </c>
      <c r="G80" s="658"/>
      <c r="H80" s="658"/>
    </row>
    <row r="81" spans="1:1" x14ac:dyDescent="0.25">
      <c r="A81" s="132"/>
    </row>
  </sheetData>
  <sheetProtection algorithmName="SHA-512" hashValue="Rh4lyXIJPAFkuFXNfSdnICdYAcltFQwsrxOEL1OvU64BpJz4MlrQj20QPMfRpUqHlK/72mawxcf9jgWUB4yC9Q==" saltValue="Ayb+hZsDtlc3nMnj4NeDGA=="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IF('6.9Ratemaking Data'!$K$7="","VARIANCE - NONE","VARIANCE "&amp;'6.9Ratemaking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EffDate_Prior09</f>
        <v/>
      </c>
    </row>
    <row r="10" spans="1:8" ht="15" customHeight="1" x14ac:dyDescent="0.25">
      <c r="A10" s="6" t="s">
        <v>170</v>
      </c>
      <c r="B10" s="52"/>
      <c r="H10" s="161">
        <f>EffDate_Proposed</f>
        <v>45366</v>
      </c>
    </row>
    <row r="11" spans="1:8" ht="15" customHeight="1" x14ac:dyDescent="0.25">
      <c r="A11" s="6" t="s">
        <v>77</v>
      </c>
      <c r="B11" s="52"/>
      <c r="H11" s="23" t="str">
        <f>Detailed_LineDesc09</f>
        <v/>
      </c>
    </row>
    <row r="12" spans="1:8" ht="15" customHeight="1" x14ac:dyDescent="0.25">
      <c r="A12" s="6" t="s">
        <v>78</v>
      </c>
      <c r="B12" s="52"/>
      <c r="H12" s="23" t="str">
        <f>Covg09</f>
        <v/>
      </c>
    </row>
    <row r="13" spans="1:8" ht="15" customHeight="1" x14ac:dyDescent="0.25">
      <c r="H13" s="511"/>
    </row>
    <row r="14" spans="1:8" ht="9.9499999999999993" customHeight="1" x14ac:dyDescent="0.25"/>
    <row r="15" spans="1:8" ht="15.75" thickBot="1" x14ac:dyDescent="0.3">
      <c r="A15" s="7" t="s">
        <v>171</v>
      </c>
      <c r="B15" s="228" t="str">
        <f>'6.9Ratemaking Data'!D$14</f>
        <v>20172</v>
      </c>
      <c r="C15" s="228" t="str">
        <f>'6.9Ratemaking Data'!E$14</f>
        <v>20182</v>
      </c>
      <c r="D15" s="228" t="str">
        <f>'6.9Ratemaking Data'!F$14</f>
        <v>20192</v>
      </c>
      <c r="E15" s="228" t="str">
        <f>'6.9Ratemaking Data'!G$14</f>
        <v>20202</v>
      </c>
      <c r="F15" s="228" t="str">
        <f>'6.9Ratemaking Data'!H$14</f>
        <v>20212</v>
      </c>
      <c r="G15" s="228">
        <f>'6.9Ratemaking Data'!I$14</f>
        <v>20222</v>
      </c>
      <c r="H15" s="91" t="s">
        <v>306</v>
      </c>
    </row>
    <row r="16" spans="1:8" x14ac:dyDescent="0.25">
      <c r="A16" s="114" t="s">
        <v>173</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172</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174</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175</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176</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177</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178</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144</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181</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182</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179</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180</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183</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188</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184</v>
      </c>
      <c r="B30" s="122"/>
      <c r="C30" s="122"/>
      <c r="D30" s="122"/>
      <c r="E30" s="122"/>
      <c r="F30" s="122"/>
      <c r="G30" s="122"/>
      <c r="H30" s="127">
        <f>IF(New_Program=TRUE,100%,'6.9Ratemaking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EffStd_Final09</f>
        <v/>
      </c>
    </row>
    <row r="38" spans="1:9" x14ac:dyDescent="0.25">
      <c r="A38" s="117" t="s">
        <v>191</v>
      </c>
      <c r="B38" s="77"/>
      <c r="C38" s="77"/>
      <c r="D38" s="77"/>
      <c r="E38" s="77"/>
      <c r="F38" s="577" t="s">
        <v>317</v>
      </c>
      <c r="G38" s="578">
        <f>update_leverage</f>
        <v>2021</v>
      </c>
      <c r="H38" s="162" t="str">
        <f>LevFact_Final09</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1/LevFact_Final09</f>
        <v>#VALUE!</v>
      </c>
    </row>
    <row r="41" spans="1:9" x14ac:dyDescent="0.25">
      <c r="A41" s="117" t="s">
        <v>198</v>
      </c>
      <c r="B41" s="77"/>
      <c r="C41" s="77"/>
      <c r="D41" s="77"/>
      <c r="E41" s="77"/>
      <c r="F41" s="577" t="s">
        <v>317</v>
      </c>
      <c r="G41" s="578">
        <f>update_reserveratios</f>
        <v>2021</v>
      </c>
      <c r="H41" s="163" t="str">
        <f>ResRatio_UPR09</f>
        <v/>
      </c>
    </row>
    <row r="42" spans="1:9" x14ac:dyDescent="0.25">
      <c r="A42" s="117" t="s">
        <v>194</v>
      </c>
      <c r="B42" s="77"/>
      <c r="C42" s="77"/>
      <c r="D42" s="77"/>
      <c r="E42" s="77"/>
      <c r="F42" s="577" t="s">
        <v>317</v>
      </c>
      <c r="G42" s="578">
        <f>update_reserveratios</f>
        <v>2021</v>
      </c>
      <c r="H42" s="163" t="str">
        <f>ResRatio_Loss09</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'6.9Ratemaking Data'!D$14</f>
        <v>20172</v>
      </c>
      <c r="C47" s="228" t="str">
        <f>'6.9Ratemaking Data'!E$14</f>
        <v>20182</v>
      </c>
      <c r="D47" s="228" t="str">
        <f>'6.9Ratemaking Data'!F$14</f>
        <v>20192</v>
      </c>
      <c r="E47" s="228" t="str">
        <f>'6.9Ratemaking Data'!G$14</f>
        <v>20202</v>
      </c>
      <c r="F47" s="228" t="str">
        <f>'6.9Ratemaking Data'!H$14</f>
        <v>20212</v>
      </c>
      <c r="G47" s="228">
        <f>'6.9Ratemaking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Yield*((1-FIT_Inv)/(1-FIT_UW))*ResRatio_Loss09</f>
        <v>#VALUE!</v>
      </c>
    </row>
    <row r="58" spans="1:9" x14ac:dyDescent="0.25">
      <c r="A58" s="117" t="s">
        <v>218</v>
      </c>
      <c r="B58" s="77"/>
      <c r="C58" s="77"/>
      <c r="D58" s="77"/>
      <c r="E58" s="77"/>
      <c r="F58" s="77"/>
      <c r="G58" s="77"/>
      <c r="H58" s="127" t="e">
        <f>Yield*((1-FIT_Inv)/(1-FIT_UW))*(ResRatio_UPR09+SurplusRatio)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IF(New_Program=TRUE,0,(1+Net_AnnualTrend)^MIN(4,((EffDate_Proposed-EffDate_Prior09)/365.25))-1)</f>
        <v>#VALUE!</v>
      </c>
    </row>
    <row r="61" spans="1:9" x14ac:dyDescent="0.25">
      <c r="A61" s="117" t="s">
        <v>207</v>
      </c>
      <c r="B61" s="128"/>
      <c r="C61" s="128"/>
      <c r="D61" s="128"/>
      <c r="E61" s="128"/>
      <c r="F61" s="128"/>
      <c r="G61" s="128"/>
      <c r="H61" s="127" t="e">
        <f>(ROR_Max)/(LevFact_Final09*(1-FIT_UW))</f>
        <v>#VALUE!</v>
      </c>
    </row>
    <row r="62" spans="1:9" x14ac:dyDescent="0.25">
      <c r="A62" s="117" t="s">
        <v>208</v>
      </c>
      <c r="B62" s="77"/>
      <c r="C62" s="77"/>
      <c r="D62" s="77"/>
      <c r="E62" s="77"/>
      <c r="F62" s="77"/>
      <c r="G62" s="77"/>
      <c r="H62" s="127" t="e">
        <f>(ROR_Min)/(LevFact_Final09*(1-FIT_UW))</f>
        <v>#VALUE!</v>
      </c>
    </row>
    <row r="63" spans="1:9" x14ac:dyDescent="0.25">
      <c r="A63" s="117" t="s">
        <v>209</v>
      </c>
      <c r="B63" s="77"/>
      <c r="C63" s="77"/>
      <c r="D63" s="77"/>
      <c r="E63" s="77"/>
      <c r="F63" s="77"/>
      <c r="G63" s="77"/>
      <c r="H63" s="127" t="e">
        <f>1-CredLossDCCE_perExp/Max_Premium-EffStd_Final09</f>
        <v>#VALUE!</v>
      </c>
      <c r="I63" s="204"/>
    </row>
    <row r="64" spans="1:9" x14ac:dyDescent="0.25">
      <c r="A64" s="117" t="s">
        <v>211</v>
      </c>
      <c r="B64" s="77"/>
      <c r="C64" s="77"/>
      <c r="D64" s="77"/>
      <c r="E64" s="77"/>
      <c r="F64" s="77"/>
      <c r="G64" s="77"/>
      <c r="H64" s="129" t="e">
        <f>1-EffStd_Final09-Min_Profit+InvInc_Variable</f>
        <v>#VALUE!</v>
      </c>
      <c r="I64" s="204"/>
    </row>
    <row r="65" spans="1:9" x14ac:dyDescent="0.25">
      <c r="A65" s="117" t="s">
        <v>210</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25"/>
    <row r="71" spans="1:9" ht="15.75" hidden="1" thickBot="1" x14ac:dyDescent="0.3">
      <c r="A71" s="7" t="s">
        <v>233</v>
      </c>
      <c r="B71" s="228" t="str">
        <f>'6.9Ratemaking Data'!D$14</f>
        <v>20172</v>
      </c>
      <c r="C71" s="228" t="str">
        <f>'6.9Ratemaking Data'!E$14</f>
        <v>20182</v>
      </c>
      <c r="D71" s="228" t="str">
        <f>'6.9Ratemaking Data'!F$14</f>
        <v>20192</v>
      </c>
      <c r="E71" s="228" t="str">
        <f>'6.9Ratemaking Data'!G$14</f>
        <v>20202</v>
      </c>
      <c r="F71" s="228" t="str">
        <f>'6.9Ratemaking Data'!H$14</f>
        <v>20212</v>
      </c>
      <c r="G71" s="228">
        <f>'6.9Ratemaking Data'!I$14</f>
        <v>20222</v>
      </c>
    </row>
    <row r="72" spans="1:9" hidden="1" x14ac:dyDescent="0.25">
      <c r="A72" s="114" t="s">
        <v>232</v>
      </c>
      <c r="B72" s="125"/>
      <c r="C72" s="125"/>
      <c r="D72" s="125"/>
      <c r="E72" s="125"/>
      <c r="F72" s="125"/>
      <c r="G72" s="125"/>
      <c r="H72" s="131" t="str">
        <f>IF(ISBLANK('6.9Ratemaking Data'!J44),"",'6.9Ratemaking Data'!J44)</f>
        <v/>
      </c>
    </row>
    <row r="73" spans="1:9" hidden="1" x14ac:dyDescent="0.25">
      <c r="A73" s="117" t="s">
        <v>219</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220</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58" t="s">
        <v>615</v>
      </c>
      <c r="G80" s="658"/>
      <c r="H80" s="658"/>
    </row>
    <row r="81" spans="1:1" x14ac:dyDescent="0.25">
      <c r="A81" s="132"/>
    </row>
  </sheetData>
  <sheetProtection algorithmName="SHA-512" hashValue="POrPkxR/4dhaIOWuPlkTidjG4V2ISKN8jiXH5L2MVLpwJY5jQD7gfIDPYtivDVPlBowxRLp6gO2PvoXwhFPCow==" saltValue="X9aUli2CWipNoKihlfFiV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IF('6.10Ratemaking Data'!$K$7="","VARIANCE - NONE","VARIANCE "&amp;'6.10Ratemaking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EffDate_Prior10</f>
        <v/>
      </c>
    </row>
    <row r="10" spans="1:8" ht="15" customHeight="1" x14ac:dyDescent="0.25">
      <c r="A10" s="6" t="s">
        <v>170</v>
      </c>
      <c r="B10" s="52"/>
      <c r="H10" s="161">
        <f>EffDate_Proposed</f>
        <v>45366</v>
      </c>
    </row>
    <row r="11" spans="1:8" ht="15" customHeight="1" x14ac:dyDescent="0.25">
      <c r="A11" s="6" t="s">
        <v>77</v>
      </c>
      <c r="B11" s="52"/>
      <c r="H11" s="23" t="str">
        <f>Detailed_LineDesc10</f>
        <v/>
      </c>
    </row>
    <row r="12" spans="1:8" ht="15" customHeight="1" x14ac:dyDescent="0.25">
      <c r="A12" s="6" t="s">
        <v>78</v>
      </c>
      <c r="B12" s="52"/>
      <c r="H12" s="23" t="str">
        <f>Covg10</f>
        <v/>
      </c>
    </row>
    <row r="13" spans="1:8" ht="15" customHeight="1" x14ac:dyDescent="0.25">
      <c r="H13" s="511"/>
    </row>
    <row r="14" spans="1:8" ht="9.9499999999999993" customHeight="1" x14ac:dyDescent="0.25"/>
    <row r="15" spans="1:8" ht="15.75" thickBot="1" x14ac:dyDescent="0.3">
      <c r="A15" s="7" t="s">
        <v>171</v>
      </c>
      <c r="B15" s="228" t="str">
        <f>'6.10Ratemaking Data'!D$14</f>
        <v>20172</v>
      </c>
      <c r="C15" s="228" t="str">
        <f>'6.10Ratemaking Data'!E$14</f>
        <v>20182</v>
      </c>
      <c r="D15" s="228" t="str">
        <f>'6.10Ratemaking Data'!F$14</f>
        <v>20192</v>
      </c>
      <c r="E15" s="228" t="str">
        <f>'6.10Ratemaking Data'!G$14</f>
        <v>20202</v>
      </c>
      <c r="F15" s="228" t="str">
        <f>'6.10Ratemaking Data'!H$14</f>
        <v>20212</v>
      </c>
      <c r="G15" s="228">
        <f>'6.10Ratemaking Data'!I$14</f>
        <v>20222</v>
      </c>
      <c r="H15" s="91" t="s">
        <v>306</v>
      </c>
    </row>
    <row r="16" spans="1:8" x14ac:dyDescent="0.25">
      <c r="A16" s="114" t="s">
        <v>173</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172</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174</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175</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176</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177</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178</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144</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181</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182</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179</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180</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183</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188</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184</v>
      </c>
      <c r="B30" s="122"/>
      <c r="C30" s="122"/>
      <c r="D30" s="122"/>
      <c r="E30" s="122"/>
      <c r="F30" s="122"/>
      <c r="G30" s="122"/>
      <c r="H30" s="127">
        <f>IF(New_Program=TRUE,100%,'6.10Ratemaking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EffStd_Final10</f>
        <v/>
      </c>
    </row>
    <row r="38" spans="1:9" x14ac:dyDescent="0.25">
      <c r="A38" s="117" t="s">
        <v>191</v>
      </c>
      <c r="B38" s="77"/>
      <c r="C38" s="77"/>
      <c r="D38" s="77"/>
      <c r="E38" s="77"/>
      <c r="F38" s="577" t="s">
        <v>317</v>
      </c>
      <c r="G38" s="578">
        <f>update_leverage</f>
        <v>2021</v>
      </c>
      <c r="H38" s="162" t="str">
        <f>LevFact_Final10</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1/LevFact_Final10</f>
        <v>#VALUE!</v>
      </c>
    </row>
    <row r="41" spans="1:9" x14ac:dyDescent="0.25">
      <c r="A41" s="117" t="s">
        <v>198</v>
      </c>
      <c r="B41" s="77"/>
      <c r="C41" s="77"/>
      <c r="D41" s="77"/>
      <c r="E41" s="77"/>
      <c r="F41" s="577" t="s">
        <v>317</v>
      </c>
      <c r="G41" s="578">
        <f>update_reserveratios</f>
        <v>2021</v>
      </c>
      <c r="H41" s="163" t="str">
        <f>ResRatio_UPR10</f>
        <v/>
      </c>
    </row>
    <row r="42" spans="1:9" x14ac:dyDescent="0.25">
      <c r="A42" s="117" t="s">
        <v>194</v>
      </c>
      <c r="B42" s="77"/>
      <c r="C42" s="77"/>
      <c r="D42" s="77"/>
      <c r="E42" s="77"/>
      <c r="F42" s="577" t="s">
        <v>317</v>
      </c>
      <c r="G42" s="578">
        <f>update_reserveratios</f>
        <v>2021</v>
      </c>
      <c r="H42" s="163" t="str">
        <f>ResRatio_Loss10</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'6.10Ratemaking Data'!D$14</f>
        <v>20172</v>
      </c>
      <c r="C47" s="228" t="str">
        <f>'6.10Ratemaking Data'!E$14</f>
        <v>20182</v>
      </c>
      <c r="D47" s="228" t="str">
        <f>'6.10Ratemaking Data'!F$14</f>
        <v>20192</v>
      </c>
      <c r="E47" s="228" t="str">
        <f>'6.10Ratemaking Data'!G$14</f>
        <v>20202</v>
      </c>
      <c r="F47" s="228" t="str">
        <f>'6.10Ratemaking Data'!H$14</f>
        <v>20212</v>
      </c>
      <c r="G47" s="228">
        <f>'6.10Ratemaking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Yield*((1-FIT_Inv)/(1-FIT_UW))*ResRatio_Loss10</f>
        <v>#VALUE!</v>
      </c>
    </row>
    <row r="58" spans="1:9" x14ac:dyDescent="0.25">
      <c r="A58" s="117" t="s">
        <v>218</v>
      </c>
      <c r="B58" s="77"/>
      <c r="C58" s="77"/>
      <c r="D58" s="77"/>
      <c r="E58" s="77"/>
      <c r="F58" s="77"/>
      <c r="G58" s="77"/>
      <c r="H58" s="127" t="e">
        <f>Yield*((1-FIT_Inv)/(1-FIT_UW))*(ResRatio_UPR10+SurplusRatio)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IF(New_Program=TRUE,0,(1+Net_AnnualTrend)^MIN(4,((EffDate_Proposed-EffDate_Prior10)/365.25))-1)</f>
        <v>#VALUE!</v>
      </c>
    </row>
    <row r="61" spans="1:9" x14ac:dyDescent="0.25">
      <c r="A61" s="117" t="s">
        <v>207</v>
      </c>
      <c r="B61" s="128"/>
      <c r="C61" s="128"/>
      <c r="D61" s="128"/>
      <c r="E61" s="128"/>
      <c r="F61" s="128"/>
      <c r="G61" s="128"/>
      <c r="H61" s="127" t="e">
        <f>(ROR_Max)/(LevFact_Final10*(1-FIT_UW))</f>
        <v>#VALUE!</v>
      </c>
    </row>
    <row r="62" spans="1:9" x14ac:dyDescent="0.25">
      <c r="A62" s="117" t="s">
        <v>208</v>
      </c>
      <c r="B62" s="77"/>
      <c r="C62" s="77"/>
      <c r="D62" s="77"/>
      <c r="E62" s="77"/>
      <c r="F62" s="77"/>
      <c r="G62" s="77"/>
      <c r="H62" s="127" t="e">
        <f>(ROR_Min)/(LevFact_Final10*(1-FIT_UW))</f>
        <v>#VALUE!</v>
      </c>
    </row>
    <row r="63" spans="1:9" x14ac:dyDescent="0.25">
      <c r="A63" s="117" t="s">
        <v>209</v>
      </c>
      <c r="B63" s="77"/>
      <c r="C63" s="77"/>
      <c r="D63" s="77"/>
      <c r="E63" s="77"/>
      <c r="F63" s="77"/>
      <c r="G63" s="77"/>
      <c r="H63" s="127" t="e">
        <f>1-CredLossDCCE_perExp/Max_Premium-EffStd_Final10</f>
        <v>#VALUE!</v>
      </c>
      <c r="I63" s="204"/>
    </row>
    <row r="64" spans="1:9" x14ac:dyDescent="0.25">
      <c r="A64" s="117" t="s">
        <v>211</v>
      </c>
      <c r="B64" s="77"/>
      <c r="C64" s="77"/>
      <c r="D64" s="77"/>
      <c r="E64" s="77"/>
      <c r="F64" s="77"/>
      <c r="G64" s="77"/>
      <c r="H64" s="129" t="e">
        <f>1-EffStd_Final10-Min_Profit+InvInc_Variable</f>
        <v>#VALUE!</v>
      </c>
      <c r="I64" s="204"/>
    </row>
    <row r="65" spans="1:9" x14ac:dyDescent="0.25">
      <c r="A65" s="117" t="s">
        <v>210</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25"/>
    <row r="71" spans="1:9" ht="15.75" hidden="1" thickBot="1" x14ac:dyDescent="0.3">
      <c r="A71" s="7" t="s">
        <v>233</v>
      </c>
      <c r="B71" s="228" t="str">
        <f>'6.10Ratemaking Data'!D$14</f>
        <v>20172</v>
      </c>
      <c r="C71" s="228" t="str">
        <f>'6.10Ratemaking Data'!E$14</f>
        <v>20182</v>
      </c>
      <c r="D71" s="228" t="str">
        <f>'6.10Ratemaking Data'!F$14</f>
        <v>20192</v>
      </c>
      <c r="E71" s="228" t="str">
        <f>'6.10Ratemaking Data'!G$14</f>
        <v>20202</v>
      </c>
      <c r="F71" s="228" t="str">
        <f>'6.10Ratemaking Data'!H$14</f>
        <v>20212</v>
      </c>
      <c r="G71" s="228">
        <f>'6.10Ratemaking Data'!I$14</f>
        <v>20222</v>
      </c>
    </row>
    <row r="72" spans="1:9" hidden="1" x14ac:dyDescent="0.25">
      <c r="A72" s="114" t="s">
        <v>232</v>
      </c>
      <c r="B72" s="125"/>
      <c r="C72" s="125"/>
      <c r="D72" s="125"/>
      <c r="E72" s="125"/>
      <c r="F72" s="125"/>
      <c r="G72" s="125"/>
      <c r="H72" s="131" t="str">
        <f>IF(ISBLANK('6.10Ratemaking Data'!J44),"",'6.10Ratemaking Data'!J44)</f>
        <v/>
      </c>
    </row>
    <row r="73" spans="1:9" hidden="1" x14ac:dyDescent="0.25">
      <c r="A73" s="117" t="s">
        <v>219</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220</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57" t="s">
        <v>614</v>
      </c>
      <c r="G80" s="657"/>
      <c r="H80" s="657"/>
    </row>
    <row r="81" spans="1:1" x14ac:dyDescent="0.25">
      <c r="A81" s="132"/>
    </row>
  </sheetData>
  <sheetProtection algorithmName="SHA-512" hashValue="QptMaJ0FUm19lpCPW6vmHnufZPIQLF3a2hfj8K+lNDQNfTqXr6whvkYgNUrcChsohhkdRPSQCYqb6Ngz0rg1ng==" saltValue="yJ5Q0NhTfdojBoT3SpjtGg=="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Detailed_LineDesc01</f>
        <v>Homeowners Multiple Peril</v>
      </c>
      <c r="F7" s="6" t="s">
        <v>1</v>
      </c>
      <c r="H7" s="13" t="str">
        <f>Completed_By</f>
        <v>Nicole Pettis</v>
      </c>
      <c r="I7" s="216"/>
    </row>
    <row r="8" spans="1:16" x14ac:dyDescent="0.25">
      <c r="A8" s="6" t="s">
        <v>78</v>
      </c>
      <c r="D8" s="6" t="str">
        <f>Covg01</f>
        <v>Non-Tenant Homeowners</v>
      </c>
      <c r="F8" s="6" t="s">
        <v>76</v>
      </c>
      <c r="H8" s="52">
        <f>Completed_Date</f>
        <v>44981</v>
      </c>
      <c r="I8" s="217"/>
      <c r="J8" s="156"/>
    </row>
    <row r="9" spans="1:16" x14ac:dyDescent="0.25">
      <c r="A9" s="6" t="s">
        <v>169</v>
      </c>
      <c r="D9" s="52">
        <f>EffDate_Prior01</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"&amp;Detailed_LineCode01&amp;" Industry P&amp;C"</f>
        <v>Total 2021 Line 4 Industry P&amp;C</v>
      </c>
      <c r="N20" s="153" t="s">
        <v>256</v>
      </c>
    </row>
    <row r="21" spans="1:16" ht="17.25" x14ac:dyDescent="0.25">
      <c r="A21" s="137"/>
      <c r="B21" s="137"/>
      <c r="I21" s="214"/>
      <c r="K21" s="117"/>
      <c r="L21" s="6" t="s">
        <v>289</v>
      </c>
      <c r="M21" s="14">
        <f ca="1">VLOOKUP(Detailed_LineCode01,Table_IncdLossDCCE,2,FALSE)</f>
        <v>78442342</v>
      </c>
      <c r="N21" s="148" t="e">
        <f>VLOOKUP($G$17,$L$16:$N$18,3,FALSE)</f>
        <v>#N/A</v>
      </c>
    </row>
    <row r="22" spans="1:16" ht="18" customHeight="1" thickBot="1" x14ac:dyDescent="0.3">
      <c r="A22" s="137"/>
      <c r="B22" s="81" t="s">
        <v>254</v>
      </c>
      <c r="C22" s="6" t="s">
        <v>299</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VLOOKUP(Detailed_LineCode01,Table_IncdLossDCCE,3,FALSE)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ht="15" customHeight="1"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37" t="s">
        <v>733</v>
      </c>
      <c r="D37" s="637"/>
      <c r="E37" s="637"/>
      <c r="G37" s="190"/>
      <c r="I37" s="214"/>
      <c r="O37" s="11"/>
    </row>
    <row r="38" spans="1:16" x14ac:dyDescent="0.25">
      <c r="B38" s="81"/>
      <c r="C38" s="6" t="s">
        <v>734</v>
      </c>
      <c r="D38" s="164"/>
      <c r="E38" s="164"/>
      <c r="G38" s="598"/>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KYhhKBsSW60VzHDOvVI3J5o14c+o7l0RUJB5is8BQX6bo9KdetNjNpKoDJHd61C3Jdob7uN5ggzdzqe5S2BH4g==" saltValue="hato8pn5jn8AM4hFtGvrCQ=="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Detailed_LineDesc02</f>
        <v>Homeowners Multiple Peril</v>
      </c>
      <c r="F7" s="6" t="s">
        <v>1</v>
      </c>
      <c r="H7" s="13" t="str">
        <f>Completed_By</f>
        <v>Nicole Pettis</v>
      </c>
      <c r="I7" s="216"/>
    </row>
    <row r="8" spans="1:16" x14ac:dyDescent="0.25">
      <c r="A8" s="6" t="s">
        <v>78</v>
      </c>
      <c r="D8" s="6" t="str">
        <f>Covg02</f>
        <v>Renters</v>
      </c>
      <c r="F8" s="6" t="s">
        <v>76</v>
      </c>
      <c r="H8" s="52">
        <f>Completed_Date</f>
        <v>44981</v>
      </c>
      <c r="I8" s="217"/>
      <c r="J8" s="156"/>
    </row>
    <row r="9" spans="1:16" x14ac:dyDescent="0.25">
      <c r="A9" s="6" t="s">
        <v>169</v>
      </c>
      <c r="D9" s="52">
        <f>EffDate_Prior02</f>
        <v>44287</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"&amp;Detailed_LineCode02&amp;" Industry P&amp;C"</f>
        <v>Total 2021 Line 4 Industry P&amp;C</v>
      </c>
      <c r="N20" s="153" t="s">
        <v>256</v>
      </c>
    </row>
    <row r="21" spans="1:16" ht="17.25" x14ac:dyDescent="0.25">
      <c r="A21" s="137"/>
      <c r="B21" s="137"/>
      <c r="I21" s="214"/>
      <c r="K21" s="117"/>
      <c r="L21" s="6" t="s">
        <v>289</v>
      </c>
      <c r="M21" s="14">
        <f ca="1">VLOOKUP(Detailed_LineCode02,Table_IncdLossDCCE,2,FALSE)</f>
        <v>78442342</v>
      </c>
      <c r="N21" s="148" t="e">
        <f>VLOOKUP($G$17,$L$16:$N$18,3,FALSE)</f>
        <v>#N/A</v>
      </c>
    </row>
    <row r="22" spans="1:16" ht="18" customHeight="1" thickBot="1" x14ac:dyDescent="0.3">
      <c r="A22" s="137"/>
      <c r="B22" s="81" t="s">
        <v>254</v>
      </c>
      <c r="C22" s="6" t="s">
        <v>299</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VLOOKUP(Detailed_LineCode02,Table_IncdLossDCCE,3,FALSE)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N+UCu2+sCTHNcKhaeOoMq8ieeK/5JKutpQs5c5uytoqUNHpjgdLlgZFcOeMlDRi1DV9Nor1bJSqQzQ4voC2uw==" saltValue="eMuaIRVLzkjadPyLO1X84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Detailed_LineDesc03</f>
        <v>Homeowners Multiple Peril</v>
      </c>
      <c r="F7" s="6" t="s">
        <v>1</v>
      </c>
      <c r="H7" s="13" t="str">
        <f>Completed_By</f>
        <v>Nicole Pettis</v>
      </c>
      <c r="I7" s="216"/>
    </row>
    <row r="8" spans="1:16" x14ac:dyDescent="0.25">
      <c r="A8" s="6" t="s">
        <v>78</v>
      </c>
      <c r="D8" s="6" t="str">
        <f>Covg03</f>
        <v>Condominium Unitowners</v>
      </c>
      <c r="F8" s="6" t="s">
        <v>76</v>
      </c>
      <c r="H8" s="52">
        <f>Completed_Date</f>
        <v>44981</v>
      </c>
      <c r="I8" s="217"/>
      <c r="J8" s="156"/>
    </row>
    <row r="9" spans="1:16" x14ac:dyDescent="0.25">
      <c r="A9" s="6" t="s">
        <v>169</v>
      </c>
      <c r="D9" s="52">
        <f>EffDate_Prior03</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"&amp;Detailed_LineCode03&amp;" Industry P&amp;C"</f>
        <v>Total 2021 Line 4 Industry P&amp;C</v>
      </c>
      <c r="N20" s="153" t="s">
        <v>256</v>
      </c>
    </row>
    <row r="21" spans="1:16" ht="17.25" x14ac:dyDescent="0.25">
      <c r="A21" s="137"/>
      <c r="B21" s="137"/>
      <c r="I21" s="214"/>
      <c r="K21" s="117"/>
      <c r="L21" s="6" t="s">
        <v>289</v>
      </c>
      <c r="M21" s="14">
        <f ca="1">VLOOKUP(Detailed_LineCode03,Table_IncdLossDCCE,2,FALSE)</f>
        <v>78442342</v>
      </c>
      <c r="N21" s="148" t="e">
        <f>VLOOKUP($G$17,$L$16:$N$18,3,FALSE)</f>
        <v>#N/A</v>
      </c>
    </row>
    <row r="22" spans="1:16" ht="18" customHeight="1" thickBot="1" x14ac:dyDescent="0.3">
      <c r="A22" s="137"/>
      <c r="B22" s="81" t="s">
        <v>254</v>
      </c>
      <c r="C22" s="6" t="s">
        <v>299</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VLOOKUP(Detailed_LineCode03,Table_IncdLossDCCE,3,FALSE)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vbIYePVuX5cLnQK1EP6SWJ/XtCc+HkzFrgI9wRnYvT6kyhLQVb6spH4Dxg8EchY6fnaAzUxj+nop6UP9Hhgotg==" saltValue="IL7crc9VqTHQTpyrgHf73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Detailed_LineDesc04</f>
        <v/>
      </c>
      <c r="F7" s="6" t="s">
        <v>1</v>
      </c>
      <c r="H7" s="13" t="str">
        <f>Completed_By</f>
        <v>Nicole Pettis</v>
      </c>
      <c r="I7" s="216"/>
    </row>
    <row r="8" spans="1:16" x14ac:dyDescent="0.25">
      <c r="A8" s="6" t="s">
        <v>78</v>
      </c>
      <c r="D8" s="6" t="str">
        <f>Covg04</f>
        <v/>
      </c>
      <c r="F8" s="6" t="s">
        <v>76</v>
      </c>
      <c r="H8" s="52">
        <f>Completed_Date</f>
        <v>44981</v>
      </c>
      <c r="I8" s="217"/>
      <c r="J8" s="156"/>
    </row>
    <row r="9" spans="1:16" x14ac:dyDescent="0.25">
      <c r="A9" s="6" t="s">
        <v>169</v>
      </c>
      <c r="D9" s="52" t="str">
        <f>EffDate_Prior04</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"&amp;Detailed_LineCode04&amp;" Industry P&amp;C"</f>
        <v>Total 2021 Line  Industry P&amp;C</v>
      </c>
      <c r="N20" s="153" t="s">
        <v>256</v>
      </c>
    </row>
    <row r="21" spans="1:16" ht="17.25" x14ac:dyDescent="0.25">
      <c r="A21" s="137"/>
      <c r="B21" s="137"/>
      <c r="I21" s="214"/>
      <c r="K21" s="117"/>
      <c r="L21" s="6" t="s">
        <v>289</v>
      </c>
      <c r="M21" s="14" t="e">
        <f>VLOOKUP(Detailed_LineCode04,Table_IncdLossDCCE,2,FALSE)</f>
        <v>#N/A</v>
      </c>
      <c r="N21" s="148" t="e">
        <f>VLOOKUP($G$17,$L$16:$N$18,3,FALSE)</f>
        <v>#N/A</v>
      </c>
    </row>
    <row r="22" spans="1:16" ht="18" customHeight="1" thickBot="1" x14ac:dyDescent="0.3">
      <c r="A22" s="137"/>
      <c r="B22" s="81" t="s">
        <v>254</v>
      </c>
      <c r="C22" s="6" t="s">
        <v>299</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VLOOKUP(Detailed_LineCode04,Table_IncdLossDCCE,3,FALSE)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6soXrH1uAjVmsjCYo0GyJa6VvhRtsJ9FsZx4BaoDl50/44iXMPl0tBmc+4FYxbd8+9TOfJLsXV+b91qNBxanCA==" saltValue="S4P2mHmqy3ToeV1aalkF5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Detailed_LineDesc05</f>
        <v/>
      </c>
      <c r="F7" s="6" t="s">
        <v>1</v>
      </c>
      <c r="H7" s="13" t="str">
        <f>Completed_By</f>
        <v>Nicole Pettis</v>
      </c>
      <c r="I7" s="216"/>
    </row>
    <row r="8" spans="1:16" x14ac:dyDescent="0.25">
      <c r="A8" s="6" t="s">
        <v>78</v>
      </c>
      <c r="D8" s="6" t="str">
        <f>Covg05</f>
        <v/>
      </c>
      <c r="F8" s="6" t="s">
        <v>76</v>
      </c>
      <c r="H8" s="52">
        <f>Completed_Date</f>
        <v>44981</v>
      </c>
      <c r="I8" s="217"/>
      <c r="J8" s="156"/>
    </row>
    <row r="9" spans="1:16" x14ac:dyDescent="0.25">
      <c r="A9" s="6" t="s">
        <v>169</v>
      </c>
      <c r="D9" s="52" t="str">
        <f>EffDate_Prior05</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"&amp;Detailed_LineCode05&amp;" Industry P&amp;C"</f>
        <v>Total 2021 Line  Industry P&amp;C</v>
      </c>
      <c r="N20" s="153" t="s">
        <v>256</v>
      </c>
    </row>
    <row r="21" spans="1:16" ht="17.25" x14ac:dyDescent="0.25">
      <c r="A21" s="137"/>
      <c r="B21" s="137"/>
      <c r="I21" s="214"/>
      <c r="K21" s="117"/>
      <c r="L21" s="6" t="s">
        <v>289</v>
      </c>
      <c r="M21" s="14" t="e">
        <f>VLOOKUP(Detailed_LineCode05,Table_IncdLossDCCE,2,FALSE)</f>
        <v>#N/A</v>
      </c>
      <c r="N21" s="148" t="e">
        <f>VLOOKUP($G$17,$L$16:$N$18,3,FALSE)</f>
        <v>#N/A</v>
      </c>
    </row>
    <row r="22" spans="1:16" ht="18" customHeight="1" thickBot="1" x14ac:dyDescent="0.3">
      <c r="A22" s="137"/>
      <c r="B22" s="81" t="s">
        <v>254</v>
      </c>
      <c r="C22" s="6" t="s">
        <v>299</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VLOOKUP(Detailed_LineCode05,Table_IncdLossDCCE,3,FALSE)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yX4fq40BISdlO+TXUTyYKlfe7XTKQirTJQaT4Ce5az5C/5H+UZVih/hsj4QYTlGRhRSzWvlzMqUzM2Ksxvr3TQ==" saltValue="3g31aDcYDl2lPIJlrrJzY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Detailed_LineDesc06</f>
        <v/>
      </c>
      <c r="F7" s="6" t="s">
        <v>1</v>
      </c>
      <c r="H7" s="13" t="str">
        <f>Completed_By</f>
        <v>Nicole Pettis</v>
      </c>
      <c r="I7" s="216"/>
    </row>
    <row r="8" spans="1:16" x14ac:dyDescent="0.25">
      <c r="A8" s="6" t="s">
        <v>78</v>
      </c>
      <c r="D8" s="6" t="str">
        <f>Covg06</f>
        <v/>
      </c>
      <c r="F8" s="6" t="s">
        <v>76</v>
      </c>
      <c r="H8" s="52">
        <f>Completed_Date</f>
        <v>44981</v>
      </c>
      <c r="I8" s="217"/>
      <c r="J8" s="156"/>
    </row>
    <row r="9" spans="1:16" x14ac:dyDescent="0.25">
      <c r="A9" s="6" t="s">
        <v>169</v>
      </c>
      <c r="D9" s="52" t="str">
        <f>EffDate_Prior06</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"&amp;Detailed_LineCode06&amp;" Industry P&amp;C"</f>
        <v>Total 2021 Line  Industry P&amp;C</v>
      </c>
      <c r="N20" s="153" t="s">
        <v>256</v>
      </c>
    </row>
    <row r="21" spans="1:16" ht="17.25" x14ac:dyDescent="0.25">
      <c r="A21" s="137"/>
      <c r="B21" s="137"/>
      <c r="I21" s="214"/>
      <c r="K21" s="117"/>
      <c r="L21" s="6" t="s">
        <v>289</v>
      </c>
      <c r="M21" s="14" t="e">
        <f>VLOOKUP(Detailed_LineCode06,Table_IncdLossDCCE,2,FALSE)</f>
        <v>#N/A</v>
      </c>
      <c r="N21" s="148" t="e">
        <f>VLOOKUP($G$17,$L$16:$N$18,3,FALSE)</f>
        <v>#N/A</v>
      </c>
    </row>
    <row r="22" spans="1:16" ht="18" customHeight="1" thickBot="1" x14ac:dyDescent="0.3">
      <c r="A22" s="137"/>
      <c r="B22" s="81" t="s">
        <v>254</v>
      </c>
      <c r="C22" s="6" t="s">
        <v>299</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VLOOKUP(Detailed_LineCode06,Table_IncdLossDCCE,3,FALSE)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VcQNRq/EZ1WDNmYCLQ75trtiFYIHkmRHNlY1KD8SrALLbxcLuR53U2xCsIeE6UUAkLihdk/w60l1FcFBoj1Ulw==" saltValue="Sp+QArGzF25PwR8lTM4Rz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Detailed_LineDesc07</f>
        <v/>
      </c>
      <c r="F7" s="6" t="s">
        <v>1</v>
      </c>
      <c r="H7" s="13" t="str">
        <f>Completed_By</f>
        <v>Nicole Pettis</v>
      </c>
      <c r="I7" s="216"/>
    </row>
    <row r="8" spans="1:16" x14ac:dyDescent="0.25">
      <c r="A8" s="6" t="s">
        <v>78</v>
      </c>
      <c r="D8" s="6" t="str">
        <f>Covg07</f>
        <v/>
      </c>
      <c r="F8" s="6" t="s">
        <v>76</v>
      </c>
      <c r="H8" s="52">
        <f>Completed_Date</f>
        <v>44981</v>
      </c>
      <c r="I8" s="217"/>
      <c r="J8" s="156"/>
    </row>
    <row r="9" spans="1:16" x14ac:dyDescent="0.25">
      <c r="A9" s="6" t="s">
        <v>169</v>
      </c>
      <c r="D9" s="52" t="str">
        <f>EffDate_Prior07</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"&amp;Detailed_LineCode07&amp;" Industry P&amp;C"</f>
        <v>Total 2021 Line  Industry P&amp;C</v>
      </c>
      <c r="N20" s="153" t="s">
        <v>256</v>
      </c>
    </row>
    <row r="21" spans="1:16" ht="17.25" x14ac:dyDescent="0.25">
      <c r="A21" s="137"/>
      <c r="B21" s="137"/>
      <c r="I21" s="214"/>
      <c r="K21" s="117"/>
      <c r="L21" s="6" t="s">
        <v>289</v>
      </c>
      <c r="M21" s="14" t="e">
        <f>VLOOKUP(Detailed_LineCode07,Table_IncdLossDCCE,2,FALSE)</f>
        <v>#N/A</v>
      </c>
      <c r="N21" s="148" t="e">
        <f>VLOOKUP($G$17,$L$16:$N$18,3,FALSE)</f>
        <v>#N/A</v>
      </c>
    </row>
    <row r="22" spans="1:16" ht="18" customHeight="1" thickBot="1" x14ac:dyDescent="0.3">
      <c r="A22" s="137"/>
      <c r="B22" s="81" t="s">
        <v>254</v>
      </c>
      <c r="C22" s="6" t="s">
        <v>299</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VLOOKUP(Detailed_LineCode07,Table_IncdLossDCCE,3,FALSE)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19QkRuL/y73lSQjWJBzhFFRcJnJaPwPdfm0rHOb7Nq+f2bjwHl4LYklO+MdQJO1xcb/MIijkyGsqRXDmPw7A==" saltValue="neLifHWJG2qIFiNiVADQS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Detailed_LineDesc08</f>
        <v/>
      </c>
      <c r="F7" s="6" t="s">
        <v>1</v>
      </c>
      <c r="H7" s="13" t="str">
        <f>Completed_By</f>
        <v>Nicole Pettis</v>
      </c>
      <c r="I7" s="216"/>
    </row>
    <row r="8" spans="1:16" x14ac:dyDescent="0.25">
      <c r="A8" s="6" t="s">
        <v>78</v>
      </c>
      <c r="D8" s="6" t="str">
        <f>Covg08</f>
        <v/>
      </c>
      <c r="F8" s="6" t="s">
        <v>76</v>
      </c>
      <c r="H8" s="52">
        <f>Completed_Date</f>
        <v>44981</v>
      </c>
      <c r="I8" s="217"/>
      <c r="J8" s="156"/>
    </row>
    <row r="9" spans="1:16" x14ac:dyDescent="0.25">
      <c r="A9" s="6" t="s">
        <v>169</v>
      </c>
      <c r="D9" s="52" t="str">
        <f>EffDate_Prior08</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"&amp;Detailed_LineCode08&amp;" Industry P&amp;C"</f>
        <v>Total 2021 Line  Industry P&amp;C</v>
      </c>
      <c r="N20" s="153" t="s">
        <v>256</v>
      </c>
    </row>
    <row r="21" spans="1:16" ht="17.25" x14ac:dyDescent="0.25">
      <c r="A21" s="137"/>
      <c r="B21" s="137"/>
      <c r="I21" s="214"/>
      <c r="K21" s="117"/>
      <c r="L21" s="6" t="s">
        <v>289</v>
      </c>
      <c r="M21" s="14" t="e">
        <f>VLOOKUP(Detailed_LineCode08,Table_IncdLossDCCE,2,FALSE)</f>
        <v>#N/A</v>
      </c>
      <c r="N21" s="148" t="e">
        <f>VLOOKUP($G$17,$L$16:$N$18,3,FALSE)</f>
        <v>#N/A</v>
      </c>
    </row>
    <row r="22" spans="1:16" ht="18" customHeight="1" thickBot="1" x14ac:dyDescent="0.3">
      <c r="A22" s="137"/>
      <c r="B22" s="81" t="s">
        <v>254</v>
      </c>
      <c r="C22" s="6" t="s">
        <v>299</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VLOOKUP(Detailed_LineCode08,Table_IncdLossDCCE,3,FALSE)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a/j//GGFy4orV3SSZdYtcP/2EJwMwWirWdNGRMJ1bsDFl3qaIhwIvvdt8o0WAj1LqA+b+L8BVyVWRiYF2EhClA==" saltValue="a4MJdzx3Qu90DvLQLgY8R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Detailed_LineDesc09</f>
        <v/>
      </c>
      <c r="F7" s="6" t="s">
        <v>1</v>
      </c>
      <c r="H7" s="13" t="str">
        <f>Completed_By</f>
        <v>Nicole Pettis</v>
      </c>
      <c r="I7" s="216"/>
    </row>
    <row r="8" spans="1:16" x14ac:dyDescent="0.25">
      <c r="A8" s="6" t="s">
        <v>78</v>
      </c>
      <c r="D8" s="6" t="str">
        <f>Covg09</f>
        <v/>
      </c>
      <c r="F8" s="6" t="s">
        <v>76</v>
      </c>
      <c r="H8" s="52">
        <f>Completed_Date</f>
        <v>44981</v>
      </c>
      <c r="I8" s="217"/>
      <c r="J8" s="156"/>
    </row>
    <row r="9" spans="1:16" x14ac:dyDescent="0.25">
      <c r="A9" s="6" t="s">
        <v>169</v>
      </c>
      <c r="D9" s="52" t="str">
        <f>EffDate_Prior09</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"&amp;Detailed_LineCode09&amp;" Industry P&amp;C"</f>
        <v>Total 2021 Line  Industry P&amp;C</v>
      </c>
      <c r="N20" s="153" t="s">
        <v>256</v>
      </c>
    </row>
    <row r="21" spans="1:16" ht="17.25" x14ac:dyDescent="0.25">
      <c r="A21" s="137"/>
      <c r="B21" s="137"/>
      <c r="I21" s="214"/>
      <c r="K21" s="117"/>
      <c r="L21" s="6" t="s">
        <v>289</v>
      </c>
      <c r="M21" s="14" t="e">
        <f>VLOOKUP(Detailed_LineCode09,Table_IncdLossDCCE,2,FALSE)</f>
        <v>#N/A</v>
      </c>
      <c r="N21" s="148" t="e">
        <f>VLOOKUP($G$17,$L$16:$N$18,3,FALSE)</f>
        <v>#N/A</v>
      </c>
    </row>
    <row r="22" spans="1:16" ht="18" customHeight="1" thickBot="1" x14ac:dyDescent="0.3">
      <c r="A22" s="137"/>
      <c r="B22" s="81" t="s">
        <v>254</v>
      </c>
      <c r="C22" s="6" t="s">
        <v>299</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VLOOKUP(Detailed_LineCode09,Table_IncdLossDCCE,3,FALSE)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os1e495eYMPdgXVcbzk1VsXy3ES56NPodMYdbu5RLGLmlk0FrO0/eQBYqA7jPepd/m1xN7XhxKZ5dU4HWTv6Og==" saltValue="IzF5+UUG0XmQtHE77adqu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Detailed_LineDesc10</f>
        <v/>
      </c>
      <c r="F7" s="6" t="s">
        <v>1</v>
      </c>
      <c r="H7" s="13" t="str">
        <f>Completed_By</f>
        <v>Nicole Pettis</v>
      </c>
      <c r="I7" s="216"/>
    </row>
    <row r="8" spans="1:16" x14ac:dyDescent="0.25">
      <c r="A8" s="6" t="s">
        <v>78</v>
      </c>
      <c r="D8" s="6" t="str">
        <f>Covg10</f>
        <v/>
      </c>
      <c r="F8" s="6" t="s">
        <v>76</v>
      </c>
      <c r="H8" s="52">
        <f>Completed_Date</f>
        <v>44981</v>
      </c>
      <c r="I8" s="217"/>
      <c r="J8" s="156"/>
    </row>
    <row r="9" spans="1:16" x14ac:dyDescent="0.25">
      <c r="A9" s="6" t="s">
        <v>169</v>
      </c>
      <c r="D9" s="52" t="str">
        <f>EffDate_Prior10</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"&amp;Detailed_LineCode10&amp;" Industry P&amp;C"</f>
        <v>Total 2021 Line  Industry P&amp;C</v>
      </c>
      <c r="N20" s="153" t="s">
        <v>256</v>
      </c>
    </row>
    <row r="21" spans="1:16" ht="17.25" x14ac:dyDescent="0.25">
      <c r="A21" s="137"/>
      <c r="B21" s="137"/>
      <c r="I21" s="214"/>
      <c r="K21" s="117"/>
      <c r="L21" s="6" t="s">
        <v>289</v>
      </c>
      <c r="M21" s="14" t="e">
        <f>VLOOKUP(Detailed_LineCode10,Table_IncdLossDCCE,2,FALSE)</f>
        <v>#N/A</v>
      </c>
      <c r="N21" s="148" t="e">
        <f>VLOOKUP($G$17,$L$16:$N$18,3,FALSE)</f>
        <v>#N/A</v>
      </c>
    </row>
    <row r="22" spans="1:16" ht="18" customHeight="1" thickBot="1" x14ac:dyDescent="0.3">
      <c r="A22" s="137"/>
      <c r="B22" s="81" t="s">
        <v>254</v>
      </c>
      <c r="C22" s="6" t="s">
        <v>299</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VLOOKUP(Detailed_LineCode10,Table_IncdLossDCCE,3,FALSE)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ht="18" customHeight="1"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5l8b4s1jYjAVSdTecfA2pQxmunGDxM8cgVo90lWRhdW5/OCfr3PQUV0wjL9tC+MsCIPm40BUgUZMXbwVSBNVcQ==" saltValue="vswm8RWu2wG4QoBAXZaGZ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126</v>
      </c>
      <c r="B1" s="57"/>
      <c r="C1" s="65"/>
      <c r="D1" s="65"/>
      <c r="E1" s="6"/>
      <c r="F1" s="6"/>
    </row>
    <row r="2" spans="1:8" x14ac:dyDescent="0.25">
      <c r="A2" s="56" t="s">
        <v>123</v>
      </c>
      <c r="B2" s="448" t="s">
        <v>121</v>
      </c>
      <c r="C2" s="65"/>
      <c r="D2" s="65"/>
      <c r="E2" s="6"/>
      <c r="F2" s="6"/>
    </row>
    <row r="3" spans="1:8" x14ac:dyDescent="0.25">
      <c r="A3" s="56"/>
      <c r="B3" s="448" t="s">
        <v>313</v>
      </c>
      <c r="C3" s="65"/>
      <c r="D3" s="65"/>
      <c r="E3" s="6"/>
      <c r="F3" s="6"/>
    </row>
    <row r="4" spans="1:8" x14ac:dyDescent="0.25">
      <c r="A4" s="56" t="s">
        <v>127</v>
      </c>
      <c r="B4" s="449">
        <v>2020</v>
      </c>
      <c r="C4" s="65"/>
      <c r="D4" s="65"/>
      <c r="E4" s="6"/>
      <c r="F4" s="6"/>
    </row>
    <row r="5" spans="1:8" x14ac:dyDescent="0.25">
      <c r="A5" s="56" t="s">
        <v>122</v>
      </c>
      <c r="B5" s="448" t="s">
        <v>294</v>
      </c>
      <c r="C5" s="65"/>
      <c r="D5" s="65"/>
      <c r="E5" s="6"/>
      <c r="F5" s="6"/>
    </row>
    <row r="6" spans="1:8" x14ac:dyDescent="0.25">
      <c r="A6" s="56" t="s">
        <v>128</v>
      </c>
      <c r="B6" s="450">
        <v>44551</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59</v>
      </c>
      <c r="B9" s="60" t="s">
        <v>117</v>
      </c>
      <c r="C9" s="60" t="s">
        <v>118</v>
      </c>
      <c r="D9" s="60" t="s">
        <v>125</v>
      </c>
      <c r="E9" s="60" t="s">
        <v>119</v>
      </c>
      <c r="F9" s="177"/>
      <c r="G9" s="45"/>
      <c r="H9" s="45"/>
    </row>
    <row r="10" spans="1:8" x14ac:dyDescent="0.25">
      <c r="A10" s="61">
        <v>1</v>
      </c>
      <c r="B10" s="606">
        <v>0.32264057080430214</v>
      </c>
      <c r="C10" s="607">
        <v>0.28579684106741904</v>
      </c>
      <c r="D10" s="607">
        <v>0.32264057080430214</v>
      </c>
      <c r="E10" s="62" t="s">
        <v>17</v>
      </c>
      <c r="F10" s="509"/>
      <c r="G10" s="509"/>
      <c r="H10" s="509"/>
    </row>
    <row r="11" spans="1:8" x14ac:dyDescent="0.25">
      <c r="A11" s="61">
        <v>2.1</v>
      </c>
      <c r="B11" s="608">
        <v>0.32705299209368172</v>
      </c>
      <c r="C11" s="609">
        <v>0.29474007750233949</v>
      </c>
      <c r="D11" s="609">
        <v>0.32705299209368172</v>
      </c>
      <c r="E11" s="62" t="s">
        <v>9</v>
      </c>
      <c r="F11" s="509"/>
      <c r="G11" s="509"/>
      <c r="H11" s="509"/>
    </row>
    <row r="12" spans="1:8" x14ac:dyDescent="0.25">
      <c r="A12" s="61">
        <v>3</v>
      </c>
      <c r="B12" s="608">
        <v>0.38733373273714594</v>
      </c>
      <c r="C12" s="609">
        <v>0.38733373273714594</v>
      </c>
      <c r="D12" s="609">
        <v>0.39095109805250727</v>
      </c>
      <c r="E12" s="62" t="s">
        <v>44</v>
      </c>
      <c r="F12" s="509"/>
      <c r="G12" s="509"/>
      <c r="H12" s="509"/>
    </row>
    <row r="13" spans="1:8" x14ac:dyDescent="0.25">
      <c r="A13" s="61">
        <v>4</v>
      </c>
      <c r="B13" s="608">
        <v>0.35349169170468153</v>
      </c>
      <c r="C13" s="609">
        <v>0.30450233691492307</v>
      </c>
      <c r="D13" s="609">
        <v>0.37957507454237077</v>
      </c>
      <c r="E13" s="62" t="s">
        <v>45</v>
      </c>
      <c r="F13" s="509"/>
      <c r="G13" s="509"/>
      <c r="H13" s="509"/>
    </row>
    <row r="14" spans="1:8" x14ac:dyDescent="0.25">
      <c r="A14" s="61">
        <v>5</v>
      </c>
      <c r="B14" s="608">
        <v>0.38056656334177358</v>
      </c>
      <c r="C14" s="609">
        <v>0.34972458045182453</v>
      </c>
      <c r="D14" s="609">
        <v>0.36988795076778636</v>
      </c>
      <c r="E14" s="62" t="s">
        <v>124</v>
      </c>
      <c r="F14" s="509"/>
      <c r="G14" s="509"/>
      <c r="H14" s="509"/>
    </row>
    <row r="15" spans="1:8" x14ac:dyDescent="0.25">
      <c r="A15" s="61">
        <v>5.0999999999999996</v>
      </c>
      <c r="B15" s="610">
        <v>0.3745301566852699</v>
      </c>
      <c r="C15" s="611">
        <v>0.35457187705951404</v>
      </c>
      <c r="D15" s="611">
        <v>0.35968282489531528</v>
      </c>
      <c r="E15" s="62" t="s">
        <v>43</v>
      </c>
      <c r="F15" s="509"/>
      <c r="G15" s="509"/>
      <c r="H15" s="509"/>
    </row>
    <row r="16" spans="1:8" x14ac:dyDescent="0.25">
      <c r="A16" s="61">
        <v>5.2</v>
      </c>
      <c r="B16" s="610">
        <v>0.39817283158893568</v>
      </c>
      <c r="C16" s="611">
        <v>0.34749382309908511</v>
      </c>
      <c r="D16" s="611">
        <v>0.38531762841141753</v>
      </c>
      <c r="E16" s="62" t="s">
        <v>42</v>
      </c>
      <c r="F16" s="509"/>
      <c r="G16" s="509"/>
      <c r="H16" s="509"/>
    </row>
    <row r="17" spans="1:8" x14ac:dyDescent="0.25">
      <c r="A17" s="61">
        <v>9</v>
      </c>
      <c r="B17" s="608">
        <v>0.28354526722923851</v>
      </c>
      <c r="C17" s="609">
        <v>0.27729260124284777</v>
      </c>
      <c r="D17" s="609">
        <v>0.28354526722923851</v>
      </c>
      <c r="E17" s="62" t="s">
        <v>20</v>
      </c>
      <c r="F17" s="509"/>
      <c r="G17" s="509"/>
      <c r="H17" s="509"/>
    </row>
    <row r="18" spans="1:8" x14ac:dyDescent="0.25">
      <c r="A18" s="61">
        <v>11</v>
      </c>
      <c r="B18" s="608">
        <v>0.40343289491496614</v>
      </c>
      <c r="C18" s="609">
        <v>0.27260526794637335</v>
      </c>
      <c r="D18" s="609">
        <v>0.36666228578975457</v>
      </c>
      <c r="E18" s="63" t="s">
        <v>21</v>
      </c>
      <c r="F18" s="509"/>
      <c r="G18" s="509"/>
      <c r="H18" s="509"/>
    </row>
    <row r="19" spans="1:8" x14ac:dyDescent="0.25">
      <c r="A19" s="61">
        <v>11.1</v>
      </c>
      <c r="B19" s="608">
        <v>0.40343289491496614</v>
      </c>
      <c r="C19" s="609">
        <v>0.27260526794637335</v>
      </c>
      <c r="D19" s="609">
        <v>0.36666228578975457</v>
      </c>
      <c r="E19" s="63" t="s">
        <v>47</v>
      </c>
      <c r="F19" s="509"/>
      <c r="G19" s="509"/>
      <c r="H19" s="509"/>
    </row>
    <row r="20" spans="1:8" x14ac:dyDescent="0.25">
      <c r="A20" s="61">
        <v>11.2</v>
      </c>
      <c r="B20" s="608">
        <v>0.40343289491496614</v>
      </c>
      <c r="C20" s="609">
        <v>0.27260526794637335</v>
      </c>
      <c r="D20" s="609">
        <v>0.36666228578975457</v>
      </c>
      <c r="E20" s="63" t="s">
        <v>46</v>
      </c>
      <c r="F20" s="509"/>
      <c r="G20" s="509"/>
      <c r="H20" s="509"/>
    </row>
    <row r="21" spans="1:8" x14ac:dyDescent="0.25">
      <c r="A21" s="61" t="s">
        <v>328</v>
      </c>
      <c r="B21" s="608">
        <v>0.40343289491496614</v>
      </c>
      <c r="C21" s="609">
        <v>0.27260526794637335</v>
      </c>
      <c r="D21" s="609">
        <v>0.36666228578975457</v>
      </c>
      <c r="E21" s="63" t="s">
        <v>326</v>
      </c>
      <c r="F21" s="509"/>
      <c r="G21" s="509"/>
      <c r="H21" s="509"/>
    </row>
    <row r="22" spans="1:8" x14ac:dyDescent="0.25">
      <c r="A22" s="61" t="s">
        <v>329</v>
      </c>
      <c r="B22" s="608">
        <v>0.40343289491496614</v>
      </c>
      <c r="C22" s="609">
        <v>0.27260526794637335</v>
      </c>
      <c r="D22" s="609">
        <v>0.36666228578975457</v>
      </c>
      <c r="E22" s="63" t="s">
        <v>327</v>
      </c>
      <c r="F22" s="509"/>
      <c r="G22" s="509"/>
      <c r="H22" s="509"/>
    </row>
    <row r="23" spans="1:8" x14ac:dyDescent="0.25">
      <c r="A23" s="61" t="s">
        <v>330</v>
      </c>
      <c r="B23" s="608">
        <v>0.40343289491496614</v>
      </c>
      <c r="C23" s="609">
        <v>0.27260526794637335</v>
      </c>
      <c r="D23" s="609">
        <v>0.36666228578975457</v>
      </c>
      <c r="E23" s="63" t="s">
        <v>324</v>
      </c>
      <c r="F23" s="509"/>
      <c r="G23" s="509"/>
      <c r="H23" s="509"/>
    </row>
    <row r="24" spans="1:8" x14ac:dyDescent="0.25">
      <c r="A24" s="61">
        <v>12</v>
      </c>
      <c r="B24" s="608">
        <v>0.24340754228838934</v>
      </c>
      <c r="C24" s="609">
        <v>0.26606284274177755</v>
      </c>
      <c r="D24" s="609">
        <v>0.27375831026408481</v>
      </c>
      <c r="E24" s="63" t="s">
        <v>14</v>
      </c>
      <c r="F24" s="509"/>
      <c r="G24" s="509"/>
      <c r="H24" s="509"/>
    </row>
    <row r="25" spans="1:8" x14ac:dyDescent="0.25">
      <c r="A25" s="61" t="s">
        <v>331</v>
      </c>
      <c r="B25" s="608">
        <v>0.24340754228838934</v>
      </c>
      <c r="C25" s="609">
        <v>0.26606284274177755</v>
      </c>
      <c r="D25" s="609">
        <v>0.27375831026408481</v>
      </c>
      <c r="E25" s="63" t="s">
        <v>325</v>
      </c>
      <c r="F25" s="509"/>
      <c r="G25" s="509"/>
      <c r="H25" s="509"/>
    </row>
    <row r="26" spans="1:8" x14ac:dyDescent="0.25">
      <c r="A26" s="61">
        <v>17</v>
      </c>
      <c r="B26" s="608">
        <v>0.31140389477587366</v>
      </c>
      <c r="C26" s="609">
        <v>0.31849075950320105</v>
      </c>
      <c r="D26" s="609">
        <v>0.3358560996385816</v>
      </c>
      <c r="E26" s="63" t="s">
        <v>23</v>
      </c>
      <c r="F26" s="509"/>
      <c r="G26" s="509"/>
      <c r="H26" s="509"/>
    </row>
    <row r="27" spans="1:8" x14ac:dyDescent="0.25">
      <c r="A27" s="61">
        <v>17.100000000000001</v>
      </c>
      <c r="B27" s="610">
        <v>0.31358328821404757</v>
      </c>
      <c r="C27" s="611">
        <v>0.2640756898392243</v>
      </c>
      <c r="D27" s="611">
        <v>0.3046244823314368</v>
      </c>
      <c r="E27" s="63" t="s">
        <v>49</v>
      </c>
      <c r="F27" s="509"/>
      <c r="G27" s="509"/>
      <c r="H27" s="509"/>
    </row>
    <row r="28" spans="1:8" x14ac:dyDescent="0.25">
      <c r="A28" s="61">
        <v>17.2</v>
      </c>
      <c r="B28" s="610">
        <v>0.27846536373927272</v>
      </c>
      <c r="C28" s="611">
        <v>0.44398764048589995</v>
      </c>
      <c r="D28" s="611">
        <v>0.37532081186251792</v>
      </c>
      <c r="E28" s="63" t="s">
        <v>48</v>
      </c>
      <c r="F28" s="509"/>
      <c r="G28" s="509"/>
      <c r="H28" s="509"/>
    </row>
    <row r="29" spans="1:8" x14ac:dyDescent="0.25">
      <c r="A29" s="61">
        <v>18</v>
      </c>
      <c r="B29" s="608">
        <v>0.32250884671599844</v>
      </c>
      <c r="C29" s="609">
        <v>0.32250884671599844</v>
      </c>
      <c r="D29" s="609">
        <v>0.32250884671599844</v>
      </c>
      <c r="E29" s="63" t="s">
        <v>24</v>
      </c>
      <c r="F29" s="509"/>
      <c r="G29" s="509"/>
      <c r="H29" s="509"/>
    </row>
    <row r="30" spans="1:8" x14ac:dyDescent="0.25">
      <c r="A30" s="61">
        <v>18.100000000000001</v>
      </c>
      <c r="B30" s="608">
        <v>0.32250884671599844</v>
      </c>
      <c r="C30" s="609">
        <v>0.32250884671599844</v>
      </c>
      <c r="D30" s="609">
        <v>0.32250884671599844</v>
      </c>
      <c r="E30" s="63" t="s">
        <v>53</v>
      </c>
      <c r="F30" s="509"/>
      <c r="G30" s="509"/>
      <c r="H30" s="509"/>
    </row>
    <row r="31" spans="1:8" x14ac:dyDescent="0.25">
      <c r="A31" s="61">
        <v>18.2</v>
      </c>
      <c r="B31" s="608">
        <v>0.32250884671599844</v>
      </c>
      <c r="C31" s="609">
        <v>0.32250884671599844</v>
      </c>
      <c r="D31" s="609">
        <v>0.32250884671599844</v>
      </c>
      <c r="E31" s="63" t="s">
        <v>52</v>
      </c>
      <c r="F31" s="509"/>
      <c r="G31" s="509"/>
      <c r="H31" s="509"/>
    </row>
    <row r="32" spans="1:8" x14ac:dyDescent="0.25">
      <c r="A32" s="61">
        <v>19.2</v>
      </c>
      <c r="B32" s="612">
        <v>0.31092212368038935</v>
      </c>
      <c r="C32" s="613">
        <v>0.26622784813216294</v>
      </c>
      <c r="D32" s="613">
        <v>0.35653087916941489</v>
      </c>
      <c r="E32" s="63" t="s">
        <v>50</v>
      </c>
      <c r="F32" s="509"/>
      <c r="G32" s="509"/>
      <c r="H32" s="509"/>
    </row>
    <row r="33" spans="1:8" x14ac:dyDescent="0.25">
      <c r="A33" s="61">
        <v>19.399999999999999</v>
      </c>
      <c r="B33" s="608">
        <v>0.36988312159365738</v>
      </c>
      <c r="C33" s="609">
        <v>0.26571120433885059</v>
      </c>
      <c r="D33" s="609">
        <v>0.33189577609755033</v>
      </c>
      <c r="E33" s="63" t="s">
        <v>39</v>
      </c>
      <c r="F33" s="509"/>
      <c r="G33" s="509"/>
      <c r="H33" s="509"/>
    </row>
    <row r="34" spans="1:8" x14ac:dyDescent="0.25">
      <c r="A34" s="61">
        <v>21.1</v>
      </c>
      <c r="B34" s="612">
        <v>0.31225781752376819</v>
      </c>
      <c r="C34" s="613">
        <v>0.25586059542168726</v>
      </c>
      <c r="D34" s="613">
        <v>0.35144754344074641</v>
      </c>
      <c r="E34" s="63" t="s">
        <v>51</v>
      </c>
      <c r="F34" s="509"/>
      <c r="G34" s="509"/>
      <c r="H34" s="509"/>
    </row>
    <row r="35" spans="1:8" x14ac:dyDescent="0.25">
      <c r="A35" s="61">
        <v>21.2</v>
      </c>
      <c r="B35" s="608">
        <v>0.35483822794744674</v>
      </c>
      <c r="C35" s="609">
        <v>0.33158840050480298</v>
      </c>
      <c r="D35" s="609">
        <v>0.34154482499729527</v>
      </c>
      <c r="E35" s="63" t="s">
        <v>40</v>
      </c>
      <c r="F35" s="509"/>
      <c r="G35" s="509"/>
      <c r="H35" s="509"/>
    </row>
    <row r="36" spans="1:8" x14ac:dyDescent="0.25">
      <c r="A36" s="61">
        <v>22</v>
      </c>
      <c r="B36" s="612">
        <v>0.32506537946659148</v>
      </c>
      <c r="C36" s="613">
        <v>0.43688479599760016</v>
      </c>
      <c r="D36" s="613">
        <v>0.32267770428390924</v>
      </c>
      <c r="E36" s="63" t="s">
        <v>8</v>
      </c>
      <c r="F36" s="509"/>
      <c r="G36" s="509"/>
      <c r="H36" s="509"/>
    </row>
    <row r="37" spans="1:8" x14ac:dyDescent="0.25">
      <c r="A37" s="61">
        <v>23</v>
      </c>
      <c r="B37" s="608">
        <v>0.37415753593585527</v>
      </c>
      <c r="C37" s="609">
        <v>0.32326291703914967</v>
      </c>
      <c r="D37" s="609">
        <v>0.37793442232116087</v>
      </c>
      <c r="E37" s="63" t="s">
        <v>16</v>
      </c>
      <c r="F37" s="509"/>
      <c r="G37" s="509"/>
      <c r="H37" s="509"/>
    </row>
    <row r="38" spans="1:8" x14ac:dyDescent="0.25">
      <c r="A38" s="61">
        <v>24</v>
      </c>
      <c r="B38" s="612">
        <v>0.45570039826671277</v>
      </c>
      <c r="C38" s="613">
        <v>0.45570039826671277</v>
      </c>
      <c r="D38" s="613">
        <v>0.45570039826671277</v>
      </c>
      <c r="E38" s="63" t="s">
        <v>25</v>
      </c>
      <c r="F38" s="509"/>
      <c r="G38" s="509"/>
      <c r="H38" s="509"/>
    </row>
    <row r="39" spans="1:8" x14ac:dyDescent="0.25">
      <c r="A39" s="64">
        <v>26</v>
      </c>
      <c r="B39" s="608">
        <v>0.40879334795969163</v>
      </c>
      <c r="C39" s="609">
        <v>0.40879334795969163</v>
      </c>
      <c r="D39" s="609">
        <v>0.40879334795969163</v>
      </c>
      <c r="E39" s="63" t="s">
        <v>13</v>
      </c>
      <c r="F39" s="509"/>
      <c r="G39" s="509"/>
      <c r="H39" s="509"/>
    </row>
    <row r="40" spans="1:8" x14ac:dyDescent="0.25">
      <c r="A40" s="64">
        <v>27</v>
      </c>
      <c r="B40" s="608">
        <v>0.37056208371139149</v>
      </c>
      <c r="C40" s="609">
        <v>0.25454478470121661</v>
      </c>
      <c r="D40" s="609">
        <v>0.3541709116108695</v>
      </c>
      <c r="E40" s="63" t="s">
        <v>12</v>
      </c>
      <c r="F40" s="509"/>
      <c r="G40" s="509"/>
      <c r="H40" s="509"/>
    </row>
    <row r="41" spans="1:8" x14ac:dyDescent="0.25">
      <c r="A41" s="6"/>
      <c r="B41" s="6"/>
      <c r="C41" s="6"/>
      <c r="D41" s="6"/>
      <c r="E41" s="6"/>
      <c r="F41" s="6"/>
      <c r="H41" s="43"/>
    </row>
    <row r="42" spans="1:8" x14ac:dyDescent="0.25">
      <c r="A42" s="6"/>
      <c r="B42" s="6"/>
      <c r="C42" s="6"/>
      <c r="D42" s="6"/>
      <c r="E42" s="6"/>
      <c r="F42" s="6"/>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sheetData>
  <sheetProtection algorithmName="SHA-512" hashValue="xpew7X7DAYfIbb13eBrvTiVTcXFxEh2F3SqZYXF54WLZQI+BFFGdWGvOMO8lGn/FW3RgagAQ8WbmNo1FobYfMQ==" saltValue="xFEBatMTHm6XJjzFNqtmX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134</v>
      </c>
      <c r="B1" s="57"/>
      <c r="C1" s="6"/>
      <c r="D1" s="42"/>
    </row>
    <row r="2" spans="1:12" x14ac:dyDescent="0.25">
      <c r="A2" s="56" t="s">
        <v>120</v>
      </c>
      <c r="B2" s="448" t="s">
        <v>319</v>
      </c>
      <c r="C2" s="6"/>
      <c r="D2" s="43"/>
    </row>
    <row r="3" spans="1:12" x14ac:dyDescent="0.25">
      <c r="A3" s="56" t="s">
        <v>135</v>
      </c>
      <c r="B3" s="449">
        <v>2022</v>
      </c>
      <c r="C3" s="6"/>
      <c r="D3" s="43"/>
    </row>
    <row r="4" spans="1:12" x14ac:dyDescent="0.25">
      <c r="A4" s="56" t="s">
        <v>127</v>
      </c>
      <c r="B4" s="449">
        <v>2021</v>
      </c>
      <c r="C4" s="6"/>
      <c r="D4" s="43"/>
    </row>
    <row r="5" spans="1:12" x14ac:dyDescent="0.25">
      <c r="A5" s="56" t="s">
        <v>122</v>
      </c>
      <c r="B5" s="448" t="s">
        <v>294</v>
      </c>
      <c r="C5" s="6"/>
      <c r="D5" s="43"/>
    </row>
    <row r="6" spans="1:12" x14ac:dyDescent="0.25">
      <c r="A6" s="56" t="s">
        <v>128</v>
      </c>
      <c r="B6" s="450">
        <v>44854</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59</v>
      </c>
      <c r="B10" s="60" t="s">
        <v>134</v>
      </c>
      <c r="C10" s="60" t="s">
        <v>119</v>
      </c>
      <c r="D10" s="44"/>
    </row>
    <row r="11" spans="1:12" x14ac:dyDescent="0.25">
      <c r="A11" s="61">
        <v>1</v>
      </c>
      <c r="B11" s="539">
        <v>0.81235644058807355</v>
      </c>
      <c r="C11" s="62" t="s">
        <v>17</v>
      </c>
      <c r="D11" s="44"/>
    </row>
    <row r="12" spans="1:12" x14ac:dyDescent="0.25">
      <c r="A12" s="61">
        <v>2.1</v>
      </c>
      <c r="B12" s="539">
        <v>0.93435152504930674</v>
      </c>
      <c r="C12" s="62" t="s">
        <v>9</v>
      </c>
      <c r="D12" s="44"/>
    </row>
    <row r="13" spans="1:12" x14ac:dyDescent="0.25">
      <c r="A13" s="61">
        <v>3</v>
      </c>
      <c r="B13" s="539">
        <v>1.0198850033807605</v>
      </c>
      <c r="C13" s="62" t="s">
        <v>44</v>
      </c>
      <c r="D13" s="44"/>
    </row>
    <row r="14" spans="1:12" x14ac:dyDescent="0.25">
      <c r="A14" s="61">
        <v>4</v>
      </c>
      <c r="B14" s="539">
        <v>0.91552166118720324</v>
      </c>
      <c r="C14" s="62" t="s">
        <v>45</v>
      </c>
      <c r="D14" s="44"/>
      <c r="G14" s="525"/>
      <c r="H14" s="524"/>
      <c r="I14" s="526"/>
      <c r="J14" s="526"/>
      <c r="K14" s="526"/>
      <c r="L14" s="524"/>
    </row>
    <row r="15" spans="1:12" x14ac:dyDescent="0.25">
      <c r="A15" s="61">
        <v>5</v>
      </c>
      <c r="B15" s="539">
        <v>0.64904356508147709</v>
      </c>
      <c r="C15" s="62" t="s">
        <v>124</v>
      </c>
      <c r="D15" s="44"/>
      <c r="G15" s="525"/>
      <c r="H15" s="524"/>
      <c r="I15" s="526"/>
      <c r="J15" s="526"/>
      <c r="K15" s="526"/>
      <c r="L15" s="524"/>
    </row>
    <row r="16" spans="1:12" x14ac:dyDescent="0.25">
      <c r="A16" s="61">
        <v>5.0999999999999996</v>
      </c>
      <c r="B16" s="539">
        <v>0.85959575239859431</v>
      </c>
      <c r="C16" s="62" t="s">
        <v>43</v>
      </c>
      <c r="D16" s="44"/>
      <c r="G16" s="525"/>
      <c r="H16" s="524"/>
      <c r="I16" s="526"/>
      <c r="J16" s="526"/>
      <c r="K16" s="526"/>
      <c r="L16" s="524"/>
    </row>
    <row r="17" spans="1:12" x14ac:dyDescent="0.25">
      <c r="A17" s="61">
        <v>5.2</v>
      </c>
      <c r="B17" s="539">
        <v>0.44524500946674733</v>
      </c>
      <c r="C17" s="62" t="s">
        <v>42</v>
      </c>
      <c r="D17" s="44"/>
      <c r="G17" s="525"/>
      <c r="H17" s="524"/>
      <c r="I17" s="526"/>
      <c r="J17" s="526"/>
      <c r="K17" s="526"/>
      <c r="L17" s="524"/>
    </row>
    <row r="18" spans="1:12" x14ac:dyDescent="0.25">
      <c r="A18" s="61">
        <v>9</v>
      </c>
      <c r="B18" s="539">
        <v>0.99942836921193801</v>
      </c>
      <c r="C18" s="62" t="s">
        <v>20</v>
      </c>
      <c r="D18" s="44"/>
      <c r="G18" s="525"/>
      <c r="H18" s="524"/>
      <c r="I18" s="526"/>
      <c r="J18" s="526"/>
      <c r="K18" s="526"/>
      <c r="L18" s="524"/>
    </row>
    <row r="19" spans="1:12" x14ac:dyDescent="0.25">
      <c r="A19" s="61">
        <v>11</v>
      </c>
      <c r="B19" s="539">
        <v>0.37793006729923817</v>
      </c>
      <c r="C19" s="63" t="s">
        <v>21</v>
      </c>
      <c r="D19" s="44"/>
      <c r="G19" s="525"/>
      <c r="H19" s="524"/>
      <c r="I19" s="526"/>
      <c r="J19" s="526"/>
      <c r="K19" s="526"/>
      <c r="L19" s="524"/>
    </row>
    <row r="20" spans="1:12" x14ac:dyDescent="0.25">
      <c r="A20" s="61">
        <v>11.1</v>
      </c>
      <c r="B20" s="539">
        <v>0.27891657529127117</v>
      </c>
      <c r="C20" s="63" t="s">
        <v>47</v>
      </c>
      <c r="D20" s="44"/>
      <c r="G20" s="525"/>
      <c r="H20" s="524"/>
      <c r="I20" s="526"/>
      <c r="J20" s="526"/>
      <c r="K20" s="526"/>
      <c r="L20" s="524"/>
    </row>
    <row r="21" spans="1:12" x14ac:dyDescent="0.25">
      <c r="A21" s="61">
        <v>11.2</v>
      </c>
      <c r="B21" s="539">
        <v>0.42512058682655723</v>
      </c>
      <c r="C21" s="63" t="s">
        <v>46</v>
      </c>
      <c r="D21" s="44"/>
      <c r="G21" s="525"/>
      <c r="H21" s="524"/>
      <c r="I21" s="526"/>
      <c r="J21" s="526"/>
      <c r="K21" s="526"/>
      <c r="L21" s="524"/>
    </row>
    <row r="22" spans="1:12" x14ac:dyDescent="0.25">
      <c r="A22" s="61" t="s">
        <v>328</v>
      </c>
      <c r="B22" s="539">
        <v>0.37793006729923817</v>
      </c>
      <c r="C22" s="63" t="s">
        <v>326</v>
      </c>
      <c r="D22" s="44"/>
      <c r="G22" s="525"/>
      <c r="H22" s="524"/>
      <c r="I22" s="526"/>
      <c r="J22" s="526"/>
      <c r="K22" s="526"/>
      <c r="L22" s="524"/>
    </row>
    <row r="23" spans="1:12" x14ac:dyDescent="0.25">
      <c r="A23" s="61" t="s">
        <v>329</v>
      </c>
      <c r="B23" s="539">
        <v>0.27891657529127117</v>
      </c>
      <c r="C23" s="63" t="s">
        <v>327</v>
      </c>
      <c r="D23" s="44"/>
      <c r="G23" s="525"/>
      <c r="H23" s="524"/>
      <c r="I23" s="526"/>
      <c r="J23" s="526"/>
      <c r="K23" s="526"/>
      <c r="L23" s="524"/>
    </row>
    <row r="24" spans="1:12" x14ac:dyDescent="0.25">
      <c r="A24" s="61" t="s">
        <v>330</v>
      </c>
      <c r="B24" s="539">
        <v>0.42512058682655723</v>
      </c>
      <c r="C24" s="63" t="s">
        <v>324</v>
      </c>
      <c r="D24" s="44"/>
      <c r="G24" s="525"/>
      <c r="H24" s="524"/>
      <c r="I24" s="526"/>
      <c r="J24" s="526"/>
      <c r="K24" s="526"/>
      <c r="L24" s="524"/>
    </row>
    <row r="25" spans="1:12" x14ac:dyDescent="0.25">
      <c r="A25" s="61">
        <v>12</v>
      </c>
      <c r="B25" s="539">
        <v>1</v>
      </c>
      <c r="C25" s="63" t="s">
        <v>14</v>
      </c>
      <c r="D25" s="44"/>
      <c r="G25" s="525"/>
      <c r="H25" s="524"/>
      <c r="I25" s="526"/>
      <c r="J25" s="526"/>
      <c r="K25" s="526"/>
      <c r="L25" s="524"/>
    </row>
    <row r="26" spans="1:12" x14ac:dyDescent="0.25">
      <c r="A26" s="61" t="s">
        <v>331</v>
      </c>
      <c r="B26" s="539">
        <v>1</v>
      </c>
      <c r="C26" s="63" t="s">
        <v>325</v>
      </c>
      <c r="D26" s="44"/>
      <c r="G26" s="525"/>
      <c r="H26" s="524"/>
      <c r="I26" s="526"/>
      <c r="J26" s="526"/>
      <c r="K26" s="526"/>
      <c r="L26" s="524"/>
    </row>
    <row r="27" spans="1:12" x14ac:dyDescent="0.25">
      <c r="A27" s="61">
        <v>17</v>
      </c>
      <c r="B27" s="539">
        <v>0.46281471895830895</v>
      </c>
      <c r="C27" s="63" t="s">
        <v>23</v>
      </c>
      <c r="D27" s="44"/>
      <c r="G27" s="525"/>
      <c r="H27" s="524"/>
      <c r="I27" s="526"/>
      <c r="J27" s="526"/>
      <c r="K27" s="526"/>
      <c r="L27" s="524"/>
    </row>
    <row r="28" spans="1:12" x14ac:dyDescent="0.25">
      <c r="A28" s="61">
        <v>17.100000000000001</v>
      </c>
      <c r="B28" s="539">
        <v>0.44885827339732171</v>
      </c>
      <c r="C28" s="63" t="s">
        <v>49</v>
      </c>
      <c r="D28" s="44"/>
      <c r="G28" s="525"/>
      <c r="H28" s="524"/>
      <c r="I28" s="526"/>
      <c r="J28" s="526"/>
      <c r="K28" s="526"/>
      <c r="L28" s="524"/>
    </row>
    <row r="29" spans="1:12" x14ac:dyDescent="0.25">
      <c r="A29" s="61">
        <v>17.2</v>
      </c>
      <c r="B29" s="539">
        <v>0.52489488713442756</v>
      </c>
      <c r="C29" s="63" t="s">
        <v>48</v>
      </c>
      <c r="D29" s="44"/>
      <c r="G29" s="525"/>
      <c r="H29" s="524"/>
      <c r="I29" s="526"/>
      <c r="J29" s="526"/>
      <c r="K29" s="526"/>
      <c r="L29" s="524"/>
    </row>
    <row r="30" spans="1:12" x14ac:dyDescent="0.25">
      <c r="A30" s="61">
        <v>18</v>
      </c>
      <c r="B30" s="539">
        <v>0.30408454550823855</v>
      </c>
      <c r="C30" s="63" t="s">
        <v>24</v>
      </c>
      <c r="D30" s="44"/>
      <c r="G30" s="525"/>
      <c r="H30" s="524"/>
      <c r="I30" s="526"/>
      <c r="J30" s="526"/>
      <c r="K30" s="526"/>
      <c r="L30" s="524"/>
    </row>
    <row r="31" spans="1:12" x14ac:dyDescent="0.25">
      <c r="A31" s="61">
        <v>18.100000000000001</v>
      </c>
      <c r="B31" s="539">
        <v>0.28303723223900357</v>
      </c>
      <c r="C31" s="63" t="s">
        <v>53</v>
      </c>
      <c r="D31" s="44"/>
      <c r="G31" s="525"/>
      <c r="H31" s="524"/>
      <c r="I31" s="526"/>
      <c r="J31" s="526"/>
      <c r="K31" s="526"/>
      <c r="L31" s="524"/>
    </row>
    <row r="32" spans="1:12" x14ac:dyDescent="0.25">
      <c r="A32" s="61">
        <v>18.2</v>
      </c>
      <c r="B32" s="539">
        <v>0.47263905766817937</v>
      </c>
      <c r="C32" s="63" t="s">
        <v>52</v>
      </c>
      <c r="D32" s="44"/>
      <c r="G32" s="525"/>
      <c r="H32" s="524"/>
      <c r="I32" s="526"/>
      <c r="J32" s="526"/>
      <c r="K32" s="526"/>
      <c r="L32" s="524"/>
    </row>
    <row r="33" spans="1:12" x14ac:dyDescent="0.25">
      <c r="A33" s="61">
        <v>19.2</v>
      </c>
      <c r="B33" s="539">
        <v>0.7746748896822202</v>
      </c>
      <c r="C33" s="63" t="s">
        <v>50</v>
      </c>
      <c r="D33" s="44"/>
      <c r="G33" s="525"/>
      <c r="H33" s="524"/>
      <c r="I33" s="526"/>
      <c r="J33" s="526"/>
      <c r="K33" s="526"/>
      <c r="L33" s="524"/>
    </row>
    <row r="34" spans="1:12" x14ac:dyDescent="0.25">
      <c r="A34" s="61">
        <v>19.399999999999999</v>
      </c>
      <c r="B34" s="539">
        <v>0.59901615822906618</v>
      </c>
      <c r="C34" s="63" t="s">
        <v>39</v>
      </c>
      <c r="D34" s="44"/>
      <c r="G34" s="525"/>
      <c r="H34" s="524"/>
      <c r="I34" s="526"/>
      <c r="J34" s="526"/>
      <c r="K34" s="526"/>
      <c r="L34" s="524"/>
    </row>
    <row r="35" spans="1:12" x14ac:dyDescent="0.25">
      <c r="A35" s="61">
        <v>21.1</v>
      </c>
      <c r="B35" s="539">
        <v>1.2507122087328104</v>
      </c>
      <c r="C35" s="63" t="s">
        <v>51</v>
      </c>
      <c r="D35" s="44"/>
      <c r="G35" s="525"/>
      <c r="H35" s="524"/>
      <c r="I35" s="526"/>
      <c r="J35" s="526"/>
      <c r="K35" s="526"/>
      <c r="L35" s="524"/>
    </row>
    <row r="36" spans="1:12" x14ac:dyDescent="0.25">
      <c r="A36" s="61">
        <v>21.2</v>
      </c>
      <c r="B36" s="539">
        <v>1.0493049283677423</v>
      </c>
      <c r="C36" s="63" t="s">
        <v>40</v>
      </c>
      <c r="D36" s="44"/>
      <c r="G36" s="525"/>
      <c r="H36" s="524"/>
      <c r="I36" s="526"/>
      <c r="J36" s="526"/>
      <c r="K36" s="526"/>
      <c r="L36" s="524"/>
    </row>
    <row r="37" spans="1:12" x14ac:dyDescent="0.25">
      <c r="A37" s="61">
        <v>22</v>
      </c>
      <c r="B37" s="539">
        <v>0.64009706302218006</v>
      </c>
      <c r="C37" s="63" t="s">
        <v>8</v>
      </c>
      <c r="D37" s="44"/>
      <c r="G37" s="525"/>
      <c r="H37" s="524"/>
      <c r="I37" s="526"/>
      <c r="J37" s="526"/>
      <c r="K37" s="526"/>
      <c r="L37" s="524"/>
    </row>
    <row r="38" spans="1:12" x14ac:dyDescent="0.25">
      <c r="A38" s="61">
        <v>23</v>
      </c>
      <c r="B38" s="539">
        <v>0.66582394844950954</v>
      </c>
      <c r="C38" s="63" t="s">
        <v>16</v>
      </c>
      <c r="D38" s="44"/>
      <c r="G38" s="525"/>
      <c r="H38" s="524"/>
      <c r="I38" s="526"/>
      <c r="J38" s="526"/>
      <c r="K38" s="526"/>
      <c r="L38" s="524"/>
    </row>
    <row r="39" spans="1:12" x14ac:dyDescent="0.25">
      <c r="A39" s="61">
        <v>24</v>
      </c>
      <c r="B39" s="539">
        <v>0.76745623128212148</v>
      </c>
      <c r="C39" s="63" t="s">
        <v>25</v>
      </c>
      <c r="D39" s="44"/>
      <c r="G39" s="525"/>
      <c r="H39" s="524"/>
      <c r="I39" s="526"/>
      <c r="J39" s="526"/>
      <c r="K39" s="526"/>
      <c r="L39" s="524"/>
    </row>
    <row r="40" spans="1:12" x14ac:dyDescent="0.25">
      <c r="A40" s="64">
        <v>26</v>
      </c>
      <c r="B40" s="539">
        <v>0.75476105053395415</v>
      </c>
      <c r="C40" s="63" t="s">
        <v>13</v>
      </c>
      <c r="D40" s="44"/>
      <c r="G40" s="525"/>
      <c r="H40" s="524"/>
      <c r="I40" s="526"/>
      <c r="J40" s="526"/>
      <c r="K40" s="526"/>
      <c r="L40" s="524"/>
    </row>
    <row r="41" spans="1:12" x14ac:dyDescent="0.25">
      <c r="A41" s="64">
        <v>27</v>
      </c>
      <c r="B41" s="539">
        <v>0.93538598940936746</v>
      </c>
      <c r="C41" s="63" t="s">
        <v>12</v>
      </c>
      <c r="D41" s="44"/>
      <c r="G41" s="525"/>
      <c r="H41" s="524"/>
      <c r="I41" s="526"/>
      <c r="J41" s="526"/>
      <c r="K41" s="526"/>
      <c r="L41" s="524"/>
    </row>
    <row r="42" spans="1:12" x14ac:dyDescent="0.25">
      <c r="A42" s="6"/>
      <c r="B42" s="6"/>
      <c r="C42" s="6"/>
      <c r="D42" s="44"/>
    </row>
    <row r="43" spans="1:12" x14ac:dyDescent="0.25">
      <c r="A43" s="6"/>
      <c r="B43" s="6"/>
      <c r="C43" s="6"/>
      <c r="D43" s="4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D47" s="44"/>
    </row>
    <row r="48" spans="1:12" x14ac:dyDescent="0.25">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sheetData>
  <sheetProtection algorithmName="SHA-512" hashValue="8Y8z2CGvz0EfysZoQf9WhF5K6MWOmPLItWIPdY+nntalM3SxtV5spGGJS4oY/rJcnVgfhFVmIrmIyKOZXkLCRw==" saltValue="Gw6Ik8b1lYZQ4JelY+ETzA=="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136</v>
      </c>
      <c r="B1" s="42"/>
      <c r="C1" s="43"/>
      <c r="H1" s="42"/>
    </row>
    <row r="2" spans="1:11" x14ac:dyDescent="0.25">
      <c r="A2" s="41" t="s">
        <v>120</v>
      </c>
      <c r="B2" s="451" t="s">
        <v>320</v>
      </c>
      <c r="C2" s="43"/>
      <c r="H2" s="43"/>
    </row>
    <row r="3" spans="1:11" x14ac:dyDescent="0.25">
      <c r="A3" s="41" t="s">
        <v>137</v>
      </c>
      <c r="B3" s="452" t="s">
        <v>749</v>
      </c>
      <c r="C3" s="54"/>
      <c r="H3" s="43"/>
    </row>
    <row r="4" spans="1:11" x14ac:dyDescent="0.25">
      <c r="A4" s="56" t="s">
        <v>127</v>
      </c>
      <c r="B4" s="54">
        <v>2021</v>
      </c>
      <c r="C4" s="54"/>
      <c r="H4" s="43"/>
    </row>
    <row r="5" spans="1:11" x14ac:dyDescent="0.25">
      <c r="A5" s="56" t="s">
        <v>122</v>
      </c>
      <c r="B5" s="448" t="s">
        <v>294</v>
      </c>
      <c r="C5" s="43"/>
      <c r="H5" s="43"/>
    </row>
    <row r="6" spans="1:11" x14ac:dyDescent="0.25">
      <c r="A6" s="41" t="s">
        <v>128</v>
      </c>
      <c r="B6" s="450">
        <v>44854</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59</v>
      </c>
      <c r="B10" s="615" t="s">
        <v>138</v>
      </c>
      <c r="C10" s="615" t="s">
        <v>139</v>
      </c>
      <c r="D10" s="223" t="s">
        <v>119</v>
      </c>
      <c r="E10" s="45"/>
      <c r="H10" s="44"/>
    </row>
    <row r="11" spans="1:11" x14ac:dyDescent="0.25">
      <c r="A11" s="219">
        <v>1</v>
      </c>
      <c r="B11" s="614">
        <v>0.51516606024523603</v>
      </c>
      <c r="C11" s="616">
        <v>1.7040300096297394</v>
      </c>
      <c r="D11" s="220" t="s">
        <v>17</v>
      </c>
      <c r="E11" s="45"/>
      <c r="I11" s="42"/>
      <c r="J11" s="42"/>
      <c r="K11" s="42"/>
    </row>
    <row r="12" spans="1:11" x14ac:dyDescent="0.25">
      <c r="A12" s="219">
        <v>2.1</v>
      </c>
      <c r="B12" s="614">
        <v>0.49642851354661766</v>
      </c>
      <c r="C12" s="616">
        <v>1.2313835016781414</v>
      </c>
      <c r="D12" s="220" t="s">
        <v>9</v>
      </c>
      <c r="E12" s="45"/>
      <c r="I12" s="42"/>
      <c r="J12" s="42"/>
      <c r="K12" s="42"/>
    </row>
    <row r="13" spans="1:11" x14ac:dyDescent="0.25">
      <c r="A13" s="219">
        <v>3</v>
      </c>
      <c r="B13" s="614">
        <v>0.47510354758054174</v>
      </c>
      <c r="C13" s="616">
        <v>2.8248039649956782</v>
      </c>
      <c r="D13" s="220" t="s">
        <v>44</v>
      </c>
      <c r="E13" s="45"/>
      <c r="I13" s="42"/>
      <c r="J13" s="42"/>
      <c r="K13" s="42"/>
    </row>
    <row r="14" spans="1:11" x14ac:dyDescent="0.25">
      <c r="A14" s="219">
        <v>4</v>
      </c>
      <c r="B14" s="614">
        <v>0.52182970801271056</v>
      </c>
      <c r="C14" s="616">
        <v>1.3010095886105004</v>
      </c>
      <c r="D14" s="220" t="s">
        <v>45</v>
      </c>
      <c r="E14" s="45"/>
      <c r="I14" s="42"/>
      <c r="J14" s="42"/>
      <c r="K14" s="42"/>
    </row>
    <row r="15" spans="1:11" x14ac:dyDescent="0.25">
      <c r="A15" s="219">
        <v>5</v>
      </c>
      <c r="B15" s="614">
        <v>0.48392631846747231</v>
      </c>
      <c r="C15" s="616">
        <v>2.0377358580832317</v>
      </c>
      <c r="D15" s="220" t="s">
        <v>124</v>
      </c>
      <c r="E15" s="45"/>
      <c r="I15" s="42"/>
      <c r="J15" s="42"/>
      <c r="K15" s="42"/>
    </row>
    <row r="16" spans="1:11" x14ac:dyDescent="0.25">
      <c r="A16" s="219">
        <v>5.0999999999999996</v>
      </c>
      <c r="B16" s="614">
        <v>0.48502164469252623</v>
      </c>
      <c r="C16" s="616">
        <v>1.0191601205006116</v>
      </c>
      <c r="D16" s="220" t="s">
        <v>43</v>
      </c>
      <c r="E16" s="45"/>
      <c r="I16" s="42"/>
      <c r="J16" s="42"/>
      <c r="K16" s="42"/>
    </row>
    <row r="17" spans="1:11" x14ac:dyDescent="0.25">
      <c r="A17" s="219">
        <v>5.2</v>
      </c>
      <c r="B17" s="614">
        <v>0.48202380222454394</v>
      </c>
      <c r="C17" s="616">
        <v>3.3123146730476747</v>
      </c>
      <c r="D17" s="220" t="s">
        <v>42</v>
      </c>
      <c r="E17" s="45"/>
      <c r="I17" s="42"/>
      <c r="J17" s="42"/>
      <c r="K17" s="42"/>
    </row>
    <row r="18" spans="1:11" x14ac:dyDescent="0.25">
      <c r="A18" s="219">
        <v>9</v>
      </c>
      <c r="B18" s="614">
        <v>0.27369996801304597</v>
      </c>
      <c r="C18" s="616">
        <v>0.60770239313748553</v>
      </c>
      <c r="D18" s="220" t="s">
        <v>20</v>
      </c>
      <c r="E18" s="45"/>
      <c r="I18" s="42"/>
      <c r="J18" s="42"/>
      <c r="K18" s="42"/>
    </row>
    <row r="19" spans="1:11" x14ac:dyDescent="0.25">
      <c r="A19" s="219">
        <v>11</v>
      </c>
      <c r="B19" s="614">
        <v>0.51579067986210736</v>
      </c>
      <c r="C19" s="616">
        <v>3.7595937759163247</v>
      </c>
      <c r="D19" t="s">
        <v>21</v>
      </c>
      <c r="E19" s="45"/>
      <c r="I19" s="42"/>
      <c r="J19" s="42"/>
      <c r="K19" s="42"/>
    </row>
    <row r="20" spans="1:11" x14ac:dyDescent="0.25">
      <c r="A20" s="219">
        <v>11.1</v>
      </c>
      <c r="B20" s="614">
        <v>0.65070208019710307</v>
      </c>
      <c r="C20" s="616">
        <v>5.681739994784329</v>
      </c>
      <c r="D20" t="s">
        <v>47</v>
      </c>
      <c r="E20" s="45"/>
      <c r="I20" s="42"/>
      <c r="J20" s="42"/>
      <c r="K20" s="42"/>
    </row>
    <row r="21" spans="1:11" x14ac:dyDescent="0.25">
      <c r="A21" s="219">
        <v>11.2</v>
      </c>
      <c r="B21" s="614">
        <v>0.47360440103971485</v>
      </c>
      <c r="C21" s="616">
        <v>3.1834079401988218</v>
      </c>
      <c r="D21" t="s">
        <v>46</v>
      </c>
      <c r="E21" s="45"/>
      <c r="I21" s="42"/>
      <c r="J21" s="42"/>
      <c r="K21" s="42"/>
    </row>
    <row r="22" spans="1:11" x14ac:dyDescent="0.25">
      <c r="A22" s="219" t="s">
        <v>328</v>
      </c>
      <c r="B22" s="614">
        <v>0.51579067986210736</v>
      </c>
      <c r="C22" s="616">
        <v>3.7595937759163247</v>
      </c>
      <c r="D22" s="6" t="s">
        <v>326</v>
      </c>
      <c r="E22" s="45"/>
      <c r="I22" s="42"/>
      <c r="J22" s="42"/>
      <c r="K22" s="42"/>
    </row>
    <row r="23" spans="1:11" x14ac:dyDescent="0.25">
      <c r="A23" s="219" t="s">
        <v>329</v>
      </c>
      <c r="B23" s="614">
        <v>0.65070208019710307</v>
      </c>
      <c r="C23" s="616">
        <v>5.681739994784329</v>
      </c>
      <c r="D23" s="6" t="s">
        <v>327</v>
      </c>
      <c r="E23" s="45"/>
      <c r="I23" s="42"/>
      <c r="J23" s="42"/>
      <c r="K23" s="42"/>
    </row>
    <row r="24" spans="1:11" x14ac:dyDescent="0.25">
      <c r="A24" s="219" t="s">
        <v>330</v>
      </c>
      <c r="B24" s="614">
        <v>0.47360440103971485</v>
      </c>
      <c r="C24" s="616">
        <v>3.1834079401988218</v>
      </c>
      <c r="D24" s="6" t="s">
        <v>324</v>
      </c>
      <c r="E24" s="45"/>
      <c r="I24" s="42"/>
      <c r="J24" s="42"/>
      <c r="K24" s="42"/>
    </row>
    <row r="25" spans="1:11" x14ac:dyDescent="0.25">
      <c r="A25" s="219">
        <v>12</v>
      </c>
      <c r="B25" s="614">
        <v>0.48451621817511087</v>
      </c>
      <c r="C25" s="616">
        <v>1</v>
      </c>
      <c r="D25" t="s">
        <v>14</v>
      </c>
      <c r="E25" s="45"/>
      <c r="I25" s="42"/>
      <c r="J25" s="42"/>
      <c r="K25" s="42"/>
    </row>
    <row r="26" spans="1:11" x14ac:dyDescent="0.25">
      <c r="A26" s="219" t="s">
        <v>331</v>
      </c>
      <c r="B26" s="614">
        <v>0.48451621817511087</v>
      </c>
      <c r="C26" s="616">
        <v>1</v>
      </c>
      <c r="D26" s="6" t="s">
        <v>325</v>
      </c>
      <c r="E26" s="45"/>
      <c r="I26" s="42"/>
      <c r="J26" s="42"/>
      <c r="K26" s="42"/>
    </row>
    <row r="27" spans="1:11" x14ac:dyDescent="0.25">
      <c r="A27" s="219">
        <v>17</v>
      </c>
      <c r="B27" s="614">
        <v>0.58528819990434822</v>
      </c>
      <c r="C27" s="616">
        <v>2.9111888031361275</v>
      </c>
      <c r="D27" t="s">
        <v>23</v>
      </c>
      <c r="E27" s="45"/>
      <c r="I27" s="42"/>
      <c r="J27" s="42"/>
      <c r="K27" s="42"/>
    </row>
    <row r="28" spans="1:11" x14ac:dyDescent="0.25">
      <c r="A28" s="219">
        <v>17.100000000000001</v>
      </c>
      <c r="B28" s="614">
        <v>0.55295503184862405</v>
      </c>
      <c r="C28" s="616">
        <v>3.3465701709731945</v>
      </c>
      <c r="D28" t="s">
        <v>49</v>
      </c>
      <c r="E28" s="45"/>
      <c r="I28" s="42"/>
      <c r="J28" s="42"/>
      <c r="K28" s="42"/>
    </row>
    <row r="29" spans="1:11" x14ac:dyDescent="0.25">
      <c r="A29" s="219">
        <v>17.2</v>
      </c>
      <c r="B29" s="614">
        <v>0.61792808944924293</v>
      </c>
      <c r="C29" s="616">
        <v>2.3649617288307461</v>
      </c>
      <c r="D29" t="s">
        <v>48</v>
      </c>
      <c r="E29" s="45"/>
      <c r="I29" s="42"/>
      <c r="J29" s="42"/>
      <c r="K29" s="42"/>
    </row>
    <row r="30" spans="1:11" x14ac:dyDescent="0.25">
      <c r="A30" s="219">
        <v>18</v>
      </c>
      <c r="B30" s="614">
        <v>0.51413510474410018</v>
      </c>
      <c r="C30" s="616">
        <v>4.8877985793418555</v>
      </c>
      <c r="D30" t="s">
        <v>24</v>
      </c>
      <c r="E30" s="45"/>
      <c r="I30" s="42"/>
      <c r="J30" s="42"/>
      <c r="K30" s="42"/>
    </row>
    <row r="31" spans="1:11" x14ac:dyDescent="0.25">
      <c r="A31" s="219">
        <v>18.100000000000001</v>
      </c>
      <c r="B31" s="614">
        <v>0.51359746993608479</v>
      </c>
      <c r="C31" s="616">
        <v>4.9315489105475434</v>
      </c>
      <c r="D31" t="s">
        <v>53</v>
      </c>
      <c r="E31" s="45"/>
      <c r="I31" s="42"/>
      <c r="J31" s="42"/>
      <c r="K31" s="42"/>
    </row>
    <row r="32" spans="1:11" x14ac:dyDescent="0.25">
      <c r="A32" s="219">
        <v>18.2</v>
      </c>
      <c r="B32" s="614">
        <v>0.51671347366223186</v>
      </c>
      <c r="C32" s="616">
        <v>4.5326794212049251</v>
      </c>
      <c r="D32" t="s">
        <v>52</v>
      </c>
      <c r="E32" s="45"/>
      <c r="I32" s="42"/>
      <c r="J32" s="42"/>
      <c r="K32" s="42"/>
    </row>
    <row r="33" spans="1:14" x14ac:dyDescent="0.25">
      <c r="A33" s="219">
        <v>19.2</v>
      </c>
      <c r="B33" s="614">
        <v>0.32027023269708416</v>
      </c>
      <c r="C33" s="616">
        <v>1.3266740292453059</v>
      </c>
      <c r="D33" t="s">
        <v>50</v>
      </c>
      <c r="E33" s="45"/>
      <c r="I33" s="42"/>
      <c r="J33" s="42"/>
      <c r="K33" s="42"/>
    </row>
    <row r="34" spans="1:14" x14ac:dyDescent="0.25">
      <c r="A34" s="219">
        <v>19.399999999999999</v>
      </c>
      <c r="B34" s="614">
        <v>0.41925110530461207</v>
      </c>
      <c r="C34" s="616">
        <v>1.9240568199838088</v>
      </c>
      <c r="D34" t="s">
        <v>39</v>
      </c>
      <c r="E34" s="45"/>
      <c r="I34" s="42"/>
      <c r="J34" s="42"/>
      <c r="K34" s="42"/>
    </row>
    <row r="35" spans="1:14" x14ac:dyDescent="0.25">
      <c r="A35" s="219">
        <v>21.1</v>
      </c>
      <c r="B35" s="614">
        <v>0.32682025394820319</v>
      </c>
      <c r="C35" s="616">
        <v>9.1896214076458593E-2</v>
      </c>
      <c r="D35" t="s">
        <v>51</v>
      </c>
      <c r="E35" s="45"/>
      <c r="I35" s="42"/>
      <c r="J35" s="42"/>
      <c r="K35" s="42"/>
    </row>
    <row r="36" spans="1:14" x14ac:dyDescent="0.25">
      <c r="A36" s="219">
        <v>21.2</v>
      </c>
      <c r="B36" s="614">
        <v>0.43261817958907034</v>
      </c>
      <c r="C36" s="616">
        <v>0.37318993704908698</v>
      </c>
      <c r="D36" t="s">
        <v>40</v>
      </c>
      <c r="E36" s="45"/>
      <c r="I36" s="42"/>
      <c r="J36" s="42"/>
      <c r="K36" s="42"/>
    </row>
    <row r="37" spans="1:14" x14ac:dyDescent="0.25">
      <c r="A37" s="219">
        <v>22</v>
      </c>
      <c r="B37" s="614">
        <v>0.37709210011505745</v>
      </c>
      <c r="C37" s="616">
        <v>1.6026870856101356</v>
      </c>
      <c r="D37" t="s">
        <v>8</v>
      </c>
      <c r="E37" s="45"/>
      <c r="I37" s="42"/>
      <c r="J37" s="42"/>
      <c r="K37" s="42"/>
    </row>
    <row r="38" spans="1:14" x14ac:dyDescent="0.25">
      <c r="A38" s="219">
        <v>23</v>
      </c>
      <c r="B38" s="614">
        <v>0.58938023445056631</v>
      </c>
      <c r="C38" s="616">
        <v>2.5123822430454048</v>
      </c>
      <c r="D38" t="s">
        <v>16</v>
      </c>
      <c r="E38" s="45"/>
      <c r="I38" s="42"/>
      <c r="J38" s="42"/>
      <c r="K38" s="42"/>
    </row>
    <row r="39" spans="1:14" x14ac:dyDescent="0.25">
      <c r="A39" s="219">
        <v>24</v>
      </c>
      <c r="B39" s="614">
        <v>0.60731910332732419</v>
      </c>
      <c r="C39" s="616">
        <v>5.2003348914235596</v>
      </c>
      <c r="D39" t="s">
        <v>25</v>
      </c>
      <c r="E39" s="45"/>
      <c r="I39" s="42"/>
      <c r="J39" s="42"/>
      <c r="K39" s="42"/>
    </row>
    <row r="40" spans="1:14" x14ac:dyDescent="0.25">
      <c r="A40" s="221">
        <v>26</v>
      </c>
      <c r="B40" s="614">
        <v>0.57014870884824997</v>
      </c>
      <c r="C40" s="616">
        <v>1.0071134162229891</v>
      </c>
      <c r="D40" t="s">
        <v>13</v>
      </c>
      <c r="E40" s="45"/>
      <c r="I40" s="42"/>
      <c r="J40" s="42"/>
      <c r="K40" s="42"/>
    </row>
    <row r="41" spans="1:14" x14ac:dyDescent="0.25">
      <c r="A41" s="221">
        <v>27</v>
      </c>
      <c r="B41" s="614">
        <v>0.55307831943034702</v>
      </c>
      <c r="C41" s="616">
        <v>2.7802793379072308</v>
      </c>
      <c r="D41" t="s">
        <v>12</v>
      </c>
      <c r="E41" s="45"/>
      <c r="I41" s="42"/>
      <c r="J41" s="42"/>
      <c r="K41" s="42"/>
    </row>
    <row r="42" spans="1:14" x14ac:dyDescent="0.25">
      <c r="H42" s="42"/>
    </row>
    <row r="45" spans="1:14" x14ac:dyDescent="0.25">
      <c r="I45" s="42"/>
      <c r="J45" s="42"/>
      <c r="K45" s="42"/>
      <c r="L45" s="45"/>
      <c r="M45" s="45"/>
      <c r="N45" s="45"/>
    </row>
    <row r="46" spans="1:14" x14ac:dyDescent="0.25">
      <c r="E46" s="45"/>
      <c r="I46" s="46"/>
      <c r="J46" s="46"/>
      <c r="K46" s="43"/>
      <c r="L46" s="43"/>
      <c r="M46" s="43"/>
      <c r="N46" s="43"/>
    </row>
    <row r="47" spans="1:14" x14ac:dyDescent="0.25">
      <c r="E47" s="45"/>
    </row>
    <row r="48" spans="1:14" x14ac:dyDescent="0.25">
      <c r="E48" s="45"/>
    </row>
    <row r="49" spans="5:6" x14ac:dyDescent="0.25">
      <c r="E49" s="45"/>
    </row>
    <row r="50" spans="5:6" x14ac:dyDescent="0.25">
      <c r="E50" s="45"/>
    </row>
    <row r="51" spans="5:6" x14ac:dyDescent="0.25">
      <c r="E51" s="45"/>
    </row>
    <row r="52" spans="5:6" x14ac:dyDescent="0.25">
      <c r="E52" s="45"/>
    </row>
    <row r="53" spans="5:6" x14ac:dyDescent="0.25">
      <c r="E53" s="45"/>
      <c r="F53" s="45"/>
    </row>
    <row r="54" spans="5:6" x14ac:dyDescent="0.25">
      <c r="E54" s="45"/>
      <c r="F54" s="45"/>
    </row>
    <row r="55" spans="5:6" x14ac:dyDescent="0.25">
      <c r="E55" s="45"/>
      <c r="F55" s="45"/>
    </row>
  </sheetData>
  <sheetProtection algorithmName="SHA-512" hashValue="CXcZ7g5Hoc3F1ark4kpdeAxD4mgyWh32MObD8tYwQZmBKGrraxRx/jzjg2NiSX821kxFExex57xl1j7vTc6c2Q==" saltValue="GJEydy/wo0V2tt62vSDP6A=="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67" t="s">
        <v>143</v>
      </c>
      <c r="B1" s="57"/>
      <c r="C1" s="65"/>
      <c r="D1" s="6"/>
    </row>
    <row r="2" spans="1:4" x14ac:dyDescent="0.25">
      <c r="A2" s="56" t="s">
        <v>120</v>
      </c>
      <c r="B2" s="451" t="s">
        <v>320</v>
      </c>
      <c r="C2" s="65"/>
      <c r="D2" s="6"/>
    </row>
    <row r="3" spans="1:4" x14ac:dyDescent="0.25">
      <c r="A3" s="56"/>
      <c r="B3" s="448" t="s">
        <v>280</v>
      </c>
      <c r="C3" s="65"/>
      <c r="D3" s="6"/>
    </row>
    <row r="4" spans="1:4" x14ac:dyDescent="0.25">
      <c r="A4" s="41" t="s">
        <v>135</v>
      </c>
      <c r="B4" s="449">
        <v>2022</v>
      </c>
      <c r="C4" s="65"/>
      <c r="D4" s="6"/>
    </row>
    <row r="5" spans="1:4" x14ac:dyDescent="0.25">
      <c r="A5" s="56" t="s">
        <v>127</v>
      </c>
      <c r="B5" s="54">
        <v>2021</v>
      </c>
      <c r="C5" s="65"/>
      <c r="D5" s="6"/>
    </row>
    <row r="6" spans="1:4" x14ac:dyDescent="0.25">
      <c r="A6" s="56" t="s">
        <v>122</v>
      </c>
      <c r="B6" s="448" t="s">
        <v>293</v>
      </c>
      <c r="C6" s="65"/>
      <c r="D6" s="6"/>
    </row>
    <row r="7" spans="1:4" x14ac:dyDescent="0.25">
      <c r="A7" s="56" t="s">
        <v>128</v>
      </c>
      <c r="B7" s="450">
        <v>44854</v>
      </c>
      <c r="C7" s="65"/>
      <c r="D7" s="6"/>
    </row>
    <row r="8" spans="1:4" x14ac:dyDescent="0.25">
      <c r="A8" s="56"/>
      <c r="B8" s="59"/>
      <c r="C8" s="65"/>
      <c r="D8" s="6"/>
    </row>
    <row r="9" spans="1:4" x14ac:dyDescent="0.25">
      <c r="A9" s="53"/>
      <c r="B9" s="53">
        <v>1</v>
      </c>
      <c r="C9" s="53">
        <v>2</v>
      </c>
      <c r="D9" s="53">
        <v>3</v>
      </c>
    </row>
    <row r="10" spans="1:4" ht="30" x14ac:dyDescent="0.25">
      <c r="A10" s="53" t="s">
        <v>59</v>
      </c>
      <c r="B10" s="68" t="s">
        <v>153</v>
      </c>
      <c r="C10" s="68" t="s">
        <v>154</v>
      </c>
      <c r="D10" s="68" t="s">
        <v>119</v>
      </c>
    </row>
    <row r="11" spans="1:4" x14ac:dyDescent="0.25">
      <c r="A11" s="48">
        <v>1</v>
      </c>
      <c r="B11" s="617">
        <v>11826158</v>
      </c>
      <c r="C11" s="617">
        <v>417095</v>
      </c>
      <c r="D11" s="49" t="s">
        <v>17</v>
      </c>
    </row>
    <row r="12" spans="1:4" x14ac:dyDescent="0.25">
      <c r="A12" s="48">
        <v>2.1</v>
      </c>
      <c r="B12" s="617">
        <v>13538386</v>
      </c>
      <c r="C12" s="617">
        <v>532833</v>
      </c>
      <c r="D12" s="49" t="s">
        <v>9</v>
      </c>
    </row>
    <row r="13" spans="1:4" x14ac:dyDescent="0.25">
      <c r="A13" s="48">
        <v>3</v>
      </c>
      <c r="B13" s="617">
        <v>3139891</v>
      </c>
      <c r="C13" s="617">
        <v>60771</v>
      </c>
      <c r="D13" s="49" t="s">
        <v>44</v>
      </c>
    </row>
    <row r="14" spans="1:4" x14ac:dyDescent="0.25">
      <c r="A14" s="48">
        <v>4</v>
      </c>
      <c r="B14" s="617">
        <v>78442342</v>
      </c>
      <c r="C14" s="617">
        <v>2519939</v>
      </c>
      <c r="D14" s="49" t="s">
        <v>45</v>
      </c>
    </row>
    <row r="15" spans="1:4" x14ac:dyDescent="0.25">
      <c r="A15" s="48">
        <v>5</v>
      </c>
      <c r="B15" s="540">
        <v>28993699</v>
      </c>
      <c r="C15" s="540">
        <v>3299910</v>
      </c>
      <c r="D15" s="49" t="s">
        <v>124</v>
      </c>
    </row>
    <row r="16" spans="1:4" x14ac:dyDescent="0.25">
      <c r="A16" s="48">
        <v>5.0999999999999996</v>
      </c>
      <c r="B16" s="617">
        <v>20744380</v>
      </c>
      <c r="C16" s="617">
        <v>720768</v>
      </c>
      <c r="D16" s="49" t="s">
        <v>43</v>
      </c>
    </row>
    <row r="17" spans="1:4" x14ac:dyDescent="0.25">
      <c r="A17" s="48">
        <v>5.2</v>
      </c>
      <c r="B17" s="617">
        <v>8249319</v>
      </c>
      <c r="C17" s="617">
        <v>2579142</v>
      </c>
      <c r="D17" s="49" t="s">
        <v>42</v>
      </c>
    </row>
    <row r="18" spans="1:4" x14ac:dyDescent="0.25">
      <c r="A18" s="48">
        <v>9</v>
      </c>
      <c r="B18" s="617">
        <v>13976435</v>
      </c>
      <c r="C18" s="617">
        <v>437124</v>
      </c>
      <c r="D18" s="49" t="s">
        <v>20</v>
      </c>
    </row>
    <row r="19" spans="1:4" x14ac:dyDescent="0.25">
      <c r="A19" s="48">
        <v>11</v>
      </c>
      <c r="B19" s="617">
        <v>5895978</v>
      </c>
      <c r="C19" s="617">
        <v>2315900</v>
      </c>
      <c r="D19" s="50" t="s">
        <v>21</v>
      </c>
    </row>
    <row r="20" spans="1:4" ht="17.25" x14ac:dyDescent="0.25">
      <c r="A20" s="48">
        <v>11.1</v>
      </c>
      <c r="B20" s="540">
        <v>5895978</v>
      </c>
      <c r="C20" s="540">
        <v>2315900</v>
      </c>
      <c r="D20" s="50" t="s">
        <v>145</v>
      </c>
    </row>
    <row r="21" spans="1:4" ht="17.25" x14ac:dyDescent="0.25">
      <c r="A21" s="48">
        <v>11.2</v>
      </c>
      <c r="B21" s="540">
        <v>5895978</v>
      </c>
      <c r="C21" s="540">
        <v>2315900</v>
      </c>
      <c r="D21" s="50" t="s">
        <v>146</v>
      </c>
    </row>
    <row r="22" spans="1:4" x14ac:dyDescent="0.25">
      <c r="A22" s="48" t="s">
        <v>328</v>
      </c>
      <c r="B22" s="540">
        <v>5895978</v>
      </c>
      <c r="C22" s="540">
        <v>2315900</v>
      </c>
      <c r="D22" s="63" t="s">
        <v>326</v>
      </c>
    </row>
    <row r="23" spans="1:4" ht="17.25" x14ac:dyDescent="0.25">
      <c r="A23" s="48" t="s">
        <v>329</v>
      </c>
      <c r="B23" s="540">
        <v>5895978</v>
      </c>
      <c r="C23" s="540">
        <v>2315900</v>
      </c>
      <c r="D23" s="63" t="s">
        <v>332</v>
      </c>
    </row>
    <row r="24" spans="1:4" ht="17.25" x14ac:dyDescent="0.25">
      <c r="A24" s="48" t="s">
        <v>330</v>
      </c>
      <c r="B24" s="540">
        <v>5895978</v>
      </c>
      <c r="C24" s="540">
        <v>2315900</v>
      </c>
      <c r="D24" s="63" t="s">
        <v>333</v>
      </c>
    </row>
    <row r="25" spans="1:4" x14ac:dyDescent="0.25">
      <c r="A25" s="48">
        <v>12</v>
      </c>
      <c r="B25" s="617">
        <v>104603</v>
      </c>
      <c r="C25" s="617">
        <v>10742</v>
      </c>
      <c r="D25" s="50" t="s">
        <v>14</v>
      </c>
    </row>
    <row r="26" spans="1:4" x14ac:dyDescent="0.25">
      <c r="A26" s="48" t="s">
        <v>331</v>
      </c>
      <c r="B26" s="540">
        <v>104603</v>
      </c>
      <c r="C26" s="540">
        <v>10742</v>
      </c>
      <c r="D26" s="63" t="s">
        <v>325</v>
      </c>
    </row>
    <row r="27" spans="1:4" x14ac:dyDescent="0.25">
      <c r="A27" s="48">
        <v>17</v>
      </c>
      <c r="B27" s="540">
        <v>56824021</v>
      </c>
      <c r="C27" s="540">
        <v>8982312</v>
      </c>
      <c r="D27" s="50" t="s">
        <v>23</v>
      </c>
    </row>
    <row r="28" spans="1:4" ht="17.25" x14ac:dyDescent="0.25">
      <c r="A28" s="48">
        <v>17.100000000000001</v>
      </c>
      <c r="B28" s="617">
        <v>36765600</v>
      </c>
      <c r="C28" s="617">
        <v>4961372</v>
      </c>
      <c r="D28" s="50" t="s">
        <v>147</v>
      </c>
    </row>
    <row r="29" spans="1:4" ht="17.25" x14ac:dyDescent="0.25">
      <c r="A29" s="48">
        <v>17.2</v>
      </c>
      <c r="B29" s="617">
        <v>20058421</v>
      </c>
      <c r="C29" s="617">
        <v>4020940</v>
      </c>
      <c r="D29" s="50" t="s">
        <v>148</v>
      </c>
    </row>
    <row r="30" spans="1:4" x14ac:dyDescent="0.25">
      <c r="A30" s="48">
        <v>18</v>
      </c>
      <c r="B30" s="617">
        <v>2276950</v>
      </c>
      <c r="C30" s="617">
        <v>1064052</v>
      </c>
      <c r="D30" s="50" t="s">
        <v>24</v>
      </c>
    </row>
    <row r="31" spans="1:4" ht="17.25" x14ac:dyDescent="0.25">
      <c r="A31" s="48">
        <v>18.100000000000001</v>
      </c>
      <c r="B31" s="540">
        <v>2276950</v>
      </c>
      <c r="C31" s="540">
        <v>1064052</v>
      </c>
      <c r="D31" s="50" t="s">
        <v>149</v>
      </c>
    </row>
    <row r="32" spans="1:4" ht="17.25" x14ac:dyDescent="0.25">
      <c r="A32" s="48">
        <v>18.2</v>
      </c>
      <c r="B32" s="540">
        <v>2276950</v>
      </c>
      <c r="C32" s="540">
        <v>1064052</v>
      </c>
      <c r="D32" s="50" t="s">
        <v>150</v>
      </c>
    </row>
    <row r="33" spans="1:4" x14ac:dyDescent="0.25">
      <c r="A33" s="48">
        <v>19.2</v>
      </c>
      <c r="B33" s="617">
        <v>87906944</v>
      </c>
      <c r="C33" s="617">
        <v>4620018</v>
      </c>
      <c r="D33" s="50" t="s">
        <v>50</v>
      </c>
    </row>
    <row r="34" spans="1:4" x14ac:dyDescent="0.25">
      <c r="A34" s="48">
        <v>19.399999999999999</v>
      </c>
      <c r="B34" s="617">
        <v>25462076</v>
      </c>
      <c r="C34" s="617">
        <v>2757956</v>
      </c>
      <c r="D34" s="50" t="s">
        <v>39</v>
      </c>
    </row>
    <row r="35" spans="1:4" x14ac:dyDescent="0.25">
      <c r="A35" s="48">
        <v>21.1</v>
      </c>
      <c r="B35" s="617">
        <v>76204554</v>
      </c>
      <c r="C35" s="617">
        <v>338826</v>
      </c>
      <c r="D35" s="50" t="s">
        <v>51</v>
      </c>
    </row>
    <row r="36" spans="1:4" x14ac:dyDescent="0.25">
      <c r="A36" s="48">
        <v>21.2</v>
      </c>
      <c r="B36" s="617">
        <v>6606599</v>
      </c>
      <c r="C36" s="617">
        <v>134860</v>
      </c>
      <c r="D36" s="50" t="s">
        <v>40</v>
      </c>
    </row>
    <row r="37" spans="1:4" x14ac:dyDescent="0.25">
      <c r="A37" s="48">
        <v>22</v>
      </c>
      <c r="B37" s="617">
        <v>1283943</v>
      </c>
      <c r="C37" s="617">
        <v>185169</v>
      </c>
      <c r="D37" s="50" t="s">
        <v>8</v>
      </c>
    </row>
    <row r="38" spans="1:4" x14ac:dyDescent="0.25">
      <c r="A38" s="48">
        <v>23</v>
      </c>
      <c r="B38" s="617">
        <v>391446</v>
      </c>
      <c r="C38" s="617">
        <v>12298</v>
      </c>
      <c r="D38" s="50" t="s">
        <v>16</v>
      </c>
    </row>
    <row r="39" spans="1:4" x14ac:dyDescent="0.25">
      <c r="A39" s="48">
        <v>24</v>
      </c>
      <c r="B39" s="617">
        <v>1249439</v>
      </c>
      <c r="C39" s="617">
        <v>174455</v>
      </c>
      <c r="D39" s="50" t="s">
        <v>25</v>
      </c>
    </row>
    <row r="40" spans="1:4" x14ac:dyDescent="0.25">
      <c r="A40" s="51">
        <v>26</v>
      </c>
      <c r="B40" s="617">
        <v>233734</v>
      </c>
      <c r="C40" s="617">
        <v>3202</v>
      </c>
      <c r="D40" s="50" t="s">
        <v>13</v>
      </c>
    </row>
    <row r="41" spans="1:4" x14ac:dyDescent="0.25">
      <c r="A41" s="51">
        <v>27</v>
      </c>
      <c r="B41" s="617">
        <v>825880</v>
      </c>
      <c r="C41" s="617">
        <v>-12244</v>
      </c>
      <c r="D41" s="50" t="s">
        <v>12</v>
      </c>
    </row>
    <row r="43" spans="1:4" ht="17.25" x14ac:dyDescent="0.25">
      <c r="A43" s="6" t="s">
        <v>151</v>
      </c>
    </row>
    <row r="44" spans="1:4" ht="17.25" customHeight="1" x14ac:dyDescent="0.25">
      <c r="A44" s="2" t="s">
        <v>152</v>
      </c>
    </row>
  </sheetData>
  <sheetProtection algorithmName="SHA-512" hashValue="Z5XTAlHS44JEeqUEGoCUOewo0AAxNP6SyNnRsHT57+6KOcUmHdXLJky+XerubujNYTWr11MMVdoEMPP/EbMZfg==" saltValue="Mc2hRZzU8XHpSqoWGFjEqw=="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441</v>
      </c>
      <c r="B1" s="65"/>
      <c r="C1" s="57"/>
      <c r="D1" s="65"/>
    </row>
    <row r="2" spans="1:4" x14ac:dyDescent="0.25">
      <c r="A2" s="56" t="s">
        <v>120</v>
      </c>
      <c r="B2" s="451" t="s">
        <v>721</v>
      </c>
      <c r="C2" s="451"/>
      <c r="D2" s="65"/>
    </row>
    <row r="3" spans="1:4" x14ac:dyDescent="0.25">
      <c r="A3" s="41" t="s">
        <v>135</v>
      </c>
      <c r="B3" s="449">
        <v>2018</v>
      </c>
      <c r="C3" s="449"/>
      <c r="D3" s="65"/>
    </row>
    <row r="4" spans="1:4" x14ac:dyDescent="0.25">
      <c r="A4" s="56" t="s">
        <v>122</v>
      </c>
      <c r="B4" s="448" t="s">
        <v>293</v>
      </c>
      <c r="C4" s="448"/>
      <c r="D4" s="65"/>
    </row>
    <row r="5" spans="1:4" x14ac:dyDescent="0.25">
      <c r="A5" s="56" t="s">
        <v>128</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721</v>
      </c>
      <c r="C8" s="342"/>
      <c r="D8" s="342"/>
    </row>
    <row r="9" spans="1:4" ht="15.75" thickBot="1" x14ac:dyDescent="0.3">
      <c r="A9" s="545"/>
      <c r="B9" s="553">
        <v>0.21</v>
      </c>
      <c r="C9" s="569"/>
      <c r="D9" s="569"/>
    </row>
    <row r="10" spans="1:4" x14ac:dyDescent="0.25">
      <c r="A10" s="558" t="s">
        <v>448</v>
      </c>
      <c r="B10" s="559"/>
      <c r="C10" s="570"/>
      <c r="D10" s="571"/>
    </row>
    <row r="11" spans="1:4" x14ac:dyDescent="0.25">
      <c r="A11" s="560" t="s">
        <v>449</v>
      </c>
      <c r="B11" s="561">
        <v>0.21</v>
      </c>
      <c r="C11" s="571"/>
      <c r="D11" s="571"/>
    </row>
    <row r="12" spans="1:4" x14ac:dyDescent="0.25">
      <c r="A12" s="560" t="s">
        <v>450</v>
      </c>
      <c r="B12" s="561">
        <v>0.21</v>
      </c>
      <c r="C12" s="571"/>
      <c r="D12" s="571"/>
    </row>
    <row r="13" spans="1:4" x14ac:dyDescent="0.25">
      <c r="A13" s="560" t="s">
        <v>451</v>
      </c>
      <c r="B13" s="561">
        <v>0.21</v>
      </c>
      <c r="C13" s="571"/>
      <c r="D13" s="571"/>
    </row>
    <row r="14" spans="1:4" x14ac:dyDescent="0.25">
      <c r="A14" s="562" t="s">
        <v>452</v>
      </c>
      <c r="B14" s="561"/>
      <c r="C14" s="571"/>
      <c r="D14" s="571"/>
    </row>
    <row r="15" spans="1:4" x14ac:dyDescent="0.25">
      <c r="A15" s="560" t="s">
        <v>449</v>
      </c>
      <c r="B15" s="561">
        <v>0.21</v>
      </c>
      <c r="C15" s="571"/>
      <c r="D15" s="571"/>
    </row>
    <row r="16" spans="1:4" x14ac:dyDescent="0.25">
      <c r="A16" s="560" t="s">
        <v>450</v>
      </c>
      <c r="B16" s="561">
        <v>0.21</v>
      </c>
      <c r="C16" s="571"/>
      <c r="D16" s="571"/>
    </row>
    <row r="17" spans="1:4" x14ac:dyDescent="0.25">
      <c r="A17" s="560" t="s">
        <v>451</v>
      </c>
      <c r="B17" s="561">
        <v>0.21</v>
      </c>
      <c r="C17" s="571"/>
      <c r="D17" s="571"/>
    </row>
    <row r="18" spans="1:4" x14ac:dyDescent="0.25">
      <c r="A18" s="563" t="s">
        <v>453</v>
      </c>
      <c r="B18" s="561"/>
      <c r="C18" s="571"/>
      <c r="D18" s="571"/>
    </row>
    <row r="19" spans="1:4" x14ac:dyDescent="0.25">
      <c r="A19" s="560" t="s">
        <v>449</v>
      </c>
      <c r="B19" s="561">
        <f>0.25*21%</f>
        <v>5.2499999999999998E-2</v>
      </c>
      <c r="C19" s="571"/>
      <c r="D19" s="571"/>
    </row>
    <row r="20" spans="1:4" x14ac:dyDescent="0.25">
      <c r="A20" s="560" t="s">
        <v>450</v>
      </c>
      <c r="B20" s="561">
        <f>0.25*21%</f>
        <v>5.2499999999999998E-2</v>
      </c>
      <c r="C20" s="571"/>
      <c r="D20" s="571"/>
    </row>
    <row r="21" spans="1:4" x14ac:dyDescent="0.25">
      <c r="A21" s="560" t="s">
        <v>451</v>
      </c>
      <c r="B21" s="561">
        <f>0.25*21%</f>
        <v>5.2499999999999998E-2</v>
      </c>
      <c r="C21" s="571"/>
      <c r="D21" s="571"/>
    </row>
    <row r="22" spans="1:4" x14ac:dyDescent="0.25">
      <c r="A22" s="564" t="s">
        <v>455</v>
      </c>
      <c r="B22" s="561"/>
      <c r="C22" s="571"/>
      <c r="D22" s="571"/>
    </row>
    <row r="23" spans="1:4" x14ac:dyDescent="0.25">
      <c r="A23" s="560" t="s">
        <v>456</v>
      </c>
      <c r="B23" s="561">
        <v>0.13125000000000001</v>
      </c>
      <c r="C23" s="571"/>
      <c r="D23" s="571"/>
    </row>
    <row r="24" spans="1:4" ht="14.25" customHeight="1" x14ac:dyDescent="0.25">
      <c r="A24" s="560" t="s">
        <v>457</v>
      </c>
      <c r="B24" s="561">
        <v>0.21</v>
      </c>
      <c r="C24" s="571"/>
      <c r="D24" s="571"/>
    </row>
    <row r="25" spans="1:4" x14ac:dyDescent="0.25">
      <c r="A25" s="563" t="s">
        <v>459</v>
      </c>
      <c r="B25" s="561">
        <v>0.13125000000000001</v>
      </c>
      <c r="C25" s="571"/>
      <c r="D25" s="571"/>
    </row>
    <row r="26" spans="1:4" x14ac:dyDescent="0.25">
      <c r="A26" s="563" t="s">
        <v>461</v>
      </c>
      <c r="B26" s="561">
        <v>0.21</v>
      </c>
      <c r="C26" s="571"/>
      <c r="D26" s="571"/>
    </row>
    <row r="27" spans="1:4" x14ac:dyDescent="0.25">
      <c r="A27" s="563" t="s">
        <v>463</v>
      </c>
      <c r="B27" s="561">
        <v>0.21</v>
      </c>
      <c r="C27" s="571"/>
      <c r="D27" s="571"/>
    </row>
    <row r="28" spans="1:4" x14ac:dyDescent="0.25">
      <c r="A28" s="563" t="s">
        <v>465</v>
      </c>
      <c r="B28" s="561">
        <v>0.21</v>
      </c>
      <c r="C28" s="571"/>
      <c r="D28" s="571"/>
    </row>
    <row r="29" spans="1:4" x14ac:dyDescent="0.25">
      <c r="A29" s="563" t="s">
        <v>467</v>
      </c>
      <c r="B29" s="561"/>
      <c r="C29" s="571"/>
      <c r="D29" s="571"/>
    </row>
    <row r="30" spans="1:4" x14ac:dyDescent="0.25">
      <c r="A30" s="560" t="s">
        <v>456</v>
      </c>
      <c r="B30" s="561">
        <v>0.13125000000000001</v>
      </c>
      <c r="C30" s="571"/>
      <c r="D30" s="571"/>
    </row>
    <row r="31" spans="1:4" x14ac:dyDescent="0.25">
      <c r="A31" s="560" t="s">
        <v>457</v>
      </c>
      <c r="B31" s="561">
        <v>0.21</v>
      </c>
      <c r="C31" s="571"/>
      <c r="D31" s="571"/>
    </row>
    <row r="32" spans="1:4" ht="15.75" thickBot="1" x14ac:dyDescent="0.3">
      <c r="A32" s="565" t="s">
        <v>469</v>
      </c>
      <c r="B32" s="566"/>
      <c r="C32" s="571"/>
      <c r="D32" s="571"/>
    </row>
    <row r="33" spans="1:4" ht="16.5" thickTop="1" thickBot="1" x14ac:dyDescent="0.3">
      <c r="A33" s="567" t="s">
        <v>728</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ofQc2UdVogj+UY0DA3WmRbwmiSvnsf3pdWFjPwNAIyVMpIUdhCNNSlO2M4POEff/eMHkYED7nBWJQth2JBCZIg==" saltValue="m7VQ+TqX8LAEOpzwWhca2w=="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Luke Cooley</cp:lastModifiedBy>
  <cp:lastPrinted>2023-12-21T02:55:26Z</cp:lastPrinted>
  <dcterms:created xsi:type="dcterms:W3CDTF">2014-04-24T17:59:28Z</dcterms:created>
  <dcterms:modified xsi:type="dcterms:W3CDTF">2023-12-21T13:49:14Z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2023-01-13T18:23:39Z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d3b0b9a5-ab0d-4147-ac7f-679f452a50e9</vt:lpwstr>
  </property>
  <property fmtid="{D5CDD505-2E9C-101B-9397-08002B2CF9AE}" pid="8" name="MSIP_Label_261ecbe3-7ba9-4124-b9d7-ffd820687beb_ContentBits">
    <vt:lpwstr>0</vt:lpwstr>
  </property>
</Properties>
</file>