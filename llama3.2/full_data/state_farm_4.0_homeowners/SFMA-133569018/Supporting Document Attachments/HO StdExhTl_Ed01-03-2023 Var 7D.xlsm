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W:\P-C ACTUARIAL\HOMEOWNERS\State Files 2019 and Forward\California\2023\HO\Filing\Filing Documents\Standard Exhibits\"/>
    </mc:Choice>
  </mc:AlternateContent>
  <xr:revisionPtr revIDLastSave="0" documentId="13_ncr:1_{75FA7481-5193-4283-8309-F2922820097F}"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References!$I$41:$J$42</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5'!$B$1:$AH$51</definedName>
    <definedName name="_xlnm.Print_Area" localSheetId="5">'3.Exhibit 7 - Annual'!$A$1:$AJ$453</definedName>
    <definedName name="_xlnm.Print_Area" localSheetId="6">'4.Exhibit 8'!$B$1:$BC$55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7" i="10" l="1"/>
  <c r="F246" i="2" s="1"/>
  <c r="R246" i="2" s="1"/>
  <c r="DJ246" i="2" l="1"/>
  <c r="BZ246" i="2"/>
  <c r="BN246" i="2"/>
  <c r="BB246" i="2"/>
  <c r="AP246" i="2"/>
  <c r="CX246" i="2"/>
  <c r="CL246" i="2"/>
  <c r="AD246" i="2"/>
  <c r="F46" i="4"/>
  <c r="G42" i="1"/>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F25" i="2"/>
  <c r="AE25" i="2"/>
  <c r="AD25" i="2"/>
  <c r="AC25" i="2"/>
  <c r="AB25" i="2"/>
  <c r="AA25" i="2"/>
  <c r="Y25" i="2"/>
  <c r="X26" i="2"/>
  <c r="W26" i="2"/>
  <c r="V26" i="2"/>
  <c r="U26" i="2"/>
  <c r="T26" i="2"/>
  <c r="S26" i="2"/>
  <c r="R26" i="2"/>
  <c r="Q26" i="2"/>
  <c r="P26" i="2"/>
  <c r="O26" i="2"/>
  <c r="M26" i="2"/>
  <c r="X25" i="2"/>
  <c r="W25" i="2"/>
  <c r="V25" i="2"/>
  <c r="U25" i="2"/>
  <c r="T25" i="2"/>
  <c r="S25" i="2"/>
  <c r="R25" i="2"/>
  <c r="Q25" i="2"/>
  <c r="P25"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X311" i="2"/>
  <c r="W311" i="2"/>
  <c r="V311" i="2"/>
  <c r="U311" i="2"/>
  <c r="T311" i="2"/>
  <c r="S311" i="2"/>
  <c r="R311" i="2"/>
  <c r="Q311" i="2"/>
  <c r="P311" i="2"/>
  <c r="O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X168" i="2"/>
  <c r="W168" i="2"/>
  <c r="V168" i="2"/>
  <c r="U168" i="2"/>
  <c r="T168" i="2"/>
  <c r="S168" i="2"/>
  <c r="R168" i="2"/>
  <c r="Q168" i="2"/>
  <c r="P168" i="2"/>
  <c r="O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O15" i="2" s="1"/>
  <c r="O16"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O1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4" i="2"/>
  <c r="O13" i="2"/>
  <c r="X11" i="2"/>
  <c r="W11" i="2" s="1"/>
  <c r="V11" i="2" s="1"/>
  <c r="U11" i="2" s="1"/>
  <c r="T11" i="2" s="1"/>
  <c r="S11" i="2" s="1"/>
  <c r="M8" i="2"/>
  <c r="M7" i="2"/>
  <c r="M280" i="2"/>
  <c r="AI154" i="2" l="1"/>
  <c r="AA159" i="2"/>
  <c r="AS297" i="2"/>
  <c r="AQ298" i="2"/>
  <c r="AP299" i="2"/>
  <c r="AP300" i="2"/>
  <c r="AQ301" i="2"/>
  <c r="AN303" i="2"/>
  <c r="CI154" i="2"/>
  <c r="CQ154" i="2"/>
  <c r="CO155" i="2"/>
  <c r="CN156" i="2"/>
  <c r="CN164" i="2" s="1"/>
  <c r="CN165" i="2" s="1"/>
  <c r="CN157" i="2"/>
  <c r="CI159" i="2"/>
  <c r="CW303" i="2"/>
  <c r="AA154" i="2"/>
  <c r="AF156" i="2"/>
  <c r="Q157" i="2"/>
  <c r="AG155" i="2"/>
  <c r="R155" i="2"/>
  <c r="R158" i="2"/>
  <c r="AM297" i="2"/>
  <c r="AU297" i="2"/>
  <c r="AU307" i="2" s="1"/>
  <c r="AU308" i="2" s="1"/>
  <c r="AU309" i="2" s="1"/>
  <c r="AU310" i="2" s="1"/>
  <c r="AU312" i="2" s="1"/>
  <c r="AU313" i="2" s="1"/>
  <c r="AS298" i="2"/>
  <c r="AR299" i="2"/>
  <c r="AR300" i="2"/>
  <c r="AM302" i="2"/>
  <c r="O160" i="2"/>
  <c r="AU382" i="2"/>
  <c r="AU383" i="2" s="1"/>
  <c r="DN452" i="2"/>
  <c r="DN453" i="2" s="1"/>
  <c r="AF157" i="2"/>
  <c r="T154" i="2"/>
  <c r="Q156" i="2"/>
  <c r="CO297" i="2"/>
  <c r="CM298" i="2"/>
  <c r="CL299" i="2"/>
  <c r="CL300" i="2"/>
  <c r="CM301" i="2"/>
  <c r="CJ303" i="2"/>
  <c r="CJ307" i="2" s="1"/>
  <c r="CJ308" i="2" s="1"/>
  <c r="AQ297" i="2"/>
  <c r="AO298" i="2"/>
  <c r="AN299" i="2"/>
  <c r="AN300" i="2"/>
  <c r="AO301" i="2"/>
  <c r="AM305"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O297" i="2"/>
  <c r="BA154" i="2"/>
  <c r="AY155" i="2"/>
  <c r="AY158" i="2"/>
  <c r="BA159" i="2"/>
  <c r="AZ161" i="2"/>
  <c r="BW297" i="2"/>
  <c r="CE297" i="2"/>
  <c r="CC298" i="2"/>
  <c r="CC307" i="2" s="1"/>
  <c r="CC308" i="2" s="1"/>
  <c r="CC309" i="2" s="1"/>
  <c r="CC310" i="2" s="1"/>
  <c r="CC312" i="2" s="1"/>
  <c r="CC313" i="2" s="1"/>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W164" i="2" s="1"/>
  <c r="CW165" i="2" s="1"/>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DA299" i="2"/>
  <c r="DA307" i="2" s="1"/>
  <c r="DA308" i="2" s="1"/>
  <c r="T155" i="2"/>
  <c r="S156" i="2"/>
  <c r="S157" i="2"/>
  <c r="Q160" i="2"/>
  <c r="AA297" i="2"/>
  <c r="AI297" i="2"/>
  <c r="AI307" i="2" s="1"/>
  <c r="AI308" i="2" s="1"/>
  <c r="AI309" i="2" s="1"/>
  <c r="AI310" i="2" s="1"/>
  <c r="AI312" i="2" s="1"/>
  <c r="AI313"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7" i="2" s="1"/>
  <c r="CY308" i="2" s="1"/>
  <c r="CY300" i="2"/>
  <c r="DA382" i="2"/>
  <c r="DA383" i="2" s="1"/>
  <c r="AH239" i="2"/>
  <c r="AH240" i="2" s="1"/>
  <c r="AC15" i="2" s="1"/>
  <c r="AC16" i="2" s="1"/>
  <c r="BF452" i="2"/>
  <c r="BF453" i="2" s="1"/>
  <c r="BM61" i="2"/>
  <c r="BM62" i="2" s="1"/>
  <c r="BS131" i="2"/>
  <c r="BS132" i="2" s="1"/>
  <c r="DH161" i="2"/>
  <c r="DL298" i="2"/>
  <c r="DL307" i="2" s="1"/>
  <c r="DL308" i="2" s="1"/>
  <c r="DK299" i="2"/>
  <c r="DK300" i="2"/>
  <c r="DK307" i="2" s="1"/>
  <c r="DK308" i="2" s="1"/>
  <c r="DI303" i="2"/>
  <c r="R154" i="2"/>
  <c r="O156" i="2"/>
  <c r="P158" i="2"/>
  <c r="R159" i="2"/>
  <c r="AE297" i="2"/>
  <c r="AC298" i="2"/>
  <c r="AB299" i="2"/>
  <c r="AB300" i="2"/>
  <c r="AC301" i="2"/>
  <c r="AA305" i="2"/>
  <c r="AT154" i="2"/>
  <c r="AR155" i="2"/>
  <c r="AR164" i="2" s="1"/>
  <c r="AR165" i="2" s="1"/>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Q307" i="2" s="1"/>
  <c r="Q308" i="2" s="1"/>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BR307" i="2" s="1"/>
  <c r="BR308" i="2" s="1"/>
  <c r="R61" i="2"/>
  <c r="R62" i="2" s="1"/>
  <c r="U12" i="2" s="1"/>
  <c r="W96" i="2"/>
  <c r="W97" i="2" s="1"/>
  <c r="P13" i="2" s="1"/>
  <c r="V131" i="2"/>
  <c r="V132" i="2" s="1"/>
  <c r="Q17" i="2" s="1"/>
  <c r="Q21" i="2" s="1"/>
  <c r="Q154" i="2"/>
  <c r="U154" i="2"/>
  <c r="O155" i="2"/>
  <c r="S155" i="2"/>
  <c r="R156" i="2"/>
  <c r="R157" i="2"/>
  <c r="O158" i="2"/>
  <c r="S158" i="2"/>
  <c r="Q159" i="2"/>
  <c r="P160" i="2"/>
  <c r="P161" i="2"/>
  <c r="X167" i="2"/>
  <c r="X169" i="2" s="1"/>
  <c r="P297" i="2"/>
  <c r="T297" i="2"/>
  <c r="R298" i="2"/>
  <c r="V298" i="2"/>
  <c r="Q299" i="2"/>
  <c r="U299" i="2"/>
  <c r="Q300" i="2"/>
  <c r="R301" i="2"/>
  <c r="P302" i="2"/>
  <c r="O303" i="2"/>
  <c r="O307" i="2" s="1"/>
  <c r="O308" i="2" s="1"/>
  <c r="O304" i="2"/>
  <c r="AB154" i="2"/>
  <c r="AF154" i="2"/>
  <c r="AD155" i="2"/>
  <c r="AH155" i="2"/>
  <c r="AC156" i="2"/>
  <c r="AG156" i="2"/>
  <c r="AG164" i="2" s="1"/>
  <c r="AG165" i="2" s="1"/>
  <c r="AC157" i="2"/>
  <c r="AD158" i="2"/>
  <c r="AB159" i="2"/>
  <c r="AA160" i="2"/>
  <c r="AA161" i="2"/>
  <c r="AA164" i="2" s="1"/>
  <c r="AA165" i="2" s="1"/>
  <c r="AB297" i="2"/>
  <c r="AF297" i="2"/>
  <c r="AD298" i="2"/>
  <c r="AH298" i="2"/>
  <c r="AC299" i="2"/>
  <c r="AG299" i="2"/>
  <c r="AC300" i="2"/>
  <c r="AD301" i="2"/>
  <c r="AB302" i="2"/>
  <c r="AA303" i="2"/>
  <c r="AA304" i="2"/>
  <c r="AA307" i="2" s="1"/>
  <c r="AA308" i="2" s="1"/>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T297" i="2"/>
  <c r="AN298" i="2"/>
  <c r="AR298" i="2"/>
  <c r="AM299" i="2"/>
  <c r="AQ299" i="2"/>
  <c r="AM300" i="2"/>
  <c r="AQ300" i="2"/>
  <c r="AN301" i="2"/>
  <c r="AP302" i="2"/>
  <c r="AO303" i="2"/>
  <c r="BF61" i="2"/>
  <c r="BF62" i="2" s="1"/>
  <c r="BF131" i="2"/>
  <c r="BF132" i="2" s="1"/>
  <c r="BB154" i="2"/>
  <c r="BF154" i="2"/>
  <c r="AZ155" i="2"/>
  <c r="BD155" i="2"/>
  <c r="AY156" i="2"/>
  <c r="BC156" i="2"/>
  <c r="AY157" i="2"/>
  <c r="BC157" i="2"/>
  <c r="BC164" i="2" s="1"/>
  <c r="BC165" i="2" s="1"/>
  <c r="AZ158" i="2"/>
  <c r="BB159" i="2"/>
  <c r="BA160" i="2"/>
  <c r="BE204" i="2"/>
  <c r="BE205" i="2" s="1"/>
  <c r="BB297" i="2"/>
  <c r="BF297" i="2"/>
  <c r="AZ298" i="2"/>
  <c r="BD298" i="2"/>
  <c r="BD307" i="2" s="1"/>
  <c r="BD308" i="2" s="1"/>
  <c r="AY299" i="2"/>
  <c r="BC299" i="2"/>
  <c r="BC307" i="2" s="1"/>
  <c r="BC308" i="2" s="1"/>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W164" i="2"/>
  <c r="W165" i="2" s="1"/>
  <c r="W166" i="2" s="1"/>
  <c r="W167" i="2" s="1"/>
  <c r="W169" i="2" s="1"/>
  <c r="V154" i="2"/>
  <c r="T417" i="2"/>
  <c r="T418" i="2" s="1"/>
  <c r="O154" i="2"/>
  <c r="S154" i="2"/>
  <c r="W154" i="2"/>
  <c r="Q155" i="2"/>
  <c r="U155" i="2"/>
  <c r="P156" i="2"/>
  <c r="T156" i="2"/>
  <c r="P157" i="2"/>
  <c r="T157" i="2"/>
  <c r="Q158" i="2"/>
  <c r="O159" i="2"/>
  <c r="O162" i="2"/>
  <c r="R297" i="2"/>
  <c r="W307" i="2"/>
  <c r="W308" i="2" s="1"/>
  <c r="W309" i="2" s="1"/>
  <c r="W310" i="2" s="1"/>
  <c r="W312" i="2" s="1"/>
  <c r="W313" i="2" s="1"/>
  <c r="V297" i="2"/>
  <c r="P298" i="2"/>
  <c r="T298" i="2"/>
  <c r="O299" i="2"/>
  <c r="S299" i="2"/>
  <c r="O300" i="2"/>
  <c r="S300" i="2"/>
  <c r="P301" i="2"/>
  <c r="R302" i="2"/>
  <c r="Q303" i="2"/>
  <c r="AD154" i="2"/>
  <c r="AH154" i="2"/>
  <c r="AB155" i="2"/>
  <c r="AF155" i="2"/>
  <c r="AA156" i="2"/>
  <c r="AE156" i="2"/>
  <c r="AA157" i="2"/>
  <c r="AE157" i="2"/>
  <c r="AB158" i="2"/>
  <c r="AD159" i="2"/>
  <c r="AD164" i="2" s="1"/>
  <c r="AD165" i="2" s="1"/>
  <c r="AC160" i="2"/>
  <c r="AH204" i="2"/>
  <c r="AH205" i="2" s="1"/>
  <c r="AC14" i="2" s="1"/>
  <c r="AD297" i="2"/>
  <c r="AH297" i="2"/>
  <c r="AB298" i="2"/>
  <c r="AF298" i="2"/>
  <c r="AF307" i="2" s="1"/>
  <c r="AF308" i="2" s="1"/>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7" i="2" s="1"/>
  <c r="AM308" i="2" s="1"/>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Z164" i="2" s="1"/>
  <c r="BZ165" i="2" s="1"/>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DN164" i="2" s="1"/>
  <c r="DN165" i="2" s="1"/>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BX158" i="2"/>
  <c r="BZ159" i="2"/>
  <c r="BY160" i="2"/>
  <c r="CE204" i="2"/>
  <c r="CE205" i="2" s="1"/>
  <c r="BZ297" i="2"/>
  <c r="CD297" i="2"/>
  <c r="CD307" i="2" s="1"/>
  <c r="CD308" i="2" s="1"/>
  <c r="BX298" i="2"/>
  <c r="CB298" i="2"/>
  <c r="BW299" i="2"/>
  <c r="CA299" i="2"/>
  <c r="BW300" i="2"/>
  <c r="CA300" i="2"/>
  <c r="CA307" i="2" s="1"/>
  <c r="CA308" i="2" s="1"/>
  <c r="BX301" i="2"/>
  <c r="BZ302" i="2"/>
  <c r="BY303" i="2"/>
  <c r="CD347" i="2"/>
  <c r="CD348" i="2" s="1"/>
  <c r="CB417" i="2"/>
  <c r="CB418" i="2" s="1"/>
  <c r="CN96" i="2"/>
  <c r="CN97" i="2" s="1"/>
  <c r="CJ154" i="2"/>
  <c r="CN154" i="2"/>
  <c r="CL155" i="2"/>
  <c r="CP155" i="2"/>
  <c r="CP164" i="2" s="1"/>
  <c r="CP165" i="2" s="1"/>
  <c r="CP166" i="2" s="1"/>
  <c r="CP167" i="2" s="1"/>
  <c r="CP169" i="2" s="1"/>
  <c r="CP170" i="2" s="1"/>
  <c r="CK26" i="2" s="1"/>
  <c r="CK156" i="2"/>
  <c r="CO156" i="2"/>
  <c r="CK157" i="2"/>
  <c r="CL158" i="2"/>
  <c r="CJ159" i="2"/>
  <c r="CI160" i="2"/>
  <c r="CI164" i="2" s="1"/>
  <c r="CI165" i="2" s="1"/>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L164" i="2" s="1"/>
  <c r="DL165" i="2" s="1"/>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H303" i="2"/>
  <c r="DH304" i="2"/>
  <c r="DO382" i="2"/>
  <c r="DO383" i="2" s="1"/>
  <c r="Q61" i="2"/>
  <c r="Q62" i="2" s="1"/>
  <c r="V12" i="2" s="1"/>
  <c r="U61" i="2"/>
  <c r="U62" i="2" s="1"/>
  <c r="R12" i="2" s="1"/>
  <c r="W204" i="2"/>
  <c r="W205" i="2" s="1"/>
  <c r="P14" i="2" s="1"/>
  <c r="O239" i="2"/>
  <c r="O240" i="2" s="1"/>
  <c r="X15" i="2" s="1"/>
  <c r="X16" i="2" s="1"/>
  <c r="W382" i="2"/>
  <c r="W383" i="2" s="1"/>
  <c r="T96" i="2"/>
  <c r="T97" i="2" s="1"/>
  <c r="S13" i="2" s="1"/>
  <c r="U96" i="2"/>
  <c r="U97" i="2" s="1"/>
  <c r="R13" i="2" s="1"/>
  <c r="AH274" i="2"/>
  <c r="AH275" i="2" s="1"/>
  <c r="AG274" i="2"/>
  <c r="AG275" i="2" s="1"/>
  <c r="W61" i="2"/>
  <c r="W62" i="2" s="1"/>
  <c r="P12" i="2" s="1"/>
  <c r="P131" i="2"/>
  <c r="P132" i="2" s="1"/>
  <c r="W17" i="2" s="1"/>
  <c r="W21" i="2" s="1"/>
  <c r="P274" i="2"/>
  <c r="P275" i="2" s="1"/>
  <c r="T274" i="2"/>
  <c r="T275" i="2" s="1"/>
  <c r="P96" i="2"/>
  <c r="P97" i="2" s="1"/>
  <c r="W13"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G12" i="2" s="1"/>
  <c r="AB96" i="2"/>
  <c r="AB97" i="2" s="1"/>
  <c r="AI13" i="2" s="1"/>
  <c r="AF96" i="2"/>
  <c r="AF97" i="2" s="1"/>
  <c r="AE13" i="2" s="1"/>
  <c r="AA131" i="2"/>
  <c r="AA132" i="2" s="1"/>
  <c r="AJ17" i="2" s="1"/>
  <c r="AJ21" i="2" s="1"/>
  <c r="AE131" i="2"/>
  <c r="AE132" i="2" s="1"/>
  <c r="AF17" i="2" s="1"/>
  <c r="AF21" i="2" s="1"/>
  <c r="AI131" i="2"/>
  <c r="AI132" i="2" s="1"/>
  <c r="AB17" i="2" s="1"/>
  <c r="AB21"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S307" i="2"/>
  <c r="AS308" i="2" s="1"/>
  <c r="AV310" i="2"/>
  <c r="AV312" i="2" s="1"/>
  <c r="AV313" i="2" s="1"/>
  <c r="AR417" i="2"/>
  <c r="AR418" i="2" s="1"/>
  <c r="BD96" i="2"/>
  <c r="BD97" i="2" s="1"/>
  <c r="BB164" i="2"/>
  <c r="BB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307" i="2"/>
  <c r="BK308"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I239" i="2"/>
  <c r="CI240"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B307" i="2"/>
  <c r="CB308" i="2" s="1"/>
  <c r="CF310" i="2"/>
  <c r="CF312" i="2" s="1"/>
  <c r="CF313" i="2" s="1"/>
  <c r="CB347" i="2"/>
  <c r="CB348" i="2" s="1"/>
  <c r="BZ452" i="2"/>
  <c r="BZ453" i="2" s="1"/>
  <c r="BX239" i="2"/>
  <c r="BX240"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E164" i="2"/>
  <c r="BE165"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204" i="2"/>
  <c r="AO205" i="2" s="1"/>
  <c r="AQ417" i="2"/>
  <c r="AQ418" i="2" s="1"/>
  <c r="AN417" i="2"/>
  <c r="AN418" i="2" s="1"/>
  <c r="AM61" i="2"/>
  <c r="AM62" i="2" s="1"/>
  <c r="AQ61" i="2"/>
  <c r="AQ62" i="2" s="1"/>
  <c r="AN96" i="2"/>
  <c r="AN97" i="2" s="1"/>
  <c r="AR96" i="2"/>
  <c r="AR97" i="2" s="1"/>
  <c r="AM96" i="2"/>
  <c r="AM97"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H132" i="2" s="1"/>
  <c r="AC17" i="2" s="1"/>
  <c r="AC21" i="2" s="1"/>
  <c r="AG131" i="2"/>
  <c r="AG132" i="2" s="1"/>
  <c r="AD17" i="2" s="1"/>
  <c r="AD21" i="2" s="1"/>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D132" i="2" s="1"/>
  <c r="AG17" i="2" s="1"/>
  <c r="AG21" i="2" s="1"/>
  <c r="AC131" i="2"/>
  <c r="AC132" i="2" s="1"/>
  <c r="AH17" i="2" s="1"/>
  <c r="AH21" i="2" s="1"/>
  <c r="AB131" i="2"/>
  <c r="AB132" i="2" s="1"/>
  <c r="AI17" i="2" s="1"/>
  <c r="AI21" i="2" s="1"/>
  <c r="AI164" i="2"/>
  <c r="AI165" i="2" s="1"/>
  <c r="AI166" i="2" s="1"/>
  <c r="AI167" i="2" s="1"/>
  <c r="AI169" i="2" s="1"/>
  <c r="Y353" i="2"/>
  <c r="Y245" i="2"/>
  <c r="Y318" i="2"/>
  <c r="Y210" i="2"/>
  <c r="Y423" i="2"/>
  <c r="Y175" i="2"/>
  <c r="Y280" i="2"/>
  <c r="Y67" i="2"/>
  <c r="Y32" i="2"/>
  <c r="Y388" i="2"/>
  <c r="Y137" i="2"/>
  <c r="AF61" i="2"/>
  <c r="AF62" i="2" s="1"/>
  <c r="AE12" i="2" s="1"/>
  <c r="AE61" i="2"/>
  <c r="AE62" i="2" s="1"/>
  <c r="AF12" i="2" s="1"/>
  <c r="AG96" i="2"/>
  <c r="AG97" i="2" s="1"/>
  <c r="AD13" i="2" s="1"/>
  <c r="AF131" i="2"/>
  <c r="AF132" i="2" s="1"/>
  <c r="AE17" i="2" s="1"/>
  <c r="AE21" i="2" s="1"/>
  <c r="AA204" i="2"/>
  <c r="AA205" i="2" s="1"/>
  <c r="AJ14" i="2" s="1"/>
  <c r="AE452" i="2"/>
  <c r="AE453" i="2" s="1"/>
  <c r="AF204" i="2"/>
  <c r="AF205" i="2" s="1"/>
  <c r="AE14" i="2" s="1"/>
  <c r="AE204" i="2"/>
  <c r="AE205" i="2" s="1"/>
  <c r="AF14" i="2" s="1"/>
  <c r="AF239" i="2"/>
  <c r="AF240" i="2" s="1"/>
  <c r="AE15" i="2" s="1"/>
  <c r="AE16" i="2" s="1"/>
  <c r="AB347" i="2"/>
  <c r="AB348" i="2" s="1"/>
  <c r="AD382" i="2"/>
  <c r="AD383" i="2" s="1"/>
  <c r="AH417" i="2"/>
  <c r="AH418" i="2" s="1"/>
  <c r="AG452" i="2"/>
  <c r="AG453" i="2" s="1"/>
  <c r="AA382" i="2"/>
  <c r="AA383" i="2" s="1"/>
  <c r="AD452" i="2"/>
  <c r="AD453" i="2" s="1"/>
  <c r="AF452" i="2"/>
  <c r="AF453" i="2" s="1"/>
  <c r="AG204" i="2"/>
  <c r="AG205" i="2" s="1"/>
  <c r="AD14" i="2" s="1"/>
  <c r="AA239" i="2"/>
  <c r="AI239" i="2"/>
  <c r="AI240" i="2" s="1"/>
  <c r="AB15" i="2" s="1"/>
  <c r="AB16" i="2" s="1"/>
  <c r="AB274" i="2"/>
  <c r="AB275" i="2" s="1"/>
  <c r="AF274" i="2"/>
  <c r="AF275" i="2" s="1"/>
  <c r="AA274" i="2"/>
  <c r="AA275" i="2" s="1"/>
  <c r="AE307" i="2"/>
  <c r="AE308" i="2" s="1"/>
  <c r="AC307" i="2"/>
  <c r="AC308" i="2" s="1"/>
  <c r="AE347" i="2"/>
  <c r="AE348" i="2" s="1"/>
  <c r="AE382" i="2"/>
  <c r="AE383" i="2" s="1"/>
  <c r="AC417" i="2"/>
  <c r="AC418" i="2" s="1"/>
  <c r="AB452" i="2"/>
  <c r="AB453" i="2" s="1"/>
  <c r="AE239" i="2"/>
  <c r="AE240" i="2" s="1"/>
  <c r="AC274" i="2"/>
  <c r="AC275" i="2" s="1"/>
  <c r="AB204" i="2"/>
  <c r="AB205" i="2" s="1"/>
  <c r="AI14" i="2" s="1"/>
  <c r="AC239" i="2"/>
  <c r="AG239" i="2"/>
  <c r="AG240" i="2" s="1"/>
  <c r="AD15" i="2" s="1"/>
  <c r="AD16" i="2" s="1"/>
  <c r="AB239" i="2"/>
  <c r="AD274" i="2"/>
  <c r="AD275" i="2" s="1"/>
  <c r="AF347" i="2"/>
  <c r="AF348" i="2" s="1"/>
  <c r="AH382" i="2"/>
  <c r="AH383" i="2" s="1"/>
  <c r="AD417" i="2"/>
  <c r="AD418" i="2" s="1"/>
  <c r="AC452" i="2"/>
  <c r="AC453" i="2" s="1"/>
  <c r="W239" i="2"/>
  <c r="W240" i="2" s="1"/>
  <c r="P15" i="2" s="1"/>
  <c r="P16" i="2" s="1"/>
  <c r="V239" i="2"/>
  <c r="V240" i="2" s="1"/>
  <c r="Q15" i="2" s="1"/>
  <c r="Q16" i="2" s="1"/>
  <c r="P61" i="2"/>
  <c r="P62" i="2" s="1"/>
  <c r="W12" i="2" s="1"/>
  <c r="Q96" i="2"/>
  <c r="Q97" i="2" s="1"/>
  <c r="V13" i="2" s="1"/>
  <c r="Q131" i="2"/>
  <c r="Q132" i="2" s="1"/>
  <c r="V17" i="2" s="1"/>
  <c r="V21" i="2" s="1"/>
  <c r="U131" i="2"/>
  <c r="U132" i="2" s="1"/>
  <c r="R17" i="2" s="1"/>
  <c r="R21" i="2" s="1"/>
  <c r="R131" i="2"/>
  <c r="R132" i="2" s="1"/>
  <c r="U17" i="2" s="1"/>
  <c r="U21" i="2" s="1"/>
  <c r="O274" i="2"/>
  <c r="O275" i="2" s="1"/>
  <c r="S239" i="2"/>
  <c r="S240" i="2" s="1"/>
  <c r="T15" i="2" s="1"/>
  <c r="T16" i="2" s="1"/>
  <c r="R239" i="2"/>
  <c r="R240" i="2" s="1"/>
  <c r="U15" i="2" s="1"/>
  <c r="U16" i="2" s="1"/>
  <c r="Q452" i="2"/>
  <c r="Q453" i="2" s="1"/>
  <c r="M353" i="2"/>
  <c r="M245" i="2"/>
  <c r="M318" i="2"/>
  <c r="M210" i="2"/>
  <c r="M423" i="2"/>
  <c r="M175" i="2"/>
  <c r="M388" i="2"/>
  <c r="M137" i="2"/>
  <c r="M102" i="2"/>
  <c r="M67" i="2"/>
  <c r="T61" i="2"/>
  <c r="T62" i="2" s="1"/>
  <c r="S12" i="2" s="1"/>
  <c r="R96" i="2"/>
  <c r="R97" i="2" s="1"/>
  <c r="U13" i="2" s="1"/>
  <c r="O96" i="2"/>
  <c r="O97" i="2" s="1"/>
  <c r="X13" i="2" s="1"/>
  <c r="T131" i="2"/>
  <c r="T132" i="2" s="1"/>
  <c r="S17" i="2" s="1"/>
  <c r="S21" i="2" s="1"/>
  <c r="T164" i="2"/>
  <c r="T165" i="2" s="1"/>
  <c r="S164" i="2"/>
  <c r="S165" i="2" s="1"/>
  <c r="S204" i="2"/>
  <c r="S205" i="2" s="1"/>
  <c r="T14" i="2" s="1"/>
  <c r="O61" i="2"/>
  <c r="O62" i="2" s="1"/>
  <c r="X12" i="2" s="1"/>
  <c r="S61" i="2"/>
  <c r="S62" i="2" s="1"/>
  <c r="T12" i="2" s="1"/>
  <c r="V61" i="2"/>
  <c r="V62" i="2" s="1"/>
  <c r="Q12" i="2" s="1"/>
  <c r="S96" i="2"/>
  <c r="S97" i="2" s="1"/>
  <c r="T13" i="2" s="1"/>
  <c r="O131" i="2"/>
  <c r="O132" i="2" s="1"/>
  <c r="X17" i="2" s="1"/>
  <c r="X21" i="2" s="1"/>
  <c r="S131" i="2"/>
  <c r="S132" i="2" s="1"/>
  <c r="T17" i="2" s="1"/>
  <c r="T21" i="2" s="1"/>
  <c r="W131" i="2"/>
  <c r="W132" i="2" s="1"/>
  <c r="P17" i="2" s="1"/>
  <c r="P21" i="2" s="1"/>
  <c r="O164" i="2"/>
  <c r="O165" i="2" s="1"/>
  <c r="R347" i="2"/>
  <c r="R348" i="2" s="1"/>
  <c r="V347" i="2"/>
  <c r="V348" i="2" s="1"/>
  <c r="O452" i="2"/>
  <c r="O453" i="2" s="1"/>
  <c r="S452" i="2"/>
  <c r="S453" i="2" s="1"/>
  <c r="P204" i="2"/>
  <c r="P205" i="2" s="1"/>
  <c r="W14" i="2" s="1"/>
  <c r="T204" i="2"/>
  <c r="T205" i="2" s="1"/>
  <c r="S14" i="2" s="1"/>
  <c r="P239" i="2"/>
  <c r="P240" i="2" s="1"/>
  <c r="W15" i="2" s="1"/>
  <c r="W16" i="2" s="1"/>
  <c r="V307" i="2"/>
  <c r="V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Q240" i="2" s="1"/>
  <c r="V15" i="2" s="1"/>
  <c r="V16" i="2" s="1"/>
  <c r="U239" i="2"/>
  <c r="U240" i="2" s="1"/>
  <c r="R15" i="2" s="1"/>
  <c r="R16" i="2" s="1"/>
  <c r="R274" i="2"/>
  <c r="R275" i="2" s="1"/>
  <c r="V274" i="2"/>
  <c r="V275" i="2" s="1"/>
  <c r="S274" i="2"/>
  <c r="S275" i="2" s="1"/>
  <c r="Q274" i="2"/>
  <c r="Q275" i="2" s="1"/>
  <c r="T347" i="2"/>
  <c r="T348" i="2" s="1"/>
  <c r="U382" i="2"/>
  <c r="U383" i="2" s="1"/>
  <c r="R452" i="2"/>
  <c r="R453" i="2" s="1"/>
  <c r="R204" i="2"/>
  <c r="R205" i="2" s="1"/>
  <c r="U14" i="2" s="1"/>
  <c r="O204" i="2"/>
  <c r="O205" i="2" s="1"/>
  <c r="X14" i="2" s="1"/>
  <c r="T239" i="2"/>
  <c r="T240" i="2" s="1"/>
  <c r="S15" i="2" s="1"/>
  <c r="S16" i="2" s="1"/>
  <c r="U274" i="2"/>
  <c r="U275" i="2" s="1"/>
  <c r="O347" i="2"/>
  <c r="O348" i="2" s="1"/>
  <c r="S347" i="2"/>
  <c r="S348" i="2" s="1"/>
  <c r="W347" i="2"/>
  <c r="W348" i="2" s="1"/>
  <c r="O382" i="2"/>
  <c r="O383" i="2" s="1"/>
  <c r="V417" i="2"/>
  <c r="V418" i="2" s="1"/>
  <c r="A8" i="2"/>
  <c r="A7" i="2"/>
  <c r="AC240" i="2" l="1"/>
  <c r="AH25" i="2"/>
  <c r="AF15" i="2"/>
  <c r="AF16" i="2" s="1"/>
  <c r="AE311" i="2"/>
  <c r="AE168" i="2"/>
  <c r="AB240" i="2"/>
  <c r="AI25" i="2"/>
  <c r="AA240" i="2"/>
  <c r="AJ25" i="2"/>
  <c r="AD240" i="2"/>
  <c r="AG25" i="2"/>
  <c r="AG307" i="2"/>
  <c r="AG308" i="2" s="1"/>
  <c r="AH307" i="2"/>
  <c r="AH308" i="2" s="1"/>
  <c r="AH309" i="2" s="1"/>
  <c r="AH310" i="2" s="1"/>
  <c r="AH312" i="2" s="1"/>
  <c r="AH313" i="2" s="1"/>
  <c r="AI170" i="2"/>
  <c r="AB18" i="2"/>
  <c r="AJ170" i="2"/>
  <c r="AA18" i="2"/>
  <c r="AF164" i="2"/>
  <c r="AF165" i="2" s="1"/>
  <c r="U307" i="2"/>
  <c r="U308" i="2" s="1"/>
  <c r="X170" i="2"/>
  <c r="O18" i="2"/>
  <c r="W170" i="2"/>
  <c r="P18" i="2"/>
  <c r="V164" i="2"/>
  <c r="V165" i="2" s="1"/>
  <c r="U164" i="2"/>
  <c r="U165" i="2" s="1"/>
  <c r="S166" i="2" s="1"/>
  <c r="S167" i="2" s="1"/>
  <c r="S169" i="2" s="1"/>
  <c r="DH164" i="2"/>
  <c r="DH165" i="2" s="1"/>
  <c r="CN307" i="2"/>
  <c r="CN308" i="2" s="1"/>
  <c r="CM164" i="2"/>
  <c r="CM165" i="2" s="1"/>
  <c r="AE164" i="2"/>
  <c r="AE165" i="2" s="1"/>
  <c r="AD166" i="2" s="1"/>
  <c r="AD167" i="2" s="1"/>
  <c r="AQ307" i="2"/>
  <c r="AQ308" i="2" s="1"/>
  <c r="AB307" i="2"/>
  <c r="AB308" i="2" s="1"/>
  <c r="AH164" i="2"/>
  <c r="AH165" i="2" s="1"/>
  <c r="AH166" i="2" s="1"/>
  <c r="AH167" i="2" s="1"/>
  <c r="AH169" i="2" s="1"/>
  <c r="CV307" i="2"/>
  <c r="CV308" i="2" s="1"/>
  <c r="AB164" i="2"/>
  <c r="AB165" i="2" s="1"/>
  <c r="AQ164" i="2"/>
  <c r="AQ165" i="2" s="1"/>
  <c r="DI164" i="2"/>
  <c r="DI165" i="2" s="1"/>
  <c r="CX307" i="2"/>
  <c r="CX308" i="2" s="1"/>
  <c r="CO164" i="2"/>
  <c r="CO165" i="2" s="1"/>
  <c r="CU307" i="2"/>
  <c r="CU308" i="2" s="1"/>
  <c r="BF309" i="2"/>
  <c r="BF310" i="2" s="1"/>
  <c r="BF312" i="2" s="1"/>
  <c r="BF313" i="2" s="1"/>
  <c r="BX307" i="2"/>
  <c r="BX308" i="2" s="1"/>
  <c r="AT309" i="2"/>
  <c r="AT310" i="2" s="1"/>
  <c r="AT312" i="2" s="1"/>
  <c r="AT313" i="2" s="1"/>
  <c r="DM307" i="2"/>
  <c r="DM308" i="2" s="1"/>
  <c r="CA164" i="2"/>
  <c r="CA165" i="2" s="1"/>
  <c r="BY164" i="2"/>
  <c r="BY165" i="2" s="1"/>
  <c r="BX166" i="2" s="1"/>
  <c r="BX167" i="2" s="1"/>
  <c r="BX169" i="2" s="1"/>
  <c r="BX170" i="2" s="1"/>
  <c r="CC164" i="2"/>
  <c r="CC165" i="2" s="1"/>
  <c r="CV164" i="2"/>
  <c r="CV165" i="2" s="1"/>
  <c r="BM307" i="2"/>
  <c r="BM308" i="2" s="1"/>
  <c r="BK309" i="2" s="1"/>
  <c r="BK310" i="2" s="1"/>
  <c r="BK312" i="2" s="1"/>
  <c r="BK313" i="2" s="1"/>
  <c r="AD307" i="2"/>
  <c r="AD308" i="2" s="1"/>
  <c r="AC309" i="2" s="1"/>
  <c r="AC310" i="2" s="1"/>
  <c r="P164" i="2"/>
  <c r="P165" i="2" s="1"/>
  <c r="CK307" i="2"/>
  <c r="CK308" i="2" s="1"/>
  <c r="BD164" i="2"/>
  <c r="BD165" i="2" s="1"/>
  <c r="AY307" i="2"/>
  <c r="AY308" i="2" s="1"/>
  <c r="P307" i="2"/>
  <c r="P308" i="2" s="1"/>
  <c r="T307" i="2"/>
  <c r="T308" i="2" s="1"/>
  <c r="BO307" i="2"/>
  <c r="BO308" i="2" s="1"/>
  <c r="BO309" i="2" s="1"/>
  <c r="BO310" i="2" s="1"/>
  <c r="BO312" i="2" s="1"/>
  <c r="BO313" i="2" s="1"/>
  <c r="AZ164" i="2"/>
  <c r="AZ165" i="2" s="1"/>
  <c r="AY166" i="2" s="1"/>
  <c r="AY167" i="2" s="1"/>
  <c r="AY169" i="2" s="1"/>
  <c r="AY170" i="2" s="1"/>
  <c r="V309" i="2"/>
  <c r="V310" i="2" s="1"/>
  <c r="V312" i="2" s="1"/>
  <c r="V313" i="2" s="1"/>
  <c r="V166" i="2"/>
  <c r="V167" i="2" s="1"/>
  <c r="V169" i="2" s="1"/>
  <c r="BF164" i="2"/>
  <c r="BF165" i="2" s="1"/>
  <c r="BF166" i="2" s="1"/>
  <c r="BF167" i="2" s="1"/>
  <c r="BF169" i="2" s="1"/>
  <c r="BF170" i="2" s="1"/>
  <c r="AS166" i="2"/>
  <c r="AS167" i="2" s="1"/>
  <c r="AS169" i="2" s="1"/>
  <c r="AS170" i="2" s="1"/>
  <c r="DG307" i="2"/>
  <c r="DG308" i="2" s="1"/>
  <c r="CZ307" i="2"/>
  <c r="CZ308" i="2" s="1"/>
  <c r="CX309" i="2" s="1"/>
  <c r="CX310" i="2" s="1"/>
  <c r="CX312" i="2" s="1"/>
  <c r="CX313"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U312" i="2" s="1"/>
  <c r="U313"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M309" i="2"/>
  <c r="AM310" i="2" s="1"/>
  <c r="AM312" i="2" s="1"/>
  <c r="AM313" i="2" s="1"/>
  <c r="BO164" i="2"/>
  <c r="BO165" i="2" s="1"/>
  <c r="BM166" i="2" s="1"/>
  <c r="BM167" i="2" s="1"/>
  <c r="BM169" i="2" s="1"/>
  <c r="BM170" i="2" s="1"/>
  <c r="R164" i="2"/>
  <c r="R165" i="2" s="1"/>
  <c r="R166" i="2" s="1"/>
  <c r="R167" i="2" s="1"/>
  <c r="R169"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N309" i="2"/>
  <c r="BN310" i="2" s="1"/>
  <c r="BN312" i="2" s="1"/>
  <c r="BN313" i="2" s="1"/>
  <c r="BM309" i="2"/>
  <c r="BM310" i="2" s="1"/>
  <c r="BM312" i="2" s="1"/>
  <c r="BM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G312" i="2" s="1"/>
  <c r="AG313" i="2" s="1"/>
  <c r="AF309" i="2"/>
  <c r="AF310" i="2" s="1"/>
  <c r="AF312" i="2" s="1"/>
  <c r="AF313" i="2" s="1"/>
  <c r="AC164" i="2"/>
  <c r="AC165" i="2" s="1"/>
  <c r="AE309" i="2"/>
  <c r="AE310" i="2" s="1"/>
  <c r="AE312" i="2" s="1"/>
  <c r="AE313" i="2" s="1"/>
  <c r="S307" i="2"/>
  <c r="S308" i="2" s="1"/>
  <c r="S309" i="2" s="1"/>
  <c r="S310" i="2" s="1"/>
  <c r="S312" i="2" s="1"/>
  <c r="S313" i="2" s="1"/>
  <c r="U166" i="2"/>
  <c r="U167" i="2" s="1"/>
  <c r="U169" i="2" s="1"/>
  <c r="T309" i="2"/>
  <c r="T310" i="2" s="1"/>
  <c r="T312" i="2" s="1"/>
  <c r="T313" i="2" s="1"/>
  <c r="R307" i="2"/>
  <c r="R308" i="2" s="1"/>
  <c r="AJ15" i="2" l="1"/>
  <c r="AJ16" i="2" s="1"/>
  <c r="AA311" i="2"/>
  <c r="AA168" i="2"/>
  <c r="AI15" i="2"/>
  <c r="AI16" i="2" s="1"/>
  <c r="AB311" i="2"/>
  <c r="AB168" i="2"/>
  <c r="AD169" i="2"/>
  <c r="AD170" i="2" s="1"/>
  <c r="AG15" i="2"/>
  <c r="AG16" i="2" s="1"/>
  <c r="AD311" i="2"/>
  <c r="AD168" i="2"/>
  <c r="AH15" i="2"/>
  <c r="AH16" i="2" s="1"/>
  <c r="AC311" i="2"/>
  <c r="AC312" i="2" s="1"/>
  <c r="AC313" i="2" s="1"/>
  <c r="AC168" i="2"/>
  <c r="AG18" i="2"/>
  <c r="AH170" i="2"/>
  <c r="AC18" i="2"/>
  <c r="AF166" i="2"/>
  <c r="AF167" i="2" s="1"/>
  <c r="AF169" i="2" s="1"/>
  <c r="AG166" i="2"/>
  <c r="AG167" i="2" s="1"/>
  <c r="AG169" i="2" s="1"/>
  <c r="AC166" i="2"/>
  <c r="AC167" i="2" s="1"/>
  <c r="AC169" i="2" s="1"/>
  <c r="S170" i="2"/>
  <c r="T18" i="2"/>
  <c r="V170" i="2"/>
  <c r="Q18" i="2"/>
  <c r="R170" i="2"/>
  <c r="U18" i="2"/>
  <c r="T166" i="2"/>
  <c r="T167" i="2" s="1"/>
  <c r="T169" i="2" s="1"/>
  <c r="U170" i="2"/>
  <c r="R18" i="2"/>
  <c r="CY309" i="2"/>
  <c r="CY310" i="2" s="1"/>
  <c r="CY312" i="2" s="1"/>
  <c r="CY313" i="2" s="1"/>
  <c r="AD309" i="2"/>
  <c r="AD310" i="2" s="1"/>
  <c r="AD312" i="2" s="1"/>
  <c r="AD313" i="2" s="1"/>
  <c r="AE166" i="2"/>
  <c r="AE167" i="2" s="1"/>
  <c r="AE169" i="2" s="1"/>
  <c r="AA309" i="2"/>
  <c r="AA310" i="2" s="1"/>
  <c r="AA312" i="2" s="1"/>
  <c r="AA313" i="2" s="1"/>
  <c r="AB309" i="2"/>
  <c r="AB310" i="2" s="1"/>
  <c r="AB312" i="2" s="1"/>
  <c r="AB313" i="2" s="1"/>
  <c r="BD166" i="2"/>
  <c r="BD167" i="2" s="1"/>
  <c r="BD169" i="2" s="1"/>
  <c r="BD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O166" i="2"/>
  <c r="O167" i="2" s="1"/>
  <c r="O169" i="2" s="1"/>
  <c r="P166" i="2"/>
  <c r="P167" i="2" s="1"/>
  <c r="P169"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AA169" i="2" s="1"/>
  <c r="O309" i="2"/>
  <c r="O310" i="2" s="1"/>
  <c r="O312" i="2" s="1"/>
  <c r="O313" i="2" s="1"/>
  <c r="P309" i="2"/>
  <c r="P310" i="2" s="1"/>
  <c r="P312" i="2" s="1"/>
  <c r="P313" i="2" s="1"/>
  <c r="Q309" i="2"/>
  <c r="Q310" i="2" s="1"/>
  <c r="Q312" i="2" s="1"/>
  <c r="Q313" i="2" s="1"/>
  <c r="AC170" i="2" l="1"/>
  <c r="AH18" i="2"/>
  <c r="AA170" i="2"/>
  <c r="AJ18" i="2"/>
  <c r="AG170" i="2"/>
  <c r="AD18" i="2"/>
  <c r="AB170" i="2"/>
  <c r="AI18" i="2"/>
  <c r="AF170" i="2"/>
  <c r="AE18" i="2"/>
  <c r="AE170" i="2"/>
  <c r="AF18" i="2"/>
  <c r="T170" i="2"/>
  <c r="S18" i="2"/>
  <c r="P170" i="2"/>
  <c r="W18" i="2"/>
  <c r="Q170" i="2"/>
  <c r="V18" i="2"/>
  <c r="O170" i="2"/>
  <c r="X18" i="2"/>
  <c r="I37" i="10"/>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D25" i="2"/>
  <c r="L311" i="2"/>
  <c r="L168" i="2"/>
  <c r="I299" i="2"/>
  <c r="J298" i="2"/>
  <c r="D297"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D240" i="2" l="1"/>
  <c r="K25" i="2"/>
  <c r="F240" i="2"/>
  <c r="I25" i="2"/>
  <c r="J240" i="2"/>
  <c r="E25" i="2"/>
  <c r="I240" i="2"/>
  <c r="F25" i="2"/>
  <c r="G240" i="2"/>
  <c r="H25" i="2"/>
  <c r="C240" i="2"/>
  <c r="L25" i="2"/>
  <c r="E240" i="2"/>
  <c r="J25" i="2"/>
  <c r="H240" i="2"/>
  <c r="G25" i="2"/>
  <c r="K311" i="2"/>
  <c r="K312" i="2" s="1"/>
  <c r="K313" i="2" s="1"/>
  <c r="K168" i="2"/>
  <c r="I132" i="2"/>
  <c r="F17" i="2" s="1"/>
  <c r="F21" i="2" s="1"/>
  <c r="F26" i="2"/>
  <c r="G132" i="2"/>
  <c r="H17" i="2" s="1"/>
  <c r="H21" i="2" s="1"/>
  <c r="H26" i="2"/>
  <c r="C132" i="2"/>
  <c r="L17" i="2" s="1"/>
  <c r="L21" i="2" s="1"/>
  <c r="L26" i="2"/>
  <c r="F132" i="2"/>
  <c r="I17" i="2" s="1"/>
  <c r="I21" i="2" s="1"/>
  <c r="I26" i="2"/>
  <c r="J132" i="2"/>
  <c r="E17" i="2" s="1"/>
  <c r="E21" i="2" s="1"/>
  <c r="E26" i="2"/>
  <c r="D132" i="2"/>
  <c r="K17" i="2" s="1"/>
  <c r="K21" i="2" s="1"/>
  <c r="K26" i="2"/>
  <c r="H132" i="2"/>
  <c r="G17" i="2" s="1"/>
  <c r="G21" i="2" s="1"/>
  <c r="G26" i="2"/>
  <c r="E132" i="2"/>
  <c r="J17" i="2" s="1"/>
  <c r="J21" i="2" s="1"/>
  <c r="J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H168" i="2" l="1"/>
  <c r="H311" i="2"/>
  <c r="I311" i="2"/>
  <c r="I312" i="2" s="1"/>
  <c r="I313" i="2" s="1"/>
  <c r="I168" i="2"/>
  <c r="J312" i="2"/>
  <c r="J313" i="2" s="1"/>
  <c r="C168" i="2"/>
  <c r="C311" i="2"/>
  <c r="F311" i="2"/>
  <c r="F168" i="2"/>
  <c r="E168" i="2"/>
  <c r="E311" i="2"/>
  <c r="J168" i="2"/>
  <c r="J311" i="2"/>
  <c r="G168" i="2"/>
  <c r="G311" i="2"/>
  <c r="D168" i="2"/>
  <c r="D311" i="2"/>
  <c r="DP24" i="2"/>
  <c r="DD24" i="2"/>
  <c r="CR24" i="2"/>
  <c r="CF24" i="2"/>
  <c r="BT24" i="2"/>
  <c r="BH24" i="2"/>
  <c r="AV24" i="2"/>
  <c r="AJ24" i="2"/>
  <c r="X24" i="2"/>
  <c r="K11" i="2"/>
  <c r="L24" i="2"/>
  <c r="F309" i="2"/>
  <c r="F310" i="2" s="1"/>
  <c r="F312" i="2" s="1"/>
  <c r="F313" i="2" s="1"/>
  <c r="C309" i="2"/>
  <c r="C310" i="2" s="1"/>
  <c r="H309" i="2"/>
  <c r="H310" i="2" s="1"/>
  <c r="H312" i="2" s="1"/>
  <c r="H313" i="2" s="1"/>
  <c r="E309" i="2"/>
  <c r="E310" i="2" s="1"/>
  <c r="E312" i="2" s="1"/>
  <c r="E313" i="2" s="1"/>
  <c r="D309" i="2"/>
  <c r="D310" i="2" s="1"/>
  <c r="D312" i="2" s="1"/>
  <c r="D313" i="2" s="1"/>
  <c r="G309" i="2"/>
  <c r="G310" i="2" s="1"/>
  <c r="G312" i="2" l="1"/>
  <c r="G313" i="2" s="1"/>
  <c r="C312" i="2"/>
  <c r="C313" i="2" s="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H157"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K170" i="2" l="1"/>
  <c r="D18" i="2"/>
  <c r="L170" i="2"/>
  <c r="C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D170" i="2"/>
  <c r="K18" i="2"/>
  <c r="F170" i="2"/>
  <c r="I18" i="2"/>
  <c r="G170" i="2"/>
  <c r="H18" i="2"/>
  <c r="C170" i="2"/>
  <c r="L18" i="2"/>
  <c r="E170" i="2"/>
  <c r="J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I75" i="4" s="1"/>
  <c r="AC75" i="4"/>
  <c r="AB75" i="4"/>
  <c r="AF74" i="4"/>
  <c r="AE74" i="4"/>
  <c r="AJ74" i="4" s="1"/>
  <c r="AD74" i="4"/>
  <c r="AC74" i="4"/>
  <c r="AB74" i="4"/>
  <c r="AF73" i="4"/>
  <c r="AE73" i="4"/>
  <c r="AD73" i="4"/>
  <c r="AC73" i="4"/>
  <c r="AB73" i="4"/>
  <c r="AF72" i="4"/>
  <c r="AE72" i="4"/>
  <c r="AD72" i="4"/>
  <c r="AC72" i="4"/>
  <c r="AB72" i="4"/>
  <c r="AF71" i="4"/>
  <c r="AE71" i="4"/>
  <c r="AD71" i="4"/>
  <c r="AI71" i="4" s="1"/>
  <c r="AC71" i="4"/>
  <c r="AB71" i="4"/>
  <c r="AF70" i="4"/>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K74" i="4" l="1"/>
  <c r="BT71" i="4"/>
  <c r="BS76" i="4"/>
  <c r="BT79" i="4"/>
  <c r="BS84" i="4"/>
  <c r="BT87" i="4"/>
  <c r="CJ75" i="4"/>
  <c r="CJ83" i="4"/>
  <c r="CJ91"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G74" i="4"/>
  <c r="FG82" i="4"/>
  <c r="AK82" i="4"/>
  <c r="AK90" i="4"/>
  <c r="DE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H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W41" i="4" s="1"/>
  <c r="EM45" i="4"/>
  <c r="BR45" i="4"/>
  <c r="DC45" i="4"/>
  <c r="DT45" i="4"/>
  <c r="CJ42" i="4"/>
  <c r="AK41" i="4"/>
  <c r="BU41" i="4"/>
  <c r="BT41" i="4"/>
  <c r="DV41" i="4"/>
  <c r="CL41" i="4"/>
  <c r="BU42" i="4"/>
  <c r="EO42" i="4"/>
  <c r="AJ42" i="4"/>
  <c r="DV42" i="4"/>
  <c r="BB43" i="4"/>
  <c r="FX43" i="4"/>
  <c r="DD43" i="4"/>
  <c r="BT43" i="4"/>
  <c r="DE43" i="4"/>
  <c r="FX44" i="4"/>
  <c r="AK44" i="4"/>
  <c r="AJ44" i="4"/>
  <c r="W42" i="4" s="1"/>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R42" i="4"/>
  <c r="P45" i="4"/>
  <c r="R44" i="4"/>
  <c r="R41" i="4"/>
  <c r="R43" i="4"/>
  <c r="S44" i="4"/>
  <c r="Q43" i="4"/>
  <c r="R45" i="4"/>
  <c r="E42" i="4" l="1"/>
  <c r="E41" i="4"/>
  <c r="AO43" i="4"/>
  <c r="EA43" i="4"/>
  <c r="FK43" i="4"/>
  <c r="W43" i="4"/>
  <c r="Z43" i="4" s="1"/>
  <c r="ES43" i="4"/>
  <c r="BG43" i="4"/>
  <c r="DI43" i="4"/>
  <c r="BY43" i="4"/>
  <c r="E43" i="4" l="1"/>
  <c r="FK54" i="4"/>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<sst xmlns="http://schemas.openxmlformats.org/spreadsheetml/2006/main" count="2243" uniqueCount="244">
  <si>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</si>
  <si>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</si>
  <si>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</si>
  <si>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</si>
  <si>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</si>
  <si>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</si>
  <si>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</si>
  <si>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</si>
  <si>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</si>
  <si>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</si>
  <si>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</si>
  <si>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</si>
  <si>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</si>
  <si>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</si>
  <si>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</si>
  <si>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</si>
  <si>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</si>
  <si>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</si>
  <si>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</si>
  <si>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</si>
  <si>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</si>
  <si>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</si>
  <si>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</si>
  <si>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</si>
  <si>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</si>
  <si>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</si>
  <si>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</si>
  <si>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</si>
  <si>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</si>
  <si>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</si>
  <si>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</si>
  <si>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</si>
  <si>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</si>
  <si>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</si>
  <si>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</si>
  <si>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</si>
  <si>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</si>
  <si>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</si>
  <si>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</si>
  <si>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</si>
  <si>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</si>
  <si>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</si>
  <si>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</si>
  <si>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</si>
  <si>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</si>
  <si>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</si>
  <si>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</si>
  <si>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</si>
  <si>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</si>
  <si>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</si>
  <si>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</si>
  <si>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</si>
  <si>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</si>
  <si>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</si>
  <si>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</si>
  <si>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</si>
  <si>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</si>
  <si>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</si>
  <si>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</si>
  <si>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</si>
  <si>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</si>
  <si>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</si>
  <si>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</si>
  <si>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</si>
  <si>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</si>
  <si>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</si>
  <si>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</si>
  <si>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</si>
  <si>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</si>
  <si>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</si>
  <si>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</si>
  <si>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</si>
  <si>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</si>
  <si>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</si>
  <si>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</si>
  <si>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</si>
  <si>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</si>
  <si>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</si>
  <si>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</si>
  <si>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</si>
  <si>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</si>
  <si>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</si>
  <si>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</si>
  <si>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</si>
  <si>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</si>
  <si>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</si>
  <si>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</si>
  <si>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</si>
  <si>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</si>
  <si>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</si>
  <si>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</si>
  <si>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</si>
  <si>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</si>
  <si>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</si>
  <si>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</si>
  <si>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</si>
  <si>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</si>
  <si>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</si>
  <si>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</si>
  <si>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</si>
  <si>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</si>
  <si>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</si>
  <si>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</si>
  <si>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</si>
  <si>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</si>
  <si>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</si>
  <si>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</si>
  <si>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</si>
  <si>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</si>
  <si>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</si>
  <si>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</si>
  <si>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</si>
  <si>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</si>
  <si>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</si>
  <si>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</si>
  <si>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</si>
  <si>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</si>
  <si>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</si>
  <si>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</si>
  <si>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</si>
  <si>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</si>
  <si>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</si>
  <si>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</si>
  <si>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</si>
  <si>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</si>
  <si>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</si>
  <si>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</si>
  <si>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</si>
  <si>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</si>
  <si>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</si>
  <si>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</si>
  <si>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</si>
  <si>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</si>
  <si>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</si>
  <si>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</si>
  <si>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</si>
  <si>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</si>
  <si>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</si>
  <si>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</si>
  <si>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</si>
  <si>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</si>
  <si>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</si>
  <si>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</si>
  <si>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</si>
  <si>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</si>
  <si>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</si>
  <si>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</si>
  <si>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</si>
  <si>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</si>
  <si>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</si>
  <si>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</si>
  <si>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</si>
  <si>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</si>
  <si>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</si>
  <si>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</si>
  <si>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</si>
  <si>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</si>
  <si>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</si>
  <si>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</si>
  <si>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</si>
  <si>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</si>
  <si>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</si>
  <si>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</si>
  <si>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</si>
  <si>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</si>
  <si>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</si>
  <si>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</si>
  <si>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</si>
  <si>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</si>
  <si>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</si>
  <si>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</si>
  <si>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</si>
  <si>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</si>
  <si>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</si>
  <si>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</si>
  <si>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</si>
  <si>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</si>
  <si>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</si>
  <si>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</si>
  <si>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</si>
  <si>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</si>
  <si>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</si>
  <si>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</si>
  <si>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</si>
  <si>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</si>
  <si>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</si>
  <si>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</si>
  <si>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</si>
  <si>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</si>
  <si>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</si>
  <si>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</si>
  <si>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</si>
  <si>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</si>
  <si>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</si>
  <si>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</si>
  <si>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</si>
  <si>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</si>
  <si>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</si>
  <si>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</si>
  <si>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</si>
  <si>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</si>
  <si>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</si>
  <si>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</si>
  <si>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</si>
  <si>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</si>
  <si>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</si>
  <si>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</si>
  <si>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</si>
  <si>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</si>
  <si>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</si>
  <si>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</si>
  <si>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</si>
  <si>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</si>
  <si>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</si>
  <si>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</si>
  <si>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</si>
  <si>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</si>
  <si>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</si>
  <si>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</si>
  <si>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</si>
  <si>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</si>
  <si>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</si>
  <si>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</si>
  <si>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</si>
  <si>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</si>
  <si>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</si>
  <si>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</si>
  <si>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</si>
  <si>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</si>
  <si>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</si>
  <si>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</si>
  <si>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</si>
  <si>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</si>
  <si>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Nicole Pettis</t>
  </si>
  <si>
    <t>State Farm General Insurance Company</t>
  </si>
  <si>
    <t>Non-Tenant Homeowners</t>
  </si>
  <si>
    <t>Renters</t>
  </si>
  <si>
    <t>Condominium Unitowners</t>
  </si>
  <si>
    <t>Earned</t>
  </si>
  <si>
    <t>Excludes DCCE</t>
  </si>
  <si>
    <t>Yes</t>
  </si>
  <si>
    <t>No</t>
  </si>
  <si>
    <t>Reported</t>
  </si>
  <si>
    <t>eeTBLesr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</si>
</sst>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7">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1" fillId="0" borderId="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7">
    <cellStyle name="Comma" xfId="4" builtinId="3"/>
    <cellStyle name="Hyperlink" xfId="5" builtinId="8"/>
    <cellStyle name="Normal" xfId="0" builtinId="0"/>
    <cellStyle name="Normal 16 2 7" xfId="6" xr:uid="{EEAF4D26-3DF1-4913-8699-1C41A7391FB9}"/>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7"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243</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General Insurance Company</v>
      </c>
    </row>
    <row r="22" spans="1:2" x14ac:dyDescent="0.25">
      <c r="A22" s="119" t="s">
        <v>144</v>
      </c>
      <c r="B22" s="200" t="str">
        <f>INDEX(List_GeneralLine,References!$F$5,1)</f>
        <v>Homeowners</v>
      </c>
    </row>
    <row r="23" spans="1:2" x14ac:dyDescent="0.25">
      <c r="A23" s="119" t="s">
        <v>145</v>
      </c>
      <c r="B23" s="200">
        <f>IF(ISBLANK('1.General'!$B$10),"",'1.General'!$B$10)</f>
        <v>45170</v>
      </c>
    </row>
    <row r="24" spans="1:2" x14ac:dyDescent="0.25">
      <c r="A24" s="119" t="s">
        <v>146</v>
      </c>
      <c r="B24" s="200" t="str">
        <f>IF(ISBLANK('1.General'!$B$8),"",'1.General'!$B$8)</f>
        <v>Nicole Pettis</v>
      </c>
    </row>
    <row r="25" spans="1:2" x14ac:dyDescent="0.25">
      <c r="A25" s="119" t="s">
        <v>147</v>
      </c>
      <c r="B25" s="201">
        <f>IF(ISBLANK('1.General'!$F$8),"",'1.General'!$F$8)</f>
        <v>44981</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17</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2</v>
      </c>
    </row>
    <row r="8" spans="1:17" ht="15.75" thickBot="1" x14ac:dyDescent="0.3">
      <c r="B8" s="191" t="s">
        <v>91</v>
      </c>
      <c r="C8" s="189"/>
      <c r="D8" s="190"/>
      <c r="F8" s="179" t="s">
        <v>92</v>
      </c>
      <c r="G8" s="228"/>
      <c r="I8" s="250" t="s">
        <v>92</v>
      </c>
      <c r="J8" s="180">
        <v>2.1</v>
      </c>
      <c r="L8" s="182" t="s">
        <v>226</v>
      </c>
      <c r="N8" s="182" t="s">
        <v>67</v>
      </c>
      <c r="P8" s="239">
        <v>3</v>
      </c>
      <c r="Q8" s="241">
        <v>2</v>
      </c>
    </row>
    <row r="9" spans="1:17" ht="15.75" thickBot="1" x14ac:dyDescent="0.3">
      <c r="F9" s="179" t="s">
        <v>223</v>
      </c>
      <c r="G9" s="228"/>
      <c r="I9" s="250" t="s">
        <v>94</v>
      </c>
      <c r="J9" s="180">
        <v>17</v>
      </c>
      <c r="L9" s="190"/>
      <c r="N9" s="190" t="s">
        <v>69</v>
      </c>
      <c r="P9" s="239">
        <v>4</v>
      </c>
      <c r="Q9" s="241">
        <v>1</v>
      </c>
    </row>
    <row r="10" spans="1:17" x14ac:dyDescent="0.25">
      <c r="B10" s="175" t="s">
        <v>163</v>
      </c>
      <c r="F10" s="179" t="s">
        <v>93</v>
      </c>
      <c r="G10" s="228"/>
      <c r="I10" s="250" t="s">
        <v>95</v>
      </c>
      <c r="J10" s="180">
        <v>27</v>
      </c>
      <c r="L10" s="278"/>
      <c r="P10" s="239">
        <v>5</v>
      </c>
      <c r="Q10" s="241">
        <v>1</v>
      </c>
    </row>
    <row r="11" spans="1:17" x14ac:dyDescent="0.25">
      <c r="B11" s="178" t="s">
        <v>164</v>
      </c>
      <c r="F11" s="179" t="s">
        <v>94</v>
      </c>
      <c r="G11" s="228"/>
      <c r="I11" s="250" t="s">
        <v>96</v>
      </c>
      <c r="J11" s="180">
        <v>26</v>
      </c>
      <c r="L11" s="278"/>
      <c r="P11" s="239">
        <v>6</v>
      </c>
      <c r="Q11" s="241">
        <v>1</v>
      </c>
    </row>
    <row r="12" spans="1:17" x14ac:dyDescent="0.25">
      <c r="B12" s="182"/>
      <c r="F12" s="179" t="s">
        <v>95</v>
      </c>
      <c r="G12" s="228"/>
      <c r="I12" s="250" t="s">
        <v>97</v>
      </c>
      <c r="J12" s="180">
        <v>19.399999999999999</v>
      </c>
      <c r="P12" s="239">
        <v>7</v>
      </c>
      <c r="Q12" s="241">
        <v>1</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116</v>
      </c>
      <c r="J42" s="246"/>
    </row>
    <row r="43" spans="9:10" x14ac:dyDescent="0.25">
      <c r="I43" s="245"/>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PHOpygH7t6zhtvj2B56i/oK2sALtNhSvYJd25LcXTgTtEiWe+Qfe4PRSV+7yzSKYxhD4L8YXxZZbeRXHImidcg==" saltValue="d7pTvtnAGnKEn2gXC4jbrA=="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dNsqZ8B3obCDnRZXvmOw+c3KqUfQwVN2HBM0gNvD/FvPbvWvBexCl6Ubv5/0H0UxhS7Zw0mjrF5SeWOaLi0uhg==" saltValue="OdmW9vGlXkMxTmg1hnGs3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B10" sqref="B10"/>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General Insurance Company</v>
      </c>
      <c r="H1" s="53"/>
      <c r="I1" s="194" t="s">
        <v>139</v>
      </c>
    </row>
    <row r="2" spans="1:9" x14ac:dyDescent="0.25">
      <c r="A2" s="171" t="s">
        <v>75</v>
      </c>
      <c r="F2" s="171" t="s">
        <v>78</v>
      </c>
      <c r="G2" s="37" t="str">
        <f>General_Line</f>
        <v>Homeowners</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v>44981</v>
      </c>
      <c r="G8" s="25"/>
      <c r="I8" s="205"/>
    </row>
    <row r="9" spans="1:9" x14ac:dyDescent="0.25">
      <c r="A9" s="104"/>
      <c r="B9" s="254"/>
      <c r="C9" s="25"/>
      <c r="D9" s="25"/>
      <c r="E9" s="25"/>
      <c r="F9" s="25"/>
      <c r="G9" s="173"/>
      <c r="H9" s="258"/>
      <c r="I9" s="203"/>
    </row>
    <row r="10" spans="1:9" x14ac:dyDescent="0.25">
      <c r="A10" s="104" t="s">
        <v>228</v>
      </c>
      <c r="B10" s="225">
        <v>45170</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Homeowners Multiple Peril</v>
      </c>
      <c r="B21" s="25"/>
      <c r="C21" s="193" t="s">
        <v>235</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Homeowners Multiple Peril</v>
      </c>
      <c r="B23" s="25"/>
      <c r="C23" s="193" t="s">
        <v>237</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3</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20222</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20222</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238</v>
      </c>
      <c r="I41" s="203"/>
    </row>
    <row r="42" spans="1:9" x14ac:dyDescent="0.25">
      <c r="I42" s="203"/>
    </row>
    <row r="43" spans="1:9" x14ac:dyDescent="0.25">
      <c r="A43" s="11" t="s">
        <v>61</v>
      </c>
      <c r="B43" s="11"/>
      <c r="C43" s="153" t="s">
        <v>239</v>
      </c>
      <c r="I43" s="203"/>
    </row>
    <row r="44" spans="1:9" x14ac:dyDescent="0.25">
      <c r="C44" s="158"/>
      <c r="I44" s="203"/>
    </row>
    <row r="45" spans="1:9" x14ac:dyDescent="0.25">
      <c r="A45" s="11" t="s">
        <v>62</v>
      </c>
      <c r="B45" s="11"/>
      <c r="C45" s="153" t="s">
        <v>239</v>
      </c>
      <c r="I45" s="203"/>
    </row>
    <row r="46" spans="1:9" x14ac:dyDescent="0.25">
      <c r="C46" s="158"/>
      <c r="I46" s="203"/>
    </row>
    <row r="47" spans="1:9" x14ac:dyDescent="0.25">
      <c r="A47" s="11" t="s">
        <v>188</v>
      </c>
      <c r="B47" s="11"/>
      <c r="C47" s="259" t="s">
        <v>240</v>
      </c>
      <c r="I47" s="205" t="str">
        <f>IF(C47="No","← ERROR! Exhibit 7 Reported Claim Counts need to include claims Closed Without Payment.","")</f>
        <v/>
      </c>
    </row>
    <row r="48" spans="1:9" x14ac:dyDescent="0.25">
      <c r="I48" s="203"/>
    </row>
    <row r="49" spans="1:9" x14ac:dyDescent="0.25">
      <c r="A49" s="11" t="s">
        <v>199</v>
      </c>
      <c r="B49" s="11"/>
      <c r="C49" s="259" t="s">
        <v>240</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241</v>
      </c>
      <c r="I51" s="284"/>
    </row>
    <row r="52" spans="1:9" x14ac:dyDescent="0.25">
      <c r="A52" s="11"/>
      <c r="B52" s="11"/>
      <c r="C52" s="260"/>
      <c r="I52" s="203"/>
    </row>
    <row r="53" spans="1:9" x14ac:dyDescent="0.25">
      <c r="A53" s="11" t="s">
        <v>210</v>
      </c>
      <c r="B53" s="11"/>
      <c r="C53" s="259" t="s">
        <v>241</v>
      </c>
      <c r="I53" s="203"/>
    </row>
    <row r="54" spans="1:9" x14ac:dyDescent="0.25">
      <c r="A54" s="11"/>
      <c r="B54" s="11"/>
      <c r="C54" s="260"/>
      <c r="I54" s="203"/>
    </row>
    <row r="55" spans="1:9" x14ac:dyDescent="0.25">
      <c r="A55" s="11" t="s">
        <v>187</v>
      </c>
      <c r="B55" s="11"/>
      <c r="C55" s="259" t="s">
        <v>240</v>
      </c>
      <c r="I55" s="205" t="str">
        <f>IF(C55="No","← ERROR! Exhibit 8 Reported Claim Counts need to include claims Closed Without Payment.","")</f>
        <v/>
      </c>
    </row>
    <row r="56" spans="1:9" x14ac:dyDescent="0.25">
      <c r="I56" s="203"/>
    </row>
    <row r="57" spans="1:9" x14ac:dyDescent="0.25">
      <c r="A57" s="11" t="s">
        <v>213</v>
      </c>
      <c r="B57" s="11"/>
      <c r="C57" s="159" t="s">
        <v>241</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240</v>
      </c>
      <c r="I59" s="203"/>
    </row>
    <row r="60" spans="1:9" s="313" customFormat="1" ht="20.100000000000001" customHeight="1" x14ac:dyDescent="0.25">
      <c r="A60" s="312" t="s">
        <v>229</v>
      </c>
      <c r="B60" s="312"/>
      <c r="I60" s="314"/>
    </row>
    <row r="61" spans="1:9" x14ac:dyDescent="0.25">
      <c r="A61" s="311" t="s">
        <v>230</v>
      </c>
      <c r="B61" s="154"/>
      <c r="C61" s="155">
        <v>12</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SIBf7ilvtBMUP9vf908RRkUh8SqeaWP/xltCIRA6vOgj/wXtgoqoEbqoRYHUbvSZyRGIjuqvG3yZ9vDJW1HZBQ==" saltValue="F85E01kl1ZS7z1/P2boWEw=="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&amp;L1/3/2023 Edition
&amp;CStandard Exhibits Template
Portions of the material contained in this document are protected by copyright owned by the State Farm Mutual Automobile Insurance Company, 2023&amp;RPage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B10" sqref="B10"/>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0" customFormat="1" ht="21" x14ac:dyDescent="0.35">
      <c r="B2" s="231" t="str">
        <f>Detailed_LineDesc01</f>
        <v>Homeowners Multiple Peril</v>
      </c>
      <c r="C2" s="232"/>
      <c r="D2" s="232"/>
      <c r="E2" s="232"/>
      <c r="F2" s="232"/>
      <c r="G2" s="232"/>
      <c r="H2" s="232"/>
      <c r="I2" s="232"/>
      <c r="J2" s="232"/>
      <c r="K2" s="232"/>
      <c r="L2" s="232"/>
      <c r="M2" s="231" t="str">
        <f>Detailed_LineDesc02</f>
        <v>Homeowners Multiple Peril</v>
      </c>
      <c r="N2" s="232"/>
      <c r="O2" s="232"/>
      <c r="P2" s="232"/>
      <c r="Q2" s="232"/>
      <c r="R2" s="232"/>
      <c r="S2" s="232"/>
      <c r="T2" s="232"/>
      <c r="U2" s="232"/>
      <c r="V2" s="232"/>
      <c r="W2" s="232"/>
      <c r="X2" s="231" t="str">
        <f>Detailed_LineDesc03</f>
        <v>Homeowners Multiple Peril</v>
      </c>
      <c r="Y2" s="232"/>
      <c r="Z2" s="232"/>
      <c r="AA2" s="232"/>
      <c r="AB2" s="232"/>
      <c r="AC2" s="232"/>
      <c r="AD2" s="232"/>
      <c r="AE2" s="232"/>
      <c r="AF2" s="232"/>
      <c r="AG2" s="232"/>
      <c r="AH2" s="232"/>
      <c r="AI2" s="231" t="str">
        <f>Detailed_LineDesc04</f>
        <v/>
      </c>
      <c r="AJ2" s="232"/>
      <c r="AK2" s="232"/>
      <c r="AL2" s="232"/>
      <c r="AM2" s="232"/>
      <c r="AN2" s="232"/>
      <c r="AO2" s="232"/>
      <c r="AP2" s="232"/>
      <c r="AQ2" s="232"/>
      <c r="AR2" s="232"/>
      <c r="AS2" s="232"/>
      <c r="AT2" s="231" t="str">
        <f>Detailed_LineDesc05</f>
        <v/>
      </c>
      <c r="AU2" s="232"/>
      <c r="AV2" s="232"/>
      <c r="AW2" s="232"/>
      <c r="AX2" s="232"/>
      <c r="AY2" s="232"/>
      <c r="AZ2" s="232"/>
      <c r="BA2" s="232"/>
      <c r="BB2" s="232"/>
      <c r="BC2" s="232"/>
      <c r="BD2" s="232"/>
      <c r="BE2" s="231" t="str">
        <f>Detailed_LineDesc06</f>
        <v/>
      </c>
      <c r="BF2" s="232"/>
      <c r="BG2" s="232"/>
      <c r="BH2" s="232"/>
      <c r="BI2" s="232"/>
      <c r="BJ2" s="232"/>
      <c r="BK2" s="232"/>
      <c r="BL2" s="232"/>
      <c r="BM2" s="232"/>
      <c r="BN2" s="232"/>
      <c r="BO2" s="232"/>
      <c r="BP2" s="231" t="str">
        <f>Detailed_LineDesc07</f>
        <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Renters</v>
      </c>
      <c r="N6" s="40"/>
      <c r="O6" s="41"/>
      <c r="P6" s="41"/>
      <c r="Q6" s="41"/>
      <c r="R6" s="41"/>
      <c r="S6" s="41"/>
      <c r="T6" s="41"/>
      <c r="U6" s="41"/>
      <c r="V6" s="41"/>
      <c r="W6" s="41"/>
      <c r="X6" s="138" t="str">
        <f>Covg03</f>
        <v>Condominium Unitowners</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279481.25</v>
      </c>
      <c r="E11" s="14">
        <v>253643621.15000001</v>
      </c>
      <c r="F11" s="14">
        <v>334911037.19</v>
      </c>
      <c r="G11" s="33">
        <f>F11/D11</f>
        <v>1198.3309692152873</v>
      </c>
      <c r="H11" s="32"/>
      <c r="I11" s="34"/>
      <c r="J11" s="34"/>
      <c r="K11" s="34"/>
      <c r="L11" s="34"/>
      <c r="M11" s="31">
        <f t="shared" ref="M11:M35" si="1">IF(RIGHT(M12,1)="1",M12-7,M12-1)</f>
        <v>20154</v>
      </c>
      <c r="N11" s="32"/>
      <c r="O11" s="14">
        <v>119095.79</v>
      </c>
      <c r="P11" s="14">
        <v>21326109</v>
      </c>
      <c r="Q11" s="14">
        <v>18890667.359999999</v>
      </c>
      <c r="R11" s="33">
        <f>Q11/O11</f>
        <v>158.61742350422296</v>
      </c>
      <c r="S11" s="32"/>
      <c r="T11" s="34"/>
      <c r="U11" s="34"/>
      <c r="V11" s="34"/>
      <c r="W11" s="34"/>
      <c r="X11" s="31">
        <f t="shared" ref="X11:X35" si="2">IF(RIGHT(X12,1)="1",X12-7,X12-1)</f>
        <v>20154</v>
      </c>
      <c r="Y11" s="32"/>
      <c r="Z11" s="14">
        <v>35347.81</v>
      </c>
      <c r="AA11" s="14">
        <v>19285003.289999999</v>
      </c>
      <c r="AB11" s="14">
        <v>19585749.760000002</v>
      </c>
      <c r="AC11" s="33">
        <f>AB11/Z11</f>
        <v>554.0866537417736</v>
      </c>
      <c r="AD11" s="32"/>
      <c r="AE11" s="34"/>
      <c r="AF11" s="34"/>
      <c r="AG11" s="34"/>
      <c r="AH11" s="34"/>
      <c r="AI11" s="31">
        <f t="shared" ref="AI11:AI35" si="3">IF(RIGHT(AI12,1)="1",AI12-7,AI12-1)</f>
        <v>20154</v>
      </c>
      <c r="AJ11" s="32"/>
      <c r="AK11" s="14"/>
      <c r="AL11" s="14"/>
      <c r="AM11" s="14"/>
      <c r="AN11" s="33" t="e">
        <f>AM11/AK11</f>
        <v>#DIV/0!</v>
      </c>
      <c r="AO11" s="32"/>
      <c r="AP11" s="34"/>
      <c r="AQ11" s="34"/>
      <c r="AR11" s="34"/>
      <c r="AS11" s="34"/>
      <c r="AT11" s="31">
        <f t="shared" ref="AT11:AT35" si="4">IF(RIGHT(AT12,1)="1",AT12-7,AT12-1)</f>
        <v>20154</v>
      </c>
      <c r="AU11" s="32"/>
      <c r="AV11" s="14"/>
      <c r="AW11" s="14"/>
      <c r="AX11" s="14"/>
      <c r="AY11" s="33" t="e">
        <f>AX11/AV11</f>
        <v>#DIV/0!</v>
      </c>
      <c r="AZ11" s="32"/>
      <c r="BA11" s="34"/>
      <c r="BB11" s="34"/>
      <c r="BC11" s="34"/>
      <c r="BD11" s="34"/>
      <c r="BE11" s="31">
        <f t="shared" ref="BE11:BE35" si="5">IF(RIGHT(BE12,1)="1",BE12-7,BE12-1)</f>
        <v>20154</v>
      </c>
      <c r="BF11" s="32"/>
      <c r="BG11" s="14"/>
      <c r="BH11" s="14"/>
      <c r="BI11" s="14"/>
      <c r="BJ11" s="33" t="e">
        <f>BI11/BG11</f>
        <v>#DIV/0!</v>
      </c>
      <c r="BK11" s="32"/>
      <c r="BL11" s="34"/>
      <c r="BM11" s="34"/>
      <c r="BN11" s="34"/>
      <c r="BO11" s="34"/>
      <c r="BP11" s="31">
        <f t="shared" ref="BP11:BP35" si="6">IF(RIGHT(BP12,1)="1",BP12-7,BP12-1)</f>
        <v>20154</v>
      </c>
      <c r="BQ11" s="32"/>
      <c r="BR11" s="14"/>
      <c r="BS11" s="14"/>
      <c r="BT11" s="14"/>
      <c r="BU11" s="33" t="e">
        <f>BT11/BR11</f>
        <v>#DIV/0!</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279969.34999999998</v>
      </c>
      <c r="E12" s="14">
        <v>254400517.5</v>
      </c>
      <c r="F12" s="14">
        <v>335910443.08999997</v>
      </c>
      <c r="G12" s="33">
        <f t="shared" ref="G12:G36" si="10">F12/D12</f>
        <v>1199.8114904006457</v>
      </c>
      <c r="H12" s="32"/>
      <c r="I12" s="35"/>
      <c r="J12" s="35"/>
      <c r="K12" s="35"/>
      <c r="L12" s="35"/>
      <c r="M12" s="31">
        <f t="shared" si="1"/>
        <v>20161</v>
      </c>
      <c r="N12" s="31"/>
      <c r="O12" s="16">
        <v>121085.57</v>
      </c>
      <c r="P12" s="16">
        <v>21533795.649999999</v>
      </c>
      <c r="Q12" s="16">
        <v>19074636.239999998</v>
      </c>
      <c r="R12" s="33">
        <f t="shared" ref="R12:R36" si="11">Q12/O12</f>
        <v>157.53021801028808</v>
      </c>
      <c r="S12" s="32"/>
      <c r="T12" s="35"/>
      <c r="U12" s="35"/>
      <c r="V12" s="35"/>
      <c r="W12" s="35"/>
      <c r="X12" s="31">
        <f t="shared" si="2"/>
        <v>20161</v>
      </c>
      <c r="Y12" s="31"/>
      <c r="Z12" s="16">
        <v>35421.440000000002</v>
      </c>
      <c r="AA12" s="16">
        <v>19367814.989999998</v>
      </c>
      <c r="AB12" s="16">
        <v>19669952.870000001</v>
      </c>
      <c r="AC12" s="33">
        <f t="shared" ref="AC12:AC36" si="12">AB12/Z12</f>
        <v>555.31206156497308</v>
      </c>
      <c r="AD12" s="32"/>
      <c r="AE12" s="35"/>
      <c r="AF12" s="35"/>
      <c r="AG12" s="35"/>
      <c r="AH12" s="35"/>
      <c r="AI12" s="31">
        <f t="shared" si="3"/>
        <v>20161</v>
      </c>
      <c r="AJ12" s="31"/>
      <c r="AK12" s="16"/>
      <c r="AL12" s="16"/>
      <c r="AM12" s="16"/>
      <c r="AN12" s="33" t="e">
        <f t="shared" ref="AN12:AN36" si="13">AM12/AK12</f>
        <v>#DIV/0!</v>
      </c>
      <c r="AO12" s="32"/>
      <c r="AP12" s="35"/>
      <c r="AQ12" s="35"/>
      <c r="AR12" s="35"/>
      <c r="AS12" s="35"/>
      <c r="AT12" s="31">
        <f t="shared" si="4"/>
        <v>20161</v>
      </c>
      <c r="AU12" s="31"/>
      <c r="AV12" s="16"/>
      <c r="AW12" s="16"/>
      <c r="AX12" s="16"/>
      <c r="AY12" s="33" t="e">
        <f t="shared" ref="AY12:AY36" si="14">AX12/AV12</f>
        <v>#DIV/0!</v>
      </c>
      <c r="AZ12" s="32"/>
      <c r="BA12" s="35"/>
      <c r="BB12" s="35"/>
      <c r="BC12" s="35"/>
      <c r="BD12" s="35"/>
      <c r="BE12" s="31">
        <f t="shared" si="5"/>
        <v>20161</v>
      </c>
      <c r="BF12" s="31"/>
      <c r="BG12" s="16"/>
      <c r="BH12" s="16"/>
      <c r="BI12" s="16"/>
      <c r="BJ12" s="33" t="e">
        <f t="shared" ref="BJ12:BJ36" si="15">BI12/BG12</f>
        <v>#DIV/0!</v>
      </c>
      <c r="BK12" s="32"/>
      <c r="BL12" s="35"/>
      <c r="BM12" s="35"/>
      <c r="BN12" s="35"/>
      <c r="BO12" s="35"/>
      <c r="BP12" s="31">
        <f t="shared" si="6"/>
        <v>20161</v>
      </c>
      <c r="BQ12" s="31"/>
      <c r="BR12" s="16"/>
      <c r="BS12" s="16"/>
      <c r="BT12" s="16"/>
      <c r="BU12" s="33" t="e">
        <f t="shared" ref="BU12:BU36" si="16">BT12/BR12</f>
        <v>#DIV/0!</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280619.82</v>
      </c>
      <c r="E13" s="14">
        <v>256189168.47999999</v>
      </c>
      <c r="F13" s="14">
        <v>338272177.92999995</v>
      </c>
      <c r="G13" s="33">
        <f t="shared" si="10"/>
        <v>1205.4464931593211</v>
      </c>
      <c r="H13" s="32"/>
      <c r="I13" s="35"/>
      <c r="J13" s="35"/>
      <c r="K13" s="35"/>
      <c r="L13" s="35"/>
      <c r="M13" s="31">
        <f t="shared" si="1"/>
        <v>20162</v>
      </c>
      <c r="N13" s="31"/>
      <c r="O13" s="16">
        <v>123555.12</v>
      </c>
      <c r="P13" s="16">
        <v>21859672.899999999</v>
      </c>
      <c r="Q13" s="16">
        <v>19363298.359999999</v>
      </c>
      <c r="R13" s="33">
        <f t="shared" si="11"/>
        <v>156.71789530049423</v>
      </c>
      <c r="S13" s="32"/>
      <c r="T13" s="35"/>
      <c r="U13" s="35"/>
      <c r="V13" s="35"/>
      <c r="W13" s="35"/>
      <c r="X13" s="31">
        <f t="shared" si="2"/>
        <v>20162</v>
      </c>
      <c r="Y13" s="31"/>
      <c r="Z13" s="16">
        <v>35566.07</v>
      </c>
      <c r="AA13" s="16">
        <v>19477269.850000001</v>
      </c>
      <c r="AB13" s="16">
        <v>19781115.199999999</v>
      </c>
      <c r="AC13" s="33">
        <f t="shared" si="12"/>
        <v>556.17939232532581</v>
      </c>
      <c r="AD13" s="32"/>
      <c r="AE13" s="35"/>
      <c r="AF13" s="35"/>
      <c r="AG13" s="35"/>
      <c r="AH13" s="35"/>
      <c r="AI13" s="31">
        <f t="shared" si="3"/>
        <v>20162</v>
      </c>
      <c r="AJ13" s="31"/>
      <c r="AK13" s="16"/>
      <c r="AL13" s="16"/>
      <c r="AM13" s="16"/>
      <c r="AN13" s="33" t="e">
        <f t="shared" si="13"/>
        <v>#DIV/0!</v>
      </c>
      <c r="AO13" s="32"/>
      <c r="AP13" s="35"/>
      <c r="AQ13" s="35"/>
      <c r="AR13" s="35"/>
      <c r="AS13" s="35"/>
      <c r="AT13" s="31">
        <f t="shared" si="4"/>
        <v>20162</v>
      </c>
      <c r="AU13" s="31"/>
      <c r="AV13" s="16"/>
      <c r="AW13" s="16"/>
      <c r="AX13" s="16"/>
      <c r="AY13" s="33" t="e">
        <f t="shared" si="14"/>
        <v>#DIV/0!</v>
      </c>
      <c r="AZ13" s="32"/>
      <c r="BA13" s="35"/>
      <c r="BB13" s="35"/>
      <c r="BC13" s="35"/>
      <c r="BD13" s="35"/>
      <c r="BE13" s="31">
        <f t="shared" si="5"/>
        <v>20162</v>
      </c>
      <c r="BF13" s="31"/>
      <c r="BG13" s="16"/>
      <c r="BH13" s="16"/>
      <c r="BI13" s="16"/>
      <c r="BJ13" s="33" t="e">
        <f t="shared" si="15"/>
        <v>#DIV/0!</v>
      </c>
      <c r="BK13" s="32"/>
      <c r="BL13" s="35"/>
      <c r="BM13" s="35"/>
      <c r="BN13" s="35"/>
      <c r="BO13" s="35"/>
      <c r="BP13" s="31">
        <f t="shared" si="6"/>
        <v>20162</v>
      </c>
      <c r="BQ13" s="31"/>
      <c r="BR13" s="16"/>
      <c r="BS13" s="16"/>
      <c r="BT13" s="16"/>
      <c r="BU13" s="33" t="e">
        <f t="shared" si="16"/>
        <v>#DIV/0!</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281161.95</v>
      </c>
      <c r="E14" s="14">
        <v>257730711.80000001</v>
      </c>
      <c r="F14" s="14">
        <v>340307631.73999995</v>
      </c>
      <c r="G14" s="33">
        <f t="shared" si="10"/>
        <v>1210.361614507226</v>
      </c>
      <c r="H14" s="32"/>
      <c r="I14" s="33">
        <f>IF(COUNT(D11:D14)&lt;4,"",SUM(D11:D14))</f>
        <v>1121232.3699999999</v>
      </c>
      <c r="J14" s="33">
        <f>IF(COUNT(D11:D14)&lt;4,"",SUM(E11:E14))</f>
        <v>1021964018.9300001</v>
      </c>
      <c r="K14" s="33">
        <f>IF(COUNT(D11:D14)&lt;4,"",SUM(F11:F14))</f>
        <v>1349401289.9499998</v>
      </c>
      <c r="L14" s="33">
        <f>IFERROR(K14/I14,0)</f>
        <v>1203.4983345602125</v>
      </c>
      <c r="M14" s="31">
        <f t="shared" si="1"/>
        <v>20163</v>
      </c>
      <c r="N14" s="31"/>
      <c r="O14" s="16">
        <v>125243.27</v>
      </c>
      <c r="P14" s="16">
        <v>22065655.539999999</v>
      </c>
      <c r="Q14" s="16">
        <v>19545757.760000002</v>
      </c>
      <c r="R14" s="33">
        <f t="shared" si="11"/>
        <v>156.06233979678112</v>
      </c>
      <c r="S14" s="32"/>
      <c r="T14" s="33">
        <f>IF(COUNT(O11:O14)&lt;4,"",SUM(O11:O14))</f>
        <v>488979.75</v>
      </c>
      <c r="U14" s="33">
        <f>IF(COUNT(O11:O14)&lt;4,"",SUM(P11:P14))</f>
        <v>86785233.090000004</v>
      </c>
      <c r="V14" s="33">
        <f>IF(COUNT(O11:O14)&lt;4,"",SUM(Q11:Q14))</f>
        <v>76874359.719999999</v>
      </c>
      <c r="W14" s="33">
        <f>IFERROR(V14/T14,0)</f>
        <v>157.21378997801034</v>
      </c>
      <c r="X14" s="31">
        <f t="shared" si="2"/>
        <v>20163</v>
      </c>
      <c r="Y14" s="31"/>
      <c r="Z14" s="16">
        <v>35678.699999999997</v>
      </c>
      <c r="AA14" s="16">
        <v>19575544.82</v>
      </c>
      <c r="AB14" s="16">
        <v>19880923.210000001</v>
      </c>
      <c r="AC14" s="33">
        <f t="shared" si="12"/>
        <v>557.22106494911532</v>
      </c>
      <c r="AD14" s="32"/>
      <c r="AE14" s="33">
        <f>IF(COUNT(Z11:Z14)&lt;4,"",SUM(Z11:Z14))</f>
        <v>142014.02000000002</v>
      </c>
      <c r="AF14" s="33">
        <f>IF(COUNT(Z11:Z14)&lt;4,"",SUM(AA11:AA14))</f>
        <v>77705632.950000003</v>
      </c>
      <c r="AG14" s="33">
        <f>IF(COUNT(Z11:Z14)&lt;4,"",SUM(AB11:AB14))</f>
        <v>78917741.039999992</v>
      </c>
      <c r="AH14" s="33">
        <f>IFERROR(AG14/AE14,0)</f>
        <v>555.7038737442964</v>
      </c>
      <c r="AI14" s="31">
        <f t="shared" si="3"/>
        <v>20163</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20163</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20163</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20163</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281534.67</v>
      </c>
      <c r="E15" s="14">
        <v>259216985.94999999</v>
      </c>
      <c r="F15" s="14">
        <v>342461171.43000001</v>
      </c>
      <c r="G15" s="33">
        <f t="shared" si="10"/>
        <v>1216.4085205917979</v>
      </c>
      <c r="H15" s="32"/>
      <c r="I15" s="33">
        <f t="shared" ref="I15:I37" si="20">IF(COUNT(D12:D15)&lt;4,"",SUM(D12:D15))</f>
        <v>1123285.7899999998</v>
      </c>
      <c r="J15" s="33">
        <f t="shared" ref="J15:J37" si="21">IF(COUNT(D12:D15)&lt;4,"",SUM(E12:E15))</f>
        <v>1027537383.73</v>
      </c>
      <c r="K15" s="33">
        <f t="shared" ref="K15:K37" si="22">IF(COUNT(D12:D15)&lt;4,"",SUM(F12:F15))</f>
        <v>1356951424.1900001</v>
      </c>
      <c r="L15" s="33">
        <f t="shared" ref="L15:L37" si="23">IFERROR(K15/I15,0)</f>
        <v>1208.0197544295474</v>
      </c>
      <c r="M15" s="31">
        <f t="shared" si="1"/>
        <v>20164</v>
      </c>
      <c r="N15" s="31"/>
      <c r="O15" s="16">
        <v>127202.89</v>
      </c>
      <c r="P15" s="16">
        <v>22292075.899999999</v>
      </c>
      <c r="Q15" s="16">
        <v>19793568.329999998</v>
      </c>
      <c r="R15" s="33">
        <f t="shared" si="11"/>
        <v>155.60627852087322</v>
      </c>
      <c r="S15" s="32"/>
      <c r="T15" s="33">
        <f t="shared" ref="T15:T37" si="24">IF(COUNT(O12:O15)&lt;4,"",SUM(O12:O15))</f>
        <v>497086.85000000003</v>
      </c>
      <c r="U15" s="33">
        <f t="shared" ref="U15:U37" si="25">IF(COUNT(O12:O15)&lt;4,"",SUM(P12:P15))</f>
        <v>87751199.989999995</v>
      </c>
      <c r="V15" s="33">
        <f t="shared" ref="V15:V37" si="26">IF(COUNT(O12:O15)&lt;4,"",SUM(Q12:Q15))</f>
        <v>77777260.689999998</v>
      </c>
      <c r="W15" s="33">
        <f t="shared" ref="W15:W37" si="27">IFERROR(V15/T15,0)</f>
        <v>156.4661400517837</v>
      </c>
      <c r="X15" s="31">
        <f t="shared" si="2"/>
        <v>20164</v>
      </c>
      <c r="Y15" s="31"/>
      <c r="Z15" s="16">
        <v>35707.839999999997</v>
      </c>
      <c r="AA15" s="16">
        <v>19661084.07</v>
      </c>
      <c r="AB15" s="16">
        <v>19999351.289999999</v>
      </c>
      <c r="AC15" s="33">
        <f t="shared" si="12"/>
        <v>560.08291988538099</v>
      </c>
      <c r="AD15" s="32"/>
      <c r="AE15" s="33">
        <f t="shared" ref="AE15:AE37" si="28">IF(COUNT(Z12:Z15)&lt;4,"",SUM(Z12:Z15))</f>
        <v>142374.04999999999</v>
      </c>
      <c r="AF15" s="33">
        <f t="shared" ref="AF15:AF37" si="29">IF(COUNT(Z12:Z15)&lt;4,"",SUM(AA12:AA15))</f>
        <v>78081713.730000004</v>
      </c>
      <c r="AG15" s="33">
        <f t="shared" ref="AG15:AG37" si="30">IF(COUNT(Z12:Z15)&lt;4,"",SUM(AB12:AB15))</f>
        <v>79331342.569999993</v>
      </c>
      <c r="AH15" s="33">
        <f t="shared" ref="AH15:AH37" si="31">IFERROR(AG15/AE15,0)</f>
        <v>557.20366576633876</v>
      </c>
      <c r="AI15" s="31">
        <f t="shared" si="3"/>
        <v>20164</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20164</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20164</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20164</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281689.78999999998</v>
      </c>
      <c r="E16" s="14">
        <v>259926127.44</v>
      </c>
      <c r="F16" s="14">
        <v>346368655.11000001</v>
      </c>
      <c r="G16" s="33">
        <f t="shared" si="10"/>
        <v>1229.6102571200754</v>
      </c>
      <c r="H16" s="32"/>
      <c r="I16" s="33">
        <f t="shared" si="20"/>
        <v>1125006.23</v>
      </c>
      <c r="J16" s="33">
        <f t="shared" si="21"/>
        <v>1033062993.6700001</v>
      </c>
      <c r="K16" s="33">
        <f t="shared" si="22"/>
        <v>1367409636.21</v>
      </c>
      <c r="L16" s="33">
        <f t="shared" si="23"/>
        <v>1215.4685011922113</v>
      </c>
      <c r="M16" s="31">
        <f t="shared" si="1"/>
        <v>20171</v>
      </c>
      <c r="N16" s="31"/>
      <c r="O16" s="16">
        <v>129547.07</v>
      </c>
      <c r="P16" s="16">
        <v>22375539.370000001</v>
      </c>
      <c r="Q16" s="16">
        <v>20704048.460000001</v>
      </c>
      <c r="R16" s="33">
        <f t="shared" si="11"/>
        <v>159.8187319867597</v>
      </c>
      <c r="S16" s="32"/>
      <c r="T16" s="33">
        <f t="shared" si="24"/>
        <v>505548.35000000003</v>
      </c>
      <c r="U16" s="33">
        <f t="shared" si="25"/>
        <v>88592943.709999993</v>
      </c>
      <c r="V16" s="33">
        <f t="shared" si="26"/>
        <v>79406672.909999996</v>
      </c>
      <c r="W16" s="33">
        <f t="shared" si="27"/>
        <v>157.0703829020508</v>
      </c>
      <c r="X16" s="31">
        <f t="shared" si="2"/>
        <v>20171</v>
      </c>
      <c r="Y16" s="31"/>
      <c r="Z16" s="16">
        <v>35757.589999999997</v>
      </c>
      <c r="AA16" s="16">
        <v>19667736.539999999</v>
      </c>
      <c r="AB16" s="16">
        <v>20504092.059999999</v>
      </c>
      <c r="AC16" s="33">
        <f t="shared" si="12"/>
        <v>573.41929531604342</v>
      </c>
      <c r="AD16" s="32"/>
      <c r="AE16" s="33">
        <f t="shared" si="28"/>
        <v>142710.19999999998</v>
      </c>
      <c r="AF16" s="33">
        <f t="shared" si="29"/>
        <v>78381635.280000001</v>
      </c>
      <c r="AG16" s="33">
        <f t="shared" si="30"/>
        <v>80165481.75999999</v>
      </c>
      <c r="AH16" s="33">
        <f t="shared" si="31"/>
        <v>561.73617414872933</v>
      </c>
      <c r="AI16" s="31">
        <f t="shared" si="3"/>
        <v>20171</v>
      </c>
      <c r="AJ16" s="31"/>
      <c r="AK16" s="16"/>
      <c r="AL16" s="16"/>
      <c r="AM16" s="16"/>
      <c r="AN16" s="33" t="e">
        <f t="shared" si="13"/>
        <v>#DIV/0!</v>
      </c>
      <c r="AO16" s="32"/>
      <c r="AP16" s="33" t="str">
        <f t="shared" si="32"/>
        <v/>
      </c>
      <c r="AQ16" s="33" t="str">
        <f t="shared" si="33"/>
        <v/>
      </c>
      <c r="AR16" s="33" t="str">
        <f t="shared" si="34"/>
        <v/>
      </c>
      <c r="AS16" s="33">
        <f t="shared" si="35"/>
        <v>0</v>
      </c>
      <c r="AT16" s="31">
        <f t="shared" si="4"/>
        <v>20171</v>
      </c>
      <c r="AU16" s="31"/>
      <c r="AV16" s="16"/>
      <c r="AW16" s="16"/>
      <c r="AX16" s="16"/>
      <c r="AY16" s="33" t="e">
        <f t="shared" si="14"/>
        <v>#DIV/0!</v>
      </c>
      <c r="AZ16" s="32"/>
      <c r="BA16" s="33" t="str">
        <f t="shared" si="36"/>
        <v/>
      </c>
      <c r="BB16" s="33" t="str">
        <f t="shared" si="37"/>
        <v/>
      </c>
      <c r="BC16" s="33" t="str">
        <f t="shared" si="38"/>
        <v/>
      </c>
      <c r="BD16" s="33">
        <f t="shared" si="39"/>
        <v>0</v>
      </c>
      <c r="BE16" s="31">
        <f t="shared" si="5"/>
        <v>20171</v>
      </c>
      <c r="BF16" s="31"/>
      <c r="BG16" s="16"/>
      <c r="BH16" s="16"/>
      <c r="BI16" s="16"/>
      <c r="BJ16" s="33" t="e">
        <f t="shared" si="15"/>
        <v>#DIV/0!</v>
      </c>
      <c r="BK16" s="32"/>
      <c r="BL16" s="33" t="str">
        <f t="shared" si="40"/>
        <v/>
      </c>
      <c r="BM16" s="33" t="str">
        <f t="shared" si="41"/>
        <v/>
      </c>
      <c r="BN16" s="33" t="str">
        <f t="shared" si="42"/>
        <v/>
      </c>
      <c r="BO16" s="33">
        <f t="shared" si="43"/>
        <v>0</v>
      </c>
      <c r="BP16" s="31">
        <f t="shared" si="6"/>
        <v>20171</v>
      </c>
      <c r="BQ16" s="31"/>
      <c r="BR16" s="16"/>
      <c r="BS16" s="16"/>
      <c r="BT16" s="16"/>
      <c r="BU16" s="33" t="e">
        <f t="shared" si="16"/>
        <v>#DIV/0!</v>
      </c>
      <c r="BV16" s="32"/>
      <c r="BW16" s="33" t="str">
        <f t="shared" si="44"/>
        <v/>
      </c>
      <c r="BX16" s="33" t="str">
        <f t="shared" si="45"/>
        <v/>
      </c>
      <c r="BY16" s="33" t="str">
        <f t="shared" si="46"/>
        <v/>
      </c>
      <c r="BZ16" s="33">
        <f t="shared" si="47"/>
        <v>0</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282290.39</v>
      </c>
      <c r="E17" s="14">
        <v>258564990.97999999</v>
      </c>
      <c r="F17" s="14">
        <v>349342301.87</v>
      </c>
      <c r="G17" s="33">
        <f t="shared" si="10"/>
        <v>1237.5281421021807</v>
      </c>
      <c r="H17" s="32"/>
      <c r="I17" s="33">
        <f t="shared" si="20"/>
        <v>1126676.7999999998</v>
      </c>
      <c r="J17" s="33">
        <f t="shared" si="21"/>
        <v>1035438816.1700001</v>
      </c>
      <c r="K17" s="33">
        <f t="shared" si="22"/>
        <v>1378479760.1500001</v>
      </c>
      <c r="L17" s="33">
        <f t="shared" si="23"/>
        <v>1223.4917415091891</v>
      </c>
      <c r="M17" s="31">
        <f t="shared" si="1"/>
        <v>20172</v>
      </c>
      <c r="N17" s="31"/>
      <c r="O17" s="16">
        <v>132650.89000000001</v>
      </c>
      <c r="P17" s="16">
        <v>21870452.510000002</v>
      </c>
      <c r="Q17" s="16">
        <v>21404152.91</v>
      </c>
      <c r="R17" s="33">
        <f t="shared" si="11"/>
        <v>161.35702451751359</v>
      </c>
      <c r="S17" s="32"/>
      <c r="T17" s="33">
        <f t="shared" si="24"/>
        <v>514644.12</v>
      </c>
      <c r="U17" s="33">
        <f t="shared" si="25"/>
        <v>88603723.320000008</v>
      </c>
      <c r="V17" s="33">
        <f t="shared" si="26"/>
        <v>81447527.460000008</v>
      </c>
      <c r="W17" s="33">
        <f t="shared" si="27"/>
        <v>158.25990095835547</v>
      </c>
      <c r="X17" s="31">
        <f t="shared" si="2"/>
        <v>20172</v>
      </c>
      <c r="Y17" s="31"/>
      <c r="Z17" s="16">
        <v>35920.18</v>
      </c>
      <c r="AA17" s="16">
        <v>19249970.57</v>
      </c>
      <c r="AB17" s="16">
        <v>20817656.850000001</v>
      </c>
      <c r="AC17" s="33">
        <f t="shared" si="12"/>
        <v>579.55324416525752</v>
      </c>
      <c r="AD17" s="32"/>
      <c r="AE17" s="33">
        <f t="shared" si="28"/>
        <v>143064.31</v>
      </c>
      <c r="AF17" s="33">
        <f t="shared" si="29"/>
        <v>78154336</v>
      </c>
      <c r="AG17" s="33">
        <f t="shared" si="30"/>
        <v>81202023.409999996</v>
      </c>
      <c r="AH17" s="33">
        <f t="shared" si="31"/>
        <v>567.59106034202375</v>
      </c>
      <c r="AI17" s="31">
        <f t="shared" si="3"/>
        <v>20172</v>
      </c>
      <c r="AJ17" s="31"/>
      <c r="AK17" s="16"/>
      <c r="AL17" s="16"/>
      <c r="AM17" s="16"/>
      <c r="AN17" s="33" t="e">
        <f t="shared" si="13"/>
        <v>#DIV/0!</v>
      </c>
      <c r="AO17" s="32"/>
      <c r="AP17" s="33" t="str">
        <f t="shared" si="32"/>
        <v/>
      </c>
      <c r="AQ17" s="33" t="str">
        <f t="shared" si="33"/>
        <v/>
      </c>
      <c r="AR17" s="33" t="str">
        <f t="shared" si="34"/>
        <v/>
      </c>
      <c r="AS17" s="33">
        <f t="shared" si="35"/>
        <v>0</v>
      </c>
      <c r="AT17" s="31">
        <f t="shared" si="4"/>
        <v>20172</v>
      </c>
      <c r="AU17" s="31"/>
      <c r="AV17" s="16"/>
      <c r="AW17" s="16"/>
      <c r="AX17" s="16"/>
      <c r="AY17" s="33" t="e">
        <f t="shared" si="14"/>
        <v>#DIV/0!</v>
      </c>
      <c r="AZ17" s="32"/>
      <c r="BA17" s="33" t="str">
        <f t="shared" si="36"/>
        <v/>
      </c>
      <c r="BB17" s="33" t="str">
        <f t="shared" si="37"/>
        <v/>
      </c>
      <c r="BC17" s="33" t="str">
        <f t="shared" si="38"/>
        <v/>
      </c>
      <c r="BD17" s="33">
        <f t="shared" si="39"/>
        <v>0</v>
      </c>
      <c r="BE17" s="31">
        <f t="shared" si="5"/>
        <v>20172</v>
      </c>
      <c r="BF17" s="31"/>
      <c r="BG17" s="16"/>
      <c r="BH17" s="16"/>
      <c r="BI17" s="16"/>
      <c r="BJ17" s="33" t="e">
        <f t="shared" si="15"/>
        <v>#DIV/0!</v>
      </c>
      <c r="BK17" s="32"/>
      <c r="BL17" s="33" t="str">
        <f t="shared" si="40"/>
        <v/>
      </c>
      <c r="BM17" s="33" t="str">
        <f t="shared" si="41"/>
        <v/>
      </c>
      <c r="BN17" s="33" t="str">
        <f t="shared" si="42"/>
        <v/>
      </c>
      <c r="BO17" s="33">
        <f t="shared" si="43"/>
        <v>0</v>
      </c>
      <c r="BP17" s="31">
        <f t="shared" si="6"/>
        <v>20172</v>
      </c>
      <c r="BQ17" s="31"/>
      <c r="BR17" s="16"/>
      <c r="BS17" s="16"/>
      <c r="BT17" s="16"/>
      <c r="BU17" s="33" t="e">
        <f t="shared" si="16"/>
        <v>#DIV/0!</v>
      </c>
      <c r="BV17" s="32"/>
      <c r="BW17" s="33" t="str">
        <f t="shared" si="44"/>
        <v/>
      </c>
      <c r="BX17" s="33" t="str">
        <f t="shared" si="45"/>
        <v/>
      </c>
      <c r="BY17" s="33" t="str">
        <f t="shared" si="46"/>
        <v/>
      </c>
      <c r="BZ17" s="33">
        <f t="shared" si="47"/>
        <v>0</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282815.88</v>
      </c>
      <c r="E18" s="14">
        <v>256999357.06</v>
      </c>
      <c r="F18" s="14">
        <v>352585472.06</v>
      </c>
      <c r="G18" s="33">
        <f t="shared" si="10"/>
        <v>1246.696161686536</v>
      </c>
      <c r="H18" s="32"/>
      <c r="I18" s="33">
        <f t="shared" si="20"/>
        <v>1128330.73</v>
      </c>
      <c r="J18" s="33">
        <f t="shared" si="21"/>
        <v>1034707461.4300001</v>
      </c>
      <c r="K18" s="33">
        <f t="shared" si="22"/>
        <v>1390757600.47</v>
      </c>
      <c r="L18" s="33">
        <f t="shared" si="23"/>
        <v>1232.5797423508975</v>
      </c>
      <c r="M18" s="31">
        <f t="shared" si="1"/>
        <v>20173</v>
      </c>
      <c r="N18" s="31"/>
      <c r="O18" s="16">
        <v>133953.81</v>
      </c>
      <c r="P18" s="16">
        <v>21092353.280000001</v>
      </c>
      <c r="Q18" s="16">
        <v>21900766.489999998</v>
      </c>
      <c r="R18" s="33">
        <f t="shared" si="11"/>
        <v>163.4949128359992</v>
      </c>
      <c r="S18" s="32"/>
      <c r="T18" s="33">
        <f t="shared" si="24"/>
        <v>523354.66000000003</v>
      </c>
      <c r="U18" s="33">
        <f t="shared" si="25"/>
        <v>87630421.060000002</v>
      </c>
      <c r="V18" s="33">
        <f t="shared" si="26"/>
        <v>83802536.189999998</v>
      </c>
      <c r="W18" s="33">
        <f t="shared" si="27"/>
        <v>160.12570938032727</v>
      </c>
      <c r="X18" s="31">
        <f t="shared" si="2"/>
        <v>20173</v>
      </c>
      <c r="Y18" s="31"/>
      <c r="Z18" s="16">
        <v>36073.31</v>
      </c>
      <c r="AA18" s="16">
        <v>18777330.289999999</v>
      </c>
      <c r="AB18" s="16">
        <v>21131983.25</v>
      </c>
      <c r="AC18" s="33">
        <f t="shared" si="12"/>
        <v>585.80660466145196</v>
      </c>
      <c r="AD18" s="32"/>
      <c r="AE18" s="33">
        <f t="shared" si="28"/>
        <v>143458.91999999998</v>
      </c>
      <c r="AF18" s="33">
        <f t="shared" si="29"/>
        <v>77356121.469999999</v>
      </c>
      <c r="AG18" s="33">
        <f t="shared" si="30"/>
        <v>82453083.449999988</v>
      </c>
      <c r="AH18" s="33">
        <f t="shared" si="31"/>
        <v>574.75048222864075</v>
      </c>
      <c r="AI18" s="31">
        <f t="shared" si="3"/>
        <v>20173</v>
      </c>
      <c r="AJ18" s="31"/>
      <c r="AK18" s="16"/>
      <c r="AL18" s="16"/>
      <c r="AM18" s="16"/>
      <c r="AN18" s="33" t="e">
        <f t="shared" si="13"/>
        <v>#DIV/0!</v>
      </c>
      <c r="AO18" s="32"/>
      <c r="AP18" s="33" t="str">
        <f t="shared" si="32"/>
        <v/>
      </c>
      <c r="AQ18" s="33" t="str">
        <f t="shared" si="33"/>
        <v/>
      </c>
      <c r="AR18" s="33" t="str">
        <f t="shared" si="34"/>
        <v/>
      </c>
      <c r="AS18" s="33">
        <f t="shared" si="35"/>
        <v>0</v>
      </c>
      <c r="AT18" s="31">
        <f t="shared" si="4"/>
        <v>20173</v>
      </c>
      <c r="AU18" s="31"/>
      <c r="AV18" s="16"/>
      <c r="AW18" s="16"/>
      <c r="AX18" s="16"/>
      <c r="AY18" s="33" t="e">
        <f t="shared" si="14"/>
        <v>#DIV/0!</v>
      </c>
      <c r="AZ18" s="32"/>
      <c r="BA18" s="33" t="str">
        <f t="shared" si="36"/>
        <v/>
      </c>
      <c r="BB18" s="33" t="str">
        <f t="shared" si="37"/>
        <v/>
      </c>
      <c r="BC18" s="33" t="str">
        <f t="shared" si="38"/>
        <v/>
      </c>
      <c r="BD18" s="33">
        <f t="shared" si="39"/>
        <v>0</v>
      </c>
      <c r="BE18" s="31">
        <f t="shared" si="5"/>
        <v>20173</v>
      </c>
      <c r="BF18" s="31"/>
      <c r="BG18" s="16"/>
      <c r="BH18" s="16"/>
      <c r="BI18" s="16"/>
      <c r="BJ18" s="33" t="e">
        <f t="shared" si="15"/>
        <v>#DIV/0!</v>
      </c>
      <c r="BK18" s="32"/>
      <c r="BL18" s="33" t="str">
        <f t="shared" si="40"/>
        <v/>
      </c>
      <c r="BM18" s="33" t="str">
        <f t="shared" si="41"/>
        <v/>
      </c>
      <c r="BN18" s="33" t="str">
        <f t="shared" si="42"/>
        <v/>
      </c>
      <c r="BO18" s="33">
        <f t="shared" si="43"/>
        <v>0</v>
      </c>
      <c r="BP18" s="31">
        <f t="shared" si="6"/>
        <v>20173</v>
      </c>
      <c r="BQ18" s="31"/>
      <c r="BR18" s="16"/>
      <c r="BS18" s="16"/>
      <c r="BT18" s="16"/>
      <c r="BU18" s="33" t="e">
        <f t="shared" si="16"/>
        <v>#DIV/0!</v>
      </c>
      <c r="BV18" s="32"/>
      <c r="BW18" s="33" t="str">
        <f t="shared" si="44"/>
        <v/>
      </c>
      <c r="BX18" s="33" t="str">
        <f t="shared" si="45"/>
        <v/>
      </c>
      <c r="BY18" s="33" t="str">
        <f t="shared" si="46"/>
        <v/>
      </c>
      <c r="BZ18" s="33">
        <f t="shared" si="47"/>
        <v>0</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283121.31</v>
      </c>
      <c r="E19" s="14">
        <v>255921415.97</v>
      </c>
      <c r="F19" s="14">
        <v>355816003.51999998</v>
      </c>
      <c r="G19" s="33">
        <f t="shared" si="10"/>
        <v>1256.7616458118252</v>
      </c>
      <c r="H19" s="32"/>
      <c r="I19" s="33">
        <f t="shared" si="20"/>
        <v>1129917.3699999999</v>
      </c>
      <c r="J19" s="33">
        <f t="shared" si="21"/>
        <v>1031411891.45</v>
      </c>
      <c r="K19" s="33">
        <f t="shared" si="22"/>
        <v>1404112432.5599999</v>
      </c>
      <c r="L19" s="33">
        <f t="shared" si="23"/>
        <v>1242.6682426875163</v>
      </c>
      <c r="M19" s="31">
        <f t="shared" si="1"/>
        <v>20174</v>
      </c>
      <c r="N19" s="31"/>
      <c r="O19" s="16">
        <v>134774.21</v>
      </c>
      <c r="P19" s="16">
        <v>20341294.920000002</v>
      </c>
      <c r="Q19" s="16">
        <v>22308545.469999999</v>
      </c>
      <c r="R19" s="33">
        <f t="shared" si="11"/>
        <v>165.52532914123555</v>
      </c>
      <c r="S19" s="32"/>
      <c r="T19" s="33">
        <f t="shared" si="24"/>
        <v>530925.98</v>
      </c>
      <c r="U19" s="33">
        <f t="shared" si="25"/>
        <v>85679640.080000013</v>
      </c>
      <c r="V19" s="33">
        <f t="shared" si="26"/>
        <v>86317513.329999998</v>
      </c>
      <c r="W19" s="33">
        <f t="shared" si="27"/>
        <v>162.57918538851686</v>
      </c>
      <c r="X19" s="31">
        <f t="shared" si="2"/>
        <v>20174</v>
      </c>
      <c r="Y19" s="31"/>
      <c r="Z19" s="16">
        <v>36241.919999999998</v>
      </c>
      <c r="AA19" s="16">
        <v>18375573.899999999</v>
      </c>
      <c r="AB19" s="16">
        <v>21436297.600000001</v>
      </c>
      <c r="AC19" s="33">
        <f t="shared" si="12"/>
        <v>591.47797909161557</v>
      </c>
      <c r="AD19" s="32"/>
      <c r="AE19" s="33">
        <f t="shared" si="28"/>
        <v>143993</v>
      </c>
      <c r="AF19" s="33">
        <f t="shared" si="29"/>
        <v>76070611.299999997</v>
      </c>
      <c r="AG19" s="33">
        <f t="shared" si="30"/>
        <v>83890029.75999999</v>
      </c>
      <c r="AH19" s="33">
        <f t="shared" si="31"/>
        <v>582.59797184585352</v>
      </c>
      <c r="AI19" s="31">
        <f t="shared" si="3"/>
        <v>20174</v>
      </c>
      <c r="AJ19" s="31"/>
      <c r="AK19" s="16"/>
      <c r="AL19" s="16"/>
      <c r="AM19" s="16"/>
      <c r="AN19" s="33" t="e">
        <f t="shared" si="13"/>
        <v>#DIV/0!</v>
      </c>
      <c r="AO19" s="32"/>
      <c r="AP19" s="33" t="str">
        <f t="shared" si="32"/>
        <v/>
      </c>
      <c r="AQ19" s="33" t="str">
        <f t="shared" si="33"/>
        <v/>
      </c>
      <c r="AR19" s="33" t="str">
        <f t="shared" si="34"/>
        <v/>
      </c>
      <c r="AS19" s="33">
        <f t="shared" si="35"/>
        <v>0</v>
      </c>
      <c r="AT19" s="31">
        <f t="shared" si="4"/>
        <v>20174</v>
      </c>
      <c r="AU19" s="31"/>
      <c r="AV19" s="16"/>
      <c r="AW19" s="16"/>
      <c r="AX19" s="16"/>
      <c r="AY19" s="33" t="e">
        <f t="shared" si="14"/>
        <v>#DIV/0!</v>
      </c>
      <c r="AZ19" s="32"/>
      <c r="BA19" s="33" t="str">
        <f t="shared" si="36"/>
        <v/>
      </c>
      <c r="BB19" s="33" t="str">
        <f t="shared" si="37"/>
        <v/>
      </c>
      <c r="BC19" s="33" t="str">
        <f t="shared" si="38"/>
        <v/>
      </c>
      <c r="BD19" s="33">
        <f t="shared" si="39"/>
        <v>0</v>
      </c>
      <c r="BE19" s="31">
        <f t="shared" si="5"/>
        <v>20174</v>
      </c>
      <c r="BF19" s="31"/>
      <c r="BG19" s="16"/>
      <c r="BH19" s="16"/>
      <c r="BI19" s="16"/>
      <c r="BJ19" s="33" t="e">
        <f t="shared" si="15"/>
        <v>#DIV/0!</v>
      </c>
      <c r="BK19" s="32"/>
      <c r="BL19" s="33" t="str">
        <f t="shared" si="40"/>
        <v/>
      </c>
      <c r="BM19" s="33" t="str">
        <f t="shared" si="41"/>
        <v/>
      </c>
      <c r="BN19" s="33" t="str">
        <f t="shared" si="42"/>
        <v/>
      </c>
      <c r="BO19" s="33">
        <f t="shared" si="43"/>
        <v>0</v>
      </c>
      <c r="BP19" s="31">
        <f t="shared" si="6"/>
        <v>20174</v>
      </c>
      <c r="BQ19" s="31"/>
      <c r="BR19" s="16"/>
      <c r="BS19" s="16"/>
      <c r="BT19" s="16"/>
      <c r="BU19" s="33" t="e">
        <f t="shared" si="16"/>
        <v>#DIV/0!</v>
      </c>
      <c r="BV19" s="32"/>
      <c r="BW19" s="33" t="str">
        <f t="shared" si="44"/>
        <v/>
      </c>
      <c r="BX19" s="33" t="str">
        <f t="shared" si="45"/>
        <v/>
      </c>
      <c r="BY19" s="33" t="str">
        <f t="shared" si="46"/>
        <v/>
      </c>
      <c r="BZ19" s="33">
        <f t="shared" si="47"/>
        <v>0</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283048.7</v>
      </c>
      <c r="E20" s="14">
        <v>255682714.93000001</v>
      </c>
      <c r="F20" s="14">
        <v>356779660.31</v>
      </c>
      <c r="G20" s="33">
        <f t="shared" si="10"/>
        <v>1260.4886025267031</v>
      </c>
      <c r="H20" s="32"/>
      <c r="I20" s="33">
        <f t="shared" si="20"/>
        <v>1131276.28</v>
      </c>
      <c r="J20" s="33">
        <f t="shared" si="21"/>
        <v>1027168478.9400001</v>
      </c>
      <c r="K20" s="33">
        <f t="shared" si="22"/>
        <v>1414523437.76</v>
      </c>
      <c r="L20" s="33">
        <f t="shared" si="23"/>
        <v>1250.3784113284864</v>
      </c>
      <c r="M20" s="31">
        <f t="shared" si="1"/>
        <v>20181</v>
      </c>
      <c r="N20" s="31"/>
      <c r="O20" s="16">
        <v>135072.5</v>
      </c>
      <c r="P20" s="16">
        <v>19709074.829999998</v>
      </c>
      <c r="Q20" s="16">
        <v>21932258.460000001</v>
      </c>
      <c r="R20" s="33">
        <f t="shared" si="11"/>
        <v>162.37397294045792</v>
      </c>
      <c r="S20" s="32"/>
      <c r="T20" s="33">
        <f t="shared" si="24"/>
        <v>536451.41</v>
      </c>
      <c r="U20" s="33">
        <f t="shared" si="25"/>
        <v>83013175.540000007</v>
      </c>
      <c r="V20" s="33">
        <f t="shared" si="26"/>
        <v>87545723.329999998</v>
      </c>
      <c r="W20" s="33">
        <f t="shared" si="27"/>
        <v>163.19413407823831</v>
      </c>
      <c r="X20" s="31">
        <f t="shared" si="2"/>
        <v>20181</v>
      </c>
      <c r="Y20" s="31"/>
      <c r="Z20" s="16">
        <v>36287.99</v>
      </c>
      <c r="AA20" s="16">
        <v>18055129.010000002</v>
      </c>
      <c r="AB20" s="16">
        <v>21276163.989999998</v>
      </c>
      <c r="AC20" s="33">
        <f t="shared" si="12"/>
        <v>586.31420450678036</v>
      </c>
      <c r="AD20" s="32"/>
      <c r="AE20" s="33">
        <f t="shared" si="28"/>
        <v>144523.4</v>
      </c>
      <c r="AF20" s="33">
        <f t="shared" si="29"/>
        <v>74458003.769999996</v>
      </c>
      <c r="AG20" s="33">
        <f t="shared" si="30"/>
        <v>84662101.689999998</v>
      </c>
      <c r="AH20" s="33">
        <f t="shared" si="31"/>
        <v>585.80203406507178</v>
      </c>
      <c r="AI20" s="31">
        <f t="shared" si="3"/>
        <v>20181</v>
      </c>
      <c r="AJ20" s="31"/>
      <c r="AK20" s="16"/>
      <c r="AL20" s="16"/>
      <c r="AM20" s="16"/>
      <c r="AN20" s="33" t="e">
        <f t="shared" si="13"/>
        <v>#DIV/0!</v>
      </c>
      <c r="AO20" s="32"/>
      <c r="AP20" s="33" t="str">
        <f t="shared" si="32"/>
        <v/>
      </c>
      <c r="AQ20" s="33" t="str">
        <f t="shared" si="33"/>
        <v/>
      </c>
      <c r="AR20" s="33" t="str">
        <f t="shared" si="34"/>
        <v/>
      </c>
      <c r="AS20" s="33">
        <f t="shared" si="35"/>
        <v>0</v>
      </c>
      <c r="AT20" s="31">
        <f t="shared" si="4"/>
        <v>20181</v>
      </c>
      <c r="AU20" s="31"/>
      <c r="AV20" s="16"/>
      <c r="AW20" s="16"/>
      <c r="AX20" s="16"/>
      <c r="AY20" s="33" t="e">
        <f t="shared" si="14"/>
        <v>#DIV/0!</v>
      </c>
      <c r="AZ20" s="32"/>
      <c r="BA20" s="33" t="str">
        <f t="shared" si="36"/>
        <v/>
      </c>
      <c r="BB20" s="33" t="str">
        <f t="shared" si="37"/>
        <v/>
      </c>
      <c r="BC20" s="33" t="str">
        <f t="shared" si="38"/>
        <v/>
      </c>
      <c r="BD20" s="33">
        <f t="shared" si="39"/>
        <v>0</v>
      </c>
      <c r="BE20" s="31">
        <f t="shared" si="5"/>
        <v>20181</v>
      </c>
      <c r="BF20" s="31"/>
      <c r="BG20" s="16"/>
      <c r="BH20" s="16"/>
      <c r="BI20" s="16"/>
      <c r="BJ20" s="33" t="e">
        <f t="shared" si="15"/>
        <v>#DIV/0!</v>
      </c>
      <c r="BK20" s="32"/>
      <c r="BL20" s="33" t="str">
        <f t="shared" si="40"/>
        <v/>
      </c>
      <c r="BM20" s="33" t="str">
        <f t="shared" si="41"/>
        <v/>
      </c>
      <c r="BN20" s="33" t="str">
        <f t="shared" si="42"/>
        <v/>
      </c>
      <c r="BO20" s="33">
        <f t="shared" si="43"/>
        <v>0</v>
      </c>
      <c r="BP20" s="31">
        <f t="shared" si="6"/>
        <v>20181</v>
      </c>
      <c r="BQ20" s="31"/>
      <c r="BR20" s="16"/>
      <c r="BS20" s="16"/>
      <c r="BT20" s="16"/>
      <c r="BU20" s="33" t="e">
        <f t="shared" si="16"/>
        <v>#DIV/0!</v>
      </c>
      <c r="BV20" s="32"/>
      <c r="BW20" s="33" t="str">
        <f t="shared" si="44"/>
        <v/>
      </c>
      <c r="BX20" s="33" t="str">
        <f t="shared" si="45"/>
        <v/>
      </c>
      <c r="BY20" s="33" t="str">
        <f t="shared" si="46"/>
        <v/>
      </c>
      <c r="BZ20" s="33">
        <f t="shared" si="47"/>
        <v>0</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283133.94</v>
      </c>
      <c r="E21" s="14">
        <v>258507394.41</v>
      </c>
      <c r="F21" s="14">
        <v>360721218.06999999</v>
      </c>
      <c r="G21" s="33">
        <f t="shared" si="10"/>
        <v>1274.0302984163609</v>
      </c>
      <c r="H21" s="32"/>
      <c r="I21" s="33">
        <f t="shared" si="20"/>
        <v>1132119.8299999998</v>
      </c>
      <c r="J21" s="33">
        <f t="shared" si="21"/>
        <v>1027110882.37</v>
      </c>
      <c r="K21" s="33">
        <f t="shared" si="22"/>
        <v>1425902353.9599998</v>
      </c>
      <c r="L21" s="33">
        <f t="shared" si="23"/>
        <v>1259.4977282219322</v>
      </c>
      <c r="M21" s="31">
        <f t="shared" si="1"/>
        <v>20182</v>
      </c>
      <c r="N21" s="31"/>
      <c r="O21" s="16">
        <v>135543.29</v>
      </c>
      <c r="P21" s="16">
        <v>19689569.329999998</v>
      </c>
      <c r="Q21" s="16">
        <v>21910552.640000001</v>
      </c>
      <c r="R21" s="33">
        <f t="shared" si="11"/>
        <v>161.64985105496552</v>
      </c>
      <c r="S21" s="32"/>
      <c r="T21" s="33">
        <f t="shared" si="24"/>
        <v>539343.81000000006</v>
      </c>
      <c r="U21" s="33">
        <f t="shared" si="25"/>
        <v>80832292.359999999</v>
      </c>
      <c r="V21" s="33">
        <f t="shared" si="26"/>
        <v>88052123.060000002</v>
      </c>
      <c r="W21" s="33">
        <f t="shared" si="27"/>
        <v>163.25787267309138</v>
      </c>
      <c r="X21" s="31">
        <f t="shared" si="2"/>
        <v>20182</v>
      </c>
      <c r="Y21" s="31"/>
      <c r="Z21" s="16">
        <v>36337.54</v>
      </c>
      <c r="AA21" s="16">
        <v>18161807.350000001</v>
      </c>
      <c r="AB21" s="16">
        <v>21401873.699999999</v>
      </c>
      <c r="AC21" s="33">
        <f t="shared" si="12"/>
        <v>588.97420408756341</v>
      </c>
      <c r="AD21" s="32"/>
      <c r="AE21" s="33">
        <f t="shared" si="28"/>
        <v>144940.76</v>
      </c>
      <c r="AF21" s="33">
        <f t="shared" si="29"/>
        <v>73369840.550000012</v>
      </c>
      <c r="AG21" s="33">
        <f t="shared" si="30"/>
        <v>85246318.540000007</v>
      </c>
      <c r="AH21" s="33">
        <f t="shared" si="31"/>
        <v>588.14593313847672</v>
      </c>
      <c r="AI21" s="31">
        <f t="shared" si="3"/>
        <v>20182</v>
      </c>
      <c r="AJ21" s="31"/>
      <c r="AK21" s="16"/>
      <c r="AL21" s="16"/>
      <c r="AM21" s="16"/>
      <c r="AN21" s="33" t="e">
        <f t="shared" si="13"/>
        <v>#DIV/0!</v>
      </c>
      <c r="AO21" s="32"/>
      <c r="AP21" s="33" t="str">
        <f t="shared" si="32"/>
        <v/>
      </c>
      <c r="AQ21" s="33" t="str">
        <f t="shared" si="33"/>
        <v/>
      </c>
      <c r="AR21" s="33" t="str">
        <f t="shared" si="34"/>
        <v/>
      </c>
      <c r="AS21" s="33">
        <f t="shared" si="35"/>
        <v>0</v>
      </c>
      <c r="AT21" s="31">
        <f t="shared" si="4"/>
        <v>20182</v>
      </c>
      <c r="AU21" s="31"/>
      <c r="AV21" s="16"/>
      <c r="AW21" s="16"/>
      <c r="AX21" s="16"/>
      <c r="AY21" s="33" t="e">
        <f t="shared" si="14"/>
        <v>#DIV/0!</v>
      </c>
      <c r="AZ21" s="32"/>
      <c r="BA21" s="33" t="str">
        <f t="shared" si="36"/>
        <v/>
      </c>
      <c r="BB21" s="33" t="str">
        <f t="shared" si="37"/>
        <v/>
      </c>
      <c r="BC21" s="33" t="str">
        <f t="shared" si="38"/>
        <v/>
      </c>
      <c r="BD21" s="33">
        <f t="shared" si="39"/>
        <v>0</v>
      </c>
      <c r="BE21" s="31">
        <f t="shared" si="5"/>
        <v>20182</v>
      </c>
      <c r="BF21" s="31"/>
      <c r="BG21" s="16"/>
      <c r="BH21" s="16"/>
      <c r="BI21" s="16"/>
      <c r="BJ21" s="33" t="e">
        <f t="shared" si="15"/>
        <v>#DIV/0!</v>
      </c>
      <c r="BK21" s="32"/>
      <c r="BL21" s="33" t="str">
        <f t="shared" si="40"/>
        <v/>
      </c>
      <c r="BM21" s="33" t="str">
        <f t="shared" si="41"/>
        <v/>
      </c>
      <c r="BN21" s="33" t="str">
        <f t="shared" si="42"/>
        <v/>
      </c>
      <c r="BO21" s="33">
        <f t="shared" si="43"/>
        <v>0</v>
      </c>
      <c r="BP21" s="31">
        <f t="shared" si="6"/>
        <v>20182</v>
      </c>
      <c r="BQ21" s="31"/>
      <c r="BR21" s="16"/>
      <c r="BS21" s="16"/>
      <c r="BT21" s="16"/>
      <c r="BU21" s="33" t="e">
        <f t="shared" si="16"/>
        <v>#DIV/0!</v>
      </c>
      <c r="BV21" s="32"/>
      <c r="BW21" s="33" t="str">
        <f t="shared" si="44"/>
        <v/>
      </c>
      <c r="BX21" s="33" t="str">
        <f t="shared" si="45"/>
        <v/>
      </c>
      <c r="BY21" s="33" t="str">
        <f t="shared" si="46"/>
        <v/>
      </c>
      <c r="BZ21" s="33">
        <f t="shared" si="47"/>
        <v>0</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283201.09999999998</v>
      </c>
      <c r="E22" s="14">
        <v>264388661.11000001</v>
      </c>
      <c r="F22" s="14">
        <v>366296443.27999997</v>
      </c>
      <c r="G22" s="33">
        <f t="shared" si="10"/>
        <v>1293.4146204940589</v>
      </c>
      <c r="H22" s="32"/>
      <c r="I22" s="33">
        <f t="shared" si="20"/>
        <v>1132505.0499999998</v>
      </c>
      <c r="J22" s="33">
        <f t="shared" si="21"/>
        <v>1034500186.42</v>
      </c>
      <c r="K22" s="33">
        <f t="shared" si="22"/>
        <v>1439613325.1799998</v>
      </c>
      <c r="L22" s="33">
        <f t="shared" si="23"/>
        <v>1271.1760757093314</v>
      </c>
      <c r="M22" s="31">
        <f t="shared" si="1"/>
        <v>20183</v>
      </c>
      <c r="N22" s="31"/>
      <c r="O22" s="16">
        <v>135363.64000000001</v>
      </c>
      <c r="P22" s="16">
        <v>19815192.98</v>
      </c>
      <c r="Q22" s="16">
        <v>21957788.239999998</v>
      </c>
      <c r="R22" s="33">
        <f t="shared" si="11"/>
        <v>162.21334059870136</v>
      </c>
      <c r="S22" s="32"/>
      <c r="T22" s="33">
        <f t="shared" si="24"/>
        <v>540753.64</v>
      </c>
      <c r="U22" s="33">
        <f t="shared" si="25"/>
        <v>79555132.060000002</v>
      </c>
      <c r="V22" s="33">
        <f t="shared" si="26"/>
        <v>88109144.810000002</v>
      </c>
      <c r="W22" s="33">
        <f t="shared" si="27"/>
        <v>162.93768232424659</v>
      </c>
      <c r="X22" s="31">
        <f t="shared" si="2"/>
        <v>20183</v>
      </c>
      <c r="Y22" s="31"/>
      <c r="Z22" s="16">
        <v>36366.769999999997</v>
      </c>
      <c r="AA22" s="16">
        <v>18476148.850000001</v>
      </c>
      <c r="AB22" s="16">
        <v>21620442.199999999</v>
      </c>
      <c r="AC22" s="33">
        <f t="shared" si="12"/>
        <v>594.51092852073475</v>
      </c>
      <c r="AD22" s="32"/>
      <c r="AE22" s="33">
        <f t="shared" si="28"/>
        <v>145234.22</v>
      </c>
      <c r="AF22" s="33">
        <f t="shared" si="29"/>
        <v>73068659.109999999</v>
      </c>
      <c r="AG22" s="33">
        <f t="shared" si="30"/>
        <v>85734777.49000001</v>
      </c>
      <c r="AH22" s="33">
        <f t="shared" si="31"/>
        <v>590.32077626058106</v>
      </c>
      <c r="AI22" s="31">
        <f t="shared" si="3"/>
        <v>20183</v>
      </c>
      <c r="AJ22" s="31"/>
      <c r="AK22" s="16"/>
      <c r="AL22" s="16"/>
      <c r="AM22" s="16"/>
      <c r="AN22" s="33" t="e">
        <f t="shared" si="13"/>
        <v>#DIV/0!</v>
      </c>
      <c r="AO22" s="32"/>
      <c r="AP22" s="33" t="str">
        <f t="shared" si="32"/>
        <v/>
      </c>
      <c r="AQ22" s="33" t="str">
        <f t="shared" si="33"/>
        <v/>
      </c>
      <c r="AR22" s="33" t="str">
        <f t="shared" si="34"/>
        <v/>
      </c>
      <c r="AS22" s="33">
        <f t="shared" si="35"/>
        <v>0</v>
      </c>
      <c r="AT22" s="31">
        <f t="shared" si="4"/>
        <v>20183</v>
      </c>
      <c r="AU22" s="31"/>
      <c r="AV22" s="16"/>
      <c r="AW22" s="16"/>
      <c r="AX22" s="16"/>
      <c r="AY22" s="33" t="e">
        <f t="shared" si="14"/>
        <v>#DIV/0!</v>
      </c>
      <c r="AZ22" s="32"/>
      <c r="BA22" s="33" t="str">
        <f t="shared" si="36"/>
        <v/>
      </c>
      <c r="BB22" s="33" t="str">
        <f t="shared" si="37"/>
        <v/>
      </c>
      <c r="BC22" s="33" t="str">
        <f t="shared" si="38"/>
        <v/>
      </c>
      <c r="BD22" s="33">
        <f t="shared" si="39"/>
        <v>0</v>
      </c>
      <c r="BE22" s="31">
        <f t="shared" si="5"/>
        <v>20183</v>
      </c>
      <c r="BF22" s="31"/>
      <c r="BG22" s="16"/>
      <c r="BH22" s="16"/>
      <c r="BI22" s="16"/>
      <c r="BJ22" s="33" t="e">
        <f t="shared" si="15"/>
        <v>#DIV/0!</v>
      </c>
      <c r="BK22" s="32"/>
      <c r="BL22" s="33" t="str">
        <f t="shared" si="40"/>
        <v/>
      </c>
      <c r="BM22" s="33" t="str">
        <f t="shared" si="41"/>
        <v/>
      </c>
      <c r="BN22" s="33" t="str">
        <f t="shared" si="42"/>
        <v/>
      </c>
      <c r="BO22" s="33">
        <f t="shared" si="43"/>
        <v>0</v>
      </c>
      <c r="BP22" s="31">
        <f t="shared" si="6"/>
        <v>20183</v>
      </c>
      <c r="BQ22" s="31"/>
      <c r="BR22" s="16"/>
      <c r="BS22" s="16"/>
      <c r="BT22" s="16"/>
      <c r="BU22" s="33" t="e">
        <f t="shared" si="16"/>
        <v>#DIV/0!</v>
      </c>
      <c r="BV22" s="32"/>
      <c r="BW22" s="33" t="str">
        <f t="shared" si="44"/>
        <v/>
      </c>
      <c r="BX22" s="33" t="str">
        <f t="shared" si="45"/>
        <v/>
      </c>
      <c r="BY22" s="33" t="str">
        <f t="shared" si="46"/>
        <v/>
      </c>
      <c r="BZ22" s="33">
        <f t="shared" si="47"/>
        <v>0</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283039.46999999997</v>
      </c>
      <c r="E23" s="14">
        <v>272502729.81</v>
      </c>
      <c r="F23" s="14">
        <v>371240642.81999999</v>
      </c>
      <c r="G23" s="33">
        <f t="shared" si="10"/>
        <v>1311.6214597914561</v>
      </c>
      <c r="H23" s="32"/>
      <c r="I23" s="33">
        <f t="shared" si="20"/>
        <v>1132423.21</v>
      </c>
      <c r="J23" s="33">
        <f t="shared" si="21"/>
        <v>1051081500.26</v>
      </c>
      <c r="K23" s="33">
        <f t="shared" si="22"/>
        <v>1455037964.4799998</v>
      </c>
      <c r="L23" s="33">
        <f t="shared" si="23"/>
        <v>1284.8888574793516</v>
      </c>
      <c r="M23" s="31">
        <f t="shared" si="1"/>
        <v>20184</v>
      </c>
      <c r="N23" s="31"/>
      <c r="O23" s="16">
        <v>135533.24</v>
      </c>
      <c r="P23" s="16">
        <v>20079558.140000001</v>
      </c>
      <c r="Q23" s="16">
        <v>22034605.16</v>
      </c>
      <c r="R23" s="33">
        <f t="shared" si="11"/>
        <v>162.57712986127979</v>
      </c>
      <c r="S23" s="32"/>
      <c r="T23" s="33">
        <f t="shared" si="24"/>
        <v>541512.67000000004</v>
      </c>
      <c r="U23" s="33">
        <f t="shared" si="25"/>
        <v>79293395.280000001</v>
      </c>
      <c r="V23" s="33">
        <f t="shared" si="26"/>
        <v>87835204.5</v>
      </c>
      <c r="W23" s="33">
        <f t="shared" si="27"/>
        <v>162.20341529589695</v>
      </c>
      <c r="X23" s="31">
        <f t="shared" si="2"/>
        <v>20184</v>
      </c>
      <c r="Y23" s="31"/>
      <c r="Z23" s="16">
        <v>36394.870000000003</v>
      </c>
      <c r="AA23" s="16">
        <v>18965440.760000002</v>
      </c>
      <c r="AB23" s="16">
        <v>21823842.129999999</v>
      </c>
      <c r="AC23" s="33">
        <f t="shared" si="12"/>
        <v>599.64061226211265</v>
      </c>
      <c r="AD23" s="32"/>
      <c r="AE23" s="33">
        <f t="shared" si="28"/>
        <v>145387.16999999998</v>
      </c>
      <c r="AF23" s="33">
        <f t="shared" si="29"/>
        <v>73658525.969999999</v>
      </c>
      <c r="AG23" s="33">
        <f t="shared" si="30"/>
        <v>86122322.019999996</v>
      </c>
      <c r="AH23" s="33">
        <f t="shared" si="31"/>
        <v>592.36535122046882</v>
      </c>
      <c r="AI23" s="31">
        <f t="shared" si="3"/>
        <v>20184</v>
      </c>
      <c r="AJ23" s="31"/>
      <c r="AK23" s="16"/>
      <c r="AL23" s="16"/>
      <c r="AM23" s="16"/>
      <c r="AN23" s="33" t="e">
        <f t="shared" si="13"/>
        <v>#DIV/0!</v>
      </c>
      <c r="AO23" s="32"/>
      <c r="AP23" s="33" t="str">
        <f t="shared" si="32"/>
        <v/>
      </c>
      <c r="AQ23" s="33" t="str">
        <f t="shared" si="33"/>
        <v/>
      </c>
      <c r="AR23" s="33" t="str">
        <f t="shared" si="34"/>
        <v/>
      </c>
      <c r="AS23" s="33">
        <f t="shared" si="35"/>
        <v>0</v>
      </c>
      <c r="AT23" s="31">
        <f t="shared" si="4"/>
        <v>20184</v>
      </c>
      <c r="AU23" s="31"/>
      <c r="AV23" s="16"/>
      <c r="AW23" s="16"/>
      <c r="AX23" s="16"/>
      <c r="AY23" s="33" t="e">
        <f t="shared" si="14"/>
        <v>#DIV/0!</v>
      </c>
      <c r="AZ23" s="32"/>
      <c r="BA23" s="33" t="str">
        <f t="shared" si="36"/>
        <v/>
      </c>
      <c r="BB23" s="33" t="str">
        <f t="shared" si="37"/>
        <v/>
      </c>
      <c r="BC23" s="33" t="str">
        <f t="shared" si="38"/>
        <v/>
      </c>
      <c r="BD23" s="33">
        <f t="shared" si="39"/>
        <v>0</v>
      </c>
      <c r="BE23" s="31">
        <f t="shared" si="5"/>
        <v>20184</v>
      </c>
      <c r="BF23" s="31"/>
      <c r="BG23" s="16"/>
      <c r="BH23" s="16"/>
      <c r="BI23" s="16"/>
      <c r="BJ23" s="33" t="e">
        <f t="shared" si="15"/>
        <v>#DIV/0!</v>
      </c>
      <c r="BK23" s="32"/>
      <c r="BL23" s="33" t="str">
        <f t="shared" si="40"/>
        <v/>
      </c>
      <c r="BM23" s="33" t="str">
        <f t="shared" si="41"/>
        <v/>
      </c>
      <c r="BN23" s="33" t="str">
        <f t="shared" si="42"/>
        <v/>
      </c>
      <c r="BO23" s="33">
        <f t="shared" si="43"/>
        <v>0</v>
      </c>
      <c r="BP23" s="31">
        <f t="shared" si="6"/>
        <v>20184</v>
      </c>
      <c r="BQ23" s="31"/>
      <c r="BR23" s="16"/>
      <c r="BS23" s="16"/>
      <c r="BT23" s="16"/>
      <c r="BU23" s="33" t="e">
        <f t="shared" si="16"/>
        <v>#DIV/0!</v>
      </c>
      <c r="BV23" s="32"/>
      <c r="BW23" s="33" t="str">
        <f t="shared" si="44"/>
        <v/>
      </c>
      <c r="BX23" s="33" t="str">
        <f t="shared" si="45"/>
        <v/>
      </c>
      <c r="BY23" s="33" t="str">
        <f t="shared" si="46"/>
        <v/>
      </c>
      <c r="BZ23" s="33">
        <f t="shared" si="47"/>
        <v>0</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282862.27</v>
      </c>
      <c r="E24" s="14">
        <v>279309880.77999997</v>
      </c>
      <c r="F24" s="14">
        <v>374995857.32999998</v>
      </c>
      <c r="G24" s="33">
        <f t="shared" si="10"/>
        <v>1325.718899625602</v>
      </c>
      <c r="H24" s="32"/>
      <c r="I24" s="33">
        <f t="shared" si="20"/>
        <v>1132236.78</v>
      </c>
      <c r="J24" s="33">
        <f t="shared" si="21"/>
        <v>1074708666.1099999</v>
      </c>
      <c r="K24" s="33">
        <f t="shared" si="22"/>
        <v>1473254161.4999998</v>
      </c>
      <c r="L24" s="33">
        <f t="shared" si="23"/>
        <v>1301.1891041907327</v>
      </c>
      <c r="M24" s="31">
        <f t="shared" si="1"/>
        <v>20191</v>
      </c>
      <c r="N24" s="31"/>
      <c r="O24" s="16">
        <v>135708.54999999999</v>
      </c>
      <c r="P24" s="16">
        <v>20309219.649999999</v>
      </c>
      <c r="Q24" s="16">
        <v>22086302.57</v>
      </c>
      <c r="R24" s="33">
        <f t="shared" si="11"/>
        <v>162.74805507832781</v>
      </c>
      <c r="S24" s="32"/>
      <c r="T24" s="33">
        <f t="shared" si="24"/>
        <v>542148.72</v>
      </c>
      <c r="U24" s="33">
        <f t="shared" si="25"/>
        <v>79893540.099999994</v>
      </c>
      <c r="V24" s="33">
        <f t="shared" si="26"/>
        <v>87989248.609999985</v>
      </c>
      <c r="W24" s="33">
        <f t="shared" si="27"/>
        <v>162.29725417409449</v>
      </c>
      <c r="X24" s="31">
        <f t="shared" si="2"/>
        <v>20191</v>
      </c>
      <c r="Y24" s="31"/>
      <c r="Z24" s="16">
        <v>36393.35</v>
      </c>
      <c r="AA24" s="16">
        <v>19391545.219999999</v>
      </c>
      <c r="AB24" s="16">
        <v>21983007.57</v>
      </c>
      <c r="AC24" s="33">
        <f t="shared" si="12"/>
        <v>604.03913269869361</v>
      </c>
      <c r="AD24" s="32"/>
      <c r="AE24" s="33">
        <f t="shared" si="28"/>
        <v>145492.53</v>
      </c>
      <c r="AF24" s="33">
        <f t="shared" si="29"/>
        <v>74994942.180000007</v>
      </c>
      <c r="AG24" s="33">
        <f t="shared" si="30"/>
        <v>86829165.599999994</v>
      </c>
      <c r="AH24" s="33">
        <f t="shared" si="31"/>
        <v>596.7946643033838</v>
      </c>
      <c r="AI24" s="31">
        <f t="shared" si="3"/>
        <v>20191</v>
      </c>
      <c r="AJ24" s="31"/>
      <c r="AK24" s="16"/>
      <c r="AL24" s="16"/>
      <c r="AM24" s="16"/>
      <c r="AN24" s="33" t="e">
        <f t="shared" si="13"/>
        <v>#DIV/0!</v>
      </c>
      <c r="AO24" s="32"/>
      <c r="AP24" s="33" t="str">
        <f t="shared" si="32"/>
        <v/>
      </c>
      <c r="AQ24" s="33" t="str">
        <f t="shared" si="33"/>
        <v/>
      </c>
      <c r="AR24" s="33" t="str">
        <f t="shared" si="34"/>
        <v/>
      </c>
      <c r="AS24" s="33">
        <f t="shared" si="35"/>
        <v>0</v>
      </c>
      <c r="AT24" s="31">
        <f t="shared" si="4"/>
        <v>20191</v>
      </c>
      <c r="AU24" s="31"/>
      <c r="AV24" s="16"/>
      <c r="AW24" s="16"/>
      <c r="AX24" s="16"/>
      <c r="AY24" s="33" t="e">
        <f t="shared" si="14"/>
        <v>#DIV/0!</v>
      </c>
      <c r="AZ24" s="32"/>
      <c r="BA24" s="33" t="str">
        <f t="shared" si="36"/>
        <v/>
      </c>
      <c r="BB24" s="33" t="str">
        <f t="shared" si="37"/>
        <v/>
      </c>
      <c r="BC24" s="33" t="str">
        <f t="shared" si="38"/>
        <v/>
      </c>
      <c r="BD24" s="33">
        <f t="shared" si="39"/>
        <v>0</v>
      </c>
      <c r="BE24" s="31">
        <f t="shared" si="5"/>
        <v>20191</v>
      </c>
      <c r="BF24" s="31"/>
      <c r="BG24" s="16"/>
      <c r="BH24" s="16"/>
      <c r="BI24" s="16"/>
      <c r="BJ24" s="33" t="e">
        <f t="shared" si="15"/>
        <v>#DIV/0!</v>
      </c>
      <c r="BK24" s="32"/>
      <c r="BL24" s="33" t="str">
        <f t="shared" si="40"/>
        <v/>
      </c>
      <c r="BM24" s="33" t="str">
        <f t="shared" si="41"/>
        <v/>
      </c>
      <c r="BN24" s="33" t="str">
        <f t="shared" si="42"/>
        <v/>
      </c>
      <c r="BO24" s="33">
        <f t="shared" si="43"/>
        <v>0</v>
      </c>
      <c r="BP24" s="31">
        <f t="shared" si="6"/>
        <v>20191</v>
      </c>
      <c r="BQ24" s="31"/>
      <c r="BR24" s="16"/>
      <c r="BS24" s="16"/>
      <c r="BT24" s="16"/>
      <c r="BU24" s="33" t="e">
        <f t="shared" si="16"/>
        <v>#DIV/0!</v>
      </c>
      <c r="BV24" s="32"/>
      <c r="BW24" s="33" t="str">
        <f t="shared" si="44"/>
        <v/>
      </c>
      <c r="BX24" s="33" t="str">
        <f t="shared" si="45"/>
        <v/>
      </c>
      <c r="BY24" s="33" t="str">
        <f t="shared" si="46"/>
        <v/>
      </c>
      <c r="BZ24" s="33">
        <f t="shared" si="47"/>
        <v>0</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283210.40000000002</v>
      </c>
      <c r="E25" s="14">
        <v>287535685.12</v>
      </c>
      <c r="F25" s="14">
        <v>379755274.67000002</v>
      </c>
      <c r="G25" s="33">
        <f t="shared" si="10"/>
        <v>1340.8945246007916</v>
      </c>
      <c r="H25" s="32"/>
      <c r="I25" s="33">
        <f t="shared" si="20"/>
        <v>1132313.24</v>
      </c>
      <c r="J25" s="33">
        <f t="shared" si="21"/>
        <v>1103736956.8200002</v>
      </c>
      <c r="K25" s="33">
        <f t="shared" si="22"/>
        <v>1492288218.0999999</v>
      </c>
      <c r="L25" s="33">
        <f t="shared" si="23"/>
        <v>1317.9111268715712</v>
      </c>
      <c r="M25" s="31">
        <f t="shared" si="1"/>
        <v>20192</v>
      </c>
      <c r="N25" s="31"/>
      <c r="O25" s="16">
        <v>135629.96</v>
      </c>
      <c r="P25" s="16">
        <v>20514275.77</v>
      </c>
      <c r="Q25" s="16">
        <v>22092182.199999999</v>
      </c>
      <c r="R25" s="33">
        <f t="shared" si="11"/>
        <v>162.88570902771039</v>
      </c>
      <c r="S25" s="32"/>
      <c r="T25" s="33">
        <f t="shared" si="24"/>
        <v>542235.39</v>
      </c>
      <c r="U25" s="33">
        <f t="shared" si="25"/>
        <v>80718246.540000007</v>
      </c>
      <c r="V25" s="33">
        <f t="shared" si="26"/>
        <v>88170878.170000002</v>
      </c>
      <c r="W25" s="33">
        <f t="shared" si="27"/>
        <v>162.60627726641007</v>
      </c>
      <c r="X25" s="31">
        <f t="shared" si="2"/>
        <v>20192</v>
      </c>
      <c r="Y25" s="31"/>
      <c r="Z25" s="16">
        <v>36377.08</v>
      </c>
      <c r="AA25" s="16">
        <v>19877016.109999999</v>
      </c>
      <c r="AB25" s="16">
        <v>22163875.219999999</v>
      </c>
      <c r="AC25" s="33">
        <f t="shared" si="12"/>
        <v>609.2813172470137</v>
      </c>
      <c r="AD25" s="32"/>
      <c r="AE25" s="33">
        <f t="shared" si="28"/>
        <v>145532.07</v>
      </c>
      <c r="AF25" s="33">
        <f t="shared" si="29"/>
        <v>76710150.939999998</v>
      </c>
      <c r="AG25" s="33">
        <f t="shared" si="30"/>
        <v>87591167.120000005</v>
      </c>
      <c r="AH25" s="33">
        <f t="shared" si="31"/>
        <v>601.86848933022122</v>
      </c>
      <c r="AI25" s="31">
        <f t="shared" si="3"/>
        <v>20192</v>
      </c>
      <c r="AJ25" s="31"/>
      <c r="AK25" s="16"/>
      <c r="AL25" s="16"/>
      <c r="AM25" s="16"/>
      <c r="AN25" s="33" t="e">
        <f t="shared" si="13"/>
        <v>#DIV/0!</v>
      </c>
      <c r="AO25" s="32"/>
      <c r="AP25" s="33" t="str">
        <f t="shared" si="32"/>
        <v/>
      </c>
      <c r="AQ25" s="33" t="str">
        <f t="shared" si="33"/>
        <v/>
      </c>
      <c r="AR25" s="33" t="str">
        <f t="shared" si="34"/>
        <v/>
      </c>
      <c r="AS25" s="33">
        <f t="shared" si="35"/>
        <v>0</v>
      </c>
      <c r="AT25" s="31">
        <f t="shared" si="4"/>
        <v>20192</v>
      </c>
      <c r="AU25" s="31"/>
      <c r="AV25" s="16"/>
      <c r="AW25" s="16"/>
      <c r="AX25" s="16"/>
      <c r="AY25" s="33" t="e">
        <f t="shared" si="14"/>
        <v>#DIV/0!</v>
      </c>
      <c r="AZ25" s="32"/>
      <c r="BA25" s="33" t="str">
        <f t="shared" si="36"/>
        <v/>
      </c>
      <c r="BB25" s="33" t="str">
        <f t="shared" si="37"/>
        <v/>
      </c>
      <c r="BC25" s="33" t="str">
        <f t="shared" si="38"/>
        <v/>
      </c>
      <c r="BD25" s="33">
        <f t="shared" si="39"/>
        <v>0</v>
      </c>
      <c r="BE25" s="31">
        <f t="shared" si="5"/>
        <v>20192</v>
      </c>
      <c r="BF25" s="31"/>
      <c r="BG25" s="16"/>
      <c r="BH25" s="16"/>
      <c r="BI25" s="16"/>
      <c r="BJ25" s="33" t="e">
        <f t="shared" si="15"/>
        <v>#DIV/0!</v>
      </c>
      <c r="BK25" s="32"/>
      <c r="BL25" s="33" t="str">
        <f t="shared" si="40"/>
        <v/>
      </c>
      <c r="BM25" s="33" t="str">
        <f t="shared" si="41"/>
        <v/>
      </c>
      <c r="BN25" s="33" t="str">
        <f t="shared" si="42"/>
        <v/>
      </c>
      <c r="BO25" s="33">
        <f t="shared" si="43"/>
        <v>0</v>
      </c>
      <c r="BP25" s="31">
        <f t="shared" si="6"/>
        <v>20192</v>
      </c>
      <c r="BQ25" s="31"/>
      <c r="BR25" s="16"/>
      <c r="BS25" s="16"/>
      <c r="BT25" s="16"/>
      <c r="BU25" s="33" t="e">
        <f t="shared" si="16"/>
        <v>#DIV/0!</v>
      </c>
      <c r="BV25" s="32"/>
      <c r="BW25" s="33" t="str">
        <f t="shared" si="44"/>
        <v/>
      </c>
      <c r="BX25" s="33" t="str">
        <f t="shared" si="45"/>
        <v/>
      </c>
      <c r="BY25" s="33" t="str">
        <f t="shared" si="46"/>
        <v/>
      </c>
      <c r="BZ25" s="33">
        <f t="shared" si="47"/>
        <v>0</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283760.38</v>
      </c>
      <c r="E26" s="14">
        <v>294999007.97000003</v>
      </c>
      <c r="F26" s="14">
        <v>385231673.50999999</v>
      </c>
      <c r="G26" s="33">
        <f t="shared" si="10"/>
        <v>1357.595001493866</v>
      </c>
      <c r="H26" s="32"/>
      <c r="I26" s="33">
        <f t="shared" si="20"/>
        <v>1132872.52</v>
      </c>
      <c r="J26" s="33">
        <f t="shared" si="21"/>
        <v>1134347303.6799998</v>
      </c>
      <c r="K26" s="33">
        <f t="shared" si="22"/>
        <v>1511223448.3299999</v>
      </c>
      <c r="L26" s="33">
        <f t="shared" si="23"/>
        <v>1333.974848582257</v>
      </c>
      <c r="M26" s="31">
        <f t="shared" si="1"/>
        <v>20193</v>
      </c>
      <c r="N26" s="31"/>
      <c r="O26" s="16">
        <v>133950.07999999999</v>
      </c>
      <c r="P26" s="16">
        <v>20455280.550000001</v>
      </c>
      <c r="Q26" s="16">
        <v>21890948.52</v>
      </c>
      <c r="R26" s="33">
        <f t="shared" si="11"/>
        <v>163.42616980893183</v>
      </c>
      <c r="S26" s="32"/>
      <c r="T26" s="33">
        <f t="shared" si="24"/>
        <v>540821.82999999996</v>
      </c>
      <c r="U26" s="33">
        <f t="shared" si="25"/>
        <v>81358334.109999999</v>
      </c>
      <c r="V26" s="33">
        <f t="shared" si="26"/>
        <v>88104038.450000003</v>
      </c>
      <c r="W26" s="33">
        <f t="shared" si="27"/>
        <v>162.90769632949176</v>
      </c>
      <c r="X26" s="31">
        <f t="shared" si="2"/>
        <v>20193</v>
      </c>
      <c r="Y26" s="31"/>
      <c r="Z26" s="16">
        <v>36446.32</v>
      </c>
      <c r="AA26" s="16">
        <v>20287747.370000001</v>
      </c>
      <c r="AB26" s="16">
        <v>22372757.16</v>
      </c>
      <c r="AC26" s="33">
        <f t="shared" si="12"/>
        <v>613.85503831388189</v>
      </c>
      <c r="AD26" s="32"/>
      <c r="AE26" s="33">
        <f t="shared" si="28"/>
        <v>145611.62</v>
      </c>
      <c r="AF26" s="33">
        <f t="shared" si="29"/>
        <v>78521749.460000008</v>
      </c>
      <c r="AG26" s="33">
        <f t="shared" si="30"/>
        <v>88343482.079999998</v>
      </c>
      <c r="AH26" s="33">
        <f t="shared" si="31"/>
        <v>606.70626478848328</v>
      </c>
      <c r="AI26" s="31">
        <f t="shared" si="3"/>
        <v>20193</v>
      </c>
      <c r="AJ26" s="31"/>
      <c r="AK26" s="16"/>
      <c r="AL26" s="16"/>
      <c r="AM26" s="16"/>
      <c r="AN26" s="33" t="e">
        <f t="shared" si="13"/>
        <v>#DIV/0!</v>
      </c>
      <c r="AO26" s="32"/>
      <c r="AP26" s="33" t="str">
        <f t="shared" si="32"/>
        <v/>
      </c>
      <c r="AQ26" s="33" t="str">
        <f t="shared" si="33"/>
        <v/>
      </c>
      <c r="AR26" s="33" t="str">
        <f t="shared" si="34"/>
        <v/>
      </c>
      <c r="AS26" s="33">
        <f t="shared" si="35"/>
        <v>0</v>
      </c>
      <c r="AT26" s="31">
        <f t="shared" si="4"/>
        <v>20193</v>
      </c>
      <c r="AU26" s="31"/>
      <c r="AV26" s="16"/>
      <c r="AW26" s="16"/>
      <c r="AX26" s="16"/>
      <c r="AY26" s="33" t="e">
        <f t="shared" si="14"/>
        <v>#DIV/0!</v>
      </c>
      <c r="AZ26" s="32"/>
      <c r="BA26" s="33" t="str">
        <f t="shared" si="36"/>
        <v/>
      </c>
      <c r="BB26" s="33" t="str">
        <f t="shared" si="37"/>
        <v/>
      </c>
      <c r="BC26" s="33" t="str">
        <f t="shared" si="38"/>
        <v/>
      </c>
      <c r="BD26" s="33">
        <f t="shared" si="39"/>
        <v>0</v>
      </c>
      <c r="BE26" s="31">
        <f t="shared" si="5"/>
        <v>20193</v>
      </c>
      <c r="BF26" s="31"/>
      <c r="BG26" s="16"/>
      <c r="BH26" s="16"/>
      <c r="BI26" s="16"/>
      <c r="BJ26" s="33" t="e">
        <f t="shared" si="15"/>
        <v>#DIV/0!</v>
      </c>
      <c r="BK26" s="32"/>
      <c r="BL26" s="33" t="str">
        <f t="shared" si="40"/>
        <v/>
      </c>
      <c r="BM26" s="33" t="str">
        <f t="shared" si="41"/>
        <v/>
      </c>
      <c r="BN26" s="33" t="str">
        <f t="shared" si="42"/>
        <v/>
      </c>
      <c r="BO26" s="33">
        <f t="shared" si="43"/>
        <v>0</v>
      </c>
      <c r="BP26" s="31">
        <f t="shared" si="6"/>
        <v>20193</v>
      </c>
      <c r="BQ26" s="31"/>
      <c r="BR26" s="16"/>
      <c r="BS26" s="16"/>
      <c r="BT26" s="16"/>
      <c r="BU26" s="33" t="e">
        <f t="shared" si="16"/>
        <v>#DIV/0!</v>
      </c>
      <c r="BV26" s="32"/>
      <c r="BW26" s="33" t="str">
        <f t="shared" si="44"/>
        <v/>
      </c>
      <c r="BX26" s="33" t="str">
        <f t="shared" si="45"/>
        <v/>
      </c>
      <c r="BY26" s="33" t="str">
        <f t="shared" si="46"/>
        <v/>
      </c>
      <c r="BZ26" s="33">
        <f t="shared" si="47"/>
        <v>0</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284865.43</v>
      </c>
      <c r="E27" s="14">
        <v>300305814.44</v>
      </c>
      <c r="F27" s="14">
        <v>391989179.52999997</v>
      </c>
      <c r="G27" s="33">
        <f t="shared" si="10"/>
        <v>1376.0503671154481</v>
      </c>
      <c r="H27" s="32"/>
      <c r="I27" s="33">
        <f t="shared" si="20"/>
        <v>1134698.48</v>
      </c>
      <c r="J27" s="33">
        <f t="shared" si="21"/>
        <v>1162150388.3099999</v>
      </c>
      <c r="K27" s="33">
        <f t="shared" si="22"/>
        <v>1531971985.04</v>
      </c>
      <c r="L27" s="33">
        <f t="shared" si="23"/>
        <v>1350.1137192322669</v>
      </c>
      <c r="M27" s="31">
        <f t="shared" si="1"/>
        <v>20194</v>
      </c>
      <c r="N27" s="31"/>
      <c r="O27" s="16">
        <v>132765.12</v>
      </c>
      <c r="P27" s="16">
        <v>20317588.039999999</v>
      </c>
      <c r="Q27" s="16">
        <v>21737787.359999999</v>
      </c>
      <c r="R27" s="33">
        <f t="shared" si="11"/>
        <v>163.73116191963672</v>
      </c>
      <c r="S27" s="32"/>
      <c r="T27" s="33">
        <f t="shared" si="24"/>
        <v>538053.71</v>
      </c>
      <c r="U27" s="33">
        <f t="shared" si="25"/>
        <v>81596364.00999999</v>
      </c>
      <c r="V27" s="33">
        <f t="shared" si="26"/>
        <v>87807220.649999991</v>
      </c>
      <c r="W27" s="33">
        <f t="shared" si="27"/>
        <v>163.19415518945124</v>
      </c>
      <c r="X27" s="31">
        <f t="shared" si="2"/>
        <v>20194</v>
      </c>
      <c r="Y27" s="31"/>
      <c r="Z27" s="16">
        <v>36476.519999999997</v>
      </c>
      <c r="AA27" s="16">
        <v>20502577.75</v>
      </c>
      <c r="AB27" s="16">
        <v>22599991.489999998</v>
      </c>
      <c r="AC27" s="33">
        <f t="shared" si="12"/>
        <v>619.57641491019433</v>
      </c>
      <c r="AD27" s="32"/>
      <c r="AE27" s="33">
        <f t="shared" si="28"/>
        <v>145693.26999999999</v>
      </c>
      <c r="AF27" s="33">
        <f t="shared" si="29"/>
        <v>80058886.450000003</v>
      </c>
      <c r="AG27" s="33">
        <f t="shared" si="30"/>
        <v>89119631.439999998</v>
      </c>
      <c r="AH27" s="33">
        <f t="shared" si="31"/>
        <v>611.69353560394381</v>
      </c>
      <c r="AI27" s="31">
        <f t="shared" si="3"/>
        <v>20194</v>
      </c>
      <c r="AJ27" s="31"/>
      <c r="AK27" s="16"/>
      <c r="AL27" s="16"/>
      <c r="AM27" s="16"/>
      <c r="AN27" s="33" t="e">
        <f t="shared" si="13"/>
        <v>#DIV/0!</v>
      </c>
      <c r="AO27" s="32"/>
      <c r="AP27" s="33" t="str">
        <f t="shared" si="32"/>
        <v/>
      </c>
      <c r="AQ27" s="33" t="str">
        <f t="shared" si="33"/>
        <v/>
      </c>
      <c r="AR27" s="33" t="str">
        <f t="shared" si="34"/>
        <v/>
      </c>
      <c r="AS27" s="33">
        <f t="shared" si="35"/>
        <v>0</v>
      </c>
      <c r="AT27" s="31">
        <f t="shared" si="4"/>
        <v>20194</v>
      </c>
      <c r="AU27" s="31"/>
      <c r="AV27" s="16"/>
      <c r="AW27" s="16"/>
      <c r="AX27" s="16"/>
      <c r="AY27" s="33" t="e">
        <f t="shared" si="14"/>
        <v>#DIV/0!</v>
      </c>
      <c r="AZ27" s="32"/>
      <c r="BA27" s="33" t="str">
        <f t="shared" si="36"/>
        <v/>
      </c>
      <c r="BB27" s="33" t="str">
        <f t="shared" si="37"/>
        <v/>
      </c>
      <c r="BC27" s="33" t="str">
        <f t="shared" si="38"/>
        <v/>
      </c>
      <c r="BD27" s="33">
        <f t="shared" si="39"/>
        <v>0</v>
      </c>
      <c r="BE27" s="31">
        <f t="shared" si="5"/>
        <v>20194</v>
      </c>
      <c r="BF27" s="31"/>
      <c r="BG27" s="16"/>
      <c r="BH27" s="16"/>
      <c r="BI27" s="16"/>
      <c r="BJ27" s="33" t="e">
        <f t="shared" si="15"/>
        <v>#DIV/0!</v>
      </c>
      <c r="BK27" s="32"/>
      <c r="BL27" s="33" t="str">
        <f t="shared" si="40"/>
        <v/>
      </c>
      <c r="BM27" s="33" t="str">
        <f t="shared" si="41"/>
        <v/>
      </c>
      <c r="BN27" s="33" t="str">
        <f t="shared" si="42"/>
        <v/>
      </c>
      <c r="BO27" s="33">
        <f t="shared" si="43"/>
        <v>0</v>
      </c>
      <c r="BP27" s="31">
        <f t="shared" si="6"/>
        <v>20194</v>
      </c>
      <c r="BQ27" s="31"/>
      <c r="BR27" s="16"/>
      <c r="BS27" s="16"/>
      <c r="BT27" s="16"/>
      <c r="BU27" s="33" t="e">
        <f t="shared" si="16"/>
        <v>#DIV/0!</v>
      </c>
      <c r="BV27" s="32"/>
      <c r="BW27" s="33" t="str">
        <f t="shared" si="44"/>
        <v/>
      </c>
      <c r="BX27" s="33" t="str">
        <f t="shared" si="45"/>
        <v/>
      </c>
      <c r="BY27" s="33" t="str">
        <f t="shared" si="46"/>
        <v/>
      </c>
      <c r="BZ27" s="33">
        <f t="shared" si="47"/>
        <v>0</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286312.94</v>
      </c>
      <c r="E28" s="14">
        <v>305522035.16000003</v>
      </c>
      <c r="F28" s="14">
        <v>398797912.44999999</v>
      </c>
      <c r="G28" s="33">
        <f t="shared" si="10"/>
        <v>1392.874218154443</v>
      </c>
      <c r="H28" s="32"/>
      <c r="I28" s="33">
        <f t="shared" si="20"/>
        <v>1138149.1499999999</v>
      </c>
      <c r="J28" s="33">
        <f t="shared" si="21"/>
        <v>1188362542.6900001</v>
      </c>
      <c r="K28" s="33">
        <f t="shared" si="22"/>
        <v>1555774040.1600001</v>
      </c>
      <c r="L28" s="33">
        <f t="shared" si="23"/>
        <v>1366.9333585672846</v>
      </c>
      <c r="M28" s="31">
        <f t="shared" si="1"/>
        <v>20201</v>
      </c>
      <c r="N28" s="31"/>
      <c r="O28" s="16">
        <v>132212.69</v>
      </c>
      <c r="P28" s="16">
        <v>20252386.550000001</v>
      </c>
      <c r="Q28" s="16">
        <v>21668028.32</v>
      </c>
      <c r="R28" s="33">
        <f t="shared" si="11"/>
        <v>163.88765949773807</v>
      </c>
      <c r="S28" s="32"/>
      <c r="T28" s="33">
        <f t="shared" si="24"/>
        <v>534557.85</v>
      </c>
      <c r="U28" s="33">
        <f t="shared" si="25"/>
        <v>81539530.909999996</v>
      </c>
      <c r="V28" s="33">
        <f t="shared" si="26"/>
        <v>87388946.400000006</v>
      </c>
      <c r="W28" s="33">
        <f t="shared" si="27"/>
        <v>163.47893198088852</v>
      </c>
      <c r="X28" s="31">
        <f t="shared" si="2"/>
        <v>20201</v>
      </c>
      <c r="Y28" s="31"/>
      <c r="Z28" s="16">
        <v>36536.74</v>
      </c>
      <c r="AA28" s="16">
        <v>20697994.280000001</v>
      </c>
      <c r="AB28" s="16">
        <v>22815399.190000001</v>
      </c>
      <c r="AC28" s="33">
        <f t="shared" si="12"/>
        <v>624.45087301165904</v>
      </c>
      <c r="AD28" s="32"/>
      <c r="AE28" s="33">
        <f t="shared" si="28"/>
        <v>145836.65999999997</v>
      </c>
      <c r="AF28" s="33">
        <f t="shared" si="29"/>
        <v>81365335.510000005</v>
      </c>
      <c r="AG28" s="33">
        <f t="shared" si="30"/>
        <v>89952023.059999987</v>
      </c>
      <c r="AH28" s="33">
        <f t="shared" si="31"/>
        <v>616.79980232679497</v>
      </c>
      <c r="AI28" s="31">
        <f t="shared" si="3"/>
        <v>20201</v>
      </c>
      <c r="AJ28" s="31"/>
      <c r="AK28" s="16"/>
      <c r="AL28" s="16"/>
      <c r="AM28" s="16"/>
      <c r="AN28" s="33" t="e">
        <f t="shared" si="13"/>
        <v>#DIV/0!</v>
      </c>
      <c r="AO28" s="32"/>
      <c r="AP28" s="33" t="str">
        <f t="shared" si="32"/>
        <v/>
      </c>
      <c r="AQ28" s="33" t="str">
        <f t="shared" si="33"/>
        <v/>
      </c>
      <c r="AR28" s="33" t="str">
        <f t="shared" si="34"/>
        <v/>
      </c>
      <c r="AS28" s="33">
        <f t="shared" si="35"/>
        <v>0</v>
      </c>
      <c r="AT28" s="31">
        <f t="shared" si="4"/>
        <v>20201</v>
      </c>
      <c r="AU28" s="31"/>
      <c r="AV28" s="16"/>
      <c r="AW28" s="16"/>
      <c r="AX28" s="16"/>
      <c r="AY28" s="33" t="e">
        <f t="shared" si="14"/>
        <v>#DIV/0!</v>
      </c>
      <c r="AZ28" s="32"/>
      <c r="BA28" s="33" t="str">
        <f t="shared" si="36"/>
        <v/>
      </c>
      <c r="BB28" s="33" t="str">
        <f t="shared" si="37"/>
        <v/>
      </c>
      <c r="BC28" s="33" t="str">
        <f t="shared" si="38"/>
        <v/>
      </c>
      <c r="BD28" s="33">
        <f t="shared" si="39"/>
        <v>0</v>
      </c>
      <c r="BE28" s="31">
        <f t="shared" si="5"/>
        <v>20201</v>
      </c>
      <c r="BF28" s="31"/>
      <c r="BG28" s="16"/>
      <c r="BH28" s="16"/>
      <c r="BI28" s="16"/>
      <c r="BJ28" s="33" t="e">
        <f t="shared" si="15"/>
        <v>#DIV/0!</v>
      </c>
      <c r="BK28" s="32"/>
      <c r="BL28" s="33" t="str">
        <f t="shared" si="40"/>
        <v/>
      </c>
      <c r="BM28" s="33" t="str">
        <f t="shared" si="41"/>
        <v/>
      </c>
      <c r="BN28" s="33" t="str">
        <f t="shared" si="42"/>
        <v/>
      </c>
      <c r="BO28" s="33">
        <f t="shared" si="43"/>
        <v>0</v>
      </c>
      <c r="BP28" s="31">
        <f t="shared" si="6"/>
        <v>20201</v>
      </c>
      <c r="BQ28" s="31"/>
      <c r="BR28" s="16"/>
      <c r="BS28" s="16"/>
      <c r="BT28" s="16"/>
      <c r="BU28" s="33" t="e">
        <f t="shared" si="16"/>
        <v>#DIV/0!</v>
      </c>
      <c r="BV28" s="32"/>
      <c r="BW28" s="33" t="str">
        <f t="shared" si="44"/>
        <v/>
      </c>
      <c r="BX28" s="33" t="str">
        <f t="shared" si="45"/>
        <v/>
      </c>
      <c r="BY28" s="33" t="str">
        <f t="shared" si="46"/>
        <v/>
      </c>
      <c r="BZ28" s="33">
        <f t="shared" si="47"/>
        <v>0</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288848.65999999997</v>
      </c>
      <c r="E29" s="14">
        <v>312151829.05000001</v>
      </c>
      <c r="F29" s="14">
        <v>407451782.33999997</v>
      </c>
      <c r="G29" s="33">
        <f t="shared" si="10"/>
        <v>1410.6064481656242</v>
      </c>
      <c r="H29" s="32"/>
      <c r="I29" s="33">
        <f t="shared" si="20"/>
        <v>1143787.4099999999</v>
      </c>
      <c r="J29" s="33">
        <f t="shared" si="21"/>
        <v>1212978686.6200001</v>
      </c>
      <c r="K29" s="33">
        <f t="shared" si="22"/>
        <v>1583470547.8299999</v>
      </c>
      <c r="L29" s="33">
        <f t="shared" si="23"/>
        <v>1384.4098422363295</v>
      </c>
      <c r="M29" s="31">
        <f t="shared" si="1"/>
        <v>20202</v>
      </c>
      <c r="N29" s="31"/>
      <c r="O29" s="16">
        <v>134068.62</v>
      </c>
      <c r="P29" s="16">
        <v>20480574.09</v>
      </c>
      <c r="Q29" s="16">
        <v>21912166.170000002</v>
      </c>
      <c r="R29" s="33">
        <f t="shared" si="11"/>
        <v>163.4399322526032</v>
      </c>
      <c r="S29" s="32"/>
      <c r="T29" s="33">
        <f t="shared" si="24"/>
        <v>532996.51</v>
      </c>
      <c r="U29" s="33">
        <f t="shared" si="25"/>
        <v>81505829.230000004</v>
      </c>
      <c r="V29" s="33">
        <f t="shared" si="26"/>
        <v>87208930.370000005</v>
      </c>
      <c r="W29" s="33">
        <f t="shared" si="27"/>
        <v>163.62007768118409</v>
      </c>
      <c r="X29" s="31">
        <f t="shared" si="2"/>
        <v>20202</v>
      </c>
      <c r="Y29" s="31"/>
      <c r="Z29" s="16">
        <v>36735.769999999997</v>
      </c>
      <c r="AA29" s="16">
        <v>20943887.23</v>
      </c>
      <c r="AB29" s="16">
        <v>23086446.969999999</v>
      </c>
      <c r="AC29" s="33">
        <f t="shared" si="12"/>
        <v>628.4459797630484</v>
      </c>
      <c r="AD29" s="32"/>
      <c r="AE29" s="33">
        <f t="shared" si="28"/>
        <v>146195.34999999998</v>
      </c>
      <c r="AF29" s="33">
        <f t="shared" si="29"/>
        <v>82432206.63000001</v>
      </c>
      <c r="AG29" s="33">
        <f t="shared" si="30"/>
        <v>90874594.810000002</v>
      </c>
      <c r="AH29" s="33">
        <f t="shared" si="31"/>
        <v>621.5970262392068</v>
      </c>
      <c r="AI29" s="31">
        <f t="shared" si="3"/>
        <v>20202</v>
      </c>
      <c r="AJ29" s="31"/>
      <c r="AK29" s="16"/>
      <c r="AL29" s="16"/>
      <c r="AM29" s="16"/>
      <c r="AN29" s="33" t="e">
        <f t="shared" si="13"/>
        <v>#DIV/0!</v>
      </c>
      <c r="AO29" s="32"/>
      <c r="AP29" s="33" t="str">
        <f t="shared" si="32"/>
        <v/>
      </c>
      <c r="AQ29" s="33" t="str">
        <f t="shared" si="33"/>
        <v/>
      </c>
      <c r="AR29" s="33" t="str">
        <f t="shared" si="34"/>
        <v/>
      </c>
      <c r="AS29" s="33">
        <f t="shared" si="35"/>
        <v>0</v>
      </c>
      <c r="AT29" s="31">
        <f t="shared" si="4"/>
        <v>20202</v>
      </c>
      <c r="AU29" s="31"/>
      <c r="AV29" s="16"/>
      <c r="AW29" s="16"/>
      <c r="AX29" s="16"/>
      <c r="AY29" s="33" t="e">
        <f t="shared" si="14"/>
        <v>#DIV/0!</v>
      </c>
      <c r="AZ29" s="32"/>
      <c r="BA29" s="33" t="str">
        <f t="shared" si="36"/>
        <v/>
      </c>
      <c r="BB29" s="33" t="str">
        <f t="shared" si="37"/>
        <v/>
      </c>
      <c r="BC29" s="33" t="str">
        <f t="shared" si="38"/>
        <v/>
      </c>
      <c r="BD29" s="33">
        <f t="shared" si="39"/>
        <v>0</v>
      </c>
      <c r="BE29" s="31">
        <f t="shared" si="5"/>
        <v>20202</v>
      </c>
      <c r="BF29" s="31"/>
      <c r="BG29" s="16"/>
      <c r="BH29" s="16"/>
      <c r="BI29" s="16"/>
      <c r="BJ29" s="33" t="e">
        <f t="shared" si="15"/>
        <v>#DIV/0!</v>
      </c>
      <c r="BK29" s="32"/>
      <c r="BL29" s="33" t="str">
        <f t="shared" si="40"/>
        <v/>
      </c>
      <c r="BM29" s="33" t="str">
        <f t="shared" si="41"/>
        <v/>
      </c>
      <c r="BN29" s="33" t="str">
        <f t="shared" si="42"/>
        <v/>
      </c>
      <c r="BO29" s="33">
        <f t="shared" si="43"/>
        <v>0</v>
      </c>
      <c r="BP29" s="31">
        <f t="shared" si="6"/>
        <v>20202</v>
      </c>
      <c r="BQ29" s="31"/>
      <c r="BR29" s="16"/>
      <c r="BS29" s="16"/>
      <c r="BT29" s="16"/>
      <c r="BU29" s="33" t="e">
        <f t="shared" si="16"/>
        <v>#DIV/0!</v>
      </c>
      <c r="BV29" s="32"/>
      <c r="BW29" s="33" t="str">
        <f t="shared" si="44"/>
        <v/>
      </c>
      <c r="BX29" s="33" t="str">
        <f t="shared" si="45"/>
        <v/>
      </c>
      <c r="BY29" s="33" t="str">
        <f t="shared" si="46"/>
        <v/>
      </c>
      <c r="BZ29" s="33">
        <f t="shared" si="47"/>
        <v>0</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289430.56</v>
      </c>
      <c r="E30" s="14">
        <v>319325155.50999999</v>
      </c>
      <c r="F30" s="14">
        <v>416815125.33999997</v>
      </c>
      <c r="G30" s="33">
        <f t="shared" si="10"/>
        <v>1440.1213380508264</v>
      </c>
      <c r="H30" s="32"/>
      <c r="I30" s="33">
        <f t="shared" si="20"/>
        <v>1149457.5900000001</v>
      </c>
      <c r="J30" s="33">
        <f t="shared" si="21"/>
        <v>1237304834.1600001</v>
      </c>
      <c r="K30" s="33">
        <f t="shared" si="22"/>
        <v>1615053999.6599998</v>
      </c>
      <c r="L30" s="33">
        <f t="shared" si="23"/>
        <v>1405.057492951958</v>
      </c>
      <c r="M30" s="31">
        <f t="shared" si="1"/>
        <v>20203</v>
      </c>
      <c r="N30" s="31"/>
      <c r="O30" s="16">
        <v>133427.98000000001</v>
      </c>
      <c r="P30" s="16">
        <v>20418576.949999999</v>
      </c>
      <c r="Q30" s="16">
        <v>21845835.469999999</v>
      </c>
      <c r="R30" s="33">
        <f t="shared" si="11"/>
        <v>163.7275440278718</v>
      </c>
      <c r="S30" s="32"/>
      <c r="T30" s="33">
        <f t="shared" si="24"/>
        <v>532474.41</v>
      </c>
      <c r="U30" s="33">
        <f t="shared" si="25"/>
        <v>81469125.63000001</v>
      </c>
      <c r="V30" s="33">
        <f t="shared" si="26"/>
        <v>87163817.319999993</v>
      </c>
      <c r="W30" s="33">
        <f t="shared" si="27"/>
        <v>163.69578646981361</v>
      </c>
      <c r="X30" s="31">
        <f t="shared" si="2"/>
        <v>20203</v>
      </c>
      <c r="Y30" s="31"/>
      <c r="Z30" s="16">
        <v>36666.480000000003</v>
      </c>
      <c r="AA30" s="16">
        <v>21132940.109999999</v>
      </c>
      <c r="AB30" s="16">
        <v>23294839.91</v>
      </c>
      <c r="AC30" s="33">
        <f t="shared" si="12"/>
        <v>635.31705006861853</v>
      </c>
      <c r="AD30" s="32"/>
      <c r="AE30" s="33">
        <f t="shared" si="28"/>
        <v>146415.51</v>
      </c>
      <c r="AF30" s="33">
        <f t="shared" si="29"/>
        <v>83277399.370000005</v>
      </c>
      <c r="AG30" s="33">
        <f t="shared" si="30"/>
        <v>91796677.560000002</v>
      </c>
      <c r="AH30" s="33">
        <f t="shared" si="31"/>
        <v>626.96006427187933</v>
      </c>
      <c r="AI30" s="31">
        <f t="shared" si="3"/>
        <v>20203</v>
      </c>
      <c r="AJ30" s="31"/>
      <c r="AK30" s="16"/>
      <c r="AL30" s="16"/>
      <c r="AM30" s="16"/>
      <c r="AN30" s="33" t="e">
        <f t="shared" si="13"/>
        <v>#DIV/0!</v>
      </c>
      <c r="AO30" s="32"/>
      <c r="AP30" s="33" t="str">
        <f t="shared" si="32"/>
        <v/>
      </c>
      <c r="AQ30" s="33" t="str">
        <f t="shared" si="33"/>
        <v/>
      </c>
      <c r="AR30" s="33" t="str">
        <f t="shared" si="34"/>
        <v/>
      </c>
      <c r="AS30" s="33">
        <f t="shared" si="35"/>
        <v>0</v>
      </c>
      <c r="AT30" s="31">
        <f t="shared" si="4"/>
        <v>20203</v>
      </c>
      <c r="AU30" s="31"/>
      <c r="AV30" s="16"/>
      <c r="AW30" s="16"/>
      <c r="AX30" s="16"/>
      <c r="AY30" s="33" t="e">
        <f t="shared" si="14"/>
        <v>#DIV/0!</v>
      </c>
      <c r="AZ30" s="32"/>
      <c r="BA30" s="33" t="str">
        <f t="shared" si="36"/>
        <v/>
      </c>
      <c r="BB30" s="33" t="str">
        <f t="shared" si="37"/>
        <v/>
      </c>
      <c r="BC30" s="33" t="str">
        <f t="shared" si="38"/>
        <v/>
      </c>
      <c r="BD30" s="33">
        <f t="shared" si="39"/>
        <v>0</v>
      </c>
      <c r="BE30" s="31">
        <f t="shared" si="5"/>
        <v>20203</v>
      </c>
      <c r="BF30" s="31"/>
      <c r="BG30" s="16"/>
      <c r="BH30" s="16"/>
      <c r="BI30" s="16"/>
      <c r="BJ30" s="33" t="e">
        <f t="shared" si="15"/>
        <v>#DIV/0!</v>
      </c>
      <c r="BK30" s="32"/>
      <c r="BL30" s="33" t="str">
        <f t="shared" si="40"/>
        <v/>
      </c>
      <c r="BM30" s="33" t="str">
        <f t="shared" si="41"/>
        <v/>
      </c>
      <c r="BN30" s="33" t="str">
        <f t="shared" si="42"/>
        <v/>
      </c>
      <c r="BO30" s="33">
        <f t="shared" si="43"/>
        <v>0</v>
      </c>
      <c r="BP30" s="31">
        <f t="shared" si="6"/>
        <v>20203</v>
      </c>
      <c r="BQ30" s="31"/>
      <c r="BR30" s="16"/>
      <c r="BS30" s="16"/>
      <c r="BT30" s="16"/>
      <c r="BU30" s="33" t="e">
        <f t="shared" si="16"/>
        <v>#DIV/0!</v>
      </c>
      <c r="BV30" s="32"/>
      <c r="BW30" s="33" t="str">
        <f t="shared" si="44"/>
        <v/>
      </c>
      <c r="BX30" s="33" t="str">
        <f t="shared" si="45"/>
        <v/>
      </c>
      <c r="BY30" s="33" t="str">
        <f t="shared" si="46"/>
        <v/>
      </c>
      <c r="BZ30" s="33">
        <f t="shared" si="47"/>
        <v>0</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292727.39</v>
      </c>
      <c r="E31" s="14">
        <v>330600140.54000002</v>
      </c>
      <c r="F31" s="14">
        <v>428736664.27999997</v>
      </c>
      <c r="G31" s="33">
        <f t="shared" si="10"/>
        <v>1464.6277694752102</v>
      </c>
      <c r="H31" s="32"/>
      <c r="I31" s="33">
        <f t="shared" si="20"/>
        <v>1157319.5499999998</v>
      </c>
      <c r="J31" s="33">
        <f t="shared" si="21"/>
        <v>1267599160.26</v>
      </c>
      <c r="K31" s="33">
        <f t="shared" si="22"/>
        <v>1651801484.4099998</v>
      </c>
      <c r="L31" s="33">
        <f t="shared" si="23"/>
        <v>1427.2648244903494</v>
      </c>
      <c r="M31" s="31">
        <f t="shared" si="1"/>
        <v>20204</v>
      </c>
      <c r="N31" s="31"/>
      <c r="O31" s="16">
        <v>132841.98000000001</v>
      </c>
      <c r="P31" s="16">
        <v>20452761.07</v>
      </c>
      <c r="Q31" s="16">
        <v>21752098.699999999</v>
      </c>
      <c r="R31" s="33">
        <f t="shared" si="11"/>
        <v>163.74416204877403</v>
      </c>
      <c r="S31" s="32"/>
      <c r="T31" s="33">
        <f t="shared" si="24"/>
        <v>532551.27</v>
      </c>
      <c r="U31" s="33">
        <f t="shared" si="25"/>
        <v>81604298.659999996</v>
      </c>
      <c r="V31" s="33">
        <f t="shared" si="26"/>
        <v>87178128.659999996</v>
      </c>
      <c r="W31" s="33">
        <f t="shared" si="27"/>
        <v>163.69903438592868</v>
      </c>
      <c r="X31" s="31">
        <f t="shared" si="2"/>
        <v>20204</v>
      </c>
      <c r="Y31" s="31"/>
      <c r="Z31" s="16">
        <v>37052.800000000003</v>
      </c>
      <c r="AA31" s="16">
        <v>21599066.309999999</v>
      </c>
      <c r="AB31" s="16">
        <v>23738718.190000001</v>
      </c>
      <c r="AC31" s="33">
        <f t="shared" si="12"/>
        <v>640.67272082001898</v>
      </c>
      <c r="AD31" s="32"/>
      <c r="AE31" s="33">
        <f t="shared" si="28"/>
        <v>146991.78999999998</v>
      </c>
      <c r="AF31" s="33">
        <f t="shared" si="29"/>
        <v>84373887.930000007</v>
      </c>
      <c r="AG31" s="33">
        <f t="shared" si="30"/>
        <v>92935404.25999999</v>
      </c>
      <c r="AH31" s="33">
        <f t="shared" si="31"/>
        <v>632.24894574043901</v>
      </c>
      <c r="AI31" s="31">
        <f t="shared" si="3"/>
        <v>20204</v>
      </c>
      <c r="AJ31" s="31"/>
      <c r="AK31" s="16"/>
      <c r="AL31" s="16"/>
      <c r="AM31" s="16"/>
      <c r="AN31" s="33" t="e">
        <f t="shared" si="13"/>
        <v>#DIV/0!</v>
      </c>
      <c r="AO31" s="32"/>
      <c r="AP31" s="33" t="str">
        <f t="shared" si="32"/>
        <v/>
      </c>
      <c r="AQ31" s="33" t="str">
        <f t="shared" si="33"/>
        <v/>
      </c>
      <c r="AR31" s="33" t="str">
        <f t="shared" si="34"/>
        <v/>
      </c>
      <c r="AS31" s="33">
        <f t="shared" si="35"/>
        <v>0</v>
      </c>
      <c r="AT31" s="31">
        <f t="shared" si="4"/>
        <v>20204</v>
      </c>
      <c r="AU31" s="31"/>
      <c r="AV31" s="16"/>
      <c r="AW31" s="16"/>
      <c r="AX31" s="16"/>
      <c r="AY31" s="33" t="e">
        <f t="shared" si="14"/>
        <v>#DIV/0!</v>
      </c>
      <c r="AZ31" s="32"/>
      <c r="BA31" s="33" t="str">
        <f t="shared" si="36"/>
        <v/>
      </c>
      <c r="BB31" s="33" t="str">
        <f t="shared" si="37"/>
        <v/>
      </c>
      <c r="BC31" s="33" t="str">
        <f t="shared" si="38"/>
        <v/>
      </c>
      <c r="BD31" s="33">
        <f t="shared" si="39"/>
        <v>0</v>
      </c>
      <c r="BE31" s="31">
        <f t="shared" si="5"/>
        <v>20204</v>
      </c>
      <c r="BF31" s="31"/>
      <c r="BG31" s="16"/>
      <c r="BH31" s="16"/>
      <c r="BI31" s="16"/>
      <c r="BJ31" s="33" t="e">
        <f t="shared" si="15"/>
        <v>#DIV/0!</v>
      </c>
      <c r="BK31" s="32"/>
      <c r="BL31" s="33" t="str">
        <f t="shared" si="40"/>
        <v/>
      </c>
      <c r="BM31" s="33" t="str">
        <f t="shared" si="41"/>
        <v/>
      </c>
      <c r="BN31" s="33" t="str">
        <f t="shared" si="42"/>
        <v/>
      </c>
      <c r="BO31" s="33">
        <f t="shared" si="43"/>
        <v>0</v>
      </c>
      <c r="BP31" s="31">
        <f t="shared" si="6"/>
        <v>20204</v>
      </c>
      <c r="BQ31" s="31"/>
      <c r="BR31" s="16"/>
      <c r="BS31" s="16"/>
      <c r="BT31" s="16"/>
      <c r="BU31" s="33" t="e">
        <f t="shared" si="16"/>
        <v>#DIV/0!</v>
      </c>
      <c r="BV31" s="32"/>
      <c r="BW31" s="33" t="str">
        <f t="shared" si="44"/>
        <v/>
      </c>
      <c r="BX31" s="33" t="str">
        <f t="shared" si="45"/>
        <v/>
      </c>
      <c r="BY31" s="33" t="str">
        <f t="shared" si="46"/>
        <v/>
      </c>
      <c r="BZ31" s="33">
        <f t="shared" si="47"/>
        <v>0</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294387.86</v>
      </c>
      <c r="E32" s="14">
        <v>344236501.73000002</v>
      </c>
      <c r="F32" s="14">
        <v>439708857.16000003</v>
      </c>
      <c r="G32" s="33">
        <f t="shared" si="10"/>
        <v>1493.6378733824147</v>
      </c>
      <c r="H32" s="32"/>
      <c r="I32" s="33">
        <f t="shared" si="20"/>
        <v>1165394.47</v>
      </c>
      <c r="J32" s="33">
        <f t="shared" si="21"/>
        <v>1306313626.8299999</v>
      </c>
      <c r="K32" s="33">
        <f t="shared" si="22"/>
        <v>1692712429.1200001</v>
      </c>
      <c r="L32" s="33">
        <f t="shared" si="23"/>
        <v>1452.4802311100723</v>
      </c>
      <c r="M32" s="31">
        <f t="shared" si="1"/>
        <v>20211</v>
      </c>
      <c r="N32" s="31"/>
      <c r="O32" s="16">
        <v>131121.9</v>
      </c>
      <c r="P32" s="16">
        <v>20628059.640000001</v>
      </c>
      <c r="Q32" s="16">
        <v>21609351.34</v>
      </c>
      <c r="R32" s="33">
        <f t="shared" si="11"/>
        <v>164.80352511670438</v>
      </c>
      <c r="S32" s="32"/>
      <c r="T32" s="33">
        <f t="shared" si="24"/>
        <v>531460.48</v>
      </c>
      <c r="U32" s="33">
        <f t="shared" si="25"/>
        <v>81979971.75</v>
      </c>
      <c r="V32" s="33">
        <f t="shared" si="26"/>
        <v>87119451.680000007</v>
      </c>
      <c r="W32" s="33">
        <f t="shared" si="27"/>
        <v>163.92460955892716</v>
      </c>
      <c r="X32" s="31">
        <f t="shared" si="2"/>
        <v>20211</v>
      </c>
      <c r="Y32" s="31"/>
      <c r="Z32" s="16">
        <v>37269.07</v>
      </c>
      <c r="AA32" s="16">
        <v>22054552.739999998</v>
      </c>
      <c r="AB32" s="16">
        <v>24071632.850000001</v>
      </c>
      <c r="AC32" s="33">
        <f t="shared" si="12"/>
        <v>645.887671734229</v>
      </c>
      <c r="AD32" s="32"/>
      <c r="AE32" s="33">
        <f t="shared" si="28"/>
        <v>147724.12</v>
      </c>
      <c r="AF32" s="33">
        <f t="shared" si="29"/>
        <v>85730446.390000001</v>
      </c>
      <c r="AG32" s="33">
        <f t="shared" si="30"/>
        <v>94191637.919999987</v>
      </c>
      <c r="AH32" s="33">
        <f t="shared" si="31"/>
        <v>637.6185413729321</v>
      </c>
      <c r="AI32" s="31">
        <f t="shared" si="3"/>
        <v>20211</v>
      </c>
      <c r="AJ32" s="31"/>
      <c r="AK32" s="16"/>
      <c r="AL32" s="16"/>
      <c r="AM32" s="16"/>
      <c r="AN32" s="33" t="e">
        <f t="shared" si="13"/>
        <v>#DIV/0!</v>
      </c>
      <c r="AO32" s="32"/>
      <c r="AP32" s="33" t="str">
        <f t="shared" si="32"/>
        <v/>
      </c>
      <c r="AQ32" s="33" t="str">
        <f t="shared" si="33"/>
        <v/>
      </c>
      <c r="AR32" s="33" t="str">
        <f t="shared" si="34"/>
        <v/>
      </c>
      <c r="AS32" s="33">
        <f t="shared" si="35"/>
        <v>0</v>
      </c>
      <c r="AT32" s="31">
        <f t="shared" si="4"/>
        <v>20211</v>
      </c>
      <c r="AU32" s="31"/>
      <c r="AV32" s="16"/>
      <c r="AW32" s="16"/>
      <c r="AX32" s="16"/>
      <c r="AY32" s="33" t="e">
        <f t="shared" si="14"/>
        <v>#DIV/0!</v>
      </c>
      <c r="AZ32" s="32"/>
      <c r="BA32" s="33" t="str">
        <f t="shared" si="36"/>
        <v/>
      </c>
      <c r="BB32" s="33" t="str">
        <f t="shared" si="37"/>
        <v/>
      </c>
      <c r="BC32" s="33" t="str">
        <f t="shared" si="38"/>
        <v/>
      </c>
      <c r="BD32" s="33">
        <f t="shared" si="39"/>
        <v>0</v>
      </c>
      <c r="BE32" s="31">
        <f t="shared" si="5"/>
        <v>20211</v>
      </c>
      <c r="BF32" s="31"/>
      <c r="BG32" s="16"/>
      <c r="BH32" s="16"/>
      <c r="BI32" s="16"/>
      <c r="BJ32" s="33" t="e">
        <f t="shared" si="15"/>
        <v>#DIV/0!</v>
      </c>
      <c r="BK32" s="32"/>
      <c r="BL32" s="33" t="str">
        <f t="shared" si="40"/>
        <v/>
      </c>
      <c r="BM32" s="33" t="str">
        <f t="shared" si="41"/>
        <v/>
      </c>
      <c r="BN32" s="33" t="str">
        <f t="shared" si="42"/>
        <v/>
      </c>
      <c r="BO32" s="33">
        <f t="shared" si="43"/>
        <v>0</v>
      </c>
      <c r="BP32" s="31">
        <f t="shared" si="6"/>
        <v>20211</v>
      </c>
      <c r="BQ32" s="31"/>
      <c r="BR32" s="16"/>
      <c r="BS32" s="16"/>
      <c r="BT32" s="16"/>
      <c r="BU32" s="33" t="e">
        <f t="shared" si="16"/>
        <v>#DIV/0!</v>
      </c>
      <c r="BV32" s="32"/>
      <c r="BW32" s="33" t="str">
        <f t="shared" si="44"/>
        <v/>
      </c>
      <c r="BX32" s="33" t="str">
        <f t="shared" si="45"/>
        <v/>
      </c>
      <c r="BY32" s="33" t="str">
        <f t="shared" si="46"/>
        <v/>
      </c>
      <c r="BZ32" s="33">
        <f t="shared" si="47"/>
        <v>0</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296502.2</v>
      </c>
      <c r="E33" s="14">
        <v>363995633.48000002</v>
      </c>
      <c r="F33" s="14">
        <v>452765019.32000011</v>
      </c>
      <c r="G33" s="33">
        <f t="shared" si="10"/>
        <v>1527.0207752927299</v>
      </c>
      <c r="H33" s="32"/>
      <c r="I33" s="33">
        <f t="shared" si="20"/>
        <v>1173048.01</v>
      </c>
      <c r="J33" s="33">
        <f t="shared" si="21"/>
        <v>1358157431.26</v>
      </c>
      <c r="K33" s="33">
        <f t="shared" si="22"/>
        <v>1738025666.1000001</v>
      </c>
      <c r="L33" s="33">
        <f t="shared" si="23"/>
        <v>1481.6321678939637</v>
      </c>
      <c r="M33" s="31">
        <f t="shared" si="1"/>
        <v>20212</v>
      </c>
      <c r="N33" s="31"/>
      <c r="O33" s="16">
        <v>134276.85</v>
      </c>
      <c r="P33" s="16">
        <v>21371276.050000001</v>
      </c>
      <c r="Q33" s="16">
        <v>22016841.420000002</v>
      </c>
      <c r="R33" s="33">
        <f t="shared" si="11"/>
        <v>163.96602556583656</v>
      </c>
      <c r="S33" s="32"/>
      <c r="T33" s="33">
        <f t="shared" si="24"/>
        <v>531668.71</v>
      </c>
      <c r="U33" s="33">
        <f t="shared" si="25"/>
        <v>82870673.709999993</v>
      </c>
      <c r="V33" s="33">
        <f t="shared" si="26"/>
        <v>87224126.930000007</v>
      </c>
      <c r="W33" s="33">
        <f t="shared" si="27"/>
        <v>164.05728847575028</v>
      </c>
      <c r="X33" s="31">
        <f t="shared" si="2"/>
        <v>20212</v>
      </c>
      <c r="Y33" s="31"/>
      <c r="Z33" s="16">
        <v>37632.350000000013</v>
      </c>
      <c r="AA33" s="16">
        <v>22624524.129999999</v>
      </c>
      <c r="AB33" s="16">
        <v>24503014.960000001</v>
      </c>
      <c r="AC33" s="33">
        <f t="shared" si="12"/>
        <v>651.11572782459757</v>
      </c>
      <c r="AD33" s="32"/>
      <c r="AE33" s="33">
        <f t="shared" si="28"/>
        <v>148620.70000000001</v>
      </c>
      <c r="AF33" s="33">
        <f t="shared" si="29"/>
        <v>87411083.289999992</v>
      </c>
      <c r="AG33" s="33">
        <f t="shared" si="30"/>
        <v>95608205.909999996</v>
      </c>
      <c r="AH33" s="33">
        <f t="shared" si="31"/>
        <v>643.30342886287031</v>
      </c>
      <c r="AI33" s="31">
        <f t="shared" si="3"/>
        <v>20212</v>
      </c>
      <c r="AJ33" s="31"/>
      <c r="AK33" s="16"/>
      <c r="AL33" s="16"/>
      <c r="AM33" s="16"/>
      <c r="AN33" s="33" t="e">
        <f t="shared" si="13"/>
        <v>#DIV/0!</v>
      </c>
      <c r="AO33" s="32"/>
      <c r="AP33" s="33" t="str">
        <f t="shared" si="32"/>
        <v/>
      </c>
      <c r="AQ33" s="33" t="str">
        <f t="shared" si="33"/>
        <v/>
      </c>
      <c r="AR33" s="33" t="str">
        <f t="shared" si="34"/>
        <v/>
      </c>
      <c r="AS33" s="33">
        <f t="shared" si="35"/>
        <v>0</v>
      </c>
      <c r="AT33" s="31">
        <f t="shared" si="4"/>
        <v>20212</v>
      </c>
      <c r="AU33" s="31"/>
      <c r="AV33" s="16"/>
      <c r="AW33" s="16"/>
      <c r="AX33" s="16"/>
      <c r="AY33" s="33" t="e">
        <f t="shared" si="14"/>
        <v>#DIV/0!</v>
      </c>
      <c r="AZ33" s="32"/>
      <c r="BA33" s="33" t="str">
        <f t="shared" si="36"/>
        <v/>
      </c>
      <c r="BB33" s="33" t="str">
        <f t="shared" si="37"/>
        <v/>
      </c>
      <c r="BC33" s="33" t="str">
        <f t="shared" si="38"/>
        <v/>
      </c>
      <c r="BD33" s="33">
        <f t="shared" si="39"/>
        <v>0</v>
      </c>
      <c r="BE33" s="31">
        <f t="shared" si="5"/>
        <v>20212</v>
      </c>
      <c r="BF33" s="31"/>
      <c r="BG33" s="16"/>
      <c r="BH33" s="16"/>
      <c r="BI33" s="16"/>
      <c r="BJ33" s="33" t="e">
        <f t="shared" si="15"/>
        <v>#DIV/0!</v>
      </c>
      <c r="BK33" s="32"/>
      <c r="BL33" s="33" t="str">
        <f t="shared" si="40"/>
        <v/>
      </c>
      <c r="BM33" s="33" t="str">
        <f t="shared" si="41"/>
        <v/>
      </c>
      <c r="BN33" s="33" t="str">
        <f t="shared" si="42"/>
        <v/>
      </c>
      <c r="BO33" s="33">
        <f t="shared" si="43"/>
        <v>0</v>
      </c>
      <c r="BP33" s="31">
        <f t="shared" si="6"/>
        <v>20212</v>
      </c>
      <c r="BQ33" s="31"/>
      <c r="BR33" s="16"/>
      <c r="BS33" s="16"/>
      <c r="BT33" s="16"/>
      <c r="BU33" s="33" t="e">
        <f t="shared" si="16"/>
        <v>#DIV/0!</v>
      </c>
      <c r="BV33" s="32"/>
      <c r="BW33" s="33" t="str">
        <f t="shared" si="44"/>
        <v/>
      </c>
      <c r="BX33" s="33" t="str">
        <f t="shared" si="45"/>
        <v/>
      </c>
      <c r="BY33" s="33" t="str">
        <f t="shared" si="46"/>
        <v/>
      </c>
      <c r="BZ33" s="33">
        <f t="shared" si="47"/>
        <v>0</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298442.69</v>
      </c>
      <c r="E34" s="14">
        <v>391105080.14999998</v>
      </c>
      <c r="F34" s="14">
        <v>468788076.57999998</v>
      </c>
      <c r="G34" s="33">
        <f t="shared" si="10"/>
        <v>1570.7808979338713</v>
      </c>
      <c r="H34" s="32"/>
      <c r="I34" s="33">
        <f t="shared" si="20"/>
        <v>1182060.1399999999</v>
      </c>
      <c r="J34" s="33">
        <f t="shared" si="21"/>
        <v>1429937355.9000001</v>
      </c>
      <c r="K34" s="33">
        <f t="shared" si="22"/>
        <v>1789998617.3400002</v>
      </c>
      <c r="L34" s="33">
        <f t="shared" si="23"/>
        <v>1514.3041853521938</v>
      </c>
      <c r="M34" s="31">
        <f t="shared" si="1"/>
        <v>20213</v>
      </c>
      <c r="N34" s="31"/>
      <c r="O34" s="16">
        <v>134692.71</v>
      </c>
      <c r="P34" s="16">
        <v>21840530.32</v>
      </c>
      <c r="Q34" s="16">
        <v>22092741.84</v>
      </c>
      <c r="R34" s="33">
        <f t="shared" si="11"/>
        <v>164.02329302008997</v>
      </c>
      <c r="S34" s="32"/>
      <c r="T34" s="33">
        <f t="shared" si="24"/>
        <v>532933.43999999994</v>
      </c>
      <c r="U34" s="33">
        <f t="shared" si="25"/>
        <v>84292627.080000013</v>
      </c>
      <c r="V34" s="33">
        <f t="shared" si="26"/>
        <v>87471033.299999997</v>
      </c>
      <c r="W34" s="33">
        <f t="shared" si="27"/>
        <v>164.13125305103767</v>
      </c>
      <c r="X34" s="31">
        <f t="shared" si="2"/>
        <v>20213</v>
      </c>
      <c r="Y34" s="31"/>
      <c r="Z34" s="16">
        <v>37891.129999999997</v>
      </c>
      <c r="AA34" s="16">
        <v>23307421.140000001</v>
      </c>
      <c r="AB34" s="16">
        <v>25038418.420000002</v>
      </c>
      <c r="AC34" s="33">
        <f t="shared" si="12"/>
        <v>660.79893684880881</v>
      </c>
      <c r="AD34" s="32"/>
      <c r="AE34" s="33">
        <f t="shared" si="28"/>
        <v>149845.35</v>
      </c>
      <c r="AF34" s="33">
        <f t="shared" si="29"/>
        <v>89585564.319999993</v>
      </c>
      <c r="AG34" s="33">
        <f t="shared" si="30"/>
        <v>97351784.420000002</v>
      </c>
      <c r="AH34" s="33">
        <f t="shared" si="31"/>
        <v>649.68171798457547</v>
      </c>
      <c r="AI34" s="31">
        <f t="shared" si="3"/>
        <v>20213</v>
      </c>
      <c r="AJ34" s="31"/>
      <c r="AK34" s="16"/>
      <c r="AL34" s="16"/>
      <c r="AM34" s="16"/>
      <c r="AN34" s="33" t="e">
        <f t="shared" si="13"/>
        <v>#DIV/0!</v>
      </c>
      <c r="AO34" s="32"/>
      <c r="AP34" s="33" t="str">
        <f t="shared" si="32"/>
        <v/>
      </c>
      <c r="AQ34" s="33" t="str">
        <f t="shared" si="33"/>
        <v/>
      </c>
      <c r="AR34" s="33" t="str">
        <f t="shared" si="34"/>
        <v/>
      </c>
      <c r="AS34" s="33">
        <f t="shared" si="35"/>
        <v>0</v>
      </c>
      <c r="AT34" s="31">
        <f t="shared" si="4"/>
        <v>20213</v>
      </c>
      <c r="AU34" s="31"/>
      <c r="AV34" s="16"/>
      <c r="AW34" s="16"/>
      <c r="AX34" s="16"/>
      <c r="AY34" s="33" t="e">
        <f t="shared" si="14"/>
        <v>#DIV/0!</v>
      </c>
      <c r="AZ34" s="32"/>
      <c r="BA34" s="33" t="str">
        <f t="shared" si="36"/>
        <v/>
      </c>
      <c r="BB34" s="33" t="str">
        <f t="shared" si="37"/>
        <v/>
      </c>
      <c r="BC34" s="33" t="str">
        <f t="shared" si="38"/>
        <v/>
      </c>
      <c r="BD34" s="33">
        <f t="shared" si="39"/>
        <v>0</v>
      </c>
      <c r="BE34" s="31">
        <f t="shared" si="5"/>
        <v>20213</v>
      </c>
      <c r="BF34" s="31"/>
      <c r="BG34" s="16"/>
      <c r="BH34" s="16"/>
      <c r="BI34" s="16"/>
      <c r="BJ34" s="33" t="e">
        <f t="shared" si="15"/>
        <v>#DIV/0!</v>
      </c>
      <c r="BK34" s="32"/>
      <c r="BL34" s="33" t="str">
        <f t="shared" si="40"/>
        <v/>
      </c>
      <c r="BM34" s="33" t="str">
        <f t="shared" si="41"/>
        <v/>
      </c>
      <c r="BN34" s="33" t="str">
        <f t="shared" si="42"/>
        <v/>
      </c>
      <c r="BO34" s="33">
        <f t="shared" si="43"/>
        <v>0</v>
      </c>
      <c r="BP34" s="31">
        <f t="shared" si="6"/>
        <v>20213</v>
      </c>
      <c r="BQ34" s="31"/>
      <c r="BR34" s="16"/>
      <c r="BS34" s="16"/>
      <c r="BT34" s="16"/>
      <c r="BU34" s="33" t="e">
        <f t="shared" si="16"/>
        <v>#DIV/0!</v>
      </c>
      <c r="BV34" s="32"/>
      <c r="BW34" s="33" t="str">
        <f t="shared" si="44"/>
        <v/>
      </c>
      <c r="BX34" s="33" t="str">
        <f t="shared" si="45"/>
        <v/>
      </c>
      <c r="BY34" s="33" t="str">
        <f t="shared" si="46"/>
        <v/>
      </c>
      <c r="BZ34" s="33">
        <f t="shared" si="47"/>
        <v>0</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300353.28999999998</v>
      </c>
      <c r="E35" s="14">
        <v>417121157.98000002</v>
      </c>
      <c r="F35" s="14">
        <v>486812400.5</v>
      </c>
      <c r="G35" s="33">
        <f t="shared" si="10"/>
        <v>1620.7992943909489</v>
      </c>
      <c r="H35" s="32"/>
      <c r="I35" s="33">
        <f t="shared" si="20"/>
        <v>1189686.04</v>
      </c>
      <c r="J35" s="33">
        <f t="shared" si="21"/>
        <v>1516458373.3400002</v>
      </c>
      <c r="K35" s="33">
        <f t="shared" si="22"/>
        <v>1848074353.5600002</v>
      </c>
      <c r="L35" s="33">
        <f t="shared" si="23"/>
        <v>1553.4134985394971</v>
      </c>
      <c r="M35" s="31">
        <f t="shared" si="1"/>
        <v>20214</v>
      </c>
      <c r="N35" s="31"/>
      <c r="O35" s="16">
        <v>135110.17000000001</v>
      </c>
      <c r="P35" s="16">
        <v>22169386.780000001</v>
      </c>
      <c r="Q35" s="16">
        <v>22185069</v>
      </c>
      <c r="R35" s="33">
        <f t="shared" si="11"/>
        <v>164.19984520780338</v>
      </c>
      <c r="S35" s="32"/>
      <c r="T35" s="33">
        <f t="shared" si="24"/>
        <v>535201.63</v>
      </c>
      <c r="U35" s="33">
        <f t="shared" si="25"/>
        <v>86009252.789999992</v>
      </c>
      <c r="V35" s="33">
        <f t="shared" si="26"/>
        <v>87904003.600000009</v>
      </c>
      <c r="W35" s="33">
        <f t="shared" si="27"/>
        <v>164.2446485075167</v>
      </c>
      <c r="X35" s="31">
        <f t="shared" si="2"/>
        <v>20214</v>
      </c>
      <c r="Y35" s="31"/>
      <c r="Z35" s="16">
        <v>38081.57</v>
      </c>
      <c r="AA35" s="16">
        <v>24019051.620000001</v>
      </c>
      <c r="AB35" s="16">
        <v>25681183.43</v>
      </c>
      <c r="AC35" s="33">
        <f t="shared" si="12"/>
        <v>674.37302164800451</v>
      </c>
      <c r="AD35" s="32"/>
      <c r="AE35" s="33">
        <f t="shared" si="28"/>
        <v>150874.12000000002</v>
      </c>
      <c r="AF35" s="33">
        <f t="shared" si="29"/>
        <v>92005549.629999995</v>
      </c>
      <c r="AG35" s="33">
        <f t="shared" si="30"/>
        <v>99294249.659999996</v>
      </c>
      <c r="AH35" s="33">
        <f t="shared" si="31"/>
        <v>658.1264544243902</v>
      </c>
      <c r="AI35" s="31">
        <f t="shared" si="3"/>
        <v>20214</v>
      </c>
      <c r="AJ35" s="31"/>
      <c r="AK35" s="16"/>
      <c r="AL35" s="16"/>
      <c r="AM35" s="16"/>
      <c r="AN35" s="33" t="e">
        <f t="shared" si="13"/>
        <v>#DIV/0!</v>
      </c>
      <c r="AO35" s="32"/>
      <c r="AP35" s="33" t="str">
        <f t="shared" si="32"/>
        <v/>
      </c>
      <c r="AQ35" s="33" t="str">
        <f t="shared" si="33"/>
        <v/>
      </c>
      <c r="AR35" s="33" t="str">
        <f t="shared" si="34"/>
        <v/>
      </c>
      <c r="AS35" s="33">
        <f t="shared" si="35"/>
        <v>0</v>
      </c>
      <c r="AT35" s="31">
        <f t="shared" si="4"/>
        <v>20214</v>
      </c>
      <c r="AU35" s="31"/>
      <c r="AV35" s="16"/>
      <c r="AW35" s="16"/>
      <c r="AX35" s="16"/>
      <c r="AY35" s="33" t="e">
        <f t="shared" si="14"/>
        <v>#DIV/0!</v>
      </c>
      <c r="AZ35" s="32"/>
      <c r="BA35" s="33" t="str">
        <f t="shared" si="36"/>
        <v/>
      </c>
      <c r="BB35" s="33" t="str">
        <f t="shared" si="37"/>
        <v/>
      </c>
      <c r="BC35" s="33" t="str">
        <f t="shared" si="38"/>
        <v/>
      </c>
      <c r="BD35" s="33">
        <f t="shared" si="39"/>
        <v>0</v>
      </c>
      <c r="BE35" s="31">
        <f t="shared" si="5"/>
        <v>20214</v>
      </c>
      <c r="BF35" s="31"/>
      <c r="BG35" s="16"/>
      <c r="BH35" s="16"/>
      <c r="BI35" s="16"/>
      <c r="BJ35" s="33" t="e">
        <f t="shared" si="15"/>
        <v>#DIV/0!</v>
      </c>
      <c r="BK35" s="32"/>
      <c r="BL35" s="33" t="str">
        <f t="shared" si="40"/>
        <v/>
      </c>
      <c r="BM35" s="33" t="str">
        <f t="shared" si="41"/>
        <v/>
      </c>
      <c r="BN35" s="33" t="str">
        <f t="shared" si="42"/>
        <v/>
      </c>
      <c r="BO35" s="33">
        <f t="shared" si="43"/>
        <v>0</v>
      </c>
      <c r="BP35" s="31">
        <f t="shared" si="6"/>
        <v>20214</v>
      </c>
      <c r="BQ35" s="31"/>
      <c r="BR35" s="16"/>
      <c r="BS35" s="16"/>
      <c r="BT35" s="16"/>
      <c r="BU35" s="33" t="e">
        <f t="shared" si="16"/>
        <v>#DIV/0!</v>
      </c>
      <c r="BV35" s="32"/>
      <c r="BW35" s="33" t="str">
        <f t="shared" si="44"/>
        <v/>
      </c>
      <c r="BX35" s="33" t="str">
        <f t="shared" si="45"/>
        <v/>
      </c>
      <c r="BY35" s="33" t="str">
        <f t="shared" si="46"/>
        <v/>
      </c>
      <c r="BZ35" s="33">
        <f t="shared" si="47"/>
        <v>0</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301908.26</v>
      </c>
      <c r="E36" s="14">
        <v>436964229.07999998</v>
      </c>
      <c r="F36" s="14">
        <v>500991695.36999989</v>
      </c>
      <c r="G36" s="33">
        <f t="shared" si="10"/>
        <v>1659.4169876968583</v>
      </c>
      <c r="H36" s="32"/>
      <c r="I36" s="33">
        <f t="shared" si="20"/>
        <v>1197206.44</v>
      </c>
      <c r="J36" s="33">
        <f t="shared" si="21"/>
        <v>1609186100.6900001</v>
      </c>
      <c r="K36" s="33">
        <f t="shared" si="22"/>
        <v>1909357191.77</v>
      </c>
      <c r="L36" s="33">
        <f t="shared" si="23"/>
        <v>1594.843736198078</v>
      </c>
      <c r="M36" s="31">
        <f>IF(RIGHT(M37,1)="1",M37-7,M37-1)</f>
        <v>20221</v>
      </c>
      <c r="N36" s="31"/>
      <c r="O36" s="16">
        <v>135332.60999999999</v>
      </c>
      <c r="P36" s="16">
        <v>22246335.239999998</v>
      </c>
      <c r="Q36" s="16">
        <v>22248507.309999999</v>
      </c>
      <c r="R36" s="33">
        <f t="shared" si="11"/>
        <v>164.39871594880199</v>
      </c>
      <c r="S36" s="32"/>
      <c r="T36" s="33">
        <f t="shared" si="24"/>
        <v>539412.34</v>
      </c>
      <c r="U36" s="33">
        <f t="shared" si="25"/>
        <v>87627528.390000001</v>
      </c>
      <c r="V36" s="33">
        <f t="shared" si="26"/>
        <v>88543159.570000008</v>
      </c>
      <c r="W36" s="33">
        <f t="shared" si="27"/>
        <v>164.14744899977634</v>
      </c>
      <c r="X36" s="31">
        <f>IF(RIGHT(X37,1)="1",X37-7,X37-1)</f>
        <v>20221</v>
      </c>
      <c r="Y36" s="31"/>
      <c r="Z36" s="16">
        <v>38243.86</v>
      </c>
      <c r="AA36" s="16">
        <v>24607791.710000001</v>
      </c>
      <c r="AB36" s="16">
        <v>26307357.129999999</v>
      </c>
      <c r="AC36" s="33">
        <f t="shared" si="12"/>
        <v>687.88446380673918</v>
      </c>
      <c r="AD36" s="32"/>
      <c r="AE36" s="33">
        <f t="shared" si="28"/>
        <v>151848.91000000003</v>
      </c>
      <c r="AF36" s="33">
        <f t="shared" si="29"/>
        <v>94558788.599999994</v>
      </c>
      <c r="AG36" s="33">
        <f t="shared" si="30"/>
        <v>101529973.94</v>
      </c>
      <c r="AH36" s="33">
        <f t="shared" si="31"/>
        <v>668.62497689314978</v>
      </c>
      <c r="AI36" s="31">
        <f>IF(RIGHT(AI37,1)="1",AI37-7,AI37-1)</f>
        <v>20221</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20221</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20221</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20221</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303657</v>
      </c>
      <c r="E37" s="14">
        <v>461273801.62</v>
      </c>
      <c r="F37" s="14">
        <v>516548766.25</v>
      </c>
      <c r="G37" s="33">
        <f>F37/D37</f>
        <v>1701.0928984018153</v>
      </c>
      <c r="H37" s="32"/>
      <c r="I37" s="33">
        <f t="shared" si="20"/>
        <v>1204361.24</v>
      </c>
      <c r="J37" s="33">
        <f t="shared" si="21"/>
        <v>1706464268.8299999</v>
      </c>
      <c r="K37" s="33">
        <f t="shared" si="22"/>
        <v>1973140938.6999998</v>
      </c>
      <c r="L37" s="33">
        <f t="shared" si="23"/>
        <v>1638.3298242809606</v>
      </c>
      <c r="M37" s="133">
        <f>$B$37</f>
        <v>20222</v>
      </c>
      <c r="N37" s="27"/>
      <c r="O37" s="16">
        <v>136198.46</v>
      </c>
      <c r="P37" s="16">
        <v>22482581.420000002</v>
      </c>
      <c r="Q37" s="16">
        <v>22482581.390000001</v>
      </c>
      <c r="R37" s="33">
        <f>Q37/O37</f>
        <v>165.07221439948736</v>
      </c>
      <c r="S37" s="32"/>
      <c r="T37" s="33">
        <f t="shared" si="24"/>
        <v>541333.94999999995</v>
      </c>
      <c r="U37" s="33">
        <f t="shared" si="25"/>
        <v>88738833.760000005</v>
      </c>
      <c r="V37" s="33">
        <f t="shared" si="26"/>
        <v>89008899.540000007</v>
      </c>
      <c r="W37" s="33">
        <f t="shared" si="27"/>
        <v>164.42511972507916</v>
      </c>
      <c r="X37" s="133">
        <f>$B$37</f>
        <v>20222</v>
      </c>
      <c r="Y37" s="27"/>
      <c r="Z37" s="16">
        <v>38435.57</v>
      </c>
      <c r="AA37" s="16">
        <v>25344842.140000001</v>
      </c>
      <c r="AB37" s="16">
        <v>27096170.620000001</v>
      </c>
      <c r="AC37" s="33">
        <f>AB37/Z37</f>
        <v>704.97642210067397</v>
      </c>
      <c r="AD37" s="32"/>
      <c r="AE37" s="33">
        <f t="shared" si="28"/>
        <v>152652.13</v>
      </c>
      <c r="AF37" s="33">
        <f t="shared" si="29"/>
        <v>97279106.609999999</v>
      </c>
      <c r="AG37" s="33">
        <f t="shared" si="30"/>
        <v>104123129.60000001</v>
      </c>
      <c r="AH37" s="33">
        <f t="shared" si="31"/>
        <v>682.09418106383453</v>
      </c>
      <c r="AI37" s="133">
        <f>$B$37</f>
        <v>20222</v>
      </c>
      <c r="AJ37" s="27"/>
      <c r="AK37" s="16"/>
      <c r="AL37" s="16"/>
      <c r="AM37" s="16"/>
      <c r="AN37" s="33" t="e">
        <f>AM37/AK37</f>
        <v>#DIV/0!</v>
      </c>
      <c r="AO37" s="32"/>
      <c r="AP37" s="33" t="str">
        <f t="shared" si="32"/>
        <v/>
      </c>
      <c r="AQ37" s="33" t="str">
        <f t="shared" si="33"/>
        <v/>
      </c>
      <c r="AR37" s="33" t="str">
        <f t="shared" si="34"/>
        <v/>
      </c>
      <c r="AS37" s="33">
        <f t="shared" si="35"/>
        <v>0</v>
      </c>
      <c r="AT37" s="133">
        <f>$B$37</f>
        <v>20222</v>
      </c>
      <c r="AU37" s="27"/>
      <c r="AV37" s="16"/>
      <c r="AW37" s="16"/>
      <c r="AX37" s="16"/>
      <c r="AY37" s="33" t="e">
        <f>AX37/AV37</f>
        <v>#DIV/0!</v>
      </c>
      <c r="AZ37" s="32"/>
      <c r="BA37" s="33" t="str">
        <f t="shared" si="36"/>
        <v/>
      </c>
      <c r="BB37" s="33" t="str">
        <f t="shared" si="37"/>
        <v/>
      </c>
      <c r="BC37" s="33" t="str">
        <f t="shared" si="38"/>
        <v/>
      </c>
      <c r="BD37" s="33">
        <f t="shared" si="39"/>
        <v>0</v>
      </c>
      <c r="BE37" s="133">
        <f>$B$37</f>
        <v>20222</v>
      </c>
      <c r="BF37" s="27"/>
      <c r="BG37" s="16"/>
      <c r="BH37" s="16"/>
      <c r="BI37" s="16"/>
      <c r="BJ37" s="33" t="e">
        <f>BI37/BG37</f>
        <v>#DIV/0!</v>
      </c>
      <c r="BK37" s="32"/>
      <c r="BL37" s="33" t="str">
        <f t="shared" si="40"/>
        <v/>
      </c>
      <c r="BM37" s="33" t="str">
        <f t="shared" si="41"/>
        <v/>
      </c>
      <c r="BN37" s="33" t="str">
        <f t="shared" si="42"/>
        <v/>
      </c>
      <c r="BO37" s="33">
        <f t="shared" si="43"/>
        <v>0</v>
      </c>
      <c r="BP37" s="133">
        <f>$B$37</f>
        <v>20222</v>
      </c>
      <c r="BQ37" s="27"/>
      <c r="BR37" s="16"/>
      <c r="BS37" s="16"/>
      <c r="BT37" s="16"/>
      <c r="BU37" s="33" t="e">
        <f>BT37/BR37</f>
        <v>#DIV/0!</v>
      </c>
      <c r="BV37" s="32"/>
      <c r="BW37" s="33" t="str">
        <f t="shared" si="44"/>
        <v/>
      </c>
      <c r="BX37" s="33" t="str">
        <f t="shared" si="45"/>
        <v/>
      </c>
      <c r="BY37" s="33" t="str">
        <f t="shared" si="46"/>
        <v/>
      </c>
      <c r="BZ37" s="33">
        <f t="shared" si="47"/>
        <v>0</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11</v>
      </c>
      <c r="E40" s="88">
        <f>VLOOKUP($D$40,$K$40:$L$44,2,FALSE)</f>
        <v>5.2592572800646664E-2</v>
      </c>
      <c r="F40" s="135" t="str">
        <f>IF($D$40&lt;&gt;'4.Exhibit 8'!$D$40,"ERROR!  The number of data points selected must be","")</f>
        <v/>
      </c>
      <c r="K40" s="70" t="s">
        <v>7</v>
      </c>
      <c r="L40" s="220">
        <f>LOGEST(L30:L$37)^4-1</f>
        <v>9.2280983145638817E-2</v>
      </c>
      <c r="M40" s="25" t="s">
        <v>12</v>
      </c>
      <c r="O40" s="86" t="s">
        <v>8</v>
      </c>
      <c r="P40" s="88">
        <f>VLOOKUP($O$40,$V$40:$W$44,2,FALSE)</f>
        <v>2.9513230952367131E-3</v>
      </c>
      <c r="Q40" s="135" t="str">
        <f>IF($O$40&lt;&gt;'4.Exhibit 8'!$V$40,"ERROR!  The number of data points selected must be","")</f>
        <v/>
      </c>
      <c r="V40" s="70" t="s">
        <v>7</v>
      </c>
      <c r="W40" s="220">
        <f>LOGEST(W30:W$37)^4-1</f>
        <v>2.4362172236849222E-3</v>
      </c>
      <c r="X40" s="25" t="s">
        <v>12</v>
      </c>
      <c r="Z40" s="86" t="s">
        <v>10</v>
      </c>
      <c r="AA40" s="88">
        <f>VLOOKUP($Z$40,$AG$40:$AH$44,2,FALSE)</f>
        <v>3.3424092622288182E-2</v>
      </c>
      <c r="AB40" s="135" t="str">
        <f>IF($Z$40&lt;&gt;'4.Exhibit 8'!$AN$40,"ERROR!  The number of data points selected must be","")</f>
        <v/>
      </c>
      <c r="AG40" s="70" t="s">
        <v>7</v>
      </c>
      <c r="AH40" s="220">
        <f>LOGEST(AH30:AH$37)^4-1</f>
        <v>4.7499887692007192E-2</v>
      </c>
      <c r="AI40" s="25" t="s">
        <v>12</v>
      </c>
      <c r="AK40" s="86"/>
      <c r="AL40" s="88" t="e">
        <f>VLOOKUP($AK$40,$AR$40:$AS$44,2,FALSE)</f>
        <v>#N/A</v>
      </c>
      <c r="AM40" s="135" t="str">
        <f>IF($AK$40&lt;&gt;'4.Exhibit 8'!$BF$40,"ERROR!  The number of data points selected must be","")</f>
        <v/>
      </c>
      <c r="AR40" s="70" t="s">
        <v>7</v>
      </c>
      <c r="AS40" s="220" t="e">
        <f>LOGEST(AS30:AS$37)^4-1</f>
        <v>#NUM!</v>
      </c>
      <c r="AT40" s="25" t="s">
        <v>12</v>
      </c>
      <c r="AV40" s="86"/>
      <c r="AW40" s="88" t="e">
        <f>VLOOKUP($AV$40,$BC$40:$BD$44,2,FALSE)</f>
        <v>#N/A</v>
      </c>
      <c r="AX40" s="135" t="str">
        <f>IF($AV$40&lt;&gt;'4.Exhibit 8'!$BX$40,"ERROR!  The number of data points selected must be","")</f>
        <v/>
      </c>
      <c r="BC40" s="70" t="s">
        <v>7</v>
      </c>
      <c r="BD40" s="220" t="e">
        <f>LOGEST(BD30:BD$37)^4-1</f>
        <v>#NUM!</v>
      </c>
      <c r="BE40" s="25" t="s">
        <v>12</v>
      </c>
      <c r="BG40" s="86"/>
      <c r="BH40" s="88" t="e">
        <f>VLOOKUP($BG$40,$BN$40:$BO$44,2,FALSE)</f>
        <v>#N/A</v>
      </c>
      <c r="BI40" s="135" t="str">
        <f>IF($BG$40&lt;&gt;'4.Exhibit 8'!$CP$40,"ERROR!  The number of data points selected must be","")</f>
        <v/>
      </c>
      <c r="BN40" s="70" t="s">
        <v>7</v>
      </c>
      <c r="BO40" s="220" t="e">
        <f>LOGEST(BO30:BO$37)^4-1</f>
        <v>#NUM!</v>
      </c>
      <c r="BP40" s="25" t="s">
        <v>12</v>
      </c>
      <c r="BR40" s="86"/>
      <c r="BS40" s="88" t="e">
        <f>VLOOKUP($BR$40,$BY$40:$BZ$44,2,FALSE)</f>
        <v>#N/A</v>
      </c>
      <c r="BT40" s="135" t="str">
        <f>IF($BR$40&lt;&gt;'4.Exhibit 8'!$DH$40,"ERROR!  The number of data points selected must be","")</f>
        <v/>
      </c>
      <c r="BY40" s="70" t="s">
        <v>7</v>
      </c>
      <c r="BZ40" s="220" t="e">
        <f>LOGEST(BZ30:BZ$37)^4-1</f>
        <v>#NUM!</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7.6644997288008776E-2</v>
      </c>
      <c r="Q41" s="136" t="str">
        <f>IF($O$40&lt;&gt;'4.Exhibit 8'!$V$40,"the same for premium trend and loss trend.","")</f>
        <v/>
      </c>
      <c r="R41" s="37"/>
      <c r="V41" s="70" t="s">
        <v>8</v>
      </c>
      <c r="W41" s="220">
        <f>LOGEST(W26:W$37)^4-1</f>
        <v>2.9513230952367131E-3</v>
      </c>
      <c r="AB41" s="136" t="str">
        <f>IF($Z$40&lt;&gt;'4.Exhibit 8'!$AN$40,"the same for premium trend and loss trend.","")</f>
        <v/>
      </c>
      <c r="AC41" s="37"/>
      <c r="AG41" s="70" t="s">
        <v>8</v>
      </c>
      <c r="AH41" s="220">
        <f>LOGEST(AH26:AH$37)^4-1</f>
        <v>4.0663166131756912E-2</v>
      </c>
      <c r="AM41" s="136" t="str">
        <f>IF($AK$40&lt;&gt;'4.Exhibit 8'!$BF$40,"the same for premium trend and loss trend.","")</f>
        <v/>
      </c>
      <c r="AN41" s="37"/>
      <c r="AR41" s="70" t="s">
        <v>8</v>
      </c>
      <c r="AS41" s="220" t="e">
        <f>LOGEST(AS26:AS$37)^4-1</f>
        <v>#NUM!</v>
      </c>
      <c r="AX41" s="136" t="str">
        <f>IF($AV$40&lt;&gt;'4.Exhibit 8'!$BX$40,"the same for premium trend and loss trend.","")</f>
        <v/>
      </c>
      <c r="AY41" s="37"/>
      <c r="BC41" s="70" t="s">
        <v>8</v>
      </c>
      <c r="BD41" s="220" t="e">
        <f>LOGEST(BD26:BD$37)^4-1</f>
        <v>#NUM!</v>
      </c>
      <c r="BI41" s="136" t="str">
        <f>IF($BG$40&lt;&gt;'4.Exhibit 8'!$CP$40,"the same for premium trend and loss trend.","")</f>
        <v/>
      </c>
      <c r="BJ41" s="37"/>
      <c r="BN41" s="70" t="s">
        <v>8</v>
      </c>
      <c r="BO41" s="220" t="e">
        <f>LOGEST(BO26:BO$37)^4-1</f>
        <v>#NUM!</v>
      </c>
      <c r="BT41" s="136" t="str">
        <f>IF($BR$40&lt;&gt;'4.Exhibit 8'!$DH$40,"the same for premium trend and loss trend.","")</f>
        <v/>
      </c>
      <c r="BU41" s="37"/>
      <c r="BY41" s="70" t="s">
        <v>8</v>
      </c>
      <c r="BZ41" s="220" t="e">
        <f>LOGEST(BZ26:BZ$37)^4-1</f>
        <v>#NUM!</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f>IFERROR(((12+PolicyTermAvgAnn)/24)+((EffDate_Proposed-(DATE(LEFT(FYQtr,4),(RIGHT(FYQtr,1)*3)-6+1,1)-1))/365.25),"")</f>
        <v>2.6673511293634498</v>
      </c>
      <c r="K42" s="70" t="s">
        <v>9</v>
      </c>
      <c r="L42" s="220">
        <f>LOGEST(L22:L$37)^4-1</f>
        <v>6.7216406770292947E-2</v>
      </c>
      <c r="M42" s="25" t="s">
        <v>53</v>
      </c>
      <c r="R42" s="261">
        <f>$G$42</f>
        <v>2.6673511293634498</v>
      </c>
      <c r="V42" s="70" t="s">
        <v>9</v>
      </c>
      <c r="W42" s="220">
        <f>LOGEST(W22:W$37)^4-1</f>
        <v>3.4321082989050566E-3</v>
      </c>
      <c r="X42" s="25" t="s">
        <v>53</v>
      </c>
      <c r="AC42" s="261">
        <f>$G$42</f>
        <v>2.6673511293634498</v>
      </c>
      <c r="AG42" s="70" t="s">
        <v>9</v>
      </c>
      <c r="AH42" s="220">
        <f>LOGEST(AH22:AH$37)^4-1</f>
        <v>3.7181815585924927E-2</v>
      </c>
      <c r="AI42" s="25" t="s">
        <v>53</v>
      </c>
      <c r="AN42" s="261">
        <f>$G$42</f>
        <v>2.6673511293634498</v>
      </c>
      <c r="AR42" s="70" t="s">
        <v>9</v>
      </c>
      <c r="AS42" s="220" t="e">
        <f>LOGEST(AS22:AS$37)^4-1</f>
        <v>#NUM!</v>
      </c>
      <c r="AT42" s="25" t="s">
        <v>53</v>
      </c>
      <c r="AY42" s="261">
        <f>$G$42</f>
        <v>2.6673511293634498</v>
      </c>
      <c r="BC42" s="70" t="s">
        <v>9</v>
      </c>
      <c r="BD42" s="220" t="e">
        <f>LOGEST(BD22:BD$37)^4-1</f>
        <v>#NUM!</v>
      </c>
      <c r="BE42" s="25" t="s">
        <v>53</v>
      </c>
      <c r="BJ42" s="261">
        <f>$G$42</f>
        <v>2.6673511293634498</v>
      </c>
      <c r="BN42" s="70" t="s">
        <v>9</v>
      </c>
      <c r="BO42" s="220" t="e">
        <f>LOGEST(BO22:BO$37)^4-1</f>
        <v>#NUM!</v>
      </c>
      <c r="BP42" s="25" t="s">
        <v>53</v>
      </c>
      <c r="BU42" s="261">
        <f>$G$42</f>
        <v>2.6673511293634498</v>
      </c>
      <c r="BY42" s="70" t="s">
        <v>9</v>
      </c>
      <c r="BZ42" s="220" t="e">
        <f>LOGEST(BZ22:BZ$37)^4-1</f>
        <v>#NUM!</v>
      </c>
      <c r="CA42" s="25" t="s">
        <v>53</v>
      </c>
      <c r="CF42" s="261">
        <f>$G$42</f>
        <v>2.6673511293634498</v>
      </c>
      <c r="CJ42" s="70" t="s">
        <v>9</v>
      </c>
      <c r="CK42" s="220" t="e">
        <f>LOGEST(CK22:CK$37)^4-1</f>
        <v>#NUM!</v>
      </c>
      <c r="CL42" s="25" t="s">
        <v>53</v>
      </c>
      <c r="CQ42" s="261">
        <f>$G$42</f>
        <v>2.6673511293634498</v>
      </c>
      <c r="CU42" s="70" t="s">
        <v>9</v>
      </c>
      <c r="CV42" s="220" t="e">
        <f>LOGEST(CV22:CV$37)^4-1</f>
        <v>#NUM!</v>
      </c>
      <c r="CW42" s="25" t="s">
        <v>53</v>
      </c>
      <c r="DB42" s="261">
        <f>$G$42</f>
        <v>2.6673511293634498</v>
      </c>
      <c r="DF42" s="70" t="s">
        <v>9</v>
      </c>
      <c r="DG42" s="220" t="e">
        <f>LOGEST(DG22:DG$37)^4-1</f>
        <v>#NUM!</v>
      </c>
    </row>
    <row r="43" spans="1:111" x14ac:dyDescent="0.25">
      <c r="B43" s="37"/>
      <c r="F43" s="135" t="str">
        <f>IF($G$42&lt;&gt;'4.Exhibit 8'!$F$46,"ERROR!  The trend period must be identical for","")</f>
        <v/>
      </c>
      <c r="K43" s="70" t="s">
        <v>10</v>
      </c>
      <c r="L43" s="220">
        <f>LOGEST(L18:L$37)^4-1</f>
        <v>5.9376226585368341E-2</v>
      </c>
      <c r="M43" s="37"/>
      <c r="Q43" s="135"/>
      <c r="V43" s="70" t="s">
        <v>10</v>
      </c>
      <c r="W43" s="220">
        <f>LOGEST(W18:W$37)^4-1</f>
        <v>3.3468894129307092E-3</v>
      </c>
      <c r="X43" s="37"/>
      <c r="AB43" s="135"/>
      <c r="AG43" s="70" t="s">
        <v>10</v>
      </c>
      <c r="AH43" s="220">
        <f>LOGEST(AH18:AH$37)^4-1</f>
        <v>3.3424092622288182E-2</v>
      </c>
      <c r="AI43" s="37"/>
      <c r="AM43" s="135"/>
      <c r="AR43" s="70" t="s">
        <v>10</v>
      </c>
      <c r="AS43" s="220" t="e">
        <f>LOGEST(AS18:AS$37)^4-1</f>
        <v>#NUM!</v>
      </c>
      <c r="AT43" s="37"/>
      <c r="AX43" s="135"/>
      <c r="BC43" s="70" t="s">
        <v>10</v>
      </c>
      <c r="BD43" s="220" t="e">
        <f>LOGEST(BD18:BD$37)^4-1</f>
        <v>#NUM!</v>
      </c>
      <c r="BE43" s="37"/>
      <c r="BI43" s="135"/>
      <c r="BN43" s="70" t="s">
        <v>10</v>
      </c>
      <c r="BO43" s="220" t="e">
        <f>LOGEST(BO18:BO$37)^4-1</f>
        <v>#NUM!</v>
      </c>
      <c r="BP43" s="37"/>
      <c r="BT43" s="135"/>
      <c r="BY43" s="70" t="s">
        <v>10</v>
      </c>
      <c r="BZ43" s="220" t="e">
        <f>LOGEST(BZ18:BZ$37)^4-1</f>
        <v>#NUM!</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5.2592572800646664E-2</v>
      </c>
      <c r="M44" s="37"/>
      <c r="Q44" s="135"/>
      <c r="V44" s="72" t="s">
        <v>11</v>
      </c>
      <c r="W44" s="221">
        <f>LOGEST(W14:W$37)^4-1</f>
        <v>7.1939364510760218E-3</v>
      </c>
      <c r="X44" s="37"/>
      <c r="AB44" s="135"/>
      <c r="AG44" s="72" t="s">
        <v>11</v>
      </c>
      <c r="AH44" s="221">
        <f>LOGEST(AH14:AH$37)^4-1</f>
        <v>3.3182504715237204E-2</v>
      </c>
      <c r="AI44" s="37"/>
      <c r="AM44" s="135"/>
      <c r="AR44" s="72" t="s">
        <v>11</v>
      </c>
      <c r="AS44" s="221" t="e">
        <f>LOGEST(AS14:AS$37)^4-1</f>
        <v>#NUM!</v>
      </c>
      <c r="AT44" s="37"/>
      <c r="AX44" s="135"/>
      <c r="BC44" s="72" t="s">
        <v>11</v>
      </c>
      <c r="BD44" s="221" t="e">
        <f>LOGEST(BD14:BD$37)^4-1</f>
        <v>#NUM!</v>
      </c>
      <c r="BE44" s="37"/>
      <c r="BI44" s="135"/>
      <c r="BN44" s="72" t="s">
        <v>11</v>
      </c>
      <c r="BO44" s="221" t="e">
        <f>LOGEST(BO14:BO$37)^4-1</f>
        <v>#NUM!</v>
      </c>
      <c r="BP44" s="37"/>
      <c r="BT44" s="135"/>
      <c r="BY44" s="72" t="s">
        <v>11</v>
      </c>
      <c r="BZ44" s="221" t="e">
        <f>LOGEST(BZ14:BZ$37)^4-1</f>
        <v>#NUM!</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1.4814177571413742</v>
      </c>
      <c r="J46" s="125"/>
      <c r="K46" s="125"/>
      <c r="L46" s="71"/>
      <c r="M46" s="38" t="s">
        <v>20</v>
      </c>
      <c r="O46" s="85">
        <f>(1+PTrnd_Cov2)^(R$42+5)</f>
        <v>1.0228527155435529</v>
      </c>
      <c r="U46" s="125"/>
      <c r="V46" s="125"/>
      <c r="W46" s="71"/>
      <c r="X46" s="38" t="s">
        <v>20</v>
      </c>
      <c r="Z46" s="85">
        <f>(1+PTrnd_Cov3)^(AC$42+5)</f>
        <v>1.2867047476217424</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1.4073990216364027</v>
      </c>
      <c r="M47" s="38" t="s">
        <v>19</v>
      </c>
      <c r="O47" s="46">
        <f>(1+PTrnd_Cov2)^(R$42+4)</f>
        <v>1.019842829846316</v>
      </c>
      <c r="X47" s="38" t="s">
        <v>19</v>
      </c>
      <c r="Z47" s="46">
        <f>(1+PTrnd_Cov3)^(AC$42+4)</f>
        <v>1.2450887847570504</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1.3370786171250648</v>
      </c>
      <c r="M48" s="38" t="s">
        <v>18</v>
      </c>
      <c r="O48" s="46">
        <f>(1+PTrnd_Cov2)^(R$42+3)</f>
        <v>1.016841801154367</v>
      </c>
      <c r="X48" s="38" t="s">
        <v>18</v>
      </c>
      <c r="Z48" s="46">
        <f>(1+PTrnd_Cov3)^(AC$42+3)</f>
        <v>1.2048188092825167</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1.2702717572550246</v>
      </c>
      <c r="M49" s="38" t="s">
        <v>17</v>
      </c>
      <c r="O49" s="46">
        <f>(1+PTrnd_Cov2)^(R$42+2)</f>
        <v>1.013849603404742</v>
      </c>
      <c r="X49" s="38" t="s">
        <v>17</v>
      </c>
      <c r="Z49" s="46">
        <f>(1+PTrnd_Cov3)^(AC$42+2)</f>
        <v>1.1658512878534877</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1.2068028884862794</v>
      </c>
      <c r="M50" s="38" t="s">
        <v>16</v>
      </c>
      <c r="O50" s="46">
        <f>(1+PTrnd_Cov2)^(R$42+1)</f>
        <v>1.0108662106111708</v>
      </c>
      <c r="X50" s="38" t="s">
        <v>16</v>
      </c>
      <c r="Z50" s="46">
        <f>(1+PTrnd_Cov3)^(AC$42+1)</f>
        <v>1.1281440951266859</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1.1465052287755777</v>
      </c>
      <c r="M51" s="38" t="s">
        <v>15</v>
      </c>
      <c r="O51" s="46">
        <f>(1+PTrnd_Cov2)^(R$42+0)</f>
        <v>1.0078915968638515</v>
      </c>
      <c r="X51" s="38" t="s">
        <v>15</v>
      </c>
      <c r="Z51" s="46">
        <f>(1+PTrnd_Cov3)^(AC$42+0)</f>
        <v>1.0916564682211425</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pklQRx+zW9piMmydM1rF5bNrLOyMnLfRyus9WNeaIhVnsiIfVK3hCeIwwkE7SW1zuv5//mXbNgbRWb+FbeIgtw==" saltValue="1FXmxwuX6Ovxy232Cos/t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&amp;L1/3/2023 Edition
&amp;CStandard Exhibits Template
Portions of the material contained in this document are protected by copyright owned by the State Farm Mutual Automobile Insurance Company, 2023&amp;RPage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85" zoomScaleNormal="100" zoomScaleSheetLayoutView="85" workbookViewId="0">
      <selection activeCell="B10" sqref="B10"/>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Homeowners Multiple Peril</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Non-Tenant Homeowners</v>
      </c>
      <c r="B5" s="69"/>
      <c r="C5" s="18"/>
      <c r="D5" s="18"/>
      <c r="E5" s="18"/>
      <c r="F5" s="18"/>
      <c r="G5" s="18"/>
      <c r="H5" s="18"/>
      <c r="I5" s="18"/>
      <c r="J5" s="18"/>
      <c r="K5" s="18"/>
      <c r="L5" s="18"/>
      <c r="M5" s="279" t="str">
        <f>Covg02</f>
        <v>Renters</v>
      </c>
      <c r="N5" s="69"/>
      <c r="O5" s="18"/>
      <c r="P5" s="18"/>
      <c r="Q5" s="18"/>
      <c r="R5" s="18"/>
      <c r="S5" s="18"/>
      <c r="T5" s="18"/>
      <c r="U5" s="18"/>
      <c r="V5" s="18"/>
      <c r="W5" s="18"/>
      <c r="X5" s="18"/>
      <c r="Y5" s="279" t="str">
        <f>Covg03</f>
        <v>Condominium Unitowners</v>
      </c>
      <c r="Z5" s="69"/>
      <c r="AA5" s="18"/>
      <c r="AB5" s="18"/>
      <c r="AC5" s="18"/>
      <c r="AD5" s="18"/>
      <c r="AE5" s="18"/>
      <c r="AF5" s="18"/>
      <c r="AG5" s="18"/>
      <c r="AH5" s="18"/>
      <c r="AI5" s="18"/>
      <c r="AJ5" s="18"/>
      <c r="AK5" s="279">
        <f>Covg04</f>
        <v>0</v>
      </c>
      <c r="AL5" s="69"/>
      <c r="AM5" s="18"/>
      <c r="AN5" s="18"/>
      <c r="AO5" s="18"/>
      <c r="AP5" s="18"/>
      <c r="AQ5" s="18"/>
      <c r="AR5" s="18"/>
      <c r="AS5" s="18"/>
      <c r="AT5" s="18"/>
      <c r="AU5" s="18"/>
      <c r="AV5" s="18"/>
      <c r="AW5" s="279">
        <f>Covg05</f>
        <v>0</v>
      </c>
      <c r="AX5" s="69"/>
      <c r="AY5" s="18"/>
      <c r="AZ5" s="18"/>
      <c r="BA5" s="18"/>
      <c r="BB5" s="18"/>
      <c r="BC5" s="18"/>
      <c r="BD5" s="18"/>
      <c r="BE5" s="18"/>
      <c r="BF5" s="18"/>
      <c r="BG5" s="18"/>
      <c r="BH5" s="18"/>
      <c r="BI5" s="279">
        <f>Covg06</f>
        <v>0</v>
      </c>
      <c r="BJ5" s="69"/>
      <c r="BK5" s="18"/>
      <c r="BL5" s="18"/>
      <c r="BM5" s="18"/>
      <c r="BN5" s="18"/>
      <c r="BO5" s="18"/>
      <c r="BP5" s="18"/>
      <c r="BQ5" s="18"/>
      <c r="BR5" s="18"/>
      <c r="BS5" s="18"/>
      <c r="BT5" s="18"/>
      <c r="BU5" s="279">
        <f>Covg07</f>
        <v>0</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v>
      </c>
      <c r="N7" s="142"/>
      <c r="O7" s="104"/>
      <c r="P7" s="321" t="s">
        <v>203</v>
      </c>
      <c r="Q7" s="322"/>
      <c r="V7" s="143"/>
      <c r="W7" s="143"/>
      <c r="X7" s="143"/>
      <c r="Y7" s="280" t="str">
        <f>IF(OR(AB7="Paid - Loss &amp; DCCE",AB7="Incurred - Loss &amp; DCCE"),"Selected Ultimate Loss &amp; DCCE:",IF(OR(AB7="Paid - Pure Loss",AB7="Incurred - Pure Loss"),"Selected Ultimate Loss:","Selected Ultimate Loss (&amp; DCCE):"))</f>
        <v>Selected Ultimate Loss:</v>
      </c>
      <c r="Z7" s="142"/>
      <c r="AA7" s="104"/>
      <c r="AB7" s="321" t="s">
        <v>203</v>
      </c>
      <c r="AC7" s="322"/>
      <c r="AH7" s="143"/>
      <c r="AI7" s="143"/>
      <c r="AJ7" s="143"/>
      <c r="AK7" s="280" t="str">
        <f>IF(OR(AN7="Paid - Loss &amp; DCCE",AN7="Incurred - Loss &amp; DCCE"),"Selected Ultimate Loss &amp; DCCE:",IF(OR(AN7="Paid - Pure Loss",AN7="Incurred - Pure Loss"),"Selected Ultimate Loss:","Selected Ultimate Loss (&amp; DCCE):"))</f>
        <v>Selected Ultimate Loss (&amp; DCCE):</v>
      </c>
      <c r="AL7" s="142"/>
      <c r="AM7" s="104"/>
      <c r="AN7" s="321"/>
      <c r="AO7" s="322"/>
      <c r="AT7" s="143"/>
      <c r="AU7" s="143"/>
      <c r="AV7" s="143"/>
      <c r="AW7" s="280" t="str">
        <f>IF(OR(AZ7="Paid - Loss &amp; DCCE",AZ7="Incurred - Loss &amp; DCCE"),"Selected Ultimate Loss &amp; DCCE:",IF(OR(AZ7="Paid - Pure Loss",AZ7="Incurred - Pure Loss"),"Selected Ultimate Loss:","Selected Ultimate Loss (&amp; DCCE):"))</f>
        <v>Selected Ultimate Loss (&amp; DCCE):</v>
      </c>
      <c r="AX7" s="142"/>
      <c r="AY7" s="104"/>
      <c r="AZ7" s="321"/>
      <c r="BA7" s="322"/>
      <c r="BF7" s="143"/>
      <c r="BG7" s="143"/>
      <c r="BH7" s="143"/>
      <c r="BI7" s="280" t="str">
        <f>IF(OR(BL7="Paid - Loss &amp; DCCE",BL7="Incurred - Loss &amp; DCCE"),"Selected Ultimate Loss &amp; DCCE:",IF(OR(BL7="Paid - Pure Loss",BL7="Incurred - Pure Loss"),"Selected Ultimate Loss:","Selected Ultimate Loss (&amp; DCCE):"))</f>
        <v>Selected Ultimate Loss (&amp; DCCE):</v>
      </c>
      <c r="BJ7" s="142"/>
      <c r="BK7" s="104"/>
      <c r="BL7" s="321"/>
      <c r="BM7" s="322"/>
      <c r="BR7" s="143"/>
      <c r="BS7" s="143"/>
      <c r="BT7" s="143"/>
      <c r="BU7" s="280" t="str">
        <f>IF(OR(BX7="Paid - Loss &amp; DCCE",BX7="Incurred - Loss &amp; DCCE"),"Selected Ultimate Loss &amp; DCCE:",IF(OR(BX7="Paid - Pure Loss",BX7="Incurred - Pure Loss"),"Selected Ultimate Loss:","Selected Ultimate Loss (&amp; DCCE):"))</f>
        <v>Selected Ultimate Loss (&amp; DCCE):</v>
      </c>
      <c r="BV7" s="142"/>
      <c r="BW7" s="104"/>
      <c r="BX7" s="321"/>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21" t="s">
        <v>206</v>
      </c>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21" t="s">
        <v>206</v>
      </c>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21"/>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21"/>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21"/>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21"/>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Please scroll down for important reminder(s).</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20132</v>
      </c>
      <c r="D11" s="146">
        <f t="shared" si="0"/>
        <v>20142</v>
      </c>
      <c r="E11" s="146">
        <f t="shared" si="0"/>
        <v>20152</v>
      </c>
      <c r="F11" s="146">
        <f t="shared" si="0"/>
        <v>20162</v>
      </c>
      <c r="G11" s="146">
        <f t="shared" si="0"/>
        <v>20172</v>
      </c>
      <c r="H11" s="146">
        <f t="shared" si="0"/>
        <v>20182</v>
      </c>
      <c r="I11" s="146">
        <f t="shared" si="0"/>
        <v>20192</v>
      </c>
      <c r="J11" s="146">
        <f t="shared" si="0"/>
        <v>20202</v>
      </c>
      <c r="K11" s="146">
        <f>L11-10</f>
        <v>20212</v>
      </c>
      <c r="L11" s="146">
        <f>FYQtr_LDF</f>
        <v>20222</v>
      </c>
      <c r="M11" s="281" t="s">
        <v>41</v>
      </c>
      <c r="N11" s="145"/>
      <c r="O11" s="146">
        <f t="shared" ref="O11" si="1">P11-10</f>
        <v>20132</v>
      </c>
      <c r="P11" s="146">
        <f t="shared" ref="P11" si="2">Q11-10</f>
        <v>20142</v>
      </c>
      <c r="Q11" s="146">
        <f t="shared" ref="Q11" si="3">R11-10</f>
        <v>20152</v>
      </c>
      <c r="R11" s="146">
        <f t="shared" ref="R11" si="4">S11-10</f>
        <v>20162</v>
      </c>
      <c r="S11" s="146">
        <f t="shared" ref="S11" si="5">T11-10</f>
        <v>20172</v>
      </c>
      <c r="T11" s="146">
        <f t="shared" ref="T11" si="6">U11-10</f>
        <v>20182</v>
      </c>
      <c r="U11" s="146">
        <f t="shared" ref="U11" si="7">V11-10</f>
        <v>20192</v>
      </c>
      <c r="V11" s="146">
        <f t="shared" ref="V11" si="8">W11-10</f>
        <v>20202</v>
      </c>
      <c r="W11" s="146">
        <f>X11-10</f>
        <v>20212</v>
      </c>
      <c r="X11" s="146">
        <f>FYQtr_LDF</f>
        <v>20222</v>
      </c>
      <c r="Y11" s="281" t="s">
        <v>41</v>
      </c>
      <c r="Z11" s="145"/>
      <c r="AA11" s="146">
        <f t="shared" ref="AA11" si="9">AB11-10</f>
        <v>20132</v>
      </c>
      <c r="AB11" s="146">
        <f t="shared" ref="AB11" si="10">AC11-10</f>
        <v>20142</v>
      </c>
      <c r="AC11" s="146">
        <f t="shared" ref="AC11" si="11">AD11-10</f>
        <v>20152</v>
      </c>
      <c r="AD11" s="146">
        <f t="shared" ref="AD11" si="12">AE11-10</f>
        <v>20162</v>
      </c>
      <c r="AE11" s="146">
        <f t="shared" ref="AE11" si="13">AF11-10</f>
        <v>20172</v>
      </c>
      <c r="AF11" s="146">
        <f t="shared" ref="AF11" si="14">AG11-10</f>
        <v>20182</v>
      </c>
      <c r="AG11" s="146">
        <f t="shared" ref="AG11" si="15">AH11-10</f>
        <v>20192</v>
      </c>
      <c r="AH11" s="146">
        <f t="shared" ref="AH11" si="16">AI11-10</f>
        <v>20202</v>
      </c>
      <c r="AI11" s="146">
        <f>AJ11-10</f>
        <v>20212</v>
      </c>
      <c r="AJ11" s="146">
        <f>FYQtr_LDF</f>
        <v>20222</v>
      </c>
      <c r="AK11" s="281" t="s">
        <v>41</v>
      </c>
      <c r="AL11" s="145"/>
      <c r="AM11" s="146">
        <f t="shared" ref="AM11" si="17">AN11-10</f>
        <v>20132</v>
      </c>
      <c r="AN11" s="146">
        <f t="shared" ref="AN11" si="18">AO11-10</f>
        <v>20142</v>
      </c>
      <c r="AO11" s="146">
        <f t="shared" ref="AO11" si="19">AP11-10</f>
        <v>20152</v>
      </c>
      <c r="AP11" s="146">
        <f t="shared" ref="AP11" si="20">AQ11-10</f>
        <v>20162</v>
      </c>
      <c r="AQ11" s="146">
        <f t="shared" ref="AQ11" si="21">AR11-10</f>
        <v>20172</v>
      </c>
      <c r="AR11" s="146">
        <f t="shared" ref="AR11" si="22">AS11-10</f>
        <v>20182</v>
      </c>
      <c r="AS11" s="146">
        <f t="shared" ref="AS11" si="23">AT11-10</f>
        <v>20192</v>
      </c>
      <c r="AT11" s="146">
        <f t="shared" ref="AT11" si="24">AU11-10</f>
        <v>20202</v>
      </c>
      <c r="AU11" s="146">
        <f>AV11-10</f>
        <v>20212</v>
      </c>
      <c r="AV11" s="146">
        <f>FYQtr_LDF</f>
        <v>20222</v>
      </c>
      <c r="AW11" s="281" t="s">
        <v>41</v>
      </c>
      <c r="AX11" s="145"/>
      <c r="AY11" s="146">
        <f t="shared" ref="AY11" si="25">AZ11-10</f>
        <v>20132</v>
      </c>
      <c r="AZ11" s="146">
        <f t="shared" ref="AZ11" si="26">BA11-10</f>
        <v>20142</v>
      </c>
      <c r="BA11" s="146">
        <f t="shared" ref="BA11" si="27">BB11-10</f>
        <v>20152</v>
      </c>
      <c r="BB11" s="146">
        <f t="shared" ref="BB11" si="28">BC11-10</f>
        <v>20162</v>
      </c>
      <c r="BC11" s="146">
        <f t="shared" ref="BC11" si="29">BD11-10</f>
        <v>20172</v>
      </c>
      <c r="BD11" s="146">
        <f t="shared" ref="BD11" si="30">BE11-10</f>
        <v>20182</v>
      </c>
      <c r="BE11" s="146">
        <f t="shared" ref="BE11" si="31">BF11-10</f>
        <v>20192</v>
      </c>
      <c r="BF11" s="146">
        <f t="shared" ref="BF11" si="32">BG11-10</f>
        <v>20202</v>
      </c>
      <c r="BG11" s="146">
        <f>BH11-10</f>
        <v>20212</v>
      </c>
      <c r="BH11" s="146">
        <f>FYQtr_LDF</f>
        <v>20222</v>
      </c>
      <c r="BI11" s="281" t="s">
        <v>41</v>
      </c>
      <c r="BJ11" s="145"/>
      <c r="BK11" s="146">
        <f t="shared" ref="BK11" si="33">BL11-10</f>
        <v>20132</v>
      </c>
      <c r="BL11" s="146">
        <f t="shared" ref="BL11" si="34">BM11-10</f>
        <v>20142</v>
      </c>
      <c r="BM11" s="146">
        <f t="shared" ref="BM11" si="35">BN11-10</f>
        <v>20152</v>
      </c>
      <c r="BN11" s="146">
        <f t="shared" ref="BN11" si="36">BO11-10</f>
        <v>20162</v>
      </c>
      <c r="BO11" s="146">
        <f t="shared" ref="BO11" si="37">BP11-10</f>
        <v>20172</v>
      </c>
      <c r="BP11" s="146">
        <f t="shared" ref="BP11" si="38">BQ11-10</f>
        <v>20182</v>
      </c>
      <c r="BQ11" s="146">
        <f t="shared" ref="BQ11" si="39">BR11-10</f>
        <v>20192</v>
      </c>
      <c r="BR11" s="146">
        <f t="shared" ref="BR11" si="40">BS11-10</f>
        <v>20202</v>
      </c>
      <c r="BS11" s="146">
        <f>BT11-10</f>
        <v>20212</v>
      </c>
      <c r="BT11" s="146">
        <f>FYQtr_LDF</f>
        <v>20222</v>
      </c>
      <c r="BU11" s="281" t="s">
        <v>41</v>
      </c>
      <c r="BV11" s="145"/>
      <c r="BW11" s="146">
        <f t="shared" ref="BW11" si="41">BX11-10</f>
        <v>20132</v>
      </c>
      <c r="BX11" s="146">
        <f t="shared" ref="BX11" si="42">BY11-10</f>
        <v>20142</v>
      </c>
      <c r="BY11" s="146">
        <f t="shared" ref="BY11" si="43">BZ11-10</f>
        <v>20152</v>
      </c>
      <c r="BZ11" s="146">
        <f t="shared" ref="BZ11" si="44">CA11-10</f>
        <v>20162</v>
      </c>
      <c r="CA11" s="146">
        <f t="shared" ref="CA11" si="45">CB11-10</f>
        <v>20172</v>
      </c>
      <c r="CB11" s="146">
        <f t="shared" ref="CB11" si="46">CC11-10</f>
        <v>20182</v>
      </c>
      <c r="CC11" s="146">
        <f t="shared" ref="CC11" si="47">CD11-10</f>
        <v>20192</v>
      </c>
      <c r="CD11" s="146">
        <f t="shared" ref="CD11" si="48">CE11-10</f>
        <v>20202</v>
      </c>
      <c r="CE11" s="146">
        <f>CF11-10</f>
        <v>20212</v>
      </c>
      <c r="CF11" s="146">
        <f>FYQtr_LDF</f>
        <v>20222</v>
      </c>
      <c r="CG11" s="281" t="s">
        <v>41</v>
      </c>
      <c r="CH11" s="145"/>
      <c r="CI11" s="146">
        <f t="shared" ref="CI11" si="49">CJ11-10</f>
        <v>20132</v>
      </c>
      <c r="CJ11" s="146">
        <f t="shared" ref="CJ11" si="50">CK11-10</f>
        <v>20142</v>
      </c>
      <c r="CK11" s="146">
        <f t="shared" ref="CK11" si="51">CL11-10</f>
        <v>20152</v>
      </c>
      <c r="CL11" s="146">
        <f t="shared" ref="CL11" si="52">CM11-10</f>
        <v>20162</v>
      </c>
      <c r="CM11" s="146">
        <f t="shared" ref="CM11" si="53">CN11-10</f>
        <v>20172</v>
      </c>
      <c r="CN11" s="146">
        <f t="shared" ref="CN11" si="54">CO11-10</f>
        <v>20182</v>
      </c>
      <c r="CO11" s="146">
        <f t="shared" ref="CO11" si="55">CP11-10</f>
        <v>20192</v>
      </c>
      <c r="CP11" s="146">
        <f t="shared" ref="CP11" si="56">CQ11-10</f>
        <v>20202</v>
      </c>
      <c r="CQ11" s="146">
        <f>CR11-10</f>
        <v>20212</v>
      </c>
      <c r="CR11" s="146">
        <f>FYQtr_LDF</f>
        <v>20222</v>
      </c>
      <c r="CS11" s="281" t="s">
        <v>41</v>
      </c>
      <c r="CT11" s="145"/>
      <c r="CU11" s="146">
        <f t="shared" ref="CU11" si="57">CV11-10</f>
        <v>20132</v>
      </c>
      <c r="CV11" s="146">
        <f t="shared" ref="CV11" si="58">CW11-10</f>
        <v>20142</v>
      </c>
      <c r="CW11" s="146">
        <f t="shared" ref="CW11" si="59">CX11-10</f>
        <v>20152</v>
      </c>
      <c r="CX11" s="146">
        <f t="shared" ref="CX11" si="60">CY11-10</f>
        <v>20162</v>
      </c>
      <c r="CY11" s="146">
        <f t="shared" ref="CY11" si="61">CZ11-10</f>
        <v>20172</v>
      </c>
      <c r="CZ11" s="146">
        <f t="shared" ref="CZ11" si="62">DA11-10</f>
        <v>20182</v>
      </c>
      <c r="DA11" s="146">
        <f t="shared" ref="DA11" si="63">DB11-10</f>
        <v>20192</v>
      </c>
      <c r="DB11" s="146">
        <f t="shared" ref="DB11" si="64">DC11-10</f>
        <v>20202</v>
      </c>
      <c r="DC11" s="146">
        <f>DD11-10</f>
        <v>20212</v>
      </c>
      <c r="DD11" s="146">
        <f>FYQtr_LDF</f>
        <v>20222</v>
      </c>
      <c r="DE11" s="281" t="s">
        <v>41</v>
      </c>
      <c r="DF11" s="145"/>
      <c r="DG11" s="146">
        <f t="shared" ref="DG11" si="65">DH11-10</f>
        <v>20132</v>
      </c>
      <c r="DH11" s="146">
        <f t="shared" ref="DH11" si="66">DI11-10</f>
        <v>20142</v>
      </c>
      <c r="DI11" s="146">
        <f t="shared" ref="DI11" si="67">DJ11-10</f>
        <v>20152</v>
      </c>
      <c r="DJ11" s="146">
        <f t="shared" ref="DJ11" si="68">DK11-10</f>
        <v>20162</v>
      </c>
      <c r="DK11" s="146">
        <f t="shared" ref="DK11" si="69">DL11-10</f>
        <v>20172</v>
      </c>
      <c r="DL11" s="146">
        <f t="shared" ref="DL11" si="70">DM11-10</f>
        <v>20182</v>
      </c>
      <c r="DM11" s="146">
        <f t="shared" ref="DM11" si="71">DN11-10</f>
        <v>20192</v>
      </c>
      <c r="DN11" s="146">
        <f t="shared" ref="DN11" si="72">DO11-10</f>
        <v>20202</v>
      </c>
      <c r="DO11" s="146">
        <f>DP11-10</f>
        <v>20212</v>
      </c>
      <c r="DP11" s="146">
        <f>FYQtr_LDF</f>
        <v>20222</v>
      </c>
    </row>
    <row r="12" spans="1:120" ht="15" customHeight="1" x14ac:dyDescent="0.25">
      <c r="A12" s="287" t="s">
        <v>204</v>
      </c>
      <c r="B12" s="142"/>
      <c r="C12" s="144">
        <f>IF(COUNTA(B36:L45)=0,"",INDEX(C62:L62,1,11-MATCH(C11,C11:L11,0)))</f>
        <v>438452384.81</v>
      </c>
      <c r="D12" s="144">
        <f>IF(COUNTA(B36:L45)=0,"",INDEX(C62:L62,1,11-MATCH(D11,C11:L11,0)))</f>
        <v>431143659.06086129</v>
      </c>
      <c r="E12" s="144">
        <f>IF(COUNTA(B36:L45)=0,"",INDEX(C62:L62,1,11-MATCH(E11,C11:L11,0)))</f>
        <v>460626593.68497449</v>
      </c>
      <c r="F12" s="144">
        <f>IF(COUNTA(B36:L45)=0,"",INDEX(C62:L62,1,11-MATCH(F11,C11:L11,0)))</f>
        <v>525892334.2830143</v>
      </c>
      <c r="G12" s="144">
        <f>IF(COUNTA(B36:L45)=0,"",INDEX(C62:L62,1,11-MATCH(G11,C11:L11,0)))</f>
        <v>592571355.52021766</v>
      </c>
      <c r="H12" s="144">
        <f>IF(COUNTA(B36:L45)=0,"",INDEX(C62:L62,1,11-MATCH(H11,C11:L11,0)))</f>
        <v>532834101.01752716</v>
      </c>
      <c r="I12" s="144">
        <f>IF(COUNTA(B36:L45)=0,"",INDEX(C62:L62,1,11-MATCH(I11,C11:L11,0)))</f>
        <v>649655746.28131568</v>
      </c>
      <c r="J12" s="144">
        <f>IF(COUNTA(B36:L45)=0,"",INDEX(C62:L62,1,11-MATCH(J11,C11:L11,0)))</f>
        <v>628976851.0304184</v>
      </c>
      <c r="K12" s="144">
        <f>IF(COUNTA(B36:L45)=0,"",INDEX(C62:L62,1,11-MATCH(K11,C11:L11,0)))</f>
        <v>770817503.26634538</v>
      </c>
      <c r="L12" s="144">
        <f>IF(COUNTA(B36:L45)=0,"",INDEX(C62:L62,1,11-MATCH(L11,C11:L11,0)))</f>
        <v>966315762.43244731</v>
      </c>
      <c r="M12" s="289" t="s">
        <v>204</v>
      </c>
      <c r="N12" s="142"/>
      <c r="O12" s="144">
        <f>IF(COUNTA(N36:X45)=0,"",INDEX(O62:X62,1,11-MATCH(O11,O11:X11,0)))</f>
        <v>38750090.280000001</v>
      </c>
      <c r="P12" s="144">
        <f>IF(COUNTA(N36:X45)=0,"",INDEX(O62:X62,1,11-MATCH(P11,O11:X11,0)))</f>
        <v>42881677.109018661</v>
      </c>
      <c r="Q12" s="144">
        <f>IF(COUNTA(N36:X45)=0,"",INDEX(O62:X62,1,11-MATCH(Q11,O11:X11,0)))</f>
        <v>42132407.908824772</v>
      </c>
      <c r="R12" s="144">
        <f>IF(COUNTA(N36:X45)=0,"",INDEX(O62:X62,1,11-MATCH(R11,O11:X11,0)))</f>
        <v>47053969.226050831</v>
      </c>
      <c r="S12" s="144">
        <f>IF(COUNTA(N36:X45)=0,"",INDEX(O62:X62,1,11-MATCH(S11,O11:X11,0)))</f>
        <v>47271543.433932178</v>
      </c>
      <c r="T12" s="144">
        <f>IF(COUNTA(N36:X45)=0,"",INDEX(O62:X62,1,11-MATCH(T11,O11:X11,0)))</f>
        <v>52253800.178708076</v>
      </c>
      <c r="U12" s="144">
        <f>IF(COUNTA(N36:X45)=0,"",INDEX(O62:X62,1,11-MATCH(U11,O11:X11,0)))</f>
        <v>49497788.319710292</v>
      </c>
      <c r="V12" s="144">
        <f>IF(COUNTA(N36:X45)=0,"",INDEX(O62:X62,1,11-MATCH(V11,O11:X11,0)))</f>
        <v>43214201.051680051</v>
      </c>
      <c r="W12" s="144">
        <f>IF(COUNTA(N36:X45)=0,"",INDEX(O62:X62,1,11-MATCH(W11,O11:X11,0)))</f>
        <v>45615639.602229446</v>
      </c>
      <c r="X12" s="144">
        <f>IF(COUNTA(N36:X45)=0,"",INDEX(O62:X62,1,11-MATCH(X11,O11:X11,0)))</f>
        <v>51054893.389269985</v>
      </c>
      <c r="Y12" s="289" t="s">
        <v>204</v>
      </c>
      <c r="Z12" s="142"/>
      <c r="AA12" s="144">
        <f>IF(COUNTA(Z36:AJ45)=0,"",INDEX(AA62:AJ62,1,11-MATCH(AA11,AA11:AJ11,0)))</f>
        <v>42433553.230000004</v>
      </c>
      <c r="AB12" s="144">
        <f>IF(COUNTA(Z36:AJ45)=0,"",INDEX(AA62:AJ62,1,11-MATCH(AB11,AA11:AJ11,0)))</f>
        <v>40735523.155814119</v>
      </c>
      <c r="AC12" s="144">
        <f>IF(COUNTA(Z36:AJ45)=0,"",INDEX(AA62:AJ62,1,11-MATCH(AC11,AA11:AJ11,0)))</f>
        <v>45135238.023556352</v>
      </c>
      <c r="AD12" s="144">
        <f>IF(COUNTA(Z36:AJ45)=0,"",INDEX(AA62:AJ62,1,11-MATCH(AD11,AA11:AJ11,0)))</f>
        <v>53262948.395142809</v>
      </c>
      <c r="AE12" s="144">
        <f>IF(COUNTA(Z36:AJ45)=0,"",INDEX(AA62:AJ62,1,11-MATCH(AE11,AA11:AJ11,0)))</f>
        <v>57245161.860890314</v>
      </c>
      <c r="AF12" s="144">
        <f>IF(COUNTA(Z36:AJ45)=0,"",INDEX(AA62:AJ62,1,11-MATCH(AF11,AA11:AJ11,0)))</f>
        <v>52388022.175038546</v>
      </c>
      <c r="AG12" s="144">
        <f>IF(COUNTA(Z36:AJ45)=0,"",INDEX(AA62:AJ62,1,11-MATCH(AG11,AA11:AJ11,0)))</f>
        <v>57911475.96658995</v>
      </c>
      <c r="AH12" s="144">
        <f>IF(COUNTA(Z36:AJ45)=0,"",INDEX(AA62:AJ62,1,11-MATCH(AH11,AA11:AJ11,0)))</f>
        <v>60319869.952431291</v>
      </c>
      <c r="AI12" s="144">
        <f>IF(COUNTA(Z36:AJ45)=0,"",INDEX(AA62:AJ62,1,11-MATCH(AI11,AA11:AJ11,0)))</f>
        <v>64853363.83862152</v>
      </c>
      <c r="AJ12" s="144">
        <f>IF(COUNTA(Z36:AJ45)=0,"",INDEX(AA62:AJ62,1,11-MATCH(AJ11,AA11:AJ11,0)))</f>
        <v>71143209.164471105</v>
      </c>
      <c r="AK12" s="289" t="s">
        <v>204</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89" t="s">
        <v>204</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89" t="s">
        <v>204</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89" t="s">
        <v>204</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418088709.38999999</v>
      </c>
      <c r="D13" s="144">
        <f>IF(COUNTA(B71:L80)=0,"",INDEX(C97:L97,1,11-MATCH(D11,C11:L11,0)))</f>
        <v>409396820.38460523</v>
      </c>
      <c r="E13" s="144">
        <f>IF(COUNTA(B71:L80)=0,"",INDEX(C97:L97,1,11-MATCH(E11,C11:L11,0)))</f>
        <v>436022731.63688755</v>
      </c>
      <c r="F13" s="144">
        <f>IF(COUNTA(B71:L80)=0,"",INDEX(C97:L97,1,11-MATCH(F11,C11:L11,0)))</f>
        <v>501384132.76964808</v>
      </c>
      <c r="G13" s="144">
        <f>IF(COUNTA(B71:L80)=0,"",INDEX(C97:L97,1,11-MATCH(G11,C11:L11,0)))</f>
        <v>565780354.89008117</v>
      </c>
      <c r="H13" s="144">
        <f>IF(COUNTA(B71:L80)=0,"",INDEX(C97:L97,1,11-MATCH(H11,C11:L11,0)))</f>
        <v>508465306.21890545</v>
      </c>
      <c r="I13" s="144">
        <f>IF(COUNTA(B71:L80)=0,"",INDEX(C97:L97,1,11-MATCH(I11,C11:L11,0)))</f>
        <v>622085012.82858169</v>
      </c>
      <c r="J13" s="144">
        <f>IF(COUNTA(B71:L80)=0,"",INDEX(C97:L97,1,11-MATCH(J11,C11:L11,0)))</f>
        <v>599883931.47467494</v>
      </c>
      <c r="K13" s="144">
        <f>IF(COUNTA(B71:L80)=0,"",INDEX(C97:L97,1,11-MATCH(K11,C11:L11,0)))</f>
        <v>732864239.55880821</v>
      </c>
      <c r="L13" s="144">
        <f>IF(COUNTA(B71:L80)=0,"",INDEX(C97:L97,1,11-MATCH(L11,C11:L11,0)))</f>
        <v>921743272.46385181</v>
      </c>
      <c r="M13" s="289" t="s">
        <v>202</v>
      </c>
      <c r="N13" s="142"/>
      <c r="O13" s="144">
        <f>IF(COUNTA(N71:X80)=0,"",INDEX(O97:X97,1,11-MATCH(O11,O11:X11,0)))</f>
        <v>36412133.960000001</v>
      </c>
      <c r="P13" s="144">
        <f>IF(COUNTA(N71:X80)=0,"",INDEX(O97:X97,1,11-MATCH(P11,O11:X11,0)))</f>
        <v>38747589.281357817</v>
      </c>
      <c r="Q13" s="144">
        <f>IF(COUNTA(N71:X80)=0,"",INDEX(O97:X97,1,11-MATCH(Q11,O11:X11,0)))</f>
        <v>40094545.507532537</v>
      </c>
      <c r="R13" s="144">
        <f>IF(COUNTA(N71:X80)=0,"",INDEX(O97:X97,1,11-MATCH(R11,O11:X11,0)))</f>
        <v>44590517.169270925</v>
      </c>
      <c r="S13" s="144">
        <f>IF(COUNTA(N71:X80)=0,"",INDEX(O97:X97,1,11-MATCH(S11,O11:X11,0)))</f>
        <v>45418464.326210037</v>
      </c>
      <c r="T13" s="144">
        <f>IF(COUNTA(N71:X80)=0,"",INDEX(O97:X97,1,11-MATCH(T11,O11:X11,0)))</f>
        <v>49873817.625246339</v>
      </c>
      <c r="U13" s="144">
        <f>IF(COUNTA(N71:X80)=0,"",INDEX(O97:X97,1,11-MATCH(U11,O11:X11,0)))</f>
        <v>47607653.248544715</v>
      </c>
      <c r="V13" s="144">
        <f>IF(COUNTA(N71:X80)=0,"",INDEX(O97:X97,1,11-MATCH(V11,O11:X11,0)))</f>
        <v>41349988.139242291</v>
      </c>
      <c r="W13" s="144">
        <f>IF(COUNTA(N71:X80)=0,"",INDEX(O97:X97,1,11-MATCH(W11,O11:X11,0)))</f>
        <v>43482386.666582428</v>
      </c>
      <c r="X13" s="144">
        <f>IF(COUNTA(N71:X80)=0,"",INDEX(O97:X97,1,11-MATCH(X11,O11:X11,0)))</f>
        <v>48925542.421338677</v>
      </c>
      <c r="Y13" s="289" t="s">
        <v>202</v>
      </c>
      <c r="Z13" s="142"/>
      <c r="AA13" s="144">
        <f>IF(COUNTA(Z71:AJ80)=0,"",INDEX(AA97:AJ97,1,11-MATCH(AA11,AA11:AJ11,0)))</f>
        <v>40721303.950000003</v>
      </c>
      <c r="AB13" s="144">
        <f>IF(COUNTA(Z71:AJ80)=0,"",INDEX(AA97:AJ97,1,11-MATCH(AB11,AA11:AJ11,0)))</f>
        <v>39616444.789999999</v>
      </c>
      <c r="AC13" s="144">
        <f>IF(COUNTA(Z71:AJ80)=0,"",INDEX(AA97:AJ97,1,11-MATCH(AC11,AA11:AJ11,0)))</f>
        <v>43677870.260082521</v>
      </c>
      <c r="AD13" s="144">
        <f>IF(COUNTA(Z71:AJ80)=0,"",INDEX(AA97:AJ97,1,11-MATCH(AD11,AA11:AJ11,0)))</f>
        <v>51620579.804966621</v>
      </c>
      <c r="AE13" s="144">
        <f>IF(COUNTA(Z71:AJ80)=0,"",INDEX(AA97:AJ97,1,11-MATCH(AE11,AA11:AJ11,0)))</f>
        <v>55048022.706193276</v>
      </c>
      <c r="AF13" s="144">
        <f>IF(COUNTA(Z71:AJ80)=0,"",INDEX(AA97:AJ97,1,11-MATCH(AF11,AA11:AJ11,0)))</f>
        <v>50370801.197551571</v>
      </c>
      <c r="AG13" s="144">
        <f>IF(COUNTA(Z71:AJ80)=0,"",INDEX(AA97:AJ97,1,11-MATCH(AG11,AA11:AJ11,0)))</f>
        <v>55931665.557097159</v>
      </c>
      <c r="AH13" s="144">
        <f>IF(COUNTA(Z71:AJ80)=0,"",INDEX(AA97:AJ97,1,11-MATCH(AH11,AA11:AJ11,0)))</f>
        <v>58103719.716469042</v>
      </c>
      <c r="AI13" s="144">
        <f>IF(COUNTA(Z71:AJ80)=0,"",INDEX(AA97:AJ97,1,11-MATCH(AI11,AA11:AJ11,0)))</f>
        <v>62246822.318493485</v>
      </c>
      <c r="AJ13" s="144">
        <f>IF(COUNTA(Z71:AJ80)=0,"",INDEX(AA97:AJ97,1,11-MATCH(AJ11,AA11:AJ11,0)))</f>
        <v>68225220.256964102</v>
      </c>
      <c r="AK13" s="289" t="s">
        <v>202</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89" t="s">
        <v>202</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89" t="s">
        <v>202</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89" t="s">
        <v>202</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438663895.66000003</v>
      </c>
      <c r="D14" s="144">
        <f>IF(COUNTA(B179:L188)=0,"",INDEX(C205:L205,1,11-MATCH(D11,C11:L11,0)))</f>
        <v>431419055.92826909</v>
      </c>
      <c r="E14" s="144">
        <f>IF(COUNTA(B179:L188)=0,"",INDEX(C205:L205,1,11-MATCH(E11,C11:L11,0)))</f>
        <v>460835439.77899712</v>
      </c>
      <c r="F14" s="144">
        <f>IF(COUNTA(B179:L188)=0,"",INDEX(C205:L205,1,11-MATCH(F11,C11:L11,0)))</f>
        <v>526961624.30754089</v>
      </c>
      <c r="G14" s="144">
        <f>IF(COUNTA(B179:L188)=0,"",INDEX(C205:L205,1,11-MATCH(G11,C11:L11,0)))</f>
        <v>592914081.46770108</v>
      </c>
      <c r="H14" s="144">
        <f>IF(COUNTA(B179:L188)=0,"",INDEX(C205:L205,1,11-MATCH(H11,C11:L11,0)))</f>
        <v>535461364.49250233</v>
      </c>
      <c r="I14" s="144">
        <f>IF(COUNTA(B179:L188)=0,"",INDEX(C205:L205,1,11-MATCH(I11,C11:L11,0)))</f>
        <v>649536921.24985266</v>
      </c>
      <c r="J14" s="144">
        <f>IF(COUNTA(B179:L188)=0,"",INDEX(C205:L205,1,11-MATCH(J11,C11:L11,0)))</f>
        <v>625724777.34576797</v>
      </c>
      <c r="K14" s="144">
        <f>IF(COUNTA(B179:L188)=0,"",INDEX(C205:L205,1,11-MATCH(K11,C11:L11,0)))</f>
        <v>784765964.45322943</v>
      </c>
      <c r="L14" s="144">
        <f>IF(COUNTA(B179:L188)=0,"",INDEX(C205:L205,1,11-MATCH(L11,C11:L11,0)))</f>
        <v>1030584687.6913157</v>
      </c>
      <c r="M14" s="289" t="s">
        <v>205</v>
      </c>
      <c r="N14" s="142"/>
      <c r="O14" s="144">
        <f>IF(COUNTA(N179:X188)=0,"",INDEX(O205:X205,1,11-MATCH(O11,O11:X11,0)))</f>
        <v>38750090.280000001</v>
      </c>
      <c r="P14" s="144">
        <f>IF(COUNTA(N179:X188)=0,"",INDEX(O205:X205,1,11-MATCH(P11,O11:X11,0)))</f>
        <v>42881677.109018661</v>
      </c>
      <c r="Q14" s="144">
        <f>IF(COUNTA(N179:X188)=0,"",INDEX(O205:X205,1,11-MATCH(Q11,O11:X11,0)))</f>
        <v>42042689.97372292</v>
      </c>
      <c r="R14" s="144">
        <f>IF(COUNTA(N179:X188)=0,"",INDEX(O205:X205,1,11-MATCH(R11,O11:X11,0)))</f>
        <v>47255945.24022083</v>
      </c>
      <c r="S14" s="144">
        <f>IF(COUNTA(N179:X188)=0,"",INDEX(O205:X205,1,11-MATCH(S11,O11:X11,0)))</f>
        <v>47156851.248933509</v>
      </c>
      <c r="T14" s="144">
        <f>IF(COUNTA(N179:X188)=0,"",INDEX(O205:X205,1,11-MATCH(T11,O11:X11,0)))</f>
        <v>52224918.532750674</v>
      </c>
      <c r="U14" s="144">
        <f>IF(COUNTA(N179:X188)=0,"",INDEX(O205:X205,1,11-MATCH(U11,O11:X11,0)))</f>
        <v>49378913.654488914</v>
      </c>
      <c r="V14" s="144">
        <f>IF(COUNTA(N179:X188)=0,"",INDEX(O205:X205,1,11-MATCH(V11,O11:X11,0)))</f>
        <v>44383144.54067257</v>
      </c>
      <c r="W14" s="144">
        <f>IF(COUNTA(N179:X188)=0,"",INDEX(O205:X205,1,11-MATCH(W11,O11:X11,0)))</f>
        <v>46470544.962913625</v>
      </c>
      <c r="X14" s="144">
        <f>IF(COUNTA(N179:X188)=0,"",INDEX(O205:X205,1,11-MATCH(X11,O11:X11,0)))</f>
        <v>53454184.481383465</v>
      </c>
      <c r="Y14" s="289" t="s">
        <v>205</v>
      </c>
      <c r="Z14" s="142"/>
      <c r="AA14" s="144">
        <f>IF(COUNTA(Z179:AJ188)=0,"",INDEX(AA205:AJ205,1,11-MATCH(AA11,AA11:AJ11,0)))</f>
        <v>42433553.230000004</v>
      </c>
      <c r="AB14" s="144">
        <f>IF(COUNTA(Z179:AJ188)=0,"",INDEX(AA205:AJ205,1,11-MATCH(AB11,AA11:AJ11,0)))</f>
        <v>40848701.354119308</v>
      </c>
      <c r="AC14" s="144">
        <f>IF(COUNTA(Z179:AJ188)=0,"",INDEX(AA205:AJ205,1,11-MATCH(AC11,AA11:AJ11,0)))</f>
        <v>45111077.152980313</v>
      </c>
      <c r="AD14" s="144">
        <f>IF(COUNTA(Z179:AJ188)=0,"",INDEX(AA205:AJ205,1,11-MATCH(AD11,AA11:AJ11,0)))</f>
        <v>53203691.456765361</v>
      </c>
      <c r="AE14" s="144">
        <f>IF(COUNTA(Z179:AJ188)=0,"",INDEX(AA205:AJ205,1,11-MATCH(AE11,AA11:AJ11,0)))</f>
        <v>57228891.376903713</v>
      </c>
      <c r="AF14" s="144">
        <f>IF(COUNTA(Z179:AJ188)=0,"",INDEX(AA205:AJ205,1,11-MATCH(AF11,AA11:AJ11,0)))</f>
        <v>52445631.135348946</v>
      </c>
      <c r="AG14" s="144">
        <f>IF(COUNTA(Z179:AJ188)=0,"",INDEX(AA205:AJ205,1,11-MATCH(AG11,AA11:AJ11,0)))</f>
        <v>57811810.406047277</v>
      </c>
      <c r="AH14" s="144">
        <f>IF(COUNTA(Z179:AJ188)=0,"",INDEX(AA205:AJ205,1,11-MATCH(AH11,AA11:AJ11,0)))</f>
        <v>60841695.825789027</v>
      </c>
      <c r="AI14" s="144">
        <f>IF(COUNTA(Z179:AJ188)=0,"",INDEX(AA205:AJ205,1,11-MATCH(AI11,AA11:AJ11,0)))</f>
        <v>65096690.105479449</v>
      </c>
      <c r="AJ14" s="144">
        <f>IF(COUNTA(Z179:AJ188)=0,"",INDEX(AA205:AJ205,1,11-MATCH(AJ11,AA11:AJ11,0)))</f>
        <v>72823489.314260095</v>
      </c>
      <c r="AK14" s="289" t="s">
        <v>205</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89" t="s">
        <v>205</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89" t="s">
        <v>205</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89" t="s">
        <v>205</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418300220.24000001</v>
      </c>
      <c r="D15" s="144">
        <f>IF(COUNTA(B214:L223)=0,"",INDEX(C240:L240,1,11-MATCH(D11,C11:L11,0)))</f>
        <v>409673063.61100942</v>
      </c>
      <c r="E15" s="144">
        <f>IF(COUNTA(B214:L223)=0,"",INDEX(C240:L240,1,11-MATCH(E11,C11:L11,0)))</f>
        <v>436234161.68554199</v>
      </c>
      <c r="F15" s="144">
        <f>IF(COUNTA(B214:L223)=0,"",INDEX(C240:L240,1,11-MATCH(F11,C11:L11,0)))</f>
        <v>502450558.69499016</v>
      </c>
      <c r="G15" s="144">
        <f>IF(COUNTA(B214:L223)=0,"",INDEX(C240:L240,1,11-MATCH(G11,C11:L11,0)))</f>
        <v>566117606.0985775</v>
      </c>
      <c r="H15" s="144">
        <f>IF(COUNTA(B214:L223)=0,"",INDEX(C240:L240,1,11-MATCH(H11,C11:L11,0)))</f>
        <v>511070175.51618564</v>
      </c>
      <c r="I15" s="144">
        <f>IF(COUNTA(B214:L223)=0,"",INDEX(C240:L240,1,11-MATCH(I11,C11:L11,0)))</f>
        <v>621944392.39855027</v>
      </c>
      <c r="J15" s="144">
        <f>IF(COUNTA(B214:L223)=0,"",INDEX(C240:L240,1,11-MATCH(J11,C11:L11,0)))</f>
        <v>596736741.59394085</v>
      </c>
      <c r="K15" s="144">
        <f>IF(COUNTA(B214:L223)=0,"",INDEX(C240:L240,1,11-MATCH(K11,C11:L11,0)))</f>
        <v>746602163.31739783</v>
      </c>
      <c r="L15" s="144">
        <f>IF(COUNTA(B214:L223)=0,"",INDEX(C240:L240,1,11-MATCH(L11,C11:L11,0)))</f>
        <v>983626232.32845783</v>
      </c>
      <c r="M15" s="289" t="s">
        <v>203</v>
      </c>
      <c r="N15" s="68"/>
      <c r="O15" s="144">
        <f>IF(COUNTA(N214:X223)=0,"",INDEX(O240:X240,1,11-MATCH(O11,O11:X11,0)))</f>
        <v>36412133.960000001</v>
      </c>
      <c r="P15" s="144">
        <f>IF(COUNTA(N214:X223)=0,"",INDEX(O240:X240,1,11-MATCH(P11,O11:X11,0)))</f>
        <v>38747589.281357817</v>
      </c>
      <c r="Q15" s="144">
        <f>IF(COUNTA(N214:X223)=0,"",INDEX(O240:X240,1,11-MATCH(Q11,O11:X11,0)))</f>
        <v>40001849.465384535</v>
      </c>
      <c r="R15" s="144">
        <f>IF(COUNTA(N214:X223)=0,"",INDEX(O240:X240,1,11-MATCH(R11,O11:X11,0)))</f>
        <v>44789245.044351667</v>
      </c>
      <c r="S15" s="144">
        <f>IF(COUNTA(N214:X223)=0,"",INDEX(O240:X240,1,11-MATCH(S11,O11:X11,0)))</f>
        <v>45297754.99540066</v>
      </c>
      <c r="T15" s="144">
        <f>IF(COUNTA(N214:X223)=0,"",INDEX(O240:X240,1,11-MATCH(T11,O11:X11,0)))</f>
        <v>49839261.617852174</v>
      </c>
      <c r="U15" s="144">
        <f>IF(COUNTA(N214:X223)=0,"",INDEX(O240:X240,1,11-MATCH(U11,O11:X11,0)))</f>
        <v>47480080.303118199</v>
      </c>
      <c r="V15" s="144">
        <f>IF(COUNTA(N214:X223)=0,"",INDEX(O240:X240,1,11-MATCH(V11,O11:X11,0)))</f>
        <v>42496096.509180628</v>
      </c>
      <c r="W15" s="144">
        <f>IF(COUNTA(N214:X223)=0,"",INDEX(O240:X240,1,11-MATCH(W11,O11:X11,0)))</f>
        <v>44323680.997342288</v>
      </c>
      <c r="X15" s="144">
        <f>IF(COUNTA(N214:X223)=0,"",INDEX(O240:X240,1,11-MATCH(X11,O11:X11,0)))</f>
        <v>51234573.297078408</v>
      </c>
      <c r="Y15" s="289" t="s">
        <v>203</v>
      </c>
      <c r="Z15" s="68"/>
      <c r="AA15" s="144">
        <f>IF(COUNTA(Z214:AJ223)=0,"",INDEX(AA240:AJ240,1,11-MATCH(AA11,AA11:AJ11,0)))</f>
        <v>40721303.950000003</v>
      </c>
      <c r="AB15" s="144">
        <f>IF(COUNTA(Z214:AJ223)=0,"",INDEX(AA240:AJ240,1,11-MATCH(AB11,AA11:AJ11,0)))</f>
        <v>39729635.789999999</v>
      </c>
      <c r="AC15" s="144">
        <f>IF(COUNTA(Z214:AJ223)=0,"",INDEX(AA240:AJ240,1,11-MATCH(AC11,AA11:AJ11,0)))</f>
        <v>43653717.542660594</v>
      </c>
      <c r="AD15" s="144">
        <f>IF(COUNTA(Z214:AJ223)=0,"",INDEX(AA240:AJ240,1,11-MATCH(AD11,AA11:AJ11,0)))</f>
        <v>51561357.184232496</v>
      </c>
      <c r="AE15" s="144">
        <f>IF(COUNTA(Z214:AJ223)=0,"",INDEX(AA240:AJ240,1,11-MATCH(AE11,AA11:AJ11,0)))</f>
        <v>55032708.571539827</v>
      </c>
      <c r="AF15" s="144">
        <f>IF(COUNTA(Z214:AJ223)=0,"",INDEX(AA240:AJ240,1,11-MATCH(AF11,AA11:AJ11,0)))</f>
        <v>50429330.524766557</v>
      </c>
      <c r="AG15" s="144">
        <f>IF(COUNTA(Z214:AJ223)=0,"",INDEX(AA240:AJ240,1,11-MATCH(AG11,AA11:AJ11,0)))</f>
        <v>55833178.075213015</v>
      </c>
      <c r="AH15" s="144">
        <f>IF(COUNTA(Z214:AJ223)=0,"",INDEX(AA240:AJ240,1,11-MATCH(AH11,AA11:AJ11,0)))</f>
        <v>58618504.239613801</v>
      </c>
      <c r="AI15" s="144">
        <f>IF(COUNTA(Z214:AJ223)=0,"",INDEX(AA240:AJ240,1,11-MATCH(AI11,AA11:AJ11,0)))</f>
        <v>62495688.739749521</v>
      </c>
      <c r="AJ15" s="144">
        <f>IF(COUNTA(Z214:AJ223)=0,"",INDEX(AA240:AJ240,1,11-MATCH(AJ11,AA11:AJ11,0)))</f>
        <v>69916893.617357731</v>
      </c>
      <c r="AK15" s="289" t="s">
        <v>203</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89" t="s">
        <v>203</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89" t="s">
        <v>203</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89" t="s">
        <v>203</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418300220.24000001</v>
      </c>
      <c r="D16" s="147">
        <f>IF(D7="Paid - Loss &amp; DCCE",D12,IF(D7="Paid - Pure Loss",D13,IF(D7="Incurred - Loss &amp; DCCE",D14,IF(D7="Incurred - Pure Loss",D15,""))))</f>
        <v>409673063.61100942</v>
      </c>
      <c r="E16" s="147">
        <f>IF(D7="Paid - Loss &amp; DCCE",E12,IF(D7="Paid - Pure Loss",E13,IF(D7="Incurred - Loss &amp; DCCE",E14,IF(D7="Incurred - Pure Loss",E15,""))))</f>
        <v>436234161.68554199</v>
      </c>
      <c r="F16" s="147">
        <f>IF(D7="Paid - Loss &amp; DCCE",F12,IF(D7="Paid - Pure Loss",F13,IF(D7="Incurred - Loss &amp; DCCE",F14,IF(D7="Incurred - Pure Loss",F15,""))))</f>
        <v>502450558.69499016</v>
      </c>
      <c r="G16" s="147">
        <f>IF(D7="Paid - Loss &amp; DCCE",G12,IF(D7="Paid - Pure Loss",G13,IF(D7="Incurred - Loss &amp; DCCE",G14,IF(D7="Incurred - Pure Loss",G15,""))))</f>
        <v>566117606.0985775</v>
      </c>
      <c r="H16" s="147">
        <f>IF(D7="Paid - Loss &amp; DCCE",H12,IF(D7="Paid - Pure Loss",H13,IF(D7="Incurred - Loss &amp; DCCE",H14,IF(D7="Incurred - Pure Loss",H15,""))))</f>
        <v>511070175.51618564</v>
      </c>
      <c r="I16" s="147">
        <f>IF(D7="Paid - Loss &amp; DCCE",I12,IF(D7="Paid - Pure Loss",I13,IF(D7="Incurred - Loss &amp; DCCE",I14,IF(D7="Incurred - Pure Loss",I15,""))))</f>
        <v>621944392.39855027</v>
      </c>
      <c r="J16" s="147">
        <f>IF(D7="Paid - Loss &amp; DCCE",J12,IF(D7="Paid - Pure Loss",J13,IF(D7="Incurred - Loss &amp; DCCE",J14,IF(D7="Incurred - Pure Loss",J15,""))))</f>
        <v>596736741.59394085</v>
      </c>
      <c r="K16" s="147">
        <f>IF(D7="Paid - Loss &amp; DCCE",K12,IF(D7="Paid - Pure Loss",K13,IF(D7="Incurred - Loss &amp; DCCE",K14,IF(D7="Incurred - Pure Loss",K15,""))))</f>
        <v>746602163.31739783</v>
      </c>
      <c r="L16" s="147">
        <f>IF(D7="Paid - Loss &amp; DCCE",L12,IF(D7="Paid - Pure Loss",L13,IF(D7="Incurred - Loss &amp; DCCE",L14,IF(D7="Incurred - Pure Loss",L15,""))))</f>
        <v>983626232.32845783</v>
      </c>
      <c r="M16" s="282" t="s">
        <v>40</v>
      </c>
      <c r="N16" s="68"/>
      <c r="O16" s="147">
        <f>IF(P7="Paid - Loss &amp; DCCE",O12,IF(P7="Paid - Pure Loss",O13,IF(P7="Incurred - Loss &amp; DCCE",O14,IF(P7="Incurred - Pure Loss",O15,""))))</f>
        <v>36412133.960000001</v>
      </c>
      <c r="P16" s="147">
        <f>IF(P7="Paid - Loss &amp; DCCE",P12,IF(P7="Paid - Pure Loss",P13,IF(P7="Incurred - Loss &amp; DCCE",P14,IF(P7="Incurred - Pure Loss",P15,""))))</f>
        <v>38747589.281357817</v>
      </c>
      <c r="Q16" s="147">
        <f>IF(P7="Paid - Loss &amp; DCCE",Q12,IF(P7="Paid - Pure Loss",Q13,IF(P7="Incurred - Loss &amp; DCCE",Q14,IF(P7="Incurred - Pure Loss",Q15,""))))</f>
        <v>40001849.465384535</v>
      </c>
      <c r="R16" s="147">
        <f>IF(P7="Paid - Loss &amp; DCCE",R12,IF(P7="Paid - Pure Loss",R13,IF(P7="Incurred - Loss &amp; DCCE",R14,IF(P7="Incurred - Pure Loss",R15,""))))</f>
        <v>44789245.044351667</v>
      </c>
      <c r="S16" s="147">
        <f>IF(P7="Paid - Loss &amp; DCCE",S12,IF(P7="Paid - Pure Loss",S13,IF(P7="Incurred - Loss &amp; DCCE",S14,IF(P7="Incurred - Pure Loss",S15,""))))</f>
        <v>45297754.99540066</v>
      </c>
      <c r="T16" s="147">
        <f>IF(P7="Paid - Loss &amp; DCCE",T12,IF(P7="Paid - Pure Loss",T13,IF(P7="Incurred - Loss &amp; DCCE",T14,IF(P7="Incurred - Pure Loss",T15,""))))</f>
        <v>49839261.617852174</v>
      </c>
      <c r="U16" s="147">
        <f>IF(P7="Paid - Loss &amp; DCCE",U12,IF(P7="Paid - Pure Loss",U13,IF(P7="Incurred - Loss &amp; DCCE",U14,IF(P7="Incurred - Pure Loss",U15,""))))</f>
        <v>47480080.303118199</v>
      </c>
      <c r="V16" s="147">
        <f>IF(P7="Paid - Loss &amp; DCCE",V12,IF(P7="Paid - Pure Loss",V13,IF(P7="Incurred - Loss &amp; DCCE",V14,IF(P7="Incurred - Pure Loss",V15,""))))</f>
        <v>42496096.509180628</v>
      </c>
      <c r="W16" s="147">
        <f>IF(P7="Paid - Loss &amp; DCCE",W12,IF(P7="Paid - Pure Loss",W13,IF(P7="Incurred - Loss &amp; DCCE",W14,IF(P7="Incurred - Pure Loss",W15,""))))</f>
        <v>44323680.997342288</v>
      </c>
      <c r="X16" s="147">
        <f>IF(P7="Paid - Loss &amp; DCCE",X12,IF(P7="Paid - Pure Loss",X13,IF(P7="Incurred - Loss &amp; DCCE",X14,IF(P7="Incurred - Pure Loss",X15,""))))</f>
        <v>51234573.297078408</v>
      </c>
      <c r="Y16" s="282" t="s">
        <v>40</v>
      </c>
      <c r="Z16" s="68"/>
      <c r="AA16" s="147">
        <f>IF(AB7="Paid - Loss &amp; DCCE",AA12,IF(AB7="Paid - Pure Loss",AA13,IF(AB7="Incurred - Loss &amp; DCCE",AA14,IF(AB7="Incurred - Pure Loss",AA15,""))))</f>
        <v>40721303.950000003</v>
      </c>
      <c r="AB16" s="147">
        <f>IF(AB7="Paid - Loss &amp; DCCE",AB12,IF(AB7="Paid - Pure Loss",AB13,IF(AB7="Incurred - Loss &amp; DCCE",AB14,IF(AB7="Incurred - Pure Loss",AB15,""))))</f>
        <v>39729635.789999999</v>
      </c>
      <c r="AC16" s="147">
        <f>IF(AB7="Paid - Loss &amp; DCCE",AC12,IF(AB7="Paid - Pure Loss",AC13,IF(AB7="Incurred - Loss &amp; DCCE",AC14,IF(AB7="Incurred - Pure Loss",AC15,""))))</f>
        <v>43653717.542660594</v>
      </c>
      <c r="AD16" s="147">
        <f>IF(AB7="Paid - Loss &amp; DCCE",AD12,IF(AB7="Paid - Pure Loss",AD13,IF(AB7="Incurred - Loss &amp; DCCE",AD14,IF(AB7="Incurred - Pure Loss",AD15,""))))</f>
        <v>51561357.184232496</v>
      </c>
      <c r="AE16" s="147">
        <f>IF(AB7="Paid - Loss &amp; DCCE",AE12,IF(AB7="Paid - Pure Loss",AE13,IF(AB7="Incurred - Loss &amp; DCCE",AE14,IF(AB7="Incurred - Pure Loss",AE15,""))))</f>
        <v>55032708.571539827</v>
      </c>
      <c r="AF16" s="147">
        <f>IF(AB7="Paid - Loss &amp; DCCE",AF12,IF(AB7="Paid - Pure Loss",AF13,IF(AB7="Incurred - Loss &amp; DCCE",AF14,IF(AB7="Incurred - Pure Loss",AF15,""))))</f>
        <v>50429330.524766557</v>
      </c>
      <c r="AG16" s="147">
        <f>IF(AB7="Paid - Loss &amp; DCCE",AG12,IF(AB7="Paid - Pure Loss",AG13,IF(AB7="Incurred - Loss &amp; DCCE",AG14,IF(AB7="Incurred - Pure Loss",AG15,""))))</f>
        <v>55833178.075213015</v>
      </c>
      <c r="AH16" s="147">
        <f>IF(AB7="Paid - Loss &amp; DCCE",AH12,IF(AB7="Paid - Pure Loss",AH13,IF(AB7="Incurred - Loss &amp; DCCE",AH14,IF(AB7="Incurred - Pure Loss",AH15,""))))</f>
        <v>58618504.239613801</v>
      </c>
      <c r="AI16" s="147">
        <f>IF(AB7="Paid - Loss &amp; DCCE",AI12,IF(AB7="Paid - Pure Loss",AI13,IF(AB7="Incurred - Loss &amp; DCCE",AI14,IF(AB7="Incurred - Pure Loss",AI15,""))))</f>
        <v>62495688.739749521</v>
      </c>
      <c r="AJ16" s="147">
        <f>IF(AB7="Paid - Loss &amp; DCCE",AJ12,IF(AB7="Paid - Pure Loss",AJ13,IF(AB7="Incurred - Loss &amp; DCCE",AJ14,IF(AB7="Incurred - Pure Loss",AJ15,""))))</f>
        <v>69916893.617357731</v>
      </c>
      <c r="AK16" s="282"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2"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2"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2"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20363675.420000002</v>
      </c>
      <c r="D17" s="293">
        <f>IF(OR(D7="Paid - Loss &amp; DCCE",D7="Incurred - Loss &amp; DCCE"),"N/A",IF(COUNTA(B106:L115)=0,"",INDEX(C132:L132,1,11-MATCH(D11,C11:L11,0))))</f>
        <v>21767001.038697049</v>
      </c>
      <c r="E17" s="293">
        <f>IF(OR(D7="Paid - Loss &amp; DCCE",D7="Incurred - Loss &amp; DCCE"),"N/A",IF(COUNTA(B106:L115)=0,"",INDEX(C132:L132,1,11-MATCH(E11,C11:L11,0))))</f>
        <v>24668974.214530893</v>
      </c>
      <c r="F17" s="293">
        <f>IF(OR(D7="Paid - Loss &amp; DCCE",D7="Incurred - Loss &amp; DCCE"),"N/A",IF(COUNTA(B106:L115)=0,"",INDEX(C132:L132,1,11-MATCH(F11,C11:L11,0))))</f>
        <v>24478679.659575634</v>
      </c>
      <c r="G17" s="293">
        <f>IF(OR(D7="Paid - Loss &amp; DCCE",D7="Incurred - Loss &amp; DCCE"),"N/A",IF(COUNTA(B106:L115)=0,"",INDEX(C132:L132,1,11-MATCH(G11,C11:L11,0))))</f>
        <v>26663946.736971844</v>
      </c>
      <c r="H17" s="293">
        <f>IF(OR(D7="Paid - Loss &amp; DCCE",D7="Incurred - Loss &amp; DCCE"),"N/A",IF(COUNTA(B106:L115)=0,"",INDEX(C132:L132,1,11-MATCH(H11,C11:L11,0))))</f>
        <v>24157173.081871103</v>
      </c>
      <c r="I17" s="293">
        <f>IF(OR(D7="Paid - Loss &amp; DCCE",D7="Incurred - Loss &amp; DCCE"),"N/A",IF(COUNTA(B106:L115)=0,"",INDEX(C132:L132,1,11-MATCH(I11,C11:L11,0))))</f>
        <v>26448742.155709971</v>
      </c>
      <c r="J17" s="293">
        <f>IF(OR(D7="Paid - Loss &amp; DCCE",D7="Incurred - Loss &amp; DCCE"),"N/A",IF(COUNTA(B106:L115)=0,"",INDEX(C132:L132,1,11-MATCH(J11,C11:L11,0))))</f>
        <v>29455571.231495988</v>
      </c>
      <c r="K17" s="293">
        <f>IF(OR(D7="Paid - Loss &amp; DCCE",D7="Incurred - Loss &amp; DCCE"),"N/A",IF(COUNTA(B106:L115)=0,"",INDEX(C132:L132,1,11-MATCH(K11,C11:L11,0))))</f>
        <v>43740890.543446019</v>
      </c>
      <c r="L17" s="293">
        <f>IF(OR(D7="Paid - Loss &amp; DCCE",D7="Incurred - Loss &amp; DCCE"),"N/A",IF(COUNTA(B106:L115)=0,"",INDEX(C132:L132,1,11-MATCH(L11,C11:L11,0))))</f>
        <v>45407821.727111883</v>
      </c>
      <c r="M17" s="294" t="s">
        <v>206</v>
      </c>
      <c r="N17" s="292"/>
      <c r="O17" s="293">
        <f>IF(OR(P7="Paid - Loss &amp; DCCE",P7="Incurred - Loss &amp; DCCE"),"N/A",IF(COUNTA(N106:X115)=0,"",INDEX(O132:X132,1,11-MATCH(O11,O11:X11,0))))</f>
        <v>2337956.3199999998</v>
      </c>
      <c r="P17" s="293">
        <f>IF(OR(P7="Paid - Loss &amp; DCCE",P7="Incurred - Loss &amp; DCCE"),"N/A",IF(COUNTA(N106:X115)=0,"",INDEX(O132:X132,1,11-MATCH(P11,O11:X11,0))))</f>
        <v>4135062.5682123923</v>
      </c>
      <c r="Q17" s="293">
        <f>IF(OR(P7="Paid - Loss &amp; DCCE",P7="Incurred - Loss &amp; DCCE"),"N/A",IF(COUNTA(N106:X115)=0,"",INDEX(O132:X132,1,11-MATCH(Q11,O11:X11,0))))</f>
        <v>2035071.8861932319</v>
      </c>
      <c r="R17" s="293">
        <f>IF(OR(P7="Paid - Loss &amp; DCCE",P7="Incurred - Loss &amp; DCCE"),"N/A",IF(COUNTA(N106:X115)=0,"",INDEX(O132:X132,1,11-MATCH(R11,O11:X11,0))))</f>
        <v>2447480.753128734</v>
      </c>
      <c r="S17" s="293">
        <f>IF(OR(P7="Paid - Loss &amp; DCCE",P7="Incurred - Loss &amp; DCCE"),"N/A",IF(COUNTA(N106:X115)=0,"",INDEX(O132:X132,1,11-MATCH(S11,O11:X11,0))))</f>
        <v>1807438.431163467</v>
      </c>
      <c r="T17" s="293">
        <f>IF(OR(P7="Paid - Loss &amp; DCCE",P7="Incurred - Loss &amp; DCCE"),"N/A",IF(COUNTA(N106:X115)=0,"",INDEX(O132:X132,1,11-MATCH(T11,O11:X11,0))))</f>
        <v>2335883.3347670543</v>
      </c>
      <c r="U17" s="293">
        <f>IF(OR(P7="Paid - Loss &amp; DCCE",P7="Incurred - Loss &amp; DCCE"),"N/A",IF(COUNTA(N106:X115)=0,"",INDEX(O132:X132,1,11-MATCH(U11,O11:X11,0))))</f>
        <v>1763958.4564907267</v>
      </c>
      <c r="V17" s="293">
        <f>IF(OR(P7="Paid - Loss &amp; DCCE",P7="Incurred - Loss &amp; DCCE"),"N/A",IF(COUNTA(N106:X115)=0,"",INDEX(O132:X132,1,11-MATCH(V11,O11:X11,0))))</f>
        <v>1816854.1627171738</v>
      </c>
      <c r="W17" s="293">
        <f>IF(OR(P7="Paid - Loss &amp; DCCE",P7="Incurred - Loss &amp; DCCE"),"N/A",IF(COUNTA(N106:X115)=0,"",INDEX(O132:X132,1,11-MATCH(W11,O11:X11,0))))</f>
        <v>2251397.4251545514</v>
      </c>
      <c r="X17" s="293">
        <f>IF(OR(P7="Paid - Loss &amp; DCCE",P7="Incurred - Loss &amp; DCCE"),"N/A",IF(COUNTA(N106:X115)=0,"",INDEX(O132:X132,1,11-MATCH(X11,O11:X11,0))))</f>
        <v>1951957.6849597886</v>
      </c>
      <c r="Y17" s="294" t="s">
        <v>206</v>
      </c>
      <c r="Z17" s="292"/>
      <c r="AA17" s="293">
        <f>IF(OR(AB7="Paid - Loss &amp; DCCE",AB7="Incurred - Loss &amp; DCCE"),"N/A",IF(COUNTA(Z106:AJ115)=0,"",INDEX(AA132:AJ132,1,11-MATCH(AA11,AA11:AJ11,0))))</f>
        <v>1712249.28</v>
      </c>
      <c r="AB17" s="293">
        <f>IF(OR(AB7="Paid - Loss &amp; DCCE",AB7="Incurred - Loss &amp; DCCE"),"N/A",IF(COUNTA(Z106:AJ115)=0,"",INDEX(AA132:AJ132,1,11-MATCH(AB11,AA11:AJ11,0))))</f>
        <v>1120544.9389370827</v>
      </c>
      <c r="AC17" s="293">
        <f>IF(OR(AB7="Paid - Loss &amp; DCCE",AB7="Incurred - Loss &amp; DCCE"),"N/A",IF(COUNTA(Z106:AJ115)=0,"",INDEX(AA132:AJ132,1,11-MATCH(AC11,AA11:AJ11,0))))</f>
        <v>1456250.4783620234</v>
      </c>
      <c r="AD17" s="293">
        <f>IF(OR(AB7="Paid - Loss &amp; DCCE",AB7="Incurred - Loss &amp; DCCE"),"N/A",IF(COUNTA(Z106:AJ115)=0,"",INDEX(AA132:AJ132,1,11-MATCH(AD11,AA11:AJ11,0))))</f>
        <v>1634291.0344154614</v>
      </c>
      <c r="AE17" s="293">
        <f>IF(OR(AB7="Paid - Loss &amp; DCCE",AB7="Incurred - Loss &amp; DCCE"),"N/A",IF(COUNTA(Z106:AJ115)=0,"",INDEX(AA132:AJ132,1,11-MATCH(AE11,AA11:AJ11,0))))</f>
        <v>2220843.5334245749</v>
      </c>
      <c r="AF17" s="293">
        <f>IF(OR(AB7="Paid - Loss &amp; DCCE",AB7="Incurred - Loss &amp; DCCE"),"N/A",IF(COUNTA(Z106:AJ115)=0,"",INDEX(AA132:AJ132,1,11-MATCH(AF11,AA11:AJ11,0))))</f>
        <v>2061003.4585932153</v>
      </c>
      <c r="AG17" s="293">
        <f>IF(OR(AB7="Paid - Loss &amp; DCCE",AB7="Incurred - Loss &amp; DCCE"),"N/A",IF(COUNTA(Z106:AJ115)=0,"",INDEX(AA132:AJ132,1,11-MATCH(AG11,AA11:AJ11,0))))</f>
        <v>1963282.5692779059</v>
      </c>
      <c r="AH17" s="293">
        <f>IF(OR(AB7="Paid - Loss &amp; DCCE",AB7="Incurred - Loss &amp; DCCE"),"N/A",IF(COUNTA(Z106:AJ115)=0,"",INDEX(AA132:AJ132,1,11-MATCH(AH11,AA11:AJ11,0))))</f>
        <v>2271895.4034775314</v>
      </c>
      <c r="AI17" s="293">
        <f>IF(OR(AB7="Paid - Loss &amp; DCCE",AB7="Incurred - Loss &amp; DCCE"),"N/A",IF(COUNTA(Z106:AJ115)=0,"",INDEX(AA132:AJ132,1,11-MATCH(AI11,AA11:AJ11,0))))</f>
        <v>3092031.4137566043</v>
      </c>
      <c r="AJ17" s="293">
        <f>IF(OR(AB7="Paid - Loss &amp; DCCE",AB7="Incurred - Loss &amp; DCCE"),"N/A",IF(COUNTA(Z106:AJ115)=0,"",INDEX(AA132:AJ132,1,11-MATCH(AJ11,AA11:AJ11,0))))</f>
        <v>3791326.3349171006</v>
      </c>
      <c r="AK17" s="294" t="s">
        <v>206</v>
      </c>
      <c r="AL17" s="292"/>
      <c r="AM17" s="293" t="str">
        <f>IF(OR(AN7="Paid - Loss &amp; DCCE",AN7="Incurred - Loss &amp; DCCE"),"N/A",IF(COUNTA(AL106:AV115)=0,"",INDEX(AM132:AV132,1,11-MATCH(AM11,AM11:AV11,0))))</f>
        <v/>
      </c>
      <c r="AN17" s="293" t="str">
        <f>IF(OR(AN7="Paid - Loss &amp; DCCE",AN7="Incurred - Loss &amp; DCCE"),"N/A",IF(COUNTA(AL106:AV115)=0,"",INDEX(AM132:AV132,1,11-MATCH(AN11,AM11:AV11,0))))</f>
        <v/>
      </c>
      <c r="AO17" s="293" t="str">
        <f>IF(OR(AN7="Paid - Loss &amp; DCCE",AN7="Incurred - Loss &amp; DCCE"),"N/A",IF(COUNTA(AL106:AV115)=0,"",INDEX(AM132:AV132,1,11-MATCH(AO11,AM11:AV11,0))))</f>
        <v/>
      </c>
      <c r="AP17" s="293" t="str">
        <f>IF(OR(AN7="Paid - Loss &amp; DCCE",AN7="Incurred - Loss &amp; DCCE"),"N/A",IF(COUNTA(AL106:AV115)=0,"",INDEX(AM132:AV132,1,11-MATCH(AP11,AM11:AV11,0))))</f>
        <v/>
      </c>
      <c r="AQ17" s="293" t="str">
        <f>IF(OR(AN7="Paid - Loss &amp; DCCE",AN7="Incurred - Loss &amp; DCCE"),"N/A",IF(COUNTA(AL106:AV115)=0,"",INDEX(AM132:AV132,1,11-MATCH(AQ11,AM11:AV11,0))))</f>
        <v/>
      </c>
      <c r="AR17" s="293" t="str">
        <f>IF(OR(AN7="Paid - Loss &amp; DCCE",AN7="Incurred - Loss &amp; DCCE"),"N/A",IF(COUNTA(AL106:AV115)=0,"",INDEX(AM132:AV132,1,11-MATCH(AR11,AM11:AV11,0))))</f>
        <v/>
      </c>
      <c r="AS17" s="293" t="str">
        <f>IF(OR(AN7="Paid - Loss &amp; DCCE",AN7="Incurred - Loss &amp; DCCE"),"N/A",IF(COUNTA(AL106:AV115)=0,"",INDEX(AM132:AV132,1,11-MATCH(AS11,AM11:AV11,0))))</f>
        <v/>
      </c>
      <c r="AT17" s="293" t="str">
        <f>IF(OR(AN7="Paid - Loss &amp; DCCE",AN7="Incurred - Loss &amp; DCCE"),"N/A",IF(COUNTA(AL106:AV115)=0,"",INDEX(AM132:AV132,1,11-MATCH(AT11,AM11:AV11,0))))</f>
        <v/>
      </c>
      <c r="AU17" s="293" t="str">
        <f>IF(OR(AN7="Paid - Loss &amp; DCCE",AN7="Incurred - Loss &amp; DCCE"),"N/A",IF(COUNTA(AL106:AV115)=0,"",INDEX(AM132:AV132,1,11-MATCH(AU11,AM11:AV11,0))))</f>
        <v/>
      </c>
      <c r="AV17" s="293" t="str">
        <f>IF(OR(AN7="Paid - Loss &amp; DCCE",AN7="Incurred - Loss &amp; DCCE"),"N/A",IF(COUNTA(AL106:AV115)=0,"",INDEX(AM132:AV132,1,11-MATCH(AV11,AM11:AV11,0))))</f>
        <v/>
      </c>
      <c r="AW17" s="294" t="s">
        <v>206</v>
      </c>
      <c r="AX17" s="292"/>
      <c r="AY17" s="293" t="str">
        <f>IF(OR(AZ7="Paid - Loss &amp; DCCE",AZ7="Incurred - Loss &amp; DCCE"),"N/A",IF(COUNTA(AX106:BH115)=0,"",INDEX(AY132:BH132,1,11-MATCH(AY11,AY11:BH11,0))))</f>
        <v/>
      </c>
      <c r="AZ17" s="293" t="str">
        <f>IF(OR(AZ7="Paid - Loss &amp; DCCE",AZ7="Incurred - Loss &amp; DCCE"),"N/A",IF(COUNTA(AX106:BH115)=0,"",INDEX(AY132:BH132,1,11-MATCH(AZ11,AY11:BH11,0))))</f>
        <v/>
      </c>
      <c r="BA17" s="293" t="str">
        <f>IF(OR(AZ7="Paid - Loss &amp; DCCE",AZ7="Incurred - Loss &amp; DCCE"),"N/A",IF(COUNTA(AX106:BH115)=0,"",INDEX(AY132:BH132,1,11-MATCH(BA11,AY11:BH11,0))))</f>
        <v/>
      </c>
      <c r="BB17" s="293" t="str">
        <f>IF(OR(AZ7="Paid - Loss &amp; DCCE",AZ7="Incurred - Loss &amp; DCCE"),"N/A",IF(COUNTA(AX106:BH115)=0,"",INDEX(AY132:BH132,1,11-MATCH(BB11,AY11:BH11,0))))</f>
        <v/>
      </c>
      <c r="BC17" s="293" t="str">
        <f>IF(OR(AZ7="Paid - Loss &amp; DCCE",AZ7="Incurred - Loss &amp; DCCE"),"N/A",IF(COUNTA(AX106:BH115)=0,"",INDEX(AY132:BH132,1,11-MATCH(BC11,AY11:BH11,0))))</f>
        <v/>
      </c>
      <c r="BD17" s="293" t="str">
        <f>IF(OR(AZ7="Paid - Loss &amp; DCCE",AZ7="Incurred - Loss &amp; DCCE"),"N/A",IF(COUNTA(AX106:BH115)=0,"",INDEX(AY132:BH132,1,11-MATCH(BD11,AY11:BH11,0))))</f>
        <v/>
      </c>
      <c r="BE17" s="293" t="str">
        <f>IF(OR(AZ7="Paid - Loss &amp; DCCE",AZ7="Incurred - Loss &amp; DCCE"),"N/A",IF(COUNTA(AX106:BH115)=0,"",INDEX(AY132:BH132,1,11-MATCH(BE11,AY11:BH11,0))))</f>
        <v/>
      </c>
      <c r="BF17" s="293" t="str">
        <f>IF(OR(AZ7="Paid - Loss &amp; DCCE",AZ7="Incurred - Loss &amp; DCCE"),"N/A",IF(COUNTA(AX106:BH115)=0,"",INDEX(AY132:BH132,1,11-MATCH(BF11,AY11:BH11,0))))</f>
        <v/>
      </c>
      <c r="BG17" s="293" t="str">
        <f>IF(OR(AZ7="Paid - Loss &amp; DCCE",AZ7="Incurred - Loss &amp; DCCE"),"N/A",IF(COUNTA(AX106:BH115)=0,"",INDEX(AY132:BH132,1,11-MATCH(BG11,AY11:BH11,0))))</f>
        <v/>
      </c>
      <c r="BH17" s="293" t="str">
        <f>IF(OR(AZ7="Paid - Loss &amp; DCCE",AZ7="Incurred - Loss &amp; DCCE"),"N/A",IF(COUNTA(AX106:BH115)=0,"",INDEX(AY132:BH132,1,11-MATCH(BH11,AY11:BH11,0))))</f>
        <v/>
      </c>
      <c r="BI17" s="294" t="s">
        <v>206</v>
      </c>
      <c r="BJ17" s="292"/>
      <c r="BK17" s="293" t="str">
        <f>IF(OR(BL7="Paid - Loss &amp; DCCE",BL7="Incurred - Loss &amp; DCCE"),"N/A",IF(COUNTA(BJ106:BT115)=0,"",INDEX(BK132:BT132,1,11-MATCH(BK11,BK11:BT11,0))))</f>
        <v/>
      </c>
      <c r="BL17" s="293" t="str">
        <f>IF(OR(BL7="Paid - Loss &amp; DCCE",BL7="Incurred - Loss &amp; DCCE"),"N/A",IF(COUNTA(BJ106:BT115)=0,"",INDEX(BK132:BT132,1,11-MATCH(BL11,BK11:BT11,0))))</f>
        <v/>
      </c>
      <c r="BM17" s="293" t="str">
        <f>IF(OR(BL7="Paid - Loss &amp; DCCE",BL7="Incurred - Loss &amp; DCCE"),"N/A",IF(COUNTA(BJ106:BT115)=0,"",INDEX(BK132:BT132,1,11-MATCH(BM11,BK11:BT11,0))))</f>
        <v/>
      </c>
      <c r="BN17" s="293" t="str">
        <f>IF(OR(BL7="Paid - Loss &amp; DCCE",BL7="Incurred - Loss &amp; DCCE"),"N/A",IF(COUNTA(BJ106:BT115)=0,"",INDEX(BK132:BT132,1,11-MATCH(BN11,BK11:BT11,0))))</f>
        <v/>
      </c>
      <c r="BO17" s="293" t="str">
        <f>IF(OR(BL7="Paid - Loss &amp; DCCE",BL7="Incurred - Loss &amp; DCCE"),"N/A",IF(COUNTA(BJ106:BT115)=0,"",INDEX(BK132:BT132,1,11-MATCH(BO11,BK11:BT11,0))))</f>
        <v/>
      </c>
      <c r="BP17" s="293" t="str">
        <f>IF(OR(BL7="Paid - Loss &amp; DCCE",BL7="Incurred - Loss &amp; DCCE"),"N/A",IF(COUNTA(BJ106:BT115)=0,"",INDEX(BK132:BT132,1,11-MATCH(BP11,BK11:BT11,0))))</f>
        <v/>
      </c>
      <c r="BQ17" s="293" t="str">
        <f>IF(OR(BL7="Paid - Loss &amp; DCCE",BL7="Incurred - Loss &amp; DCCE"),"N/A",IF(COUNTA(BJ106:BT115)=0,"",INDEX(BK132:BT132,1,11-MATCH(BQ11,BK11:BT11,0))))</f>
        <v/>
      </c>
      <c r="BR17" s="293" t="str">
        <f>IF(OR(BL7="Paid - Loss &amp; DCCE",BL7="Incurred - Loss &amp; DCCE"),"N/A",IF(COUNTA(BJ106:BT115)=0,"",INDEX(BK132:BT132,1,11-MATCH(BR11,BK11:BT11,0))))</f>
        <v/>
      </c>
      <c r="BS17" s="293" t="str">
        <f>IF(OR(BL7="Paid - Loss &amp; DCCE",BL7="Incurred - Loss &amp; DCCE"),"N/A",IF(COUNTA(BJ106:BT115)=0,"",INDEX(BK132:BT132,1,11-MATCH(BS11,BK11:BT11,0))))</f>
        <v/>
      </c>
      <c r="BT17" s="293" t="str">
        <f>IF(OR(BL7="Paid - Loss &amp; DCCE",BL7="Incurred - Loss &amp; DCCE"),"N/A",IF(COUNTA(BJ106:BT115)=0,"",INDEX(BK132:BT132,1,11-MATCH(BT11,BK11:BT11,0))))</f>
        <v/>
      </c>
      <c r="BU17" s="294" t="s">
        <v>206</v>
      </c>
      <c r="BV17" s="292"/>
      <c r="BW17" s="293" t="str">
        <f>IF(OR(BX7="Paid - Loss &amp; DCCE",BX7="Incurred - Loss &amp; DCCE"),"N/A",IF(COUNTA(BV106:CF115)=0,"",INDEX(BW132:CF132,1,11-MATCH(BW11,BW11:CF11,0))))</f>
        <v/>
      </c>
      <c r="BX17" s="293" t="str">
        <f>IF(OR(BX7="Paid - Loss &amp; DCCE",BX7="Incurred - Loss &amp; DCCE"),"N/A",IF(COUNTA(BV106:CF115)=0,"",INDEX(BW132:CF132,1,11-MATCH(BX11,BW11:CF11,0))))</f>
        <v/>
      </c>
      <c r="BY17" s="293" t="str">
        <f>IF(OR(BX7="Paid - Loss &amp; DCCE",BX7="Incurred - Loss &amp; DCCE"),"N/A",IF(COUNTA(BV106:CF115)=0,"",INDEX(BW132:CF132,1,11-MATCH(BY11,BW11:CF11,0))))</f>
        <v/>
      </c>
      <c r="BZ17" s="293" t="str">
        <f>IF(OR(BX7="Paid - Loss &amp; DCCE",BX7="Incurred - Loss &amp; DCCE"),"N/A",IF(COUNTA(BV106:CF115)=0,"",INDEX(BW132:CF132,1,11-MATCH(BZ11,BW11:CF11,0))))</f>
        <v/>
      </c>
      <c r="CA17" s="293" t="str">
        <f>IF(OR(BX7="Paid - Loss &amp; DCCE",BX7="Incurred - Loss &amp; DCCE"),"N/A",IF(COUNTA(BV106:CF115)=0,"",INDEX(BW132:CF132,1,11-MATCH(CA11,BW11:CF11,0))))</f>
        <v/>
      </c>
      <c r="CB17" s="293" t="str">
        <f>IF(OR(BX7="Paid - Loss &amp; DCCE",BX7="Incurred - Loss &amp; DCCE"),"N/A",IF(COUNTA(BV106:CF115)=0,"",INDEX(BW132:CF132,1,11-MATCH(CB11,BW11:CF11,0))))</f>
        <v/>
      </c>
      <c r="CC17" s="293" t="str">
        <f>IF(OR(BX7="Paid - Loss &amp; DCCE",BX7="Incurred - Loss &amp; DCCE"),"N/A",IF(COUNTA(BV106:CF115)=0,"",INDEX(BW132:CF132,1,11-MATCH(CC11,BW11:CF11,0))))</f>
        <v/>
      </c>
      <c r="CD17" s="293" t="str">
        <f>IF(OR(BX7="Paid - Loss &amp; DCCE",BX7="Incurred - Loss &amp; DCCE"),"N/A",IF(COUNTA(BV106:CF115)=0,"",INDEX(BW132:CF132,1,11-MATCH(CD11,BW11:CF11,0))))</f>
        <v/>
      </c>
      <c r="CE17" s="293" t="str">
        <f>IF(OR(BX7="Paid - Loss &amp; DCCE",BX7="Incurred - Loss &amp; DCCE"),"N/A",IF(COUNTA(BV106:CF115)=0,"",INDEX(BW132:CF132,1,11-MATCH(CE11,BW11:CF11,0))))</f>
        <v/>
      </c>
      <c r="CF17" s="293" t="str">
        <f>IF(OR(BX7="Paid - Loss &amp; DCCE",BX7="Incurred - Loss &amp; DCCE"),"N/A",IF(COUNTA(BV106:CF115)=0,"",INDEX(BW132:CF132,1,11-MATCH(CF11,BW11:CF11,0))))</f>
        <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20373977.392285962</v>
      </c>
      <c r="D18" s="144">
        <f>IF(OR(D7="Paid - Loss &amp; DCCE",D7="Incurred - Loss &amp; DCCE"),"N/A",IF(OR(COUNTA(B106:L115)=0,COUNTA(B71:L80)=0),"",INDEX(C169:L169,1,11-MATCH(D11,C11:L11,0))))</f>
        <v>21781688.467364483</v>
      </c>
      <c r="E18" s="144">
        <f>IF(OR(D7="Paid - Loss &amp; DCCE",D7="Incurred - Loss &amp; DCCE"),"N/A",IF(OR(COUNTA(B106:L115)=0,COUNTA(B71:L80)=0),"",INDEX(C169:L169,1,11-MATCH(E11,C11:L11,0))))</f>
        <v>24682855.603010692</v>
      </c>
      <c r="F18" s="144">
        <f>IF(OR(D7="Paid - Loss &amp; DCCE",D7="Incurred - Loss &amp; DCCE"),"N/A",IF(OR(COUNTA(B106:L115)=0,COUNTA(B71:L80)=0),"",INDEX(C169:L169,1,11-MATCH(F11,C11:L11,0))))</f>
        <v>24532674.700520255</v>
      </c>
      <c r="G18" s="144">
        <f>IF(OR(D7="Paid - Loss &amp; DCCE",D7="Incurred - Loss &amp; DCCE"),"N/A",IF(OR(COUNTA(B106:L115)=0,COUNTA(B71:L80)=0),"",INDEX(C169:L169,1,11-MATCH(G11,C11:L11,0))))</f>
        <v>26676719.427459564</v>
      </c>
      <c r="H18" s="144">
        <f>IF(OR(D7="Paid - Loss &amp; DCCE",D7="Incurred - Loss &amp; DCCE"),"N/A",IF(OR(COUNTA(B106:L115)=0,COUNTA(B71:L80)=0),"",INDEX(C169:L169,1,11-MATCH(H11,C11:L11,0))))</f>
        <v>24277481.988213375</v>
      </c>
      <c r="I18" s="144">
        <f>IF(OR(D7="Paid - Loss &amp; DCCE",D7="Incurred - Loss &amp; DCCE"),"N/A",IF(OR(COUNTA(B106:L115)=0,COUNTA(B71:L80)=0),"",INDEX(C169:L169,1,11-MATCH(I11,C11:L11,0))))</f>
        <v>26472953.012195755</v>
      </c>
      <c r="J18" s="144">
        <f>IF(OR(D7="Paid - Loss &amp; DCCE",D7="Incurred - Loss &amp; DCCE"),"N/A",IF(OR(COUNTA(B106:L115)=0,COUNTA(B71:L80)=0),"",INDEX(C169:L169,1,11-MATCH(J11,C11:L11,0))))</f>
        <v>29351563.934109293</v>
      </c>
      <c r="K18" s="144">
        <f>IF(OR(D7="Paid - Loss &amp; DCCE",D7="Incurred - Loss &amp; DCCE"),"N/A",IF(OR(COUNTA(B106:L115)=0,COUNTA(B71:L80)=0),"",INDEX(C169:L169,1,11-MATCH(K11,C11:L11,0))))</f>
        <v>44769846.358692437</v>
      </c>
      <c r="L18" s="144">
        <f>IF(OR(D7="Paid - Loss &amp; DCCE",D7="Incurred - Loss &amp; DCCE"),"N/A",IF(OR(COUNTA(B106:L115)=0,COUNTA(B71:L80)=0),"",INDEX(C169:L169,1,11-MATCH(L11,C11:L11,0))))</f>
        <v>50529740.616542667</v>
      </c>
      <c r="M18" s="290" t="s">
        <v>219</v>
      </c>
      <c r="N18" s="68"/>
      <c r="O18" s="144">
        <f>IF(OR(P7="Paid - Loss &amp; DCCE",P7="Incurred - Loss &amp; DCCE"),"N/A",IF(OR(COUNTA(N106:X115)=0,COUNTA(N71:X80)=0),"",INDEX(O169:X169,1,11-MATCH(O11,O11:X11,0))))</f>
        <v>2337956.3199999998</v>
      </c>
      <c r="P18" s="144">
        <f>IF(OR(P7="Paid - Loss &amp; DCCE",P7="Incurred - Loss &amp; DCCE"),"N/A",IF(OR(COUNTA(N106:X115)=0,COUNTA(N71:X80)=0),"",INDEX(O169:X169,1,11-MATCH(P11,O11:X11,0))))</f>
        <v>4135062.5682123932</v>
      </c>
      <c r="Q18" s="144">
        <f>IF(OR(P7="Paid - Loss &amp; DCCE",P7="Incurred - Loss &amp; DCCE"),"N/A",IF(OR(COUNTA(N106:X115)=0,COUNTA(N71:X80)=0),"",INDEX(O169:X169,1,11-MATCH(Q11,O11:X11,0))))</f>
        <v>2030982.534781171</v>
      </c>
      <c r="R18" s="144">
        <f>IF(OR(P7="Paid - Loss &amp; DCCE",P7="Incurred - Loss &amp; DCCE"),"N/A",IF(OR(COUNTA(N106:X115)=0,COUNTA(N71:X80)=0),"",INDEX(O169:X169,1,11-MATCH(R11,O11:X11,0))))</f>
        <v>2462671.8461837596</v>
      </c>
      <c r="S18" s="144">
        <f>IF(OR(P7="Paid - Loss &amp; DCCE",P7="Incurred - Loss &amp; DCCE"),"N/A",IF(OR(COUNTA(N106:X115)=0,COUNTA(N71:X80)=0),"",INDEX(O169:X169,1,11-MATCH(S11,O11:X11,0))))</f>
        <v>1803354.0689974406</v>
      </c>
      <c r="T18" s="144">
        <f>IF(OR(P7="Paid - Loss &amp; DCCE",P7="Incurred - Loss &amp; DCCE"),"N/A",IF(OR(COUNTA(N106:X115)=0,COUNTA(N71:X80)=0),"",INDEX(O169:X169,1,11-MATCH(T11,O11:X11,0))))</f>
        <v>2335537.3409901396</v>
      </c>
      <c r="U18" s="144">
        <f>IF(OR(P7="Paid - Loss &amp; DCCE",P7="Incurred - Loss &amp; DCCE"),"N/A",IF(OR(COUNTA(N106:X115)=0,COUNTA(N71:X80)=0),"",INDEX(O169:X169,1,11-MATCH(U11,O11:X11,0))))</f>
        <v>1759228.4410031235</v>
      </c>
      <c r="V18" s="144">
        <f>IF(OR(P7="Paid - Loss &amp; DCCE",P7="Incurred - Loss &amp; DCCE"),"N/A",IF(OR(COUNTA(N106:X115)=0,COUNTA(N71:X80)=0),"",INDEX(O169:X169,1,11-MATCH(V11,O11:X11,0))))</f>
        <v>1861537.9684877</v>
      </c>
      <c r="W18" s="144">
        <f>IF(OR(P7="Paid - Loss &amp; DCCE",P7="Incurred - Loss &amp; DCCE"),"N/A",IF(OR(COUNTA(N106:X115)=0,COUNTA(N71:X80)=0),"",INDEX(O169:X169,1,11-MATCH(W11,O11:X11,0))))</f>
        <v>2315813.9315291494</v>
      </c>
      <c r="X18" s="144">
        <f>IF(OR(P7="Paid - Loss &amp; DCCE",P7="Incurred - Loss &amp; DCCE"),"N/A",IF(OR(COUNTA(N106:X115)=0,COUNTA(N71:X80)=0),"",INDEX(O169:X169,1,11-MATCH(X11,O11:X11,0))))</f>
        <v>2073751.6833462331</v>
      </c>
      <c r="Y18" s="289" t="s">
        <v>219</v>
      </c>
      <c r="Z18" s="68"/>
      <c r="AA18" s="144">
        <f>IF(OR(AB7="Paid - Loss &amp; DCCE",AB7="Incurred - Loss &amp; DCCE"),"N/A",IF(OR(COUNTA(Z106:AJ115)=0,COUNTA(Z71:AJ80)=0),"",INDEX(AA169:AJ169,1,11-MATCH(AA11,AA11:AJ11,0))))</f>
        <v>1712249.28</v>
      </c>
      <c r="AB18" s="144">
        <f>IF(OR(AB7="Paid - Loss &amp; DCCE",AB7="Incurred - Loss &amp; DCCE"),"N/A",IF(OR(COUNTA(Z106:AJ115)=0,COUNTA(Z71:AJ80)=0),"",INDEX(AA169:AJ169,1,11-MATCH(AB11,AA11:AJ11,0))))</f>
        <v>1123746.5286520496</v>
      </c>
      <c r="AC18" s="144">
        <f>IF(OR(AB7="Paid - Loss &amp; DCCE",AB7="Incurred - Loss &amp; DCCE"),"N/A",IF(OR(COUNTA(Z106:AJ115)=0,COUNTA(Z71:AJ80)=0),"",INDEX(AA169:AJ169,1,11-MATCH(AC11,AA11:AJ11,0))))</f>
        <v>1467670.0575418761</v>
      </c>
      <c r="AD18" s="144">
        <f>IF(OR(AB7="Paid - Loss &amp; DCCE",AB7="Incurred - Loss &amp; DCCE"),"N/A",IF(OR(COUNTA(Z106:AJ115)=0,COUNTA(Z71:AJ80)=0),"",INDEX(AA169:AJ169,1,11-MATCH(AD11,AA11:AJ11,0))))</f>
        <v>1653653.5433956657</v>
      </c>
      <c r="AE18" s="144">
        <f>IF(OR(AB7="Paid - Loss &amp; DCCE",AB7="Incurred - Loss &amp; DCCE"),"N/A",IF(OR(COUNTA(Z106:AJ115)=0,COUNTA(Z71:AJ80)=0),"",INDEX(AA169:AJ169,1,11-MATCH(AE11,AA11:AJ11,0))))</f>
        <v>2255575.628444822</v>
      </c>
      <c r="AF18" s="144">
        <f>IF(OR(AB7="Paid - Loss &amp; DCCE",AB7="Incurred - Loss &amp; DCCE"),"N/A",IF(OR(COUNTA(Z106:AJ115)=0,COUNTA(Z71:AJ80)=0),"",INDEX(AA169:AJ169,1,11-MATCH(AF11,AA11:AJ11,0))))</f>
        <v>2093326.9428412793</v>
      </c>
      <c r="AG18" s="144">
        <f>IF(OR(AB7="Paid - Loss &amp; DCCE",AB7="Incurred - Loss &amp; DCCE"),"N/A",IF(OR(COUNTA(Z106:AJ115)=0,COUNTA(Z71:AJ80)=0),"",INDEX(AA169:AJ169,1,11-MATCH(AG11,AA11:AJ11,0))))</f>
        <v>1990530.6453852898</v>
      </c>
      <c r="AH18" s="144">
        <f>IF(OR(AB7="Paid - Loss &amp; DCCE",AB7="Incurred - Loss &amp; DCCE"),"N/A",IF(OR(COUNTA(Z106:AJ115)=0,COUNTA(Z71:AJ80)=0),"",INDEX(AA169:AJ169,1,11-MATCH(AH11,AA11:AJ11,0))))</f>
        <v>2327414.5760810305</v>
      </c>
      <c r="AI18" s="144">
        <f>IF(OR(AB7="Paid - Loss &amp; DCCE",AB7="Incurred - Loss &amp; DCCE"),"N/A",IF(OR(COUNTA(Z106:AJ115)=0,COUNTA(Z71:AJ80)=0),"",INDEX(AA169:AJ169,1,11-MATCH(AI11,AA11:AJ11,0))))</f>
        <v>3152413.6430051872</v>
      </c>
      <c r="AJ18" s="144">
        <f>IF(OR(AB7="Paid - Loss &amp; DCCE",AB7="Incurred - Loss &amp; DCCE"),"N/A",IF(OR(COUNTA(Z106:AJ115)=0,COUNTA(Z71:AJ80)=0),"",INDEX(AA169:AJ169,1,11-MATCH(AJ11,AA11:AJ11,0))))</f>
        <v>4040239.2484236625</v>
      </c>
      <c r="AK18" s="289" t="s">
        <v>219</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89" t="s">
        <v>219</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89" t="s">
        <v>219</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89" t="s">
        <v>219</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20363675.420000002</v>
      </c>
      <c r="D21" s="147">
        <f>IF(OR(D7="Paid - Loss &amp; DCCE",D7="Incurred - Loss &amp; DCCE"),"N/A",IF(D8="Paid - DCCE Dollar",D17,IF(D8="Paid - DCCE (by Ratio)",D18,IF(D8="Incurred - DCCE Dollar",D19,IF(D8="Incurred - DCCE (by Ratio)",D20,"")))))</f>
        <v>21767001.038697049</v>
      </c>
      <c r="E21" s="147">
        <f>IF(OR(D7="Paid - Loss &amp; DCCE",D7="Incurred - Loss &amp; DCCE"),"N/A",IF(D8="Paid - DCCE Dollar",E17,IF(D8="Paid - DCCE (by Ratio)",E18,IF(D8="Incurred - DCCE Dollar",E19,IF(D8="Incurred - DCCE (by Ratio)",E20,"")))))</f>
        <v>24668974.214530893</v>
      </c>
      <c r="F21" s="147">
        <f>IF(OR(D7="Paid - Loss &amp; DCCE",D7="Incurred - Loss &amp; DCCE"),"N/A",IF(D8="Paid - DCCE Dollar",F17,IF(D8="Paid - DCCE (by Ratio)",F18,IF(D8="Incurred - DCCE Dollar",F19,IF(D8="Incurred - DCCE (by Ratio)",F20,"")))))</f>
        <v>24478679.659575634</v>
      </c>
      <c r="G21" s="147">
        <f>IF(OR(D7="Paid - Loss &amp; DCCE",D7="Incurred - Loss &amp; DCCE"),"N/A",IF(D8="Paid - DCCE Dollar",G17,IF(D8="Paid - DCCE (by Ratio)",G18,IF(D8="Incurred - DCCE Dollar",G19,IF(D8="Incurred - DCCE (by Ratio)",G20,"")))))</f>
        <v>26663946.736971844</v>
      </c>
      <c r="H21" s="147">
        <f>IF(OR(D7="Paid - Loss &amp; DCCE",D7="Incurred - Loss &amp; DCCE"),"N/A",IF(D8="Paid - DCCE Dollar",H17,IF(D8="Paid - DCCE (by Ratio)",H18,IF(D8="Incurred - DCCE Dollar",H19,IF(D8="Incurred - DCCE (by Ratio)",H20,"")))))</f>
        <v>24157173.081871103</v>
      </c>
      <c r="I21" s="147">
        <f>IF(OR(D7="Paid - Loss &amp; DCCE",D7="Incurred - Loss &amp; DCCE"),"N/A",IF(D8="Paid - DCCE Dollar",I17,IF(D8="Paid - DCCE (by Ratio)",I18,IF(D8="Incurred - DCCE Dollar",I19,IF(D8="Incurred - DCCE (by Ratio)",I20,"")))))</f>
        <v>26448742.155709971</v>
      </c>
      <c r="J21" s="147">
        <f>IF(OR(D7="Paid - Loss &amp; DCCE",D7="Incurred - Loss &amp; DCCE"),"N/A",IF(D8="Paid - DCCE Dollar",J17,IF(D8="Paid - DCCE (by Ratio)",J18,IF(D8="Incurred - DCCE Dollar",J19,IF(D8="Incurred - DCCE (by Ratio)",J20,"")))))</f>
        <v>29455571.231495988</v>
      </c>
      <c r="K21" s="147">
        <f>IF(OR(D7="Paid - Loss &amp; DCCE",D7="Incurred - Loss &amp; DCCE"),"N/A",IF(D8="Paid - DCCE Dollar",K17,IF(D8="Paid - DCCE (by Ratio)",K18,IF(D8="Incurred - DCCE Dollar",K19,IF(D8="Incurred - DCCE (by Ratio)",K20,"")))))</f>
        <v>43740890.543446019</v>
      </c>
      <c r="L21" s="147">
        <f>IF(OR(D7="Paid - Loss &amp; DCCE",D7="Incurred - Loss &amp; DCCE"),"N/A",IF(D8="Paid - DCCE Dollar",L17,IF(D8="Paid - DCCE (by Ratio)",L18,IF(D8="Incurred - DCCE Dollar",L19,IF(D8="Incurred - DCCE (by Ratio)",L20,"")))))</f>
        <v>45407821.727111883</v>
      </c>
      <c r="M21" s="282" t="s">
        <v>40</v>
      </c>
      <c r="N21" s="68"/>
      <c r="O21" s="147">
        <f>IF(OR(P7="Paid - Loss &amp; DCCE",P7="Incurred - Loss &amp; DCCE"),"N/A",IF(P8="Paid - DCCE Dollar",O17,IF(P8="Paid - DCCE (by Ratio)",O18,IF(P8="Incurred - DCCE Dollar",O19,IF(P8="Incurred - DCCE (by Ratio)",O20,"")))))</f>
        <v>2337956.3199999998</v>
      </c>
      <c r="P21" s="147">
        <f>IF(OR(P7="Paid - Loss &amp; DCCE",P7="Incurred - Loss &amp; DCCE"),"N/A",IF(P8="Paid - DCCE Dollar",P17,IF(P8="Paid - DCCE (by Ratio)",P18,IF(P8="Incurred - DCCE Dollar",P19,IF(P8="Incurred - DCCE (by Ratio)",P20,"")))))</f>
        <v>4135062.5682123923</v>
      </c>
      <c r="Q21" s="147">
        <f>IF(OR(P7="Paid - Loss &amp; DCCE",P7="Incurred - Loss &amp; DCCE"),"N/A",IF(P8="Paid - DCCE Dollar",Q17,IF(P8="Paid - DCCE (by Ratio)",Q18,IF(P8="Incurred - DCCE Dollar",Q19,IF(P8="Incurred - DCCE (by Ratio)",Q20,"")))))</f>
        <v>2035071.8861932319</v>
      </c>
      <c r="R21" s="147">
        <f>IF(OR(P7="Paid - Loss &amp; DCCE",P7="Incurred - Loss &amp; DCCE"),"N/A",IF(P8="Paid - DCCE Dollar",R17,IF(P8="Paid - DCCE (by Ratio)",R18,IF(P8="Incurred - DCCE Dollar",R19,IF(P8="Incurred - DCCE (by Ratio)",R20,"")))))</f>
        <v>2447480.753128734</v>
      </c>
      <c r="S21" s="147">
        <f>IF(OR(P7="Paid - Loss &amp; DCCE",P7="Incurred - Loss &amp; DCCE"),"N/A",IF(P8="Paid - DCCE Dollar",S17,IF(P8="Paid - DCCE (by Ratio)",S18,IF(P8="Incurred - DCCE Dollar",S19,IF(P8="Incurred - DCCE (by Ratio)",S20,"")))))</f>
        <v>1807438.431163467</v>
      </c>
      <c r="T21" s="147">
        <f>IF(OR(P7="Paid - Loss &amp; DCCE",P7="Incurred - Loss &amp; DCCE"),"N/A",IF(P8="Paid - DCCE Dollar",T17,IF(P8="Paid - DCCE (by Ratio)",T18,IF(P8="Incurred - DCCE Dollar",T19,IF(P8="Incurred - DCCE (by Ratio)",T20,"")))))</f>
        <v>2335883.3347670543</v>
      </c>
      <c r="U21" s="147">
        <f>IF(OR(P7="Paid - Loss &amp; DCCE",P7="Incurred - Loss &amp; DCCE"),"N/A",IF(P8="Paid - DCCE Dollar",U17,IF(P8="Paid - DCCE (by Ratio)",U18,IF(P8="Incurred - DCCE Dollar",U19,IF(P8="Incurred - DCCE (by Ratio)",U20,"")))))</f>
        <v>1763958.4564907267</v>
      </c>
      <c r="V21" s="147">
        <f>IF(OR(P7="Paid - Loss &amp; DCCE",P7="Incurred - Loss &amp; DCCE"),"N/A",IF(P8="Paid - DCCE Dollar",V17,IF(P8="Paid - DCCE (by Ratio)",V18,IF(P8="Incurred - DCCE Dollar",V19,IF(P8="Incurred - DCCE (by Ratio)",V20,"")))))</f>
        <v>1816854.1627171738</v>
      </c>
      <c r="W21" s="147">
        <f>IF(OR(P7="Paid - Loss &amp; DCCE",P7="Incurred - Loss &amp; DCCE"),"N/A",IF(P8="Paid - DCCE Dollar",W17,IF(P8="Paid - DCCE (by Ratio)",W18,IF(P8="Incurred - DCCE Dollar",W19,IF(P8="Incurred - DCCE (by Ratio)",W20,"")))))</f>
        <v>2251397.4251545514</v>
      </c>
      <c r="X21" s="147">
        <f>IF(OR(P7="Paid - Loss &amp; DCCE",P7="Incurred - Loss &amp; DCCE"),"N/A",IF(P8="Paid - DCCE Dollar",X17,IF(P8="Paid - DCCE (by Ratio)",X18,IF(P8="Incurred - DCCE Dollar",X19,IF(P8="Incurred - DCCE (by Ratio)",X20,"")))))</f>
        <v>1951957.6849597886</v>
      </c>
      <c r="Y21" s="282" t="s">
        <v>40</v>
      </c>
      <c r="Z21" s="68"/>
      <c r="AA21" s="147">
        <f>IF(OR(AB7="Paid - Loss &amp; DCCE",AB7="Incurred - Loss &amp; DCCE"),"N/A",IF(AB8="Paid - DCCE Dollar",AA17,IF(AB8="Paid - DCCE (by Ratio)",AA18,IF(AB8="Incurred - DCCE Dollar",AA19,IF(AB8="Incurred - DCCE (by Ratio)",AA20,"")))))</f>
        <v>1712249.28</v>
      </c>
      <c r="AB21" s="147">
        <f>IF(OR(AB7="Paid - Loss &amp; DCCE",AB7="Incurred - Loss &amp; DCCE"),"N/A",IF(AB8="Paid - DCCE Dollar",AB17,IF(AB8="Paid - DCCE (by Ratio)",AB18,IF(AB8="Incurred - DCCE Dollar",AB19,IF(AB8="Incurred - DCCE (by Ratio)",AB20,"")))))</f>
        <v>1120544.9389370827</v>
      </c>
      <c r="AC21" s="147">
        <f>IF(OR(AB7="Paid - Loss &amp; DCCE",AB7="Incurred - Loss &amp; DCCE"),"N/A",IF(AB8="Paid - DCCE Dollar",AC17,IF(AB8="Paid - DCCE (by Ratio)",AC18,IF(AB8="Incurred - DCCE Dollar",AC19,IF(AB8="Incurred - DCCE (by Ratio)",AC20,"")))))</f>
        <v>1456250.4783620234</v>
      </c>
      <c r="AD21" s="147">
        <f>IF(OR(AB7="Paid - Loss &amp; DCCE",AB7="Incurred - Loss &amp; DCCE"),"N/A",IF(AB8="Paid - DCCE Dollar",AD17,IF(AB8="Paid - DCCE (by Ratio)",AD18,IF(AB8="Incurred - DCCE Dollar",AD19,IF(AB8="Incurred - DCCE (by Ratio)",AD20,"")))))</f>
        <v>1634291.0344154614</v>
      </c>
      <c r="AE21" s="147">
        <f>IF(OR(AB7="Paid - Loss &amp; DCCE",AB7="Incurred - Loss &amp; DCCE"),"N/A",IF(AB8="Paid - DCCE Dollar",AE17,IF(AB8="Paid - DCCE (by Ratio)",AE18,IF(AB8="Incurred - DCCE Dollar",AE19,IF(AB8="Incurred - DCCE (by Ratio)",AE20,"")))))</f>
        <v>2220843.5334245749</v>
      </c>
      <c r="AF21" s="147">
        <f>IF(OR(AB7="Paid - Loss &amp; DCCE",AB7="Incurred - Loss &amp; DCCE"),"N/A",IF(AB8="Paid - DCCE Dollar",AF17,IF(AB8="Paid - DCCE (by Ratio)",AF18,IF(AB8="Incurred - DCCE Dollar",AF19,IF(AB8="Incurred - DCCE (by Ratio)",AF20,"")))))</f>
        <v>2061003.4585932153</v>
      </c>
      <c r="AG21" s="147">
        <f>IF(OR(AB7="Paid - Loss &amp; DCCE",AB7="Incurred - Loss &amp; DCCE"),"N/A",IF(AB8="Paid - DCCE Dollar",AG17,IF(AB8="Paid - DCCE (by Ratio)",AG18,IF(AB8="Incurred - DCCE Dollar",AG19,IF(AB8="Incurred - DCCE (by Ratio)",AG20,"")))))</f>
        <v>1963282.5692779059</v>
      </c>
      <c r="AH21" s="147">
        <f>IF(OR(AB7="Paid - Loss &amp; DCCE",AB7="Incurred - Loss &amp; DCCE"),"N/A",IF(AB8="Paid - DCCE Dollar",AH17,IF(AB8="Paid - DCCE (by Ratio)",AH18,IF(AB8="Incurred - DCCE Dollar",AH19,IF(AB8="Incurred - DCCE (by Ratio)",AH20,"")))))</f>
        <v>2271895.4034775314</v>
      </c>
      <c r="AI21" s="147">
        <f>IF(OR(AB7="Paid - Loss &amp; DCCE",AB7="Incurred - Loss &amp; DCCE"),"N/A",IF(AB8="Paid - DCCE Dollar",AI17,IF(AB8="Paid - DCCE (by Ratio)",AI18,IF(AB8="Incurred - DCCE Dollar",AI19,IF(AB8="Incurred - DCCE (by Ratio)",AI20,"")))))</f>
        <v>3092031.4137566043</v>
      </c>
      <c r="AJ21" s="147">
        <f>IF(OR(AB7="Paid - Loss &amp; DCCE",AB7="Incurred - Loss &amp; DCCE"),"N/A",IF(AB8="Paid - DCCE Dollar",AJ17,IF(AB8="Paid - DCCE (by Ratio)",AJ18,IF(AB8="Incurred - DCCE Dollar",AJ19,IF(AB8="Incurred - DCCE (by Ratio)",AJ20,"")))))</f>
        <v>3791326.3349171006</v>
      </c>
      <c r="AK21" s="282"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2"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2"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2"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20132</v>
      </c>
      <c r="D24" s="62">
        <f>$D$11</f>
        <v>20142</v>
      </c>
      <c r="E24" s="62">
        <f>$E$11</f>
        <v>20152</v>
      </c>
      <c r="F24" s="62">
        <f>$F$11</f>
        <v>20162</v>
      </c>
      <c r="G24" s="62">
        <f>$G$11</f>
        <v>20172</v>
      </c>
      <c r="H24" s="62">
        <f>$H$11</f>
        <v>20182</v>
      </c>
      <c r="I24" s="62">
        <f>$I$11</f>
        <v>20192</v>
      </c>
      <c r="J24" s="62">
        <f>$J$11</f>
        <v>20202</v>
      </c>
      <c r="K24" s="62">
        <f>$K$11</f>
        <v>20212</v>
      </c>
      <c r="L24" s="62">
        <f>$L$11</f>
        <v>20222</v>
      </c>
      <c r="M24" s="281" t="s">
        <v>56</v>
      </c>
      <c r="N24" s="145"/>
      <c r="O24" s="62">
        <f>$C$11</f>
        <v>20132</v>
      </c>
      <c r="P24" s="62">
        <f>$D$11</f>
        <v>20142</v>
      </c>
      <c r="Q24" s="62">
        <f>$E$11</f>
        <v>20152</v>
      </c>
      <c r="R24" s="62">
        <f>$F$11</f>
        <v>20162</v>
      </c>
      <c r="S24" s="62">
        <f>$G$11</f>
        <v>20172</v>
      </c>
      <c r="T24" s="62">
        <f>$H$11</f>
        <v>20182</v>
      </c>
      <c r="U24" s="62">
        <f>$I$11</f>
        <v>20192</v>
      </c>
      <c r="V24" s="62">
        <f>$J$11</f>
        <v>20202</v>
      </c>
      <c r="W24" s="62">
        <f>$K$11</f>
        <v>20212</v>
      </c>
      <c r="X24" s="62">
        <f>$L$11</f>
        <v>20222</v>
      </c>
      <c r="Y24" s="281" t="s">
        <v>56</v>
      </c>
      <c r="Z24" s="145"/>
      <c r="AA24" s="62">
        <f>$C$11</f>
        <v>20132</v>
      </c>
      <c r="AB24" s="62">
        <f>$D$11</f>
        <v>20142</v>
      </c>
      <c r="AC24" s="62">
        <f>$E$11</f>
        <v>20152</v>
      </c>
      <c r="AD24" s="62">
        <f>$F$11</f>
        <v>20162</v>
      </c>
      <c r="AE24" s="62">
        <f>$G$11</f>
        <v>20172</v>
      </c>
      <c r="AF24" s="62">
        <f>$H$11</f>
        <v>20182</v>
      </c>
      <c r="AG24" s="62">
        <f>$I$11</f>
        <v>20192</v>
      </c>
      <c r="AH24" s="62">
        <f>$J$11</f>
        <v>20202</v>
      </c>
      <c r="AI24" s="62">
        <f>$K$11</f>
        <v>20212</v>
      </c>
      <c r="AJ24" s="62">
        <f>$L$11</f>
        <v>20222</v>
      </c>
      <c r="AK24" s="281" t="s">
        <v>56</v>
      </c>
      <c r="AL24" s="145"/>
      <c r="AM24" s="62">
        <f>$C$11</f>
        <v>20132</v>
      </c>
      <c r="AN24" s="62">
        <f>$D$11</f>
        <v>20142</v>
      </c>
      <c r="AO24" s="62">
        <f>$E$11</f>
        <v>20152</v>
      </c>
      <c r="AP24" s="62">
        <f>$F$11</f>
        <v>20162</v>
      </c>
      <c r="AQ24" s="62">
        <f>$G$11</f>
        <v>20172</v>
      </c>
      <c r="AR24" s="62">
        <f>$H$11</f>
        <v>20182</v>
      </c>
      <c r="AS24" s="62">
        <f>$I$11</f>
        <v>20192</v>
      </c>
      <c r="AT24" s="62">
        <f>$J$11</f>
        <v>20202</v>
      </c>
      <c r="AU24" s="62">
        <f>$K$11</f>
        <v>20212</v>
      </c>
      <c r="AV24" s="62">
        <f>$L$11</f>
        <v>20222</v>
      </c>
      <c r="AW24" s="281" t="s">
        <v>56</v>
      </c>
      <c r="AX24" s="145"/>
      <c r="AY24" s="62">
        <f>$C$11</f>
        <v>20132</v>
      </c>
      <c r="AZ24" s="62">
        <f>$D$11</f>
        <v>20142</v>
      </c>
      <c r="BA24" s="62">
        <f>$E$11</f>
        <v>20152</v>
      </c>
      <c r="BB24" s="62">
        <f>$F$11</f>
        <v>20162</v>
      </c>
      <c r="BC24" s="62">
        <f>$G$11</f>
        <v>20172</v>
      </c>
      <c r="BD24" s="62">
        <f>$H$11</f>
        <v>20182</v>
      </c>
      <c r="BE24" s="62">
        <f>$I$11</f>
        <v>20192</v>
      </c>
      <c r="BF24" s="62">
        <f>$J$11</f>
        <v>20202</v>
      </c>
      <c r="BG24" s="62">
        <f>$K$11</f>
        <v>20212</v>
      </c>
      <c r="BH24" s="62">
        <f>$L$11</f>
        <v>20222</v>
      </c>
      <c r="BI24" s="281" t="s">
        <v>56</v>
      </c>
      <c r="BJ24" s="145"/>
      <c r="BK24" s="62">
        <f>$C$11</f>
        <v>20132</v>
      </c>
      <c r="BL24" s="62">
        <f>$D$11</f>
        <v>20142</v>
      </c>
      <c r="BM24" s="62">
        <f>$E$11</f>
        <v>20152</v>
      </c>
      <c r="BN24" s="62">
        <f>$F$11</f>
        <v>20162</v>
      </c>
      <c r="BO24" s="62">
        <f>$G$11</f>
        <v>20172</v>
      </c>
      <c r="BP24" s="62">
        <f>$H$11</f>
        <v>20182</v>
      </c>
      <c r="BQ24" s="62">
        <f>$I$11</f>
        <v>20192</v>
      </c>
      <c r="BR24" s="62">
        <f>$J$11</f>
        <v>20202</v>
      </c>
      <c r="BS24" s="62">
        <f>$K$11</f>
        <v>20212</v>
      </c>
      <c r="BT24" s="62">
        <f>$L$11</f>
        <v>20222</v>
      </c>
      <c r="BU24" s="281" t="s">
        <v>56</v>
      </c>
      <c r="BV24" s="145"/>
      <c r="BW24" s="62">
        <f>$C$11</f>
        <v>20132</v>
      </c>
      <c r="BX24" s="62">
        <f>$D$11</f>
        <v>20142</v>
      </c>
      <c r="BY24" s="62">
        <f>$E$11</f>
        <v>20152</v>
      </c>
      <c r="BZ24" s="62">
        <f>$F$11</f>
        <v>20162</v>
      </c>
      <c r="CA24" s="62">
        <f>$G$11</f>
        <v>20172</v>
      </c>
      <c r="CB24" s="62">
        <f>$H$11</f>
        <v>20182</v>
      </c>
      <c r="CC24" s="62">
        <f>$I$11</f>
        <v>20192</v>
      </c>
      <c r="CD24" s="62">
        <f>$J$11</f>
        <v>20202</v>
      </c>
      <c r="CE24" s="62">
        <f>$K$11</f>
        <v>20212</v>
      </c>
      <c r="CF24" s="62">
        <f>$L$11</f>
        <v>20222</v>
      </c>
      <c r="CG24" s="281" t="s">
        <v>56</v>
      </c>
      <c r="CH24" s="145"/>
      <c r="CI24" s="62">
        <f>$C$11</f>
        <v>20132</v>
      </c>
      <c r="CJ24" s="62">
        <f>$D$11</f>
        <v>20142</v>
      </c>
      <c r="CK24" s="62">
        <f>$E$11</f>
        <v>20152</v>
      </c>
      <c r="CL24" s="62">
        <f>$F$11</f>
        <v>20162</v>
      </c>
      <c r="CM24" s="62">
        <f>$G$11</f>
        <v>20172</v>
      </c>
      <c r="CN24" s="62">
        <f>$H$11</f>
        <v>20182</v>
      </c>
      <c r="CO24" s="62">
        <f>$I$11</f>
        <v>20192</v>
      </c>
      <c r="CP24" s="62">
        <f>$J$11</f>
        <v>20202</v>
      </c>
      <c r="CQ24" s="62">
        <f>$K$11</f>
        <v>20212</v>
      </c>
      <c r="CR24" s="62">
        <f>$L$11</f>
        <v>20222</v>
      </c>
      <c r="CS24" s="281" t="s">
        <v>56</v>
      </c>
      <c r="CT24" s="145"/>
      <c r="CU24" s="62">
        <f>$C$11</f>
        <v>20132</v>
      </c>
      <c r="CV24" s="62">
        <f>$D$11</f>
        <v>20142</v>
      </c>
      <c r="CW24" s="62">
        <f>$E$11</f>
        <v>20152</v>
      </c>
      <c r="CX24" s="62">
        <f>$F$11</f>
        <v>20162</v>
      </c>
      <c r="CY24" s="62">
        <f>$G$11</f>
        <v>20172</v>
      </c>
      <c r="CZ24" s="62">
        <f>$H$11</f>
        <v>20182</v>
      </c>
      <c r="DA24" s="62">
        <f>$I$11</f>
        <v>20192</v>
      </c>
      <c r="DB24" s="62">
        <f>$J$11</f>
        <v>20202</v>
      </c>
      <c r="DC24" s="62">
        <f>$K$11</f>
        <v>20212</v>
      </c>
      <c r="DD24" s="62">
        <f>$L$11</f>
        <v>20222</v>
      </c>
      <c r="DE24" s="281" t="s">
        <v>56</v>
      </c>
      <c r="DF24" s="145"/>
      <c r="DG24" s="62">
        <f>$C$11</f>
        <v>20132</v>
      </c>
      <c r="DH24" s="62">
        <f>$D$11</f>
        <v>20142</v>
      </c>
      <c r="DI24" s="62">
        <f>$E$11</f>
        <v>20152</v>
      </c>
      <c r="DJ24" s="62">
        <f>$F$11</f>
        <v>20162</v>
      </c>
      <c r="DK24" s="62">
        <f>$G$11</f>
        <v>20172</v>
      </c>
      <c r="DL24" s="62">
        <f>$H$11</f>
        <v>20182</v>
      </c>
      <c r="DM24" s="62">
        <f>$I$11</f>
        <v>20192</v>
      </c>
      <c r="DN24" s="62">
        <f>$J$11</f>
        <v>20202</v>
      </c>
      <c r="DO24" s="62">
        <f>$K$11</f>
        <v>20212</v>
      </c>
      <c r="DP24" s="62">
        <f>$L$11</f>
        <v>20222</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0.99983302257122741</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0.999386782701155</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0.99996515970618804</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0.99954541831881871</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1.0018303450902335</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1.0045481448196012</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1.0151033633941922</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1.046102612573347</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1.2436333778174311</v>
      </c>
      <c r="M25" s="283"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0.99999900720006829</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1.002154122770051</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1.0022803462638508</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1.0031748228843427</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1.0031732193214784</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1.0071230966894065</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1.0262084697270397</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1.0663000799211975</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1.2462101268606165</v>
      </c>
      <c r="Y25" s="283"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0.99918420599188784</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0.99880562117068583</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0.99759943457323974</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0.99569242643090106</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1.0002867482258142</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1.0020078828958583</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1.0155399159526965</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1.1310178665795489</v>
      </c>
      <c r="AK25" s="283"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3"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3"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3"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1.012055039945009</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1.0239873678974343</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1.0354502400881416</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1.0592580250010233</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1.1600481957445021</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1.4034445875971155</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1.9506089648650742</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3.2182523087522181</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7.1769761623520134</v>
      </c>
      <c r="M26" s="283"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1.0006291498424009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1.0070163332691415</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1.0244506172949444</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1.0408344289994071</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1.1012683642156966</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1.2602522534957135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1.5201045891785667</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2.1662089824021549</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5.8424025777998869</v>
      </c>
      <c r="Y26" s="283"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0.99720468078901281</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1.024214229861325</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1.0595351375205846</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1.072995444194798</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1.1671807682102577</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1.3787864612585312</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1.8674711460595805</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2.8466323744455733</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5.1027968051799961</v>
      </c>
      <c r="AK26" s="283"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3"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3"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3"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8" t="str">
        <f>M$2</f>
        <v>Homeowners Multiple Peril</v>
      </c>
      <c r="N29" s="68"/>
      <c r="O29" s="40"/>
      <c r="P29" s="18"/>
      <c r="Q29" s="18"/>
      <c r="R29" s="18"/>
      <c r="S29" s="18"/>
      <c r="T29" s="18"/>
      <c r="U29" s="18"/>
      <c r="V29" s="18"/>
      <c r="W29" s="18"/>
      <c r="X29" s="18"/>
      <c r="Y29" s="137" t="str">
        <f>Y$2</f>
        <v>Homeowners Multiple Peril</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Renters</v>
      </c>
      <c r="N32" s="69"/>
      <c r="O32" s="18"/>
      <c r="P32" s="18"/>
      <c r="Q32" s="18"/>
      <c r="R32" s="18"/>
      <c r="S32" s="18"/>
      <c r="T32" s="18"/>
      <c r="U32" s="18"/>
      <c r="V32" s="18"/>
      <c r="W32" s="18"/>
      <c r="X32" s="18"/>
      <c r="Y32" s="138" t="str">
        <f>Y$5</f>
        <v>Condominium Unitowners</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ht="30" x14ac:dyDescent="0.25">
      <c r="A35" s="210" t="str">
        <f>"Fiscal "&amp;AggMethod&amp;" Ending"</f>
        <v>Fiscal Accident Year Data Ending</v>
      </c>
      <c r="B35" s="98">
        <f>C35-12</f>
        <v>0</v>
      </c>
      <c r="C35" s="209"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0" t="str">
        <f>"Fiscal "&amp;AggMethod&amp;" Ending"</f>
        <v>Fiscal Accident Year Data Ending</v>
      </c>
      <c r="N35" s="98">
        <f>O35-12</f>
        <v>0</v>
      </c>
      <c r="O35" s="209"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0" t="str">
        <f>"Fiscal "&amp;AggMethod&amp;" Ending"</f>
        <v>Fiscal Accident Year Data Ending</v>
      </c>
      <c r="Z35" s="98">
        <f>AA35-12</f>
        <v>0</v>
      </c>
      <c r="AA35" s="209"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0" t="str">
        <f>"Fiscal "&amp;AggMethod&amp;" Ending"</f>
        <v>Fiscal Accident Year Data Ending</v>
      </c>
      <c r="AL35" s="98">
        <f>AM35-12</f>
        <v>0</v>
      </c>
      <c r="AM35" s="209"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0" t="str">
        <f>"Fiscal "&amp;AggMethod&amp;" Ending"</f>
        <v>Fiscal Accident Year Data Ending</v>
      </c>
      <c r="AX35" s="98">
        <f>AY35-12</f>
        <v>0</v>
      </c>
      <c r="AY35" s="209"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0" t="str">
        <f>"Fiscal "&amp;AggMethod&amp;" Ending"</f>
        <v>Fiscal Accident Year Data Ending</v>
      </c>
      <c r="BJ35" s="98">
        <f>BK35-12</f>
        <v>0</v>
      </c>
      <c r="BK35" s="209"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0" t="str">
        <f>"Fiscal "&amp;AggMethod&amp;" Ending"</f>
        <v>Fiscal Accident Year Data Ending</v>
      </c>
      <c r="BV35" s="98">
        <f>BW35-12</f>
        <v>0</v>
      </c>
      <c r="BW35" s="209"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0" t="str">
        <f>"Fiscal "&amp;AggMethod&amp;" Ending"</f>
        <v>Fiscal Accident Year Data Ending</v>
      </c>
      <c r="CH35" s="98">
        <f>CI35-12</f>
        <v>0</v>
      </c>
      <c r="CI35" s="209"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0" t="str">
        <f>"Fiscal "&amp;AggMethod&amp;" Ending"</f>
        <v>Fiscal Accident Year Data Ending</v>
      </c>
      <c r="CT35" s="98">
        <f>CU35-12</f>
        <v>0</v>
      </c>
      <c r="CU35" s="209"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0" t="str">
        <f>"Fiscal "&amp;AggMethod&amp;" Ending"</f>
        <v>Fiscal Accident Year Data Ending</v>
      </c>
      <c r="DF35" s="98">
        <f>DG35-12</f>
        <v>0</v>
      </c>
      <c r="DG35" s="209"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20132</v>
      </c>
      <c r="B36" s="21"/>
      <c r="C36" s="21">
        <v>271655348.18000001</v>
      </c>
      <c r="D36" s="21">
        <v>391335200.25999999</v>
      </c>
      <c r="E36" s="21">
        <v>418757441.51000005</v>
      </c>
      <c r="F36" s="21">
        <v>429973606.34999996</v>
      </c>
      <c r="G36" s="21">
        <v>433454931.18000001</v>
      </c>
      <c r="H36" s="21">
        <v>435457725.69999999</v>
      </c>
      <c r="I36" s="21">
        <v>437362550.06</v>
      </c>
      <c r="J36" s="21">
        <v>437845739.70000005</v>
      </c>
      <c r="K36" s="21">
        <v>438065022.32999998</v>
      </c>
      <c r="L36" s="21">
        <v>438452384.81</v>
      </c>
      <c r="M36" s="31">
        <f t="shared" ref="M36:M43" si="154">M37-10</f>
        <v>20132</v>
      </c>
      <c r="N36" s="21"/>
      <c r="O36" s="21">
        <v>23183239.780000001</v>
      </c>
      <c r="P36" s="21">
        <v>33492004.23</v>
      </c>
      <c r="Q36" s="21">
        <v>36440961.07</v>
      </c>
      <c r="R36" s="21">
        <v>37445175.560000002</v>
      </c>
      <c r="S36" s="21">
        <v>38111133.469999999</v>
      </c>
      <c r="T36" s="21">
        <v>38314263.43</v>
      </c>
      <c r="U36" s="21">
        <v>38549373.700000003</v>
      </c>
      <c r="V36" s="21">
        <v>38646290.349999994</v>
      </c>
      <c r="W36" s="21">
        <v>38748656.43</v>
      </c>
      <c r="X36" s="21">
        <v>38750090.280000001</v>
      </c>
      <c r="Y36" s="31">
        <f t="shared" ref="Y36:Y43" si="155">Y37-10</f>
        <v>20132</v>
      </c>
      <c r="Z36" s="21"/>
      <c r="AA36" s="21">
        <v>31583492.550000001</v>
      </c>
      <c r="AB36" s="21">
        <v>40305740.949999996</v>
      </c>
      <c r="AC36" s="21">
        <v>41036750.720000006</v>
      </c>
      <c r="AD36" s="21">
        <v>41011081.829999998</v>
      </c>
      <c r="AE36" s="21">
        <v>41738493.600000001</v>
      </c>
      <c r="AF36" s="21">
        <v>42235740.460000001</v>
      </c>
      <c r="AG36" s="21">
        <v>42533031.689999998</v>
      </c>
      <c r="AH36" s="21">
        <v>42438352.93</v>
      </c>
      <c r="AI36" s="21">
        <v>42438352.93</v>
      </c>
      <c r="AJ36" s="21">
        <v>42433553.230000004</v>
      </c>
      <c r="AK36" s="31">
        <f t="shared" ref="AK36:AK43" si="156">AK37-10</f>
        <v>20132</v>
      </c>
      <c r="AL36" s="21"/>
      <c r="AM36" s="21"/>
      <c r="AN36" s="21"/>
      <c r="AO36" s="21"/>
      <c r="AP36" s="21"/>
      <c r="AQ36" s="21"/>
      <c r="AR36" s="21"/>
      <c r="AS36" s="21"/>
      <c r="AT36" s="21"/>
      <c r="AU36" s="21"/>
      <c r="AV36" s="21"/>
      <c r="AW36" s="31">
        <f t="shared" ref="AW36:AW43" si="157">AW37-10</f>
        <v>20132</v>
      </c>
      <c r="AX36" s="21"/>
      <c r="AY36" s="21"/>
      <c r="AZ36" s="21"/>
      <c r="BA36" s="21"/>
      <c r="BB36" s="21"/>
      <c r="BC36" s="21"/>
      <c r="BD36" s="21"/>
      <c r="BE36" s="21"/>
      <c r="BF36" s="21"/>
      <c r="BG36" s="21"/>
      <c r="BH36" s="21"/>
      <c r="BI36" s="31">
        <f t="shared" ref="BI36:BI43" si="158">BI37-10</f>
        <v>20132</v>
      </c>
      <c r="BJ36" s="21"/>
      <c r="BK36" s="21"/>
      <c r="BL36" s="21"/>
      <c r="BM36" s="21"/>
      <c r="BN36" s="21"/>
      <c r="BO36" s="21"/>
      <c r="BP36" s="21"/>
      <c r="BQ36" s="21"/>
      <c r="BR36" s="21"/>
      <c r="BS36" s="21"/>
      <c r="BT36" s="21"/>
      <c r="BU36" s="31">
        <f t="shared" ref="BU36:BU43" si="159">BU37-10</f>
        <v>20132</v>
      </c>
      <c r="BV36" s="21"/>
      <c r="BW36" s="21"/>
      <c r="BX36" s="21"/>
      <c r="BY36" s="21"/>
      <c r="BZ36" s="21"/>
      <c r="CA36" s="21"/>
      <c r="CB36" s="21"/>
      <c r="CC36" s="21"/>
      <c r="CD36" s="21"/>
      <c r="CE36" s="21"/>
      <c r="CF36" s="21"/>
      <c r="CG36" s="31">
        <f t="shared" ref="CG36:CG43" si="160">CG37-10</f>
        <v>20132</v>
      </c>
      <c r="CH36" s="21"/>
      <c r="CI36" s="21"/>
      <c r="CJ36" s="21"/>
      <c r="CK36" s="21"/>
      <c r="CL36" s="21"/>
      <c r="CM36" s="21"/>
      <c r="CN36" s="21"/>
      <c r="CO36" s="21"/>
      <c r="CP36" s="21"/>
      <c r="CQ36" s="21"/>
      <c r="CR36" s="21"/>
      <c r="CS36" s="31">
        <f t="shared" ref="CS36:CS43" si="161">CS37-10</f>
        <v>20132</v>
      </c>
      <c r="CT36" s="21"/>
      <c r="CU36" s="21"/>
      <c r="CV36" s="21"/>
      <c r="CW36" s="21"/>
      <c r="CX36" s="21"/>
      <c r="CY36" s="21"/>
      <c r="CZ36" s="21"/>
      <c r="DA36" s="21"/>
      <c r="DB36" s="21"/>
      <c r="DC36" s="21"/>
      <c r="DD36" s="21"/>
      <c r="DE36" s="31">
        <f t="shared" ref="DE36:DE43" si="162">DE37-10</f>
        <v>20132</v>
      </c>
      <c r="DF36" s="21"/>
      <c r="DG36" s="21"/>
      <c r="DH36" s="21"/>
      <c r="DI36" s="21"/>
      <c r="DJ36" s="21"/>
      <c r="DK36" s="21"/>
      <c r="DL36" s="21"/>
      <c r="DM36" s="21"/>
      <c r="DN36" s="21"/>
      <c r="DO36" s="21"/>
      <c r="DP36" s="21"/>
    </row>
    <row r="37" spans="1:120" ht="15" customHeight="1" x14ac:dyDescent="0.25">
      <c r="A37" s="31">
        <f t="shared" si="153"/>
        <v>20142</v>
      </c>
      <c r="B37" s="21"/>
      <c r="C37" s="21">
        <v>279018862.75999999</v>
      </c>
      <c r="D37" s="21">
        <v>380271469.98999995</v>
      </c>
      <c r="E37" s="21">
        <v>407198929.84000003</v>
      </c>
      <c r="F37" s="21">
        <v>421552689.79999995</v>
      </c>
      <c r="G37" s="21">
        <v>426183777.48000002</v>
      </c>
      <c r="H37" s="21">
        <v>429827591.03000003</v>
      </c>
      <c r="I37" s="21">
        <v>429868862.68000001</v>
      </c>
      <c r="J37" s="21">
        <v>430541874.57999998</v>
      </c>
      <c r="K37" s="21">
        <v>430762753.67000002</v>
      </c>
      <c r="L37" s="134"/>
      <c r="M37" s="31">
        <f t="shared" si="154"/>
        <v>20142</v>
      </c>
      <c r="N37" s="21"/>
      <c r="O37" s="21">
        <v>23936179.489999998</v>
      </c>
      <c r="P37" s="21">
        <v>34584766.310000002</v>
      </c>
      <c r="Q37" s="21">
        <v>37850486.079999998</v>
      </c>
      <c r="R37" s="21">
        <v>41425698.789999999</v>
      </c>
      <c r="S37" s="21">
        <v>42239281.18</v>
      </c>
      <c r="T37" s="21">
        <v>42437373.600000001</v>
      </c>
      <c r="U37" s="21">
        <v>42559267.909999996</v>
      </c>
      <c r="V37" s="21">
        <v>42606405.100000001</v>
      </c>
      <c r="W37" s="21">
        <v>42880090.380000003</v>
      </c>
      <c r="X37" s="134"/>
      <c r="Y37" s="31">
        <f t="shared" si="155"/>
        <v>20142</v>
      </c>
      <c r="Z37" s="21"/>
      <c r="AA37" s="21">
        <v>31284416.119999997</v>
      </c>
      <c r="AB37" s="21">
        <v>39129630.449999996</v>
      </c>
      <c r="AC37" s="21">
        <v>39683532.369999997</v>
      </c>
      <c r="AD37" s="21">
        <v>40320661.049999997</v>
      </c>
      <c r="AE37" s="21">
        <v>40341593.139999993</v>
      </c>
      <c r="AF37" s="21">
        <v>40516048.030000001</v>
      </c>
      <c r="AG37" s="21">
        <v>40505495.689999998</v>
      </c>
      <c r="AH37" s="21">
        <v>40661332.760000005</v>
      </c>
      <c r="AI37" s="21">
        <v>40740130.789999999</v>
      </c>
      <c r="AJ37" s="134"/>
      <c r="AK37" s="31">
        <f t="shared" si="156"/>
        <v>20142</v>
      </c>
      <c r="AL37" s="21"/>
      <c r="AM37" s="21"/>
      <c r="AN37" s="21"/>
      <c r="AO37" s="21"/>
      <c r="AP37" s="21"/>
      <c r="AQ37" s="21"/>
      <c r="AR37" s="21"/>
      <c r="AS37" s="21"/>
      <c r="AT37" s="21"/>
      <c r="AU37" s="21"/>
      <c r="AV37" s="134"/>
      <c r="AW37" s="31">
        <f t="shared" si="157"/>
        <v>20142</v>
      </c>
      <c r="AX37" s="21"/>
      <c r="AY37" s="21"/>
      <c r="AZ37" s="21"/>
      <c r="BA37" s="21"/>
      <c r="BB37" s="21"/>
      <c r="BC37" s="21"/>
      <c r="BD37" s="21"/>
      <c r="BE37" s="21"/>
      <c r="BF37" s="21"/>
      <c r="BG37" s="21"/>
      <c r="BH37" s="134"/>
      <c r="BI37" s="31">
        <f t="shared" si="158"/>
        <v>20142</v>
      </c>
      <c r="BJ37" s="21"/>
      <c r="BK37" s="21"/>
      <c r="BL37" s="21"/>
      <c r="BM37" s="21"/>
      <c r="BN37" s="21"/>
      <c r="BO37" s="21"/>
      <c r="BP37" s="21"/>
      <c r="BQ37" s="21"/>
      <c r="BR37" s="21"/>
      <c r="BS37" s="21"/>
      <c r="BT37" s="134"/>
      <c r="BU37" s="31">
        <f t="shared" si="159"/>
        <v>20142</v>
      </c>
      <c r="BV37" s="21"/>
      <c r="BW37" s="21"/>
      <c r="BX37" s="21"/>
      <c r="BY37" s="21"/>
      <c r="BZ37" s="21"/>
      <c r="CA37" s="21"/>
      <c r="CB37" s="21"/>
      <c r="CC37" s="21"/>
      <c r="CD37" s="21"/>
      <c r="CE37" s="21"/>
      <c r="CF37" s="134"/>
      <c r="CG37" s="31">
        <f t="shared" si="160"/>
        <v>20142</v>
      </c>
      <c r="CH37" s="21"/>
      <c r="CI37" s="21"/>
      <c r="CJ37" s="21"/>
      <c r="CK37" s="21"/>
      <c r="CL37" s="21"/>
      <c r="CM37" s="21"/>
      <c r="CN37" s="21"/>
      <c r="CO37" s="21"/>
      <c r="CP37" s="21"/>
      <c r="CQ37" s="21"/>
      <c r="CR37" s="134"/>
      <c r="CS37" s="31">
        <f t="shared" si="161"/>
        <v>20142</v>
      </c>
      <c r="CT37" s="21"/>
      <c r="CU37" s="21"/>
      <c r="CV37" s="21"/>
      <c r="CW37" s="21"/>
      <c r="CX37" s="21"/>
      <c r="CY37" s="21"/>
      <c r="CZ37" s="21"/>
      <c r="DA37" s="21"/>
      <c r="DB37" s="21"/>
      <c r="DC37" s="21"/>
      <c r="DD37" s="134"/>
      <c r="DE37" s="31">
        <f t="shared" si="162"/>
        <v>20142</v>
      </c>
      <c r="DF37" s="21"/>
      <c r="DG37" s="21"/>
      <c r="DH37" s="21"/>
      <c r="DI37" s="21"/>
      <c r="DJ37" s="21"/>
      <c r="DK37" s="21"/>
      <c r="DL37" s="21"/>
      <c r="DM37" s="21"/>
      <c r="DN37" s="21"/>
      <c r="DO37" s="21"/>
      <c r="DP37" s="134"/>
    </row>
    <row r="38" spans="1:120" ht="15" customHeight="1" x14ac:dyDescent="0.25">
      <c r="A38" s="31">
        <f t="shared" si="153"/>
        <v>20152</v>
      </c>
      <c r="B38" s="21"/>
      <c r="C38" s="21">
        <v>295541365.14000005</v>
      </c>
      <c r="D38" s="21">
        <v>405584554.38999999</v>
      </c>
      <c r="E38" s="21">
        <v>431037627.44</v>
      </c>
      <c r="F38" s="21">
        <v>442528135.14999998</v>
      </c>
      <c r="G38" s="21">
        <v>452366984.38</v>
      </c>
      <c r="H38" s="21">
        <v>457583272.60999995</v>
      </c>
      <c r="I38" s="21">
        <v>458865832.55000001</v>
      </c>
      <c r="J38" s="21">
        <v>459986486.34999996</v>
      </c>
      <c r="K38" s="134"/>
      <c r="L38" s="134"/>
      <c r="M38" s="31">
        <f t="shared" si="154"/>
        <v>20152</v>
      </c>
      <c r="N38" s="21"/>
      <c r="O38" s="21">
        <v>25512180.16</v>
      </c>
      <c r="P38" s="21">
        <v>35263551.920000002</v>
      </c>
      <c r="Q38" s="21">
        <v>39235045.460000001</v>
      </c>
      <c r="R38" s="21">
        <v>41193384.640000001</v>
      </c>
      <c r="S38" s="21">
        <v>41733049.640000001</v>
      </c>
      <c r="T38" s="21">
        <v>41812855.890000001</v>
      </c>
      <c r="U38" s="21">
        <v>41926959.030000001</v>
      </c>
      <c r="V38" s="21">
        <v>41936758.420000002</v>
      </c>
      <c r="W38" s="134"/>
      <c r="X38" s="134"/>
      <c r="Y38" s="31">
        <f t="shared" si="155"/>
        <v>20152</v>
      </c>
      <c r="Z38" s="21"/>
      <c r="AA38" s="21">
        <v>34190558.979999997</v>
      </c>
      <c r="AB38" s="21">
        <v>43121566.130000003</v>
      </c>
      <c r="AC38" s="21">
        <v>44467452.57</v>
      </c>
      <c r="AD38" s="21">
        <v>44727055.07</v>
      </c>
      <c r="AE38" s="21">
        <v>44718035.030000001</v>
      </c>
      <c r="AF38" s="21">
        <v>44998013.200000003</v>
      </c>
      <c r="AG38" s="21">
        <v>45030984.980000004</v>
      </c>
      <c r="AH38" s="21">
        <v>45097580.210000001</v>
      </c>
      <c r="AI38" s="134"/>
      <c r="AJ38" s="134"/>
      <c r="AK38" s="31">
        <f t="shared" si="156"/>
        <v>20152</v>
      </c>
      <c r="AL38" s="21"/>
      <c r="AM38" s="21"/>
      <c r="AN38" s="21"/>
      <c r="AO38" s="21"/>
      <c r="AP38" s="21"/>
      <c r="AQ38" s="21"/>
      <c r="AR38" s="21"/>
      <c r="AS38" s="21"/>
      <c r="AT38" s="21"/>
      <c r="AU38" s="134"/>
      <c r="AV38" s="134"/>
      <c r="AW38" s="31">
        <f t="shared" si="157"/>
        <v>20152</v>
      </c>
      <c r="AX38" s="21"/>
      <c r="AY38" s="21"/>
      <c r="AZ38" s="21"/>
      <c r="BA38" s="21"/>
      <c r="BB38" s="21"/>
      <c r="BC38" s="21"/>
      <c r="BD38" s="21"/>
      <c r="BE38" s="21"/>
      <c r="BF38" s="21"/>
      <c r="BG38" s="134"/>
      <c r="BH38" s="134"/>
      <c r="BI38" s="31">
        <f t="shared" si="158"/>
        <v>20152</v>
      </c>
      <c r="BJ38" s="21"/>
      <c r="BK38" s="21"/>
      <c r="BL38" s="21"/>
      <c r="BM38" s="21"/>
      <c r="BN38" s="21"/>
      <c r="BO38" s="21"/>
      <c r="BP38" s="21"/>
      <c r="BQ38" s="21"/>
      <c r="BR38" s="21"/>
      <c r="BS38" s="134"/>
      <c r="BT38" s="134"/>
      <c r="BU38" s="31">
        <f t="shared" si="159"/>
        <v>20152</v>
      </c>
      <c r="BV38" s="21"/>
      <c r="BW38" s="21"/>
      <c r="BX38" s="21"/>
      <c r="BY38" s="21"/>
      <c r="BZ38" s="21"/>
      <c r="CA38" s="21"/>
      <c r="CB38" s="21"/>
      <c r="CC38" s="21"/>
      <c r="CD38" s="21"/>
      <c r="CE38" s="134"/>
      <c r="CF38" s="134"/>
      <c r="CG38" s="31">
        <f t="shared" si="160"/>
        <v>20152</v>
      </c>
      <c r="CH38" s="21"/>
      <c r="CI38" s="21"/>
      <c r="CJ38" s="21"/>
      <c r="CK38" s="21"/>
      <c r="CL38" s="21"/>
      <c r="CM38" s="21"/>
      <c r="CN38" s="21"/>
      <c r="CO38" s="21"/>
      <c r="CP38" s="21"/>
      <c r="CQ38" s="134"/>
      <c r="CR38" s="134"/>
      <c r="CS38" s="31">
        <f t="shared" si="161"/>
        <v>20152</v>
      </c>
      <c r="CT38" s="21"/>
      <c r="CU38" s="21"/>
      <c r="CV38" s="21"/>
      <c r="CW38" s="21"/>
      <c r="CX38" s="21"/>
      <c r="CY38" s="21"/>
      <c r="CZ38" s="21"/>
      <c r="DA38" s="21"/>
      <c r="DB38" s="21"/>
      <c r="DC38" s="134"/>
      <c r="DD38" s="134"/>
      <c r="DE38" s="31">
        <f t="shared" si="162"/>
        <v>20152</v>
      </c>
      <c r="DF38" s="21"/>
      <c r="DG38" s="21"/>
      <c r="DH38" s="21"/>
      <c r="DI38" s="21"/>
      <c r="DJ38" s="21"/>
      <c r="DK38" s="21"/>
      <c r="DL38" s="21"/>
      <c r="DM38" s="21"/>
      <c r="DN38" s="21"/>
      <c r="DO38" s="134"/>
      <c r="DP38" s="134"/>
    </row>
    <row r="39" spans="1:120" ht="15" customHeight="1" x14ac:dyDescent="0.25">
      <c r="A39" s="31">
        <f t="shared" si="153"/>
        <v>20162</v>
      </c>
      <c r="B39" s="21"/>
      <c r="C39" s="21">
        <v>342981265.66000003</v>
      </c>
      <c r="D39" s="21">
        <v>467961798.74000001</v>
      </c>
      <c r="E39" s="21">
        <v>499519552.46000004</v>
      </c>
      <c r="F39" s="21">
        <v>513081518.47000003</v>
      </c>
      <c r="G39" s="21">
        <v>519513431.05000001</v>
      </c>
      <c r="H39" s="21">
        <v>523269959.74000001</v>
      </c>
      <c r="I39" s="21">
        <v>524261395.13999999</v>
      </c>
      <c r="J39" s="134"/>
      <c r="K39" s="134"/>
      <c r="L39" s="134"/>
      <c r="M39" s="31">
        <f t="shared" si="154"/>
        <v>20162</v>
      </c>
      <c r="N39" s="21"/>
      <c r="O39" s="21">
        <v>26643546.27</v>
      </c>
      <c r="P39" s="21">
        <v>39158076.210000001</v>
      </c>
      <c r="Q39" s="21">
        <v>43083228.640000001</v>
      </c>
      <c r="R39" s="21">
        <v>45301518.509999998</v>
      </c>
      <c r="S39" s="21">
        <v>46281984.229999997</v>
      </c>
      <c r="T39" s="21">
        <v>46575927.890000001</v>
      </c>
      <c r="U39" s="21">
        <v>46776972.030000001</v>
      </c>
      <c r="V39" s="134"/>
      <c r="W39" s="134"/>
      <c r="X39" s="134"/>
      <c r="Y39" s="31">
        <f t="shared" si="155"/>
        <v>20162</v>
      </c>
      <c r="Z39" s="21"/>
      <c r="AA39" s="21">
        <v>40652043.900000006</v>
      </c>
      <c r="AB39" s="21">
        <v>51307198.600000001</v>
      </c>
      <c r="AC39" s="21">
        <v>52646688.329999998</v>
      </c>
      <c r="AD39" s="21">
        <v>52880042.509999998</v>
      </c>
      <c r="AE39" s="21">
        <v>53085772</v>
      </c>
      <c r="AF39" s="21">
        <v>53164245.969999999</v>
      </c>
      <c r="AG39" s="21">
        <v>53165475.059999995</v>
      </c>
      <c r="AH39" s="134"/>
      <c r="AI39" s="134"/>
      <c r="AJ39" s="134"/>
      <c r="AK39" s="31">
        <f t="shared" si="156"/>
        <v>20162</v>
      </c>
      <c r="AL39" s="21"/>
      <c r="AM39" s="21"/>
      <c r="AN39" s="21"/>
      <c r="AO39" s="21"/>
      <c r="AP39" s="21"/>
      <c r="AQ39" s="21"/>
      <c r="AR39" s="21"/>
      <c r="AS39" s="21"/>
      <c r="AT39" s="134"/>
      <c r="AU39" s="134"/>
      <c r="AV39" s="134"/>
      <c r="AW39" s="31">
        <f t="shared" si="157"/>
        <v>20162</v>
      </c>
      <c r="AX39" s="21"/>
      <c r="AY39" s="21"/>
      <c r="AZ39" s="21"/>
      <c r="BA39" s="21"/>
      <c r="BB39" s="21"/>
      <c r="BC39" s="21"/>
      <c r="BD39" s="21"/>
      <c r="BE39" s="21"/>
      <c r="BF39" s="134"/>
      <c r="BG39" s="134"/>
      <c r="BH39" s="134"/>
      <c r="BI39" s="31">
        <f t="shared" si="158"/>
        <v>20162</v>
      </c>
      <c r="BJ39" s="21"/>
      <c r="BK39" s="21"/>
      <c r="BL39" s="21"/>
      <c r="BM39" s="21"/>
      <c r="BN39" s="21"/>
      <c r="BO39" s="21"/>
      <c r="BP39" s="21"/>
      <c r="BQ39" s="21"/>
      <c r="BR39" s="134"/>
      <c r="BS39" s="134"/>
      <c r="BT39" s="134"/>
      <c r="BU39" s="31">
        <f t="shared" si="159"/>
        <v>20162</v>
      </c>
      <c r="BV39" s="21"/>
      <c r="BW39" s="21"/>
      <c r="BX39" s="21"/>
      <c r="BY39" s="21"/>
      <c r="BZ39" s="21"/>
      <c r="CA39" s="21"/>
      <c r="CB39" s="21"/>
      <c r="CC39" s="21"/>
      <c r="CD39" s="134"/>
      <c r="CE39" s="134"/>
      <c r="CF39" s="134"/>
      <c r="CG39" s="31">
        <f t="shared" si="160"/>
        <v>20162</v>
      </c>
      <c r="CH39" s="21"/>
      <c r="CI39" s="21"/>
      <c r="CJ39" s="21"/>
      <c r="CK39" s="21"/>
      <c r="CL39" s="21"/>
      <c r="CM39" s="21"/>
      <c r="CN39" s="21"/>
      <c r="CO39" s="21"/>
      <c r="CP39" s="134"/>
      <c r="CQ39" s="134"/>
      <c r="CR39" s="134"/>
      <c r="CS39" s="31">
        <f t="shared" si="161"/>
        <v>20162</v>
      </c>
      <c r="CT39" s="21"/>
      <c r="CU39" s="21"/>
      <c r="CV39" s="21"/>
      <c r="CW39" s="21"/>
      <c r="CX39" s="21"/>
      <c r="CY39" s="21"/>
      <c r="CZ39" s="21"/>
      <c r="DA39" s="21"/>
      <c r="DB39" s="134"/>
      <c r="DC39" s="134"/>
      <c r="DD39" s="134"/>
      <c r="DE39" s="31">
        <f t="shared" si="162"/>
        <v>20162</v>
      </c>
      <c r="DF39" s="21"/>
      <c r="DG39" s="21"/>
      <c r="DH39" s="21"/>
      <c r="DI39" s="21"/>
      <c r="DJ39" s="21"/>
      <c r="DK39" s="21"/>
      <c r="DL39" s="21"/>
      <c r="DM39" s="21"/>
      <c r="DN39" s="134"/>
      <c r="DO39" s="134"/>
      <c r="DP39" s="134"/>
    </row>
    <row r="40" spans="1:120" ht="15" customHeight="1" x14ac:dyDescent="0.25">
      <c r="A40" s="31">
        <f t="shared" si="153"/>
        <v>20172</v>
      </c>
      <c r="B40" s="21"/>
      <c r="C40" s="21">
        <v>398132282.86000001</v>
      </c>
      <c r="D40" s="21">
        <v>530244637.21000004</v>
      </c>
      <c r="E40" s="21">
        <v>561282549.81999993</v>
      </c>
      <c r="F40" s="21">
        <v>575952447.85000002</v>
      </c>
      <c r="G40" s="21">
        <v>584263723.09000003</v>
      </c>
      <c r="H40" s="21">
        <v>589765678.57000005</v>
      </c>
      <c r="I40" s="134"/>
      <c r="J40" s="134"/>
      <c r="K40" s="134"/>
      <c r="L40" s="134"/>
      <c r="M40" s="31">
        <f t="shared" si="154"/>
        <v>20172</v>
      </c>
      <c r="N40" s="21"/>
      <c r="O40" s="21">
        <v>30812868.110000003</v>
      </c>
      <c r="P40" s="21">
        <v>40105466.140000001</v>
      </c>
      <c r="Q40" s="21">
        <v>43369768.829999998</v>
      </c>
      <c r="R40" s="21">
        <v>45740862.289999999</v>
      </c>
      <c r="S40" s="21">
        <v>46573964.990000002</v>
      </c>
      <c r="T40" s="21">
        <v>46836801.07</v>
      </c>
      <c r="U40" s="134"/>
      <c r="V40" s="134"/>
      <c r="W40" s="134"/>
      <c r="X40" s="134"/>
      <c r="Y40" s="31">
        <f t="shared" si="155"/>
        <v>20172</v>
      </c>
      <c r="Z40" s="21"/>
      <c r="AA40" s="21">
        <v>42995078.370000005</v>
      </c>
      <c r="AB40" s="21">
        <v>53996133.699999996</v>
      </c>
      <c r="AC40" s="21">
        <v>55962888.159999996</v>
      </c>
      <c r="AD40" s="21">
        <v>56655203.379999995</v>
      </c>
      <c r="AE40" s="21">
        <v>57062171.850000001</v>
      </c>
      <c r="AF40" s="21">
        <v>57130658.540000007</v>
      </c>
      <c r="AG40" s="134"/>
      <c r="AH40" s="134"/>
      <c r="AI40" s="134"/>
      <c r="AJ40" s="134"/>
      <c r="AK40" s="31">
        <f t="shared" si="156"/>
        <v>20172</v>
      </c>
      <c r="AL40" s="21"/>
      <c r="AM40" s="21"/>
      <c r="AN40" s="21"/>
      <c r="AO40" s="21"/>
      <c r="AP40" s="21"/>
      <c r="AQ40" s="21"/>
      <c r="AR40" s="21"/>
      <c r="AS40" s="134"/>
      <c r="AT40" s="134"/>
      <c r="AU40" s="134"/>
      <c r="AV40" s="134"/>
      <c r="AW40" s="31">
        <f t="shared" si="157"/>
        <v>20172</v>
      </c>
      <c r="AX40" s="21"/>
      <c r="AY40" s="21"/>
      <c r="AZ40" s="21"/>
      <c r="BA40" s="21"/>
      <c r="BB40" s="21"/>
      <c r="BC40" s="21"/>
      <c r="BD40" s="21"/>
      <c r="BE40" s="134"/>
      <c r="BF40" s="134"/>
      <c r="BG40" s="134"/>
      <c r="BH40" s="134"/>
      <c r="BI40" s="31">
        <f t="shared" si="158"/>
        <v>20172</v>
      </c>
      <c r="BJ40" s="21"/>
      <c r="BK40" s="21"/>
      <c r="BL40" s="21"/>
      <c r="BM40" s="21"/>
      <c r="BN40" s="21"/>
      <c r="BO40" s="21"/>
      <c r="BP40" s="21"/>
      <c r="BQ40" s="134"/>
      <c r="BR40" s="134"/>
      <c r="BS40" s="134"/>
      <c r="BT40" s="134"/>
      <c r="BU40" s="31">
        <f t="shared" si="159"/>
        <v>20172</v>
      </c>
      <c r="BV40" s="21"/>
      <c r="BW40" s="21"/>
      <c r="BX40" s="21"/>
      <c r="BY40" s="21"/>
      <c r="BZ40" s="21"/>
      <c r="CA40" s="21"/>
      <c r="CB40" s="21"/>
      <c r="CC40" s="134"/>
      <c r="CD40" s="134"/>
      <c r="CE40" s="134"/>
      <c r="CF40" s="134"/>
      <c r="CG40" s="31">
        <f t="shared" si="160"/>
        <v>20172</v>
      </c>
      <c r="CH40" s="21"/>
      <c r="CI40" s="21"/>
      <c r="CJ40" s="21"/>
      <c r="CK40" s="21"/>
      <c r="CL40" s="21"/>
      <c r="CM40" s="21"/>
      <c r="CN40" s="21"/>
      <c r="CO40" s="134"/>
      <c r="CP40" s="134"/>
      <c r="CQ40" s="134"/>
      <c r="CR40" s="134"/>
      <c r="CS40" s="31">
        <f t="shared" si="161"/>
        <v>20172</v>
      </c>
      <c r="CT40" s="21"/>
      <c r="CU40" s="21"/>
      <c r="CV40" s="21"/>
      <c r="CW40" s="21"/>
      <c r="CX40" s="21"/>
      <c r="CY40" s="21"/>
      <c r="CZ40" s="21"/>
      <c r="DA40" s="134"/>
      <c r="DB40" s="134"/>
      <c r="DC40" s="134"/>
      <c r="DD40" s="134"/>
      <c r="DE40" s="31">
        <f t="shared" si="162"/>
        <v>20172</v>
      </c>
      <c r="DF40" s="21"/>
      <c r="DG40" s="21"/>
      <c r="DH40" s="21"/>
      <c r="DI40" s="21"/>
      <c r="DJ40" s="21"/>
      <c r="DK40" s="21"/>
      <c r="DL40" s="21"/>
      <c r="DM40" s="134"/>
      <c r="DN40" s="134"/>
      <c r="DO40" s="134"/>
      <c r="DP40" s="134"/>
    </row>
    <row r="41" spans="1:120" ht="15" customHeight="1" x14ac:dyDescent="0.25">
      <c r="A41" s="31">
        <f t="shared" si="153"/>
        <v>20182</v>
      </c>
      <c r="B41" s="21"/>
      <c r="C41" s="21">
        <v>336560020</v>
      </c>
      <c r="D41" s="21">
        <v>462340599.51999998</v>
      </c>
      <c r="E41" s="21">
        <v>495651244.54000002</v>
      </c>
      <c r="F41" s="21">
        <v>514689080.21000004</v>
      </c>
      <c r="G41" s="21">
        <v>525423933.76999998</v>
      </c>
      <c r="H41" s="134"/>
      <c r="I41" s="134"/>
      <c r="J41" s="134"/>
      <c r="K41" s="134"/>
      <c r="L41" s="134"/>
      <c r="M41" s="31">
        <f t="shared" si="154"/>
        <v>20182</v>
      </c>
      <c r="N41" s="21"/>
      <c r="O41" s="21">
        <v>31887925.240000002</v>
      </c>
      <c r="P41" s="21">
        <v>45419452.020000003</v>
      </c>
      <c r="Q41" s="21">
        <v>49107826.770000003</v>
      </c>
      <c r="R41" s="21">
        <v>51184244.509999998</v>
      </c>
      <c r="S41" s="21">
        <v>51529510.539999999</v>
      </c>
      <c r="T41" s="134"/>
      <c r="U41" s="134"/>
      <c r="V41" s="134"/>
      <c r="W41" s="134"/>
      <c r="X41" s="134"/>
      <c r="Y41" s="31">
        <f t="shared" si="155"/>
        <v>20182</v>
      </c>
      <c r="Z41" s="21"/>
      <c r="AA41" s="21">
        <v>36997160.68</v>
      </c>
      <c r="AB41" s="21">
        <v>48591946.82</v>
      </c>
      <c r="AC41" s="21">
        <v>50630362.5</v>
      </c>
      <c r="AD41" s="21">
        <v>51088607.369999997</v>
      </c>
      <c r="AE41" s="21">
        <v>52139494.630000003</v>
      </c>
      <c r="AF41" s="134"/>
      <c r="AG41" s="134"/>
      <c r="AH41" s="134"/>
      <c r="AI41" s="134"/>
      <c r="AJ41" s="134"/>
      <c r="AK41" s="31">
        <f t="shared" si="156"/>
        <v>20182</v>
      </c>
      <c r="AL41" s="21"/>
      <c r="AM41" s="21"/>
      <c r="AN41" s="21"/>
      <c r="AO41" s="21"/>
      <c r="AP41" s="21"/>
      <c r="AQ41" s="21"/>
      <c r="AR41" s="134"/>
      <c r="AS41" s="134"/>
      <c r="AT41" s="134"/>
      <c r="AU41" s="134"/>
      <c r="AV41" s="134"/>
      <c r="AW41" s="31">
        <f t="shared" si="157"/>
        <v>20182</v>
      </c>
      <c r="AX41" s="21"/>
      <c r="AY41" s="21"/>
      <c r="AZ41" s="21"/>
      <c r="BA41" s="21"/>
      <c r="BB41" s="21"/>
      <c r="BC41" s="21"/>
      <c r="BD41" s="134"/>
      <c r="BE41" s="134"/>
      <c r="BF41" s="134"/>
      <c r="BG41" s="134"/>
      <c r="BH41" s="134"/>
      <c r="BI41" s="31">
        <f t="shared" si="158"/>
        <v>20182</v>
      </c>
      <c r="BJ41" s="21"/>
      <c r="BK41" s="21"/>
      <c r="BL41" s="21"/>
      <c r="BM41" s="21"/>
      <c r="BN41" s="21"/>
      <c r="BO41" s="21"/>
      <c r="BP41" s="134"/>
      <c r="BQ41" s="134"/>
      <c r="BR41" s="134"/>
      <c r="BS41" s="134"/>
      <c r="BT41" s="134"/>
      <c r="BU41" s="31">
        <f t="shared" si="159"/>
        <v>20182</v>
      </c>
      <c r="BV41" s="21"/>
      <c r="BW41" s="21"/>
      <c r="BX41" s="21"/>
      <c r="BY41" s="21"/>
      <c r="BZ41" s="21"/>
      <c r="CA41" s="21"/>
      <c r="CB41" s="134"/>
      <c r="CC41" s="134"/>
      <c r="CD41" s="134"/>
      <c r="CE41" s="134"/>
      <c r="CF41" s="134"/>
      <c r="CG41" s="31">
        <f t="shared" si="160"/>
        <v>20182</v>
      </c>
      <c r="CH41" s="21"/>
      <c r="CI41" s="21"/>
      <c r="CJ41" s="21"/>
      <c r="CK41" s="21"/>
      <c r="CL41" s="21"/>
      <c r="CM41" s="21"/>
      <c r="CN41" s="134"/>
      <c r="CO41" s="134"/>
      <c r="CP41" s="134"/>
      <c r="CQ41" s="134"/>
      <c r="CR41" s="134"/>
      <c r="CS41" s="31">
        <f t="shared" si="161"/>
        <v>20182</v>
      </c>
      <c r="CT41" s="21"/>
      <c r="CU41" s="21"/>
      <c r="CV41" s="21"/>
      <c r="CW41" s="21"/>
      <c r="CX41" s="21"/>
      <c r="CY41" s="21"/>
      <c r="CZ41" s="134"/>
      <c r="DA41" s="134"/>
      <c r="DB41" s="134"/>
      <c r="DC41" s="134"/>
      <c r="DD41" s="134"/>
      <c r="DE41" s="31">
        <f t="shared" si="162"/>
        <v>20182</v>
      </c>
      <c r="DF41" s="21"/>
      <c r="DG41" s="21"/>
      <c r="DH41" s="21"/>
      <c r="DI41" s="21"/>
      <c r="DJ41" s="21"/>
      <c r="DK41" s="21"/>
      <c r="DL41" s="134"/>
      <c r="DM41" s="134"/>
      <c r="DN41" s="134"/>
      <c r="DO41" s="134"/>
      <c r="DP41" s="134"/>
    </row>
    <row r="42" spans="1:120" ht="15" customHeight="1" x14ac:dyDescent="0.25">
      <c r="A42" s="31">
        <f t="shared" si="153"/>
        <v>20192</v>
      </c>
      <c r="B42" s="21"/>
      <c r="C42" s="21">
        <v>387344000.45999998</v>
      </c>
      <c r="D42" s="21">
        <v>569325720.88</v>
      </c>
      <c r="E42" s="21">
        <v>604319908.57999992</v>
      </c>
      <c r="F42" s="21">
        <v>630602666.90999997</v>
      </c>
      <c r="G42" s="134"/>
      <c r="H42" s="134"/>
      <c r="I42" s="134"/>
      <c r="J42" s="134"/>
      <c r="K42" s="134"/>
      <c r="L42" s="134"/>
      <c r="M42" s="31">
        <f t="shared" si="154"/>
        <v>20192</v>
      </c>
      <c r="N42" s="21"/>
      <c r="O42" s="21">
        <v>32280230.099999998</v>
      </c>
      <c r="P42" s="21">
        <v>44581262.640000001</v>
      </c>
      <c r="Q42" s="21">
        <v>46815551.630000003</v>
      </c>
      <c r="R42" s="21">
        <v>48081872.940000005</v>
      </c>
      <c r="S42" s="134"/>
      <c r="T42" s="134"/>
      <c r="U42" s="134"/>
      <c r="V42" s="134"/>
      <c r="W42" s="134"/>
      <c r="X42" s="134"/>
      <c r="Y42" s="31">
        <f t="shared" si="155"/>
        <v>20192</v>
      </c>
      <c r="Z42" s="21"/>
      <c r="AA42" s="21">
        <v>41590636.68</v>
      </c>
      <c r="AB42" s="21">
        <v>54702112.950000003</v>
      </c>
      <c r="AC42" s="21">
        <v>56180839.189999998</v>
      </c>
      <c r="AD42" s="21">
        <v>57045919.289999999</v>
      </c>
      <c r="AE42" s="134"/>
      <c r="AF42" s="134"/>
      <c r="AG42" s="134"/>
      <c r="AH42" s="134"/>
      <c r="AI42" s="134"/>
      <c r="AJ42" s="134"/>
      <c r="AK42" s="31">
        <f t="shared" si="156"/>
        <v>20192</v>
      </c>
      <c r="AL42" s="21"/>
      <c r="AM42" s="21"/>
      <c r="AN42" s="21"/>
      <c r="AO42" s="21"/>
      <c r="AP42" s="21"/>
      <c r="AQ42" s="134"/>
      <c r="AR42" s="134"/>
      <c r="AS42" s="134"/>
      <c r="AT42" s="134"/>
      <c r="AU42" s="134"/>
      <c r="AV42" s="134"/>
      <c r="AW42" s="31">
        <f t="shared" si="157"/>
        <v>20192</v>
      </c>
      <c r="AX42" s="21"/>
      <c r="AY42" s="21"/>
      <c r="AZ42" s="21"/>
      <c r="BA42" s="21"/>
      <c r="BB42" s="21"/>
      <c r="BC42" s="134"/>
      <c r="BD42" s="134"/>
      <c r="BE42" s="134"/>
      <c r="BF42" s="134"/>
      <c r="BG42" s="134"/>
      <c r="BH42" s="134"/>
      <c r="BI42" s="31">
        <f t="shared" si="158"/>
        <v>20192</v>
      </c>
      <c r="BJ42" s="21"/>
      <c r="BK42" s="21"/>
      <c r="BL42" s="21"/>
      <c r="BM42" s="21"/>
      <c r="BN42" s="21"/>
      <c r="BO42" s="134"/>
      <c r="BP42" s="134"/>
      <c r="BQ42" s="134"/>
      <c r="BR42" s="134"/>
      <c r="BS42" s="134"/>
      <c r="BT42" s="134"/>
      <c r="BU42" s="31">
        <f t="shared" si="159"/>
        <v>20192</v>
      </c>
      <c r="BV42" s="21"/>
      <c r="BW42" s="21"/>
      <c r="BX42" s="21"/>
      <c r="BY42" s="21"/>
      <c r="BZ42" s="21"/>
      <c r="CA42" s="134"/>
      <c r="CB42" s="134"/>
      <c r="CC42" s="134"/>
      <c r="CD42" s="134"/>
      <c r="CE42" s="134"/>
      <c r="CF42" s="134"/>
      <c r="CG42" s="31">
        <f t="shared" si="160"/>
        <v>20192</v>
      </c>
      <c r="CH42" s="21"/>
      <c r="CI42" s="21"/>
      <c r="CJ42" s="21"/>
      <c r="CK42" s="21"/>
      <c r="CL42" s="21"/>
      <c r="CM42" s="134"/>
      <c r="CN42" s="134"/>
      <c r="CO42" s="134"/>
      <c r="CP42" s="134"/>
      <c r="CQ42" s="134"/>
      <c r="CR42" s="134"/>
      <c r="CS42" s="31">
        <f t="shared" si="161"/>
        <v>20192</v>
      </c>
      <c r="CT42" s="21"/>
      <c r="CU42" s="21"/>
      <c r="CV42" s="21"/>
      <c r="CW42" s="21"/>
      <c r="CX42" s="21"/>
      <c r="CY42" s="134"/>
      <c r="CZ42" s="134"/>
      <c r="DA42" s="134"/>
      <c r="DB42" s="134"/>
      <c r="DC42" s="134"/>
      <c r="DD42" s="134"/>
      <c r="DE42" s="31">
        <f t="shared" si="162"/>
        <v>20192</v>
      </c>
      <c r="DF42" s="21"/>
      <c r="DG42" s="21"/>
      <c r="DH42" s="21"/>
      <c r="DI42" s="21"/>
      <c r="DJ42" s="21"/>
      <c r="DK42" s="134"/>
      <c r="DL42" s="134"/>
      <c r="DM42" s="134"/>
      <c r="DN42" s="134"/>
      <c r="DO42" s="134"/>
      <c r="DP42" s="134"/>
    </row>
    <row r="43" spans="1:120" ht="15" customHeight="1" x14ac:dyDescent="0.25">
      <c r="A43" s="31">
        <f t="shared" si="153"/>
        <v>20202</v>
      </c>
      <c r="B43" s="21"/>
      <c r="C43" s="21">
        <v>370998722.36000001</v>
      </c>
      <c r="D43" s="21">
        <v>541533962.45000005</v>
      </c>
      <c r="E43" s="21">
        <v>589251442.33000004</v>
      </c>
      <c r="F43" s="134"/>
      <c r="G43" s="134"/>
      <c r="H43" s="134"/>
      <c r="I43" s="134"/>
      <c r="J43" s="134"/>
      <c r="K43" s="134"/>
      <c r="L43" s="134"/>
      <c r="M43" s="31">
        <f t="shared" si="154"/>
        <v>20202</v>
      </c>
      <c r="N43" s="21"/>
      <c r="O43" s="21">
        <v>27373085.169999998</v>
      </c>
      <c r="P43" s="21">
        <v>36792839.840000004</v>
      </c>
      <c r="Q43" s="21">
        <v>40323935.799999997</v>
      </c>
      <c r="R43" s="134"/>
      <c r="S43" s="134"/>
      <c r="T43" s="134"/>
      <c r="U43" s="134"/>
      <c r="V43" s="134"/>
      <c r="W43" s="134"/>
      <c r="X43" s="134"/>
      <c r="Y43" s="31">
        <f t="shared" si="155"/>
        <v>20202</v>
      </c>
      <c r="Z43" s="21"/>
      <c r="AA43" s="21">
        <v>41819827.729999997</v>
      </c>
      <c r="AB43" s="21">
        <v>55751691.020000003</v>
      </c>
      <c r="AC43" s="21">
        <v>58691536.520000003</v>
      </c>
      <c r="AD43" s="134"/>
      <c r="AE43" s="134"/>
      <c r="AF43" s="134"/>
      <c r="AG43" s="134"/>
      <c r="AH43" s="134"/>
      <c r="AI43" s="134"/>
      <c r="AJ43" s="134"/>
      <c r="AK43" s="31">
        <f t="shared" si="156"/>
        <v>20202</v>
      </c>
      <c r="AL43" s="21"/>
      <c r="AM43" s="21"/>
      <c r="AN43" s="21"/>
      <c r="AO43" s="21"/>
      <c r="AP43" s="134"/>
      <c r="AQ43" s="134"/>
      <c r="AR43" s="134"/>
      <c r="AS43" s="134"/>
      <c r="AT43" s="134"/>
      <c r="AU43" s="134"/>
      <c r="AV43" s="134"/>
      <c r="AW43" s="31">
        <f t="shared" si="157"/>
        <v>20202</v>
      </c>
      <c r="AX43" s="21"/>
      <c r="AY43" s="21"/>
      <c r="AZ43" s="21"/>
      <c r="BA43" s="21"/>
      <c r="BB43" s="134"/>
      <c r="BC43" s="134"/>
      <c r="BD43" s="134"/>
      <c r="BE43" s="134"/>
      <c r="BF43" s="134"/>
      <c r="BG43" s="134"/>
      <c r="BH43" s="134"/>
      <c r="BI43" s="31">
        <f t="shared" si="158"/>
        <v>20202</v>
      </c>
      <c r="BJ43" s="21"/>
      <c r="BK43" s="21"/>
      <c r="BL43" s="21"/>
      <c r="BM43" s="21"/>
      <c r="BN43" s="134"/>
      <c r="BO43" s="134"/>
      <c r="BP43" s="134"/>
      <c r="BQ43" s="134"/>
      <c r="BR43" s="134"/>
      <c r="BS43" s="134"/>
      <c r="BT43" s="134"/>
      <c r="BU43" s="31">
        <f t="shared" si="159"/>
        <v>20202</v>
      </c>
      <c r="BV43" s="21"/>
      <c r="BW43" s="21"/>
      <c r="BX43" s="21"/>
      <c r="BY43" s="21"/>
      <c r="BZ43" s="134"/>
      <c r="CA43" s="134"/>
      <c r="CB43" s="134"/>
      <c r="CC43" s="134"/>
      <c r="CD43" s="134"/>
      <c r="CE43" s="134"/>
      <c r="CF43" s="134"/>
      <c r="CG43" s="31">
        <f t="shared" si="160"/>
        <v>20202</v>
      </c>
      <c r="CH43" s="21"/>
      <c r="CI43" s="21"/>
      <c r="CJ43" s="21"/>
      <c r="CK43" s="21"/>
      <c r="CL43" s="134"/>
      <c r="CM43" s="134"/>
      <c r="CN43" s="134"/>
      <c r="CO43" s="134"/>
      <c r="CP43" s="134"/>
      <c r="CQ43" s="134"/>
      <c r="CR43" s="134"/>
      <c r="CS43" s="31">
        <f t="shared" si="161"/>
        <v>20202</v>
      </c>
      <c r="CT43" s="21"/>
      <c r="CU43" s="21"/>
      <c r="CV43" s="21"/>
      <c r="CW43" s="21"/>
      <c r="CX43" s="134"/>
      <c r="CY43" s="134"/>
      <c r="CZ43" s="134"/>
      <c r="DA43" s="134"/>
      <c r="DB43" s="134"/>
      <c r="DC43" s="134"/>
      <c r="DD43" s="134"/>
      <c r="DE43" s="31">
        <f t="shared" si="162"/>
        <v>20202</v>
      </c>
      <c r="DF43" s="21"/>
      <c r="DG43" s="21"/>
      <c r="DH43" s="21"/>
      <c r="DI43" s="21"/>
      <c r="DJ43" s="134"/>
      <c r="DK43" s="134"/>
      <c r="DL43" s="134"/>
      <c r="DM43" s="134"/>
      <c r="DN43" s="134"/>
      <c r="DO43" s="134"/>
      <c r="DP43" s="134"/>
    </row>
    <row r="44" spans="1:120" ht="15" customHeight="1" x14ac:dyDescent="0.25">
      <c r="A44" s="31">
        <f>A45-10</f>
        <v>20212</v>
      </c>
      <c r="B44" s="21"/>
      <c r="C44" s="21">
        <v>451997522.12</v>
      </c>
      <c r="D44" s="21">
        <v>672534695.19000006</v>
      </c>
      <c r="E44" s="134"/>
      <c r="F44" s="134"/>
      <c r="G44" s="134"/>
      <c r="H44" s="134"/>
      <c r="I44" s="134"/>
      <c r="J44" s="134"/>
      <c r="K44" s="134"/>
      <c r="L44" s="134"/>
      <c r="M44" s="31">
        <f>M45-10</f>
        <v>20212</v>
      </c>
      <c r="N44" s="21"/>
      <c r="O44" s="21">
        <v>26373026.060000002</v>
      </c>
      <c r="P44" s="21">
        <v>39611329.779999994</v>
      </c>
      <c r="Q44" s="134"/>
      <c r="R44" s="134"/>
      <c r="S44" s="134"/>
      <c r="T44" s="134"/>
      <c r="U44" s="134"/>
      <c r="V44" s="134"/>
      <c r="W44" s="134"/>
      <c r="X44" s="134"/>
      <c r="Y44" s="31">
        <f>Y45-10</f>
        <v>20212</v>
      </c>
      <c r="Z44" s="21"/>
      <c r="AA44" s="21">
        <v>43119066.869999997</v>
      </c>
      <c r="AB44" s="21">
        <v>60640737.859999999</v>
      </c>
      <c r="AC44" s="134"/>
      <c r="AD44" s="134"/>
      <c r="AE44" s="134"/>
      <c r="AF44" s="134"/>
      <c r="AG44" s="134"/>
      <c r="AH44" s="134"/>
      <c r="AI44" s="134"/>
      <c r="AJ44" s="134"/>
      <c r="AK44" s="31">
        <f>AK45-10</f>
        <v>20212</v>
      </c>
      <c r="AL44" s="21"/>
      <c r="AM44" s="21"/>
      <c r="AN44" s="21"/>
      <c r="AO44" s="134"/>
      <c r="AP44" s="134"/>
      <c r="AQ44" s="134"/>
      <c r="AR44" s="134"/>
      <c r="AS44" s="134"/>
      <c r="AT44" s="134"/>
      <c r="AU44" s="134"/>
      <c r="AV44" s="134"/>
      <c r="AW44" s="31">
        <f>AW45-10</f>
        <v>20212</v>
      </c>
      <c r="AX44" s="21"/>
      <c r="AY44" s="21"/>
      <c r="AZ44" s="21"/>
      <c r="BA44" s="134"/>
      <c r="BB44" s="134"/>
      <c r="BC44" s="134"/>
      <c r="BD44" s="134"/>
      <c r="BE44" s="134"/>
      <c r="BF44" s="134"/>
      <c r="BG44" s="134"/>
      <c r="BH44" s="134"/>
      <c r="BI44" s="31">
        <f>BI45-10</f>
        <v>20212</v>
      </c>
      <c r="BJ44" s="21"/>
      <c r="BK44" s="21"/>
      <c r="BL44" s="21"/>
      <c r="BM44" s="134"/>
      <c r="BN44" s="134"/>
      <c r="BO44" s="134"/>
      <c r="BP44" s="134"/>
      <c r="BQ44" s="134"/>
      <c r="BR44" s="134"/>
      <c r="BS44" s="134"/>
      <c r="BT44" s="134"/>
      <c r="BU44" s="31">
        <f>BU45-10</f>
        <v>20212</v>
      </c>
      <c r="BV44" s="21"/>
      <c r="BW44" s="21"/>
      <c r="BX44" s="21"/>
      <c r="BY44" s="134"/>
      <c r="BZ44" s="134"/>
      <c r="CA44" s="134"/>
      <c r="CB44" s="134"/>
      <c r="CC44" s="134"/>
      <c r="CD44" s="134"/>
      <c r="CE44" s="134"/>
      <c r="CF44" s="134"/>
      <c r="CG44" s="31">
        <f>CG45-10</f>
        <v>20212</v>
      </c>
      <c r="CH44" s="21"/>
      <c r="CI44" s="21"/>
      <c r="CJ44" s="21"/>
      <c r="CK44" s="134"/>
      <c r="CL44" s="134"/>
      <c r="CM44" s="134"/>
      <c r="CN44" s="134"/>
      <c r="CO44" s="134"/>
      <c r="CP44" s="134"/>
      <c r="CQ44" s="134"/>
      <c r="CR44" s="134"/>
      <c r="CS44" s="31">
        <f>CS45-10</f>
        <v>20212</v>
      </c>
      <c r="CT44" s="21"/>
      <c r="CU44" s="21"/>
      <c r="CV44" s="21"/>
      <c r="CW44" s="134"/>
      <c r="CX44" s="134"/>
      <c r="CY44" s="134"/>
      <c r="CZ44" s="134"/>
      <c r="DA44" s="134"/>
      <c r="DB44" s="134"/>
      <c r="DC44" s="134"/>
      <c r="DD44" s="134"/>
      <c r="DE44" s="31">
        <f>DE45-10</f>
        <v>20212</v>
      </c>
      <c r="DF44" s="21"/>
      <c r="DG44" s="21"/>
      <c r="DH44" s="21"/>
      <c r="DI44" s="134"/>
      <c r="DJ44" s="134"/>
      <c r="DK44" s="134"/>
      <c r="DL44" s="134"/>
      <c r="DM44" s="134"/>
      <c r="DN44" s="134"/>
      <c r="DO44" s="134"/>
      <c r="DP44" s="134"/>
    </row>
    <row r="45" spans="1:120" ht="15" customHeight="1" x14ac:dyDescent="0.25">
      <c r="A45" s="31">
        <f>FYQtr_LDF</f>
        <v>20222</v>
      </c>
      <c r="B45" s="21"/>
      <c r="C45" s="21">
        <v>572192644.62</v>
      </c>
      <c r="D45" s="134"/>
      <c r="E45" s="134"/>
      <c r="F45" s="134"/>
      <c r="G45" s="134"/>
      <c r="H45" s="134"/>
      <c r="I45" s="134"/>
      <c r="J45" s="134"/>
      <c r="K45" s="134"/>
      <c r="L45" s="134"/>
      <c r="M45" s="31">
        <f>FYQtr_LDF</f>
        <v>20222</v>
      </c>
      <c r="N45" s="21"/>
      <c r="O45" s="21">
        <v>31524005.859999999</v>
      </c>
      <c r="P45" s="134"/>
      <c r="Q45" s="134"/>
      <c r="R45" s="134"/>
      <c r="S45" s="134"/>
      <c r="T45" s="134"/>
      <c r="U45" s="134"/>
      <c r="V45" s="134"/>
      <c r="W45" s="134"/>
      <c r="X45" s="134"/>
      <c r="Y45" s="31">
        <f>FYQtr_LDF</f>
        <v>20222</v>
      </c>
      <c r="Z45" s="21"/>
      <c r="AA45" s="21">
        <v>49195022.739999995</v>
      </c>
      <c r="AB45" s="134"/>
      <c r="AC45" s="134"/>
      <c r="AD45" s="134"/>
      <c r="AE45" s="134"/>
      <c r="AF45" s="134"/>
      <c r="AG45" s="134"/>
      <c r="AH45" s="134"/>
      <c r="AI45" s="134"/>
      <c r="AJ45" s="134"/>
      <c r="AK45" s="31">
        <f>FYQtr_LDF</f>
        <v>20222</v>
      </c>
      <c r="AL45" s="21"/>
      <c r="AM45" s="21"/>
      <c r="AN45" s="134"/>
      <c r="AO45" s="134"/>
      <c r="AP45" s="134"/>
      <c r="AQ45" s="134"/>
      <c r="AR45" s="134"/>
      <c r="AS45" s="134"/>
      <c r="AT45" s="134"/>
      <c r="AU45" s="134"/>
      <c r="AV45" s="134"/>
      <c r="AW45" s="31">
        <f>FYQtr_LDF</f>
        <v>20222</v>
      </c>
      <c r="AX45" s="21"/>
      <c r="AY45" s="21"/>
      <c r="AZ45" s="134"/>
      <c r="BA45" s="134"/>
      <c r="BB45" s="134"/>
      <c r="BC45" s="134"/>
      <c r="BD45" s="134"/>
      <c r="BE45" s="134"/>
      <c r="BF45" s="134"/>
      <c r="BG45" s="134"/>
      <c r="BH45" s="134"/>
      <c r="BI45" s="31">
        <f>FYQtr_LDF</f>
        <v>20222</v>
      </c>
      <c r="BJ45" s="21"/>
      <c r="BK45" s="21"/>
      <c r="BL45" s="134"/>
      <c r="BM45" s="134"/>
      <c r="BN45" s="134"/>
      <c r="BO45" s="134"/>
      <c r="BP45" s="134"/>
      <c r="BQ45" s="134"/>
      <c r="BR45" s="134"/>
      <c r="BS45" s="134"/>
      <c r="BT45" s="134"/>
      <c r="BU45" s="31">
        <f>FYQtr_LDF</f>
        <v>20222</v>
      </c>
      <c r="BV45" s="21"/>
      <c r="BW45" s="21"/>
      <c r="BX45" s="134"/>
      <c r="BY45" s="134"/>
      <c r="BZ45" s="134"/>
      <c r="CA45" s="134"/>
      <c r="CB45" s="134"/>
      <c r="CC45" s="134"/>
      <c r="CD45" s="134"/>
      <c r="CE45" s="134"/>
      <c r="CF45" s="134"/>
      <c r="CG45" s="31">
        <f>FYQtr_LDF</f>
        <v>20222</v>
      </c>
      <c r="CH45" s="21"/>
      <c r="CI45" s="21"/>
      <c r="CJ45" s="134"/>
      <c r="CK45" s="134"/>
      <c r="CL45" s="134"/>
      <c r="CM45" s="134"/>
      <c r="CN45" s="134"/>
      <c r="CO45" s="134"/>
      <c r="CP45" s="134"/>
      <c r="CQ45" s="134"/>
      <c r="CR45" s="134"/>
      <c r="CS45" s="31">
        <f>FYQtr_LDF</f>
        <v>20222</v>
      </c>
      <c r="CT45" s="21"/>
      <c r="CU45" s="21"/>
      <c r="CV45" s="134"/>
      <c r="CW45" s="134"/>
      <c r="CX45" s="134"/>
      <c r="CY45" s="134"/>
      <c r="CZ45" s="134"/>
      <c r="DA45" s="134"/>
      <c r="DB45" s="134"/>
      <c r="DC45" s="134"/>
      <c r="DD45" s="134"/>
      <c r="DE45" s="31">
        <f>FYQtr_LDF</f>
        <v>20222</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Data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Data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Data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Data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Data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Data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Data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Data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Data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20132</v>
      </c>
      <c r="B49" s="105"/>
      <c r="C49" s="90">
        <f>IFERROR(D36/C36,"")</f>
        <v>1.4405576878269284</v>
      </c>
      <c r="D49" s="90">
        <f t="shared" ref="D49:K49" si="163">IFERROR(E36/D36,"")</f>
        <v>1.0700735360166449</v>
      </c>
      <c r="E49" s="90">
        <f t="shared" si="163"/>
        <v>1.0267843952803692</v>
      </c>
      <c r="F49" s="90">
        <f t="shared" si="163"/>
        <v>1.0080966012299049</v>
      </c>
      <c r="G49" s="90">
        <f t="shared" si="163"/>
        <v>1.004620536936903</v>
      </c>
      <c r="H49" s="90">
        <f t="shared" si="163"/>
        <v>1.0043743037442683</v>
      </c>
      <c r="I49" s="90">
        <f t="shared" si="163"/>
        <v>1.0011047805531903</v>
      </c>
      <c r="J49" s="90">
        <f t="shared" si="163"/>
        <v>1.0005008216595876</v>
      </c>
      <c r="K49" s="90">
        <f t="shared" si="163"/>
        <v>1.000884257953168</v>
      </c>
      <c r="L49" s="22"/>
      <c r="M49" s="91">
        <f>$A$36</f>
        <v>20132</v>
      </c>
      <c r="N49" s="105"/>
      <c r="O49" s="90">
        <f>IFERROR(P36/O36,"")</f>
        <v>1.4446645312659574</v>
      </c>
      <c r="P49" s="90">
        <f t="shared" ref="P49:W49" si="164">IFERROR(Q36/P36,"")</f>
        <v>1.0880495780350616</v>
      </c>
      <c r="Q49" s="90">
        <f t="shared" si="164"/>
        <v>1.0275572998217855</v>
      </c>
      <c r="R49" s="90">
        <f t="shared" si="164"/>
        <v>1.0177848788272579</v>
      </c>
      <c r="S49" s="90">
        <f t="shared" si="164"/>
        <v>1.0053299375144509</v>
      </c>
      <c r="T49" s="90">
        <f t="shared" si="164"/>
        <v>1.0061363640835626</v>
      </c>
      <c r="U49" s="90">
        <f t="shared" si="164"/>
        <v>1.0025140914286759</v>
      </c>
      <c r="V49" s="90">
        <f t="shared" si="164"/>
        <v>1.0026487944657283</v>
      </c>
      <c r="W49" s="90">
        <f t="shared" si="164"/>
        <v>1.0000370038636719</v>
      </c>
      <c r="X49" s="22"/>
      <c r="Y49" s="91">
        <f>$A$36</f>
        <v>20132</v>
      </c>
      <c r="Z49" s="105"/>
      <c r="AA49" s="90">
        <f>IFERROR(AB36/AA36,"")</f>
        <v>1.2761647840621728</v>
      </c>
      <c r="AB49" s="90">
        <f t="shared" ref="AB49:AI49" si="165">IFERROR(AC36/AB36,"")</f>
        <v>1.0181366165903474</v>
      </c>
      <c r="AC49" s="90">
        <f t="shared" si="165"/>
        <v>0.99937449019355473</v>
      </c>
      <c r="AD49" s="90">
        <f t="shared" si="165"/>
        <v>1.0177369563918184</v>
      </c>
      <c r="AE49" s="90">
        <f t="shared" si="165"/>
        <v>1.0119133877893476</v>
      </c>
      <c r="AF49" s="90">
        <f t="shared" si="165"/>
        <v>1.0070388544574365</v>
      </c>
      <c r="AG49" s="90">
        <f t="shared" si="165"/>
        <v>0.99777399455815752</v>
      </c>
      <c r="AH49" s="90">
        <f t="shared" si="165"/>
        <v>1</v>
      </c>
      <c r="AI49" s="90">
        <f t="shared" si="165"/>
        <v>0.99988690183127715</v>
      </c>
      <c r="AJ49" s="22"/>
      <c r="AK49" s="91">
        <f>$A$36</f>
        <v>20132</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20132</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20132</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20132</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20132</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20132</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20132</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20142</v>
      </c>
      <c r="B50" s="105"/>
      <c r="C50" s="90">
        <f t="shared" ref="C50:J57" si="173">IFERROR(D37/C37,"")</f>
        <v>1.3628880364159934</v>
      </c>
      <c r="D50" s="90">
        <f t="shared" si="173"/>
        <v>1.0708111493368362</v>
      </c>
      <c r="E50" s="90">
        <f t="shared" si="173"/>
        <v>1.03524999431025</v>
      </c>
      <c r="F50" s="90">
        <f t="shared" si="173"/>
        <v>1.0109857860999469</v>
      </c>
      <c r="G50" s="90">
        <f t="shared" si="173"/>
        <v>1.0085498645010509</v>
      </c>
      <c r="H50" s="90">
        <f t="shared" si="173"/>
        <v>1.0000960190803505</v>
      </c>
      <c r="I50" s="90">
        <f t="shared" si="173"/>
        <v>1.0015656214218545</v>
      </c>
      <c r="J50" s="90">
        <f t="shared" si="173"/>
        <v>1.0005130258008366</v>
      </c>
      <c r="K50" s="22"/>
      <c r="L50" s="22"/>
      <c r="M50" s="91">
        <f>$A$37</f>
        <v>20142</v>
      </c>
      <c r="N50" s="105"/>
      <c r="O50" s="90">
        <f t="shared" ref="O50:V57" si="174">IFERROR(P37/O37,"")</f>
        <v>1.444874121388033</v>
      </c>
      <c r="P50" s="90">
        <f t="shared" si="174"/>
        <v>1.0944265385727279</v>
      </c>
      <c r="Q50" s="90">
        <f t="shared" si="174"/>
        <v>1.0944561901383116</v>
      </c>
      <c r="R50" s="90">
        <f t="shared" si="174"/>
        <v>1.0196395574187971</v>
      </c>
      <c r="S50" s="90">
        <f t="shared" si="174"/>
        <v>1.0046897677816968</v>
      </c>
      <c r="T50" s="90">
        <f t="shared" si="174"/>
        <v>1.0028723339749752</v>
      </c>
      <c r="U50" s="90">
        <f t="shared" si="174"/>
        <v>1.0011075658091602</v>
      </c>
      <c r="V50" s="90">
        <f t="shared" si="174"/>
        <v>1.0064235712766108</v>
      </c>
      <c r="W50" s="22"/>
      <c r="X50" s="22"/>
      <c r="Y50" s="91">
        <f>$A$37</f>
        <v>20142</v>
      </c>
      <c r="Z50" s="105"/>
      <c r="AA50" s="90">
        <f t="shared" ref="AA50:AH57" si="175">IFERROR(AB37/AA37,"")</f>
        <v>1.2507706808369865</v>
      </c>
      <c r="AB50" s="90">
        <f t="shared" si="175"/>
        <v>1.0141555622588305</v>
      </c>
      <c r="AC50" s="90">
        <f t="shared" si="175"/>
        <v>1.0160552411025199</v>
      </c>
      <c r="AD50" s="90">
        <f t="shared" si="175"/>
        <v>1.000519140546184</v>
      </c>
      <c r="AE50" s="90">
        <f t="shared" si="175"/>
        <v>1.0043244422547861</v>
      </c>
      <c r="AF50" s="90">
        <f t="shared" si="175"/>
        <v>0.99973955159713035</v>
      </c>
      <c r="AG50" s="90">
        <f t="shared" si="175"/>
        <v>1.0038473068245521</v>
      </c>
      <c r="AH50" s="90">
        <f t="shared" si="175"/>
        <v>1.0019379106549482</v>
      </c>
      <c r="AI50" s="22"/>
      <c r="AJ50" s="22"/>
      <c r="AK50" s="91">
        <f>$A$37</f>
        <v>20142</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20142</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20142</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20142</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20142</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20142</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20142</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20152</v>
      </c>
      <c r="B51" s="105"/>
      <c r="C51" s="90">
        <f t="shared" si="173"/>
        <v>1.3723444574260246</v>
      </c>
      <c r="D51" s="90">
        <f t="shared" si="173"/>
        <v>1.0627565147008162</v>
      </c>
      <c r="E51" s="90">
        <f t="shared" si="173"/>
        <v>1.0266577834010546</v>
      </c>
      <c r="F51" s="90">
        <f t="shared" si="173"/>
        <v>1.0222332738836255</v>
      </c>
      <c r="G51" s="90">
        <f t="shared" si="173"/>
        <v>1.0115310984446604</v>
      </c>
      <c r="H51" s="90">
        <f t="shared" si="173"/>
        <v>1.0028028995305804</v>
      </c>
      <c r="I51" s="90">
        <f t="shared" si="173"/>
        <v>1.002442225418642</v>
      </c>
      <c r="J51" s="22"/>
      <c r="K51" s="22"/>
      <c r="L51" s="22"/>
      <c r="M51" s="91">
        <f>$A$38</f>
        <v>20152</v>
      </c>
      <c r="N51" s="105"/>
      <c r="O51" s="90">
        <f t="shared" si="174"/>
        <v>1.3822241650397629</v>
      </c>
      <c r="P51" s="90">
        <f t="shared" si="174"/>
        <v>1.1126231852369795</v>
      </c>
      <c r="Q51" s="90">
        <f t="shared" si="174"/>
        <v>1.0499130090723743</v>
      </c>
      <c r="R51" s="90">
        <f t="shared" si="174"/>
        <v>1.0131007685995281</v>
      </c>
      <c r="S51" s="90">
        <f t="shared" si="174"/>
        <v>1.0019123033348492</v>
      </c>
      <c r="T51" s="90">
        <f t="shared" si="174"/>
        <v>1.0027289008983309</v>
      </c>
      <c r="U51" s="90">
        <f t="shared" si="174"/>
        <v>1.0002337252743037</v>
      </c>
      <c r="V51" s="22"/>
      <c r="W51" s="22"/>
      <c r="X51" s="22"/>
      <c r="Y51" s="91">
        <f>$A$38</f>
        <v>20152</v>
      </c>
      <c r="Z51" s="105"/>
      <c r="AA51" s="90">
        <f t="shared" si="175"/>
        <v>1.2612126685388285</v>
      </c>
      <c r="AB51" s="90">
        <f t="shared" si="175"/>
        <v>1.0312114461692441</v>
      </c>
      <c r="AC51" s="90">
        <f t="shared" si="175"/>
        <v>1.0058380340000663</v>
      </c>
      <c r="AD51" s="90">
        <f t="shared" si="175"/>
        <v>0.99979833145764052</v>
      </c>
      <c r="AE51" s="90">
        <f t="shared" si="175"/>
        <v>1.0062609676344716</v>
      </c>
      <c r="AF51" s="90">
        <f t="shared" si="175"/>
        <v>1.0007327385734444</v>
      </c>
      <c r="AG51" s="90">
        <f t="shared" si="175"/>
        <v>1.0014788757125694</v>
      </c>
      <c r="AH51" s="22"/>
      <c r="AI51" s="22"/>
      <c r="AJ51" s="22"/>
      <c r="AK51" s="91">
        <f>$A$38</f>
        <v>20152</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20152</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20152</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20152</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20152</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20152</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20152</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20162</v>
      </c>
      <c r="B52" s="105"/>
      <c r="C52" s="90">
        <f t="shared" si="173"/>
        <v>1.3643946349066602</v>
      </c>
      <c r="D52" s="90">
        <f t="shared" si="173"/>
        <v>1.0674366023144841</v>
      </c>
      <c r="E52" s="90">
        <f t="shared" si="173"/>
        <v>1.0271500203409676</v>
      </c>
      <c r="F52" s="90">
        <f t="shared" si="173"/>
        <v>1.0125358492724117</v>
      </c>
      <c r="G52" s="90">
        <f t="shared" si="173"/>
        <v>1.0072308596187929</v>
      </c>
      <c r="H52" s="90">
        <f t="shared" si="173"/>
        <v>1.0018946919874641</v>
      </c>
      <c r="I52" s="22"/>
      <c r="J52" s="22"/>
      <c r="K52" s="22"/>
      <c r="L52" s="22"/>
      <c r="M52" s="91">
        <f>$A$39</f>
        <v>20162</v>
      </c>
      <c r="N52" s="105"/>
      <c r="O52" s="90">
        <f t="shared" si="174"/>
        <v>1.4697021114674613</v>
      </c>
      <c r="P52" s="90">
        <f t="shared" si="174"/>
        <v>1.1002386432098932</v>
      </c>
      <c r="Q52" s="90">
        <f t="shared" si="174"/>
        <v>1.0514884780000089</v>
      </c>
      <c r="R52" s="90">
        <f t="shared" si="174"/>
        <v>1.0216431093757612</v>
      </c>
      <c r="S52" s="90">
        <f t="shared" si="174"/>
        <v>1.0063511464534287</v>
      </c>
      <c r="T52" s="90">
        <f t="shared" si="174"/>
        <v>1.0043164816914611</v>
      </c>
      <c r="U52" s="22"/>
      <c r="V52" s="22"/>
      <c r="W52" s="22"/>
      <c r="X52" s="22"/>
      <c r="Y52" s="91">
        <f>$A$39</f>
        <v>20162</v>
      </c>
      <c r="Z52" s="105"/>
      <c r="AA52" s="90">
        <f t="shared" si="175"/>
        <v>1.262106247996057</v>
      </c>
      <c r="AB52" s="90">
        <f t="shared" si="175"/>
        <v>1.0261072474535766</v>
      </c>
      <c r="AC52" s="90">
        <f t="shared" si="175"/>
        <v>1.0044324569579246</v>
      </c>
      <c r="AD52" s="90">
        <f t="shared" si="175"/>
        <v>1.0038904940358377</v>
      </c>
      <c r="AE52" s="90">
        <f t="shared" si="175"/>
        <v>1.001478248635058</v>
      </c>
      <c r="AF52" s="90">
        <f t="shared" si="175"/>
        <v>1.0000231187328545</v>
      </c>
      <c r="AG52" s="22"/>
      <c r="AH52" s="22"/>
      <c r="AI52" s="22"/>
      <c r="AJ52" s="22"/>
      <c r="AK52" s="91">
        <f>$A$39</f>
        <v>20162</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20162</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20162</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20162</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20162</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20162</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20162</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20172</v>
      </c>
      <c r="B53" s="105"/>
      <c r="C53" s="90">
        <f>IFERROR(D40/C40,"")</f>
        <v>1.3318302987162089</v>
      </c>
      <c r="D53" s="90">
        <f t="shared" ref="D53:G53" si="183">IFERROR(E40/D40,"")</f>
        <v>1.0585350806626028</v>
      </c>
      <c r="E53" s="90">
        <f t="shared" si="183"/>
        <v>1.0261363871631224</v>
      </c>
      <c r="F53" s="90">
        <f t="shared" si="183"/>
        <v>1.0144304886124289</v>
      </c>
      <c r="G53" s="90">
        <f t="shared" si="183"/>
        <v>1.0094169041522925</v>
      </c>
      <c r="H53" s="22"/>
      <c r="I53" s="22"/>
      <c r="J53" s="22"/>
      <c r="K53" s="22"/>
      <c r="L53" s="22"/>
      <c r="M53" s="91">
        <f>$A$40</f>
        <v>20172</v>
      </c>
      <c r="N53" s="105"/>
      <c r="O53" s="90">
        <f t="shared" si="174"/>
        <v>1.3015817286734233</v>
      </c>
      <c r="P53" s="90">
        <f t="shared" si="174"/>
        <v>1.0813929622113101</v>
      </c>
      <c r="Q53" s="90">
        <f t="shared" si="174"/>
        <v>1.0546715724793039</v>
      </c>
      <c r="R53" s="90">
        <f t="shared" si="174"/>
        <v>1.0182135328957744</v>
      </c>
      <c r="S53" s="90">
        <f t="shared" si="174"/>
        <v>1.0056434121521849</v>
      </c>
      <c r="T53" s="22"/>
      <c r="U53" s="22"/>
      <c r="V53" s="22"/>
      <c r="W53" s="22"/>
      <c r="X53" s="22"/>
      <c r="Y53" s="91">
        <f>$A$40</f>
        <v>20172</v>
      </c>
      <c r="Z53" s="105"/>
      <c r="AA53" s="90">
        <f t="shared" si="175"/>
        <v>1.2558677817802519</v>
      </c>
      <c r="AB53" s="90">
        <f t="shared" si="175"/>
        <v>1.0364239867788905</v>
      </c>
      <c r="AC53" s="90">
        <f t="shared" si="175"/>
        <v>1.0123709701690278</v>
      </c>
      <c r="AD53" s="90">
        <f t="shared" si="175"/>
        <v>1.0071832496526465</v>
      </c>
      <c r="AE53" s="90">
        <f t="shared" si="175"/>
        <v>1.0012002117651608</v>
      </c>
      <c r="AF53" s="22"/>
      <c r="AG53" s="22"/>
      <c r="AH53" s="22"/>
      <c r="AI53" s="22"/>
      <c r="AJ53" s="22"/>
      <c r="AK53" s="91">
        <f>$A$40</f>
        <v>20172</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20172</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20172</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20172</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20172</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20172</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20172</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20182</v>
      </c>
      <c r="B54" s="105"/>
      <c r="C54" s="90">
        <f t="shared" si="173"/>
        <v>1.3737240671663853</v>
      </c>
      <c r="D54" s="90">
        <f t="shared" si="173"/>
        <v>1.0720478475275219</v>
      </c>
      <c r="E54" s="90">
        <f t="shared" si="173"/>
        <v>1.0384097404772352</v>
      </c>
      <c r="F54" s="90">
        <f t="shared" si="173"/>
        <v>1.020856967774836</v>
      </c>
      <c r="G54" s="22"/>
      <c r="H54" s="22"/>
      <c r="I54" s="22"/>
      <c r="J54" s="22"/>
      <c r="K54" s="22"/>
      <c r="L54" s="22"/>
      <c r="M54" s="91">
        <f>$A$41</f>
        <v>20182</v>
      </c>
      <c r="N54" s="105"/>
      <c r="O54" s="90">
        <f t="shared" si="174"/>
        <v>1.4243464157092962</v>
      </c>
      <c r="P54" s="90">
        <f t="shared" si="174"/>
        <v>1.0812069407701321</v>
      </c>
      <c r="Q54" s="90">
        <f t="shared" si="174"/>
        <v>1.0422828269254318</v>
      </c>
      <c r="R54" s="90">
        <f t="shared" si="174"/>
        <v>1.0067455529197573</v>
      </c>
      <c r="S54" s="22"/>
      <c r="T54" s="22"/>
      <c r="U54" s="22"/>
      <c r="V54" s="22"/>
      <c r="W54" s="22"/>
      <c r="X54" s="22"/>
      <c r="Y54" s="91">
        <f>$A$41</f>
        <v>20182</v>
      </c>
      <c r="Z54" s="105"/>
      <c r="AA54" s="90">
        <f t="shared" si="175"/>
        <v>1.3133966479289296</v>
      </c>
      <c r="AB54" s="90">
        <f t="shared" si="175"/>
        <v>1.0419496606618981</v>
      </c>
      <c r="AC54" s="90">
        <f t="shared" si="175"/>
        <v>1.0090507918050162</v>
      </c>
      <c r="AD54" s="90">
        <f t="shared" si="175"/>
        <v>1.0205698944265429</v>
      </c>
      <c r="AE54" s="22"/>
      <c r="AF54" s="22"/>
      <c r="AG54" s="22"/>
      <c r="AH54" s="22"/>
      <c r="AI54" s="22"/>
      <c r="AJ54" s="22"/>
      <c r="AK54" s="91">
        <f>$A$41</f>
        <v>20182</v>
      </c>
      <c r="AL54" s="105"/>
      <c r="AM54" s="90" t="str">
        <f t="shared" si="176"/>
        <v/>
      </c>
      <c r="AN54" s="90" t="str">
        <f t="shared" si="176"/>
        <v/>
      </c>
      <c r="AO54" s="90" t="str">
        <f t="shared" si="176"/>
        <v/>
      </c>
      <c r="AP54" s="90" t="str">
        <f t="shared" si="176"/>
        <v/>
      </c>
      <c r="AQ54" s="22"/>
      <c r="AR54" s="22"/>
      <c r="AS54" s="22"/>
      <c r="AT54" s="22"/>
      <c r="AU54" s="22"/>
      <c r="AV54" s="22"/>
      <c r="AW54" s="91">
        <f>$A$41</f>
        <v>20182</v>
      </c>
      <c r="AX54" s="105"/>
      <c r="AY54" s="90" t="str">
        <f t="shared" si="177"/>
        <v/>
      </c>
      <c r="AZ54" s="90" t="str">
        <f t="shared" si="177"/>
        <v/>
      </c>
      <c r="BA54" s="90" t="str">
        <f t="shared" si="177"/>
        <v/>
      </c>
      <c r="BB54" s="90" t="str">
        <f t="shared" si="177"/>
        <v/>
      </c>
      <c r="BC54" s="22"/>
      <c r="BD54" s="22"/>
      <c r="BE54" s="22"/>
      <c r="BF54" s="22"/>
      <c r="BG54" s="22"/>
      <c r="BH54" s="22"/>
      <c r="BI54" s="91">
        <f>$A$41</f>
        <v>20182</v>
      </c>
      <c r="BJ54" s="105"/>
      <c r="BK54" s="90" t="str">
        <f t="shared" si="178"/>
        <v/>
      </c>
      <c r="BL54" s="90" t="str">
        <f t="shared" si="178"/>
        <v/>
      </c>
      <c r="BM54" s="90" t="str">
        <f t="shared" si="178"/>
        <v/>
      </c>
      <c r="BN54" s="90" t="str">
        <f t="shared" si="178"/>
        <v/>
      </c>
      <c r="BO54" s="22"/>
      <c r="BP54" s="22"/>
      <c r="BQ54" s="22"/>
      <c r="BR54" s="22"/>
      <c r="BS54" s="22"/>
      <c r="BT54" s="22"/>
      <c r="BU54" s="91">
        <f>$A$41</f>
        <v>20182</v>
      </c>
      <c r="BV54" s="105"/>
      <c r="BW54" s="90" t="str">
        <f t="shared" si="179"/>
        <v/>
      </c>
      <c r="BX54" s="90" t="str">
        <f t="shared" si="179"/>
        <v/>
      </c>
      <c r="BY54" s="90" t="str">
        <f t="shared" si="179"/>
        <v/>
      </c>
      <c r="BZ54" s="90" t="str">
        <f t="shared" si="179"/>
        <v/>
      </c>
      <c r="CA54" s="22"/>
      <c r="CB54" s="22"/>
      <c r="CC54" s="22"/>
      <c r="CD54" s="22"/>
      <c r="CE54" s="22"/>
      <c r="CF54" s="22"/>
      <c r="CG54" s="91">
        <f>$A$41</f>
        <v>20182</v>
      </c>
      <c r="CH54" s="105"/>
      <c r="CI54" s="90" t="str">
        <f t="shared" si="180"/>
        <v/>
      </c>
      <c r="CJ54" s="90" t="str">
        <f t="shared" si="180"/>
        <v/>
      </c>
      <c r="CK54" s="90" t="str">
        <f t="shared" si="180"/>
        <v/>
      </c>
      <c r="CL54" s="90" t="str">
        <f t="shared" si="180"/>
        <v/>
      </c>
      <c r="CM54" s="22"/>
      <c r="CN54" s="22"/>
      <c r="CO54" s="22"/>
      <c r="CP54" s="22"/>
      <c r="CQ54" s="22"/>
      <c r="CR54" s="22"/>
      <c r="CS54" s="91">
        <f>$A$41</f>
        <v>20182</v>
      </c>
      <c r="CT54" s="105"/>
      <c r="CU54" s="90" t="str">
        <f t="shared" si="181"/>
        <v/>
      </c>
      <c r="CV54" s="90" t="str">
        <f t="shared" si="181"/>
        <v/>
      </c>
      <c r="CW54" s="90" t="str">
        <f t="shared" si="181"/>
        <v/>
      </c>
      <c r="CX54" s="90" t="str">
        <f t="shared" si="181"/>
        <v/>
      </c>
      <c r="CY54" s="22"/>
      <c r="CZ54" s="22"/>
      <c r="DA54" s="22"/>
      <c r="DB54" s="22"/>
      <c r="DC54" s="22"/>
      <c r="DD54" s="22"/>
      <c r="DE54" s="91">
        <f>$A$41</f>
        <v>20182</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20192</v>
      </c>
      <c r="B55" s="105"/>
      <c r="C55" s="90">
        <f t="shared" si="173"/>
        <v>1.4698193858789168</v>
      </c>
      <c r="D55" s="90">
        <f t="shared" si="173"/>
        <v>1.061466022729326</v>
      </c>
      <c r="E55" s="90">
        <f t="shared" si="173"/>
        <v>1.0434914652932052</v>
      </c>
      <c r="F55" s="22"/>
      <c r="G55" s="22"/>
      <c r="H55" s="22"/>
      <c r="I55" s="22"/>
      <c r="J55" s="22"/>
      <c r="K55" s="22"/>
      <c r="L55" s="22"/>
      <c r="M55" s="91">
        <f>$A$42</f>
        <v>20192</v>
      </c>
      <c r="N55" s="105"/>
      <c r="O55" s="90">
        <f t="shared" si="174"/>
        <v>1.3810701628177058</v>
      </c>
      <c r="P55" s="90">
        <f t="shared" si="174"/>
        <v>1.0501172209509229</v>
      </c>
      <c r="Q55" s="90">
        <f t="shared" si="174"/>
        <v>1.0270491592197437</v>
      </c>
      <c r="R55" s="22"/>
      <c r="S55" s="22"/>
      <c r="T55" s="22"/>
      <c r="U55" s="22"/>
      <c r="V55" s="22"/>
      <c r="W55" s="22"/>
      <c r="X55" s="22"/>
      <c r="Y55" s="91">
        <f>$A$42</f>
        <v>20192</v>
      </c>
      <c r="Z55" s="105"/>
      <c r="AA55" s="90">
        <f t="shared" si="175"/>
        <v>1.3152506745900578</v>
      </c>
      <c r="AB55" s="90">
        <f t="shared" si="175"/>
        <v>1.0270323422671372</v>
      </c>
      <c r="AC55" s="90">
        <f t="shared" si="175"/>
        <v>1.0153981341765714</v>
      </c>
      <c r="AD55" s="22"/>
      <c r="AE55" s="22"/>
      <c r="AF55" s="22"/>
      <c r="AG55" s="22"/>
      <c r="AH55" s="22"/>
      <c r="AI55" s="22"/>
      <c r="AJ55" s="22"/>
      <c r="AK55" s="91">
        <f>$A$42</f>
        <v>20192</v>
      </c>
      <c r="AL55" s="105"/>
      <c r="AM55" s="90" t="str">
        <f t="shared" si="176"/>
        <v/>
      </c>
      <c r="AN55" s="90" t="str">
        <f t="shared" si="176"/>
        <v/>
      </c>
      <c r="AO55" s="90" t="str">
        <f t="shared" si="176"/>
        <v/>
      </c>
      <c r="AP55" s="22"/>
      <c r="AQ55" s="22"/>
      <c r="AR55" s="22"/>
      <c r="AS55" s="22"/>
      <c r="AT55" s="22"/>
      <c r="AU55" s="22"/>
      <c r="AV55" s="22"/>
      <c r="AW55" s="91">
        <f>$A$42</f>
        <v>20192</v>
      </c>
      <c r="AX55" s="105"/>
      <c r="AY55" s="90" t="str">
        <f t="shared" si="177"/>
        <v/>
      </c>
      <c r="AZ55" s="90" t="str">
        <f t="shared" si="177"/>
        <v/>
      </c>
      <c r="BA55" s="90" t="str">
        <f t="shared" si="177"/>
        <v/>
      </c>
      <c r="BB55" s="22"/>
      <c r="BC55" s="22"/>
      <c r="BD55" s="22"/>
      <c r="BE55" s="22"/>
      <c r="BF55" s="22"/>
      <c r="BG55" s="22"/>
      <c r="BH55" s="22"/>
      <c r="BI55" s="91">
        <f>$A$42</f>
        <v>20192</v>
      </c>
      <c r="BJ55" s="105"/>
      <c r="BK55" s="90" t="str">
        <f t="shared" si="178"/>
        <v/>
      </c>
      <c r="BL55" s="90" t="str">
        <f t="shared" si="178"/>
        <v/>
      </c>
      <c r="BM55" s="90" t="str">
        <f t="shared" si="178"/>
        <v/>
      </c>
      <c r="BN55" s="22"/>
      <c r="BO55" s="22"/>
      <c r="BP55" s="22"/>
      <c r="BQ55" s="22"/>
      <c r="BR55" s="22"/>
      <c r="BS55" s="22"/>
      <c r="BT55" s="22"/>
      <c r="BU55" s="91">
        <f>$A$42</f>
        <v>20192</v>
      </c>
      <c r="BV55" s="105"/>
      <c r="BW55" s="90" t="str">
        <f t="shared" si="179"/>
        <v/>
      </c>
      <c r="BX55" s="90" t="str">
        <f t="shared" si="179"/>
        <v/>
      </c>
      <c r="BY55" s="90" t="str">
        <f t="shared" si="179"/>
        <v/>
      </c>
      <c r="BZ55" s="22"/>
      <c r="CA55" s="22"/>
      <c r="CB55" s="22"/>
      <c r="CC55" s="22"/>
      <c r="CD55" s="22"/>
      <c r="CE55" s="22"/>
      <c r="CF55" s="22"/>
      <c r="CG55" s="91">
        <f>$A$42</f>
        <v>20192</v>
      </c>
      <c r="CH55" s="105"/>
      <c r="CI55" s="90" t="str">
        <f t="shared" si="180"/>
        <v/>
      </c>
      <c r="CJ55" s="90" t="str">
        <f t="shared" si="180"/>
        <v/>
      </c>
      <c r="CK55" s="90" t="str">
        <f t="shared" si="180"/>
        <v/>
      </c>
      <c r="CL55" s="22"/>
      <c r="CM55" s="22"/>
      <c r="CN55" s="22"/>
      <c r="CO55" s="22"/>
      <c r="CP55" s="22"/>
      <c r="CQ55" s="22"/>
      <c r="CR55" s="22"/>
      <c r="CS55" s="91">
        <f>$A$42</f>
        <v>20192</v>
      </c>
      <c r="CT55" s="105"/>
      <c r="CU55" s="90" t="str">
        <f t="shared" si="181"/>
        <v/>
      </c>
      <c r="CV55" s="90" t="str">
        <f t="shared" si="181"/>
        <v/>
      </c>
      <c r="CW55" s="90" t="str">
        <f t="shared" si="181"/>
        <v/>
      </c>
      <c r="CX55" s="22"/>
      <c r="CY55" s="22"/>
      <c r="CZ55" s="22"/>
      <c r="DA55" s="22"/>
      <c r="DB55" s="22"/>
      <c r="DC55" s="22"/>
      <c r="DD55" s="22"/>
      <c r="DE55" s="91">
        <f>$A$42</f>
        <v>20192</v>
      </c>
      <c r="DF55" s="105"/>
      <c r="DG55" s="90" t="str">
        <f t="shared" si="182"/>
        <v/>
      </c>
      <c r="DH55" s="90" t="str">
        <f t="shared" si="182"/>
        <v/>
      </c>
      <c r="DI55" s="90" t="str">
        <f t="shared" si="182"/>
        <v/>
      </c>
      <c r="DJ55" s="22"/>
      <c r="DK55" s="22"/>
      <c r="DL55" s="22"/>
      <c r="DM55" s="22"/>
      <c r="DN55" s="22"/>
      <c r="DO55" s="22"/>
      <c r="DP55" s="22"/>
    </row>
    <row r="56" spans="1:120" x14ac:dyDescent="0.25">
      <c r="A56" s="91">
        <f>$A$43</f>
        <v>20202</v>
      </c>
      <c r="B56" s="105"/>
      <c r="C56" s="90">
        <f t="shared" si="173"/>
        <v>1.4596653029023656</v>
      </c>
      <c r="D56" s="90">
        <f t="shared" si="173"/>
        <v>1.0881153966117236</v>
      </c>
      <c r="E56" s="22"/>
      <c r="F56" s="22"/>
      <c r="G56" s="22"/>
      <c r="H56" s="22"/>
      <c r="I56" s="22"/>
      <c r="J56" s="22"/>
      <c r="K56" s="22"/>
      <c r="L56" s="22"/>
      <c r="M56" s="91">
        <f>$A$43</f>
        <v>20202</v>
      </c>
      <c r="N56" s="105"/>
      <c r="O56" s="90">
        <f t="shared" si="174"/>
        <v>1.344124698092992</v>
      </c>
      <c r="P56" s="90">
        <f t="shared" si="174"/>
        <v>1.0959723678671061</v>
      </c>
      <c r="Q56" s="22"/>
      <c r="R56" s="22"/>
      <c r="S56" s="22"/>
      <c r="T56" s="22"/>
      <c r="U56" s="22"/>
      <c r="V56" s="22"/>
      <c r="W56" s="22"/>
      <c r="X56" s="22"/>
      <c r="Y56" s="91">
        <f>$A$43</f>
        <v>20202</v>
      </c>
      <c r="Z56" s="105"/>
      <c r="AA56" s="90">
        <f t="shared" si="175"/>
        <v>1.3331401406038266</v>
      </c>
      <c r="AB56" s="90">
        <f t="shared" si="175"/>
        <v>1.0527310552597477</v>
      </c>
      <c r="AC56" s="22"/>
      <c r="AD56" s="22"/>
      <c r="AE56" s="22"/>
      <c r="AF56" s="22"/>
      <c r="AG56" s="22"/>
      <c r="AH56" s="22"/>
      <c r="AI56" s="22"/>
      <c r="AJ56" s="22"/>
      <c r="AK56" s="91">
        <f>$A$43</f>
        <v>20202</v>
      </c>
      <c r="AL56" s="105"/>
      <c r="AM56" s="90" t="str">
        <f t="shared" si="176"/>
        <v/>
      </c>
      <c r="AN56" s="90" t="str">
        <f t="shared" si="176"/>
        <v/>
      </c>
      <c r="AO56" s="22"/>
      <c r="AP56" s="22"/>
      <c r="AQ56" s="22"/>
      <c r="AR56" s="22"/>
      <c r="AS56" s="22"/>
      <c r="AT56" s="22"/>
      <c r="AU56" s="22"/>
      <c r="AV56" s="22"/>
      <c r="AW56" s="91">
        <f>$A$43</f>
        <v>20202</v>
      </c>
      <c r="AX56" s="105"/>
      <c r="AY56" s="90" t="str">
        <f t="shared" si="177"/>
        <v/>
      </c>
      <c r="AZ56" s="90" t="str">
        <f t="shared" si="177"/>
        <v/>
      </c>
      <c r="BA56" s="22"/>
      <c r="BB56" s="22"/>
      <c r="BC56" s="22"/>
      <c r="BD56" s="22"/>
      <c r="BE56" s="22"/>
      <c r="BF56" s="22"/>
      <c r="BG56" s="22"/>
      <c r="BH56" s="22"/>
      <c r="BI56" s="91">
        <f>$A$43</f>
        <v>20202</v>
      </c>
      <c r="BJ56" s="105"/>
      <c r="BK56" s="90" t="str">
        <f t="shared" si="178"/>
        <v/>
      </c>
      <c r="BL56" s="90" t="str">
        <f t="shared" si="178"/>
        <v/>
      </c>
      <c r="BM56" s="22"/>
      <c r="BN56" s="22"/>
      <c r="BO56" s="22"/>
      <c r="BP56" s="22"/>
      <c r="BQ56" s="22"/>
      <c r="BR56" s="22"/>
      <c r="BS56" s="22"/>
      <c r="BT56" s="22"/>
      <c r="BU56" s="91">
        <f>$A$43</f>
        <v>20202</v>
      </c>
      <c r="BV56" s="105"/>
      <c r="BW56" s="90" t="str">
        <f t="shared" si="179"/>
        <v/>
      </c>
      <c r="BX56" s="90" t="str">
        <f t="shared" si="179"/>
        <v/>
      </c>
      <c r="BY56" s="22"/>
      <c r="BZ56" s="22"/>
      <c r="CA56" s="22"/>
      <c r="CB56" s="22"/>
      <c r="CC56" s="22"/>
      <c r="CD56" s="22"/>
      <c r="CE56" s="22"/>
      <c r="CF56" s="22"/>
      <c r="CG56" s="91">
        <f>$A$43</f>
        <v>20202</v>
      </c>
      <c r="CH56" s="105"/>
      <c r="CI56" s="90" t="str">
        <f t="shared" si="180"/>
        <v/>
      </c>
      <c r="CJ56" s="90" t="str">
        <f t="shared" si="180"/>
        <v/>
      </c>
      <c r="CK56" s="22"/>
      <c r="CL56" s="22"/>
      <c r="CM56" s="22"/>
      <c r="CN56" s="22"/>
      <c r="CO56" s="22"/>
      <c r="CP56" s="22"/>
      <c r="CQ56" s="22"/>
      <c r="CR56" s="22"/>
      <c r="CS56" s="91">
        <f>$A$43</f>
        <v>20202</v>
      </c>
      <c r="CT56" s="105"/>
      <c r="CU56" s="90" t="str">
        <f t="shared" si="181"/>
        <v/>
      </c>
      <c r="CV56" s="90" t="str">
        <f t="shared" si="181"/>
        <v/>
      </c>
      <c r="CW56" s="22"/>
      <c r="CX56" s="22"/>
      <c r="CY56" s="22"/>
      <c r="CZ56" s="22"/>
      <c r="DA56" s="22"/>
      <c r="DB56" s="22"/>
      <c r="DC56" s="22"/>
      <c r="DD56" s="22"/>
      <c r="DE56" s="91">
        <f>$A$43</f>
        <v>20202</v>
      </c>
      <c r="DF56" s="105"/>
      <c r="DG56" s="90" t="str">
        <f t="shared" si="182"/>
        <v/>
      </c>
      <c r="DH56" s="90" t="str">
        <f t="shared" si="182"/>
        <v/>
      </c>
      <c r="DI56" s="22"/>
      <c r="DJ56" s="22"/>
      <c r="DK56" s="22"/>
      <c r="DL56" s="22"/>
      <c r="DM56" s="22"/>
      <c r="DN56" s="22"/>
      <c r="DO56" s="22"/>
      <c r="DP56" s="22"/>
    </row>
    <row r="57" spans="1:120" x14ac:dyDescent="0.25">
      <c r="A57" s="91">
        <f>$A$44</f>
        <v>20212</v>
      </c>
      <c r="B57" s="105"/>
      <c r="C57" s="90">
        <f t="shared" si="173"/>
        <v>1.4879167744894186</v>
      </c>
      <c r="D57" s="22"/>
      <c r="E57" s="22"/>
      <c r="F57" s="22"/>
      <c r="G57" s="22"/>
      <c r="H57" s="22"/>
      <c r="I57" s="22"/>
      <c r="J57" s="22"/>
      <c r="K57" s="22"/>
      <c r="L57" s="22"/>
      <c r="M57" s="91">
        <f>$A$44</f>
        <v>20212</v>
      </c>
      <c r="N57" s="105"/>
      <c r="O57" s="90">
        <f t="shared" si="174"/>
        <v>1.5019637750284007</v>
      </c>
      <c r="P57" s="22"/>
      <c r="Q57" s="22"/>
      <c r="R57" s="22"/>
      <c r="S57" s="22"/>
      <c r="T57" s="22"/>
      <c r="U57" s="22"/>
      <c r="V57" s="22"/>
      <c r="W57" s="22"/>
      <c r="X57" s="22"/>
      <c r="Y57" s="91">
        <f>$A$44</f>
        <v>20212</v>
      </c>
      <c r="Z57" s="105"/>
      <c r="AA57" s="90">
        <f t="shared" si="175"/>
        <v>1.4063555234816705</v>
      </c>
      <c r="AB57" s="22"/>
      <c r="AC57" s="22"/>
      <c r="AD57" s="22"/>
      <c r="AE57" s="22"/>
      <c r="AF57" s="22"/>
      <c r="AG57" s="22"/>
      <c r="AH57" s="22"/>
      <c r="AI57" s="22"/>
      <c r="AJ57" s="22"/>
      <c r="AK57" s="91">
        <f>$A$44</f>
        <v>20212</v>
      </c>
      <c r="AL57" s="105"/>
      <c r="AM57" s="90" t="str">
        <f t="shared" si="176"/>
        <v/>
      </c>
      <c r="AN57" s="22"/>
      <c r="AO57" s="22"/>
      <c r="AP57" s="22"/>
      <c r="AQ57" s="22"/>
      <c r="AR57" s="22"/>
      <c r="AS57" s="22"/>
      <c r="AT57" s="22"/>
      <c r="AU57" s="22"/>
      <c r="AV57" s="22"/>
      <c r="AW57" s="91">
        <f>$A$44</f>
        <v>20212</v>
      </c>
      <c r="AX57" s="105"/>
      <c r="AY57" s="90" t="str">
        <f t="shared" si="177"/>
        <v/>
      </c>
      <c r="AZ57" s="22"/>
      <c r="BA57" s="22"/>
      <c r="BB57" s="22"/>
      <c r="BC57" s="22"/>
      <c r="BD57" s="22"/>
      <c r="BE57" s="22"/>
      <c r="BF57" s="22"/>
      <c r="BG57" s="22"/>
      <c r="BH57" s="22"/>
      <c r="BI57" s="91">
        <f>$A$44</f>
        <v>20212</v>
      </c>
      <c r="BJ57" s="105"/>
      <c r="BK57" s="90" t="str">
        <f t="shared" si="178"/>
        <v/>
      </c>
      <c r="BL57" s="22"/>
      <c r="BM57" s="22"/>
      <c r="BN57" s="22"/>
      <c r="BO57" s="22"/>
      <c r="BP57" s="22"/>
      <c r="BQ57" s="22"/>
      <c r="BR57" s="22"/>
      <c r="BS57" s="22"/>
      <c r="BT57" s="22"/>
      <c r="BU57" s="91">
        <f>$A$44</f>
        <v>20212</v>
      </c>
      <c r="BV57" s="105"/>
      <c r="BW57" s="90" t="str">
        <f t="shared" si="179"/>
        <v/>
      </c>
      <c r="BX57" s="22"/>
      <c r="BY57" s="22"/>
      <c r="BZ57" s="22"/>
      <c r="CA57" s="22"/>
      <c r="CB57" s="22"/>
      <c r="CC57" s="22"/>
      <c r="CD57" s="22"/>
      <c r="CE57" s="22"/>
      <c r="CF57" s="22"/>
      <c r="CG57" s="91">
        <f>$A$44</f>
        <v>20212</v>
      </c>
      <c r="CH57" s="105"/>
      <c r="CI57" s="90" t="str">
        <f t="shared" si="180"/>
        <v/>
      </c>
      <c r="CJ57" s="22"/>
      <c r="CK57" s="22"/>
      <c r="CL57" s="22"/>
      <c r="CM57" s="22"/>
      <c r="CN57" s="22"/>
      <c r="CO57" s="22"/>
      <c r="CP57" s="22"/>
      <c r="CQ57" s="22"/>
      <c r="CR57" s="22"/>
      <c r="CS57" s="91">
        <f>$A$44</f>
        <v>20212</v>
      </c>
      <c r="CT57" s="105"/>
      <c r="CU57" s="90" t="str">
        <f t="shared" si="181"/>
        <v/>
      </c>
      <c r="CV57" s="22"/>
      <c r="CW57" s="22"/>
      <c r="CX57" s="22"/>
      <c r="CY57" s="22"/>
      <c r="CZ57" s="22"/>
      <c r="DA57" s="22"/>
      <c r="DB57" s="22"/>
      <c r="DC57" s="22"/>
      <c r="DD57" s="22"/>
      <c r="DE57" s="91">
        <f>$A$44</f>
        <v>20212</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1.4734653218181701</v>
      </c>
      <c r="D59" s="93">
        <f>IFERROR(SUM(E41:E43)/SUM(D41:D43),1)</f>
        <v>1.0737492319730675</v>
      </c>
      <c r="E59" s="93">
        <f>IFERROR(SUM(F40:F42)/SUM(E40:E42),1)</f>
        <v>1.0361115776138419</v>
      </c>
      <c r="F59" s="93">
        <f>IFERROR(SUM(G39:G41)/SUM(F39:F41),1)</f>
        <v>1.0158868087823063</v>
      </c>
      <c r="G59" s="93">
        <f>IFERROR(SUM(H38:H40)/SUM(G38:G40),1)</f>
        <v>1.0093016913033304</v>
      </c>
      <c r="H59" s="93">
        <f>IFERROR(SUM(I37:I39)/SUM(H37:H39),1)</f>
        <v>1.0016412408474176</v>
      </c>
      <c r="I59" s="93">
        <f>IFERROR(SUM(J36:J38)/SUM(I36:I38),1)</f>
        <v>1.0017169595578959</v>
      </c>
      <c r="J59" s="93">
        <f>IFERROR(SUM(K36:K37)/SUM(J36:J37),1)</f>
        <v>1.0005068724067017</v>
      </c>
      <c r="K59" s="93">
        <f>IFERROR(SUM(L36:L36)/SUM(K36:K36),1)</f>
        <v>1.000884257953168</v>
      </c>
      <c r="L59" s="93">
        <v>1</v>
      </c>
      <c r="M59" s="285" t="s">
        <v>37</v>
      </c>
      <c r="N59" s="107"/>
      <c r="O59" s="93">
        <f>IFERROR(SUM(P42:P44)/SUM(O42:O44),1)</f>
        <v>1.4063765863980628</v>
      </c>
      <c r="P59" s="93">
        <f>IFERROR(SUM(Q41:Q43)/SUM(P41:P43),1)</f>
        <v>1.0745602545593118</v>
      </c>
      <c r="Q59" s="93">
        <f>IFERROR(SUM(R40:R42)/SUM(Q40:Q42),1)</f>
        <v>1.0410201982195533</v>
      </c>
      <c r="R59" s="93">
        <f>IFERROR(SUM(S39:S41)/SUM(R39:R41),1)</f>
        <v>1.015178834801814</v>
      </c>
      <c r="S59" s="93">
        <f>IFERROR(SUM(T38:T40)/SUM(S38:S40),1)</f>
        <v>1.0047298515881091</v>
      </c>
      <c r="T59" s="93">
        <f>IFERROR(SUM(U37:U39)/SUM(T37:T39),1)</f>
        <v>1.0033406285008475</v>
      </c>
      <c r="U59" s="93">
        <f>IFERROR(SUM(V36:V38)/SUM(U36:U38),1)</f>
        <v>1.0012504773350126</v>
      </c>
      <c r="V59" s="93">
        <f>IFERROR(SUM(W36:W37)/SUM(V36:V37),1)</f>
        <v>1.0046281708922682</v>
      </c>
      <c r="W59" s="93">
        <f>IFERROR(SUM(X36:X36)/SUM(W36:W36),1)</f>
        <v>1.0000370038636719</v>
      </c>
      <c r="X59" s="93">
        <v>1</v>
      </c>
      <c r="Y59" s="285" t="s">
        <v>37</v>
      </c>
      <c r="Z59" s="107"/>
      <c r="AA59" s="93">
        <f>IFERROR(SUM(AB42:AB44)/SUM(AA42:AA44),1)</f>
        <v>1.3522103504152014</v>
      </c>
      <c r="AB59" s="93">
        <f>IFERROR(SUM(AC41:AC43)/SUM(AB41:AB43),1)</f>
        <v>1.040598301984978</v>
      </c>
      <c r="AC59" s="93">
        <f>IFERROR(SUM(AD40:AD42)/SUM(AC40:AC42),1)</f>
        <v>1.0123830530513638</v>
      </c>
      <c r="AD59" s="93">
        <f>IFERROR(SUM(AE39:AE41)/SUM(AD39:AD41),1)</f>
        <v>1.01035702472725</v>
      </c>
      <c r="AE59" s="93">
        <f>IFERROR(SUM(AF38:AF40)/SUM(AE38:AE40),1)</f>
        <v>1.0027568277622216</v>
      </c>
      <c r="AF59" s="93">
        <f>IFERROR(SUM(AG37:AG39)/SUM(AF37:AF39),1)</f>
        <v>1.0001705279684867</v>
      </c>
      <c r="AG59" s="93">
        <f>IFERROR(SUM(AH36:AH38)/SUM(AG36:AG38),1)</f>
        <v>1.0009975328057852</v>
      </c>
      <c r="AH59" s="93">
        <f>IFERROR(SUM(AI36:AI37)/SUM(AH36:AH37),1)</f>
        <v>1.0009482349944614</v>
      </c>
      <c r="AI59" s="93">
        <f>IFERROR(SUM(AJ36:AJ36)/SUM(AI36:AI36),1)</f>
        <v>0.99988690183127715</v>
      </c>
      <c r="AJ59" s="93">
        <v>1</v>
      </c>
      <c r="AK59" s="285"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5"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5"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5"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1.4734653218181701</v>
      </c>
      <c r="D60" s="93">
        <f t="shared" ref="D60:K60" si="184">IF(D59=0,1,D59)</f>
        <v>1.0737492319730675</v>
      </c>
      <c r="E60" s="93">
        <f t="shared" si="184"/>
        <v>1.0361115776138419</v>
      </c>
      <c r="F60" s="93">
        <f t="shared" si="184"/>
        <v>1.0158868087823063</v>
      </c>
      <c r="G60" s="93">
        <f t="shared" si="184"/>
        <v>1.0093016913033304</v>
      </c>
      <c r="H60" s="93">
        <f t="shared" si="184"/>
        <v>1.0016412408474176</v>
      </c>
      <c r="I60" s="93">
        <f t="shared" si="184"/>
        <v>1.0017169595578959</v>
      </c>
      <c r="J60" s="93">
        <f t="shared" si="184"/>
        <v>1.0005068724067017</v>
      </c>
      <c r="K60" s="93">
        <f t="shared" si="184"/>
        <v>1.000884257953168</v>
      </c>
      <c r="L60" s="93">
        <f>IF(L59=0,1,L59)</f>
        <v>1</v>
      </c>
      <c r="M60" s="285" t="s">
        <v>40</v>
      </c>
      <c r="N60" s="107"/>
      <c r="O60" s="93">
        <f>IF(O59=0,1,O59)</f>
        <v>1.4063765863980628</v>
      </c>
      <c r="P60" s="93">
        <f t="shared" ref="P60:W60" si="185">IF(P59=0,1,P59)</f>
        <v>1.0745602545593118</v>
      </c>
      <c r="Q60" s="93">
        <f t="shared" si="185"/>
        <v>1.0410201982195533</v>
      </c>
      <c r="R60" s="93">
        <f t="shared" si="185"/>
        <v>1.015178834801814</v>
      </c>
      <c r="S60" s="93">
        <f t="shared" si="185"/>
        <v>1.0047298515881091</v>
      </c>
      <c r="T60" s="93">
        <f t="shared" si="185"/>
        <v>1.0033406285008475</v>
      </c>
      <c r="U60" s="93">
        <f t="shared" si="185"/>
        <v>1.0012504773350126</v>
      </c>
      <c r="V60" s="93">
        <f t="shared" si="185"/>
        <v>1.0046281708922682</v>
      </c>
      <c r="W60" s="93">
        <f t="shared" si="185"/>
        <v>1.0000370038636719</v>
      </c>
      <c r="X60" s="93">
        <f>IF(X59=0,1,X59)</f>
        <v>1</v>
      </c>
      <c r="Y60" s="285" t="s">
        <v>40</v>
      </c>
      <c r="Z60" s="107"/>
      <c r="AA60" s="93">
        <f>IF(AA59=0,1,AA59)</f>
        <v>1.3522103504152014</v>
      </c>
      <c r="AB60" s="93">
        <f t="shared" ref="AB60:AI60" si="186">IF(AB59=0,1,AB59)</f>
        <v>1.040598301984978</v>
      </c>
      <c r="AC60" s="93">
        <f t="shared" si="186"/>
        <v>1.0123830530513638</v>
      </c>
      <c r="AD60" s="93">
        <f t="shared" si="186"/>
        <v>1.01035702472725</v>
      </c>
      <c r="AE60" s="93">
        <f t="shared" si="186"/>
        <v>1.0027568277622216</v>
      </c>
      <c r="AF60" s="93">
        <f t="shared" si="186"/>
        <v>1.0001705279684867</v>
      </c>
      <c r="AG60" s="93">
        <f t="shared" si="186"/>
        <v>1.0009975328057852</v>
      </c>
      <c r="AH60" s="93">
        <f t="shared" si="186"/>
        <v>1.0009482349944614</v>
      </c>
      <c r="AI60" s="93">
        <f t="shared" si="186"/>
        <v>0.99988690183127715</v>
      </c>
      <c r="AJ60" s="93">
        <f>IF(AJ59=0,1,AJ59)</f>
        <v>1</v>
      </c>
      <c r="AK60" s="285"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5"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5"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5"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1.6887944497682057</v>
      </c>
      <c r="D61" s="113">
        <f>PRODUCT(D60:L60)</f>
        <v>1.1461379000656302</v>
      </c>
      <c r="E61" s="113">
        <f>PRODUCT(E60:L60)</f>
        <v>1.0674167356185627</v>
      </c>
      <c r="F61" s="113">
        <f>PRODUCT(F60:L60)</f>
        <v>1.0302140799129145</v>
      </c>
      <c r="G61" s="113">
        <f>PRODUCT(G60:L60)</f>
        <v>1.0141032160342565</v>
      </c>
      <c r="H61" s="113">
        <f>PRODUCT(H60:L60)</f>
        <v>1.0047572740363944</v>
      </c>
      <c r="I61" s="113">
        <f>PRODUCT(I60:L60)</f>
        <v>1.0031109274078416</v>
      </c>
      <c r="J61" s="113">
        <f>PRODUCT(J60:L60)</f>
        <v>1.0013915785658265</v>
      </c>
      <c r="K61" s="113">
        <f>PRODUCT(K60:L60)</f>
        <v>1.000884257953168</v>
      </c>
      <c r="L61" s="114">
        <f>PRODUCT(L60:L60)</f>
        <v>1</v>
      </c>
      <c r="M61" s="111" t="s">
        <v>39</v>
      </c>
      <c r="N61" s="115"/>
      <c r="O61" s="113">
        <f>PRODUCT(O60:X60)</f>
        <v>1.6195560175952202</v>
      </c>
      <c r="P61" s="113">
        <f>PRODUCT(P60:X60)</f>
        <v>1.1515806173530954</v>
      </c>
      <c r="Q61" s="113">
        <f>PRODUCT(Q60:X60)</f>
        <v>1.0716761693604338</v>
      </c>
      <c r="R61" s="113">
        <f>PRODUCT(R60:X60)</f>
        <v>1.0294480080149366</v>
      </c>
      <c r="S61" s="113">
        <f>PRODUCT(S60:X60)</f>
        <v>1.0140558222097966</v>
      </c>
      <c r="T61" s="113">
        <f>PRODUCT(T60:X60)</f>
        <v>1.0092820678184753</v>
      </c>
      <c r="U61" s="113">
        <f>PRODUCT(U60:X60)</f>
        <v>1.0059216572606107</v>
      </c>
      <c r="V61" s="113">
        <f>PRODUCT(V60:X60)</f>
        <v>1.0046653460161448</v>
      </c>
      <c r="W61" s="113">
        <f>PRODUCT(W60:X60)</f>
        <v>1.0000370038636719</v>
      </c>
      <c r="X61" s="114">
        <f>PRODUCT(X60:X60)</f>
        <v>1</v>
      </c>
      <c r="Y61" s="111" t="s">
        <v>39</v>
      </c>
      <c r="Z61" s="115"/>
      <c r="AA61" s="113">
        <f>PRODUCT(AA60:AJ60)</f>
        <v>1.4461464839739826</v>
      </c>
      <c r="AB61" s="113">
        <f>PRODUCT(AB60:AJ60)</f>
        <v>1.069468580483752</v>
      </c>
      <c r="AC61" s="113">
        <f>PRODUCT(AC60:AJ60)</f>
        <v>1.0277439223605334</v>
      </c>
      <c r="AD61" s="113">
        <f>PRODUCT(AD60:AJ60)</f>
        <v>1.015172981474622</v>
      </c>
      <c r="AE61" s="113">
        <f>PRODUCT(AE60:AJ60)</f>
        <v>1.0047665890665451</v>
      </c>
      <c r="AF61" s="113">
        <f>PRODUCT(AF60:AJ60)</f>
        <v>1.0020042359709567</v>
      </c>
      <c r="AG61" s="113">
        <f>PRODUCT(AG60:AJ60)</f>
        <v>1.0018333953572842</v>
      </c>
      <c r="AH61" s="113">
        <f>PRODUCT(AH60:AJ60)</f>
        <v>1.0008350295820971</v>
      </c>
      <c r="AI61" s="113">
        <f>PRODUCT(AI60:AJ60)</f>
        <v>0.99988690183127715</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966315762.43244731</v>
      </c>
      <c r="D62" s="99">
        <f>D61*D44</f>
        <v>770817503.26634538</v>
      </c>
      <c r="E62" s="99">
        <f>E61*E43</f>
        <v>628976851.0304184</v>
      </c>
      <c r="F62" s="99">
        <f>F61*F42</f>
        <v>649655746.28131568</v>
      </c>
      <c r="G62" s="99">
        <f>G61*G41</f>
        <v>532834101.01752716</v>
      </c>
      <c r="H62" s="99">
        <f>H61*H40</f>
        <v>592571355.52021766</v>
      </c>
      <c r="I62" s="99">
        <f>I61*I39</f>
        <v>525892334.2830143</v>
      </c>
      <c r="J62" s="99">
        <f>J61*J38</f>
        <v>460626593.68497449</v>
      </c>
      <c r="K62" s="99">
        <f>K61*K37</f>
        <v>431143659.06086129</v>
      </c>
      <c r="L62" s="99">
        <f>L61*L36</f>
        <v>438452384.81</v>
      </c>
      <c r="M62" s="95" t="s">
        <v>41</v>
      </c>
      <c r="N62" s="106"/>
      <c r="O62" s="99">
        <f>O61*O45</f>
        <v>51054893.389269985</v>
      </c>
      <c r="P62" s="99">
        <f>P61*P44</f>
        <v>45615639.602229446</v>
      </c>
      <c r="Q62" s="99">
        <f>Q61*Q43</f>
        <v>43214201.051680051</v>
      </c>
      <c r="R62" s="99">
        <f>R61*R42</f>
        <v>49497788.319710292</v>
      </c>
      <c r="S62" s="99">
        <f>S61*S41</f>
        <v>52253800.178708076</v>
      </c>
      <c r="T62" s="99">
        <f>T61*T40</f>
        <v>47271543.433932178</v>
      </c>
      <c r="U62" s="99">
        <f>U61*U39</f>
        <v>47053969.226050831</v>
      </c>
      <c r="V62" s="99">
        <f>V61*V38</f>
        <v>42132407.908824772</v>
      </c>
      <c r="W62" s="99">
        <f>W61*W37</f>
        <v>42881677.109018661</v>
      </c>
      <c r="X62" s="99">
        <f>X61*X36</f>
        <v>38750090.280000001</v>
      </c>
      <c r="Y62" s="95" t="s">
        <v>41</v>
      </c>
      <c r="Z62" s="106"/>
      <c r="AA62" s="99">
        <f>AA61*AA45</f>
        <v>71143209.164471105</v>
      </c>
      <c r="AB62" s="99">
        <f>AB61*AB44</f>
        <v>64853363.83862152</v>
      </c>
      <c r="AC62" s="99">
        <f>AC61*AC43</f>
        <v>60319869.952431291</v>
      </c>
      <c r="AD62" s="99">
        <f>AD61*AD42</f>
        <v>57911475.96658995</v>
      </c>
      <c r="AE62" s="99">
        <f>AE61*AE41</f>
        <v>52388022.175038546</v>
      </c>
      <c r="AF62" s="99">
        <f>AF61*AF40</f>
        <v>57245161.860890314</v>
      </c>
      <c r="AG62" s="99">
        <f>AG61*AG39</f>
        <v>53262948.395142809</v>
      </c>
      <c r="AH62" s="99">
        <f>AH61*AH38</f>
        <v>45135238.023556352</v>
      </c>
      <c r="AI62" s="99">
        <f>AI61*AI37</f>
        <v>40735523.155814119</v>
      </c>
      <c r="AJ62" s="99">
        <f>AJ61*AJ36</f>
        <v>42433553.230000004</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Homeowners Multiple Peril</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Renters</v>
      </c>
      <c r="N67" s="69"/>
      <c r="O67" s="18"/>
      <c r="P67" s="18"/>
      <c r="Q67" s="18"/>
      <c r="R67" s="18"/>
      <c r="S67" s="18"/>
      <c r="T67" s="18"/>
      <c r="U67" s="18"/>
      <c r="V67" s="18"/>
      <c r="W67" s="18"/>
      <c r="X67" s="18"/>
      <c r="Y67" s="138" t="str">
        <f>Y$5</f>
        <v>Condominium Unitowners</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Data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Data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Data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Data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Data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Data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Data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Data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Data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20132</v>
      </c>
      <c r="B71" s="21"/>
      <c r="C71" s="21">
        <v>269440432.31</v>
      </c>
      <c r="D71" s="21">
        <v>384433427.69999999</v>
      </c>
      <c r="E71" s="21">
        <v>406844560.66000003</v>
      </c>
      <c r="F71" s="21">
        <v>414311659.58999997</v>
      </c>
      <c r="G71" s="21">
        <v>415320148.63999999</v>
      </c>
      <c r="H71" s="21">
        <v>416234570.44</v>
      </c>
      <c r="I71" s="21">
        <v>417746730.04000002</v>
      </c>
      <c r="J71" s="21">
        <v>418004516.66000003</v>
      </c>
      <c r="K71" s="21">
        <v>417943907.75</v>
      </c>
      <c r="L71" s="21">
        <v>418088709.38999999</v>
      </c>
      <c r="M71" s="31">
        <f>$A$36</f>
        <v>20132</v>
      </c>
      <c r="N71" s="21"/>
      <c r="O71" s="21">
        <v>22888577.800000001</v>
      </c>
      <c r="P71" s="21">
        <v>32583213.93</v>
      </c>
      <c r="Q71" s="21">
        <v>35087896.850000001</v>
      </c>
      <c r="R71" s="21">
        <v>35784746.57</v>
      </c>
      <c r="S71" s="21">
        <v>36240100.57</v>
      </c>
      <c r="T71" s="21">
        <v>36252244.18</v>
      </c>
      <c r="U71" s="21">
        <v>36327164.850000001</v>
      </c>
      <c r="V71" s="21">
        <v>36327149.229999997</v>
      </c>
      <c r="W71" s="21">
        <v>36412170.109999999</v>
      </c>
      <c r="X71" s="21">
        <v>36412133.960000001</v>
      </c>
      <c r="Y71" s="31">
        <f>$A$36</f>
        <v>20132</v>
      </c>
      <c r="Z71" s="21"/>
      <c r="AA71" s="21">
        <v>31413154.91</v>
      </c>
      <c r="AB71" s="21">
        <v>39805955.189999998</v>
      </c>
      <c r="AC71" s="21">
        <v>40185786.840000004</v>
      </c>
      <c r="AD71" s="21">
        <v>39812888.579999998</v>
      </c>
      <c r="AE71" s="21">
        <v>40245176.789999999</v>
      </c>
      <c r="AF71" s="21">
        <v>40607714.020000003</v>
      </c>
      <c r="AG71" s="21">
        <v>40834234.659999996</v>
      </c>
      <c r="AH71" s="21">
        <v>40721303.950000003</v>
      </c>
      <c r="AI71" s="21">
        <v>40721303.950000003</v>
      </c>
      <c r="AJ71" s="21">
        <v>40721303.950000003</v>
      </c>
      <c r="AK71" s="31">
        <f>$A$36</f>
        <v>20132</v>
      </c>
      <c r="AL71" s="21"/>
      <c r="AM71" s="21"/>
      <c r="AN71" s="21"/>
      <c r="AO71" s="21"/>
      <c r="AP71" s="21"/>
      <c r="AQ71" s="21"/>
      <c r="AR71" s="21"/>
      <c r="AS71" s="21"/>
      <c r="AT71" s="21"/>
      <c r="AU71" s="21"/>
      <c r="AV71" s="21"/>
      <c r="AW71" s="31">
        <f>$A$36</f>
        <v>20132</v>
      </c>
      <c r="AX71" s="21"/>
      <c r="AY71" s="21"/>
      <c r="AZ71" s="21"/>
      <c r="BA71" s="21"/>
      <c r="BB71" s="21"/>
      <c r="BC71" s="21"/>
      <c r="BD71" s="21"/>
      <c r="BE71" s="21"/>
      <c r="BF71" s="21"/>
      <c r="BG71" s="21"/>
      <c r="BH71" s="21"/>
      <c r="BI71" s="31">
        <f>$A$36</f>
        <v>20132</v>
      </c>
      <c r="BJ71" s="21"/>
      <c r="BK71" s="21"/>
      <c r="BL71" s="21"/>
      <c r="BM71" s="21"/>
      <c r="BN71" s="21"/>
      <c r="BO71" s="21"/>
      <c r="BP71" s="21"/>
      <c r="BQ71" s="21"/>
      <c r="BR71" s="21"/>
      <c r="BS71" s="21"/>
      <c r="BT71" s="21"/>
      <c r="BU71" s="31">
        <f>$A$36</f>
        <v>20132</v>
      </c>
      <c r="BV71" s="21"/>
      <c r="BW71" s="21"/>
      <c r="BX71" s="21"/>
      <c r="BY71" s="21"/>
      <c r="BZ71" s="21"/>
      <c r="CA71" s="21"/>
      <c r="CB71" s="21"/>
      <c r="CC71" s="21"/>
      <c r="CD71" s="21"/>
      <c r="CE71" s="21"/>
      <c r="CF71" s="21"/>
      <c r="CG71" s="31">
        <f>$A$36</f>
        <v>20132</v>
      </c>
      <c r="CH71" s="21"/>
      <c r="CI71" s="21"/>
      <c r="CJ71" s="21"/>
      <c r="CK71" s="21"/>
      <c r="CL71" s="21"/>
      <c r="CM71" s="21"/>
      <c r="CN71" s="21"/>
      <c r="CO71" s="21"/>
      <c r="CP71" s="21"/>
      <c r="CQ71" s="21"/>
      <c r="CR71" s="21"/>
      <c r="CS71" s="31">
        <f>$A$36</f>
        <v>20132</v>
      </c>
      <c r="CT71" s="21"/>
      <c r="CU71" s="21"/>
      <c r="CV71" s="21"/>
      <c r="CW71" s="21"/>
      <c r="CX71" s="21"/>
      <c r="CY71" s="21"/>
      <c r="CZ71" s="21"/>
      <c r="DA71" s="21"/>
      <c r="DB71" s="21"/>
      <c r="DC71" s="21"/>
      <c r="DD71" s="21"/>
      <c r="DE71" s="31">
        <f>$A$36</f>
        <v>20132</v>
      </c>
      <c r="DF71" s="21"/>
      <c r="DG71" s="21"/>
      <c r="DH71" s="21"/>
      <c r="DI71" s="21"/>
      <c r="DJ71" s="21"/>
      <c r="DK71" s="21"/>
      <c r="DL71" s="21"/>
      <c r="DM71" s="21"/>
      <c r="DN71" s="21"/>
      <c r="DO71" s="21"/>
      <c r="DP71" s="21"/>
    </row>
    <row r="72" spans="1:120" ht="15" customHeight="1" x14ac:dyDescent="0.25">
      <c r="A72" s="31">
        <f>$A$37</f>
        <v>20142</v>
      </c>
      <c r="B72" s="21"/>
      <c r="C72" s="21">
        <v>276744632.57999998</v>
      </c>
      <c r="D72" s="21">
        <v>373725005.02999997</v>
      </c>
      <c r="E72" s="21">
        <v>395650405.66000003</v>
      </c>
      <c r="F72" s="21">
        <v>404353721.08999997</v>
      </c>
      <c r="G72" s="21">
        <v>406452538.75999999</v>
      </c>
      <c r="H72" s="21">
        <v>409072542.04000002</v>
      </c>
      <c r="I72" s="21">
        <v>408787152.04000002</v>
      </c>
      <c r="J72" s="21">
        <v>409239351.33999997</v>
      </c>
      <c r="K72" s="21">
        <v>409255029.11000001</v>
      </c>
      <c r="L72" s="134"/>
      <c r="M72" s="31">
        <f>$A$37</f>
        <v>20142</v>
      </c>
      <c r="N72" s="21"/>
      <c r="O72" s="21">
        <v>23683110.859999999</v>
      </c>
      <c r="P72" s="21">
        <v>33739840.420000002</v>
      </c>
      <c r="Q72" s="21">
        <v>35930749.100000001</v>
      </c>
      <c r="R72" s="21">
        <v>37942989.5</v>
      </c>
      <c r="S72" s="21">
        <v>38382791.509999998</v>
      </c>
      <c r="T72" s="21">
        <v>38451357.75</v>
      </c>
      <c r="U72" s="21">
        <v>38492627.75</v>
      </c>
      <c r="V72" s="21">
        <v>38497627.75</v>
      </c>
      <c r="W72" s="21">
        <v>38747627.75</v>
      </c>
      <c r="X72" s="134"/>
      <c r="Y72" s="31">
        <f>$A$37</f>
        <v>20142</v>
      </c>
      <c r="Z72" s="21"/>
      <c r="AA72" s="21">
        <v>31068364.309999999</v>
      </c>
      <c r="AB72" s="21">
        <v>38668450.969999999</v>
      </c>
      <c r="AC72" s="21">
        <v>39001678.719999999</v>
      </c>
      <c r="AD72" s="21">
        <v>39437005.829999998</v>
      </c>
      <c r="AE72" s="21">
        <v>39434027.479999997</v>
      </c>
      <c r="AF72" s="21">
        <v>39565684.600000001</v>
      </c>
      <c r="AG72" s="21">
        <v>39520935.789999999</v>
      </c>
      <c r="AH72" s="21">
        <v>39612559.770000003</v>
      </c>
      <c r="AI72" s="21">
        <v>39616444.789999999</v>
      </c>
      <c r="AJ72" s="134"/>
      <c r="AK72" s="31">
        <f>$A$37</f>
        <v>20142</v>
      </c>
      <c r="AL72" s="21"/>
      <c r="AM72" s="21"/>
      <c r="AN72" s="21"/>
      <c r="AO72" s="21"/>
      <c r="AP72" s="21"/>
      <c r="AQ72" s="21"/>
      <c r="AR72" s="21"/>
      <c r="AS72" s="21"/>
      <c r="AT72" s="21"/>
      <c r="AU72" s="21"/>
      <c r="AV72" s="134"/>
      <c r="AW72" s="31">
        <f>$A$37</f>
        <v>20142</v>
      </c>
      <c r="AX72" s="21"/>
      <c r="AY72" s="21"/>
      <c r="AZ72" s="21"/>
      <c r="BA72" s="21"/>
      <c r="BB72" s="21"/>
      <c r="BC72" s="21"/>
      <c r="BD72" s="21"/>
      <c r="BE72" s="21"/>
      <c r="BF72" s="21"/>
      <c r="BG72" s="21"/>
      <c r="BH72" s="134"/>
      <c r="BI72" s="31">
        <f>$A$37</f>
        <v>20142</v>
      </c>
      <c r="BJ72" s="21"/>
      <c r="BK72" s="21"/>
      <c r="BL72" s="21"/>
      <c r="BM72" s="21"/>
      <c r="BN72" s="21"/>
      <c r="BO72" s="21"/>
      <c r="BP72" s="21"/>
      <c r="BQ72" s="21"/>
      <c r="BR72" s="21"/>
      <c r="BS72" s="21"/>
      <c r="BT72" s="134"/>
      <c r="BU72" s="31">
        <f>$A$37</f>
        <v>20142</v>
      </c>
      <c r="BV72" s="21"/>
      <c r="BW72" s="21"/>
      <c r="BX72" s="21"/>
      <c r="BY72" s="21"/>
      <c r="BZ72" s="21"/>
      <c r="CA72" s="21"/>
      <c r="CB72" s="21"/>
      <c r="CC72" s="21"/>
      <c r="CD72" s="21"/>
      <c r="CE72" s="21"/>
      <c r="CF72" s="134"/>
      <c r="CG72" s="31">
        <f>$A$37</f>
        <v>20142</v>
      </c>
      <c r="CH72" s="21"/>
      <c r="CI72" s="21"/>
      <c r="CJ72" s="21"/>
      <c r="CK72" s="21"/>
      <c r="CL72" s="21"/>
      <c r="CM72" s="21"/>
      <c r="CN72" s="21"/>
      <c r="CO72" s="21"/>
      <c r="CP72" s="21"/>
      <c r="CQ72" s="21"/>
      <c r="CR72" s="134"/>
      <c r="CS72" s="31">
        <f>$A$37</f>
        <v>20142</v>
      </c>
      <c r="CT72" s="21"/>
      <c r="CU72" s="21"/>
      <c r="CV72" s="21"/>
      <c r="CW72" s="21"/>
      <c r="CX72" s="21"/>
      <c r="CY72" s="21"/>
      <c r="CZ72" s="21"/>
      <c r="DA72" s="21"/>
      <c r="DB72" s="21"/>
      <c r="DC72" s="21"/>
      <c r="DD72" s="134"/>
      <c r="DE72" s="31">
        <f>$A$37</f>
        <v>20142</v>
      </c>
      <c r="DF72" s="21"/>
      <c r="DG72" s="21"/>
      <c r="DH72" s="21"/>
      <c r="DI72" s="21"/>
      <c r="DJ72" s="21"/>
      <c r="DK72" s="21"/>
      <c r="DL72" s="21"/>
      <c r="DM72" s="21"/>
      <c r="DN72" s="21"/>
      <c r="DO72" s="21"/>
      <c r="DP72" s="134"/>
    </row>
    <row r="73" spans="1:120" ht="15" customHeight="1" x14ac:dyDescent="0.25">
      <c r="A73" s="31">
        <f>$A$38</f>
        <v>20152</v>
      </c>
      <c r="B73" s="21"/>
      <c r="C73" s="21">
        <v>293208099.73000002</v>
      </c>
      <c r="D73" s="21">
        <v>398938495.31999999</v>
      </c>
      <c r="E73" s="21">
        <v>419607231.11000001</v>
      </c>
      <c r="F73" s="21">
        <v>425939625.63</v>
      </c>
      <c r="G73" s="21">
        <v>431456790.75999999</v>
      </c>
      <c r="H73" s="21">
        <v>434276753.51999998</v>
      </c>
      <c r="I73" s="21">
        <v>435050701.87</v>
      </c>
      <c r="J73" s="21">
        <v>435895394.02999997</v>
      </c>
      <c r="K73" s="134"/>
      <c r="L73" s="134"/>
      <c r="M73" s="31">
        <f>$A$38</f>
        <v>20152</v>
      </c>
      <c r="N73" s="21"/>
      <c r="O73" s="21">
        <v>25277029.84</v>
      </c>
      <c r="P73" s="21">
        <v>34524885.920000002</v>
      </c>
      <c r="Q73" s="21">
        <v>37881489.899999999</v>
      </c>
      <c r="R73" s="21">
        <v>39359974.07</v>
      </c>
      <c r="S73" s="21">
        <v>39770246.539999999</v>
      </c>
      <c r="T73" s="21">
        <v>39810690.32</v>
      </c>
      <c r="U73" s="21">
        <v>39910780.32</v>
      </c>
      <c r="V73" s="21">
        <v>39915865.789999999</v>
      </c>
      <c r="W73" s="134"/>
      <c r="X73" s="134"/>
      <c r="Y73" s="31">
        <f>$A$38</f>
        <v>20152</v>
      </c>
      <c r="Z73" s="21"/>
      <c r="AA73" s="21">
        <v>33938698.68</v>
      </c>
      <c r="AB73" s="21">
        <v>42463880.520000003</v>
      </c>
      <c r="AC73" s="21">
        <v>43572521.670000002</v>
      </c>
      <c r="AD73" s="21">
        <v>43654487.850000001</v>
      </c>
      <c r="AE73" s="21">
        <v>43501296.899999999</v>
      </c>
      <c r="AF73" s="21">
        <v>43646735.060000002</v>
      </c>
      <c r="AG73" s="21">
        <v>43666298.060000002</v>
      </c>
      <c r="AH73" s="21">
        <v>43675758.060000002</v>
      </c>
      <c r="AI73" s="134"/>
      <c r="AJ73" s="134"/>
      <c r="AK73" s="31">
        <f>$A$38</f>
        <v>20152</v>
      </c>
      <c r="AL73" s="21"/>
      <c r="AM73" s="21"/>
      <c r="AN73" s="21"/>
      <c r="AO73" s="21"/>
      <c r="AP73" s="21"/>
      <c r="AQ73" s="21"/>
      <c r="AR73" s="21"/>
      <c r="AS73" s="21"/>
      <c r="AT73" s="21"/>
      <c r="AU73" s="134"/>
      <c r="AV73" s="134"/>
      <c r="AW73" s="31">
        <f>$A$38</f>
        <v>20152</v>
      </c>
      <c r="AX73" s="21"/>
      <c r="AY73" s="21"/>
      <c r="AZ73" s="21"/>
      <c r="BA73" s="21"/>
      <c r="BB73" s="21"/>
      <c r="BC73" s="21"/>
      <c r="BD73" s="21"/>
      <c r="BE73" s="21"/>
      <c r="BF73" s="21"/>
      <c r="BG73" s="134"/>
      <c r="BH73" s="134"/>
      <c r="BI73" s="31">
        <f>$A$38</f>
        <v>20152</v>
      </c>
      <c r="BJ73" s="21"/>
      <c r="BK73" s="21"/>
      <c r="BL73" s="21"/>
      <c r="BM73" s="21"/>
      <c r="BN73" s="21"/>
      <c r="BO73" s="21"/>
      <c r="BP73" s="21"/>
      <c r="BQ73" s="21"/>
      <c r="BR73" s="21"/>
      <c r="BS73" s="134"/>
      <c r="BT73" s="134"/>
      <c r="BU73" s="31">
        <f>$A$38</f>
        <v>20152</v>
      </c>
      <c r="BV73" s="21"/>
      <c r="BW73" s="21"/>
      <c r="BX73" s="21"/>
      <c r="BY73" s="21"/>
      <c r="BZ73" s="21"/>
      <c r="CA73" s="21"/>
      <c r="CB73" s="21"/>
      <c r="CC73" s="21"/>
      <c r="CD73" s="21"/>
      <c r="CE73" s="134"/>
      <c r="CF73" s="134"/>
      <c r="CG73" s="31">
        <f>$A$38</f>
        <v>20152</v>
      </c>
      <c r="CH73" s="21"/>
      <c r="CI73" s="21"/>
      <c r="CJ73" s="21"/>
      <c r="CK73" s="21"/>
      <c r="CL73" s="21"/>
      <c r="CM73" s="21"/>
      <c r="CN73" s="21"/>
      <c r="CO73" s="21"/>
      <c r="CP73" s="21"/>
      <c r="CQ73" s="134"/>
      <c r="CR73" s="134"/>
      <c r="CS73" s="31">
        <f>$A$38</f>
        <v>20152</v>
      </c>
      <c r="CT73" s="21"/>
      <c r="CU73" s="21"/>
      <c r="CV73" s="21"/>
      <c r="CW73" s="21"/>
      <c r="CX73" s="21"/>
      <c r="CY73" s="21"/>
      <c r="CZ73" s="21"/>
      <c r="DA73" s="21"/>
      <c r="DB73" s="21"/>
      <c r="DC73" s="134"/>
      <c r="DD73" s="134"/>
      <c r="DE73" s="31">
        <f>$A$38</f>
        <v>20152</v>
      </c>
      <c r="DF73" s="21"/>
      <c r="DG73" s="21"/>
      <c r="DH73" s="21"/>
      <c r="DI73" s="21"/>
      <c r="DJ73" s="21"/>
      <c r="DK73" s="21"/>
      <c r="DL73" s="21"/>
      <c r="DM73" s="21"/>
      <c r="DN73" s="21"/>
      <c r="DO73" s="134"/>
      <c r="DP73" s="134"/>
    </row>
    <row r="74" spans="1:120" ht="15" customHeight="1" x14ac:dyDescent="0.25">
      <c r="A74" s="31">
        <f>$A$39</f>
        <v>20162</v>
      </c>
      <c r="B74" s="21"/>
      <c r="C74" s="21">
        <v>339996846.42000002</v>
      </c>
      <c r="D74" s="21">
        <v>460396149.55000001</v>
      </c>
      <c r="E74" s="21">
        <v>487275404.48000002</v>
      </c>
      <c r="F74" s="21">
        <v>495442823.98000002</v>
      </c>
      <c r="G74" s="21">
        <v>498076123.93000001</v>
      </c>
      <c r="H74" s="21">
        <v>500334513.76999998</v>
      </c>
      <c r="I74" s="21">
        <v>500620780.93000001</v>
      </c>
      <c r="J74" s="134"/>
      <c r="K74" s="134"/>
      <c r="L74" s="134"/>
      <c r="M74" s="31">
        <f>$A$39</f>
        <v>20162</v>
      </c>
      <c r="N74" s="21"/>
      <c r="O74" s="21">
        <v>26334787.399999999</v>
      </c>
      <c r="P74" s="21">
        <v>38302736.079999998</v>
      </c>
      <c r="Q74" s="21">
        <v>41749848.259999998</v>
      </c>
      <c r="R74" s="21">
        <v>43474519.409999996</v>
      </c>
      <c r="S74" s="21">
        <v>44106782.469999999</v>
      </c>
      <c r="T74" s="21">
        <v>44225580.090000004</v>
      </c>
      <c r="U74" s="21">
        <v>44387905.43</v>
      </c>
      <c r="V74" s="134"/>
      <c r="W74" s="134"/>
      <c r="X74" s="134"/>
      <c r="Y74" s="31">
        <f>$A$39</f>
        <v>20162</v>
      </c>
      <c r="Z74" s="21"/>
      <c r="AA74" s="21">
        <v>40344085.270000003</v>
      </c>
      <c r="AB74" s="21">
        <v>50600317.920000002</v>
      </c>
      <c r="AC74" s="21">
        <v>51606316.149999999</v>
      </c>
      <c r="AD74" s="21">
        <v>51576117.689999998</v>
      </c>
      <c r="AE74" s="21">
        <v>51580714.450000003</v>
      </c>
      <c r="AF74" s="21">
        <v>51623000.219999999</v>
      </c>
      <c r="AG74" s="21">
        <v>51623014.619999997</v>
      </c>
      <c r="AH74" s="134"/>
      <c r="AI74" s="134"/>
      <c r="AJ74" s="134"/>
      <c r="AK74" s="31">
        <f>$A$39</f>
        <v>20162</v>
      </c>
      <c r="AL74" s="21"/>
      <c r="AM74" s="21"/>
      <c r="AN74" s="21"/>
      <c r="AO74" s="21"/>
      <c r="AP74" s="21"/>
      <c r="AQ74" s="21"/>
      <c r="AR74" s="21"/>
      <c r="AS74" s="21"/>
      <c r="AT74" s="134"/>
      <c r="AU74" s="134"/>
      <c r="AV74" s="134"/>
      <c r="AW74" s="31">
        <f>$A$39</f>
        <v>20162</v>
      </c>
      <c r="AX74" s="21"/>
      <c r="AY74" s="21"/>
      <c r="AZ74" s="21"/>
      <c r="BA74" s="21"/>
      <c r="BB74" s="21"/>
      <c r="BC74" s="21"/>
      <c r="BD74" s="21"/>
      <c r="BE74" s="21"/>
      <c r="BF74" s="134"/>
      <c r="BG74" s="134"/>
      <c r="BH74" s="134"/>
      <c r="BI74" s="31">
        <f>$A$39</f>
        <v>20162</v>
      </c>
      <c r="BJ74" s="21"/>
      <c r="BK74" s="21"/>
      <c r="BL74" s="21"/>
      <c r="BM74" s="21"/>
      <c r="BN74" s="21"/>
      <c r="BO74" s="21"/>
      <c r="BP74" s="21"/>
      <c r="BQ74" s="21"/>
      <c r="BR74" s="134"/>
      <c r="BS74" s="134"/>
      <c r="BT74" s="134"/>
      <c r="BU74" s="31">
        <f>$A$39</f>
        <v>20162</v>
      </c>
      <c r="BV74" s="21"/>
      <c r="BW74" s="21"/>
      <c r="BX74" s="21"/>
      <c r="BY74" s="21"/>
      <c r="BZ74" s="21"/>
      <c r="CA74" s="21"/>
      <c r="CB74" s="21"/>
      <c r="CC74" s="21"/>
      <c r="CD74" s="134"/>
      <c r="CE74" s="134"/>
      <c r="CF74" s="134"/>
      <c r="CG74" s="31">
        <f>$A$39</f>
        <v>20162</v>
      </c>
      <c r="CH74" s="21"/>
      <c r="CI74" s="21"/>
      <c r="CJ74" s="21"/>
      <c r="CK74" s="21"/>
      <c r="CL74" s="21"/>
      <c r="CM74" s="21"/>
      <c r="CN74" s="21"/>
      <c r="CO74" s="21"/>
      <c r="CP74" s="134"/>
      <c r="CQ74" s="134"/>
      <c r="CR74" s="134"/>
      <c r="CS74" s="31">
        <f>$A$39</f>
        <v>20162</v>
      </c>
      <c r="CT74" s="21"/>
      <c r="CU74" s="21"/>
      <c r="CV74" s="21"/>
      <c r="CW74" s="21"/>
      <c r="CX74" s="21"/>
      <c r="CY74" s="21"/>
      <c r="CZ74" s="21"/>
      <c r="DA74" s="21"/>
      <c r="DB74" s="134"/>
      <c r="DC74" s="134"/>
      <c r="DD74" s="134"/>
      <c r="DE74" s="31">
        <f>$A$39</f>
        <v>20162</v>
      </c>
      <c r="DF74" s="21"/>
      <c r="DG74" s="21"/>
      <c r="DH74" s="21"/>
      <c r="DI74" s="21"/>
      <c r="DJ74" s="21"/>
      <c r="DK74" s="21"/>
      <c r="DL74" s="21"/>
      <c r="DM74" s="21"/>
      <c r="DN74" s="134"/>
      <c r="DO74" s="134"/>
      <c r="DP74" s="134"/>
    </row>
    <row r="75" spans="1:120" ht="15" customHeight="1" x14ac:dyDescent="0.25">
      <c r="A75" s="31">
        <f>$A$40</f>
        <v>20172</v>
      </c>
      <c r="B75" s="21"/>
      <c r="C75" s="21">
        <v>394730307.24000001</v>
      </c>
      <c r="D75" s="21">
        <v>522412860.60000002</v>
      </c>
      <c r="E75" s="21">
        <v>547717664.63999999</v>
      </c>
      <c r="F75" s="21">
        <v>556538354.13</v>
      </c>
      <c r="G75" s="21">
        <v>561401761.33000004</v>
      </c>
      <c r="H75" s="21">
        <v>564593391.83000004</v>
      </c>
      <c r="I75" s="134"/>
      <c r="J75" s="134"/>
      <c r="K75" s="134"/>
      <c r="L75" s="134"/>
      <c r="M75" s="31">
        <f>$A$40</f>
        <v>20172</v>
      </c>
      <c r="N75" s="21"/>
      <c r="O75" s="21">
        <v>30448120.690000001</v>
      </c>
      <c r="P75" s="21">
        <v>39277598.289999999</v>
      </c>
      <c r="Q75" s="21">
        <v>42185122.920000002</v>
      </c>
      <c r="R75" s="21">
        <v>44315117.810000002</v>
      </c>
      <c r="S75" s="21">
        <v>44957074.490000002</v>
      </c>
      <c r="T75" s="21">
        <v>45100272.780000001</v>
      </c>
      <c r="U75" s="134"/>
      <c r="V75" s="134"/>
      <c r="W75" s="134"/>
      <c r="X75" s="134"/>
      <c r="Y75" s="31">
        <f>$A$40</f>
        <v>20172</v>
      </c>
      <c r="Z75" s="21"/>
      <c r="AA75" s="21">
        <v>42689439.450000003</v>
      </c>
      <c r="AB75" s="21">
        <v>53378754.689999998</v>
      </c>
      <c r="AC75" s="21">
        <v>54776151.859999999</v>
      </c>
      <c r="AD75" s="21">
        <v>55034128.159999996</v>
      </c>
      <c r="AE75" s="21">
        <v>55222113.329999998</v>
      </c>
      <c r="AF75" s="21">
        <v>55060898.090000004</v>
      </c>
      <c r="AG75" s="134"/>
      <c r="AH75" s="134"/>
      <c r="AI75" s="134"/>
      <c r="AJ75" s="134"/>
      <c r="AK75" s="31">
        <f>$A$40</f>
        <v>20172</v>
      </c>
      <c r="AL75" s="21"/>
      <c r="AM75" s="21"/>
      <c r="AN75" s="21"/>
      <c r="AO75" s="21"/>
      <c r="AP75" s="21"/>
      <c r="AQ75" s="21"/>
      <c r="AR75" s="21"/>
      <c r="AS75" s="134"/>
      <c r="AT75" s="134"/>
      <c r="AU75" s="134"/>
      <c r="AV75" s="134"/>
      <c r="AW75" s="31">
        <f>$A$40</f>
        <v>20172</v>
      </c>
      <c r="AX75" s="21"/>
      <c r="AY75" s="21"/>
      <c r="AZ75" s="21"/>
      <c r="BA75" s="21"/>
      <c r="BB75" s="21"/>
      <c r="BC75" s="21"/>
      <c r="BD75" s="21"/>
      <c r="BE75" s="134"/>
      <c r="BF75" s="134"/>
      <c r="BG75" s="134"/>
      <c r="BH75" s="134"/>
      <c r="BI75" s="31">
        <f>$A$40</f>
        <v>20172</v>
      </c>
      <c r="BJ75" s="21"/>
      <c r="BK75" s="21"/>
      <c r="BL75" s="21"/>
      <c r="BM75" s="21"/>
      <c r="BN75" s="21"/>
      <c r="BO75" s="21"/>
      <c r="BP75" s="21"/>
      <c r="BQ75" s="134"/>
      <c r="BR75" s="134"/>
      <c r="BS75" s="134"/>
      <c r="BT75" s="134"/>
      <c r="BU75" s="31">
        <f>$A$40</f>
        <v>20172</v>
      </c>
      <c r="BV75" s="21"/>
      <c r="BW75" s="21"/>
      <c r="BX75" s="21"/>
      <c r="BY75" s="21"/>
      <c r="BZ75" s="21"/>
      <c r="CA75" s="21"/>
      <c r="CB75" s="21"/>
      <c r="CC75" s="134"/>
      <c r="CD75" s="134"/>
      <c r="CE75" s="134"/>
      <c r="CF75" s="134"/>
      <c r="CG75" s="31">
        <f>$A$40</f>
        <v>20172</v>
      </c>
      <c r="CH75" s="21"/>
      <c r="CI75" s="21"/>
      <c r="CJ75" s="21"/>
      <c r="CK75" s="21"/>
      <c r="CL75" s="21"/>
      <c r="CM75" s="21"/>
      <c r="CN75" s="21"/>
      <c r="CO75" s="134"/>
      <c r="CP75" s="134"/>
      <c r="CQ75" s="134"/>
      <c r="CR75" s="134"/>
      <c r="CS75" s="31">
        <f>$A$40</f>
        <v>20172</v>
      </c>
      <c r="CT75" s="21"/>
      <c r="CU75" s="21"/>
      <c r="CV75" s="21"/>
      <c r="CW75" s="21"/>
      <c r="CX75" s="21"/>
      <c r="CY75" s="21"/>
      <c r="CZ75" s="21"/>
      <c r="DA75" s="134"/>
      <c r="DB75" s="134"/>
      <c r="DC75" s="134"/>
      <c r="DD75" s="134"/>
      <c r="DE75" s="31">
        <f>$A$40</f>
        <v>20172</v>
      </c>
      <c r="DF75" s="21"/>
      <c r="DG75" s="21"/>
      <c r="DH75" s="21"/>
      <c r="DI75" s="21"/>
      <c r="DJ75" s="21"/>
      <c r="DK75" s="21"/>
      <c r="DL75" s="21"/>
      <c r="DM75" s="134"/>
      <c r="DN75" s="134"/>
      <c r="DO75" s="134"/>
      <c r="DP75" s="134"/>
    </row>
    <row r="76" spans="1:120" ht="15" customHeight="1" x14ac:dyDescent="0.25">
      <c r="A76" s="31">
        <f>$A$41</f>
        <v>20182</v>
      </c>
      <c r="B76" s="21"/>
      <c r="C76" s="21">
        <v>333433017.82999998</v>
      </c>
      <c r="D76" s="21">
        <v>455054260.19</v>
      </c>
      <c r="E76" s="21">
        <v>483559292.10000002</v>
      </c>
      <c r="F76" s="21">
        <v>497912553.97000003</v>
      </c>
      <c r="G76" s="21">
        <v>504599649.76999998</v>
      </c>
      <c r="H76" s="134"/>
      <c r="I76" s="134"/>
      <c r="J76" s="134"/>
      <c r="K76" s="134"/>
      <c r="L76" s="134"/>
      <c r="M76" s="31">
        <f>$A$41</f>
        <v>20182</v>
      </c>
      <c r="N76" s="21"/>
      <c r="O76" s="21">
        <v>31566548.960000001</v>
      </c>
      <c r="P76" s="21">
        <v>44260494.960000001</v>
      </c>
      <c r="Q76" s="21">
        <v>47563816.210000001</v>
      </c>
      <c r="R76" s="21">
        <v>49269772.909999996</v>
      </c>
      <c r="S76" s="21">
        <v>49408425.969999999</v>
      </c>
      <c r="T76" s="134"/>
      <c r="U76" s="134"/>
      <c r="V76" s="134"/>
      <c r="W76" s="134"/>
      <c r="X76" s="134"/>
      <c r="Y76" s="31">
        <f>$A$41</f>
        <v>20182</v>
      </c>
      <c r="Z76" s="21"/>
      <c r="AA76" s="21">
        <v>36647311.170000002</v>
      </c>
      <c r="AB76" s="21">
        <v>47886423.670000002</v>
      </c>
      <c r="AC76" s="21">
        <v>49593481.439999998</v>
      </c>
      <c r="AD76" s="21">
        <v>49687079.140000001</v>
      </c>
      <c r="AE76" s="21">
        <v>50373698.350000001</v>
      </c>
      <c r="AF76" s="134"/>
      <c r="AG76" s="134"/>
      <c r="AH76" s="134"/>
      <c r="AI76" s="134"/>
      <c r="AJ76" s="134"/>
      <c r="AK76" s="31">
        <f>$A$41</f>
        <v>20182</v>
      </c>
      <c r="AL76" s="21"/>
      <c r="AM76" s="21"/>
      <c r="AN76" s="21"/>
      <c r="AO76" s="21"/>
      <c r="AP76" s="21"/>
      <c r="AQ76" s="21"/>
      <c r="AR76" s="134"/>
      <c r="AS76" s="134"/>
      <c r="AT76" s="134"/>
      <c r="AU76" s="134"/>
      <c r="AV76" s="134"/>
      <c r="AW76" s="31">
        <f>$A$41</f>
        <v>20182</v>
      </c>
      <c r="AX76" s="21"/>
      <c r="AY76" s="21"/>
      <c r="AZ76" s="21"/>
      <c r="BA76" s="21"/>
      <c r="BB76" s="21"/>
      <c r="BC76" s="21"/>
      <c r="BD76" s="134"/>
      <c r="BE76" s="134"/>
      <c r="BF76" s="134"/>
      <c r="BG76" s="134"/>
      <c r="BH76" s="134"/>
      <c r="BI76" s="31">
        <f>$A$41</f>
        <v>20182</v>
      </c>
      <c r="BJ76" s="21"/>
      <c r="BK76" s="21"/>
      <c r="BL76" s="21"/>
      <c r="BM76" s="21"/>
      <c r="BN76" s="21"/>
      <c r="BO76" s="21"/>
      <c r="BP76" s="134"/>
      <c r="BQ76" s="134"/>
      <c r="BR76" s="134"/>
      <c r="BS76" s="134"/>
      <c r="BT76" s="134"/>
      <c r="BU76" s="31">
        <f>$A$41</f>
        <v>20182</v>
      </c>
      <c r="BV76" s="21"/>
      <c r="BW76" s="21"/>
      <c r="BX76" s="21"/>
      <c r="BY76" s="21"/>
      <c r="BZ76" s="21"/>
      <c r="CA76" s="21"/>
      <c r="CB76" s="134"/>
      <c r="CC76" s="134"/>
      <c r="CD76" s="134"/>
      <c r="CE76" s="134"/>
      <c r="CF76" s="134"/>
      <c r="CG76" s="31">
        <f>$A$41</f>
        <v>20182</v>
      </c>
      <c r="CH76" s="21"/>
      <c r="CI76" s="21"/>
      <c r="CJ76" s="21"/>
      <c r="CK76" s="21"/>
      <c r="CL76" s="21"/>
      <c r="CM76" s="21"/>
      <c r="CN76" s="134"/>
      <c r="CO76" s="134"/>
      <c r="CP76" s="134"/>
      <c r="CQ76" s="134"/>
      <c r="CR76" s="134"/>
      <c r="CS76" s="31">
        <f>$A$41</f>
        <v>20182</v>
      </c>
      <c r="CT76" s="21"/>
      <c r="CU76" s="21"/>
      <c r="CV76" s="21"/>
      <c r="CW76" s="21"/>
      <c r="CX76" s="21"/>
      <c r="CY76" s="21"/>
      <c r="CZ76" s="134"/>
      <c r="DA76" s="134"/>
      <c r="DB76" s="134"/>
      <c r="DC76" s="134"/>
      <c r="DD76" s="134"/>
      <c r="DE76" s="31">
        <f>$A$41</f>
        <v>20182</v>
      </c>
      <c r="DF76" s="21"/>
      <c r="DG76" s="21"/>
      <c r="DH76" s="21"/>
      <c r="DI76" s="21"/>
      <c r="DJ76" s="21"/>
      <c r="DK76" s="21"/>
      <c r="DL76" s="134"/>
      <c r="DM76" s="134"/>
      <c r="DN76" s="134"/>
      <c r="DO76" s="134"/>
      <c r="DP76" s="134"/>
    </row>
    <row r="77" spans="1:120" ht="15" customHeight="1" x14ac:dyDescent="0.25">
      <c r="A77" s="31">
        <f>$A$42</f>
        <v>20192</v>
      </c>
      <c r="B77" s="21"/>
      <c r="C77" s="21">
        <v>384343110.62</v>
      </c>
      <c r="D77" s="21">
        <v>561223590.40999997</v>
      </c>
      <c r="E77" s="21">
        <v>590378716.42999995</v>
      </c>
      <c r="F77" s="21">
        <v>611757076.28999996</v>
      </c>
      <c r="G77" s="134"/>
      <c r="H77" s="134"/>
      <c r="I77" s="134"/>
      <c r="J77" s="134"/>
      <c r="K77" s="134"/>
      <c r="L77" s="134"/>
      <c r="M77" s="31">
        <f>$A$42</f>
        <v>20192</v>
      </c>
      <c r="N77" s="21"/>
      <c r="O77" s="21">
        <v>31972750.989999998</v>
      </c>
      <c r="P77" s="21">
        <v>43716412.43</v>
      </c>
      <c r="Q77" s="21">
        <v>45614561.850000001</v>
      </c>
      <c r="R77" s="21">
        <v>46682186.130000003</v>
      </c>
      <c r="S77" s="134"/>
      <c r="T77" s="134"/>
      <c r="U77" s="134"/>
      <c r="V77" s="134"/>
      <c r="W77" s="134"/>
      <c r="X77" s="134"/>
      <c r="Y77" s="31">
        <f>$A$42</f>
        <v>20192</v>
      </c>
      <c r="Z77" s="21"/>
      <c r="AA77" s="21">
        <v>41256268.240000002</v>
      </c>
      <c r="AB77" s="21">
        <v>54023286.82</v>
      </c>
      <c r="AC77" s="21">
        <v>55121510.359999999</v>
      </c>
      <c r="AD77" s="21">
        <v>55621998.600000001</v>
      </c>
      <c r="AE77" s="134"/>
      <c r="AF77" s="134"/>
      <c r="AG77" s="134"/>
      <c r="AH77" s="134"/>
      <c r="AI77" s="134"/>
      <c r="AJ77" s="134"/>
      <c r="AK77" s="31">
        <f>$A$42</f>
        <v>20192</v>
      </c>
      <c r="AL77" s="21"/>
      <c r="AM77" s="21"/>
      <c r="AN77" s="21"/>
      <c r="AO77" s="21"/>
      <c r="AP77" s="21"/>
      <c r="AQ77" s="134"/>
      <c r="AR77" s="134"/>
      <c r="AS77" s="134"/>
      <c r="AT77" s="134"/>
      <c r="AU77" s="134"/>
      <c r="AV77" s="134"/>
      <c r="AW77" s="31">
        <f>$A$42</f>
        <v>20192</v>
      </c>
      <c r="AX77" s="21"/>
      <c r="AY77" s="21"/>
      <c r="AZ77" s="21"/>
      <c r="BA77" s="21"/>
      <c r="BB77" s="21"/>
      <c r="BC77" s="134"/>
      <c r="BD77" s="134"/>
      <c r="BE77" s="134"/>
      <c r="BF77" s="134"/>
      <c r="BG77" s="134"/>
      <c r="BH77" s="134"/>
      <c r="BI77" s="31">
        <f>$A$42</f>
        <v>20192</v>
      </c>
      <c r="BJ77" s="21"/>
      <c r="BK77" s="21"/>
      <c r="BL77" s="21"/>
      <c r="BM77" s="21"/>
      <c r="BN77" s="21"/>
      <c r="BO77" s="134"/>
      <c r="BP77" s="134"/>
      <c r="BQ77" s="134"/>
      <c r="BR77" s="134"/>
      <c r="BS77" s="134"/>
      <c r="BT77" s="134"/>
      <c r="BU77" s="31">
        <f>$A$42</f>
        <v>20192</v>
      </c>
      <c r="BV77" s="21"/>
      <c r="BW77" s="21"/>
      <c r="BX77" s="21"/>
      <c r="BY77" s="21"/>
      <c r="BZ77" s="21"/>
      <c r="CA77" s="134"/>
      <c r="CB77" s="134"/>
      <c r="CC77" s="134"/>
      <c r="CD77" s="134"/>
      <c r="CE77" s="134"/>
      <c r="CF77" s="134"/>
      <c r="CG77" s="31">
        <f>$A$42</f>
        <v>20192</v>
      </c>
      <c r="CH77" s="21"/>
      <c r="CI77" s="21"/>
      <c r="CJ77" s="21"/>
      <c r="CK77" s="21"/>
      <c r="CL77" s="21"/>
      <c r="CM77" s="134"/>
      <c r="CN77" s="134"/>
      <c r="CO77" s="134"/>
      <c r="CP77" s="134"/>
      <c r="CQ77" s="134"/>
      <c r="CR77" s="134"/>
      <c r="CS77" s="31">
        <f>$A$42</f>
        <v>20192</v>
      </c>
      <c r="CT77" s="21"/>
      <c r="CU77" s="21"/>
      <c r="CV77" s="21"/>
      <c r="CW77" s="21"/>
      <c r="CX77" s="21"/>
      <c r="CY77" s="134"/>
      <c r="CZ77" s="134"/>
      <c r="DA77" s="134"/>
      <c r="DB77" s="134"/>
      <c r="DC77" s="134"/>
      <c r="DD77" s="134"/>
      <c r="DE77" s="31">
        <f>$A$42</f>
        <v>20192</v>
      </c>
      <c r="DF77" s="21"/>
      <c r="DG77" s="21"/>
      <c r="DH77" s="21"/>
      <c r="DI77" s="21"/>
      <c r="DJ77" s="21"/>
      <c r="DK77" s="134"/>
      <c r="DL77" s="134"/>
      <c r="DM77" s="134"/>
      <c r="DN77" s="134"/>
      <c r="DO77" s="134"/>
      <c r="DP77" s="134"/>
    </row>
    <row r="78" spans="1:120" ht="15" customHeight="1" x14ac:dyDescent="0.25">
      <c r="A78" s="31">
        <f>$A$43</f>
        <v>20202</v>
      </c>
      <c r="B78" s="21"/>
      <c r="C78" s="21">
        <v>366649877.05000001</v>
      </c>
      <c r="D78" s="21">
        <v>531990870.41000003</v>
      </c>
      <c r="E78" s="21">
        <v>574150736.98000002</v>
      </c>
      <c r="F78" s="134"/>
      <c r="G78" s="134"/>
      <c r="H78" s="134"/>
      <c r="I78" s="134"/>
      <c r="J78" s="134"/>
      <c r="K78" s="134"/>
      <c r="L78" s="134"/>
      <c r="M78" s="31">
        <f>$A$43</f>
        <v>20202</v>
      </c>
      <c r="N78" s="21"/>
      <c r="O78" s="21">
        <v>27011270.879999999</v>
      </c>
      <c r="P78" s="21">
        <v>36051659.140000001</v>
      </c>
      <c r="Q78" s="21">
        <v>39128719.25</v>
      </c>
      <c r="R78" s="134"/>
      <c r="S78" s="134"/>
      <c r="T78" s="134"/>
      <c r="U78" s="134"/>
      <c r="V78" s="134"/>
      <c r="W78" s="134"/>
      <c r="X78" s="134"/>
      <c r="Y78" s="31">
        <f>$A$43</f>
        <v>20202</v>
      </c>
      <c r="Z78" s="21"/>
      <c r="AA78" s="21">
        <v>41376888.07</v>
      </c>
      <c r="AB78" s="21">
        <v>54962768.140000001</v>
      </c>
      <c r="AC78" s="21">
        <v>57474974</v>
      </c>
      <c r="AD78" s="134"/>
      <c r="AE78" s="134"/>
      <c r="AF78" s="134"/>
      <c r="AG78" s="134"/>
      <c r="AH78" s="134"/>
      <c r="AI78" s="134"/>
      <c r="AJ78" s="134"/>
      <c r="AK78" s="31">
        <f>$A$43</f>
        <v>20202</v>
      </c>
      <c r="AL78" s="21"/>
      <c r="AM78" s="21"/>
      <c r="AN78" s="21"/>
      <c r="AO78" s="21"/>
      <c r="AP78" s="134"/>
      <c r="AQ78" s="134"/>
      <c r="AR78" s="134"/>
      <c r="AS78" s="134"/>
      <c r="AT78" s="134"/>
      <c r="AU78" s="134"/>
      <c r="AV78" s="134"/>
      <c r="AW78" s="31">
        <f>$A$43</f>
        <v>20202</v>
      </c>
      <c r="AX78" s="21"/>
      <c r="AY78" s="21"/>
      <c r="AZ78" s="21"/>
      <c r="BA78" s="21"/>
      <c r="BB78" s="134"/>
      <c r="BC78" s="134"/>
      <c r="BD78" s="134"/>
      <c r="BE78" s="134"/>
      <c r="BF78" s="134"/>
      <c r="BG78" s="134"/>
      <c r="BH78" s="134"/>
      <c r="BI78" s="31">
        <f>$A$43</f>
        <v>20202</v>
      </c>
      <c r="BJ78" s="21"/>
      <c r="BK78" s="21"/>
      <c r="BL78" s="21"/>
      <c r="BM78" s="21"/>
      <c r="BN78" s="134"/>
      <c r="BO78" s="134"/>
      <c r="BP78" s="134"/>
      <c r="BQ78" s="134"/>
      <c r="BR78" s="134"/>
      <c r="BS78" s="134"/>
      <c r="BT78" s="134"/>
      <c r="BU78" s="31">
        <f>$A$43</f>
        <v>20202</v>
      </c>
      <c r="BV78" s="21"/>
      <c r="BW78" s="21"/>
      <c r="BX78" s="21"/>
      <c r="BY78" s="21"/>
      <c r="BZ78" s="134"/>
      <c r="CA78" s="134"/>
      <c r="CB78" s="134"/>
      <c r="CC78" s="134"/>
      <c r="CD78" s="134"/>
      <c r="CE78" s="134"/>
      <c r="CF78" s="134"/>
      <c r="CG78" s="31">
        <f>$A$43</f>
        <v>20202</v>
      </c>
      <c r="CH78" s="21"/>
      <c r="CI78" s="21"/>
      <c r="CJ78" s="21"/>
      <c r="CK78" s="21"/>
      <c r="CL78" s="134"/>
      <c r="CM78" s="134"/>
      <c r="CN78" s="134"/>
      <c r="CO78" s="134"/>
      <c r="CP78" s="134"/>
      <c r="CQ78" s="134"/>
      <c r="CR78" s="134"/>
      <c r="CS78" s="31">
        <f>$A$43</f>
        <v>20202</v>
      </c>
      <c r="CT78" s="21"/>
      <c r="CU78" s="21"/>
      <c r="CV78" s="21"/>
      <c r="CW78" s="21"/>
      <c r="CX78" s="134"/>
      <c r="CY78" s="134"/>
      <c r="CZ78" s="134"/>
      <c r="DA78" s="134"/>
      <c r="DB78" s="134"/>
      <c r="DC78" s="134"/>
      <c r="DD78" s="134"/>
      <c r="DE78" s="31">
        <f>$A$43</f>
        <v>20202</v>
      </c>
      <c r="DF78" s="21"/>
      <c r="DG78" s="21"/>
      <c r="DH78" s="21"/>
      <c r="DI78" s="21"/>
      <c r="DJ78" s="134"/>
      <c r="DK78" s="134"/>
      <c r="DL78" s="134"/>
      <c r="DM78" s="134"/>
      <c r="DN78" s="134"/>
      <c r="DO78" s="134"/>
      <c r="DP78" s="134"/>
    </row>
    <row r="79" spans="1:120" ht="15" customHeight="1" x14ac:dyDescent="0.25">
      <c r="A79" s="31">
        <f>$A$44</f>
        <v>20212</v>
      </c>
      <c r="B79" s="21"/>
      <c r="C79" s="21">
        <v>445340290.22000003</v>
      </c>
      <c r="D79" s="21">
        <v>658943190.75</v>
      </c>
      <c r="E79" s="134"/>
      <c r="F79" s="134"/>
      <c r="G79" s="134"/>
      <c r="H79" s="134"/>
      <c r="I79" s="134"/>
      <c r="J79" s="134"/>
      <c r="K79" s="134"/>
      <c r="L79" s="134"/>
      <c r="M79" s="31">
        <f>$A$44</f>
        <v>20212</v>
      </c>
      <c r="N79" s="21"/>
      <c r="O79" s="21">
        <v>26061490.780000001</v>
      </c>
      <c r="P79" s="21">
        <v>38572003.729999997</v>
      </c>
      <c r="Q79" s="134"/>
      <c r="R79" s="134"/>
      <c r="S79" s="134"/>
      <c r="T79" s="134"/>
      <c r="U79" s="134"/>
      <c r="V79" s="134"/>
      <c r="W79" s="134"/>
      <c r="X79" s="134"/>
      <c r="Y79" s="31">
        <f>$A$44</f>
        <v>20212</v>
      </c>
      <c r="Z79" s="21"/>
      <c r="AA79" s="21">
        <v>42471632.119999997</v>
      </c>
      <c r="AB79" s="21">
        <v>59554531.07</v>
      </c>
      <c r="AC79" s="134"/>
      <c r="AD79" s="134"/>
      <c r="AE79" s="134"/>
      <c r="AF79" s="134"/>
      <c r="AG79" s="134"/>
      <c r="AH79" s="134"/>
      <c r="AI79" s="134"/>
      <c r="AJ79" s="134"/>
      <c r="AK79" s="31">
        <f>$A$44</f>
        <v>20212</v>
      </c>
      <c r="AL79" s="21"/>
      <c r="AM79" s="21"/>
      <c r="AN79" s="21"/>
      <c r="AO79" s="134"/>
      <c r="AP79" s="134"/>
      <c r="AQ79" s="134"/>
      <c r="AR79" s="134"/>
      <c r="AS79" s="134"/>
      <c r="AT79" s="134"/>
      <c r="AU79" s="134"/>
      <c r="AV79" s="134"/>
      <c r="AW79" s="31">
        <f>$A$44</f>
        <v>20212</v>
      </c>
      <c r="AX79" s="21"/>
      <c r="AY79" s="21"/>
      <c r="AZ79" s="21"/>
      <c r="BA79" s="134"/>
      <c r="BB79" s="134"/>
      <c r="BC79" s="134"/>
      <c r="BD79" s="134"/>
      <c r="BE79" s="134"/>
      <c r="BF79" s="134"/>
      <c r="BG79" s="134"/>
      <c r="BH79" s="134"/>
      <c r="BI79" s="31">
        <f>$A$44</f>
        <v>20212</v>
      </c>
      <c r="BJ79" s="21"/>
      <c r="BK79" s="21"/>
      <c r="BL79" s="21"/>
      <c r="BM79" s="134"/>
      <c r="BN79" s="134"/>
      <c r="BO79" s="134"/>
      <c r="BP79" s="134"/>
      <c r="BQ79" s="134"/>
      <c r="BR79" s="134"/>
      <c r="BS79" s="134"/>
      <c r="BT79" s="134"/>
      <c r="BU79" s="31">
        <f>$A$44</f>
        <v>20212</v>
      </c>
      <c r="BV79" s="21"/>
      <c r="BW79" s="21"/>
      <c r="BX79" s="21"/>
      <c r="BY79" s="134"/>
      <c r="BZ79" s="134"/>
      <c r="CA79" s="134"/>
      <c r="CB79" s="134"/>
      <c r="CC79" s="134"/>
      <c r="CD79" s="134"/>
      <c r="CE79" s="134"/>
      <c r="CF79" s="134"/>
      <c r="CG79" s="31">
        <f>$A$44</f>
        <v>20212</v>
      </c>
      <c r="CH79" s="21"/>
      <c r="CI79" s="21"/>
      <c r="CJ79" s="21"/>
      <c r="CK79" s="134"/>
      <c r="CL79" s="134"/>
      <c r="CM79" s="134"/>
      <c r="CN79" s="134"/>
      <c r="CO79" s="134"/>
      <c r="CP79" s="134"/>
      <c r="CQ79" s="134"/>
      <c r="CR79" s="134"/>
      <c r="CS79" s="31">
        <f>$A$44</f>
        <v>20212</v>
      </c>
      <c r="CT79" s="21"/>
      <c r="CU79" s="21"/>
      <c r="CV79" s="21"/>
      <c r="CW79" s="134"/>
      <c r="CX79" s="134"/>
      <c r="CY79" s="134"/>
      <c r="CZ79" s="134"/>
      <c r="DA79" s="134"/>
      <c r="DB79" s="134"/>
      <c r="DC79" s="134"/>
      <c r="DD79" s="134"/>
      <c r="DE79" s="31">
        <f>$A$44</f>
        <v>20212</v>
      </c>
      <c r="DF79" s="21"/>
      <c r="DG79" s="21"/>
      <c r="DH79" s="21"/>
      <c r="DI79" s="134"/>
      <c r="DJ79" s="134"/>
      <c r="DK79" s="134"/>
      <c r="DL79" s="134"/>
      <c r="DM79" s="134"/>
      <c r="DN79" s="134"/>
      <c r="DO79" s="134"/>
      <c r="DP79" s="134"/>
    </row>
    <row r="80" spans="1:120" ht="15" customHeight="1" x14ac:dyDescent="0.25">
      <c r="A80" s="31">
        <f>$A$45</f>
        <v>20222</v>
      </c>
      <c r="B80" s="21"/>
      <c r="C80" s="21">
        <v>565865770.91999996</v>
      </c>
      <c r="D80" s="134"/>
      <c r="E80" s="134"/>
      <c r="F80" s="134"/>
      <c r="G80" s="134"/>
      <c r="H80" s="134"/>
      <c r="I80" s="134"/>
      <c r="J80" s="134"/>
      <c r="K80" s="134"/>
      <c r="L80" s="134"/>
      <c r="M80" s="31">
        <f>$A$45</f>
        <v>20222</v>
      </c>
      <c r="N80" s="21"/>
      <c r="O80" s="21">
        <v>31189903.98</v>
      </c>
      <c r="P80" s="134"/>
      <c r="Q80" s="134"/>
      <c r="R80" s="134"/>
      <c r="S80" s="134"/>
      <c r="T80" s="134"/>
      <c r="U80" s="134"/>
      <c r="V80" s="134"/>
      <c r="W80" s="134"/>
      <c r="X80" s="134"/>
      <c r="Y80" s="31">
        <f>$A$45</f>
        <v>20222</v>
      </c>
      <c r="Z80" s="21"/>
      <c r="AA80" s="21">
        <v>48452032.869999997</v>
      </c>
      <c r="AB80" s="134"/>
      <c r="AC80" s="134"/>
      <c r="AD80" s="134"/>
      <c r="AE80" s="134"/>
      <c r="AF80" s="134"/>
      <c r="AG80" s="134"/>
      <c r="AH80" s="134"/>
      <c r="AI80" s="134"/>
      <c r="AJ80" s="134"/>
      <c r="AK80" s="31">
        <f>$A$45</f>
        <v>20222</v>
      </c>
      <c r="AL80" s="21"/>
      <c r="AM80" s="21"/>
      <c r="AN80" s="134"/>
      <c r="AO80" s="134"/>
      <c r="AP80" s="134"/>
      <c r="AQ80" s="134"/>
      <c r="AR80" s="134"/>
      <c r="AS80" s="134"/>
      <c r="AT80" s="134"/>
      <c r="AU80" s="134"/>
      <c r="AV80" s="134"/>
      <c r="AW80" s="31">
        <f>$A$45</f>
        <v>20222</v>
      </c>
      <c r="AX80" s="21"/>
      <c r="AY80" s="21"/>
      <c r="AZ80" s="134"/>
      <c r="BA80" s="134"/>
      <c r="BB80" s="134"/>
      <c r="BC80" s="134"/>
      <c r="BD80" s="134"/>
      <c r="BE80" s="134"/>
      <c r="BF80" s="134"/>
      <c r="BG80" s="134"/>
      <c r="BH80" s="134"/>
      <c r="BI80" s="31">
        <f>$A$45</f>
        <v>20222</v>
      </c>
      <c r="BJ80" s="21"/>
      <c r="BK80" s="21"/>
      <c r="BL80" s="134"/>
      <c r="BM80" s="134"/>
      <c r="BN80" s="134"/>
      <c r="BO80" s="134"/>
      <c r="BP80" s="134"/>
      <c r="BQ80" s="134"/>
      <c r="BR80" s="134"/>
      <c r="BS80" s="134"/>
      <c r="BT80" s="134"/>
      <c r="BU80" s="31">
        <f>$A$45</f>
        <v>20222</v>
      </c>
      <c r="BV80" s="21"/>
      <c r="BW80" s="21"/>
      <c r="BX80" s="134"/>
      <c r="BY80" s="134"/>
      <c r="BZ80" s="134"/>
      <c r="CA80" s="134"/>
      <c r="CB80" s="134"/>
      <c r="CC80" s="134"/>
      <c r="CD80" s="134"/>
      <c r="CE80" s="134"/>
      <c r="CF80" s="134"/>
      <c r="CG80" s="31">
        <f>$A$45</f>
        <v>20222</v>
      </c>
      <c r="CH80" s="21"/>
      <c r="CI80" s="21"/>
      <c r="CJ80" s="134"/>
      <c r="CK80" s="134"/>
      <c r="CL80" s="134"/>
      <c r="CM80" s="134"/>
      <c r="CN80" s="134"/>
      <c r="CO80" s="134"/>
      <c r="CP80" s="134"/>
      <c r="CQ80" s="134"/>
      <c r="CR80" s="134"/>
      <c r="CS80" s="31">
        <f>$A$45</f>
        <v>20222</v>
      </c>
      <c r="CT80" s="21"/>
      <c r="CU80" s="21"/>
      <c r="CV80" s="134"/>
      <c r="CW80" s="134"/>
      <c r="CX80" s="134"/>
      <c r="CY80" s="134"/>
      <c r="CZ80" s="134"/>
      <c r="DA80" s="134"/>
      <c r="DB80" s="134"/>
      <c r="DC80" s="134"/>
      <c r="DD80" s="134"/>
      <c r="DE80" s="31">
        <f>$A$45</f>
        <v>20222</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Data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Data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Data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Data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Data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Data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Data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Data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Data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20132</v>
      </c>
      <c r="B84" s="105"/>
      <c r="C84" s="90">
        <f>IFERROR(D71/C71,"")</f>
        <v>1.4267844822105125</v>
      </c>
      <c r="D84" s="90">
        <f t="shared" ref="D84:K84" si="194">IFERROR(E71/D71,"")</f>
        <v>1.0582965250812919</v>
      </c>
      <c r="E84" s="90">
        <f t="shared" si="194"/>
        <v>1.0183536899642618</v>
      </c>
      <c r="F84" s="90">
        <f t="shared" si="194"/>
        <v>1.0024341314724234</v>
      </c>
      <c r="G84" s="90">
        <f t="shared" si="194"/>
        <v>1.0022017275179025</v>
      </c>
      <c r="H84" s="90">
        <f t="shared" si="194"/>
        <v>1.0036329505221095</v>
      </c>
      <c r="I84" s="90">
        <f t="shared" si="194"/>
        <v>1.0006170883012664</v>
      </c>
      <c r="J84" s="90">
        <f t="shared" si="194"/>
        <v>0.99985500417439432</v>
      </c>
      <c r="K84" s="90">
        <f t="shared" si="194"/>
        <v>1.0003464618991087</v>
      </c>
      <c r="L84" s="22"/>
      <c r="M84" s="91">
        <f>$A$36</f>
        <v>20132</v>
      </c>
      <c r="N84" s="105"/>
      <c r="O84" s="90">
        <f>IFERROR(P71/O71,"")</f>
        <v>1.4235578206174084</v>
      </c>
      <c r="P84" s="90">
        <f t="shared" ref="P84:W84" si="195">IFERROR(Q71/P71,"")</f>
        <v>1.0768703457363331</v>
      </c>
      <c r="Q84" s="90">
        <f t="shared" si="195"/>
        <v>1.0198601165233419</v>
      </c>
      <c r="R84" s="90">
        <f t="shared" si="195"/>
        <v>1.0127248071775292</v>
      </c>
      <c r="S84" s="90">
        <f t="shared" si="195"/>
        <v>1.0003350876462538</v>
      </c>
      <c r="T84" s="90">
        <f t="shared" si="195"/>
        <v>1.0020666491604768</v>
      </c>
      <c r="U84" s="90">
        <f t="shared" si="195"/>
        <v>0.99999957001874307</v>
      </c>
      <c r="V84" s="90">
        <f t="shared" si="195"/>
        <v>1.0023404225710557</v>
      </c>
      <c r="W84" s="90">
        <f t="shared" si="195"/>
        <v>0.99999900720006829</v>
      </c>
      <c r="X84" s="22"/>
      <c r="Y84" s="91">
        <f>$A$36</f>
        <v>20132</v>
      </c>
      <c r="Z84" s="105"/>
      <c r="AA84" s="90">
        <f>IFERROR(AB71/AA71,"")</f>
        <v>1.2671747013009589</v>
      </c>
      <c r="AB84" s="90">
        <f t="shared" ref="AB84:AI84" si="196">IFERROR(AC71/AB71,"")</f>
        <v>1.0095420810325242</v>
      </c>
      <c r="AC84" s="90">
        <f t="shared" si="196"/>
        <v>0.99072064306007734</v>
      </c>
      <c r="AD84" s="90">
        <f t="shared" si="196"/>
        <v>1.0108579966291911</v>
      </c>
      <c r="AE84" s="90">
        <f t="shared" si="196"/>
        <v>1.0090082156152955</v>
      </c>
      <c r="AF84" s="90">
        <f t="shared" si="196"/>
        <v>1.0055782662350417</v>
      </c>
      <c r="AG84" s="90">
        <f t="shared" si="196"/>
        <v>0.99723441100487631</v>
      </c>
      <c r="AH84" s="90">
        <f t="shared" si="196"/>
        <v>1</v>
      </c>
      <c r="AI84" s="90">
        <f t="shared" si="196"/>
        <v>1</v>
      </c>
      <c r="AJ84" s="22"/>
      <c r="AK84" s="91">
        <f>$A$36</f>
        <v>20132</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20132</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20132</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20132</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20132</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20132</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20132</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20142</v>
      </c>
      <c r="B85" s="105"/>
      <c r="C85" s="90">
        <f t="shared" ref="C85:J92" si="204">IFERROR(D72/C72,"")</f>
        <v>1.3504327131691176</v>
      </c>
      <c r="D85" s="90">
        <f t="shared" si="204"/>
        <v>1.0586672027156439</v>
      </c>
      <c r="E85" s="90">
        <f t="shared" si="204"/>
        <v>1.021997488958672</v>
      </c>
      <c r="F85" s="90">
        <f t="shared" si="204"/>
        <v>1.0051905486719457</v>
      </c>
      <c r="G85" s="90">
        <f t="shared" si="204"/>
        <v>1.0064460251324623</v>
      </c>
      <c r="H85" s="90">
        <f t="shared" si="204"/>
        <v>0.99930234867738421</v>
      </c>
      <c r="I85" s="90">
        <f t="shared" si="204"/>
        <v>1.0011061974373296</v>
      </c>
      <c r="J85" s="90">
        <f t="shared" si="204"/>
        <v>1.0000383095368242</v>
      </c>
      <c r="K85" s="22"/>
      <c r="L85" s="22"/>
      <c r="M85" s="91">
        <f>$A$37</f>
        <v>20142</v>
      </c>
      <c r="N85" s="105"/>
      <c r="O85" s="90">
        <f t="shared" ref="O85:V92" si="205">IFERROR(P72/O72,"")</f>
        <v>1.4246371863666563</v>
      </c>
      <c r="P85" s="90">
        <f t="shared" si="205"/>
        <v>1.0649353598809939</v>
      </c>
      <c r="Q85" s="90">
        <f t="shared" si="205"/>
        <v>1.056003296630406</v>
      </c>
      <c r="R85" s="90">
        <f t="shared" si="205"/>
        <v>1.0115911269985725</v>
      </c>
      <c r="S85" s="90">
        <f t="shared" si="205"/>
        <v>1.0017863797108697</v>
      </c>
      <c r="T85" s="90">
        <f t="shared" si="205"/>
        <v>1.0010733041019859</v>
      </c>
      <c r="U85" s="90">
        <f t="shared" si="205"/>
        <v>1.0001298950030764</v>
      </c>
      <c r="V85" s="90">
        <f t="shared" si="205"/>
        <v>1.0064939066277923</v>
      </c>
      <c r="W85" s="22"/>
      <c r="X85" s="22"/>
      <c r="Y85" s="91">
        <f>$A$37</f>
        <v>20142</v>
      </c>
      <c r="Z85" s="105"/>
      <c r="AA85" s="90">
        <f t="shared" ref="AA85:AH92" si="206">IFERROR(AB72/AA72,"")</f>
        <v>1.24462461506394</v>
      </c>
      <c r="AB85" s="90">
        <f t="shared" si="206"/>
        <v>1.0086175613876678</v>
      </c>
      <c r="AC85" s="90">
        <f t="shared" si="206"/>
        <v>1.0111617531420964</v>
      </c>
      <c r="AD85" s="90">
        <f t="shared" si="206"/>
        <v>0.99992447829298092</v>
      </c>
      <c r="AE85" s="90">
        <f t="shared" si="206"/>
        <v>1.0033386678565048</v>
      </c>
      <c r="AF85" s="90">
        <f t="shared" si="206"/>
        <v>0.99886899947637953</v>
      </c>
      <c r="AG85" s="90">
        <f t="shared" si="206"/>
        <v>1.0023183656502179</v>
      </c>
      <c r="AH85" s="90">
        <f t="shared" si="206"/>
        <v>1.0000980754594642</v>
      </c>
      <c r="AI85" s="22"/>
      <c r="AJ85" s="22"/>
      <c r="AK85" s="91">
        <f>$A$37</f>
        <v>20142</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20142</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20142</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20142</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20142</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20142</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20142</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20152</v>
      </c>
      <c r="B86" s="105"/>
      <c r="C86" s="90">
        <f t="shared" si="204"/>
        <v>1.3605984817178023</v>
      </c>
      <c r="D86" s="90">
        <f t="shared" si="204"/>
        <v>1.0518093290882371</v>
      </c>
      <c r="E86" s="90">
        <f t="shared" si="204"/>
        <v>1.0150912425966747</v>
      </c>
      <c r="F86" s="90">
        <f t="shared" si="204"/>
        <v>1.0129529275935285</v>
      </c>
      <c r="G86" s="90">
        <f t="shared" si="204"/>
        <v>1.0065359100155375</v>
      </c>
      <c r="H86" s="90">
        <f t="shared" si="204"/>
        <v>1.0017821546829915</v>
      </c>
      <c r="I86" s="90">
        <f t="shared" si="204"/>
        <v>1.0019415947529084</v>
      </c>
      <c r="J86" s="22"/>
      <c r="K86" s="22"/>
      <c r="L86" s="22"/>
      <c r="M86" s="91">
        <f>$A$38</f>
        <v>20152</v>
      </c>
      <c r="N86" s="105"/>
      <c r="O86" s="90">
        <f t="shared" si="205"/>
        <v>1.3658600768578275</v>
      </c>
      <c r="P86" s="90">
        <f t="shared" si="205"/>
        <v>1.0972227392084022</v>
      </c>
      <c r="Q86" s="90">
        <f t="shared" si="205"/>
        <v>1.0390291980041684</v>
      </c>
      <c r="R86" s="90">
        <f t="shared" si="205"/>
        <v>1.0104235960437968</v>
      </c>
      <c r="S86" s="90">
        <f t="shared" si="205"/>
        <v>1.0010169356118856</v>
      </c>
      <c r="T86" s="90">
        <f t="shared" si="205"/>
        <v>1.0025141488177038</v>
      </c>
      <c r="U86" s="90">
        <f t="shared" si="205"/>
        <v>1.000127420961435</v>
      </c>
      <c r="V86" s="22"/>
      <c r="W86" s="22"/>
      <c r="X86" s="22"/>
      <c r="Y86" s="91">
        <f>$A$38</f>
        <v>20152</v>
      </c>
      <c r="Z86" s="105"/>
      <c r="AA86" s="90">
        <f t="shared" si="206"/>
        <v>1.251193539280393</v>
      </c>
      <c r="AB86" s="90">
        <f t="shared" si="206"/>
        <v>1.0261078624097446</v>
      </c>
      <c r="AC86" s="90">
        <f t="shared" si="206"/>
        <v>1.0018811438231823</v>
      </c>
      <c r="AD86" s="90">
        <f t="shared" si="206"/>
        <v>0.99649083158353891</v>
      </c>
      <c r="AE86" s="90">
        <f t="shared" si="206"/>
        <v>1.0033433063003692</v>
      </c>
      <c r="AF86" s="90">
        <f t="shared" si="206"/>
        <v>1.0004482122196106</v>
      </c>
      <c r="AG86" s="90">
        <f t="shared" si="206"/>
        <v>1.0002166430501391</v>
      </c>
      <c r="AH86" s="22"/>
      <c r="AI86" s="22"/>
      <c r="AJ86" s="22"/>
      <c r="AK86" s="91">
        <f>$A$38</f>
        <v>20152</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20152</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20152</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20152</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20152</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20152</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20152</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20162</v>
      </c>
      <c r="B87" s="105"/>
      <c r="C87" s="90">
        <f t="shared" si="204"/>
        <v>1.3541188819771288</v>
      </c>
      <c r="D87" s="90">
        <f t="shared" si="204"/>
        <v>1.0583828838626741</v>
      </c>
      <c r="E87" s="90">
        <f t="shared" si="204"/>
        <v>1.0167614031508854</v>
      </c>
      <c r="F87" s="90">
        <f t="shared" si="204"/>
        <v>1.0053150430736812</v>
      </c>
      <c r="G87" s="90">
        <f t="shared" si="204"/>
        <v>1.0045342262587904</v>
      </c>
      <c r="H87" s="90">
        <f t="shared" si="204"/>
        <v>1.0005721515348662</v>
      </c>
      <c r="I87" s="22"/>
      <c r="J87" s="22"/>
      <c r="K87" s="22"/>
      <c r="L87" s="22"/>
      <c r="M87" s="91">
        <f>$A$39</f>
        <v>20162</v>
      </c>
      <c r="N87" s="105"/>
      <c r="O87" s="90">
        <f t="shared" si="205"/>
        <v>1.4544539698847161</v>
      </c>
      <c r="P87" s="90">
        <f t="shared" si="205"/>
        <v>1.0899964998009615</v>
      </c>
      <c r="Q87" s="90">
        <f t="shared" si="205"/>
        <v>1.0413096387622656</v>
      </c>
      <c r="R87" s="90">
        <f t="shared" si="205"/>
        <v>1.0145433018830468</v>
      </c>
      <c r="S87" s="90">
        <f t="shared" si="205"/>
        <v>1.0026934093431279</v>
      </c>
      <c r="T87" s="90">
        <f t="shared" si="205"/>
        <v>1.0036703948183305</v>
      </c>
      <c r="U87" s="22"/>
      <c r="V87" s="22"/>
      <c r="W87" s="22"/>
      <c r="X87" s="22"/>
      <c r="Y87" s="91">
        <f>$A$39</f>
        <v>20162</v>
      </c>
      <c r="Z87" s="105"/>
      <c r="AA87" s="90">
        <f t="shared" si="206"/>
        <v>1.2542189909960995</v>
      </c>
      <c r="AB87" s="90">
        <f t="shared" si="206"/>
        <v>1.0198812630306098</v>
      </c>
      <c r="AC87" s="90">
        <f t="shared" si="206"/>
        <v>0.99941483015543631</v>
      </c>
      <c r="AD87" s="90">
        <f t="shared" si="206"/>
        <v>1.0000891257466806</v>
      </c>
      <c r="AE87" s="90">
        <f t="shared" si="206"/>
        <v>1.0008197980669884</v>
      </c>
      <c r="AF87" s="90">
        <f t="shared" si="206"/>
        <v>1.0000002789454301</v>
      </c>
      <c r="AG87" s="22"/>
      <c r="AH87" s="22"/>
      <c r="AI87" s="22"/>
      <c r="AJ87" s="22"/>
      <c r="AK87" s="91">
        <f>$A$39</f>
        <v>20162</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20162</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20162</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20162</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20162</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20162</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20162</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20172</v>
      </c>
      <c r="B88" s="105"/>
      <c r="C88" s="90">
        <f t="shared" si="204"/>
        <v>1.3234678235192308</v>
      </c>
      <c r="D88" s="90">
        <f t="shared" si="204"/>
        <v>1.0484383252183664</v>
      </c>
      <c r="E88" s="90">
        <f t="shared" si="204"/>
        <v>1.0161044458841721</v>
      </c>
      <c r="F88" s="90">
        <f t="shared" si="204"/>
        <v>1.0087386739187143</v>
      </c>
      <c r="G88" s="90">
        <f t="shared" si="204"/>
        <v>1.0056851095237729</v>
      </c>
      <c r="H88" s="22"/>
      <c r="I88" s="22"/>
      <c r="J88" s="22"/>
      <c r="K88" s="22"/>
      <c r="L88" s="22"/>
      <c r="M88" s="91">
        <f>$A$40</f>
        <v>20172</v>
      </c>
      <c r="N88" s="105"/>
      <c r="O88" s="90">
        <f t="shared" si="205"/>
        <v>1.2899843208681132</v>
      </c>
      <c r="P88" s="90">
        <f t="shared" si="205"/>
        <v>1.0740250106061158</v>
      </c>
      <c r="Q88" s="90">
        <f t="shared" si="205"/>
        <v>1.050491612743178</v>
      </c>
      <c r="R88" s="90">
        <f t="shared" si="205"/>
        <v>1.0144861778942431</v>
      </c>
      <c r="S88" s="90">
        <f t="shared" si="205"/>
        <v>1.0031852226067746</v>
      </c>
      <c r="T88" s="22"/>
      <c r="U88" s="22"/>
      <c r="V88" s="22"/>
      <c r="W88" s="22"/>
      <c r="X88" s="22"/>
      <c r="Y88" s="91">
        <f>$A$40</f>
        <v>20172</v>
      </c>
      <c r="Z88" s="105"/>
      <c r="AA88" s="90">
        <f t="shared" si="206"/>
        <v>1.2503971796706268</v>
      </c>
      <c r="AB88" s="90">
        <f t="shared" si="206"/>
        <v>1.0261789016644443</v>
      </c>
      <c r="AC88" s="90">
        <f t="shared" si="206"/>
        <v>1.0047096462829179</v>
      </c>
      <c r="AD88" s="90">
        <f t="shared" si="206"/>
        <v>1.0034157926414946</v>
      </c>
      <c r="AE88" s="90">
        <f t="shared" si="206"/>
        <v>0.99708060357928363</v>
      </c>
      <c r="AF88" s="22"/>
      <c r="AG88" s="22"/>
      <c r="AH88" s="22"/>
      <c r="AI88" s="22"/>
      <c r="AJ88" s="22"/>
      <c r="AK88" s="91">
        <f>$A$40</f>
        <v>20172</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20172</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20172</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20172</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20172</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20172</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20172</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20182</v>
      </c>
      <c r="B89" s="105"/>
      <c r="C89" s="90">
        <f t="shared" si="204"/>
        <v>1.364754645930141</v>
      </c>
      <c r="D89" s="90">
        <f t="shared" si="204"/>
        <v>1.0626409516484874</v>
      </c>
      <c r="E89" s="90">
        <f t="shared" si="204"/>
        <v>1.0296825272608592</v>
      </c>
      <c r="F89" s="90">
        <f t="shared" si="204"/>
        <v>1.0134302614920669</v>
      </c>
      <c r="G89" s="22"/>
      <c r="H89" s="22"/>
      <c r="I89" s="22"/>
      <c r="J89" s="22"/>
      <c r="K89" s="22"/>
      <c r="L89" s="22"/>
      <c r="M89" s="91">
        <f>$A$41</f>
        <v>20182</v>
      </c>
      <c r="N89" s="105"/>
      <c r="O89" s="90">
        <f t="shared" si="205"/>
        <v>1.4021328405612319</v>
      </c>
      <c r="P89" s="90">
        <f t="shared" si="205"/>
        <v>1.0746336265101721</v>
      </c>
      <c r="Q89" s="90">
        <f t="shared" si="205"/>
        <v>1.0358666910255474</v>
      </c>
      <c r="R89" s="90">
        <f t="shared" si="205"/>
        <v>1.0028141607279839</v>
      </c>
      <c r="S89" s="22"/>
      <c r="T89" s="22"/>
      <c r="U89" s="22"/>
      <c r="V89" s="22"/>
      <c r="W89" s="22"/>
      <c r="X89" s="22"/>
      <c r="Y89" s="91">
        <f>$A$41</f>
        <v>20182</v>
      </c>
      <c r="Z89" s="105"/>
      <c r="AA89" s="90">
        <f t="shared" si="206"/>
        <v>1.3066831410321993</v>
      </c>
      <c r="AB89" s="90">
        <f t="shared" si="206"/>
        <v>1.0356480530215382</v>
      </c>
      <c r="AC89" s="90">
        <f t="shared" si="206"/>
        <v>1.001887298436857</v>
      </c>
      <c r="AD89" s="90">
        <f t="shared" si="206"/>
        <v>1.0138188684439542</v>
      </c>
      <c r="AE89" s="22"/>
      <c r="AF89" s="22"/>
      <c r="AG89" s="22"/>
      <c r="AH89" s="22"/>
      <c r="AI89" s="22"/>
      <c r="AJ89" s="22"/>
      <c r="AK89" s="91">
        <f>$A$41</f>
        <v>20182</v>
      </c>
      <c r="AL89" s="105"/>
      <c r="AM89" s="90" t="str">
        <f t="shared" si="207"/>
        <v/>
      </c>
      <c r="AN89" s="90" t="str">
        <f t="shared" si="207"/>
        <v/>
      </c>
      <c r="AO89" s="90" t="str">
        <f t="shared" si="207"/>
        <v/>
      </c>
      <c r="AP89" s="90" t="str">
        <f t="shared" si="207"/>
        <v/>
      </c>
      <c r="AQ89" s="22"/>
      <c r="AR89" s="22"/>
      <c r="AS89" s="22"/>
      <c r="AT89" s="22"/>
      <c r="AU89" s="22"/>
      <c r="AV89" s="22"/>
      <c r="AW89" s="91">
        <f>$A$41</f>
        <v>20182</v>
      </c>
      <c r="AX89" s="105"/>
      <c r="AY89" s="90" t="str">
        <f t="shared" si="208"/>
        <v/>
      </c>
      <c r="AZ89" s="90" t="str">
        <f t="shared" si="208"/>
        <v/>
      </c>
      <c r="BA89" s="90" t="str">
        <f t="shared" si="208"/>
        <v/>
      </c>
      <c r="BB89" s="90" t="str">
        <f t="shared" si="208"/>
        <v/>
      </c>
      <c r="BC89" s="22"/>
      <c r="BD89" s="22"/>
      <c r="BE89" s="22"/>
      <c r="BF89" s="22"/>
      <c r="BG89" s="22"/>
      <c r="BH89" s="22"/>
      <c r="BI89" s="91">
        <f>$A$41</f>
        <v>20182</v>
      </c>
      <c r="BJ89" s="105"/>
      <c r="BK89" s="90" t="str">
        <f t="shared" si="209"/>
        <v/>
      </c>
      <c r="BL89" s="90" t="str">
        <f t="shared" si="209"/>
        <v/>
      </c>
      <c r="BM89" s="90" t="str">
        <f t="shared" si="209"/>
        <v/>
      </c>
      <c r="BN89" s="90" t="str">
        <f t="shared" si="209"/>
        <v/>
      </c>
      <c r="BO89" s="22"/>
      <c r="BP89" s="22"/>
      <c r="BQ89" s="22"/>
      <c r="BR89" s="22"/>
      <c r="BS89" s="22"/>
      <c r="BT89" s="22"/>
      <c r="BU89" s="91">
        <f>$A$41</f>
        <v>20182</v>
      </c>
      <c r="BV89" s="105"/>
      <c r="BW89" s="90" t="str">
        <f t="shared" si="210"/>
        <v/>
      </c>
      <c r="BX89" s="90" t="str">
        <f t="shared" si="210"/>
        <v/>
      </c>
      <c r="BY89" s="90" t="str">
        <f t="shared" si="210"/>
        <v/>
      </c>
      <c r="BZ89" s="90" t="str">
        <f t="shared" si="210"/>
        <v/>
      </c>
      <c r="CA89" s="22"/>
      <c r="CB89" s="22"/>
      <c r="CC89" s="22"/>
      <c r="CD89" s="22"/>
      <c r="CE89" s="22"/>
      <c r="CF89" s="22"/>
      <c r="CG89" s="91">
        <f>$A$41</f>
        <v>20182</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20182</v>
      </c>
      <c r="CT89" s="105"/>
      <c r="CU89" s="90" t="str">
        <f t="shared" si="212"/>
        <v/>
      </c>
      <c r="CV89" s="90" t="str">
        <f t="shared" si="212"/>
        <v/>
      </c>
      <c r="CW89" s="90" t="str">
        <f t="shared" si="212"/>
        <v/>
      </c>
      <c r="CX89" s="90" t="str">
        <f t="shared" si="212"/>
        <v/>
      </c>
      <c r="CY89" s="22"/>
      <c r="CZ89" s="22"/>
      <c r="DA89" s="22"/>
      <c r="DB89" s="22"/>
      <c r="DC89" s="22"/>
      <c r="DD89" s="22"/>
      <c r="DE89" s="91">
        <f>$A$41</f>
        <v>20182</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20192</v>
      </c>
      <c r="B90" s="105"/>
      <c r="C90" s="90">
        <f t="shared" si="204"/>
        <v>1.4602150393815221</v>
      </c>
      <c r="D90" s="90">
        <f t="shared" si="204"/>
        <v>1.0519492168864477</v>
      </c>
      <c r="E90" s="90">
        <f t="shared" si="204"/>
        <v>1.0362112645070849</v>
      </c>
      <c r="F90" s="22"/>
      <c r="G90" s="22"/>
      <c r="H90" s="22"/>
      <c r="I90" s="22"/>
      <c r="J90" s="22"/>
      <c r="K90" s="22"/>
      <c r="L90" s="22"/>
      <c r="M90" s="91">
        <f>$A$42</f>
        <v>20192</v>
      </c>
      <c r="N90" s="105"/>
      <c r="O90" s="90">
        <f t="shared" si="205"/>
        <v>1.3673021894072557</v>
      </c>
      <c r="P90" s="90">
        <f t="shared" si="205"/>
        <v>1.0434196063787113</v>
      </c>
      <c r="Q90" s="90">
        <f t="shared" si="205"/>
        <v>1.0234053389246793</v>
      </c>
      <c r="R90" s="22"/>
      <c r="S90" s="22"/>
      <c r="T90" s="22"/>
      <c r="U90" s="22"/>
      <c r="V90" s="22"/>
      <c r="W90" s="22"/>
      <c r="X90" s="22"/>
      <c r="Y90" s="91">
        <f>$A$42</f>
        <v>20192</v>
      </c>
      <c r="Z90" s="105"/>
      <c r="AA90" s="90">
        <f t="shared" si="206"/>
        <v>1.3094564565493527</v>
      </c>
      <c r="AB90" s="90">
        <f t="shared" si="206"/>
        <v>1.0203287064642914</v>
      </c>
      <c r="AC90" s="90">
        <f t="shared" si="206"/>
        <v>1.009079726530193</v>
      </c>
      <c r="AD90" s="22"/>
      <c r="AE90" s="22"/>
      <c r="AF90" s="22"/>
      <c r="AG90" s="22"/>
      <c r="AH90" s="22"/>
      <c r="AI90" s="22"/>
      <c r="AJ90" s="22"/>
      <c r="AK90" s="91">
        <f>$A$42</f>
        <v>20192</v>
      </c>
      <c r="AL90" s="105"/>
      <c r="AM90" s="90" t="str">
        <f t="shared" si="207"/>
        <v/>
      </c>
      <c r="AN90" s="90" t="str">
        <f t="shared" si="207"/>
        <v/>
      </c>
      <c r="AO90" s="90" t="str">
        <f t="shared" si="207"/>
        <v/>
      </c>
      <c r="AP90" s="22"/>
      <c r="AQ90" s="22"/>
      <c r="AR90" s="22"/>
      <c r="AS90" s="22"/>
      <c r="AT90" s="22"/>
      <c r="AU90" s="22"/>
      <c r="AV90" s="22"/>
      <c r="AW90" s="91">
        <f>$A$42</f>
        <v>20192</v>
      </c>
      <c r="AX90" s="105"/>
      <c r="AY90" s="90" t="str">
        <f t="shared" si="208"/>
        <v/>
      </c>
      <c r="AZ90" s="90" t="str">
        <f t="shared" si="208"/>
        <v/>
      </c>
      <c r="BA90" s="90" t="str">
        <f t="shared" si="208"/>
        <v/>
      </c>
      <c r="BB90" s="22"/>
      <c r="BC90" s="22"/>
      <c r="BD90" s="22"/>
      <c r="BE90" s="22"/>
      <c r="BF90" s="22"/>
      <c r="BG90" s="22"/>
      <c r="BH90" s="22"/>
      <c r="BI90" s="91">
        <f>$A$42</f>
        <v>20192</v>
      </c>
      <c r="BJ90" s="105"/>
      <c r="BK90" s="90" t="str">
        <f t="shared" si="209"/>
        <v/>
      </c>
      <c r="BL90" s="90" t="str">
        <f t="shared" si="209"/>
        <v/>
      </c>
      <c r="BM90" s="90" t="str">
        <f t="shared" si="209"/>
        <v/>
      </c>
      <c r="BN90" s="22"/>
      <c r="BO90" s="22"/>
      <c r="BP90" s="22"/>
      <c r="BQ90" s="22"/>
      <c r="BR90" s="22"/>
      <c r="BS90" s="22"/>
      <c r="BT90" s="22"/>
      <c r="BU90" s="91">
        <f>$A$42</f>
        <v>20192</v>
      </c>
      <c r="BV90" s="105"/>
      <c r="BW90" s="90" t="str">
        <f t="shared" si="210"/>
        <v/>
      </c>
      <c r="BX90" s="90" t="str">
        <f t="shared" si="210"/>
        <v/>
      </c>
      <c r="BY90" s="90" t="str">
        <f t="shared" si="210"/>
        <v/>
      </c>
      <c r="BZ90" s="22"/>
      <c r="CA90" s="22"/>
      <c r="CB90" s="22"/>
      <c r="CC90" s="22"/>
      <c r="CD90" s="22"/>
      <c r="CE90" s="22"/>
      <c r="CF90" s="22"/>
      <c r="CG90" s="91">
        <f>$A$42</f>
        <v>20192</v>
      </c>
      <c r="CH90" s="105"/>
      <c r="CI90" s="90" t="str">
        <f t="shared" ref="CI90:CK90" si="216">IFERROR(CJ77/CI77,"")</f>
        <v/>
      </c>
      <c r="CJ90" s="90" t="str">
        <f t="shared" si="216"/>
        <v/>
      </c>
      <c r="CK90" s="90" t="str">
        <f t="shared" si="216"/>
        <v/>
      </c>
      <c r="CL90" s="22"/>
      <c r="CM90" s="22"/>
      <c r="CN90" s="22"/>
      <c r="CO90" s="22"/>
      <c r="CP90" s="22"/>
      <c r="CQ90" s="22"/>
      <c r="CR90" s="22"/>
      <c r="CS90" s="91">
        <f>$A$42</f>
        <v>20192</v>
      </c>
      <c r="CT90" s="105"/>
      <c r="CU90" s="90" t="str">
        <f t="shared" si="212"/>
        <v/>
      </c>
      <c r="CV90" s="90" t="str">
        <f t="shared" si="212"/>
        <v/>
      </c>
      <c r="CW90" s="90" t="str">
        <f t="shared" si="212"/>
        <v/>
      </c>
      <c r="CX90" s="22"/>
      <c r="CY90" s="22"/>
      <c r="CZ90" s="22"/>
      <c r="DA90" s="22"/>
      <c r="DB90" s="22"/>
      <c r="DC90" s="22"/>
      <c r="DD90" s="22"/>
      <c r="DE90" s="91">
        <f>$A$42</f>
        <v>20192</v>
      </c>
      <c r="DF90" s="105"/>
      <c r="DG90" s="90" t="str">
        <f t="shared" si="213"/>
        <v/>
      </c>
      <c r="DH90" s="90" t="str">
        <f t="shared" si="213"/>
        <v/>
      </c>
      <c r="DI90" s="90" t="str">
        <f t="shared" si="213"/>
        <v/>
      </c>
      <c r="DJ90" s="22"/>
      <c r="DK90" s="22"/>
      <c r="DL90" s="22"/>
      <c r="DM90" s="22"/>
      <c r="DN90" s="22"/>
      <c r="DO90" s="22"/>
      <c r="DP90" s="22"/>
    </row>
    <row r="91" spans="1:120" x14ac:dyDescent="0.25">
      <c r="A91" s="91">
        <f>$A$43</f>
        <v>20202</v>
      </c>
      <c r="B91" s="105"/>
      <c r="C91" s="90">
        <f>IFERROR(D78/C78,"")</f>
        <v>1.4509506308588029</v>
      </c>
      <c r="D91" s="90">
        <f>IFERROR(E78/D78,"")</f>
        <v>1.0792492294792724</v>
      </c>
      <c r="E91" s="22"/>
      <c r="F91" s="22"/>
      <c r="G91" s="22"/>
      <c r="H91" s="22"/>
      <c r="I91" s="22"/>
      <c r="J91" s="22"/>
      <c r="K91" s="22"/>
      <c r="L91" s="22"/>
      <c r="M91" s="91">
        <f>$A$43</f>
        <v>20202</v>
      </c>
      <c r="N91" s="105"/>
      <c r="O91" s="90">
        <f t="shared" si="205"/>
        <v>1.3346894820374331</v>
      </c>
      <c r="P91" s="90">
        <f t="shared" si="205"/>
        <v>1.0853514147032957</v>
      </c>
      <c r="Q91" s="22"/>
      <c r="R91" s="22"/>
      <c r="S91" s="22"/>
      <c r="T91" s="22"/>
      <c r="U91" s="22"/>
      <c r="V91" s="22"/>
      <c r="W91" s="22"/>
      <c r="X91" s="22"/>
      <c r="Y91" s="91">
        <f>$A$43</f>
        <v>20202</v>
      </c>
      <c r="Z91" s="105"/>
      <c r="AA91" s="90">
        <f t="shared" si="206"/>
        <v>1.3283446557656988</v>
      </c>
      <c r="AB91" s="90">
        <f t="shared" si="206"/>
        <v>1.0457074114899192</v>
      </c>
      <c r="AC91" s="22"/>
      <c r="AD91" s="22"/>
      <c r="AE91" s="22"/>
      <c r="AF91" s="22"/>
      <c r="AG91" s="22"/>
      <c r="AH91" s="22"/>
      <c r="AI91" s="22"/>
      <c r="AJ91" s="22"/>
      <c r="AK91" s="91">
        <f>$A$43</f>
        <v>20202</v>
      </c>
      <c r="AL91" s="105"/>
      <c r="AM91" s="90" t="str">
        <f t="shared" si="207"/>
        <v/>
      </c>
      <c r="AN91" s="90" t="str">
        <f t="shared" si="207"/>
        <v/>
      </c>
      <c r="AO91" s="22"/>
      <c r="AP91" s="22"/>
      <c r="AQ91" s="22"/>
      <c r="AR91" s="22"/>
      <c r="AS91" s="22"/>
      <c r="AT91" s="22"/>
      <c r="AU91" s="22"/>
      <c r="AV91" s="22"/>
      <c r="AW91" s="91">
        <f>$A$43</f>
        <v>20202</v>
      </c>
      <c r="AX91" s="105"/>
      <c r="AY91" s="90" t="str">
        <f t="shared" si="208"/>
        <v/>
      </c>
      <c r="AZ91" s="90" t="str">
        <f t="shared" si="208"/>
        <v/>
      </c>
      <c r="BA91" s="22"/>
      <c r="BB91" s="22"/>
      <c r="BC91" s="22"/>
      <c r="BD91" s="22"/>
      <c r="BE91" s="22"/>
      <c r="BF91" s="22"/>
      <c r="BG91" s="22"/>
      <c r="BH91" s="22"/>
      <c r="BI91" s="91">
        <f>$A$43</f>
        <v>20202</v>
      </c>
      <c r="BJ91" s="105"/>
      <c r="BK91" s="90" t="str">
        <f t="shared" si="209"/>
        <v/>
      </c>
      <c r="BL91" s="90" t="str">
        <f t="shared" si="209"/>
        <v/>
      </c>
      <c r="BM91" s="22"/>
      <c r="BN91" s="22"/>
      <c r="BO91" s="22"/>
      <c r="BP91" s="22"/>
      <c r="BQ91" s="22"/>
      <c r="BR91" s="22"/>
      <c r="BS91" s="22"/>
      <c r="BT91" s="22"/>
      <c r="BU91" s="91">
        <f>$A$43</f>
        <v>20202</v>
      </c>
      <c r="BV91" s="105"/>
      <c r="BW91" s="90" t="str">
        <f t="shared" si="210"/>
        <v/>
      </c>
      <c r="BX91" s="90" t="str">
        <f t="shared" si="210"/>
        <v/>
      </c>
      <c r="BY91" s="22"/>
      <c r="BZ91" s="22"/>
      <c r="CA91" s="22"/>
      <c r="CB91" s="22"/>
      <c r="CC91" s="22"/>
      <c r="CD91" s="22"/>
      <c r="CE91" s="22"/>
      <c r="CF91" s="22"/>
      <c r="CG91" s="91">
        <f>$A$43</f>
        <v>20202</v>
      </c>
      <c r="CH91" s="105"/>
      <c r="CI91" s="90" t="str">
        <f t="shared" ref="CI91:CJ91" si="217">IFERROR(CJ78/CI78,"")</f>
        <v/>
      </c>
      <c r="CJ91" s="90" t="str">
        <f t="shared" si="217"/>
        <v/>
      </c>
      <c r="CK91" s="22"/>
      <c r="CL91" s="22"/>
      <c r="CM91" s="22"/>
      <c r="CN91" s="22"/>
      <c r="CO91" s="22"/>
      <c r="CP91" s="22"/>
      <c r="CQ91" s="22"/>
      <c r="CR91" s="22"/>
      <c r="CS91" s="91">
        <f>$A$43</f>
        <v>20202</v>
      </c>
      <c r="CT91" s="105"/>
      <c r="CU91" s="90" t="str">
        <f t="shared" si="212"/>
        <v/>
      </c>
      <c r="CV91" s="90" t="str">
        <f t="shared" si="212"/>
        <v/>
      </c>
      <c r="CW91" s="22"/>
      <c r="CX91" s="22"/>
      <c r="CY91" s="22"/>
      <c r="CZ91" s="22"/>
      <c r="DA91" s="22"/>
      <c r="DB91" s="22"/>
      <c r="DC91" s="22"/>
      <c r="DD91" s="22"/>
      <c r="DE91" s="91">
        <f>$A$43</f>
        <v>20202</v>
      </c>
      <c r="DF91" s="105"/>
      <c r="DG91" s="90" t="str">
        <f t="shared" si="213"/>
        <v/>
      </c>
      <c r="DH91" s="90" t="str">
        <f t="shared" si="213"/>
        <v/>
      </c>
      <c r="DI91" s="22"/>
      <c r="DJ91" s="22"/>
      <c r="DK91" s="22"/>
      <c r="DL91" s="22"/>
      <c r="DM91" s="22"/>
      <c r="DN91" s="22"/>
      <c r="DO91" s="22"/>
      <c r="DP91" s="22"/>
    </row>
    <row r="92" spans="1:120" x14ac:dyDescent="0.25">
      <c r="A92" s="91">
        <f>$A$44</f>
        <v>20212</v>
      </c>
      <c r="B92" s="105"/>
      <c r="C92" s="90">
        <f t="shared" si="204"/>
        <v>1.4796397389162323</v>
      </c>
      <c r="D92" s="22"/>
      <c r="E92" s="22"/>
      <c r="F92" s="22"/>
      <c r="G92" s="22"/>
      <c r="H92" s="22"/>
      <c r="I92" s="22"/>
      <c r="J92" s="22"/>
      <c r="K92" s="22"/>
      <c r="L92" s="22"/>
      <c r="M92" s="91">
        <f>$A$44</f>
        <v>20212</v>
      </c>
      <c r="N92" s="105"/>
      <c r="O92" s="90">
        <f t="shared" si="205"/>
        <v>1.4800382700900887</v>
      </c>
      <c r="P92" s="22"/>
      <c r="Q92" s="22"/>
      <c r="R92" s="22"/>
      <c r="S92" s="22"/>
      <c r="T92" s="22"/>
      <c r="U92" s="22"/>
      <c r="V92" s="22"/>
      <c r="W92" s="22"/>
      <c r="X92" s="22"/>
      <c r="Y92" s="91">
        <f>$A$44</f>
        <v>20212</v>
      </c>
      <c r="Z92" s="105"/>
      <c r="AA92" s="90">
        <f t="shared" si="206"/>
        <v>1.402219036502617</v>
      </c>
      <c r="AB92" s="22"/>
      <c r="AC92" s="22"/>
      <c r="AD92" s="22"/>
      <c r="AE92" s="22"/>
      <c r="AF92" s="22"/>
      <c r="AG92" s="22"/>
      <c r="AH92" s="22"/>
      <c r="AI92" s="22"/>
      <c r="AJ92" s="22"/>
      <c r="AK92" s="91">
        <f>$A$44</f>
        <v>20212</v>
      </c>
      <c r="AL92" s="105"/>
      <c r="AM92" s="90" t="str">
        <f t="shared" si="207"/>
        <v/>
      </c>
      <c r="AN92" s="22"/>
      <c r="AO92" s="22"/>
      <c r="AP92" s="22"/>
      <c r="AQ92" s="22"/>
      <c r="AR92" s="22"/>
      <c r="AS92" s="22"/>
      <c r="AT92" s="22"/>
      <c r="AU92" s="22"/>
      <c r="AV92" s="22"/>
      <c r="AW92" s="91">
        <f>$A$44</f>
        <v>20212</v>
      </c>
      <c r="AX92" s="105"/>
      <c r="AY92" s="90" t="str">
        <f t="shared" si="208"/>
        <v/>
      </c>
      <c r="AZ92" s="22"/>
      <c r="BA92" s="22"/>
      <c r="BB92" s="22"/>
      <c r="BC92" s="22"/>
      <c r="BD92" s="22"/>
      <c r="BE92" s="22"/>
      <c r="BF92" s="22"/>
      <c r="BG92" s="22"/>
      <c r="BH92" s="22"/>
      <c r="BI92" s="91">
        <f>$A$44</f>
        <v>20212</v>
      </c>
      <c r="BJ92" s="105"/>
      <c r="BK92" s="90" t="str">
        <f t="shared" si="209"/>
        <v/>
      </c>
      <c r="BL92" s="22"/>
      <c r="BM92" s="22"/>
      <c r="BN92" s="22"/>
      <c r="BO92" s="22"/>
      <c r="BP92" s="22"/>
      <c r="BQ92" s="22"/>
      <c r="BR92" s="22"/>
      <c r="BS92" s="22"/>
      <c r="BT92" s="22"/>
      <c r="BU92" s="91">
        <f>$A$44</f>
        <v>20212</v>
      </c>
      <c r="BV92" s="105"/>
      <c r="BW92" s="90" t="str">
        <f t="shared" si="210"/>
        <v/>
      </c>
      <c r="BX92" s="22"/>
      <c r="BY92" s="22"/>
      <c r="BZ92" s="22"/>
      <c r="CA92" s="22"/>
      <c r="CB92" s="22"/>
      <c r="CC92" s="22"/>
      <c r="CD92" s="22"/>
      <c r="CE92" s="22"/>
      <c r="CF92" s="22"/>
      <c r="CG92" s="91">
        <f>$A$44</f>
        <v>20212</v>
      </c>
      <c r="CH92" s="105"/>
      <c r="CI92" s="90" t="str">
        <f t="shared" ref="CI92" si="218">IFERROR(CJ79/CI79,"")</f>
        <v/>
      </c>
      <c r="CJ92" s="22"/>
      <c r="CK92" s="22"/>
      <c r="CL92" s="22"/>
      <c r="CM92" s="22"/>
      <c r="CN92" s="22"/>
      <c r="CO92" s="22"/>
      <c r="CP92" s="22"/>
      <c r="CQ92" s="22"/>
      <c r="CR92" s="22"/>
      <c r="CS92" s="91">
        <f>$A$44</f>
        <v>20212</v>
      </c>
      <c r="CT92" s="105"/>
      <c r="CU92" s="90" t="str">
        <f t="shared" si="212"/>
        <v/>
      </c>
      <c r="CV92" s="22"/>
      <c r="CW92" s="22"/>
      <c r="CX92" s="22"/>
      <c r="CY92" s="22"/>
      <c r="CZ92" s="22"/>
      <c r="DA92" s="22"/>
      <c r="DB92" s="22"/>
      <c r="DC92" s="22"/>
      <c r="DD92" s="22"/>
      <c r="DE92" s="91">
        <f>$A$44</f>
        <v>20212</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1.4646066309049932</v>
      </c>
      <c r="D94" s="93">
        <f>IFERROR(SUM(E76:E78)/SUM(D76:D78),1)</f>
        <v>1.0644720281081976</v>
      </c>
      <c r="E94" s="93">
        <f>IFERROR(SUM(F75:F77)/SUM(E75:E77),1)</f>
        <v>1.0274733483544687</v>
      </c>
      <c r="F94" s="93">
        <f>IFERROR(SUM(G74:G76)/SUM(F74:F76),1)</f>
        <v>1.0091514680370794</v>
      </c>
      <c r="G94" s="93">
        <f>IFERROR(SUM(H73:H75)/SUM(G73:G75),1)</f>
        <v>1.0055468446961582</v>
      </c>
      <c r="H94" s="93">
        <f>IFERROR(SUM(I72:I74)/SUM(H72:H74),1)</f>
        <v>1.0005766427373912</v>
      </c>
      <c r="I94" s="93">
        <f>IFERROR(SUM(J71:J73)/SUM(I71:I73),1)</f>
        <v>1.0012323217164973</v>
      </c>
      <c r="J94" s="93">
        <f>IFERROR(SUM(K71:K72)/SUM(J71:J72),1)</f>
        <v>0.99994568573822296</v>
      </c>
      <c r="K94" s="93">
        <f>IFERROR(SUM(L71:L71)/SUM(K71:K71),1)</f>
        <v>1.0003464618991087</v>
      </c>
      <c r="L94" s="93">
        <v>1</v>
      </c>
      <c r="M94" s="285" t="s">
        <v>37</v>
      </c>
      <c r="N94" s="107"/>
      <c r="O94" s="93">
        <f>IFERROR(SUM(P77:P79)/SUM(O77:O79),1)</f>
        <v>1.3914911159042789</v>
      </c>
      <c r="P94" s="93">
        <f>IFERROR(SUM(Q76:Q78)/SUM(P76:P78),1)</f>
        <v>1.0667469681510637</v>
      </c>
      <c r="Q94" s="93">
        <f>IFERROR(SUM(R75:R77)/SUM(Q75:Q77),1)</f>
        <v>1.0362252441352304</v>
      </c>
      <c r="R94" s="93">
        <f>IFERROR(SUM(S74:S76)/SUM(R74:R76),1)</f>
        <v>1.010308469872006</v>
      </c>
      <c r="S94" s="93">
        <f>IFERROR(SUM(T73:T75)/SUM(S73:S75),1)</f>
        <v>1.0023475126677153</v>
      </c>
      <c r="T94" s="93">
        <f>IFERROR(SUM(U72:U74)/SUM(T72:T74),1)</f>
        <v>1.0024793143973962</v>
      </c>
      <c r="U94" s="93">
        <f>IFERROR(SUM(V71:V73)/SUM(U71:U73),1)</f>
        <v>1.0000877695434069</v>
      </c>
      <c r="V94" s="93">
        <f>IFERROR(SUM(W71:W72)/SUM(V71:V72),1)</f>
        <v>1.004477405660555</v>
      </c>
      <c r="W94" s="93">
        <f>IFERROR(SUM(X71:X71)/SUM(W71:W71),1)</f>
        <v>0.99999900720006829</v>
      </c>
      <c r="X94" s="93">
        <v>1</v>
      </c>
      <c r="Y94" s="285" t="s">
        <v>37</v>
      </c>
      <c r="Z94" s="107"/>
      <c r="AA94" s="93">
        <f>IFERROR(SUM(AB77:AB79)/SUM(AA77:AA79),1)</f>
        <v>1.3471953243764418</v>
      </c>
      <c r="AB94" s="93">
        <f>IFERROR(SUM(AC76:AC78)/SUM(AB76:AB78),1)</f>
        <v>1.0338968773645878</v>
      </c>
      <c r="AC94" s="93">
        <f>IFERROR(SUM(AD75:AD77)/SUM(AC75:AC77),1)</f>
        <v>1.0053423796484675</v>
      </c>
      <c r="AD94" s="93">
        <f>IFERROR(SUM(AE74:AE76)/SUM(AD74:AD76),1)</f>
        <v>1.005625183540769</v>
      </c>
      <c r="AE94" s="93">
        <f>IFERROR(SUM(AF73:AF75)/SUM(AE73:AE75),1)</f>
        <v>1.0001763670162507</v>
      </c>
      <c r="AF94" s="93">
        <f>IFERROR(SUM(AG72:AG74)/SUM(AF72:AF74),1)</f>
        <v>0.99981331752426483</v>
      </c>
      <c r="AG94" s="93">
        <f>IFERROR(SUM(AH71:AH73)/SUM(AG71:AG73),1)</f>
        <v>0.99990447839279506</v>
      </c>
      <c r="AH94" s="93">
        <f>IFERROR(SUM(AI71:AI72)/SUM(AH71:AH72),1)</f>
        <v>1.0000483609255189</v>
      </c>
      <c r="AI94" s="93">
        <f>IFERROR(SUM(AJ71:AJ71)/SUM(AI71:AI71),1)</f>
        <v>1</v>
      </c>
      <c r="AJ94" s="93">
        <v>1</v>
      </c>
      <c r="AK94" s="285"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5"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5"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5"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1.4646066309049932</v>
      </c>
      <c r="D95" s="93">
        <f t="shared" ref="D95:K95" si="219">IF(D94=0,1,D94)</f>
        <v>1.0644720281081976</v>
      </c>
      <c r="E95" s="93">
        <f t="shared" si="219"/>
        <v>1.0274733483544687</v>
      </c>
      <c r="F95" s="93">
        <f t="shared" si="219"/>
        <v>1.0091514680370794</v>
      </c>
      <c r="G95" s="93">
        <f t="shared" si="219"/>
        <v>1.0055468446961582</v>
      </c>
      <c r="H95" s="93">
        <f t="shared" si="219"/>
        <v>1.0005766427373912</v>
      </c>
      <c r="I95" s="93">
        <f t="shared" si="219"/>
        <v>1.0012323217164973</v>
      </c>
      <c r="J95" s="93">
        <f t="shared" si="219"/>
        <v>0.99994568573822296</v>
      </c>
      <c r="K95" s="93">
        <f t="shared" si="219"/>
        <v>1.0003464618991087</v>
      </c>
      <c r="L95" s="93">
        <f>IF(L94=0,1,L94)</f>
        <v>1</v>
      </c>
      <c r="M95" s="285" t="s">
        <v>40</v>
      </c>
      <c r="N95" s="107"/>
      <c r="O95" s="93">
        <f>IF(O94=0,1,O94)</f>
        <v>1.3914911159042789</v>
      </c>
      <c r="P95" s="93">
        <f t="shared" ref="P95:W95" si="220">IF(P94=0,1,P94)</f>
        <v>1.0667469681510637</v>
      </c>
      <c r="Q95" s="93">
        <f t="shared" si="220"/>
        <v>1.0362252441352304</v>
      </c>
      <c r="R95" s="93">
        <f t="shared" si="220"/>
        <v>1.010308469872006</v>
      </c>
      <c r="S95" s="93">
        <f t="shared" si="220"/>
        <v>1.0023475126677153</v>
      </c>
      <c r="T95" s="93">
        <f t="shared" si="220"/>
        <v>1.0024793143973962</v>
      </c>
      <c r="U95" s="93">
        <f t="shared" si="220"/>
        <v>1.0000877695434069</v>
      </c>
      <c r="V95" s="93">
        <f t="shared" si="220"/>
        <v>1.004477405660555</v>
      </c>
      <c r="W95" s="93">
        <f t="shared" si="220"/>
        <v>0.99999900720006829</v>
      </c>
      <c r="X95" s="93">
        <f>IF(X94=0,1,X94)</f>
        <v>1</v>
      </c>
      <c r="Y95" s="285" t="s">
        <v>40</v>
      </c>
      <c r="Z95" s="107"/>
      <c r="AA95" s="93">
        <f>IF(AA94=0,1,AA94)</f>
        <v>1.3471953243764418</v>
      </c>
      <c r="AB95" s="93">
        <f t="shared" ref="AB95:AI95" si="221">IF(AB94=0,1,AB94)</f>
        <v>1.0338968773645878</v>
      </c>
      <c r="AC95" s="93">
        <f t="shared" si="221"/>
        <v>1.0053423796484675</v>
      </c>
      <c r="AD95" s="93">
        <f t="shared" si="221"/>
        <v>1.005625183540769</v>
      </c>
      <c r="AE95" s="93">
        <f t="shared" si="221"/>
        <v>1.0001763670162507</v>
      </c>
      <c r="AF95" s="93">
        <f t="shared" si="221"/>
        <v>0.99981331752426483</v>
      </c>
      <c r="AG95" s="93">
        <f t="shared" si="221"/>
        <v>0.99990447839279506</v>
      </c>
      <c r="AH95" s="93">
        <f t="shared" si="221"/>
        <v>1.0000483609255189</v>
      </c>
      <c r="AI95" s="93">
        <f t="shared" si="221"/>
        <v>1</v>
      </c>
      <c r="AJ95" s="93">
        <f>IF(AJ94=0,1,AJ94)</f>
        <v>1</v>
      </c>
      <c r="AK95" s="285"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5"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5"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5"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1.6289079846007588</v>
      </c>
      <c r="D96" s="113">
        <f>PRODUCT(D95:L95)</f>
        <v>1.1121812166002842</v>
      </c>
      <c r="E96" s="113">
        <f>PRODUCT(E95:L95)</f>
        <v>1.044819579314711</v>
      </c>
      <c r="F96" s="113">
        <f>PRODUCT(F95:L95)</f>
        <v>1.0168824145054691</v>
      </c>
      <c r="G96" s="113">
        <f>PRODUCT(G95:L95)</f>
        <v>1.0076608385492687</v>
      </c>
      <c r="H96" s="113">
        <f>PRODUCT(H95:L95)</f>
        <v>1.0021023325410059</v>
      </c>
      <c r="I96" s="113">
        <f>PRODUCT(I95:L95)</f>
        <v>1.001524810532695</v>
      </c>
      <c r="J96" s="113">
        <f>PRODUCT(J95:L95)</f>
        <v>1.0002921288195095</v>
      </c>
      <c r="K96" s="113">
        <f>PRODUCT(K95:L95)</f>
        <v>1.0003464618991087</v>
      </c>
      <c r="L96" s="114">
        <f>PRODUCT(L95:L95)</f>
        <v>1</v>
      </c>
      <c r="M96" s="111" t="s">
        <v>39</v>
      </c>
      <c r="N96" s="115"/>
      <c r="O96" s="113">
        <f>PRODUCT(O95:X95)</f>
        <v>1.5686339545229557</v>
      </c>
      <c r="P96" s="113">
        <f>PRODUCT(P95:X95)</f>
        <v>1.1273043259809523</v>
      </c>
      <c r="Q96" s="113">
        <f>PRODUCT(Q95:X95)</f>
        <v>1.0567682493017527</v>
      </c>
      <c r="R96" s="113">
        <f>PRODUCT(R95:X95)</f>
        <v>1.0198248453053909</v>
      </c>
      <c r="S96" s="113">
        <f>PRODUCT(S95:X95)</f>
        <v>1.0094192770991919</v>
      </c>
      <c r="T96" s="113">
        <f>PRODUCT(T95:X95)</f>
        <v>1.0070552022548107</v>
      </c>
      <c r="U96" s="113">
        <f>PRODUCT(U95:X95)</f>
        <v>1.0045645708511848</v>
      </c>
      <c r="V96" s="113">
        <f>PRODUCT(V95:X95)</f>
        <v>1.0044764084154552</v>
      </c>
      <c r="W96" s="113">
        <f>PRODUCT(W95:X95)</f>
        <v>0.99999900720006829</v>
      </c>
      <c r="X96" s="114">
        <f>PRODUCT(X95:X95)</f>
        <v>1</v>
      </c>
      <c r="Y96" s="111" t="s">
        <v>39</v>
      </c>
      <c r="Z96" s="115"/>
      <c r="AA96" s="113">
        <f>PRODUCT(AA95:AJ95)</f>
        <v>1.4080981997188204</v>
      </c>
      <c r="AB96" s="113">
        <f>PRODUCT(AB95:AJ95)</f>
        <v>1.0452071605656501</v>
      </c>
      <c r="AC96" s="113">
        <f>PRODUCT(AC95:AJ95)</f>
        <v>1.0109394693500695</v>
      </c>
      <c r="AD96" s="113">
        <f>PRODUCT(AD95:AJ95)</f>
        <v>1.0055673468212478</v>
      </c>
      <c r="AE96" s="113">
        <f>PRODUCT(AE95:AJ95)</f>
        <v>0.99994248680276954</v>
      </c>
      <c r="AF96" s="113">
        <f>PRODUCT(AF95:AJ95)</f>
        <v>0.99976616102800064</v>
      </c>
      <c r="AG96" s="113">
        <f>PRODUCT(AG95:AJ95)</f>
        <v>0.99995283469880059</v>
      </c>
      <c r="AH96" s="113">
        <f>PRODUCT(AH95:AJ95)</f>
        <v>1.0000483609255189</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921743272.46385181</v>
      </c>
      <c r="D97" s="99">
        <f>D96*D79</f>
        <v>732864239.55880821</v>
      </c>
      <c r="E97" s="99">
        <f>E96*E78</f>
        <v>599883931.47467494</v>
      </c>
      <c r="F97" s="99">
        <f>F96*F77</f>
        <v>622085012.82858169</v>
      </c>
      <c r="G97" s="99">
        <f>G96*G76</f>
        <v>508465306.21890545</v>
      </c>
      <c r="H97" s="99">
        <f>H96*H75</f>
        <v>565780354.89008117</v>
      </c>
      <c r="I97" s="99">
        <f>I96*I74</f>
        <v>501384132.76964808</v>
      </c>
      <c r="J97" s="99">
        <f>J96*J73</f>
        <v>436022731.63688755</v>
      </c>
      <c r="K97" s="99">
        <f>K96*K72</f>
        <v>409396820.38460523</v>
      </c>
      <c r="L97" s="99">
        <f>L96*L71</f>
        <v>418088709.38999999</v>
      </c>
      <c r="M97" s="95" t="s">
        <v>41</v>
      </c>
      <c r="N97" s="106"/>
      <c r="O97" s="99">
        <f>O96*O80</f>
        <v>48925542.421338677</v>
      </c>
      <c r="P97" s="99">
        <f>P96*P79</f>
        <v>43482386.666582428</v>
      </c>
      <c r="Q97" s="99">
        <f>Q96*Q78</f>
        <v>41349988.139242291</v>
      </c>
      <c r="R97" s="99">
        <f>R96*R77</f>
        <v>47607653.248544715</v>
      </c>
      <c r="S97" s="99">
        <f>S96*S76</f>
        <v>49873817.625246339</v>
      </c>
      <c r="T97" s="99">
        <f>T96*T75</f>
        <v>45418464.326210037</v>
      </c>
      <c r="U97" s="99">
        <f>U96*U74</f>
        <v>44590517.169270925</v>
      </c>
      <c r="V97" s="99">
        <f>V96*V73</f>
        <v>40094545.507532537</v>
      </c>
      <c r="W97" s="99">
        <f>W96*W72</f>
        <v>38747589.281357817</v>
      </c>
      <c r="X97" s="99">
        <f>X96*X71</f>
        <v>36412133.960000001</v>
      </c>
      <c r="Y97" s="95" t="s">
        <v>41</v>
      </c>
      <c r="Z97" s="106"/>
      <c r="AA97" s="99">
        <f>AA96*AA80</f>
        <v>68225220.256964102</v>
      </c>
      <c r="AB97" s="99">
        <f>AB96*AB79</f>
        <v>62246822.318493485</v>
      </c>
      <c r="AC97" s="99">
        <f>AC96*AC78</f>
        <v>58103719.716469042</v>
      </c>
      <c r="AD97" s="99">
        <f>AD96*AD77</f>
        <v>55931665.557097159</v>
      </c>
      <c r="AE97" s="99">
        <f>AE96*AE76</f>
        <v>50370801.197551571</v>
      </c>
      <c r="AF97" s="99">
        <f>AF96*AF75</f>
        <v>55048022.706193276</v>
      </c>
      <c r="AG97" s="99">
        <f>AG96*AG74</f>
        <v>51620579.804966621</v>
      </c>
      <c r="AH97" s="99">
        <f>AH96*AH73</f>
        <v>43677870.260082521</v>
      </c>
      <c r="AI97" s="99">
        <f>AI96*AI72</f>
        <v>39616444.789999999</v>
      </c>
      <c r="AJ97" s="99">
        <f>AJ96*AJ71</f>
        <v>40721303.950000003</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Homeowners Multiple Peril</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Renters</v>
      </c>
      <c r="N102" s="69"/>
      <c r="O102" s="18"/>
      <c r="P102" s="18"/>
      <c r="Q102" s="18"/>
      <c r="R102" s="18"/>
      <c r="S102" s="18"/>
      <c r="T102" s="18"/>
      <c r="U102" s="18"/>
      <c r="V102" s="18"/>
      <c r="W102" s="18"/>
      <c r="X102" s="18"/>
      <c r="Y102" s="138" t="str">
        <f>Y$5</f>
        <v>Condominium Unitowners</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Data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Data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Data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Data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Data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Data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Data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Data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Data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20132</v>
      </c>
      <c r="B106" s="21"/>
      <c r="C106" s="21">
        <v>2214915.87</v>
      </c>
      <c r="D106" s="21">
        <v>6901772.5599999996</v>
      </c>
      <c r="E106" s="21">
        <v>11912880.85</v>
      </c>
      <c r="F106" s="21">
        <v>15661946.76</v>
      </c>
      <c r="G106" s="21">
        <v>18134782.539999999</v>
      </c>
      <c r="H106" s="21">
        <v>19223155.260000002</v>
      </c>
      <c r="I106" s="21">
        <v>19615820.02</v>
      </c>
      <c r="J106" s="21">
        <v>19841223.039999999</v>
      </c>
      <c r="K106" s="21">
        <v>20121114.579999998</v>
      </c>
      <c r="L106" s="21">
        <v>20363675.420000002</v>
      </c>
      <c r="M106" s="31">
        <f>$A$36</f>
        <v>20132</v>
      </c>
      <c r="N106" s="21"/>
      <c r="O106" s="21">
        <v>294661.98</v>
      </c>
      <c r="P106" s="21">
        <v>908790.3</v>
      </c>
      <c r="Q106" s="21">
        <v>1353064.22</v>
      </c>
      <c r="R106" s="21">
        <v>1660428.99</v>
      </c>
      <c r="S106" s="21">
        <v>1871032.9</v>
      </c>
      <c r="T106" s="21">
        <v>2062019.25</v>
      </c>
      <c r="U106" s="21">
        <v>2222208.85</v>
      </c>
      <c r="V106" s="21">
        <v>2319141.12</v>
      </c>
      <c r="W106" s="21">
        <v>2336486.3199999998</v>
      </c>
      <c r="X106" s="21">
        <v>2337956.3199999998</v>
      </c>
      <c r="Y106" s="31">
        <f>$A$36</f>
        <v>20132</v>
      </c>
      <c r="Z106" s="21"/>
      <c r="AA106" s="21">
        <v>170337.64</v>
      </c>
      <c r="AB106" s="21">
        <v>499785.76</v>
      </c>
      <c r="AC106" s="21">
        <v>850963.88</v>
      </c>
      <c r="AD106" s="21">
        <v>1198193.25</v>
      </c>
      <c r="AE106" s="21">
        <v>1493316.81</v>
      </c>
      <c r="AF106" s="21">
        <v>1628026.44</v>
      </c>
      <c r="AG106" s="21">
        <v>1698797.03</v>
      </c>
      <c r="AH106" s="21">
        <v>1717048.98</v>
      </c>
      <c r="AI106" s="21">
        <v>1717048.98</v>
      </c>
      <c r="AJ106" s="21">
        <v>1712249.28</v>
      </c>
      <c r="AK106" s="31">
        <f>$A$36</f>
        <v>20132</v>
      </c>
      <c r="AL106" s="21"/>
      <c r="AM106" s="21"/>
      <c r="AN106" s="21"/>
      <c r="AO106" s="21"/>
      <c r="AP106" s="21"/>
      <c r="AQ106" s="21"/>
      <c r="AR106" s="21"/>
      <c r="AS106" s="21"/>
      <c r="AT106" s="21"/>
      <c r="AU106" s="21"/>
      <c r="AV106" s="21"/>
      <c r="AW106" s="31">
        <f>$A$36</f>
        <v>20132</v>
      </c>
      <c r="AX106" s="21"/>
      <c r="AY106" s="21"/>
      <c r="AZ106" s="21"/>
      <c r="BA106" s="21"/>
      <c r="BB106" s="21"/>
      <c r="BC106" s="21"/>
      <c r="BD106" s="21"/>
      <c r="BE106" s="21"/>
      <c r="BF106" s="21"/>
      <c r="BG106" s="21"/>
      <c r="BH106" s="21"/>
      <c r="BI106" s="31">
        <f>$A$36</f>
        <v>20132</v>
      </c>
      <c r="BJ106" s="21"/>
      <c r="BK106" s="21"/>
      <c r="BL106" s="21"/>
      <c r="BM106" s="21"/>
      <c r="BN106" s="21"/>
      <c r="BO106" s="21"/>
      <c r="BP106" s="21"/>
      <c r="BQ106" s="21"/>
      <c r="BR106" s="21"/>
      <c r="BS106" s="21"/>
      <c r="BT106" s="21"/>
      <c r="BU106" s="31">
        <f>$A$36</f>
        <v>20132</v>
      </c>
      <c r="BV106" s="21"/>
      <c r="BW106" s="21"/>
      <c r="BX106" s="21"/>
      <c r="BY106" s="21"/>
      <c r="BZ106" s="21"/>
      <c r="CA106" s="21"/>
      <c r="CB106" s="21"/>
      <c r="CC106" s="21"/>
      <c r="CD106" s="21"/>
      <c r="CE106" s="21"/>
      <c r="CF106" s="21"/>
      <c r="CG106" s="31">
        <f>$A$36</f>
        <v>20132</v>
      </c>
      <c r="CH106" s="21"/>
      <c r="CI106" s="21"/>
      <c r="CJ106" s="21"/>
      <c r="CK106" s="21"/>
      <c r="CL106" s="21"/>
      <c r="CM106" s="21"/>
      <c r="CN106" s="21"/>
      <c r="CO106" s="21"/>
      <c r="CP106" s="21"/>
      <c r="CQ106" s="21"/>
      <c r="CR106" s="21"/>
      <c r="CS106" s="31">
        <f>$A$36</f>
        <v>20132</v>
      </c>
      <c r="CT106" s="21"/>
      <c r="CU106" s="21"/>
      <c r="CV106" s="21"/>
      <c r="CW106" s="21"/>
      <c r="CX106" s="21"/>
      <c r="CY106" s="21"/>
      <c r="CZ106" s="21"/>
      <c r="DA106" s="21"/>
      <c r="DB106" s="21"/>
      <c r="DC106" s="21"/>
      <c r="DD106" s="21"/>
      <c r="DE106" s="31">
        <f>$A$36</f>
        <v>20132</v>
      </c>
      <c r="DF106" s="21"/>
      <c r="DG106" s="21"/>
      <c r="DH106" s="21"/>
      <c r="DI106" s="21"/>
      <c r="DJ106" s="21"/>
      <c r="DK106" s="21"/>
      <c r="DL106" s="21"/>
      <c r="DM106" s="21"/>
      <c r="DN106" s="21"/>
      <c r="DO106" s="21"/>
      <c r="DP106" s="21"/>
    </row>
    <row r="107" spans="1:120" ht="15" customHeight="1" x14ac:dyDescent="0.25">
      <c r="A107" s="31">
        <f>$A$37</f>
        <v>20142</v>
      </c>
      <c r="B107" s="21"/>
      <c r="C107" s="21">
        <v>2274230.1800000002</v>
      </c>
      <c r="D107" s="21">
        <v>6546464.96</v>
      </c>
      <c r="E107" s="21">
        <v>11548524.18</v>
      </c>
      <c r="F107" s="21">
        <v>17198968.710000001</v>
      </c>
      <c r="G107" s="21">
        <v>19731238.719999999</v>
      </c>
      <c r="H107" s="21">
        <v>20755048.989999998</v>
      </c>
      <c r="I107" s="21">
        <v>21081710.640000001</v>
      </c>
      <c r="J107" s="21">
        <v>21302523.239999998</v>
      </c>
      <c r="K107" s="21">
        <v>21507724.559999999</v>
      </c>
      <c r="L107" s="134"/>
      <c r="M107" s="31">
        <f>$A$37</f>
        <v>20142</v>
      </c>
      <c r="N107" s="21"/>
      <c r="O107" s="21">
        <v>253068.63</v>
      </c>
      <c r="P107" s="21">
        <v>844925.89</v>
      </c>
      <c r="Q107" s="21">
        <v>1919736.98</v>
      </c>
      <c r="R107" s="21">
        <v>3482709.29</v>
      </c>
      <c r="S107" s="21">
        <v>3856489.67</v>
      </c>
      <c r="T107" s="21">
        <v>3986015.85</v>
      </c>
      <c r="U107" s="21">
        <v>4066640.16</v>
      </c>
      <c r="V107" s="21">
        <v>4108777.35</v>
      </c>
      <c r="W107" s="21">
        <v>4132462.63</v>
      </c>
      <c r="X107" s="134"/>
      <c r="Y107" s="31">
        <f>$A$37</f>
        <v>20142</v>
      </c>
      <c r="Z107" s="21"/>
      <c r="AA107" s="21">
        <v>216051.81</v>
      </c>
      <c r="AB107" s="21">
        <v>461179.48</v>
      </c>
      <c r="AC107" s="21">
        <v>681853.65</v>
      </c>
      <c r="AD107" s="21">
        <v>883655.22</v>
      </c>
      <c r="AE107" s="21">
        <v>907565.66</v>
      </c>
      <c r="AF107" s="21">
        <v>950363.43</v>
      </c>
      <c r="AG107" s="21">
        <v>984559.9</v>
      </c>
      <c r="AH107" s="21">
        <v>1048772.99</v>
      </c>
      <c r="AI107" s="21">
        <v>1123686</v>
      </c>
      <c r="AJ107" s="134"/>
      <c r="AK107" s="31">
        <f>$A$37</f>
        <v>20142</v>
      </c>
      <c r="AL107" s="21"/>
      <c r="AM107" s="21"/>
      <c r="AN107" s="21"/>
      <c r="AO107" s="21"/>
      <c r="AP107" s="21"/>
      <c r="AQ107" s="21"/>
      <c r="AR107" s="21"/>
      <c r="AS107" s="21"/>
      <c r="AT107" s="21"/>
      <c r="AU107" s="21"/>
      <c r="AV107" s="134"/>
      <c r="AW107" s="31">
        <f>$A$37</f>
        <v>20142</v>
      </c>
      <c r="AX107" s="21"/>
      <c r="AY107" s="21"/>
      <c r="AZ107" s="21"/>
      <c r="BA107" s="21"/>
      <c r="BB107" s="21"/>
      <c r="BC107" s="21"/>
      <c r="BD107" s="21"/>
      <c r="BE107" s="21"/>
      <c r="BF107" s="21"/>
      <c r="BG107" s="21"/>
      <c r="BH107" s="134"/>
      <c r="BI107" s="31">
        <f>$A$37</f>
        <v>20142</v>
      </c>
      <c r="BJ107" s="21"/>
      <c r="BK107" s="21"/>
      <c r="BL107" s="21"/>
      <c r="BM107" s="21"/>
      <c r="BN107" s="21"/>
      <c r="BO107" s="21"/>
      <c r="BP107" s="21"/>
      <c r="BQ107" s="21"/>
      <c r="BR107" s="21"/>
      <c r="BS107" s="21"/>
      <c r="BT107" s="134"/>
      <c r="BU107" s="31">
        <f>$A$37</f>
        <v>20142</v>
      </c>
      <c r="BV107" s="21"/>
      <c r="BW107" s="21"/>
      <c r="BX107" s="21"/>
      <c r="BY107" s="21"/>
      <c r="BZ107" s="21"/>
      <c r="CA107" s="21"/>
      <c r="CB107" s="21"/>
      <c r="CC107" s="21"/>
      <c r="CD107" s="21"/>
      <c r="CE107" s="21"/>
      <c r="CF107" s="134"/>
      <c r="CG107" s="31">
        <f>$A$37</f>
        <v>20142</v>
      </c>
      <c r="CH107" s="21"/>
      <c r="CI107" s="21"/>
      <c r="CJ107" s="21"/>
      <c r="CK107" s="21"/>
      <c r="CL107" s="21"/>
      <c r="CM107" s="21"/>
      <c r="CN107" s="21"/>
      <c r="CO107" s="21"/>
      <c r="CP107" s="21"/>
      <c r="CQ107" s="21"/>
      <c r="CR107" s="134"/>
      <c r="CS107" s="31">
        <f>$A$37</f>
        <v>20142</v>
      </c>
      <c r="CT107" s="21"/>
      <c r="CU107" s="21"/>
      <c r="CV107" s="21"/>
      <c r="CW107" s="21"/>
      <c r="CX107" s="21"/>
      <c r="CY107" s="21"/>
      <c r="CZ107" s="21"/>
      <c r="DA107" s="21"/>
      <c r="DB107" s="21"/>
      <c r="DC107" s="21"/>
      <c r="DD107" s="134"/>
      <c r="DE107" s="31">
        <f>$A$37</f>
        <v>20142</v>
      </c>
      <c r="DF107" s="21"/>
      <c r="DG107" s="21"/>
      <c r="DH107" s="21"/>
      <c r="DI107" s="21"/>
      <c r="DJ107" s="21"/>
      <c r="DK107" s="21"/>
      <c r="DL107" s="21"/>
      <c r="DM107" s="21"/>
      <c r="DN107" s="21"/>
      <c r="DO107" s="21"/>
      <c r="DP107" s="134"/>
    </row>
    <row r="108" spans="1:120" ht="15" customHeight="1" x14ac:dyDescent="0.25">
      <c r="A108" s="31">
        <f>$A$38</f>
        <v>20152</v>
      </c>
      <c r="B108" s="21"/>
      <c r="C108" s="21">
        <v>2333265.41</v>
      </c>
      <c r="D108" s="21">
        <v>6646059.0700000003</v>
      </c>
      <c r="E108" s="21">
        <v>11430396.33</v>
      </c>
      <c r="F108" s="21">
        <v>16588509.52</v>
      </c>
      <c r="G108" s="21">
        <v>20910193.620000001</v>
      </c>
      <c r="H108" s="21">
        <v>23306519.09</v>
      </c>
      <c r="I108" s="21">
        <v>23815130.68</v>
      </c>
      <c r="J108" s="21">
        <v>24091092.32</v>
      </c>
      <c r="K108" s="134"/>
      <c r="L108" s="134"/>
      <c r="M108" s="31">
        <f>$A$38</f>
        <v>20152</v>
      </c>
      <c r="N108" s="21"/>
      <c r="O108" s="21">
        <v>235150.32</v>
      </c>
      <c r="P108" s="21">
        <v>738666</v>
      </c>
      <c r="Q108" s="21">
        <v>1353555.56</v>
      </c>
      <c r="R108" s="21">
        <v>1833410.57</v>
      </c>
      <c r="S108" s="21">
        <v>1962803.1</v>
      </c>
      <c r="T108" s="21">
        <v>2002165.57</v>
      </c>
      <c r="U108" s="21">
        <v>2016178.71</v>
      </c>
      <c r="V108" s="21">
        <v>2020892.63</v>
      </c>
      <c r="W108" s="134"/>
      <c r="X108" s="134"/>
      <c r="Y108" s="31">
        <f>$A$38</f>
        <v>20152</v>
      </c>
      <c r="Z108" s="21"/>
      <c r="AA108" s="21">
        <v>251860.3</v>
      </c>
      <c r="AB108" s="21">
        <v>657685.61</v>
      </c>
      <c r="AC108" s="21">
        <v>894930.9</v>
      </c>
      <c r="AD108" s="21">
        <v>1072567.22</v>
      </c>
      <c r="AE108" s="21">
        <v>1216738.1299999999</v>
      </c>
      <c r="AF108" s="21">
        <v>1351278.14</v>
      </c>
      <c r="AG108" s="21">
        <v>1364686.92</v>
      </c>
      <c r="AH108" s="21">
        <v>1421822.15</v>
      </c>
      <c r="AI108" s="134"/>
      <c r="AJ108" s="134"/>
      <c r="AK108" s="31">
        <f>$A$38</f>
        <v>20152</v>
      </c>
      <c r="AL108" s="21"/>
      <c r="AM108" s="21"/>
      <c r="AN108" s="21"/>
      <c r="AO108" s="21"/>
      <c r="AP108" s="21"/>
      <c r="AQ108" s="21"/>
      <c r="AR108" s="21"/>
      <c r="AS108" s="21"/>
      <c r="AT108" s="21"/>
      <c r="AU108" s="134"/>
      <c r="AV108" s="134"/>
      <c r="AW108" s="31">
        <f>$A$38</f>
        <v>20152</v>
      </c>
      <c r="AX108" s="21"/>
      <c r="AY108" s="21"/>
      <c r="AZ108" s="21"/>
      <c r="BA108" s="21"/>
      <c r="BB108" s="21"/>
      <c r="BC108" s="21"/>
      <c r="BD108" s="21"/>
      <c r="BE108" s="21"/>
      <c r="BF108" s="21"/>
      <c r="BG108" s="134"/>
      <c r="BH108" s="134"/>
      <c r="BI108" s="31">
        <f>$A$38</f>
        <v>20152</v>
      </c>
      <c r="BJ108" s="21"/>
      <c r="BK108" s="21"/>
      <c r="BL108" s="21"/>
      <c r="BM108" s="21"/>
      <c r="BN108" s="21"/>
      <c r="BO108" s="21"/>
      <c r="BP108" s="21"/>
      <c r="BQ108" s="21"/>
      <c r="BR108" s="21"/>
      <c r="BS108" s="134"/>
      <c r="BT108" s="134"/>
      <c r="BU108" s="31">
        <f>$A$38</f>
        <v>20152</v>
      </c>
      <c r="BV108" s="21"/>
      <c r="BW108" s="21"/>
      <c r="BX108" s="21"/>
      <c r="BY108" s="21"/>
      <c r="BZ108" s="21"/>
      <c r="CA108" s="21"/>
      <c r="CB108" s="21"/>
      <c r="CC108" s="21"/>
      <c r="CD108" s="21"/>
      <c r="CE108" s="134"/>
      <c r="CF108" s="134"/>
      <c r="CG108" s="31">
        <f>$A$38</f>
        <v>20152</v>
      </c>
      <c r="CH108" s="21"/>
      <c r="CI108" s="21"/>
      <c r="CJ108" s="21"/>
      <c r="CK108" s="21"/>
      <c r="CL108" s="21"/>
      <c r="CM108" s="21"/>
      <c r="CN108" s="21"/>
      <c r="CO108" s="21"/>
      <c r="CP108" s="21"/>
      <c r="CQ108" s="134"/>
      <c r="CR108" s="134"/>
      <c r="CS108" s="31">
        <f>$A$38</f>
        <v>20152</v>
      </c>
      <c r="CT108" s="21"/>
      <c r="CU108" s="21"/>
      <c r="CV108" s="21"/>
      <c r="CW108" s="21"/>
      <c r="CX108" s="21"/>
      <c r="CY108" s="21"/>
      <c r="CZ108" s="21"/>
      <c r="DA108" s="21"/>
      <c r="DB108" s="21"/>
      <c r="DC108" s="134"/>
      <c r="DD108" s="134"/>
      <c r="DE108" s="31">
        <f>$A$38</f>
        <v>20152</v>
      </c>
      <c r="DF108" s="21"/>
      <c r="DG108" s="21"/>
      <c r="DH108" s="21"/>
      <c r="DI108" s="21"/>
      <c r="DJ108" s="21"/>
      <c r="DK108" s="21"/>
      <c r="DL108" s="21"/>
      <c r="DM108" s="21"/>
      <c r="DN108" s="21"/>
      <c r="DO108" s="134"/>
      <c r="DP108" s="134"/>
    </row>
    <row r="109" spans="1:120" ht="15" customHeight="1" x14ac:dyDescent="0.25">
      <c r="A109" s="31">
        <f>$A$39</f>
        <v>20162</v>
      </c>
      <c r="B109" s="21"/>
      <c r="C109" s="21">
        <v>2984419.24</v>
      </c>
      <c r="D109" s="21">
        <v>7565649.1900000004</v>
      </c>
      <c r="E109" s="21">
        <v>12244147.98</v>
      </c>
      <c r="F109" s="21">
        <v>17638694.489999998</v>
      </c>
      <c r="G109" s="21">
        <v>21437307.120000001</v>
      </c>
      <c r="H109" s="21">
        <v>22935445.969999999</v>
      </c>
      <c r="I109" s="21">
        <v>23640614.210000001</v>
      </c>
      <c r="J109" s="134"/>
      <c r="K109" s="134"/>
      <c r="L109" s="134"/>
      <c r="M109" s="31">
        <f>$A$39</f>
        <v>20162</v>
      </c>
      <c r="N109" s="21"/>
      <c r="O109" s="21">
        <v>308758.87</v>
      </c>
      <c r="P109" s="21">
        <v>855340.13</v>
      </c>
      <c r="Q109" s="21">
        <v>1333380.3799999999</v>
      </c>
      <c r="R109" s="21">
        <v>1826999.1</v>
      </c>
      <c r="S109" s="21">
        <v>2175201.7599999998</v>
      </c>
      <c r="T109" s="21">
        <v>2350347.7999999998</v>
      </c>
      <c r="U109" s="21">
        <v>2389066.6</v>
      </c>
      <c r="V109" s="134"/>
      <c r="W109" s="134"/>
      <c r="X109" s="134"/>
      <c r="Y109" s="31">
        <f>$A$39</f>
        <v>20162</v>
      </c>
      <c r="Z109" s="21"/>
      <c r="AA109" s="21">
        <v>307958.63</v>
      </c>
      <c r="AB109" s="21">
        <v>706880.68</v>
      </c>
      <c r="AC109" s="21">
        <v>1040372.18</v>
      </c>
      <c r="AD109" s="21">
        <v>1303924.82</v>
      </c>
      <c r="AE109" s="21">
        <v>1505057.55</v>
      </c>
      <c r="AF109" s="21">
        <v>1541245.75</v>
      </c>
      <c r="AG109" s="21">
        <v>1542460.44</v>
      </c>
      <c r="AH109" s="134"/>
      <c r="AI109" s="134"/>
      <c r="AJ109" s="134"/>
      <c r="AK109" s="31">
        <f>$A$39</f>
        <v>20162</v>
      </c>
      <c r="AL109" s="21"/>
      <c r="AM109" s="21"/>
      <c r="AN109" s="21"/>
      <c r="AO109" s="21"/>
      <c r="AP109" s="21"/>
      <c r="AQ109" s="21"/>
      <c r="AR109" s="21"/>
      <c r="AS109" s="21"/>
      <c r="AT109" s="134"/>
      <c r="AU109" s="134"/>
      <c r="AV109" s="134"/>
      <c r="AW109" s="31">
        <f>$A$39</f>
        <v>20162</v>
      </c>
      <c r="AX109" s="21"/>
      <c r="AY109" s="21"/>
      <c r="AZ109" s="21"/>
      <c r="BA109" s="21"/>
      <c r="BB109" s="21"/>
      <c r="BC109" s="21"/>
      <c r="BD109" s="21"/>
      <c r="BE109" s="21"/>
      <c r="BF109" s="134"/>
      <c r="BG109" s="134"/>
      <c r="BH109" s="134"/>
      <c r="BI109" s="31">
        <f>$A$39</f>
        <v>20162</v>
      </c>
      <c r="BJ109" s="21"/>
      <c r="BK109" s="21"/>
      <c r="BL109" s="21"/>
      <c r="BM109" s="21"/>
      <c r="BN109" s="21"/>
      <c r="BO109" s="21"/>
      <c r="BP109" s="21"/>
      <c r="BQ109" s="21"/>
      <c r="BR109" s="134"/>
      <c r="BS109" s="134"/>
      <c r="BT109" s="134"/>
      <c r="BU109" s="31">
        <f>$A$39</f>
        <v>20162</v>
      </c>
      <c r="BV109" s="21"/>
      <c r="BW109" s="21"/>
      <c r="BX109" s="21"/>
      <c r="BY109" s="21"/>
      <c r="BZ109" s="21"/>
      <c r="CA109" s="21"/>
      <c r="CB109" s="21"/>
      <c r="CC109" s="21"/>
      <c r="CD109" s="134"/>
      <c r="CE109" s="134"/>
      <c r="CF109" s="134"/>
      <c r="CG109" s="31">
        <f>$A$39</f>
        <v>20162</v>
      </c>
      <c r="CH109" s="21"/>
      <c r="CI109" s="21"/>
      <c r="CJ109" s="21"/>
      <c r="CK109" s="21"/>
      <c r="CL109" s="21"/>
      <c r="CM109" s="21"/>
      <c r="CN109" s="21"/>
      <c r="CO109" s="21"/>
      <c r="CP109" s="134"/>
      <c r="CQ109" s="134"/>
      <c r="CR109" s="134"/>
      <c r="CS109" s="31">
        <f>$A$39</f>
        <v>20162</v>
      </c>
      <c r="CT109" s="21"/>
      <c r="CU109" s="21"/>
      <c r="CV109" s="21"/>
      <c r="CW109" s="21"/>
      <c r="CX109" s="21"/>
      <c r="CY109" s="21"/>
      <c r="CZ109" s="21"/>
      <c r="DA109" s="21"/>
      <c r="DB109" s="134"/>
      <c r="DC109" s="134"/>
      <c r="DD109" s="134"/>
      <c r="DE109" s="31">
        <f>$A$39</f>
        <v>20162</v>
      </c>
      <c r="DF109" s="21"/>
      <c r="DG109" s="21"/>
      <c r="DH109" s="21"/>
      <c r="DI109" s="21"/>
      <c r="DJ109" s="21"/>
      <c r="DK109" s="21"/>
      <c r="DL109" s="21"/>
      <c r="DM109" s="21"/>
      <c r="DN109" s="134"/>
      <c r="DO109" s="134"/>
      <c r="DP109" s="134"/>
    </row>
    <row r="110" spans="1:120" ht="15" customHeight="1" x14ac:dyDescent="0.25">
      <c r="A110" s="31">
        <f>$A$40</f>
        <v>20172</v>
      </c>
      <c r="B110" s="21"/>
      <c r="C110" s="21">
        <v>3401975.62</v>
      </c>
      <c r="D110" s="21">
        <v>7831776.6100000003</v>
      </c>
      <c r="E110" s="21">
        <v>13564885.18</v>
      </c>
      <c r="F110" s="21">
        <v>19414093.719999999</v>
      </c>
      <c r="G110" s="21">
        <v>22861961.760000002</v>
      </c>
      <c r="H110" s="21">
        <v>25172286.739999998</v>
      </c>
      <c r="I110" s="134"/>
      <c r="J110" s="134"/>
      <c r="K110" s="134"/>
      <c r="L110" s="134"/>
      <c r="M110" s="31">
        <f>$A$40</f>
        <v>20172</v>
      </c>
      <c r="N110" s="21"/>
      <c r="O110" s="21">
        <v>364747.42</v>
      </c>
      <c r="P110" s="21">
        <v>827867.85</v>
      </c>
      <c r="Q110" s="21">
        <v>1184645.9099999999</v>
      </c>
      <c r="R110" s="21">
        <v>1425744.48</v>
      </c>
      <c r="S110" s="21">
        <v>1616890.5</v>
      </c>
      <c r="T110" s="21">
        <v>1736528.29</v>
      </c>
      <c r="U110" s="134"/>
      <c r="V110" s="134"/>
      <c r="W110" s="134"/>
      <c r="X110" s="134"/>
      <c r="Y110" s="31">
        <f>$A$40</f>
        <v>20172</v>
      </c>
      <c r="Z110" s="21"/>
      <c r="AA110" s="21">
        <v>305638.92</v>
      </c>
      <c r="AB110" s="21">
        <v>617379.01</v>
      </c>
      <c r="AC110" s="21">
        <v>1186736.3</v>
      </c>
      <c r="AD110" s="21">
        <v>1621075.22</v>
      </c>
      <c r="AE110" s="21">
        <v>1840058.52</v>
      </c>
      <c r="AF110" s="21">
        <v>2069760.45</v>
      </c>
      <c r="AG110" s="134"/>
      <c r="AH110" s="134"/>
      <c r="AI110" s="134"/>
      <c r="AJ110" s="134"/>
      <c r="AK110" s="31">
        <f>$A$40</f>
        <v>20172</v>
      </c>
      <c r="AL110" s="21"/>
      <c r="AM110" s="21"/>
      <c r="AN110" s="21"/>
      <c r="AO110" s="21"/>
      <c r="AP110" s="21"/>
      <c r="AQ110" s="21"/>
      <c r="AR110" s="21"/>
      <c r="AS110" s="134"/>
      <c r="AT110" s="134"/>
      <c r="AU110" s="134"/>
      <c r="AV110" s="134"/>
      <c r="AW110" s="31">
        <f>$A$40</f>
        <v>20172</v>
      </c>
      <c r="AX110" s="21"/>
      <c r="AY110" s="21"/>
      <c r="AZ110" s="21"/>
      <c r="BA110" s="21"/>
      <c r="BB110" s="21"/>
      <c r="BC110" s="21"/>
      <c r="BD110" s="21"/>
      <c r="BE110" s="134"/>
      <c r="BF110" s="134"/>
      <c r="BG110" s="134"/>
      <c r="BH110" s="134"/>
      <c r="BI110" s="31">
        <f>$A$40</f>
        <v>20172</v>
      </c>
      <c r="BJ110" s="21"/>
      <c r="BK110" s="21"/>
      <c r="BL110" s="21"/>
      <c r="BM110" s="21"/>
      <c r="BN110" s="21"/>
      <c r="BO110" s="21"/>
      <c r="BP110" s="21"/>
      <c r="BQ110" s="134"/>
      <c r="BR110" s="134"/>
      <c r="BS110" s="134"/>
      <c r="BT110" s="134"/>
      <c r="BU110" s="31">
        <f>$A$40</f>
        <v>20172</v>
      </c>
      <c r="BV110" s="21"/>
      <c r="BW110" s="21"/>
      <c r="BX110" s="21"/>
      <c r="BY110" s="21"/>
      <c r="BZ110" s="21"/>
      <c r="CA110" s="21"/>
      <c r="CB110" s="21"/>
      <c r="CC110" s="134"/>
      <c r="CD110" s="134"/>
      <c r="CE110" s="134"/>
      <c r="CF110" s="134"/>
      <c r="CG110" s="31">
        <f>$A$40</f>
        <v>20172</v>
      </c>
      <c r="CH110" s="21"/>
      <c r="CI110" s="21"/>
      <c r="CJ110" s="21"/>
      <c r="CK110" s="21"/>
      <c r="CL110" s="21"/>
      <c r="CM110" s="21"/>
      <c r="CN110" s="21"/>
      <c r="CO110" s="134"/>
      <c r="CP110" s="134"/>
      <c r="CQ110" s="134"/>
      <c r="CR110" s="134"/>
      <c r="CS110" s="31">
        <f>$A$40</f>
        <v>20172</v>
      </c>
      <c r="CT110" s="21"/>
      <c r="CU110" s="21"/>
      <c r="CV110" s="21"/>
      <c r="CW110" s="21"/>
      <c r="CX110" s="21"/>
      <c r="CY110" s="21"/>
      <c r="CZ110" s="21"/>
      <c r="DA110" s="134"/>
      <c r="DB110" s="134"/>
      <c r="DC110" s="134"/>
      <c r="DD110" s="134"/>
      <c r="DE110" s="31">
        <f>$A$40</f>
        <v>20172</v>
      </c>
      <c r="DF110" s="21"/>
      <c r="DG110" s="21"/>
      <c r="DH110" s="21"/>
      <c r="DI110" s="21"/>
      <c r="DJ110" s="21"/>
      <c r="DK110" s="21"/>
      <c r="DL110" s="21"/>
      <c r="DM110" s="134"/>
      <c r="DN110" s="134"/>
      <c r="DO110" s="134"/>
      <c r="DP110" s="134"/>
    </row>
    <row r="111" spans="1:120" ht="15" customHeight="1" x14ac:dyDescent="0.25">
      <c r="A111" s="31">
        <f>$A$41</f>
        <v>20182</v>
      </c>
      <c r="B111" s="21"/>
      <c r="C111" s="21">
        <v>3127002.17</v>
      </c>
      <c r="D111" s="21">
        <v>7286339.3300000001</v>
      </c>
      <c r="E111" s="21">
        <v>12091952.439999999</v>
      </c>
      <c r="F111" s="21">
        <v>16776526.24</v>
      </c>
      <c r="G111" s="21">
        <v>20824284</v>
      </c>
      <c r="H111" s="134"/>
      <c r="I111" s="134"/>
      <c r="J111" s="134"/>
      <c r="K111" s="134"/>
      <c r="L111" s="134"/>
      <c r="M111" s="31">
        <f>$A$41</f>
        <v>20182</v>
      </c>
      <c r="N111" s="21"/>
      <c r="O111" s="21">
        <v>321376.28000000003</v>
      </c>
      <c r="P111" s="21">
        <v>1158957.06</v>
      </c>
      <c r="Q111" s="21">
        <v>1544010.56</v>
      </c>
      <c r="R111" s="21">
        <v>1914471.6</v>
      </c>
      <c r="S111" s="21">
        <v>2121084.5699999998</v>
      </c>
      <c r="T111" s="134"/>
      <c r="U111" s="134"/>
      <c r="V111" s="134"/>
      <c r="W111" s="134"/>
      <c r="X111" s="134"/>
      <c r="Y111" s="31">
        <f>$A$41</f>
        <v>20182</v>
      </c>
      <c r="Z111" s="21"/>
      <c r="AA111" s="21">
        <v>349849.51</v>
      </c>
      <c r="AB111" s="21">
        <v>705523.15</v>
      </c>
      <c r="AC111" s="21">
        <v>1036881.06</v>
      </c>
      <c r="AD111" s="21">
        <v>1401528.23</v>
      </c>
      <c r="AE111" s="21">
        <v>1765796.28</v>
      </c>
      <c r="AF111" s="134"/>
      <c r="AG111" s="134"/>
      <c r="AH111" s="134"/>
      <c r="AI111" s="134"/>
      <c r="AJ111" s="134"/>
      <c r="AK111" s="31">
        <f>$A$41</f>
        <v>20182</v>
      </c>
      <c r="AL111" s="21"/>
      <c r="AM111" s="21"/>
      <c r="AN111" s="21"/>
      <c r="AO111" s="21"/>
      <c r="AP111" s="21"/>
      <c r="AQ111" s="21"/>
      <c r="AR111" s="134"/>
      <c r="AS111" s="134"/>
      <c r="AT111" s="134"/>
      <c r="AU111" s="134"/>
      <c r="AV111" s="134"/>
      <c r="AW111" s="31">
        <f>$A$41</f>
        <v>20182</v>
      </c>
      <c r="AX111" s="21"/>
      <c r="AY111" s="21"/>
      <c r="AZ111" s="21"/>
      <c r="BA111" s="21"/>
      <c r="BB111" s="21"/>
      <c r="BC111" s="21"/>
      <c r="BD111" s="134"/>
      <c r="BE111" s="134"/>
      <c r="BF111" s="134"/>
      <c r="BG111" s="134"/>
      <c r="BH111" s="134"/>
      <c r="BI111" s="31">
        <f>$A$41</f>
        <v>20182</v>
      </c>
      <c r="BJ111" s="21"/>
      <c r="BK111" s="21"/>
      <c r="BL111" s="21"/>
      <c r="BM111" s="21"/>
      <c r="BN111" s="21"/>
      <c r="BO111" s="21"/>
      <c r="BP111" s="134"/>
      <c r="BQ111" s="134"/>
      <c r="BR111" s="134"/>
      <c r="BS111" s="134"/>
      <c r="BT111" s="134"/>
      <c r="BU111" s="31">
        <f>$A$41</f>
        <v>20182</v>
      </c>
      <c r="BV111" s="21"/>
      <c r="BW111" s="21"/>
      <c r="BX111" s="21"/>
      <c r="BY111" s="21"/>
      <c r="BZ111" s="21"/>
      <c r="CA111" s="21"/>
      <c r="CB111" s="134"/>
      <c r="CC111" s="134"/>
      <c r="CD111" s="134"/>
      <c r="CE111" s="134"/>
      <c r="CF111" s="134"/>
      <c r="CG111" s="31">
        <f>$A$41</f>
        <v>20182</v>
      </c>
      <c r="CH111" s="21"/>
      <c r="CI111" s="21"/>
      <c r="CJ111" s="21"/>
      <c r="CK111" s="21"/>
      <c r="CL111" s="21"/>
      <c r="CM111" s="21"/>
      <c r="CN111" s="134"/>
      <c r="CO111" s="134"/>
      <c r="CP111" s="134"/>
      <c r="CQ111" s="134"/>
      <c r="CR111" s="134"/>
      <c r="CS111" s="31">
        <f>$A$41</f>
        <v>20182</v>
      </c>
      <c r="CT111" s="21"/>
      <c r="CU111" s="21"/>
      <c r="CV111" s="21"/>
      <c r="CW111" s="21"/>
      <c r="CX111" s="21"/>
      <c r="CY111" s="21"/>
      <c r="CZ111" s="134"/>
      <c r="DA111" s="134"/>
      <c r="DB111" s="134"/>
      <c r="DC111" s="134"/>
      <c r="DD111" s="134"/>
      <c r="DE111" s="31">
        <f>$A$41</f>
        <v>20182</v>
      </c>
      <c r="DF111" s="21"/>
      <c r="DG111" s="21"/>
      <c r="DH111" s="21"/>
      <c r="DI111" s="21"/>
      <c r="DJ111" s="21"/>
      <c r="DK111" s="21"/>
      <c r="DL111" s="134"/>
      <c r="DM111" s="134"/>
      <c r="DN111" s="134"/>
      <c r="DO111" s="134"/>
      <c r="DP111" s="134"/>
    </row>
    <row r="112" spans="1:120" ht="15" customHeight="1" x14ac:dyDescent="0.25">
      <c r="A112" s="31">
        <f>$A$42</f>
        <v>20192</v>
      </c>
      <c r="B112" s="21"/>
      <c r="C112" s="21">
        <v>3000889.84</v>
      </c>
      <c r="D112" s="21">
        <v>8102130.4699999997</v>
      </c>
      <c r="E112" s="21">
        <v>13941192.15</v>
      </c>
      <c r="F112" s="21">
        <v>18845590.620000001</v>
      </c>
      <c r="G112" s="134"/>
      <c r="H112" s="134"/>
      <c r="I112" s="134"/>
      <c r="J112" s="134"/>
      <c r="K112" s="134"/>
      <c r="L112" s="134"/>
      <c r="M112" s="31">
        <f>$A$42</f>
        <v>20192</v>
      </c>
      <c r="N112" s="21"/>
      <c r="O112" s="21">
        <v>307479.11</v>
      </c>
      <c r="P112" s="21">
        <v>864850.21</v>
      </c>
      <c r="Q112" s="21">
        <v>1200989.78</v>
      </c>
      <c r="R112" s="21">
        <v>1399686.81</v>
      </c>
      <c r="S112" s="134"/>
      <c r="T112" s="134"/>
      <c r="U112" s="134"/>
      <c r="V112" s="134"/>
      <c r="W112" s="134"/>
      <c r="X112" s="134"/>
      <c r="Y112" s="31">
        <f>$A$42</f>
        <v>20192</v>
      </c>
      <c r="Z112" s="21"/>
      <c r="AA112" s="21">
        <v>334368.44</v>
      </c>
      <c r="AB112" s="21">
        <v>678826.13</v>
      </c>
      <c r="AC112" s="21">
        <v>1059328.83</v>
      </c>
      <c r="AD112" s="21">
        <v>1423920.69</v>
      </c>
      <c r="AE112" s="134"/>
      <c r="AF112" s="134"/>
      <c r="AG112" s="134"/>
      <c r="AH112" s="134"/>
      <c r="AI112" s="134"/>
      <c r="AJ112" s="134"/>
      <c r="AK112" s="31">
        <f>$A$42</f>
        <v>20192</v>
      </c>
      <c r="AL112" s="21"/>
      <c r="AM112" s="21"/>
      <c r="AN112" s="21"/>
      <c r="AO112" s="21"/>
      <c r="AP112" s="21"/>
      <c r="AQ112" s="134"/>
      <c r="AR112" s="134"/>
      <c r="AS112" s="134"/>
      <c r="AT112" s="134"/>
      <c r="AU112" s="134"/>
      <c r="AV112" s="134"/>
      <c r="AW112" s="31">
        <f>$A$42</f>
        <v>20192</v>
      </c>
      <c r="AX112" s="21"/>
      <c r="AY112" s="21"/>
      <c r="AZ112" s="21"/>
      <c r="BA112" s="21"/>
      <c r="BB112" s="21"/>
      <c r="BC112" s="134"/>
      <c r="BD112" s="134"/>
      <c r="BE112" s="134"/>
      <c r="BF112" s="134"/>
      <c r="BG112" s="134"/>
      <c r="BH112" s="134"/>
      <c r="BI112" s="31">
        <f>$A$42</f>
        <v>20192</v>
      </c>
      <c r="BJ112" s="21"/>
      <c r="BK112" s="21"/>
      <c r="BL112" s="21"/>
      <c r="BM112" s="21"/>
      <c r="BN112" s="21"/>
      <c r="BO112" s="134"/>
      <c r="BP112" s="134"/>
      <c r="BQ112" s="134"/>
      <c r="BR112" s="134"/>
      <c r="BS112" s="134"/>
      <c r="BT112" s="134"/>
      <c r="BU112" s="31">
        <f>$A$42</f>
        <v>20192</v>
      </c>
      <c r="BV112" s="21"/>
      <c r="BW112" s="21"/>
      <c r="BX112" s="21"/>
      <c r="BY112" s="21"/>
      <c r="BZ112" s="21"/>
      <c r="CA112" s="134"/>
      <c r="CB112" s="134"/>
      <c r="CC112" s="134"/>
      <c r="CD112" s="134"/>
      <c r="CE112" s="134"/>
      <c r="CF112" s="134"/>
      <c r="CG112" s="31">
        <f>$A$42</f>
        <v>20192</v>
      </c>
      <c r="CH112" s="21"/>
      <c r="CI112" s="21"/>
      <c r="CJ112" s="21"/>
      <c r="CK112" s="21"/>
      <c r="CL112" s="21"/>
      <c r="CM112" s="134"/>
      <c r="CN112" s="134"/>
      <c r="CO112" s="134"/>
      <c r="CP112" s="134"/>
      <c r="CQ112" s="134"/>
      <c r="CR112" s="134"/>
      <c r="CS112" s="31">
        <f>$A$42</f>
        <v>20192</v>
      </c>
      <c r="CT112" s="21"/>
      <c r="CU112" s="21"/>
      <c r="CV112" s="21"/>
      <c r="CW112" s="21"/>
      <c r="CX112" s="21"/>
      <c r="CY112" s="134"/>
      <c r="CZ112" s="134"/>
      <c r="DA112" s="134"/>
      <c r="DB112" s="134"/>
      <c r="DC112" s="134"/>
      <c r="DD112" s="134"/>
      <c r="DE112" s="31">
        <f>$A$42</f>
        <v>20192</v>
      </c>
      <c r="DF112" s="21"/>
      <c r="DG112" s="21"/>
      <c r="DH112" s="21"/>
      <c r="DI112" s="21"/>
      <c r="DJ112" s="21"/>
      <c r="DK112" s="134"/>
      <c r="DL112" s="134"/>
      <c r="DM112" s="134"/>
      <c r="DN112" s="134"/>
      <c r="DO112" s="134"/>
      <c r="DP112" s="134"/>
    </row>
    <row r="113" spans="1:120" ht="15" customHeight="1" x14ac:dyDescent="0.25">
      <c r="A113" s="31">
        <f>$A$43</f>
        <v>20202</v>
      </c>
      <c r="B113" s="21"/>
      <c r="C113" s="21">
        <v>4348845.3099999996</v>
      </c>
      <c r="D113" s="21">
        <v>9543092.0399999991</v>
      </c>
      <c r="E113" s="21">
        <v>15100705.35</v>
      </c>
      <c r="F113" s="134"/>
      <c r="G113" s="134"/>
      <c r="H113" s="134"/>
      <c r="I113" s="134"/>
      <c r="J113" s="134"/>
      <c r="K113" s="134"/>
      <c r="L113" s="134"/>
      <c r="M113" s="31">
        <f>$A$43</f>
        <v>20202</v>
      </c>
      <c r="N113" s="21"/>
      <c r="O113" s="21">
        <v>361814.29</v>
      </c>
      <c r="P113" s="21">
        <v>741180.7</v>
      </c>
      <c r="Q113" s="21">
        <v>1195216.55</v>
      </c>
      <c r="R113" s="134"/>
      <c r="S113" s="134"/>
      <c r="T113" s="134"/>
      <c r="U113" s="134"/>
      <c r="V113" s="134"/>
      <c r="W113" s="134"/>
      <c r="X113" s="134"/>
      <c r="Y113" s="31">
        <f>$A$43</f>
        <v>20202</v>
      </c>
      <c r="Z113" s="21"/>
      <c r="AA113" s="21">
        <v>442939.66</v>
      </c>
      <c r="AB113" s="21">
        <v>788922.88</v>
      </c>
      <c r="AC113" s="21">
        <v>1216562.52</v>
      </c>
      <c r="AD113" s="134"/>
      <c r="AE113" s="134"/>
      <c r="AF113" s="134"/>
      <c r="AG113" s="134"/>
      <c r="AH113" s="134"/>
      <c r="AI113" s="134"/>
      <c r="AJ113" s="134"/>
      <c r="AK113" s="31">
        <f>$A$43</f>
        <v>20202</v>
      </c>
      <c r="AL113" s="21"/>
      <c r="AM113" s="21"/>
      <c r="AN113" s="21"/>
      <c r="AO113" s="21"/>
      <c r="AP113" s="134"/>
      <c r="AQ113" s="134"/>
      <c r="AR113" s="134"/>
      <c r="AS113" s="134"/>
      <c r="AT113" s="134"/>
      <c r="AU113" s="134"/>
      <c r="AV113" s="134"/>
      <c r="AW113" s="31">
        <f>$A$43</f>
        <v>20202</v>
      </c>
      <c r="AX113" s="21"/>
      <c r="AY113" s="21"/>
      <c r="AZ113" s="21"/>
      <c r="BA113" s="21"/>
      <c r="BB113" s="134"/>
      <c r="BC113" s="134"/>
      <c r="BD113" s="134"/>
      <c r="BE113" s="134"/>
      <c r="BF113" s="134"/>
      <c r="BG113" s="134"/>
      <c r="BH113" s="134"/>
      <c r="BI113" s="31">
        <f>$A$43</f>
        <v>20202</v>
      </c>
      <c r="BJ113" s="21"/>
      <c r="BK113" s="21"/>
      <c r="BL113" s="21"/>
      <c r="BM113" s="21"/>
      <c r="BN113" s="134"/>
      <c r="BO113" s="134"/>
      <c r="BP113" s="134"/>
      <c r="BQ113" s="134"/>
      <c r="BR113" s="134"/>
      <c r="BS113" s="134"/>
      <c r="BT113" s="134"/>
      <c r="BU113" s="31">
        <f>$A$43</f>
        <v>20202</v>
      </c>
      <c r="BV113" s="21"/>
      <c r="BW113" s="21"/>
      <c r="BX113" s="21"/>
      <c r="BY113" s="21"/>
      <c r="BZ113" s="134"/>
      <c r="CA113" s="134"/>
      <c r="CB113" s="134"/>
      <c r="CC113" s="134"/>
      <c r="CD113" s="134"/>
      <c r="CE113" s="134"/>
      <c r="CF113" s="134"/>
      <c r="CG113" s="31">
        <f>$A$43</f>
        <v>20202</v>
      </c>
      <c r="CH113" s="21"/>
      <c r="CI113" s="21"/>
      <c r="CJ113" s="21"/>
      <c r="CK113" s="21"/>
      <c r="CL113" s="134"/>
      <c r="CM113" s="134"/>
      <c r="CN113" s="134"/>
      <c r="CO113" s="134"/>
      <c r="CP113" s="134"/>
      <c r="CQ113" s="134"/>
      <c r="CR113" s="134"/>
      <c r="CS113" s="31">
        <f>$A$43</f>
        <v>20202</v>
      </c>
      <c r="CT113" s="21"/>
      <c r="CU113" s="21"/>
      <c r="CV113" s="21"/>
      <c r="CW113" s="21"/>
      <c r="CX113" s="134"/>
      <c r="CY113" s="134"/>
      <c r="CZ113" s="134"/>
      <c r="DA113" s="134"/>
      <c r="DB113" s="134"/>
      <c r="DC113" s="134"/>
      <c r="DD113" s="134"/>
      <c r="DE113" s="31">
        <f>$A$43</f>
        <v>20202</v>
      </c>
      <c r="DF113" s="21"/>
      <c r="DG113" s="21"/>
      <c r="DH113" s="21"/>
      <c r="DI113" s="21"/>
      <c r="DJ113" s="134"/>
      <c r="DK113" s="134"/>
      <c r="DL113" s="134"/>
      <c r="DM113" s="134"/>
      <c r="DN113" s="134"/>
      <c r="DO113" s="134"/>
      <c r="DP113" s="134"/>
    </row>
    <row r="114" spans="1:120" ht="15" customHeight="1" x14ac:dyDescent="0.25">
      <c r="A114" s="31">
        <f>$A$44</f>
        <v>20212</v>
      </c>
      <c r="B114" s="21"/>
      <c r="C114" s="21">
        <v>6657231.9000000004</v>
      </c>
      <c r="D114" s="21">
        <v>13591504.439999999</v>
      </c>
      <c r="E114" s="134"/>
      <c r="F114" s="134"/>
      <c r="G114" s="134"/>
      <c r="H114" s="134"/>
      <c r="I114" s="134"/>
      <c r="J114" s="134"/>
      <c r="K114" s="134"/>
      <c r="L114" s="134"/>
      <c r="M114" s="31">
        <f>$A$44</f>
        <v>20212</v>
      </c>
      <c r="N114" s="21"/>
      <c r="O114" s="21">
        <v>311535.28000000003</v>
      </c>
      <c r="P114" s="21">
        <v>1039326.05</v>
      </c>
      <c r="Q114" s="134"/>
      <c r="R114" s="134"/>
      <c r="S114" s="134"/>
      <c r="T114" s="134"/>
      <c r="U114" s="134"/>
      <c r="V114" s="134"/>
      <c r="W114" s="134"/>
      <c r="X114" s="134"/>
      <c r="Y114" s="31">
        <f>$A$44</f>
        <v>20212</v>
      </c>
      <c r="Z114" s="21"/>
      <c r="AA114" s="21">
        <v>647434.75</v>
      </c>
      <c r="AB114" s="21">
        <v>1086206.79</v>
      </c>
      <c r="AC114" s="134"/>
      <c r="AD114" s="134"/>
      <c r="AE114" s="134"/>
      <c r="AF114" s="134"/>
      <c r="AG114" s="134"/>
      <c r="AH114" s="134"/>
      <c r="AI114" s="134"/>
      <c r="AJ114" s="134"/>
      <c r="AK114" s="31">
        <f>$A$44</f>
        <v>20212</v>
      </c>
      <c r="AL114" s="21"/>
      <c r="AM114" s="21"/>
      <c r="AN114" s="21"/>
      <c r="AO114" s="134"/>
      <c r="AP114" s="134"/>
      <c r="AQ114" s="134"/>
      <c r="AR114" s="134"/>
      <c r="AS114" s="134"/>
      <c r="AT114" s="134"/>
      <c r="AU114" s="134"/>
      <c r="AV114" s="134"/>
      <c r="AW114" s="31">
        <f>$A$44</f>
        <v>20212</v>
      </c>
      <c r="AX114" s="21"/>
      <c r="AY114" s="21"/>
      <c r="AZ114" s="21"/>
      <c r="BA114" s="134"/>
      <c r="BB114" s="134"/>
      <c r="BC114" s="134"/>
      <c r="BD114" s="134"/>
      <c r="BE114" s="134"/>
      <c r="BF114" s="134"/>
      <c r="BG114" s="134"/>
      <c r="BH114" s="134"/>
      <c r="BI114" s="31">
        <f>$A$44</f>
        <v>20212</v>
      </c>
      <c r="BJ114" s="21"/>
      <c r="BK114" s="21"/>
      <c r="BL114" s="21"/>
      <c r="BM114" s="134"/>
      <c r="BN114" s="134"/>
      <c r="BO114" s="134"/>
      <c r="BP114" s="134"/>
      <c r="BQ114" s="134"/>
      <c r="BR114" s="134"/>
      <c r="BS114" s="134"/>
      <c r="BT114" s="134"/>
      <c r="BU114" s="31">
        <f>$A$44</f>
        <v>20212</v>
      </c>
      <c r="BV114" s="21"/>
      <c r="BW114" s="21"/>
      <c r="BX114" s="21"/>
      <c r="BY114" s="134"/>
      <c r="BZ114" s="134"/>
      <c r="CA114" s="134"/>
      <c r="CB114" s="134"/>
      <c r="CC114" s="134"/>
      <c r="CD114" s="134"/>
      <c r="CE114" s="134"/>
      <c r="CF114" s="134"/>
      <c r="CG114" s="31">
        <f>$A$44</f>
        <v>20212</v>
      </c>
      <c r="CH114" s="21"/>
      <c r="CI114" s="21"/>
      <c r="CJ114" s="21"/>
      <c r="CK114" s="134"/>
      <c r="CL114" s="134"/>
      <c r="CM114" s="134"/>
      <c r="CN114" s="134"/>
      <c r="CO114" s="134"/>
      <c r="CP114" s="134"/>
      <c r="CQ114" s="134"/>
      <c r="CR114" s="134"/>
      <c r="CS114" s="31">
        <f>$A$44</f>
        <v>20212</v>
      </c>
      <c r="CT114" s="21"/>
      <c r="CU114" s="21"/>
      <c r="CV114" s="21"/>
      <c r="CW114" s="134"/>
      <c r="CX114" s="134"/>
      <c r="CY114" s="134"/>
      <c r="CZ114" s="134"/>
      <c r="DA114" s="134"/>
      <c r="DB114" s="134"/>
      <c r="DC114" s="134"/>
      <c r="DD114" s="134"/>
      <c r="DE114" s="31">
        <f>$A$44</f>
        <v>20212</v>
      </c>
      <c r="DF114" s="21"/>
      <c r="DG114" s="21"/>
      <c r="DH114" s="21"/>
      <c r="DI114" s="134"/>
      <c r="DJ114" s="134"/>
      <c r="DK114" s="134"/>
      <c r="DL114" s="134"/>
      <c r="DM114" s="134"/>
      <c r="DN114" s="134"/>
      <c r="DO114" s="134"/>
      <c r="DP114" s="134"/>
    </row>
    <row r="115" spans="1:120" ht="15" customHeight="1" x14ac:dyDescent="0.25">
      <c r="A115" s="31">
        <f>$A$45</f>
        <v>20222</v>
      </c>
      <c r="B115" s="21"/>
      <c r="C115" s="21">
        <v>6326873.7000000002</v>
      </c>
      <c r="D115" s="134"/>
      <c r="E115" s="134"/>
      <c r="F115" s="134"/>
      <c r="G115" s="134"/>
      <c r="H115" s="134"/>
      <c r="I115" s="134"/>
      <c r="J115" s="134"/>
      <c r="K115" s="134"/>
      <c r="L115" s="134"/>
      <c r="M115" s="31">
        <f>$A$45</f>
        <v>20222</v>
      </c>
      <c r="N115" s="21"/>
      <c r="O115" s="21">
        <v>334101.88</v>
      </c>
      <c r="P115" s="134"/>
      <c r="Q115" s="134"/>
      <c r="R115" s="134"/>
      <c r="S115" s="134"/>
      <c r="T115" s="134"/>
      <c r="U115" s="134"/>
      <c r="V115" s="134"/>
      <c r="W115" s="134"/>
      <c r="X115" s="134"/>
      <c r="Y115" s="31">
        <f>$A$45</f>
        <v>20222</v>
      </c>
      <c r="Z115" s="21"/>
      <c r="AA115" s="21">
        <v>742989.87</v>
      </c>
      <c r="AB115" s="134"/>
      <c r="AC115" s="134"/>
      <c r="AD115" s="134"/>
      <c r="AE115" s="134"/>
      <c r="AF115" s="134"/>
      <c r="AG115" s="134"/>
      <c r="AH115" s="134"/>
      <c r="AI115" s="134"/>
      <c r="AJ115" s="134"/>
      <c r="AK115" s="31">
        <f>$A$45</f>
        <v>20222</v>
      </c>
      <c r="AL115" s="21"/>
      <c r="AM115" s="21"/>
      <c r="AN115" s="134"/>
      <c r="AO115" s="134"/>
      <c r="AP115" s="134"/>
      <c r="AQ115" s="134"/>
      <c r="AR115" s="134"/>
      <c r="AS115" s="134"/>
      <c r="AT115" s="134"/>
      <c r="AU115" s="134"/>
      <c r="AV115" s="134"/>
      <c r="AW115" s="31">
        <f>$A$45</f>
        <v>20222</v>
      </c>
      <c r="AX115" s="21"/>
      <c r="AY115" s="21"/>
      <c r="AZ115" s="134"/>
      <c r="BA115" s="134"/>
      <c r="BB115" s="134"/>
      <c r="BC115" s="134"/>
      <c r="BD115" s="134"/>
      <c r="BE115" s="134"/>
      <c r="BF115" s="134"/>
      <c r="BG115" s="134"/>
      <c r="BH115" s="134"/>
      <c r="BI115" s="31">
        <f>$A$45</f>
        <v>20222</v>
      </c>
      <c r="BJ115" s="21"/>
      <c r="BK115" s="21"/>
      <c r="BL115" s="134"/>
      <c r="BM115" s="134"/>
      <c r="BN115" s="134"/>
      <c r="BO115" s="134"/>
      <c r="BP115" s="134"/>
      <c r="BQ115" s="134"/>
      <c r="BR115" s="134"/>
      <c r="BS115" s="134"/>
      <c r="BT115" s="134"/>
      <c r="BU115" s="31">
        <f>$A$45</f>
        <v>20222</v>
      </c>
      <c r="BV115" s="21"/>
      <c r="BW115" s="21"/>
      <c r="BX115" s="134"/>
      <c r="BY115" s="134"/>
      <c r="BZ115" s="134"/>
      <c r="CA115" s="134"/>
      <c r="CB115" s="134"/>
      <c r="CC115" s="134"/>
      <c r="CD115" s="134"/>
      <c r="CE115" s="134"/>
      <c r="CF115" s="134"/>
      <c r="CG115" s="31">
        <f>$A$45</f>
        <v>20222</v>
      </c>
      <c r="CH115" s="21"/>
      <c r="CI115" s="21"/>
      <c r="CJ115" s="134"/>
      <c r="CK115" s="134"/>
      <c r="CL115" s="134"/>
      <c r="CM115" s="134"/>
      <c r="CN115" s="134"/>
      <c r="CO115" s="134"/>
      <c r="CP115" s="134"/>
      <c r="CQ115" s="134"/>
      <c r="CR115" s="134"/>
      <c r="CS115" s="31">
        <f>$A$45</f>
        <v>20222</v>
      </c>
      <c r="CT115" s="21"/>
      <c r="CU115" s="21"/>
      <c r="CV115" s="134"/>
      <c r="CW115" s="134"/>
      <c r="CX115" s="134"/>
      <c r="CY115" s="134"/>
      <c r="CZ115" s="134"/>
      <c r="DA115" s="134"/>
      <c r="DB115" s="134"/>
      <c r="DC115" s="134"/>
      <c r="DD115" s="134"/>
      <c r="DE115" s="31">
        <f>$A$45</f>
        <v>20222</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Data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Data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Data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Data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Data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Data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Data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Data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Data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20132</v>
      </c>
      <c r="B119" s="105"/>
      <c r="C119" s="90">
        <f>IFERROR(D106/C106,"")</f>
        <v>3.1160427596737565</v>
      </c>
      <c r="D119" s="90">
        <f t="shared" ref="D119:K119" si="229">IFERROR(E106/D106,"")</f>
        <v>1.7260610584362694</v>
      </c>
      <c r="E119" s="90">
        <f t="shared" si="229"/>
        <v>1.3147069090345178</v>
      </c>
      <c r="F119" s="90">
        <f t="shared" si="229"/>
        <v>1.157888148765486</v>
      </c>
      <c r="G119" s="90">
        <f t="shared" si="229"/>
        <v>1.0600157579832772</v>
      </c>
      <c r="H119" s="90">
        <f t="shared" si="229"/>
        <v>1.0204266549736019</v>
      </c>
      <c r="I119" s="90">
        <f t="shared" si="229"/>
        <v>1.0114908792887671</v>
      </c>
      <c r="J119" s="90">
        <f t="shared" si="229"/>
        <v>1.0141065668903442</v>
      </c>
      <c r="K119" s="90">
        <f t="shared" si="229"/>
        <v>1.012055039945009</v>
      </c>
      <c r="L119" s="22"/>
      <c r="M119" s="91">
        <f>$A$36</f>
        <v>20132</v>
      </c>
      <c r="N119" s="105"/>
      <c r="O119" s="90">
        <f>IFERROR(P106/O106,"")</f>
        <v>3.0841790311732789</v>
      </c>
      <c r="P119" s="90">
        <f t="shared" ref="P119:W119" si="230">IFERROR(Q106/P106,"")</f>
        <v>1.4888629643164104</v>
      </c>
      <c r="Q119" s="90">
        <f t="shared" si="230"/>
        <v>1.2271619967897756</v>
      </c>
      <c r="R119" s="90">
        <f t="shared" si="230"/>
        <v>1.1268370470934743</v>
      </c>
      <c r="S119" s="90">
        <f t="shared" si="230"/>
        <v>1.102075356344616</v>
      </c>
      <c r="T119" s="90">
        <f t="shared" si="230"/>
        <v>1.077685792700529</v>
      </c>
      <c r="U119" s="90">
        <f t="shared" si="230"/>
        <v>1.04361978398205</v>
      </c>
      <c r="V119" s="90">
        <f t="shared" si="230"/>
        <v>1.0074791481425673</v>
      </c>
      <c r="W119" s="90">
        <f t="shared" si="230"/>
        <v>1.0006291498424009</v>
      </c>
      <c r="X119" s="22"/>
      <c r="Y119" s="91">
        <f>$A$36</f>
        <v>20132</v>
      </c>
      <c r="Z119" s="105"/>
      <c r="AA119" s="90">
        <f>IFERROR(AB106/AA106,"")</f>
        <v>2.9340887897707164</v>
      </c>
      <c r="AB119" s="90">
        <f t="shared" ref="AB119:AI119" si="231">IFERROR(AC106/AB106,"")</f>
        <v>1.7026573146061623</v>
      </c>
      <c r="AC119" s="90">
        <f t="shared" si="231"/>
        <v>1.4080424306610992</v>
      </c>
      <c r="AD119" s="90">
        <f t="shared" si="231"/>
        <v>1.2463071461969928</v>
      </c>
      <c r="AE119" s="90">
        <f t="shared" si="231"/>
        <v>1.0902083396489723</v>
      </c>
      <c r="AF119" s="90">
        <f t="shared" si="231"/>
        <v>1.0434701723886008</v>
      </c>
      <c r="AG119" s="90">
        <f t="shared" si="231"/>
        <v>1.0107440439779907</v>
      </c>
      <c r="AH119" s="90">
        <f t="shared" si="231"/>
        <v>1</v>
      </c>
      <c r="AI119" s="90">
        <f t="shared" si="231"/>
        <v>0.99720468078901281</v>
      </c>
      <c r="AJ119" s="22"/>
      <c r="AK119" s="91">
        <f>$A$36</f>
        <v>20132</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20132</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20132</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20132</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20132</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20132</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20132</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20142</v>
      </c>
      <c r="B120" s="105"/>
      <c r="C120" s="90">
        <f t="shared" ref="C120:J127" si="239">IFERROR(D107/C107,"")</f>
        <v>2.8785410630686465</v>
      </c>
      <c r="D120" s="90">
        <f t="shared" si="239"/>
        <v>1.7640855409084784</v>
      </c>
      <c r="E120" s="90">
        <f t="shared" si="239"/>
        <v>1.4892784949773556</v>
      </c>
      <c r="F120" s="90">
        <f t="shared" si="239"/>
        <v>1.1472338285334318</v>
      </c>
      <c r="G120" s="90">
        <f t="shared" si="239"/>
        <v>1.0518877848739545</v>
      </c>
      <c r="H120" s="90">
        <f t="shared" si="239"/>
        <v>1.0157389004553732</v>
      </c>
      <c r="I120" s="90">
        <f t="shared" si="239"/>
        <v>1.0104741310499268</v>
      </c>
      <c r="J120" s="90">
        <f t="shared" si="239"/>
        <v>1.0096327236772915</v>
      </c>
      <c r="K120" s="22"/>
      <c r="L120" s="22"/>
      <c r="M120" s="91">
        <f>$A$37</f>
        <v>20142</v>
      </c>
      <c r="N120" s="105"/>
      <c r="O120" s="90">
        <f t="shared" ref="O120:V127" si="240">IFERROR(P107/O107,"")</f>
        <v>3.3387223457921276</v>
      </c>
      <c r="P120" s="90">
        <f t="shared" si="240"/>
        <v>2.2720773534351042</v>
      </c>
      <c r="Q120" s="90">
        <f t="shared" si="240"/>
        <v>1.8141596095106738</v>
      </c>
      <c r="R120" s="90">
        <f t="shared" si="240"/>
        <v>1.1073245995791972</v>
      </c>
      <c r="S120" s="90">
        <f t="shared" si="240"/>
        <v>1.0335865491894343</v>
      </c>
      <c r="T120" s="90">
        <f t="shared" si="240"/>
        <v>1.0202267911202612</v>
      </c>
      <c r="U120" s="90">
        <f t="shared" si="240"/>
        <v>1.0103616716360762</v>
      </c>
      <c r="V120" s="90">
        <f t="shared" si="240"/>
        <v>1.0057645566995739</v>
      </c>
      <c r="W120" s="22"/>
      <c r="X120" s="22"/>
      <c r="Y120" s="91">
        <f>$A$37</f>
        <v>20142</v>
      </c>
      <c r="Z120" s="105"/>
      <c r="AA120" s="90">
        <f t="shared" ref="AA120:AH127" si="241">IFERROR(AB107/AA107,"")</f>
        <v>2.1345781828904835</v>
      </c>
      <c r="AB120" s="90">
        <f t="shared" si="241"/>
        <v>1.4784995420871718</v>
      </c>
      <c r="AC120" s="90">
        <f t="shared" si="241"/>
        <v>1.2959602401483075</v>
      </c>
      <c r="AD120" s="90">
        <f t="shared" si="241"/>
        <v>1.027058562501334</v>
      </c>
      <c r="AE120" s="90">
        <f t="shared" si="241"/>
        <v>1.0471566652268443</v>
      </c>
      <c r="AF120" s="90">
        <f t="shared" si="241"/>
        <v>1.0359825188138816</v>
      </c>
      <c r="AG120" s="90">
        <f t="shared" si="241"/>
        <v>1.0652200947854975</v>
      </c>
      <c r="AH120" s="90">
        <f t="shared" si="241"/>
        <v>1.0714291946057841</v>
      </c>
      <c r="AI120" s="22"/>
      <c r="AJ120" s="22"/>
      <c r="AK120" s="91">
        <f>$A$37</f>
        <v>20142</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20142</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20142</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20142</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20142</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20142</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20142</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20152</v>
      </c>
      <c r="B121" s="105"/>
      <c r="C121" s="90">
        <f t="shared" si="239"/>
        <v>2.8483939467477897</v>
      </c>
      <c r="D121" s="90">
        <f t="shared" si="239"/>
        <v>1.7198758255996061</v>
      </c>
      <c r="E121" s="90">
        <f t="shared" si="239"/>
        <v>1.4512628469812647</v>
      </c>
      <c r="F121" s="90">
        <f t="shared" si="239"/>
        <v>1.2605227488816608</v>
      </c>
      <c r="G121" s="90">
        <f t="shared" si="239"/>
        <v>1.1146008264461016</v>
      </c>
      <c r="H121" s="90">
        <f t="shared" si="239"/>
        <v>1.0218227178428472</v>
      </c>
      <c r="I121" s="90">
        <f t="shared" si="239"/>
        <v>1.0115876601186049</v>
      </c>
      <c r="J121" s="22"/>
      <c r="K121" s="22"/>
      <c r="L121" s="22"/>
      <c r="M121" s="91">
        <f>$A$38</f>
        <v>20152</v>
      </c>
      <c r="N121" s="105"/>
      <c r="O121" s="90">
        <f t="shared" si="240"/>
        <v>3.1412502436739187</v>
      </c>
      <c r="P121" s="90">
        <f t="shared" si="240"/>
        <v>1.8324324660942835</v>
      </c>
      <c r="Q121" s="90">
        <f t="shared" si="240"/>
        <v>1.3545144537694485</v>
      </c>
      <c r="R121" s="90">
        <f t="shared" si="240"/>
        <v>1.0705747703854462</v>
      </c>
      <c r="S121" s="90">
        <f t="shared" si="240"/>
        <v>1.020054212264083</v>
      </c>
      <c r="T121" s="90">
        <f t="shared" si="240"/>
        <v>1.0069989915968838</v>
      </c>
      <c r="U121" s="90">
        <f t="shared" si="240"/>
        <v>1.002338046710155</v>
      </c>
      <c r="V121" s="22"/>
      <c r="W121" s="22"/>
      <c r="X121" s="22"/>
      <c r="Y121" s="91">
        <f>$A$38</f>
        <v>20152</v>
      </c>
      <c r="Z121" s="105"/>
      <c r="AA121" s="90">
        <f t="shared" si="241"/>
        <v>2.6113111514597578</v>
      </c>
      <c r="AB121" s="90">
        <f t="shared" si="241"/>
        <v>1.3607275062624526</v>
      </c>
      <c r="AC121" s="90">
        <f t="shared" si="241"/>
        <v>1.1984916600823594</v>
      </c>
      <c r="AD121" s="90">
        <f t="shared" si="241"/>
        <v>1.1344166662113726</v>
      </c>
      <c r="AE121" s="90">
        <f t="shared" si="241"/>
        <v>1.1105743353337665</v>
      </c>
      <c r="AF121" s="90">
        <f t="shared" si="241"/>
        <v>1.0099230347943022</v>
      </c>
      <c r="AG121" s="90">
        <f t="shared" si="241"/>
        <v>1.0418669140611387</v>
      </c>
      <c r="AH121" s="22"/>
      <c r="AI121" s="22"/>
      <c r="AJ121" s="22"/>
      <c r="AK121" s="91">
        <f>$A$38</f>
        <v>20152</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20152</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20152</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20152</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20152</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20152</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20152</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20162</v>
      </c>
      <c r="B122" s="105"/>
      <c r="C122" s="90">
        <f t="shared" si="239"/>
        <v>2.5350490603324216</v>
      </c>
      <c r="D122" s="90">
        <f t="shared" si="239"/>
        <v>1.6183869582776675</v>
      </c>
      <c r="E122" s="90">
        <f t="shared" si="239"/>
        <v>1.4405816165250231</v>
      </c>
      <c r="F122" s="90">
        <f t="shared" si="239"/>
        <v>1.2153567902745621</v>
      </c>
      <c r="G122" s="90">
        <f t="shared" si="239"/>
        <v>1.0698846567628033</v>
      </c>
      <c r="H122" s="90">
        <f t="shared" si="239"/>
        <v>1.0307457827906366</v>
      </c>
      <c r="I122" s="22"/>
      <c r="J122" s="22"/>
      <c r="K122" s="22"/>
      <c r="L122" s="22"/>
      <c r="M122" s="91">
        <f>$A$39</f>
        <v>20162</v>
      </c>
      <c r="N122" s="105"/>
      <c r="O122" s="90">
        <f t="shared" si="240"/>
        <v>2.7702528189716462</v>
      </c>
      <c r="P122" s="90">
        <f t="shared" si="240"/>
        <v>1.5588890702462421</v>
      </c>
      <c r="Q122" s="90">
        <f t="shared" si="240"/>
        <v>1.3702009774585107</v>
      </c>
      <c r="R122" s="90">
        <f t="shared" si="240"/>
        <v>1.1905872093751988</v>
      </c>
      <c r="S122" s="90">
        <f t="shared" si="240"/>
        <v>1.0805194456996026</v>
      </c>
      <c r="T122" s="90">
        <f t="shared" si="240"/>
        <v>1.016473647006626</v>
      </c>
      <c r="U122" s="22"/>
      <c r="V122" s="22"/>
      <c r="W122" s="22"/>
      <c r="X122" s="22"/>
      <c r="Y122" s="91">
        <f>$A$39</f>
        <v>20162</v>
      </c>
      <c r="Z122" s="105"/>
      <c r="AA122" s="90">
        <f t="shared" si="241"/>
        <v>2.2953754535146493</v>
      </c>
      <c r="AB122" s="90">
        <f t="shared" si="241"/>
        <v>1.4717790561201927</v>
      </c>
      <c r="AC122" s="90">
        <f t="shared" si="241"/>
        <v>1.2533253436284695</v>
      </c>
      <c r="AD122" s="90">
        <f t="shared" si="241"/>
        <v>1.1542517842401374</v>
      </c>
      <c r="AE122" s="90">
        <f t="shared" si="241"/>
        <v>1.0240443961760797</v>
      </c>
      <c r="AF122" s="90">
        <f t="shared" si="241"/>
        <v>1.0007881222056898</v>
      </c>
      <c r="AG122" s="22"/>
      <c r="AH122" s="22"/>
      <c r="AI122" s="22"/>
      <c r="AJ122" s="22"/>
      <c r="AK122" s="91">
        <f>$A$39</f>
        <v>20162</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20162</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20162</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20162</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20162</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20162</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20162</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20172</v>
      </c>
      <c r="B123" s="105"/>
      <c r="C123" s="90">
        <f t="shared" si="239"/>
        <v>2.3021260246421167</v>
      </c>
      <c r="D123" s="90">
        <f t="shared" si="239"/>
        <v>1.7320316775480651</v>
      </c>
      <c r="E123" s="90">
        <f t="shared" si="239"/>
        <v>1.4312022153069193</v>
      </c>
      <c r="F123" s="90">
        <f t="shared" si="239"/>
        <v>1.1775961365864882</v>
      </c>
      <c r="G123" s="90">
        <f t="shared" si="239"/>
        <v>1.1010554126655139</v>
      </c>
      <c r="H123" s="22"/>
      <c r="I123" s="22"/>
      <c r="J123" s="22"/>
      <c r="K123" s="22"/>
      <c r="L123" s="22"/>
      <c r="M123" s="91">
        <f>$A$40</f>
        <v>20172</v>
      </c>
      <c r="N123" s="105"/>
      <c r="O123" s="90">
        <f t="shared" si="240"/>
        <v>2.2697017294872159</v>
      </c>
      <c r="P123" s="90">
        <f t="shared" si="240"/>
        <v>1.4309601586774989</v>
      </c>
      <c r="Q123" s="90">
        <f t="shared" si="240"/>
        <v>1.2035195225550561</v>
      </c>
      <c r="R123" s="90">
        <f t="shared" si="240"/>
        <v>1.1340675153797544</v>
      </c>
      <c r="S123" s="90">
        <f t="shared" si="240"/>
        <v>1.0739925121707377</v>
      </c>
      <c r="T123" s="22"/>
      <c r="U123" s="22"/>
      <c r="V123" s="22"/>
      <c r="W123" s="22"/>
      <c r="X123" s="22"/>
      <c r="Y123" s="91">
        <f>$A$40</f>
        <v>20172</v>
      </c>
      <c r="Z123" s="105"/>
      <c r="AA123" s="90">
        <f t="shared" si="241"/>
        <v>2.0199620192349852</v>
      </c>
      <c r="AB123" s="90">
        <f t="shared" si="241"/>
        <v>1.9222167919184685</v>
      </c>
      <c r="AC123" s="90">
        <f t="shared" si="241"/>
        <v>1.3659944673471267</v>
      </c>
      <c r="AD123" s="90">
        <f t="shared" si="241"/>
        <v>1.1350852183157794</v>
      </c>
      <c r="AE123" s="90">
        <f t="shared" si="241"/>
        <v>1.1248340351697075</v>
      </c>
      <c r="AF123" s="22"/>
      <c r="AG123" s="22"/>
      <c r="AH123" s="22"/>
      <c r="AI123" s="22"/>
      <c r="AJ123" s="22"/>
      <c r="AK123" s="91">
        <f>$A$40</f>
        <v>20172</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20172</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20172</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20172</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20172</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20172</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20172</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20182</v>
      </c>
      <c r="B124" s="105"/>
      <c r="C124" s="90">
        <f t="shared" si="239"/>
        <v>2.3301356807181239</v>
      </c>
      <c r="D124" s="90">
        <f t="shared" si="239"/>
        <v>1.6595373743045261</v>
      </c>
      <c r="E124" s="90">
        <f t="shared" si="239"/>
        <v>1.3874125227703924</v>
      </c>
      <c r="F124" s="90">
        <f t="shared" si="239"/>
        <v>1.2412750829399353</v>
      </c>
      <c r="G124" s="22"/>
      <c r="H124" s="22"/>
      <c r="I124" s="22"/>
      <c r="J124" s="22"/>
      <c r="K124" s="22"/>
      <c r="L124" s="22"/>
      <c r="M124" s="91">
        <f>$A$41</f>
        <v>20182</v>
      </c>
      <c r="N124" s="105"/>
      <c r="O124" s="90">
        <f t="shared" si="240"/>
        <v>3.6062308643313687</v>
      </c>
      <c r="P124" s="90">
        <f t="shared" si="240"/>
        <v>1.3322413860613611</v>
      </c>
      <c r="Q124" s="90">
        <f t="shared" si="240"/>
        <v>1.2399342657345556</v>
      </c>
      <c r="R124" s="90">
        <f t="shared" si="240"/>
        <v>1.1079216688301878</v>
      </c>
      <c r="S124" s="22"/>
      <c r="T124" s="22"/>
      <c r="U124" s="22"/>
      <c r="V124" s="22"/>
      <c r="W124" s="22"/>
      <c r="X124" s="22"/>
      <c r="Y124" s="91">
        <f>$A$41</f>
        <v>20182</v>
      </c>
      <c r="Z124" s="105"/>
      <c r="AA124" s="90">
        <f t="shared" si="241"/>
        <v>2.0166475293905659</v>
      </c>
      <c r="AB124" s="90">
        <f t="shared" si="241"/>
        <v>1.4696627034846412</v>
      </c>
      <c r="AC124" s="90">
        <f t="shared" si="241"/>
        <v>1.351676951259964</v>
      </c>
      <c r="AD124" s="90">
        <f t="shared" si="241"/>
        <v>1.2599077508413798</v>
      </c>
      <c r="AE124" s="22"/>
      <c r="AF124" s="22"/>
      <c r="AG124" s="22"/>
      <c r="AH124" s="22"/>
      <c r="AI124" s="22"/>
      <c r="AJ124" s="22"/>
      <c r="AK124" s="91">
        <f>$A$41</f>
        <v>20182</v>
      </c>
      <c r="AL124" s="105"/>
      <c r="AM124" s="90" t="str">
        <f t="shared" si="242"/>
        <v/>
      </c>
      <c r="AN124" s="90" t="str">
        <f t="shared" si="242"/>
        <v/>
      </c>
      <c r="AO124" s="90" t="str">
        <f t="shared" si="242"/>
        <v/>
      </c>
      <c r="AP124" s="90" t="str">
        <f t="shared" si="242"/>
        <v/>
      </c>
      <c r="AQ124" s="22"/>
      <c r="AR124" s="22"/>
      <c r="AS124" s="22"/>
      <c r="AT124" s="22"/>
      <c r="AU124" s="22"/>
      <c r="AV124" s="22"/>
      <c r="AW124" s="91">
        <f>$A$41</f>
        <v>20182</v>
      </c>
      <c r="AX124" s="105"/>
      <c r="AY124" s="90" t="str">
        <f t="shared" si="243"/>
        <v/>
      </c>
      <c r="AZ124" s="90" t="str">
        <f t="shared" si="243"/>
        <v/>
      </c>
      <c r="BA124" s="90" t="str">
        <f t="shared" si="243"/>
        <v/>
      </c>
      <c r="BB124" s="90" t="str">
        <f t="shared" si="243"/>
        <v/>
      </c>
      <c r="BC124" s="22"/>
      <c r="BD124" s="22"/>
      <c r="BE124" s="22"/>
      <c r="BF124" s="22"/>
      <c r="BG124" s="22"/>
      <c r="BH124" s="22"/>
      <c r="BI124" s="91">
        <f>$A$41</f>
        <v>20182</v>
      </c>
      <c r="BJ124" s="105"/>
      <c r="BK124" s="90" t="str">
        <f t="shared" si="244"/>
        <v/>
      </c>
      <c r="BL124" s="90" t="str">
        <f t="shared" si="244"/>
        <v/>
      </c>
      <c r="BM124" s="90" t="str">
        <f t="shared" si="244"/>
        <v/>
      </c>
      <c r="BN124" s="90" t="str">
        <f t="shared" si="244"/>
        <v/>
      </c>
      <c r="BO124" s="22"/>
      <c r="BP124" s="22"/>
      <c r="BQ124" s="22"/>
      <c r="BR124" s="22"/>
      <c r="BS124" s="22"/>
      <c r="BT124" s="22"/>
      <c r="BU124" s="91">
        <f>$A$41</f>
        <v>20182</v>
      </c>
      <c r="BV124" s="105"/>
      <c r="BW124" s="90" t="str">
        <f t="shared" si="245"/>
        <v/>
      </c>
      <c r="BX124" s="90" t="str">
        <f t="shared" si="245"/>
        <v/>
      </c>
      <c r="BY124" s="90" t="str">
        <f t="shared" si="245"/>
        <v/>
      </c>
      <c r="BZ124" s="90" t="str">
        <f t="shared" si="245"/>
        <v/>
      </c>
      <c r="CA124" s="22"/>
      <c r="CB124" s="22"/>
      <c r="CC124" s="22"/>
      <c r="CD124" s="22"/>
      <c r="CE124" s="22"/>
      <c r="CF124" s="22"/>
      <c r="CG124" s="91">
        <f>$A$41</f>
        <v>20182</v>
      </c>
      <c r="CH124" s="105"/>
      <c r="CI124" s="90" t="str">
        <f t="shared" si="246"/>
        <v/>
      </c>
      <c r="CJ124" s="90" t="str">
        <f t="shared" si="246"/>
        <v/>
      </c>
      <c r="CK124" s="90" t="str">
        <f t="shared" si="246"/>
        <v/>
      </c>
      <c r="CL124" s="90" t="str">
        <f t="shared" si="246"/>
        <v/>
      </c>
      <c r="CM124" s="22"/>
      <c r="CN124" s="22"/>
      <c r="CO124" s="22"/>
      <c r="CP124" s="22"/>
      <c r="CQ124" s="22"/>
      <c r="CR124" s="22"/>
      <c r="CS124" s="91">
        <f>$A$41</f>
        <v>20182</v>
      </c>
      <c r="CT124" s="105"/>
      <c r="CU124" s="90" t="str">
        <f t="shared" si="247"/>
        <v/>
      </c>
      <c r="CV124" s="90" t="str">
        <f t="shared" si="247"/>
        <v/>
      </c>
      <c r="CW124" s="90" t="str">
        <f t="shared" si="247"/>
        <v/>
      </c>
      <c r="CX124" s="90" t="str">
        <f t="shared" si="247"/>
        <v/>
      </c>
      <c r="CY124" s="22"/>
      <c r="CZ124" s="22"/>
      <c r="DA124" s="22"/>
      <c r="DB124" s="22"/>
      <c r="DC124" s="22"/>
      <c r="DD124" s="22"/>
      <c r="DE124" s="91">
        <f>$A$41</f>
        <v>20182</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20192</v>
      </c>
      <c r="B125" s="105"/>
      <c r="C125" s="90">
        <f t="shared" si="239"/>
        <v>2.6999093275613211</v>
      </c>
      <c r="D125" s="90">
        <f t="shared" si="239"/>
        <v>1.7206822577864511</v>
      </c>
      <c r="E125" s="90">
        <f t="shared" si="239"/>
        <v>1.3517918996618952</v>
      </c>
      <c r="F125" s="22"/>
      <c r="G125" s="22"/>
      <c r="H125" s="22"/>
      <c r="I125" s="22"/>
      <c r="J125" s="22"/>
      <c r="K125" s="22"/>
      <c r="L125" s="22"/>
      <c r="M125" s="91">
        <f>$A$42</f>
        <v>20192</v>
      </c>
      <c r="N125" s="105"/>
      <c r="O125" s="90">
        <f t="shared" si="240"/>
        <v>2.8127120896115514</v>
      </c>
      <c r="P125" s="90">
        <f t="shared" si="240"/>
        <v>1.3886679636696857</v>
      </c>
      <c r="Q125" s="90">
        <f t="shared" si="240"/>
        <v>1.1654443970372503</v>
      </c>
      <c r="R125" s="22"/>
      <c r="S125" s="22"/>
      <c r="T125" s="22"/>
      <c r="U125" s="22"/>
      <c r="V125" s="22"/>
      <c r="W125" s="22"/>
      <c r="X125" s="22"/>
      <c r="Y125" s="91">
        <f>$A$42</f>
        <v>20192</v>
      </c>
      <c r="Z125" s="105"/>
      <c r="AA125" s="90">
        <f t="shared" si="241"/>
        <v>2.0301740499193044</v>
      </c>
      <c r="AB125" s="90">
        <f t="shared" si="241"/>
        <v>1.560530426252154</v>
      </c>
      <c r="AC125" s="90">
        <f t="shared" si="241"/>
        <v>1.3441725077943927</v>
      </c>
      <c r="AD125" s="22"/>
      <c r="AE125" s="22"/>
      <c r="AF125" s="22"/>
      <c r="AG125" s="22"/>
      <c r="AH125" s="22"/>
      <c r="AI125" s="22"/>
      <c r="AJ125" s="22"/>
      <c r="AK125" s="91">
        <f>$A$42</f>
        <v>20192</v>
      </c>
      <c r="AL125" s="105"/>
      <c r="AM125" s="90" t="str">
        <f t="shared" si="242"/>
        <v/>
      </c>
      <c r="AN125" s="90" t="str">
        <f t="shared" si="242"/>
        <v/>
      </c>
      <c r="AO125" s="90" t="str">
        <f t="shared" si="242"/>
        <v/>
      </c>
      <c r="AP125" s="22"/>
      <c r="AQ125" s="22"/>
      <c r="AR125" s="22"/>
      <c r="AS125" s="22"/>
      <c r="AT125" s="22"/>
      <c r="AU125" s="22"/>
      <c r="AV125" s="22"/>
      <c r="AW125" s="91">
        <f>$A$42</f>
        <v>20192</v>
      </c>
      <c r="AX125" s="105"/>
      <c r="AY125" s="90" t="str">
        <f t="shared" si="243"/>
        <v/>
      </c>
      <c r="AZ125" s="90" t="str">
        <f t="shared" si="243"/>
        <v/>
      </c>
      <c r="BA125" s="90" t="str">
        <f t="shared" si="243"/>
        <v/>
      </c>
      <c r="BB125" s="22"/>
      <c r="BC125" s="22"/>
      <c r="BD125" s="22"/>
      <c r="BE125" s="22"/>
      <c r="BF125" s="22"/>
      <c r="BG125" s="22"/>
      <c r="BH125" s="22"/>
      <c r="BI125" s="91">
        <f>$A$42</f>
        <v>20192</v>
      </c>
      <c r="BJ125" s="105"/>
      <c r="BK125" s="90" t="str">
        <f t="shared" si="244"/>
        <v/>
      </c>
      <c r="BL125" s="90" t="str">
        <f t="shared" si="244"/>
        <v/>
      </c>
      <c r="BM125" s="90" t="str">
        <f t="shared" si="244"/>
        <v/>
      </c>
      <c r="BN125" s="22"/>
      <c r="BO125" s="22"/>
      <c r="BP125" s="22"/>
      <c r="BQ125" s="22"/>
      <c r="BR125" s="22"/>
      <c r="BS125" s="22"/>
      <c r="BT125" s="22"/>
      <c r="BU125" s="91">
        <f>$A$42</f>
        <v>20192</v>
      </c>
      <c r="BV125" s="105"/>
      <c r="BW125" s="90" t="str">
        <f t="shared" si="245"/>
        <v/>
      </c>
      <c r="BX125" s="90" t="str">
        <f t="shared" si="245"/>
        <v/>
      </c>
      <c r="BY125" s="90" t="str">
        <f t="shared" si="245"/>
        <v/>
      </c>
      <c r="BZ125" s="22"/>
      <c r="CA125" s="22"/>
      <c r="CB125" s="22"/>
      <c r="CC125" s="22"/>
      <c r="CD125" s="22"/>
      <c r="CE125" s="22"/>
      <c r="CF125" s="22"/>
      <c r="CG125" s="91">
        <f>$A$42</f>
        <v>20192</v>
      </c>
      <c r="CH125" s="105"/>
      <c r="CI125" s="90" t="str">
        <f t="shared" si="246"/>
        <v/>
      </c>
      <c r="CJ125" s="90" t="str">
        <f t="shared" si="246"/>
        <v/>
      </c>
      <c r="CK125" s="90" t="str">
        <f t="shared" si="246"/>
        <v/>
      </c>
      <c r="CL125" s="22"/>
      <c r="CM125" s="22"/>
      <c r="CN125" s="22"/>
      <c r="CO125" s="22"/>
      <c r="CP125" s="22"/>
      <c r="CQ125" s="22"/>
      <c r="CR125" s="22"/>
      <c r="CS125" s="91">
        <f>$A$42</f>
        <v>20192</v>
      </c>
      <c r="CT125" s="105"/>
      <c r="CU125" s="90" t="str">
        <f t="shared" si="247"/>
        <v/>
      </c>
      <c r="CV125" s="90" t="str">
        <f t="shared" si="247"/>
        <v/>
      </c>
      <c r="CW125" s="90" t="str">
        <f t="shared" si="247"/>
        <v/>
      </c>
      <c r="CX125" s="22"/>
      <c r="CY125" s="22"/>
      <c r="CZ125" s="22"/>
      <c r="DA125" s="22"/>
      <c r="DB125" s="22"/>
      <c r="DC125" s="22"/>
      <c r="DD125" s="22"/>
      <c r="DE125" s="91">
        <f>$A$42</f>
        <v>20192</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20202</v>
      </c>
      <c r="B126" s="105"/>
      <c r="C126" s="90">
        <f t="shared" si="239"/>
        <v>2.1943967558597754</v>
      </c>
      <c r="D126" s="90">
        <f t="shared" si="239"/>
        <v>1.5823702932660808</v>
      </c>
      <c r="E126" s="22"/>
      <c r="F126" s="22"/>
      <c r="G126" s="22"/>
      <c r="H126" s="22"/>
      <c r="I126" s="22"/>
      <c r="J126" s="22"/>
      <c r="K126" s="22"/>
      <c r="L126" s="22"/>
      <c r="M126" s="91">
        <f>$A$43</f>
        <v>20202</v>
      </c>
      <c r="N126" s="105"/>
      <c r="O126" s="90">
        <f t="shared" si="240"/>
        <v>2.0485114062244474</v>
      </c>
      <c r="P126" s="90">
        <f t="shared" si="240"/>
        <v>1.6125845559659069</v>
      </c>
      <c r="Q126" s="22"/>
      <c r="R126" s="22"/>
      <c r="S126" s="22"/>
      <c r="T126" s="22"/>
      <c r="U126" s="22"/>
      <c r="V126" s="22"/>
      <c r="W126" s="22"/>
      <c r="X126" s="22"/>
      <c r="Y126" s="91">
        <f>$A$43</f>
        <v>20202</v>
      </c>
      <c r="Z126" s="105"/>
      <c r="AA126" s="90">
        <f t="shared" si="241"/>
        <v>1.7811068893672788</v>
      </c>
      <c r="AB126" s="90">
        <f t="shared" si="241"/>
        <v>1.5420550611993913</v>
      </c>
      <c r="AC126" s="22"/>
      <c r="AD126" s="22"/>
      <c r="AE126" s="22"/>
      <c r="AF126" s="22"/>
      <c r="AG126" s="22"/>
      <c r="AH126" s="22"/>
      <c r="AI126" s="22"/>
      <c r="AJ126" s="22"/>
      <c r="AK126" s="91">
        <f>$A$43</f>
        <v>20202</v>
      </c>
      <c r="AL126" s="105"/>
      <c r="AM126" s="90" t="str">
        <f t="shared" si="242"/>
        <v/>
      </c>
      <c r="AN126" s="90" t="str">
        <f t="shared" si="242"/>
        <v/>
      </c>
      <c r="AO126" s="22"/>
      <c r="AP126" s="22"/>
      <c r="AQ126" s="22"/>
      <c r="AR126" s="22"/>
      <c r="AS126" s="22"/>
      <c r="AT126" s="22"/>
      <c r="AU126" s="22"/>
      <c r="AV126" s="22"/>
      <c r="AW126" s="91">
        <f>$A$43</f>
        <v>20202</v>
      </c>
      <c r="AX126" s="105"/>
      <c r="AY126" s="90" t="str">
        <f t="shared" si="243"/>
        <v/>
      </c>
      <c r="AZ126" s="90" t="str">
        <f t="shared" si="243"/>
        <v/>
      </c>
      <c r="BA126" s="22"/>
      <c r="BB126" s="22"/>
      <c r="BC126" s="22"/>
      <c r="BD126" s="22"/>
      <c r="BE126" s="22"/>
      <c r="BF126" s="22"/>
      <c r="BG126" s="22"/>
      <c r="BH126" s="22"/>
      <c r="BI126" s="91">
        <f>$A$43</f>
        <v>20202</v>
      </c>
      <c r="BJ126" s="105"/>
      <c r="BK126" s="90" t="str">
        <f t="shared" si="244"/>
        <v/>
      </c>
      <c r="BL126" s="90" t="str">
        <f t="shared" si="244"/>
        <v/>
      </c>
      <c r="BM126" s="22"/>
      <c r="BN126" s="22"/>
      <c r="BO126" s="22"/>
      <c r="BP126" s="22"/>
      <c r="BQ126" s="22"/>
      <c r="BR126" s="22"/>
      <c r="BS126" s="22"/>
      <c r="BT126" s="22"/>
      <c r="BU126" s="91">
        <f>$A$43</f>
        <v>20202</v>
      </c>
      <c r="BV126" s="105"/>
      <c r="BW126" s="90" t="str">
        <f t="shared" si="245"/>
        <v/>
      </c>
      <c r="BX126" s="90" t="str">
        <f t="shared" si="245"/>
        <v/>
      </c>
      <c r="BY126" s="22"/>
      <c r="BZ126" s="22"/>
      <c r="CA126" s="22"/>
      <c r="CB126" s="22"/>
      <c r="CC126" s="22"/>
      <c r="CD126" s="22"/>
      <c r="CE126" s="22"/>
      <c r="CF126" s="22"/>
      <c r="CG126" s="91">
        <f>$A$43</f>
        <v>20202</v>
      </c>
      <c r="CH126" s="105"/>
      <c r="CI126" s="90" t="str">
        <f t="shared" si="246"/>
        <v/>
      </c>
      <c r="CJ126" s="90" t="str">
        <f t="shared" si="246"/>
        <v/>
      </c>
      <c r="CK126" s="22"/>
      <c r="CL126" s="22"/>
      <c r="CM126" s="22"/>
      <c r="CN126" s="22"/>
      <c r="CO126" s="22"/>
      <c r="CP126" s="22"/>
      <c r="CQ126" s="22"/>
      <c r="CR126" s="22"/>
      <c r="CS126" s="91">
        <f>$A$43</f>
        <v>20202</v>
      </c>
      <c r="CT126" s="105"/>
      <c r="CU126" s="90" t="str">
        <f t="shared" si="247"/>
        <v/>
      </c>
      <c r="CV126" s="90" t="str">
        <f t="shared" si="247"/>
        <v/>
      </c>
      <c r="CW126" s="22"/>
      <c r="CX126" s="22"/>
      <c r="CY126" s="22"/>
      <c r="CZ126" s="22"/>
      <c r="DA126" s="22"/>
      <c r="DB126" s="22"/>
      <c r="DC126" s="22"/>
      <c r="DD126" s="22"/>
      <c r="DE126" s="91">
        <f>$A$43</f>
        <v>20202</v>
      </c>
      <c r="DF126" s="105"/>
      <c r="DG126" s="90" t="str">
        <f t="shared" si="248"/>
        <v/>
      </c>
      <c r="DH126" s="90" t="str">
        <f t="shared" si="248"/>
        <v/>
      </c>
      <c r="DI126" s="22"/>
      <c r="DJ126" s="22"/>
      <c r="DK126" s="22"/>
      <c r="DL126" s="22"/>
      <c r="DM126" s="22"/>
      <c r="DN126" s="22"/>
      <c r="DO126" s="22"/>
      <c r="DP126" s="22"/>
    </row>
    <row r="127" spans="1:120" x14ac:dyDescent="0.25">
      <c r="A127" s="91">
        <f>$A$44</f>
        <v>20212</v>
      </c>
      <c r="B127" s="105"/>
      <c r="C127" s="90">
        <f t="shared" si="239"/>
        <v>2.0416149901582967</v>
      </c>
      <c r="D127" s="22"/>
      <c r="E127" s="22"/>
      <c r="F127" s="22"/>
      <c r="G127" s="22"/>
      <c r="H127" s="22"/>
      <c r="I127" s="22"/>
      <c r="J127" s="22"/>
      <c r="K127" s="22"/>
      <c r="L127" s="22"/>
      <c r="M127" s="91">
        <f>$A$44</f>
        <v>20212</v>
      </c>
      <c r="N127" s="105"/>
      <c r="O127" s="90">
        <f t="shared" si="240"/>
        <v>3.3361423784811786</v>
      </c>
      <c r="P127" s="22"/>
      <c r="Q127" s="22"/>
      <c r="R127" s="22"/>
      <c r="S127" s="22"/>
      <c r="T127" s="22"/>
      <c r="U127" s="22"/>
      <c r="V127" s="22"/>
      <c r="W127" s="22"/>
      <c r="X127" s="22"/>
      <c r="Y127" s="91">
        <f>$A$44</f>
        <v>20212</v>
      </c>
      <c r="Z127" s="105"/>
      <c r="AA127" s="90">
        <f t="shared" si="241"/>
        <v>1.6777085103942908</v>
      </c>
      <c r="AB127" s="22"/>
      <c r="AC127" s="22"/>
      <c r="AD127" s="22"/>
      <c r="AE127" s="22"/>
      <c r="AF127" s="22"/>
      <c r="AG127" s="22"/>
      <c r="AH127" s="22"/>
      <c r="AI127" s="22"/>
      <c r="AJ127" s="22"/>
      <c r="AK127" s="91">
        <f>$A$44</f>
        <v>20212</v>
      </c>
      <c r="AL127" s="105"/>
      <c r="AM127" s="90" t="str">
        <f t="shared" si="242"/>
        <v/>
      </c>
      <c r="AN127" s="22"/>
      <c r="AO127" s="22"/>
      <c r="AP127" s="22"/>
      <c r="AQ127" s="22"/>
      <c r="AR127" s="22"/>
      <c r="AS127" s="22"/>
      <c r="AT127" s="22"/>
      <c r="AU127" s="22"/>
      <c r="AV127" s="22"/>
      <c r="AW127" s="91">
        <f>$A$44</f>
        <v>20212</v>
      </c>
      <c r="AX127" s="105"/>
      <c r="AY127" s="90" t="str">
        <f t="shared" si="243"/>
        <v/>
      </c>
      <c r="AZ127" s="22"/>
      <c r="BA127" s="22"/>
      <c r="BB127" s="22"/>
      <c r="BC127" s="22"/>
      <c r="BD127" s="22"/>
      <c r="BE127" s="22"/>
      <c r="BF127" s="22"/>
      <c r="BG127" s="22"/>
      <c r="BH127" s="22"/>
      <c r="BI127" s="91">
        <f>$A$44</f>
        <v>20212</v>
      </c>
      <c r="BJ127" s="105"/>
      <c r="BK127" s="90" t="str">
        <f t="shared" si="244"/>
        <v/>
      </c>
      <c r="BL127" s="22"/>
      <c r="BM127" s="22"/>
      <c r="BN127" s="22"/>
      <c r="BO127" s="22"/>
      <c r="BP127" s="22"/>
      <c r="BQ127" s="22"/>
      <c r="BR127" s="22"/>
      <c r="BS127" s="22"/>
      <c r="BT127" s="22"/>
      <c r="BU127" s="91">
        <f>$A$44</f>
        <v>20212</v>
      </c>
      <c r="BV127" s="105"/>
      <c r="BW127" s="90" t="str">
        <f t="shared" si="245"/>
        <v/>
      </c>
      <c r="BX127" s="22"/>
      <c r="BY127" s="22"/>
      <c r="BZ127" s="22"/>
      <c r="CA127" s="22"/>
      <c r="CB127" s="22"/>
      <c r="CC127" s="22"/>
      <c r="CD127" s="22"/>
      <c r="CE127" s="22"/>
      <c r="CF127" s="22"/>
      <c r="CG127" s="91">
        <f>$A$44</f>
        <v>20212</v>
      </c>
      <c r="CH127" s="105"/>
      <c r="CI127" s="90" t="str">
        <f t="shared" si="246"/>
        <v/>
      </c>
      <c r="CJ127" s="22"/>
      <c r="CK127" s="22"/>
      <c r="CL127" s="22"/>
      <c r="CM127" s="22"/>
      <c r="CN127" s="22"/>
      <c r="CO127" s="22"/>
      <c r="CP127" s="22"/>
      <c r="CQ127" s="22"/>
      <c r="CR127" s="22"/>
      <c r="CS127" s="91">
        <f>$A$44</f>
        <v>20212</v>
      </c>
      <c r="CT127" s="105"/>
      <c r="CU127" s="90" t="str">
        <f t="shared" si="247"/>
        <v/>
      </c>
      <c r="CV127" s="22"/>
      <c r="CW127" s="22"/>
      <c r="CX127" s="22"/>
      <c r="CY127" s="22"/>
      <c r="CZ127" s="22"/>
      <c r="DA127" s="22"/>
      <c r="DB127" s="22"/>
      <c r="DC127" s="22"/>
      <c r="DD127" s="22"/>
      <c r="DE127" s="91">
        <f>$A$44</f>
        <v>20212</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2.2300849883130121</v>
      </c>
      <c r="D129" s="93">
        <f>IFERROR(SUM(E111:E113)/SUM(D111:D113),1)</f>
        <v>1.6498705618195637</v>
      </c>
      <c r="E129" s="93">
        <f>IFERROR(SUM(F110:F112)/SUM(E110:E112),1)</f>
        <v>1.3898724481917577</v>
      </c>
      <c r="F129" s="93">
        <f>IFERROR(SUM(G109:G111)/SUM(F109:F111),1)</f>
        <v>1.2098157582982187</v>
      </c>
      <c r="G129" s="93">
        <f>IFERROR(SUM(H108:H110)/SUM(G108:G110),1)</f>
        <v>1.0951516706643609</v>
      </c>
      <c r="H129" s="93">
        <f>IFERROR(SUM(I107:I109)/SUM(H107:H109),1)</f>
        <v>1.0229926885823653</v>
      </c>
      <c r="I129" s="93">
        <f>IFERROR(SUM(J106:J108)/SUM(I106:I108),1)</f>
        <v>1.0111943492176509</v>
      </c>
      <c r="J129" s="93">
        <f>IFERROR(SUM(K106:K107)/SUM(J106:J107),1)</f>
        <v>1.0117901966607208</v>
      </c>
      <c r="K129" s="93">
        <f>IFERROR(SUM(L106:L106)/SUM(K106:K106),1)</f>
        <v>1.012055039945009</v>
      </c>
      <c r="L129" s="93">
        <v>1</v>
      </c>
      <c r="M129" s="285" t="s">
        <v>37</v>
      </c>
      <c r="N129" s="107"/>
      <c r="O129" s="93">
        <f>IFERROR(SUM(P112:P114)/SUM(O112:O114),1)</f>
        <v>2.6970632220909367</v>
      </c>
      <c r="P129" s="93">
        <f>IFERROR(SUM(Q111:Q113)/SUM(P111:P113),1)</f>
        <v>1.4250394333542074</v>
      </c>
      <c r="Q129" s="93">
        <f>IFERROR(SUM(R110:R112)/SUM(Q110:Q112),1)</f>
        <v>1.2061907328172352</v>
      </c>
      <c r="R129" s="93">
        <f>IFERROR(SUM(S109:S111)/SUM(R109:R111),1)</f>
        <v>1.1443643479155441</v>
      </c>
      <c r="S129" s="93">
        <f>IFERROR(SUM(T108:T110)/SUM(S108:S110),1)</f>
        <v>1.0580629671084065</v>
      </c>
      <c r="T129" s="93">
        <f>IFERROR(SUM(U107:U109)/SUM(T107:T109),1)</f>
        <v>1.0159927784003138</v>
      </c>
      <c r="U129" s="93">
        <f>IFERROR(SUM(V106:V108)/SUM(U106:U108),1)</f>
        <v>1.0173128115700019</v>
      </c>
      <c r="V129" s="93">
        <f>IFERROR(SUM(W106:W107)/SUM(V106:V107),1)</f>
        <v>1.0063831674579404</v>
      </c>
      <c r="W129" s="93">
        <f>IFERROR(SUM(X106:X106)/SUM(W106:W106),1)</f>
        <v>1.0006291498424009</v>
      </c>
      <c r="X129" s="93">
        <v>1</v>
      </c>
      <c r="Y129" s="285" t="s">
        <v>37</v>
      </c>
      <c r="Z129" s="107"/>
      <c r="AA129" s="93">
        <f>IFERROR(SUM(AB112:AB114)/SUM(AA112:AA114),1)</f>
        <v>1.7925731650451866</v>
      </c>
      <c r="AB129" s="93">
        <f>IFERROR(SUM(AC111:AC113)/SUM(AB111:AB113),1)</f>
        <v>1.5243246892740761</v>
      </c>
      <c r="AC129" s="93">
        <f>IFERROR(SUM(AD110:AD112)/SUM(AC110:AC112),1)</f>
        <v>1.3544310149049381</v>
      </c>
      <c r="AD129" s="93">
        <f>IFERROR(SUM(AE109:AE111)/SUM(AD109:AD111),1)</f>
        <v>1.1812964185254247</v>
      </c>
      <c r="AE129" s="93">
        <f>IFERROR(SUM(AF108:AF110)/SUM(AE108:AE110),1)</f>
        <v>1.0877779346827876</v>
      </c>
      <c r="AF129" s="93">
        <f>IFERROR(SUM(AG107:AG109)/SUM(AF107:AF109),1)</f>
        <v>1.0127039738443333</v>
      </c>
      <c r="AG129" s="93">
        <f>IFERROR(SUM(AH106:AH108)/SUM(AG106:AG108),1)</f>
        <v>1.0344858591391</v>
      </c>
      <c r="AH129" s="93">
        <f>IFERROR(SUM(AI106:AI107)/SUM(AH106:AH107),1)</f>
        <v>1.0270852610227839</v>
      </c>
      <c r="AI129" s="93">
        <f>IFERROR(SUM(AJ106:AJ106)/SUM(AI106:AI106),1)</f>
        <v>0.99720468078901281</v>
      </c>
      <c r="AJ129" s="93">
        <v>1</v>
      </c>
      <c r="AK129" s="285"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5"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5"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2.2300849883130121</v>
      </c>
      <c r="D130" s="93">
        <f t="shared" ref="D130:K130" si="249">IF(D129=0,1,D129)</f>
        <v>1.6498705618195637</v>
      </c>
      <c r="E130" s="93">
        <f t="shared" si="249"/>
        <v>1.3898724481917577</v>
      </c>
      <c r="F130" s="93">
        <f t="shared" si="249"/>
        <v>1.2098157582982187</v>
      </c>
      <c r="G130" s="93">
        <f t="shared" si="249"/>
        <v>1.0951516706643609</v>
      </c>
      <c r="H130" s="93">
        <f t="shared" si="249"/>
        <v>1.0229926885823653</v>
      </c>
      <c r="I130" s="93">
        <f t="shared" si="249"/>
        <v>1.0111943492176509</v>
      </c>
      <c r="J130" s="93">
        <f t="shared" si="249"/>
        <v>1.0117901966607208</v>
      </c>
      <c r="K130" s="93">
        <f t="shared" si="249"/>
        <v>1.012055039945009</v>
      </c>
      <c r="L130" s="93">
        <f>IF(L129=0,1,L129)</f>
        <v>1</v>
      </c>
      <c r="M130" s="285" t="s">
        <v>40</v>
      </c>
      <c r="N130" s="107"/>
      <c r="O130" s="93">
        <f>IF(O129=0,1,O129)</f>
        <v>2.6970632220909367</v>
      </c>
      <c r="P130" s="93">
        <f t="shared" ref="P130:W130" si="250">IF(P129=0,1,P129)</f>
        <v>1.4250394333542074</v>
      </c>
      <c r="Q130" s="93">
        <f t="shared" si="250"/>
        <v>1.2061907328172352</v>
      </c>
      <c r="R130" s="93">
        <f t="shared" si="250"/>
        <v>1.1443643479155441</v>
      </c>
      <c r="S130" s="93">
        <f t="shared" si="250"/>
        <v>1.0580629671084065</v>
      </c>
      <c r="T130" s="93">
        <f t="shared" si="250"/>
        <v>1.0159927784003138</v>
      </c>
      <c r="U130" s="93">
        <f t="shared" si="250"/>
        <v>1.0173128115700019</v>
      </c>
      <c r="V130" s="93">
        <f t="shared" si="250"/>
        <v>1.0063831674579404</v>
      </c>
      <c r="W130" s="93">
        <f t="shared" si="250"/>
        <v>1.0006291498424009</v>
      </c>
      <c r="X130" s="93">
        <f>IF(X129=0,1,X129)</f>
        <v>1</v>
      </c>
      <c r="Y130" s="285" t="s">
        <v>40</v>
      </c>
      <c r="Z130" s="107"/>
      <c r="AA130" s="93">
        <f>IF(AA129=0,1,AA129)</f>
        <v>1.7925731650451866</v>
      </c>
      <c r="AB130" s="93">
        <f t="shared" ref="AB130:AI130" si="251">IF(AB129=0,1,AB129)</f>
        <v>1.5243246892740761</v>
      </c>
      <c r="AC130" s="93">
        <f t="shared" si="251"/>
        <v>1.3544310149049381</v>
      </c>
      <c r="AD130" s="93">
        <f t="shared" si="251"/>
        <v>1.1812964185254247</v>
      </c>
      <c r="AE130" s="93">
        <f t="shared" si="251"/>
        <v>1.0877779346827876</v>
      </c>
      <c r="AF130" s="93">
        <f t="shared" si="251"/>
        <v>1.0127039738443333</v>
      </c>
      <c r="AG130" s="93">
        <f t="shared" si="251"/>
        <v>1.0344858591391</v>
      </c>
      <c r="AH130" s="93">
        <f t="shared" si="251"/>
        <v>1.0270852610227839</v>
      </c>
      <c r="AI130" s="93">
        <f t="shared" si="251"/>
        <v>0.99720468078901281</v>
      </c>
      <c r="AJ130" s="93">
        <f>IF(AJ129=0,1,AJ129)</f>
        <v>1</v>
      </c>
      <c r="AK130" s="285"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5"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5"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7.1769761623520134</v>
      </c>
      <c r="D131" s="113">
        <f>PRODUCT(D130:L130)</f>
        <v>3.2182523087522181</v>
      </c>
      <c r="E131" s="113">
        <f>PRODUCT(E130:L130)</f>
        <v>1.9506089648650742</v>
      </c>
      <c r="F131" s="113">
        <f>PRODUCT(F130:L130)</f>
        <v>1.4034445875971155</v>
      </c>
      <c r="G131" s="113">
        <f>PRODUCT(G130:L130)</f>
        <v>1.1600481957445021</v>
      </c>
      <c r="H131" s="113">
        <f>PRODUCT(H130:L130)</f>
        <v>1.0592580250010233</v>
      </c>
      <c r="I131" s="113">
        <f>PRODUCT(I130:L130)</f>
        <v>1.0354502400881416</v>
      </c>
      <c r="J131" s="113">
        <f>PRODUCT(J130:L130)</f>
        <v>1.0239873678974343</v>
      </c>
      <c r="K131" s="113">
        <f>PRODUCT(K130:L130)</f>
        <v>1.012055039945009</v>
      </c>
      <c r="L131" s="114">
        <f>PRODUCT(L130:L130)</f>
        <v>1</v>
      </c>
      <c r="M131" s="111" t="s">
        <v>39</v>
      </c>
      <c r="N131" s="115"/>
      <c r="O131" s="113">
        <f>PRODUCT(O130:X130)</f>
        <v>5.8424025777998869</v>
      </c>
      <c r="P131" s="113">
        <f>PRODUCT(P130:X130)</f>
        <v>2.1662089824021549</v>
      </c>
      <c r="Q131" s="113">
        <f>PRODUCT(Q130:X130)</f>
        <v>1.5201045891785667</v>
      </c>
      <c r="R131" s="113">
        <f>PRODUCT(R130:X130)</f>
        <v>1.2602522534957135</v>
      </c>
      <c r="S131" s="113">
        <f>PRODUCT(S130:X130)</f>
        <v>1.1012683642156966</v>
      </c>
      <c r="T131" s="113">
        <f>PRODUCT(T130:X130)</f>
        <v>1.0408344289994071</v>
      </c>
      <c r="U131" s="113">
        <f>PRODUCT(U130:X130)</f>
        <v>1.0244506172949444</v>
      </c>
      <c r="V131" s="113">
        <f>PRODUCT(V130:X130)</f>
        <v>1.0070163332691415</v>
      </c>
      <c r="W131" s="113">
        <f>PRODUCT(W130:X130)</f>
        <v>1.0006291498424009</v>
      </c>
      <c r="X131" s="114">
        <f>PRODUCT(X130:X130)</f>
        <v>1</v>
      </c>
      <c r="Y131" s="111" t="s">
        <v>39</v>
      </c>
      <c r="Z131" s="115"/>
      <c r="AA131" s="113">
        <f>PRODUCT(AA130:AJ130)</f>
        <v>5.1027968051799961</v>
      </c>
      <c r="AB131" s="113">
        <f>PRODUCT(AB130:AJ130)</f>
        <v>2.8466323744455733</v>
      </c>
      <c r="AC131" s="113">
        <f>PRODUCT(AC130:AJ130)</f>
        <v>1.8674711460595805</v>
      </c>
      <c r="AD131" s="113">
        <f>PRODUCT(AD130:AJ130)</f>
        <v>1.3787864612585312</v>
      </c>
      <c r="AE131" s="113">
        <f>PRODUCT(AE130:AJ130)</f>
        <v>1.1671807682102577</v>
      </c>
      <c r="AF131" s="113">
        <f>PRODUCT(AF130:AJ130)</f>
        <v>1.072995444194798</v>
      </c>
      <c r="AG131" s="113">
        <f>PRODUCT(AG130:AJ130)</f>
        <v>1.0595351375205846</v>
      </c>
      <c r="AH131" s="113">
        <f>PRODUCT(AH130:AJ130)</f>
        <v>1.024214229861325</v>
      </c>
      <c r="AI131" s="113">
        <f>PRODUCT(AI130:AJ130)</f>
        <v>0.99720468078901281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45407821.727111883</v>
      </c>
      <c r="D132" s="99">
        <f>D131*D114</f>
        <v>43740890.543446019</v>
      </c>
      <c r="E132" s="99">
        <f>E131*E113</f>
        <v>29455571.231495988</v>
      </c>
      <c r="F132" s="99">
        <f>F131*F112</f>
        <v>26448742.155709971</v>
      </c>
      <c r="G132" s="99">
        <f>G131*G111</f>
        <v>24157173.081871103</v>
      </c>
      <c r="H132" s="99">
        <f>H131*H110</f>
        <v>26663946.736971844</v>
      </c>
      <c r="I132" s="99">
        <f>I131*I109</f>
        <v>24478679.659575634</v>
      </c>
      <c r="J132" s="99">
        <f>J131*J108</f>
        <v>24668974.214530893</v>
      </c>
      <c r="K132" s="99">
        <f>K131*K107</f>
        <v>21767001.038697049</v>
      </c>
      <c r="L132" s="99">
        <f>L131*L106</f>
        <v>20363675.420000002</v>
      </c>
      <c r="M132" s="95" t="s">
        <v>41</v>
      </c>
      <c r="N132" s="106"/>
      <c r="O132" s="99">
        <f>O131*O115</f>
        <v>1951957.6849597886</v>
      </c>
      <c r="P132" s="99">
        <f>P131*P114</f>
        <v>2251397.4251545514</v>
      </c>
      <c r="Q132" s="99">
        <f>Q131*Q113</f>
        <v>1816854.1627171738</v>
      </c>
      <c r="R132" s="99">
        <f>R131*R112</f>
        <v>1763958.4564907267</v>
      </c>
      <c r="S132" s="99">
        <f>S131*S111</f>
        <v>2335883.3347670543</v>
      </c>
      <c r="T132" s="99">
        <f>T131*T110</f>
        <v>1807438.431163467</v>
      </c>
      <c r="U132" s="99">
        <f>U131*U109</f>
        <v>2447480.753128734</v>
      </c>
      <c r="V132" s="99">
        <f>V131*V108</f>
        <v>2035071.8861932319</v>
      </c>
      <c r="W132" s="99">
        <f>W131*W107</f>
        <v>4135062.5682123923</v>
      </c>
      <c r="X132" s="99">
        <f>X131*X106</f>
        <v>2337956.3199999998</v>
      </c>
      <c r="Y132" s="95" t="s">
        <v>41</v>
      </c>
      <c r="Z132" s="106"/>
      <c r="AA132" s="99">
        <f>AA131*AA115</f>
        <v>3791326.3349171006</v>
      </c>
      <c r="AB132" s="99">
        <f>AB131*AB114</f>
        <v>3092031.4137566043</v>
      </c>
      <c r="AC132" s="99">
        <f>AC131*AC113</f>
        <v>2271895.4034775314</v>
      </c>
      <c r="AD132" s="99">
        <f>AD131*AD112</f>
        <v>1963282.5692779059</v>
      </c>
      <c r="AE132" s="99">
        <f>AE131*AE111</f>
        <v>2061003.4585932153</v>
      </c>
      <c r="AF132" s="99">
        <f>AF131*AF110</f>
        <v>2220843.5334245749</v>
      </c>
      <c r="AG132" s="99">
        <f>AG131*AG109</f>
        <v>1634291.0344154614</v>
      </c>
      <c r="AH132" s="99">
        <f>AH131*AH108</f>
        <v>1456250.4783620234</v>
      </c>
      <c r="AI132" s="99">
        <f>AI131*AI107</f>
        <v>1120544.9389370827</v>
      </c>
      <c r="AJ132" s="99">
        <f>AJ131*AJ106</f>
        <v>1712249.28</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Homeowners Multiple Peril</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Renters</v>
      </c>
      <c r="N137" s="69"/>
      <c r="O137" s="18"/>
      <c r="P137" s="18"/>
      <c r="Q137" s="18"/>
      <c r="R137" s="18"/>
      <c r="S137" s="18"/>
      <c r="T137" s="18"/>
      <c r="U137" s="18"/>
      <c r="V137" s="18"/>
      <c r="W137" s="18"/>
      <c r="X137" s="18"/>
      <c r="Y137" s="138" t="str">
        <f>Y$5</f>
        <v>Condominium Unitowners</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Data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Data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Data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Data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Data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Data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Data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Data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Data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20132</v>
      </c>
      <c r="B141" s="116"/>
      <c r="C141" s="117">
        <f>IFERROR(C106/C71,"")</f>
        <v>8.2204287270875032E-3</v>
      </c>
      <c r="D141" s="117">
        <f>IFERROR(D106/D71,"")</f>
        <v>1.7953102052784886E-2</v>
      </c>
      <c r="E141" s="117">
        <f t="shared" ref="E141:L141" si="259">IFERROR(E106/E71,"")</f>
        <v>2.9281160428136076E-2</v>
      </c>
      <c r="F141" s="117">
        <f t="shared" si="259"/>
        <v>3.7802331644489456E-2</v>
      </c>
      <c r="G141" s="117">
        <f t="shared" si="259"/>
        <v>4.3664586462717585E-2</v>
      </c>
      <c r="H141" s="117">
        <f t="shared" si="259"/>
        <v>4.6183466307662228E-2</v>
      </c>
      <c r="I141" s="117">
        <f t="shared" si="259"/>
        <v>4.695625030535068E-2</v>
      </c>
      <c r="J141" s="117">
        <f t="shared" si="259"/>
        <v>4.7466527870412029E-2</v>
      </c>
      <c r="K141" s="117">
        <f t="shared" si="259"/>
        <v>4.8143098169134632E-2</v>
      </c>
      <c r="L141" s="117">
        <f t="shared" si="259"/>
        <v>4.8706590162913087E-2</v>
      </c>
      <c r="M141" s="31">
        <f>$A$36</f>
        <v>20132</v>
      </c>
      <c r="N141" s="116"/>
      <c r="O141" s="117">
        <f>IFERROR(O106/O71,"")</f>
        <v>1.2873756621086347E-2</v>
      </c>
      <c r="P141" s="117">
        <f t="shared" ref="P141:X141" si="260">IFERROR(P106/P71,"")</f>
        <v>2.7891364613460035E-2</v>
      </c>
      <c r="Q141" s="117">
        <f t="shared" si="260"/>
        <v>3.8562135136919723E-2</v>
      </c>
      <c r="R141" s="117">
        <f t="shared" si="260"/>
        <v>4.6400468052832711E-2</v>
      </c>
      <c r="S141" s="117">
        <f t="shared" si="260"/>
        <v>5.1628799881114677E-2</v>
      </c>
      <c r="T141" s="117">
        <f t="shared" si="260"/>
        <v>5.6879768318938873E-2</v>
      </c>
      <c r="U141" s="117">
        <f t="shared" si="260"/>
        <v>6.1172096946618723E-2</v>
      </c>
      <c r="V141" s="117">
        <f t="shared" si="260"/>
        <v>6.3840438051351062E-2</v>
      </c>
      <c r="W141" s="117">
        <f t="shared" si="260"/>
        <v>6.4167730540133958E-2</v>
      </c>
      <c r="X141" s="117">
        <f t="shared" si="260"/>
        <v>6.4208165403552744E-2</v>
      </c>
      <c r="Y141" s="31">
        <f>$A$36</f>
        <v>20132</v>
      </c>
      <c r="Z141" s="116"/>
      <c r="AA141" s="117">
        <f>IFERROR(AA106/AA71,"")</f>
        <v>5.4224938720107696E-3</v>
      </c>
      <c r="AB141" s="117">
        <f t="shared" ref="AB141:AJ141" si="261">IFERROR(AB106/AB71,"")</f>
        <v>1.2555552494958232E-2</v>
      </c>
      <c r="AC141" s="117">
        <f t="shared" si="261"/>
        <v>2.1175742642246094E-2</v>
      </c>
      <c r="AD141" s="117">
        <f t="shared" si="261"/>
        <v>3.009561206774412E-2</v>
      </c>
      <c r="AE141" s="117">
        <f t="shared" si="261"/>
        <v>3.7105485156448736E-2</v>
      </c>
      <c r="AF141" s="117">
        <f t="shared" si="261"/>
        <v>4.0091555983628346E-2</v>
      </c>
      <c r="AG141" s="117">
        <f t="shared" si="261"/>
        <v>4.1602274271693183E-2</v>
      </c>
      <c r="AH141" s="117">
        <f t="shared" si="261"/>
        <v>4.2165864386570065E-2</v>
      </c>
      <c r="AI141" s="117">
        <f t="shared" si="261"/>
        <v>4.2165864386570065E-2</v>
      </c>
      <c r="AJ141" s="117">
        <f t="shared" si="261"/>
        <v>4.2047997335802403E-2</v>
      </c>
      <c r="AK141" s="31">
        <f>$A$36</f>
        <v>20132</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20132</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20132</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20132</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20132</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20132</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20132</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20142</v>
      </c>
      <c r="B142" s="116"/>
      <c r="C142" s="117">
        <f t="shared" ref="C142:K142" si="269">IFERROR(C107/C72,"")</f>
        <v>8.2177932731633992E-3</v>
      </c>
      <c r="D142" s="117">
        <f t="shared" si="269"/>
        <v>1.7516796767383807E-2</v>
      </c>
      <c r="E142" s="117">
        <f t="shared" si="269"/>
        <v>2.9188708048296961E-2</v>
      </c>
      <c r="F142" s="117">
        <f t="shared" si="269"/>
        <v>4.2534463794811725E-2</v>
      </c>
      <c r="G142" s="117">
        <f t="shared" si="269"/>
        <v>4.8545000555774112E-2</v>
      </c>
      <c r="H142" s="117">
        <f t="shared" si="269"/>
        <v>5.0736842141730756E-2</v>
      </c>
      <c r="I142" s="117">
        <f t="shared" si="269"/>
        <v>5.1571363079280792E-2</v>
      </c>
      <c r="J142" s="117">
        <f t="shared" si="269"/>
        <v>5.205394635253846E-2</v>
      </c>
      <c r="K142" s="117">
        <f t="shared" si="269"/>
        <v>5.2553354339401726E-2</v>
      </c>
      <c r="L142" s="134"/>
      <c r="M142" s="31">
        <f>$A$37</f>
        <v>20142</v>
      </c>
      <c r="N142" s="116"/>
      <c r="O142" s="117">
        <f t="shared" ref="O142:W142" si="270">IFERROR(O107/O72,"")</f>
        <v>1.0685616070286808E-2</v>
      </c>
      <c r="P142" s="117">
        <f t="shared" si="270"/>
        <v>2.5042379557288965E-2</v>
      </c>
      <c r="Q142" s="117">
        <f t="shared" si="270"/>
        <v>5.3428804800509988E-2</v>
      </c>
      <c r="R142" s="117">
        <f t="shared" si="270"/>
        <v>9.1787951763790246E-2</v>
      </c>
      <c r="S142" s="117">
        <f t="shared" si="270"/>
        <v>0.100474444882292</v>
      </c>
      <c r="T142" s="117">
        <f t="shared" si="270"/>
        <v>0.1036638517660667</v>
      </c>
      <c r="U142" s="117">
        <f t="shared" si="270"/>
        <v>0.10564724721865734</v>
      </c>
      <c r="V142" s="117">
        <f t="shared" si="270"/>
        <v>0.10672806586114907</v>
      </c>
      <c r="W142" s="117">
        <f t="shared" si="270"/>
        <v>0.10665072599186411</v>
      </c>
      <c r="X142" s="134"/>
      <c r="Y142" s="31">
        <f>$A$37</f>
        <v>20142</v>
      </c>
      <c r="Z142" s="116"/>
      <c r="AA142" s="117">
        <f t="shared" ref="AA142:AI142" si="271">IFERROR(AA107/AA72,"")</f>
        <v>6.9540773966803018E-3</v>
      </c>
      <c r="AB142" s="117">
        <f t="shared" si="271"/>
        <v>1.1926505159407476E-2</v>
      </c>
      <c r="AC142" s="117">
        <f t="shared" si="271"/>
        <v>1.7482674397047083E-2</v>
      </c>
      <c r="AD142" s="117">
        <f t="shared" si="271"/>
        <v>2.2406752272450599E-2</v>
      </c>
      <c r="AE142" s="117">
        <f t="shared" si="271"/>
        <v>2.3014784895108567E-2</v>
      </c>
      <c r="AF142" s="117">
        <f t="shared" si="271"/>
        <v>2.4019890963797454E-2</v>
      </c>
      <c r="AG142" s="117">
        <f t="shared" si="271"/>
        <v>2.4912363037950223E-2</v>
      </c>
      <c r="AH142" s="117">
        <f t="shared" si="271"/>
        <v>2.6475769202733347E-2</v>
      </c>
      <c r="AI142" s="117">
        <f t="shared" si="271"/>
        <v>2.8364130248346799E-2</v>
      </c>
      <c r="AJ142" s="134"/>
      <c r="AK142" s="31">
        <f>$A$37</f>
        <v>20142</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20142</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20142</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20142</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20142</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20142</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20142</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20152</v>
      </c>
      <c r="B143" s="116"/>
      <c r="C143" s="117">
        <f t="shared" ref="C143:J143" si="279">IFERROR(C108/C73,"")</f>
        <v>7.957711305208082E-3</v>
      </c>
      <c r="D143" s="117">
        <f t="shared" si="279"/>
        <v>1.6659357640252306E-2</v>
      </c>
      <c r="E143" s="117">
        <f t="shared" si="279"/>
        <v>2.724070388339786E-2</v>
      </c>
      <c r="F143" s="117">
        <f t="shared" si="279"/>
        <v>3.8945682725490073E-2</v>
      </c>
      <c r="G143" s="117">
        <f t="shared" si="279"/>
        <v>4.8464166210403677E-2</v>
      </c>
      <c r="H143" s="117">
        <f t="shared" si="279"/>
        <v>5.3667434190503252E-2</v>
      </c>
      <c r="I143" s="117">
        <f t="shared" si="279"/>
        <v>5.4741046451906049E-2</v>
      </c>
      <c r="J143" s="117">
        <f t="shared" si="279"/>
        <v>5.5268058919525909E-2</v>
      </c>
      <c r="K143" s="134"/>
      <c r="L143" s="134"/>
      <c r="M143" s="31">
        <f>$A$38</f>
        <v>20152</v>
      </c>
      <c r="N143" s="116"/>
      <c r="O143" s="117">
        <f t="shared" ref="O143:V143" si="280">IFERROR(O108/O73,"")</f>
        <v>9.3029252838829589E-3</v>
      </c>
      <c r="P143" s="117">
        <f t="shared" si="280"/>
        <v>2.1395175691865109E-2</v>
      </c>
      <c r="Q143" s="117">
        <f t="shared" si="280"/>
        <v>3.5731317949033468E-2</v>
      </c>
      <c r="R143" s="117">
        <f t="shared" si="280"/>
        <v>4.6580583786446583E-2</v>
      </c>
      <c r="S143" s="117">
        <f t="shared" si="280"/>
        <v>4.9353556257838577E-2</v>
      </c>
      <c r="T143" s="117">
        <f t="shared" si="280"/>
        <v>5.0292159063470371E-2</v>
      </c>
      <c r="U143" s="117">
        <f t="shared" si="280"/>
        <v>5.051714583965819E-2</v>
      </c>
      <c r="V143" s="117">
        <f t="shared" si="280"/>
        <v>5.0628806115143518E-2</v>
      </c>
      <c r="W143" s="134"/>
      <c r="X143" s="134"/>
      <c r="Y143" s="31">
        <f>$A$38</f>
        <v>20152</v>
      </c>
      <c r="Z143" s="116"/>
      <c r="AA143" s="117">
        <f t="shared" ref="AA143:AH143" si="281">IFERROR(AA108/AA73,"")</f>
        <v>7.4210358615906715E-3</v>
      </c>
      <c r="AB143" s="117">
        <f t="shared" si="281"/>
        <v>1.548811841843417E-2</v>
      </c>
      <c r="AC143" s="117">
        <f t="shared" si="281"/>
        <v>2.053888243553658E-2</v>
      </c>
      <c r="AD143" s="117">
        <f t="shared" si="281"/>
        <v>2.4569460617323447E-2</v>
      </c>
      <c r="AE143" s="117">
        <f t="shared" si="281"/>
        <v>2.797015759776118E-2</v>
      </c>
      <c r="AF143" s="117">
        <f t="shared" si="281"/>
        <v>3.0959432318189067E-2</v>
      </c>
      <c r="AG143" s="117">
        <f t="shared" si="281"/>
        <v>3.1252636028931094E-2</v>
      </c>
      <c r="AH143" s="117">
        <f t="shared" si="281"/>
        <v>3.2554034850334083E-2</v>
      </c>
      <c r="AI143" s="134"/>
      <c r="AJ143" s="134"/>
      <c r="AK143" s="31">
        <f>$A$38</f>
        <v>20152</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20152</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20152</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20152</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20152</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20152</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20152</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20162</v>
      </c>
      <c r="B144" s="116"/>
      <c r="C144" s="117">
        <f t="shared" ref="C144:I144" si="289">IFERROR(C109/C74,"")</f>
        <v>8.7777850630806446E-3</v>
      </c>
      <c r="D144" s="117">
        <f t="shared" si="289"/>
        <v>1.6432911520643276E-2</v>
      </c>
      <c r="E144" s="117">
        <f t="shared" si="289"/>
        <v>2.5127777571836291E-2</v>
      </c>
      <c r="F144" s="117">
        <f t="shared" si="289"/>
        <v>3.5601877020449153E-2</v>
      </c>
      <c r="G144" s="117">
        <f t="shared" si="289"/>
        <v>4.3040222347644222E-2</v>
      </c>
      <c r="H144" s="117">
        <f t="shared" si="289"/>
        <v>4.5840223567993256E-2</v>
      </c>
      <c r="I144" s="117">
        <f t="shared" si="289"/>
        <v>4.7222598642595266E-2</v>
      </c>
      <c r="J144" s="134"/>
      <c r="K144" s="134"/>
      <c r="L144" s="134"/>
      <c r="M144" s="31">
        <f>$A$39</f>
        <v>20162</v>
      </c>
      <c r="N144" s="116"/>
      <c r="O144" s="117">
        <f t="shared" ref="O144:U144" si="290">IFERROR(O109/O74,"")</f>
        <v>1.1724372986584278E-2</v>
      </c>
      <c r="P144" s="117">
        <f t="shared" si="290"/>
        <v>2.2331045182086114E-2</v>
      </c>
      <c r="Q144" s="117">
        <f t="shared" si="290"/>
        <v>3.1937370686865342E-2</v>
      </c>
      <c r="R144" s="117">
        <f t="shared" si="290"/>
        <v>4.2024595666484914E-2</v>
      </c>
      <c r="S144" s="117">
        <f t="shared" si="290"/>
        <v>4.9316718159605075E-2</v>
      </c>
      <c r="T144" s="117">
        <f t="shared" si="290"/>
        <v>5.3144532987854348E-2</v>
      </c>
      <c r="U144" s="117">
        <f t="shared" si="290"/>
        <v>5.382246755859145E-2</v>
      </c>
      <c r="V144" s="134"/>
      <c r="W144" s="134"/>
      <c r="X144" s="134"/>
      <c r="Y144" s="31">
        <f>$A$39</f>
        <v>20162</v>
      </c>
      <c r="Z144" s="116"/>
      <c r="AA144" s="117">
        <f t="shared" ref="AA144:AG144" si="291">IFERROR(AA109/AA74,"")</f>
        <v>7.6333030712930567E-3</v>
      </c>
      <c r="AB144" s="117">
        <f t="shared" si="291"/>
        <v>1.3969886140193642E-2</v>
      </c>
      <c r="AC144" s="117">
        <f t="shared" si="291"/>
        <v>2.0159783871726719E-2</v>
      </c>
      <c r="AD144" s="117">
        <f t="shared" si="291"/>
        <v>2.5281562056246348E-2</v>
      </c>
      <c r="AE144" s="117">
        <f t="shared" si="291"/>
        <v>2.9178687539485989E-2</v>
      </c>
      <c r="AF144" s="117">
        <f t="shared" si="291"/>
        <v>2.985579573894824E-2</v>
      </c>
      <c r="AG144" s="117">
        <f t="shared" si="291"/>
        <v>2.9879317419839593E-2</v>
      </c>
      <c r="AH144" s="134"/>
      <c r="AI144" s="134"/>
      <c r="AJ144" s="134"/>
      <c r="AK144" s="31">
        <f>$A$39</f>
        <v>20162</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20162</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20162</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20162</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20162</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20162</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20162</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20172</v>
      </c>
      <c r="B145" s="116"/>
      <c r="C145" s="117">
        <f t="shared" ref="C145:H145" si="299">IFERROR(C110/C75,"")</f>
        <v>8.6184809162159533E-3</v>
      </c>
      <c r="D145" s="117">
        <f t="shared" si="299"/>
        <v>1.4991546343260142E-2</v>
      </c>
      <c r="E145" s="117">
        <f t="shared" si="299"/>
        <v>2.4766199916002037E-2</v>
      </c>
      <c r="F145" s="117">
        <f t="shared" si="299"/>
        <v>3.4883658198811437E-2</v>
      </c>
      <c r="G145" s="117">
        <f t="shared" si="299"/>
        <v>4.0722996140657657E-2</v>
      </c>
      <c r="H145" s="117">
        <f t="shared" si="299"/>
        <v>4.4584805816465192E-2</v>
      </c>
      <c r="I145" s="134"/>
      <c r="J145" s="134"/>
      <c r="K145" s="134"/>
      <c r="L145" s="134"/>
      <c r="M145" s="31">
        <f>$A$40</f>
        <v>20172</v>
      </c>
      <c r="N145" s="116"/>
      <c r="O145" s="117">
        <f t="shared" ref="O145:T145" si="300">IFERROR(O110/O75,"")</f>
        <v>1.1979308139033784E-2</v>
      </c>
      <c r="P145" s="117">
        <f t="shared" si="300"/>
        <v>2.1077354167318665E-2</v>
      </c>
      <c r="Q145" s="117">
        <f t="shared" si="300"/>
        <v>2.8082077945975555E-2</v>
      </c>
      <c r="R145" s="117">
        <f t="shared" si="300"/>
        <v>3.2172868999532957E-2</v>
      </c>
      <c r="S145" s="117">
        <f t="shared" si="300"/>
        <v>3.5965207219158621E-2</v>
      </c>
      <c r="T145" s="117">
        <f t="shared" si="300"/>
        <v>3.8503720331600176E-2</v>
      </c>
      <c r="U145" s="134"/>
      <c r="V145" s="134"/>
      <c r="W145" s="134"/>
      <c r="X145" s="134"/>
      <c r="Y145" s="31">
        <f>$A$40</f>
        <v>20172</v>
      </c>
      <c r="Z145" s="116"/>
      <c r="AA145" s="117">
        <f t="shared" ref="AA145:AF145" si="301">IFERROR(AA110/AA75,"")</f>
        <v>7.1595908481763854E-3</v>
      </c>
      <c r="AB145" s="117">
        <f t="shared" si="301"/>
        <v>1.1566006243222833E-2</v>
      </c>
      <c r="AC145" s="117">
        <f t="shared" si="301"/>
        <v>2.166520026877989E-2</v>
      </c>
      <c r="AD145" s="117">
        <f t="shared" si="301"/>
        <v>2.9455817221035453E-2</v>
      </c>
      <c r="AE145" s="117">
        <f t="shared" si="301"/>
        <v>3.3321044940892705E-2</v>
      </c>
      <c r="AF145" s="117">
        <f t="shared" si="301"/>
        <v>3.759038667725443E-2</v>
      </c>
      <c r="AG145" s="134"/>
      <c r="AH145" s="134"/>
      <c r="AI145" s="134"/>
      <c r="AJ145" s="134"/>
      <c r="AK145" s="31">
        <f>$A$40</f>
        <v>20172</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20172</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20172</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20172</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20172</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20172</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20172</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20182</v>
      </c>
      <c r="B146" s="116"/>
      <c r="C146" s="117">
        <f t="shared" ref="C146:G146" si="309">IFERROR(C111/C76,"")</f>
        <v>9.3782019259841098E-3</v>
      </c>
      <c r="D146" s="117">
        <f t="shared" si="309"/>
        <v>1.6012023108975433E-2</v>
      </c>
      <c r="E146" s="117">
        <f t="shared" si="309"/>
        <v>2.5006142240565993E-2</v>
      </c>
      <c r="F146" s="117">
        <f t="shared" si="309"/>
        <v>3.3693720124620137E-2</v>
      </c>
      <c r="G146" s="117">
        <f t="shared" si="309"/>
        <v>4.126892281731042E-2</v>
      </c>
      <c r="H146" s="134"/>
      <c r="I146" s="134"/>
      <c r="J146" s="134"/>
      <c r="K146" s="134"/>
      <c r="L146" s="134"/>
      <c r="M146" s="31">
        <f>$A$41</f>
        <v>20182</v>
      </c>
      <c r="N146" s="116"/>
      <c r="O146" s="117">
        <f t="shared" ref="O146:S146" si="310">IFERROR(O111/O76,"")</f>
        <v>1.0180912725278792E-2</v>
      </c>
      <c r="P146" s="117">
        <f t="shared" si="310"/>
        <v>2.6184909614033833E-2</v>
      </c>
      <c r="Q146" s="117">
        <f t="shared" si="310"/>
        <v>3.2461872974679042E-2</v>
      </c>
      <c r="R146" s="117">
        <f t="shared" si="310"/>
        <v>3.885691950513194E-2</v>
      </c>
      <c r="S146" s="117">
        <f t="shared" si="310"/>
        <v>4.2929612274794755E-2</v>
      </c>
      <c r="T146" s="134"/>
      <c r="U146" s="134"/>
      <c r="V146" s="134"/>
      <c r="W146" s="134"/>
      <c r="X146" s="134"/>
      <c r="Y146" s="31">
        <f>$A$41</f>
        <v>20182</v>
      </c>
      <c r="Z146" s="116"/>
      <c r="AA146" s="117">
        <f t="shared" ref="AA146:AE146" si="311">IFERROR(AA111/AA76,"")</f>
        <v>9.5463895939626713E-3</v>
      </c>
      <c r="AB146" s="117">
        <f t="shared" si="311"/>
        <v>1.4733260409296295E-2</v>
      </c>
      <c r="AC146" s="117">
        <f t="shared" si="311"/>
        <v>2.0907607812418988E-2</v>
      </c>
      <c r="AD146" s="117">
        <f t="shared" si="311"/>
        <v>2.820709637712868E-2</v>
      </c>
      <c r="AE146" s="117">
        <f t="shared" si="311"/>
        <v>3.5053933656630155E-2</v>
      </c>
      <c r="AF146" s="134"/>
      <c r="AG146" s="134"/>
      <c r="AH146" s="134"/>
      <c r="AI146" s="134"/>
      <c r="AJ146" s="134"/>
      <c r="AK146" s="31">
        <f>$A$41</f>
        <v>20182</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20182</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20182</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20182</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20182</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20182</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20182</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20192</v>
      </c>
      <c r="B147" s="116"/>
      <c r="C147" s="117">
        <f t="shared" ref="C147:F147" si="319">IFERROR(C112/C77,"")</f>
        <v>7.8078408512621406E-3</v>
      </c>
      <c r="D147" s="117">
        <f t="shared" si="319"/>
        <v>1.4436546518083846E-2</v>
      </c>
      <c r="E147" s="117">
        <f t="shared" si="319"/>
        <v>2.3613981605403928E-2</v>
      </c>
      <c r="F147" s="117">
        <f t="shared" si="319"/>
        <v>3.0805676551040589E-2</v>
      </c>
      <c r="G147" s="134"/>
      <c r="H147" s="134"/>
      <c r="I147" s="134"/>
      <c r="J147" s="134"/>
      <c r="K147" s="134"/>
      <c r="L147" s="134"/>
      <c r="M147" s="31">
        <f>$A$42</f>
        <v>20192</v>
      </c>
      <c r="N147" s="116"/>
      <c r="O147" s="117">
        <f t="shared" ref="O147:R147" si="320">IFERROR(O112/O77,"")</f>
        <v>9.6169112909980474E-3</v>
      </c>
      <c r="P147" s="117">
        <f t="shared" si="320"/>
        <v>1.9783192671283891E-2</v>
      </c>
      <c r="Q147" s="117">
        <f t="shared" si="320"/>
        <v>2.6329087275887095E-2</v>
      </c>
      <c r="R147" s="117">
        <f t="shared" si="320"/>
        <v>2.9983317535776252E-2</v>
      </c>
      <c r="S147" s="134"/>
      <c r="T147" s="134"/>
      <c r="U147" s="134"/>
      <c r="V147" s="134"/>
      <c r="W147" s="134"/>
      <c r="X147" s="134"/>
      <c r="Y147" s="31">
        <f>$A$42</f>
        <v>20192</v>
      </c>
      <c r="Z147" s="116"/>
      <c r="AA147" s="117">
        <f t="shared" ref="AA147:AD147" si="321">IFERROR(AA112/AA77,"")</f>
        <v>8.1046700117150487E-3</v>
      </c>
      <c r="AB147" s="117">
        <f t="shared" si="321"/>
        <v>1.2565435573399642E-2</v>
      </c>
      <c r="AC147" s="117">
        <f t="shared" si="321"/>
        <v>1.9218066106706733E-2</v>
      </c>
      <c r="AD147" s="117">
        <f t="shared" si="321"/>
        <v>2.5599955518318968E-2</v>
      </c>
      <c r="AE147" s="134"/>
      <c r="AF147" s="134"/>
      <c r="AG147" s="134"/>
      <c r="AH147" s="134"/>
      <c r="AI147" s="134"/>
      <c r="AJ147" s="134"/>
      <c r="AK147" s="31">
        <f>$A$42</f>
        <v>20192</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20192</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20192</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20192</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20192</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20192</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20192</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20202</v>
      </c>
      <c r="B148" s="116"/>
      <c r="C148" s="117">
        <f t="shared" ref="C148:E148" si="329">IFERROR(C113/C78,"")</f>
        <v>1.1861030324052033E-2</v>
      </c>
      <c r="D148" s="117">
        <f t="shared" si="329"/>
        <v>1.7938450771993953E-2</v>
      </c>
      <c r="E148" s="117">
        <f t="shared" si="329"/>
        <v>2.6300942204531243E-2</v>
      </c>
      <c r="F148" s="134"/>
      <c r="G148" s="134"/>
      <c r="H148" s="134"/>
      <c r="I148" s="134"/>
      <c r="J148" s="134"/>
      <c r="K148" s="134"/>
      <c r="L148" s="134"/>
      <c r="M148" s="31">
        <f>$A$43</f>
        <v>20202</v>
      </c>
      <c r="N148" s="116"/>
      <c r="O148" s="117">
        <f t="shared" ref="O148:Q150" si="330">IFERROR(O113/O78,"")</f>
        <v>1.3394937676475592E-2</v>
      </c>
      <c r="P148" s="117">
        <f t="shared" si="330"/>
        <v>2.0558851317265616E-2</v>
      </c>
      <c r="Q148" s="117">
        <f t="shared" si="330"/>
        <v>3.0545762113080153E-2</v>
      </c>
      <c r="R148" s="134"/>
      <c r="S148" s="134"/>
      <c r="T148" s="134"/>
      <c r="U148" s="134"/>
      <c r="V148" s="134"/>
      <c r="W148" s="134"/>
      <c r="X148" s="134"/>
      <c r="Y148" s="31">
        <f>$A$43</f>
        <v>20202</v>
      </c>
      <c r="Z148" s="116"/>
      <c r="AA148" s="117">
        <f t="shared" ref="AA148:AC150" si="331">IFERROR(AA113/AA78,"")</f>
        <v>1.070500176936095E-2</v>
      </c>
      <c r="AB148" s="117">
        <f t="shared" si="331"/>
        <v>1.4353769045810654E-2</v>
      </c>
      <c r="AC148" s="117">
        <f t="shared" si="331"/>
        <v>2.1166821580467354E-2</v>
      </c>
      <c r="AD148" s="134"/>
      <c r="AE148" s="134"/>
      <c r="AF148" s="134"/>
      <c r="AG148" s="134"/>
      <c r="AH148" s="134"/>
      <c r="AI148" s="134"/>
      <c r="AJ148" s="134"/>
      <c r="AK148" s="31">
        <f>$A$43</f>
        <v>20202</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20202</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20202</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20202</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20202</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20202</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20202</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20212</v>
      </c>
      <c r="B149" s="116"/>
      <c r="C149" s="117">
        <f t="shared" ref="C149" si="339">IFERROR(C114/C79,"")</f>
        <v>1.4948640502998952E-2</v>
      </c>
      <c r="D149" s="117">
        <f>IFERROR(D114/D79,"")</f>
        <v>2.062621578125777E-2</v>
      </c>
      <c r="E149" s="134"/>
      <c r="F149" s="134"/>
      <c r="G149" s="134"/>
      <c r="H149" s="134"/>
      <c r="I149" s="134"/>
      <c r="J149" s="134"/>
      <c r="K149" s="134"/>
      <c r="L149" s="134"/>
      <c r="M149" s="31">
        <f>$A$44</f>
        <v>20212</v>
      </c>
      <c r="N149" s="116"/>
      <c r="O149" s="117">
        <f t="shared" si="330"/>
        <v>1.1953854928325017E-2</v>
      </c>
      <c r="P149" s="117">
        <f>IFERROR(P114/P79,"")</f>
        <v>2.6945088393000634E-2</v>
      </c>
      <c r="Q149" s="134"/>
      <c r="R149" s="134"/>
      <c r="S149" s="134"/>
      <c r="T149" s="134"/>
      <c r="U149" s="134"/>
      <c r="V149" s="134"/>
      <c r="W149" s="134"/>
      <c r="X149" s="134"/>
      <c r="Y149" s="31">
        <f>$A$44</f>
        <v>20212</v>
      </c>
      <c r="Z149" s="116"/>
      <c r="AA149" s="117">
        <f t="shared" si="331"/>
        <v>1.5243933837313527E-2</v>
      </c>
      <c r="AB149" s="117">
        <f>IFERROR(AB114/AB79,"")</f>
        <v>1.8238860595229601E-2</v>
      </c>
      <c r="AC149" s="134"/>
      <c r="AD149" s="134"/>
      <c r="AE149" s="134"/>
      <c r="AF149" s="134"/>
      <c r="AG149" s="134"/>
      <c r="AH149" s="134"/>
      <c r="AI149" s="134"/>
      <c r="AJ149" s="134"/>
      <c r="AK149" s="31">
        <f>$A$44</f>
        <v>20212</v>
      </c>
      <c r="AL149" s="116"/>
      <c r="AM149" s="117" t="str">
        <f t="shared" si="332"/>
        <v/>
      </c>
      <c r="AN149" s="117" t="str">
        <f>IFERROR(AN114/AN79,"")</f>
        <v/>
      </c>
      <c r="AO149" s="134"/>
      <c r="AP149" s="134"/>
      <c r="AQ149" s="134"/>
      <c r="AR149" s="134"/>
      <c r="AS149" s="134"/>
      <c r="AT149" s="134"/>
      <c r="AU149" s="134"/>
      <c r="AV149" s="134"/>
      <c r="AW149" s="31">
        <f>$A$44</f>
        <v>20212</v>
      </c>
      <c r="AX149" s="116"/>
      <c r="AY149" s="117" t="str">
        <f t="shared" si="333"/>
        <v/>
      </c>
      <c r="AZ149" s="117" t="str">
        <f>IFERROR(AZ114/AZ79,"")</f>
        <v/>
      </c>
      <c r="BA149" s="134"/>
      <c r="BB149" s="134"/>
      <c r="BC149" s="134"/>
      <c r="BD149" s="134"/>
      <c r="BE149" s="134"/>
      <c r="BF149" s="134"/>
      <c r="BG149" s="134"/>
      <c r="BH149" s="134"/>
      <c r="BI149" s="31">
        <f>$A$44</f>
        <v>20212</v>
      </c>
      <c r="BJ149" s="116"/>
      <c r="BK149" s="117" t="str">
        <f t="shared" si="334"/>
        <v/>
      </c>
      <c r="BL149" s="117" t="str">
        <f>IFERROR(BL114/BL79,"")</f>
        <v/>
      </c>
      <c r="BM149" s="134"/>
      <c r="BN149" s="134"/>
      <c r="BO149" s="134"/>
      <c r="BP149" s="134"/>
      <c r="BQ149" s="134"/>
      <c r="BR149" s="134"/>
      <c r="BS149" s="134"/>
      <c r="BT149" s="134"/>
      <c r="BU149" s="31">
        <f>$A$44</f>
        <v>20212</v>
      </c>
      <c r="BV149" s="116"/>
      <c r="BW149" s="117" t="str">
        <f t="shared" si="335"/>
        <v/>
      </c>
      <c r="BX149" s="117" t="str">
        <f>IFERROR(BX114/BX79,"")</f>
        <v/>
      </c>
      <c r="BY149" s="134"/>
      <c r="BZ149" s="134"/>
      <c r="CA149" s="134"/>
      <c r="CB149" s="134"/>
      <c r="CC149" s="134"/>
      <c r="CD149" s="134"/>
      <c r="CE149" s="134"/>
      <c r="CF149" s="134"/>
      <c r="CG149" s="31">
        <f>$A$44</f>
        <v>20212</v>
      </c>
      <c r="CH149" s="116"/>
      <c r="CI149" s="117" t="str">
        <f t="shared" si="336"/>
        <v/>
      </c>
      <c r="CJ149" s="117" t="str">
        <f>IFERROR(CJ114/CJ79,"")</f>
        <v/>
      </c>
      <c r="CK149" s="134"/>
      <c r="CL149" s="134"/>
      <c r="CM149" s="134"/>
      <c r="CN149" s="134"/>
      <c r="CO149" s="134"/>
      <c r="CP149" s="134"/>
      <c r="CQ149" s="134"/>
      <c r="CR149" s="134"/>
      <c r="CS149" s="31">
        <f>$A$44</f>
        <v>20212</v>
      </c>
      <c r="CT149" s="116"/>
      <c r="CU149" s="117" t="str">
        <f t="shared" si="337"/>
        <v/>
      </c>
      <c r="CV149" s="117" t="str">
        <f>IFERROR(CV114/CV79,"")</f>
        <v/>
      </c>
      <c r="CW149" s="134"/>
      <c r="CX149" s="134"/>
      <c r="CY149" s="134"/>
      <c r="CZ149" s="134"/>
      <c r="DA149" s="134"/>
      <c r="DB149" s="134"/>
      <c r="DC149" s="134"/>
      <c r="DD149" s="134"/>
      <c r="DE149" s="31">
        <f>$A$44</f>
        <v>20212</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20222</v>
      </c>
      <c r="B150" s="116"/>
      <c r="C150" s="117">
        <f t="shared" ref="C150" si="340">IFERROR(C115/C80,"")</f>
        <v>1.1180873672061126E-2</v>
      </c>
      <c r="D150" s="134"/>
      <c r="E150" s="134"/>
      <c r="F150" s="134"/>
      <c r="G150" s="134"/>
      <c r="H150" s="134"/>
      <c r="I150" s="134"/>
      <c r="J150" s="134"/>
      <c r="K150" s="134"/>
      <c r="L150" s="134"/>
      <c r="M150" s="31">
        <f>$A$45</f>
        <v>20222</v>
      </c>
      <c r="N150" s="116"/>
      <c r="O150" s="117">
        <f t="shared" si="330"/>
        <v>1.0711859844590646E-2</v>
      </c>
      <c r="P150" s="134"/>
      <c r="Q150" s="134"/>
      <c r="R150" s="134"/>
      <c r="S150" s="134"/>
      <c r="T150" s="134"/>
      <c r="U150" s="134"/>
      <c r="V150" s="134"/>
      <c r="W150" s="134"/>
      <c r="X150" s="134"/>
      <c r="Y150" s="31">
        <f>$A$45</f>
        <v>20222</v>
      </c>
      <c r="Z150" s="116"/>
      <c r="AA150" s="117">
        <f t="shared" si="331"/>
        <v>1.5334544826911409E-2</v>
      </c>
      <c r="AB150" s="134"/>
      <c r="AC150" s="134"/>
      <c r="AD150" s="134"/>
      <c r="AE150" s="134"/>
      <c r="AF150" s="134"/>
      <c r="AG150" s="134"/>
      <c r="AH150" s="134"/>
      <c r="AI150" s="134"/>
      <c r="AJ150" s="134"/>
      <c r="AK150" s="31">
        <f>$A$45</f>
        <v>20222</v>
      </c>
      <c r="AL150" s="116"/>
      <c r="AM150" s="117" t="str">
        <f t="shared" si="332"/>
        <v/>
      </c>
      <c r="AN150" s="134"/>
      <c r="AO150" s="134"/>
      <c r="AP150" s="134"/>
      <c r="AQ150" s="134"/>
      <c r="AR150" s="134"/>
      <c r="AS150" s="134"/>
      <c r="AT150" s="134"/>
      <c r="AU150" s="134"/>
      <c r="AV150" s="134"/>
      <c r="AW150" s="31">
        <f>$A$45</f>
        <v>20222</v>
      </c>
      <c r="AX150" s="116"/>
      <c r="AY150" s="117" t="str">
        <f t="shared" si="333"/>
        <v/>
      </c>
      <c r="AZ150" s="134"/>
      <c r="BA150" s="134"/>
      <c r="BB150" s="134"/>
      <c r="BC150" s="134"/>
      <c r="BD150" s="134"/>
      <c r="BE150" s="134"/>
      <c r="BF150" s="134"/>
      <c r="BG150" s="134"/>
      <c r="BH150" s="134"/>
      <c r="BI150" s="31">
        <f>$A$45</f>
        <v>20222</v>
      </c>
      <c r="BJ150" s="116"/>
      <c r="BK150" s="117" t="str">
        <f t="shared" si="334"/>
        <v/>
      </c>
      <c r="BL150" s="134"/>
      <c r="BM150" s="134"/>
      <c r="BN150" s="134"/>
      <c r="BO150" s="134"/>
      <c r="BP150" s="134"/>
      <c r="BQ150" s="134"/>
      <c r="BR150" s="134"/>
      <c r="BS150" s="134"/>
      <c r="BT150" s="134"/>
      <c r="BU150" s="31">
        <f>$A$45</f>
        <v>20222</v>
      </c>
      <c r="BV150" s="116"/>
      <c r="BW150" s="117" t="str">
        <f t="shared" si="335"/>
        <v/>
      </c>
      <c r="BX150" s="134"/>
      <c r="BY150" s="134"/>
      <c r="BZ150" s="134"/>
      <c r="CA150" s="134"/>
      <c r="CB150" s="134"/>
      <c r="CC150" s="134"/>
      <c r="CD150" s="134"/>
      <c r="CE150" s="134"/>
      <c r="CF150" s="134"/>
      <c r="CG150" s="31">
        <f>$A$45</f>
        <v>20222</v>
      </c>
      <c r="CH150" s="116"/>
      <c r="CI150" s="117" t="str">
        <f t="shared" si="336"/>
        <v/>
      </c>
      <c r="CJ150" s="134"/>
      <c r="CK150" s="134"/>
      <c r="CL150" s="134"/>
      <c r="CM150" s="134"/>
      <c r="CN150" s="134"/>
      <c r="CO150" s="134"/>
      <c r="CP150" s="134"/>
      <c r="CQ150" s="134"/>
      <c r="CR150" s="134"/>
      <c r="CS150" s="31">
        <f>$A$45</f>
        <v>20222</v>
      </c>
      <c r="CT150" s="116"/>
      <c r="CU150" s="117" t="str">
        <f t="shared" si="337"/>
        <v/>
      </c>
      <c r="CV150" s="134"/>
      <c r="CW150" s="134"/>
      <c r="CX150" s="134"/>
      <c r="CY150" s="134"/>
      <c r="CZ150" s="134"/>
      <c r="DA150" s="134"/>
      <c r="DB150" s="134"/>
      <c r="DC150" s="134"/>
      <c r="DD150" s="134"/>
      <c r="DE150" s="31">
        <f>$A$45</f>
        <v>20222</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Data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Data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Data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Data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Data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Data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Data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Data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Data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20132</v>
      </c>
      <c r="B154" s="105"/>
      <c r="C154" s="90">
        <f>IFERROR(D141/C141,"")</f>
        <v>2.1839617675446554</v>
      </c>
      <c r="D154" s="90">
        <f t="shared" ref="D154:K155" si="341">IFERROR(E141/D141,"")</f>
        <v>1.6309805593509663</v>
      </c>
      <c r="E154" s="90">
        <f t="shared" si="341"/>
        <v>1.2910120736938226</v>
      </c>
      <c r="F154" s="90">
        <f t="shared" si="341"/>
        <v>1.1550765406049412</v>
      </c>
      <c r="G154" s="90">
        <f t="shared" si="341"/>
        <v>1.0576870193674079</v>
      </c>
      <c r="H154" s="90">
        <f t="shared" si="341"/>
        <v>1.0167329146006574</v>
      </c>
      <c r="I154" s="90">
        <f t="shared" si="341"/>
        <v>1.0108670850364558</v>
      </c>
      <c r="J154" s="90">
        <f t="shared" si="341"/>
        <v>1.0142536294327174</v>
      </c>
      <c r="K154" s="90">
        <f t="shared" si="341"/>
        <v>1.011704522874677</v>
      </c>
      <c r="L154" s="22"/>
      <c r="M154" s="91">
        <f>$A$36</f>
        <v>20132</v>
      </c>
      <c r="N154" s="105"/>
      <c r="O154" s="90">
        <f>IFERROR(P141/O141,"")</f>
        <v>2.1665288100736544</v>
      </c>
      <c r="P154" s="90">
        <f t="shared" ref="P154:W154" si="342">IFERROR(Q141/P141,"")</f>
        <v>1.3825833074624863</v>
      </c>
      <c r="Q154" s="90">
        <f t="shared" si="342"/>
        <v>1.2032650134148952</v>
      </c>
      <c r="R154" s="90">
        <f t="shared" si="342"/>
        <v>1.1126784286384539</v>
      </c>
      <c r="S154" s="90">
        <f t="shared" si="342"/>
        <v>1.1017061882111452</v>
      </c>
      <c r="T154" s="90">
        <f t="shared" si="342"/>
        <v>1.0754631876067375</v>
      </c>
      <c r="U154" s="90">
        <f t="shared" si="342"/>
        <v>1.0436202327191897</v>
      </c>
      <c r="V154" s="90">
        <f t="shared" si="342"/>
        <v>1.005126726864243</v>
      </c>
      <c r="W154" s="90">
        <f t="shared" si="342"/>
        <v>1.000630143267939</v>
      </c>
      <c r="X154" s="22"/>
      <c r="Y154" s="91">
        <f>$A$36</f>
        <v>20132</v>
      </c>
      <c r="Z154" s="105"/>
      <c r="AA154" s="90">
        <f>IFERROR(AB141/AA141,"")</f>
        <v>2.3154572031452347</v>
      </c>
      <c r="AB154" s="90">
        <f t="shared" ref="AB154:AI154" si="343">IFERROR(AC141/AB141,"")</f>
        <v>1.6865639844004761</v>
      </c>
      <c r="AC154" s="90">
        <f t="shared" si="343"/>
        <v>1.4212305360994839</v>
      </c>
      <c r="AD154" s="90">
        <f t="shared" si="343"/>
        <v>1.2329201038651632</v>
      </c>
      <c r="AE154" s="90">
        <f t="shared" si="343"/>
        <v>1.080475186204664</v>
      </c>
      <c r="AF154" s="90">
        <f t="shared" si="343"/>
        <v>1.0376817075566174</v>
      </c>
      <c r="AG154" s="90">
        <f t="shared" si="343"/>
        <v>1.01354709868014</v>
      </c>
      <c r="AH154" s="90">
        <f t="shared" si="343"/>
        <v>1</v>
      </c>
      <c r="AI154" s="90">
        <f t="shared" si="343"/>
        <v>0.99720468078901281</v>
      </c>
      <c r="AJ154" s="22"/>
      <c r="AK154" s="91">
        <f>$A$36</f>
        <v>20132</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20132</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20132</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20132</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20132</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20132</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20132</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20142</v>
      </c>
      <c r="B155" s="105"/>
      <c r="C155" s="90">
        <f t="shared" ref="C155:I162" si="351">IFERROR(D142/C142,"")</f>
        <v>2.13156941104711</v>
      </c>
      <c r="D155" s="90">
        <f t="shared" si="351"/>
        <v>1.6663268082579001</v>
      </c>
      <c r="E155" s="90">
        <f t="shared" si="351"/>
        <v>1.4572232427838967</v>
      </c>
      <c r="F155" s="90">
        <f t="shared" si="351"/>
        <v>1.1413098044436978</v>
      </c>
      <c r="G155" s="90">
        <f t="shared" si="351"/>
        <v>1.0451507170844174</v>
      </c>
      <c r="H155" s="90">
        <f t="shared" si="351"/>
        <v>1.0164480267656162</v>
      </c>
      <c r="I155" s="90">
        <f t="shared" si="351"/>
        <v>1.0093575822790604</v>
      </c>
      <c r="J155" s="90">
        <f t="shared" si="341"/>
        <v>1.0095940465969859</v>
      </c>
      <c r="K155" s="22"/>
      <c r="L155" s="22"/>
      <c r="M155" s="91">
        <f>$A$37</f>
        <v>20142</v>
      </c>
      <c r="N155" s="105"/>
      <c r="O155" s="90">
        <f t="shared" ref="O155:V162" si="352">IFERROR(P142/O142,"")</f>
        <v>2.3435597341854351</v>
      </c>
      <c r="P155" s="90">
        <f t="shared" si="352"/>
        <v>2.1335354604893655</v>
      </c>
      <c r="Q155" s="90">
        <f t="shared" si="352"/>
        <v>1.7179488125647555</v>
      </c>
      <c r="R155" s="90">
        <f t="shared" si="352"/>
        <v>1.0946365285593891</v>
      </c>
      <c r="S155" s="90">
        <f t="shared" si="352"/>
        <v>1.0317434635992382</v>
      </c>
      <c r="T155" s="90">
        <f t="shared" si="352"/>
        <v>1.0191329515429011</v>
      </c>
      <c r="U155" s="90">
        <f t="shared" si="352"/>
        <v>1.0102304477489581</v>
      </c>
      <c r="V155" s="90">
        <f t="shared" si="352"/>
        <v>0.99927535584327387</v>
      </c>
      <c r="W155" s="22"/>
      <c r="X155" s="22"/>
      <c r="Y155" s="91">
        <f>$A$37</f>
        <v>20142</v>
      </c>
      <c r="Z155" s="105"/>
      <c r="AA155" s="90">
        <f t="shared" ref="AA155:AH162" si="353">IFERROR(AB142/AA142,"")</f>
        <v>1.7150377367241962</v>
      </c>
      <c r="AB155" s="90">
        <f t="shared" si="353"/>
        <v>1.4658673402959936</v>
      </c>
      <c r="AC155" s="90">
        <f t="shared" si="353"/>
        <v>1.2816547264779592</v>
      </c>
      <c r="AD155" s="90">
        <f t="shared" si="353"/>
        <v>1.0271361335754827</v>
      </c>
      <c r="AE155" s="90">
        <f t="shared" si="353"/>
        <v>1.0436721904319213</v>
      </c>
      <c r="AF155" s="90">
        <f t="shared" si="353"/>
        <v>1.0371555422752707</v>
      </c>
      <c r="AG155" s="90">
        <f t="shared" si="353"/>
        <v>1.0627562372305475</v>
      </c>
      <c r="AH155" s="90">
        <f t="shared" si="353"/>
        <v>1.0713241240000875</v>
      </c>
      <c r="AI155" s="22"/>
      <c r="AJ155" s="22"/>
      <c r="AK155" s="91">
        <f>$A$37</f>
        <v>20142</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20142</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20142</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20142</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20142</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20142</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20142</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20152</v>
      </c>
      <c r="B156" s="105"/>
      <c r="C156" s="90">
        <f t="shared" si="351"/>
        <v>2.0934860541308224</v>
      </c>
      <c r="D156" s="90">
        <f t="shared" si="351"/>
        <v>1.6351593183628477</v>
      </c>
      <c r="E156" s="90">
        <f t="shared" si="351"/>
        <v>1.4296870922350116</v>
      </c>
      <c r="F156" s="90">
        <f t="shared" si="351"/>
        <v>1.2444040730266548</v>
      </c>
      <c r="G156" s="90">
        <f t="shared" si="351"/>
        <v>1.1073632002149787</v>
      </c>
      <c r="H156" s="90">
        <f t="shared" si="351"/>
        <v>1.0200049113134755</v>
      </c>
      <c r="I156" s="90">
        <f t="shared" si="351"/>
        <v>1.009627372908972</v>
      </c>
      <c r="J156" s="22"/>
      <c r="K156" s="22"/>
      <c r="L156" s="22"/>
      <c r="M156" s="91">
        <f>$A$38</f>
        <v>20152</v>
      </c>
      <c r="N156" s="105"/>
      <c r="O156" s="90">
        <f t="shared" si="352"/>
        <v>2.2998331211937835</v>
      </c>
      <c r="P156" s="90">
        <f t="shared" si="352"/>
        <v>1.6700642454934016</v>
      </c>
      <c r="Q156" s="90">
        <f t="shared" si="352"/>
        <v>1.303634639306849</v>
      </c>
      <c r="R156" s="90">
        <f t="shared" si="352"/>
        <v>1.0595306508846039</v>
      </c>
      <c r="S156" s="90">
        <f t="shared" si="352"/>
        <v>1.0190179366351684</v>
      </c>
      <c r="T156" s="90">
        <f t="shared" si="352"/>
        <v>1.0044735954943569</v>
      </c>
      <c r="U156" s="90">
        <f t="shared" si="352"/>
        <v>1.0022103441045489</v>
      </c>
      <c r="V156" s="22"/>
      <c r="W156" s="22"/>
      <c r="X156" s="22"/>
      <c r="Y156" s="91">
        <f>$A$38</f>
        <v>20152</v>
      </c>
      <c r="Z156" s="105"/>
      <c r="AA156" s="90">
        <f t="shared" si="353"/>
        <v>2.087056134386386</v>
      </c>
      <c r="AB156" s="90">
        <f t="shared" si="353"/>
        <v>1.3261057205690603</v>
      </c>
      <c r="AC156" s="90">
        <f t="shared" si="353"/>
        <v>1.1962413580406459</v>
      </c>
      <c r="AD156" s="90">
        <f t="shared" si="353"/>
        <v>1.1384115440466758</v>
      </c>
      <c r="AE156" s="90">
        <f t="shared" si="353"/>
        <v>1.1068737174604679</v>
      </c>
      <c r="AF156" s="90">
        <f t="shared" si="353"/>
        <v>1.0094705777460191</v>
      </c>
      <c r="AG156" s="90">
        <f t="shared" si="353"/>
        <v>1.0416412497236478</v>
      </c>
      <c r="AH156" s="22"/>
      <c r="AI156" s="22"/>
      <c r="AJ156" s="22"/>
      <c r="AK156" s="91">
        <f>$A$38</f>
        <v>20152</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20152</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20152</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20152</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20152</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20152</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20152</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20162</v>
      </c>
      <c r="B157" s="105"/>
      <c r="C157" s="90">
        <f t="shared" si="351"/>
        <v>1.8721022903329094</v>
      </c>
      <c r="D157" s="90">
        <f t="shared" si="351"/>
        <v>1.5291129353596524</v>
      </c>
      <c r="E157" s="90">
        <f t="shared" si="351"/>
        <v>1.4168334990497704</v>
      </c>
      <c r="F157" s="90">
        <f t="shared" si="351"/>
        <v>1.2089312685093148</v>
      </c>
      <c r="G157" s="90">
        <f t="shared" si="351"/>
        <v>1.0650554543546007</v>
      </c>
      <c r="H157" s="90">
        <f t="shared" si="351"/>
        <v>1.0301563772382476</v>
      </c>
      <c r="I157" s="22"/>
      <c r="J157" s="22"/>
      <c r="K157" s="22"/>
      <c r="L157" s="22"/>
      <c r="M157" s="91">
        <f>$A$39</f>
        <v>20162</v>
      </c>
      <c r="N157" s="105"/>
      <c r="O157" s="90">
        <f t="shared" si="352"/>
        <v>1.9046686085165168</v>
      </c>
      <c r="P157" s="90">
        <f t="shared" si="352"/>
        <v>1.4301780515175075</v>
      </c>
      <c r="Q157" s="90">
        <f t="shared" si="352"/>
        <v>1.3158439396442887</v>
      </c>
      <c r="R157" s="90">
        <f t="shared" si="352"/>
        <v>1.1735203486784695</v>
      </c>
      <c r="S157" s="90">
        <f t="shared" si="352"/>
        <v>1.0776169820518309</v>
      </c>
      <c r="T157" s="90">
        <f t="shared" si="352"/>
        <v>1.01275643104987</v>
      </c>
      <c r="U157" s="22"/>
      <c r="V157" s="22"/>
      <c r="W157" s="22"/>
      <c r="X157" s="22"/>
      <c r="Y157" s="91">
        <f>$A$39</f>
        <v>20162</v>
      </c>
      <c r="Z157" s="105"/>
      <c r="AA157" s="90">
        <f t="shared" si="353"/>
        <v>1.8301233436847135</v>
      </c>
      <c r="AB157" s="90">
        <f t="shared" si="353"/>
        <v>1.4430886314616216</v>
      </c>
      <c r="AC157" s="90">
        <f t="shared" si="353"/>
        <v>1.254059181244632</v>
      </c>
      <c r="AD157" s="90">
        <f t="shared" si="353"/>
        <v>1.1541489198558748</v>
      </c>
      <c r="AE157" s="90">
        <f t="shared" si="353"/>
        <v>1.023205574224199</v>
      </c>
      <c r="AF157" s="90">
        <f t="shared" si="353"/>
        <v>1.0007878430404944</v>
      </c>
      <c r="AG157" s="22"/>
      <c r="AH157" s="22"/>
      <c r="AI157" s="22"/>
      <c r="AJ157" s="22"/>
      <c r="AK157" s="91">
        <f>$A$39</f>
        <v>20162</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20162</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20162</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20162</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20162</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20162</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20162</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20172</v>
      </c>
      <c r="B158" s="105"/>
      <c r="C158" s="90">
        <f t="shared" si="351"/>
        <v>1.7394650506277805</v>
      </c>
      <c r="D158" s="90">
        <f t="shared" si="351"/>
        <v>1.6520110300120145</v>
      </c>
      <c r="E158" s="90">
        <f t="shared" si="351"/>
        <v>1.4085188005073102</v>
      </c>
      <c r="F158" s="90">
        <f t="shared" si="351"/>
        <v>1.1673946553588574</v>
      </c>
      <c r="G158" s="90">
        <f t="shared" si="351"/>
        <v>1.0948311775113206</v>
      </c>
      <c r="H158" s="22"/>
      <c r="I158" s="22"/>
      <c r="J158" s="22"/>
      <c r="K158" s="22"/>
      <c r="L158" s="22"/>
      <c r="M158" s="91">
        <f>$A$40</f>
        <v>20172</v>
      </c>
      <c r="N158" s="105"/>
      <c r="O158" s="90">
        <f t="shared" si="352"/>
        <v>1.7594800903934928</v>
      </c>
      <c r="P158" s="90">
        <f t="shared" si="352"/>
        <v>1.3323341119123011</v>
      </c>
      <c r="Q158" s="90">
        <f t="shared" si="352"/>
        <v>1.1456726621664994</v>
      </c>
      <c r="R158" s="90">
        <f t="shared" si="352"/>
        <v>1.1178737966974819</v>
      </c>
      <c r="S158" s="90">
        <f t="shared" si="352"/>
        <v>1.0705824686890526</v>
      </c>
      <c r="T158" s="22"/>
      <c r="U158" s="22"/>
      <c r="V158" s="22"/>
      <c r="W158" s="22"/>
      <c r="X158" s="22"/>
      <c r="Y158" s="91">
        <f>$A$40</f>
        <v>20172</v>
      </c>
      <c r="Z158" s="105"/>
      <c r="AA158" s="90">
        <f t="shared" si="353"/>
        <v>1.6154563142625395</v>
      </c>
      <c r="AB158" s="90">
        <f t="shared" si="353"/>
        <v>1.8731790224888334</v>
      </c>
      <c r="AC158" s="90">
        <f t="shared" si="353"/>
        <v>1.359591273360258</v>
      </c>
      <c r="AD158" s="90">
        <f t="shared" si="353"/>
        <v>1.1312212012606107</v>
      </c>
      <c r="AE158" s="90">
        <f t="shared" si="353"/>
        <v>1.1281274865159538</v>
      </c>
      <c r="AF158" s="22"/>
      <c r="AG158" s="22"/>
      <c r="AH158" s="22"/>
      <c r="AI158" s="22"/>
      <c r="AJ158" s="22"/>
      <c r="AK158" s="91">
        <f>$A$40</f>
        <v>20172</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20172</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20172</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20172</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20172</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20172</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20172</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20182</v>
      </c>
      <c r="B159" s="105"/>
      <c r="C159" s="90">
        <f t="shared" si="351"/>
        <v>1.7073659999376904</v>
      </c>
      <c r="D159" s="90">
        <f t="shared" si="351"/>
        <v>1.561710351676233</v>
      </c>
      <c r="E159" s="90">
        <f t="shared" si="351"/>
        <v>1.3474177584242002</v>
      </c>
      <c r="F159" s="90">
        <f t="shared" si="351"/>
        <v>1.2248253580985571</v>
      </c>
      <c r="G159" s="22"/>
      <c r="H159" s="22"/>
      <c r="I159" s="22"/>
      <c r="J159" s="22"/>
      <c r="K159" s="22"/>
      <c r="L159" s="22"/>
      <c r="M159" s="91">
        <f>$A$41</f>
        <v>20182</v>
      </c>
      <c r="N159" s="105"/>
      <c r="O159" s="90">
        <f t="shared" si="352"/>
        <v>2.5719609155491301</v>
      </c>
      <c r="P159" s="90">
        <f t="shared" si="352"/>
        <v>1.2397168236655307</v>
      </c>
      <c r="Q159" s="90">
        <f t="shared" si="352"/>
        <v>1.1970017729858402</v>
      </c>
      <c r="R159" s="90">
        <f t="shared" si="352"/>
        <v>1.1048125487437295</v>
      </c>
      <c r="S159" s="22"/>
      <c r="T159" s="22"/>
      <c r="U159" s="22"/>
      <c r="V159" s="22"/>
      <c r="W159" s="22"/>
      <c r="X159" s="22"/>
      <c r="Y159" s="91">
        <f>$A$41</f>
        <v>20182</v>
      </c>
      <c r="Z159" s="105"/>
      <c r="AA159" s="90">
        <f t="shared" si="353"/>
        <v>1.5433332428223865</v>
      </c>
      <c r="AB159" s="90">
        <f t="shared" si="353"/>
        <v>1.4190754274068791</v>
      </c>
      <c r="AC159" s="90">
        <f t="shared" si="353"/>
        <v>1.3491307389252749</v>
      </c>
      <c r="AD159" s="90">
        <f t="shared" si="353"/>
        <v>1.242734565371753</v>
      </c>
      <c r="AE159" s="22"/>
      <c r="AF159" s="22"/>
      <c r="AG159" s="22"/>
      <c r="AH159" s="22"/>
      <c r="AI159" s="22"/>
      <c r="AJ159" s="22"/>
      <c r="AK159" s="91">
        <f>$A$41</f>
        <v>20182</v>
      </c>
      <c r="AL159" s="105"/>
      <c r="AM159" s="90" t="str">
        <f t="shared" si="354"/>
        <v/>
      </c>
      <c r="AN159" s="90" t="str">
        <f t="shared" si="354"/>
        <v/>
      </c>
      <c r="AO159" s="90" t="str">
        <f t="shared" si="354"/>
        <v/>
      </c>
      <c r="AP159" s="90" t="str">
        <f t="shared" si="354"/>
        <v/>
      </c>
      <c r="AQ159" s="22"/>
      <c r="AR159" s="22"/>
      <c r="AS159" s="22"/>
      <c r="AT159" s="22"/>
      <c r="AU159" s="22"/>
      <c r="AV159" s="22"/>
      <c r="AW159" s="91">
        <f>$A$41</f>
        <v>20182</v>
      </c>
      <c r="AX159" s="105"/>
      <c r="AY159" s="90" t="str">
        <f t="shared" si="355"/>
        <v/>
      </c>
      <c r="AZ159" s="90" t="str">
        <f t="shared" si="355"/>
        <v/>
      </c>
      <c r="BA159" s="90" t="str">
        <f t="shared" si="355"/>
        <v/>
      </c>
      <c r="BB159" s="90" t="str">
        <f t="shared" si="355"/>
        <v/>
      </c>
      <c r="BC159" s="22"/>
      <c r="BD159" s="22"/>
      <c r="BE159" s="22"/>
      <c r="BF159" s="22"/>
      <c r="BG159" s="22"/>
      <c r="BH159" s="22"/>
      <c r="BI159" s="91">
        <f>$A$41</f>
        <v>20182</v>
      </c>
      <c r="BJ159" s="105"/>
      <c r="BK159" s="90" t="str">
        <f t="shared" si="356"/>
        <v/>
      </c>
      <c r="BL159" s="90" t="str">
        <f t="shared" si="356"/>
        <v/>
      </c>
      <c r="BM159" s="90" t="str">
        <f t="shared" si="356"/>
        <v/>
      </c>
      <c r="BN159" s="90" t="str">
        <f t="shared" si="356"/>
        <v/>
      </c>
      <c r="BO159" s="22"/>
      <c r="BP159" s="22"/>
      <c r="BQ159" s="22"/>
      <c r="BR159" s="22"/>
      <c r="BS159" s="22"/>
      <c r="BT159" s="22"/>
      <c r="BU159" s="91">
        <f>$A$41</f>
        <v>20182</v>
      </c>
      <c r="BV159" s="105"/>
      <c r="BW159" s="90" t="str">
        <f t="shared" si="357"/>
        <v/>
      </c>
      <c r="BX159" s="90" t="str">
        <f t="shared" si="357"/>
        <v/>
      </c>
      <c r="BY159" s="90" t="str">
        <f t="shared" si="357"/>
        <v/>
      </c>
      <c r="BZ159" s="90" t="str">
        <f t="shared" si="357"/>
        <v/>
      </c>
      <c r="CA159" s="22"/>
      <c r="CB159" s="22"/>
      <c r="CC159" s="22"/>
      <c r="CD159" s="22"/>
      <c r="CE159" s="22"/>
      <c r="CF159" s="22"/>
      <c r="CG159" s="91">
        <f>$A$41</f>
        <v>20182</v>
      </c>
      <c r="CH159" s="105"/>
      <c r="CI159" s="90" t="str">
        <f t="shared" si="358"/>
        <v/>
      </c>
      <c r="CJ159" s="90" t="str">
        <f t="shared" si="358"/>
        <v/>
      </c>
      <c r="CK159" s="90" t="str">
        <f t="shared" si="358"/>
        <v/>
      </c>
      <c r="CL159" s="90" t="str">
        <f t="shared" si="358"/>
        <v/>
      </c>
      <c r="CM159" s="22"/>
      <c r="CN159" s="22"/>
      <c r="CO159" s="22"/>
      <c r="CP159" s="22"/>
      <c r="CQ159" s="22"/>
      <c r="CR159" s="22"/>
      <c r="CS159" s="91">
        <f>$A$41</f>
        <v>20182</v>
      </c>
      <c r="CT159" s="105"/>
      <c r="CU159" s="90" t="str">
        <f t="shared" si="359"/>
        <v/>
      </c>
      <c r="CV159" s="90" t="str">
        <f t="shared" si="359"/>
        <v/>
      </c>
      <c r="CW159" s="90" t="str">
        <f t="shared" si="359"/>
        <v/>
      </c>
      <c r="CX159" s="90" t="str">
        <f t="shared" si="359"/>
        <v/>
      </c>
      <c r="CY159" s="22"/>
      <c r="CZ159" s="22"/>
      <c r="DA159" s="22"/>
      <c r="DB159" s="22"/>
      <c r="DC159" s="22"/>
      <c r="DD159" s="22"/>
      <c r="DE159" s="91">
        <f>$A$41</f>
        <v>20182</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20192</v>
      </c>
      <c r="B160" s="105"/>
      <c r="C160" s="90">
        <f t="shared" si="351"/>
        <v>1.8489806328147906</v>
      </c>
      <c r="D160" s="90">
        <f t="shared" si="351"/>
        <v>1.6357084830381023</v>
      </c>
      <c r="E160" s="90">
        <f t="shared" si="351"/>
        <v>1.3045524073750816</v>
      </c>
      <c r="F160" s="22"/>
      <c r="G160" s="22"/>
      <c r="H160" s="22"/>
      <c r="I160" s="22"/>
      <c r="J160" s="22"/>
      <c r="K160" s="22"/>
      <c r="L160" s="22"/>
      <c r="M160" s="91">
        <f>$A$42</f>
        <v>20192</v>
      </c>
      <c r="N160" s="105"/>
      <c r="O160" s="90">
        <f t="shared" si="352"/>
        <v>2.0571254192395472</v>
      </c>
      <c r="P160" s="90">
        <f t="shared" si="352"/>
        <v>1.3308816081089296</v>
      </c>
      <c r="Q160" s="90">
        <f t="shared" si="352"/>
        <v>1.1387906166893906</v>
      </c>
      <c r="R160" s="22"/>
      <c r="S160" s="22"/>
      <c r="T160" s="22"/>
      <c r="U160" s="22"/>
      <c r="V160" s="22"/>
      <c r="W160" s="22"/>
      <c r="X160" s="22"/>
      <c r="Y160" s="91">
        <f>$A$42</f>
        <v>20192</v>
      </c>
      <c r="Z160" s="105"/>
      <c r="AA160" s="90">
        <f t="shared" si="353"/>
        <v>1.5503944707479385</v>
      </c>
      <c r="AB160" s="90">
        <f t="shared" si="353"/>
        <v>1.529438911563906</v>
      </c>
      <c r="AC160" s="90">
        <f t="shared" si="353"/>
        <v>1.3320776074021869</v>
      </c>
      <c r="AD160" s="22"/>
      <c r="AE160" s="22"/>
      <c r="AF160" s="22"/>
      <c r="AG160" s="22"/>
      <c r="AH160" s="22"/>
      <c r="AI160" s="22"/>
      <c r="AJ160" s="22"/>
      <c r="AK160" s="91">
        <f>$A$42</f>
        <v>20192</v>
      </c>
      <c r="AL160" s="105"/>
      <c r="AM160" s="90" t="str">
        <f t="shared" si="354"/>
        <v/>
      </c>
      <c r="AN160" s="90" t="str">
        <f t="shared" si="354"/>
        <v/>
      </c>
      <c r="AO160" s="90" t="str">
        <f t="shared" si="354"/>
        <v/>
      </c>
      <c r="AP160" s="22"/>
      <c r="AQ160" s="22"/>
      <c r="AR160" s="22"/>
      <c r="AS160" s="22"/>
      <c r="AT160" s="22"/>
      <c r="AU160" s="22"/>
      <c r="AV160" s="22"/>
      <c r="AW160" s="91">
        <f>$A$42</f>
        <v>20192</v>
      </c>
      <c r="AX160" s="105"/>
      <c r="AY160" s="90" t="str">
        <f t="shared" si="355"/>
        <v/>
      </c>
      <c r="AZ160" s="90" t="str">
        <f t="shared" si="355"/>
        <v/>
      </c>
      <c r="BA160" s="90" t="str">
        <f t="shared" si="355"/>
        <v/>
      </c>
      <c r="BB160" s="22"/>
      <c r="BC160" s="22"/>
      <c r="BD160" s="22"/>
      <c r="BE160" s="22"/>
      <c r="BF160" s="22"/>
      <c r="BG160" s="22"/>
      <c r="BH160" s="22"/>
      <c r="BI160" s="91">
        <f>$A$42</f>
        <v>20192</v>
      </c>
      <c r="BJ160" s="105"/>
      <c r="BK160" s="90" t="str">
        <f t="shared" si="356"/>
        <v/>
      </c>
      <c r="BL160" s="90" t="str">
        <f t="shared" si="356"/>
        <v/>
      </c>
      <c r="BM160" s="90" t="str">
        <f t="shared" si="356"/>
        <v/>
      </c>
      <c r="BN160" s="22"/>
      <c r="BO160" s="22"/>
      <c r="BP160" s="22"/>
      <c r="BQ160" s="22"/>
      <c r="BR160" s="22"/>
      <c r="BS160" s="22"/>
      <c r="BT160" s="22"/>
      <c r="BU160" s="91">
        <f>$A$42</f>
        <v>20192</v>
      </c>
      <c r="BV160" s="105"/>
      <c r="BW160" s="90" t="str">
        <f t="shared" si="357"/>
        <v/>
      </c>
      <c r="BX160" s="90" t="str">
        <f t="shared" si="357"/>
        <v/>
      </c>
      <c r="BY160" s="90" t="str">
        <f t="shared" si="357"/>
        <v/>
      </c>
      <c r="BZ160" s="22"/>
      <c r="CA160" s="22"/>
      <c r="CB160" s="22"/>
      <c r="CC160" s="22"/>
      <c r="CD160" s="22"/>
      <c r="CE160" s="22"/>
      <c r="CF160" s="22"/>
      <c r="CG160" s="91">
        <f>$A$42</f>
        <v>20192</v>
      </c>
      <c r="CH160" s="105"/>
      <c r="CI160" s="90" t="str">
        <f t="shared" si="358"/>
        <v/>
      </c>
      <c r="CJ160" s="90" t="str">
        <f t="shared" si="358"/>
        <v/>
      </c>
      <c r="CK160" s="90" t="str">
        <f t="shared" si="358"/>
        <v/>
      </c>
      <c r="CL160" s="22"/>
      <c r="CM160" s="22"/>
      <c r="CN160" s="22"/>
      <c r="CO160" s="22"/>
      <c r="CP160" s="22"/>
      <c r="CQ160" s="22"/>
      <c r="CR160" s="22"/>
      <c r="CS160" s="91">
        <f>$A$42</f>
        <v>20192</v>
      </c>
      <c r="CT160" s="105"/>
      <c r="CU160" s="90" t="str">
        <f t="shared" si="359"/>
        <v/>
      </c>
      <c r="CV160" s="90" t="str">
        <f t="shared" si="359"/>
        <v/>
      </c>
      <c r="CW160" s="90" t="str">
        <f t="shared" si="359"/>
        <v/>
      </c>
      <c r="CX160" s="22"/>
      <c r="CY160" s="22"/>
      <c r="CZ160" s="22"/>
      <c r="DA160" s="22"/>
      <c r="DB160" s="22"/>
      <c r="DC160" s="22"/>
      <c r="DD160" s="22"/>
      <c r="DE160" s="91">
        <f>$A$42</f>
        <v>20192</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20202</v>
      </c>
      <c r="B161" s="105"/>
      <c r="C161" s="90">
        <f t="shared" si="351"/>
        <v>1.5123855417195928</v>
      </c>
      <c r="D161" s="90">
        <f t="shared" si="351"/>
        <v>1.466176903391962</v>
      </c>
      <c r="E161" s="22"/>
      <c r="F161" s="22"/>
      <c r="G161" s="22"/>
      <c r="H161" s="22"/>
      <c r="I161" s="22"/>
      <c r="J161" s="22"/>
      <c r="K161" s="22"/>
      <c r="L161" s="22"/>
      <c r="M161" s="91">
        <f>$A$43</f>
        <v>20202</v>
      </c>
      <c r="N161" s="105"/>
      <c r="O161" s="90">
        <f t="shared" si="352"/>
        <v>1.5348224690415251</v>
      </c>
      <c r="P161" s="90">
        <f t="shared" si="352"/>
        <v>1.4857718284789281</v>
      </c>
      <c r="Q161" s="22"/>
      <c r="R161" s="22"/>
      <c r="S161" s="22"/>
      <c r="T161" s="22"/>
      <c r="U161" s="22"/>
      <c r="V161" s="22"/>
      <c r="W161" s="22"/>
      <c r="X161" s="22"/>
      <c r="Y161" s="91">
        <f>$A$43</f>
        <v>20202</v>
      </c>
      <c r="Z161" s="105"/>
      <c r="AA161" s="90">
        <f t="shared" si="353"/>
        <v>1.3408469568770116</v>
      </c>
      <c r="AB161" s="90">
        <f t="shared" si="353"/>
        <v>1.4746525120275069</v>
      </c>
      <c r="AC161" s="22"/>
      <c r="AD161" s="22"/>
      <c r="AE161" s="22"/>
      <c r="AF161" s="22"/>
      <c r="AG161" s="22"/>
      <c r="AH161" s="22"/>
      <c r="AI161" s="22"/>
      <c r="AJ161" s="22"/>
      <c r="AK161" s="91">
        <f>$A$43</f>
        <v>20202</v>
      </c>
      <c r="AL161" s="105"/>
      <c r="AM161" s="90" t="str">
        <f t="shared" si="354"/>
        <v/>
      </c>
      <c r="AN161" s="90" t="str">
        <f t="shared" si="354"/>
        <v/>
      </c>
      <c r="AO161" s="22"/>
      <c r="AP161" s="22"/>
      <c r="AQ161" s="22"/>
      <c r="AR161" s="22"/>
      <c r="AS161" s="22"/>
      <c r="AT161" s="22"/>
      <c r="AU161" s="22"/>
      <c r="AV161" s="22"/>
      <c r="AW161" s="91">
        <f>$A$43</f>
        <v>20202</v>
      </c>
      <c r="AX161" s="105"/>
      <c r="AY161" s="90" t="str">
        <f t="shared" si="355"/>
        <v/>
      </c>
      <c r="AZ161" s="90" t="str">
        <f t="shared" si="355"/>
        <v/>
      </c>
      <c r="BA161" s="22"/>
      <c r="BB161" s="22"/>
      <c r="BC161" s="22"/>
      <c r="BD161" s="22"/>
      <c r="BE161" s="22"/>
      <c r="BF161" s="22"/>
      <c r="BG161" s="22"/>
      <c r="BH161" s="22"/>
      <c r="BI161" s="91">
        <f>$A$43</f>
        <v>20202</v>
      </c>
      <c r="BJ161" s="105"/>
      <c r="BK161" s="90" t="str">
        <f t="shared" si="356"/>
        <v/>
      </c>
      <c r="BL161" s="90" t="str">
        <f t="shared" si="356"/>
        <v/>
      </c>
      <c r="BM161" s="22"/>
      <c r="BN161" s="22"/>
      <c r="BO161" s="22"/>
      <c r="BP161" s="22"/>
      <c r="BQ161" s="22"/>
      <c r="BR161" s="22"/>
      <c r="BS161" s="22"/>
      <c r="BT161" s="22"/>
      <c r="BU161" s="91">
        <f>$A$43</f>
        <v>20202</v>
      </c>
      <c r="BV161" s="105"/>
      <c r="BW161" s="90" t="str">
        <f t="shared" si="357"/>
        <v/>
      </c>
      <c r="BX161" s="90" t="str">
        <f t="shared" si="357"/>
        <v/>
      </c>
      <c r="BY161" s="22"/>
      <c r="BZ161" s="22"/>
      <c r="CA161" s="22"/>
      <c r="CB161" s="22"/>
      <c r="CC161" s="22"/>
      <c r="CD161" s="22"/>
      <c r="CE161" s="22"/>
      <c r="CF161" s="22"/>
      <c r="CG161" s="91">
        <f>$A$43</f>
        <v>20202</v>
      </c>
      <c r="CH161" s="105"/>
      <c r="CI161" s="90" t="str">
        <f t="shared" si="358"/>
        <v/>
      </c>
      <c r="CJ161" s="90" t="str">
        <f t="shared" si="358"/>
        <v/>
      </c>
      <c r="CK161" s="22"/>
      <c r="CL161" s="22"/>
      <c r="CM161" s="22"/>
      <c r="CN161" s="22"/>
      <c r="CO161" s="22"/>
      <c r="CP161" s="22"/>
      <c r="CQ161" s="22"/>
      <c r="CR161" s="22"/>
      <c r="CS161" s="91">
        <f>$A$43</f>
        <v>20202</v>
      </c>
      <c r="CT161" s="105"/>
      <c r="CU161" s="90" t="str">
        <f t="shared" si="359"/>
        <v/>
      </c>
      <c r="CV161" s="90" t="str">
        <f t="shared" si="359"/>
        <v/>
      </c>
      <c r="CW161" s="22"/>
      <c r="CX161" s="22"/>
      <c r="CY161" s="22"/>
      <c r="CZ161" s="22"/>
      <c r="DA161" s="22"/>
      <c r="DB161" s="22"/>
      <c r="DC161" s="22"/>
      <c r="DD161" s="22"/>
      <c r="DE161" s="91">
        <f>$A$43</f>
        <v>20202</v>
      </c>
      <c r="DF161" s="105"/>
      <c r="DG161" s="90" t="str">
        <f t="shared" si="360"/>
        <v/>
      </c>
      <c r="DH161" s="90" t="str">
        <f t="shared" si="360"/>
        <v/>
      </c>
      <c r="DI161" s="22"/>
      <c r="DJ161" s="22"/>
      <c r="DK161" s="22"/>
      <c r="DL161" s="22"/>
      <c r="DM161" s="22"/>
      <c r="DN161" s="22"/>
      <c r="DO161" s="22"/>
      <c r="DP161" s="22"/>
    </row>
    <row r="162" spans="1:120" x14ac:dyDescent="0.25">
      <c r="A162" s="91">
        <f>$A$44</f>
        <v>20212</v>
      </c>
      <c r="B162" s="105"/>
      <c r="C162" s="90">
        <f t="shared" si="351"/>
        <v>1.3798054597085132</v>
      </c>
      <c r="D162" s="22"/>
      <c r="E162" s="22"/>
      <c r="F162" s="22"/>
      <c r="G162" s="22"/>
      <c r="H162" s="22"/>
      <c r="I162" s="22"/>
      <c r="J162" s="22"/>
      <c r="K162" s="22"/>
      <c r="L162" s="22"/>
      <c r="M162" s="91">
        <f>$A$44</f>
        <v>20212</v>
      </c>
      <c r="N162" s="105"/>
      <c r="O162" s="90">
        <f t="shared" si="352"/>
        <v>2.2540919690394969</v>
      </c>
      <c r="P162" s="22"/>
      <c r="Q162" s="22"/>
      <c r="R162" s="22"/>
      <c r="S162" s="22"/>
      <c r="T162" s="22"/>
      <c r="U162" s="22"/>
      <c r="V162" s="22"/>
      <c r="W162" s="22"/>
      <c r="X162" s="22"/>
      <c r="Y162" s="91">
        <f>$A$44</f>
        <v>20212</v>
      </c>
      <c r="Z162" s="105"/>
      <c r="AA162" s="90">
        <f t="shared" si="353"/>
        <v>1.1964667906511903</v>
      </c>
      <c r="AB162" s="22"/>
      <c r="AC162" s="22"/>
      <c r="AD162" s="22"/>
      <c r="AE162" s="22"/>
      <c r="AF162" s="22"/>
      <c r="AG162" s="22"/>
      <c r="AH162" s="22"/>
      <c r="AI162" s="22"/>
      <c r="AJ162" s="22"/>
      <c r="AK162" s="91">
        <f>$A$44</f>
        <v>20212</v>
      </c>
      <c r="AL162" s="105"/>
      <c r="AM162" s="90" t="str">
        <f t="shared" si="354"/>
        <v/>
      </c>
      <c r="AN162" s="22"/>
      <c r="AO162" s="22"/>
      <c r="AP162" s="22"/>
      <c r="AQ162" s="22"/>
      <c r="AR162" s="22"/>
      <c r="AS162" s="22"/>
      <c r="AT162" s="22"/>
      <c r="AU162" s="22"/>
      <c r="AV162" s="22"/>
      <c r="AW162" s="91">
        <f>$A$44</f>
        <v>20212</v>
      </c>
      <c r="AX162" s="105"/>
      <c r="AY162" s="90" t="str">
        <f t="shared" si="355"/>
        <v/>
      </c>
      <c r="AZ162" s="22"/>
      <c r="BA162" s="22"/>
      <c r="BB162" s="22"/>
      <c r="BC162" s="22"/>
      <c r="BD162" s="22"/>
      <c r="BE162" s="22"/>
      <c r="BF162" s="22"/>
      <c r="BG162" s="22"/>
      <c r="BH162" s="22"/>
      <c r="BI162" s="91">
        <f>$A$44</f>
        <v>20212</v>
      </c>
      <c r="BJ162" s="105"/>
      <c r="BK162" s="90" t="str">
        <f t="shared" si="356"/>
        <v/>
      </c>
      <c r="BL162" s="22"/>
      <c r="BM162" s="22"/>
      <c r="BN162" s="22"/>
      <c r="BO162" s="22"/>
      <c r="BP162" s="22"/>
      <c r="BQ162" s="22"/>
      <c r="BR162" s="22"/>
      <c r="BS162" s="22"/>
      <c r="BT162" s="22"/>
      <c r="BU162" s="91">
        <f>$A$44</f>
        <v>20212</v>
      </c>
      <c r="BV162" s="105"/>
      <c r="BW162" s="90" t="str">
        <f t="shared" si="357"/>
        <v/>
      </c>
      <c r="BX162" s="22"/>
      <c r="BY162" s="22"/>
      <c r="BZ162" s="22"/>
      <c r="CA162" s="22"/>
      <c r="CB162" s="22"/>
      <c r="CC162" s="22"/>
      <c r="CD162" s="22"/>
      <c r="CE162" s="22"/>
      <c r="CF162" s="22"/>
      <c r="CG162" s="91">
        <f>$A$44</f>
        <v>20212</v>
      </c>
      <c r="CH162" s="105"/>
      <c r="CI162" s="90" t="str">
        <f t="shared" si="358"/>
        <v/>
      </c>
      <c r="CJ162" s="22"/>
      <c r="CK162" s="22"/>
      <c r="CL162" s="22"/>
      <c r="CM162" s="22"/>
      <c r="CN162" s="22"/>
      <c r="CO162" s="22"/>
      <c r="CP162" s="22"/>
      <c r="CQ162" s="22"/>
      <c r="CR162" s="22"/>
      <c r="CS162" s="91">
        <f>$A$44</f>
        <v>20212</v>
      </c>
      <c r="CT162" s="105"/>
      <c r="CU162" s="90" t="str">
        <f t="shared" si="359"/>
        <v/>
      </c>
      <c r="CV162" s="22"/>
      <c r="CW162" s="22"/>
      <c r="CX162" s="22"/>
      <c r="CY162" s="22"/>
      <c r="CZ162" s="22"/>
      <c r="DA162" s="22"/>
      <c r="DB162" s="22"/>
      <c r="DC162" s="22"/>
      <c r="DD162" s="22"/>
      <c r="DE162" s="91">
        <f>$A$44</f>
        <v>20212</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1.5803905447476323</v>
      </c>
      <c r="D164" s="264">
        <f>IFERROR(AVERAGE(D159:D161),1)</f>
        <v>1.5545319127020989</v>
      </c>
      <c r="E164" s="264">
        <f>IFERROR(AVERAGE(E158:E160),1)</f>
        <v>1.3534963221021972</v>
      </c>
      <c r="F164" s="264">
        <f>IFERROR(AVERAGE(F157:F159),1)</f>
        <v>1.2003837606555765</v>
      </c>
      <c r="G164" s="264">
        <f>IFERROR(AVERAGE(G156:G158),1)</f>
        <v>1.0890832773602999</v>
      </c>
      <c r="H164" s="264">
        <f>IFERROR(AVERAGE(H155:H157),1)</f>
        <v>1.0222031051057796</v>
      </c>
      <c r="I164" s="264">
        <f>IFERROR(AVERAGE(I154:I156),1)</f>
        <v>1.0099506800748295</v>
      </c>
      <c r="J164" s="264">
        <f>IFERROR(AVERAGE(J154:J155),1)</f>
        <v>1.0119238380148516</v>
      </c>
      <c r="K164" s="264">
        <f>IFERROR(AVERAGE(K154:K154),1)</f>
        <v>1.011704522874677</v>
      </c>
      <c r="L164" s="264">
        <v>1</v>
      </c>
      <c r="M164" s="262" t="s">
        <v>52</v>
      </c>
      <c r="N164" s="263"/>
      <c r="O164" s="264">
        <f>IFERROR(AVERAGE(O160:O162),1)</f>
        <v>1.9486799524401899</v>
      </c>
      <c r="P164" s="264">
        <f>IFERROR(AVERAGE(P159:P161),1)</f>
        <v>1.3521234200844627</v>
      </c>
      <c r="Q164" s="264">
        <f>IFERROR(AVERAGE(Q158:Q160),1)</f>
        <v>1.1604883506139101</v>
      </c>
      <c r="R164" s="264">
        <f>IFERROR(AVERAGE(R157:R159),1)</f>
        <v>1.1320688980398936</v>
      </c>
      <c r="S164" s="264">
        <f>IFERROR(AVERAGE(S156:S158),1)</f>
        <v>1.0557391291253506</v>
      </c>
      <c r="T164" s="264">
        <f>IFERROR(AVERAGE(T155:T157),1)</f>
        <v>1.0121209926957093</v>
      </c>
      <c r="U164" s="264">
        <f>IFERROR(AVERAGE(U154:U156),1)</f>
        <v>1.0186870081908987</v>
      </c>
      <c r="V164" s="264">
        <f>IFERROR(AVERAGE(V154:V155),1)</f>
        <v>1.0022010413537585</v>
      </c>
      <c r="W164" s="264">
        <f>IFERROR(AVERAGE(W154:W154),1)</f>
        <v>1.000630143267939</v>
      </c>
      <c r="X164" s="264">
        <v>1</v>
      </c>
      <c r="Y164" s="262" t="s">
        <v>52</v>
      </c>
      <c r="Z164" s="263"/>
      <c r="AA164" s="264">
        <f>IFERROR(AVERAGE(AA160:AA162),1)</f>
        <v>1.3625694060920468</v>
      </c>
      <c r="AB164" s="264">
        <f>IFERROR(AVERAGE(AB159:AB161),1)</f>
        <v>1.4743889503327641</v>
      </c>
      <c r="AC164" s="264">
        <f>IFERROR(AVERAGE(AC158:AC160),1)</f>
        <v>1.3469332065625732</v>
      </c>
      <c r="AD164" s="264">
        <f>IFERROR(AVERAGE(AD157:AD159),1)</f>
        <v>1.1760348954960793</v>
      </c>
      <c r="AE164" s="264">
        <f>IFERROR(AVERAGE(AE156:AE158),1)</f>
        <v>1.0860689260668737</v>
      </c>
      <c r="AF164" s="264">
        <f>IFERROR(AVERAGE(AF155:AF157),1)</f>
        <v>1.0158046543539279</v>
      </c>
      <c r="AG164" s="264">
        <f>IFERROR(AVERAGE(AG154:AG156),1)</f>
        <v>1.0393148618781118</v>
      </c>
      <c r="AH164" s="264">
        <f>IFERROR(AVERAGE(AH154:AH155),1)</f>
        <v>1.0356620620000436</v>
      </c>
      <c r="AI164" s="264">
        <f>IFERROR(AVERAGE(AI154:AI154),1)</f>
        <v>0.99720468078901281</v>
      </c>
      <c r="AJ164" s="264">
        <v>1</v>
      </c>
      <c r="AK164" s="262" t="s">
        <v>52</v>
      </c>
      <c r="AL164" s="263"/>
      <c r="AM164" s="264">
        <f>IFERROR(AVERAGE(AM160:AM162),1)</f>
        <v>1</v>
      </c>
      <c r="AN164" s="264">
        <f>IFERROR(AVERAGE(AN159:AN161),1)</f>
        <v>1</v>
      </c>
      <c r="AO164" s="264">
        <f>IFERROR(AVERAGE(AO158:AO160),1)</f>
        <v>1</v>
      </c>
      <c r="AP164" s="264">
        <f>IFERROR(AVERAGE(AP157:AP159),1)</f>
        <v>1</v>
      </c>
      <c r="AQ164" s="264">
        <f>IFERROR(AVERAGE(AQ156:AQ158),1)</f>
        <v>1</v>
      </c>
      <c r="AR164" s="264">
        <f>IFERROR(AVERAGE(AR155:AR157),1)</f>
        <v>1</v>
      </c>
      <c r="AS164" s="264">
        <f>IFERROR(AVERAGE(AS154:AS156),1)</f>
        <v>1</v>
      </c>
      <c r="AT164" s="264">
        <f>IFERROR(AVERAGE(AT154:AT155),1)</f>
        <v>1</v>
      </c>
      <c r="AU164" s="264">
        <f>IFERROR(AVERAGE(AU154:AU154),1)</f>
        <v>1</v>
      </c>
      <c r="AV164" s="264">
        <v>1</v>
      </c>
      <c r="AW164" s="262" t="s">
        <v>52</v>
      </c>
      <c r="AX164" s="263"/>
      <c r="AY164" s="264">
        <f>IFERROR(AVERAGE(AY160:AY162),1)</f>
        <v>1</v>
      </c>
      <c r="AZ164" s="264">
        <f>IFERROR(AVERAGE(AZ159:AZ161),1)</f>
        <v>1</v>
      </c>
      <c r="BA164" s="264">
        <f>IFERROR(AVERAGE(BA158:BA160),1)</f>
        <v>1</v>
      </c>
      <c r="BB164" s="264">
        <f>IFERROR(AVERAGE(BB157:BB159),1)</f>
        <v>1</v>
      </c>
      <c r="BC164" s="264">
        <f>IFERROR(AVERAGE(BC156:BC158),1)</f>
        <v>1</v>
      </c>
      <c r="BD164" s="264">
        <f>IFERROR(AVERAGE(BD155:BD157),1)</f>
        <v>1</v>
      </c>
      <c r="BE164" s="264">
        <f>IFERROR(AVERAGE(BE154:BE156),1)</f>
        <v>1</v>
      </c>
      <c r="BF164" s="264">
        <f>IFERROR(AVERAGE(BF154:BF155),1)</f>
        <v>1</v>
      </c>
      <c r="BG164" s="264">
        <f>IFERROR(AVERAGE(BG154:BG154),1)</f>
        <v>1</v>
      </c>
      <c r="BH164" s="264">
        <v>1</v>
      </c>
      <c r="BI164" s="262" t="s">
        <v>52</v>
      </c>
      <c r="BJ164" s="263"/>
      <c r="BK164" s="264">
        <f>IFERROR(AVERAGE(BK160:BK162),1)</f>
        <v>1</v>
      </c>
      <c r="BL164" s="264">
        <f>IFERROR(AVERAGE(BL159:BL161),1)</f>
        <v>1</v>
      </c>
      <c r="BM164" s="264">
        <f>IFERROR(AVERAGE(BM158:BM160),1)</f>
        <v>1</v>
      </c>
      <c r="BN164" s="264">
        <f>IFERROR(AVERAGE(BN157:BN159),1)</f>
        <v>1</v>
      </c>
      <c r="BO164" s="264">
        <f>IFERROR(AVERAGE(BO156:BO158),1)</f>
        <v>1</v>
      </c>
      <c r="BP164" s="264">
        <f>IFERROR(AVERAGE(BP155:BP157),1)</f>
        <v>1</v>
      </c>
      <c r="BQ164" s="264">
        <f>IFERROR(AVERAGE(BQ154:BQ156),1)</f>
        <v>1</v>
      </c>
      <c r="BR164" s="264">
        <f>IFERROR(AVERAGE(BR154:BR155),1)</f>
        <v>1</v>
      </c>
      <c r="BS164" s="264">
        <f>IFERROR(AVERAGE(BS154:BS154),1)</f>
        <v>1</v>
      </c>
      <c r="BT164" s="264">
        <v>1</v>
      </c>
      <c r="BU164" s="262" t="s">
        <v>52</v>
      </c>
      <c r="BV164" s="263"/>
      <c r="BW164" s="264">
        <f>IFERROR(AVERAGE(BW160:BW162),1)</f>
        <v>1</v>
      </c>
      <c r="BX164" s="264">
        <f>IFERROR(AVERAGE(BX159:BX161),1)</f>
        <v>1</v>
      </c>
      <c r="BY164" s="264">
        <f>IFERROR(AVERAGE(BY158:BY160),1)</f>
        <v>1</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1.5803905447476323</v>
      </c>
      <c r="D165" s="93">
        <f t="shared" si="361"/>
        <v>1.5545319127020989</v>
      </c>
      <c r="E165" s="93">
        <f t="shared" si="361"/>
        <v>1.3534963221021972</v>
      </c>
      <c r="F165" s="93">
        <f t="shared" si="361"/>
        <v>1.2003837606555765</v>
      </c>
      <c r="G165" s="93">
        <f t="shared" si="361"/>
        <v>1.0890832773602999</v>
      </c>
      <c r="H165" s="93">
        <f t="shared" si="361"/>
        <v>1.0222031051057796</v>
      </c>
      <c r="I165" s="93">
        <f t="shared" si="361"/>
        <v>1.0099506800748295</v>
      </c>
      <c r="J165" s="93">
        <f t="shared" si="361"/>
        <v>1.0119238380148516</v>
      </c>
      <c r="K165" s="93">
        <f t="shared" si="361"/>
        <v>1.011704522874677</v>
      </c>
      <c r="L165" s="93">
        <f>IF(L164=0,1,L164)</f>
        <v>1</v>
      </c>
      <c r="M165" s="285" t="s">
        <v>40</v>
      </c>
      <c r="N165" s="105"/>
      <c r="O165" s="93">
        <f t="shared" ref="O165:W165" si="362">IF(O164=0,1,O164)</f>
        <v>1.9486799524401899</v>
      </c>
      <c r="P165" s="93">
        <f t="shared" si="362"/>
        <v>1.3521234200844627</v>
      </c>
      <c r="Q165" s="93">
        <f t="shared" si="362"/>
        <v>1.1604883506139101</v>
      </c>
      <c r="R165" s="93">
        <f t="shared" si="362"/>
        <v>1.1320688980398936</v>
      </c>
      <c r="S165" s="93">
        <f t="shared" si="362"/>
        <v>1.0557391291253506</v>
      </c>
      <c r="T165" s="93">
        <f t="shared" si="362"/>
        <v>1.0121209926957093</v>
      </c>
      <c r="U165" s="93">
        <f t="shared" si="362"/>
        <v>1.0186870081908987</v>
      </c>
      <c r="V165" s="93">
        <f t="shared" si="362"/>
        <v>1.0022010413537585</v>
      </c>
      <c r="W165" s="93">
        <f t="shared" si="362"/>
        <v>1.000630143267939</v>
      </c>
      <c r="X165" s="93">
        <f>IF(X164=0,1,X164)</f>
        <v>1</v>
      </c>
      <c r="Y165" s="285" t="s">
        <v>40</v>
      </c>
      <c r="Z165" s="105"/>
      <c r="AA165" s="93">
        <f t="shared" ref="AA165:AI165" si="363">IF(AA164=0,1,AA164)</f>
        <v>1.3625694060920468</v>
      </c>
      <c r="AB165" s="93">
        <f t="shared" si="363"/>
        <v>1.4743889503327641</v>
      </c>
      <c r="AC165" s="93">
        <f t="shared" si="363"/>
        <v>1.3469332065625732</v>
      </c>
      <c r="AD165" s="93">
        <f t="shared" si="363"/>
        <v>1.1760348954960793</v>
      </c>
      <c r="AE165" s="93">
        <f t="shared" si="363"/>
        <v>1.0860689260668737</v>
      </c>
      <c r="AF165" s="93">
        <f t="shared" si="363"/>
        <v>1.0158046543539279</v>
      </c>
      <c r="AG165" s="93">
        <f t="shared" si="363"/>
        <v>1.0393148618781118</v>
      </c>
      <c r="AH165" s="93">
        <f t="shared" si="363"/>
        <v>1.0356620620000436</v>
      </c>
      <c r="AI165" s="93">
        <f t="shared" si="363"/>
        <v>0.99720468078901281</v>
      </c>
      <c r="AJ165" s="93">
        <f>IF(AJ164=0,1,AJ164)</f>
        <v>1</v>
      </c>
      <c r="AK165" s="285"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5"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5"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5"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4.5945314205379049</v>
      </c>
      <c r="D166" s="93">
        <f>PRODUCT(D165:L165)</f>
        <v>2.9072126733532127</v>
      </c>
      <c r="E166" s="93">
        <f>PRODUCT(E165:L165)</f>
        <v>1.8701530985619161</v>
      </c>
      <c r="F166" s="93">
        <f>PRODUCT(F165:L165)</f>
        <v>1.3817201184981933</v>
      </c>
      <c r="G166" s="93">
        <f>PRODUCT(G165:L165)</f>
        <v>1.1510653207634045</v>
      </c>
      <c r="H166" s="93">
        <f>PRODUCT(H165:L165)</f>
        <v>1.0569121248040239</v>
      </c>
      <c r="I166" s="93">
        <f>PRODUCT(I165:L165)</f>
        <v>1.0339551108041807</v>
      </c>
      <c r="J166" s="93">
        <f>PRODUCT(J165:L165)</f>
        <v>1.0237679237243276</v>
      </c>
      <c r="K166" s="93">
        <f>PRODUCT(K165:L165)</f>
        <v>1.011704522874677</v>
      </c>
      <c r="L166" s="93">
        <f>PRODUCT(L165:L165)</f>
        <v>1</v>
      </c>
      <c r="M166" s="95" t="s">
        <v>39</v>
      </c>
      <c r="N166" s="105"/>
      <c r="O166" s="93">
        <f>PRODUCT(O165:X165)</f>
        <v>3.7785810858047322</v>
      </c>
      <c r="P166" s="93">
        <f>PRODUCT(P165:X165)</f>
        <v>1.9390465227874338</v>
      </c>
      <c r="Q166" s="93">
        <f>PRODUCT(Q165:X165)</f>
        <v>1.4340750955014947</v>
      </c>
      <c r="R166" s="93">
        <f>PRODUCT(R165:X165)</f>
        <v>1.2357513927157087</v>
      </c>
      <c r="S166" s="93">
        <f>PRODUCT(S165:X165)</f>
        <v>1.0915867354498783</v>
      </c>
      <c r="T166" s="93">
        <f>PRODUCT(T165:X165)</f>
        <v>1.033954985029518</v>
      </c>
      <c r="U166" s="93">
        <f>PRODUCT(U165:X165)</f>
        <v>1.021572512072549</v>
      </c>
      <c r="V166" s="93">
        <f>PRODUCT(V165:X165)</f>
        <v>1.002832571593089</v>
      </c>
      <c r="W166" s="93">
        <f>PRODUCT(W165:X165)</f>
        <v>1.000630143267939</v>
      </c>
      <c r="X166" s="93">
        <f>PRODUCT(X165:X165)</f>
        <v>1</v>
      </c>
      <c r="Y166" s="95" t="s">
        <v>39</v>
      </c>
      <c r="Z166" s="105"/>
      <c r="AA166" s="93">
        <f>PRODUCT(AA165:AJ165)</f>
        <v>3.7683746126562032</v>
      </c>
      <c r="AB166" s="93">
        <f>PRODUCT(AB165:AJ165)</f>
        <v>2.7656386498976144</v>
      </c>
      <c r="AC166" s="93">
        <f>PRODUCT(AC165:AJ165)</f>
        <v>1.8757863379764339</v>
      </c>
      <c r="AD166" s="93">
        <f>PRODUCT(AD165:AJ165)</f>
        <v>1.3926350088015984</v>
      </c>
      <c r="AE166" s="93">
        <f>PRODUCT(AE165:AJ165)</f>
        <v>1.1841783046872534</v>
      </c>
      <c r="AF166" s="93">
        <f>PRODUCT(AF165:AJ165)</f>
        <v>1.0903343943148032</v>
      </c>
      <c r="AG166" s="93">
        <f>PRODUCT(AG165:AJ165)</f>
        <v>1.0733701500986699</v>
      </c>
      <c r="AH166" s="93">
        <f>PRODUCT(AH165:AJ165)</f>
        <v>1.0327670559420443</v>
      </c>
      <c r="AI166" s="93">
        <f>PRODUCT(AI165:AJ165)</f>
        <v>0.99720468078901281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5.1370875395349867E-2</v>
      </c>
      <c r="D167" s="101">
        <f>IFERROR(D166*D149,"")</f>
        <v>5.9964795922590623E-2</v>
      </c>
      <c r="E167" s="101">
        <f>IFERROR(E166*E148,"")</f>
        <v>4.9186788558901975E-2</v>
      </c>
      <c r="F167" s="101">
        <f>IFERROR(F166*F147,"")</f>
        <v>4.256482305452082E-2</v>
      </c>
      <c r="G167" s="101">
        <f>IFERROR(G166*G146,"")</f>
        <v>4.7503225880267605E-2</v>
      </c>
      <c r="H167" s="101">
        <f>IFERROR(H166*H145,"")</f>
        <v>4.7122221849455026E-2</v>
      </c>
      <c r="I167" s="101">
        <f>IFERROR(I166*I144,"")</f>
        <v>4.8826047211965942E-2</v>
      </c>
      <c r="J167" s="101">
        <f>IFERROR(J166*J143,"")</f>
        <v>5.6581665928316843E-2</v>
      </c>
      <c r="K167" s="101">
        <f>IFERROR(K166*K142,"")</f>
        <v>5.3168466277408261E-2</v>
      </c>
      <c r="L167" s="101">
        <f>IFERROR(L166*L141,"")</f>
        <v>4.8706590162913087E-2</v>
      </c>
      <c r="M167" s="95" t="s">
        <v>58</v>
      </c>
      <c r="N167" s="105"/>
      <c r="O167" s="101">
        <f>IFERROR(O166*O150,"")</f>
        <v>4.0475631002561435E-2</v>
      </c>
      <c r="P167" s="101">
        <f>IFERROR(P166*P149,"")</f>
        <v>5.2247779954647924E-2</v>
      </c>
      <c r="Q167" s="101">
        <f>IFERROR(Q166*Q148,"")</f>
        <v>4.3804916719481363E-2</v>
      </c>
      <c r="R167" s="101">
        <f>IFERROR(R166*R147,"")</f>
        <v>3.7051926403072831E-2</v>
      </c>
      <c r="S167" s="101">
        <f>IFERROR(S166*S146,"")</f>
        <v>4.6861395317172233E-2</v>
      </c>
      <c r="T167" s="101">
        <f>IFERROR(T166*T145,"")</f>
        <v>3.9811113579040408E-2</v>
      </c>
      <c r="U167" s="101">
        <f>IFERROR(U166*U144,"")</f>
        <v>5.4983553389773537E-2</v>
      </c>
      <c r="V167" s="101">
        <f>IFERROR(V166*V143,"")</f>
        <v>5.0772215833137284E-2</v>
      </c>
      <c r="W167" s="101">
        <f>IFERROR(W166*W142,"")</f>
        <v>0.10671793122886869</v>
      </c>
      <c r="X167" s="101">
        <f>IFERROR(X166*X141,"")</f>
        <v>6.4208165403552744E-2</v>
      </c>
      <c r="Y167" s="95" t="s">
        <v>58</v>
      </c>
      <c r="Z167" s="105"/>
      <c r="AA167" s="101">
        <f>IFERROR(AA166*AA150,"")</f>
        <v>5.7786309422371465E-2</v>
      </c>
      <c r="AB167" s="101">
        <f>IFERROR(AB166*AB149,"")</f>
        <v>5.0442097792261595E-2</v>
      </c>
      <c r="AC167" s="101">
        <f>IFERROR(AC166*AC148,"")</f>
        <v>3.9704434739025407E-2</v>
      </c>
      <c r="AD167" s="101">
        <f>IFERROR(AD166*AD147,"")</f>
        <v>3.5651394278574666E-2</v>
      </c>
      <c r="AE167" s="101">
        <f>IFERROR(AE166*AE146,"")</f>
        <v>4.1510107730127747E-2</v>
      </c>
      <c r="AF167" s="101">
        <f>IFERROR(AF166*AF145,"")</f>
        <v>4.0986091489803457E-2</v>
      </c>
      <c r="AG167" s="101">
        <f>IFERROR(AG166*AG144,"")</f>
        <v>3.2071567423779028E-2</v>
      </c>
      <c r="AH167" s="101">
        <f>IFERROR(AH166*AH143,"")</f>
        <v>3.3620734731414241E-2</v>
      </c>
      <c r="AI167" s="101">
        <f>IFERROR(AI166*AI142,"")</f>
        <v>2.8284843450160652E-2</v>
      </c>
      <c r="AJ167" s="101">
        <f>IFERROR(AJ166*AJ141,"")</f>
        <v>4.2047997335802403E-2</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983626232.32845783</v>
      </c>
      <c r="D168" s="141">
        <f>IF(OR(D7="Paid - Loss &amp; DCCE",D7="Incurred - Loss &amp; DCCE"),"N/A",IF(D7="Paid - Pure Loss", D97, IF(D7="Incurred - Pure Loss", D240, 0)))</f>
        <v>746602163.31739783</v>
      </c>
      <c r="E168" s="141">
        <f>IF(OR(D7="Paid - Loss &amp; DCCE",D7="Incurred - Loss &amp; DCCE"),"N/A",IF(D7="Paid - Pure Loss", E97, IF(D7="Incurred - Pure Loss", E240, 0)))</f>
        <v>596736741.59394085</v>
      </c>
      <c r="F168" s="141">
        <f>IF(OR(D7="Paid - Loss &amp; DCCE",D7="Incurred - Loss &amp; DCCE"),"N/A",IF(D7="Paid - Pure Loss", F97, IF(D7="Incurred - Pure Loss", F240, 0)))</f>
        <v>621944392.39855027</v>
      </c>
      <c r="G168" s="141">
        <f>IF(OR(D7="Paid - Loss &amp; DCCE",D7="Incurred - Loss &amp; DCCE"),"N/A",IF(D7="Paid - Pure Loss", G97, IF(D7="Incurred - Pure Loss", G240, 0)))</f>
        <v>511070175.51618564</v>
      </c>
      <c r="H168" s="141">
        <f>IF(OR(D7="Paid - Loss &amp; DCCE",D7="Incurred - Loss &amp; DCCE"),"N/A",IF(D7="Paid - Pure Loss", H97, IF(D7="Incurred - Pure Loss", H240, 0)))</f>
        <v>566117606.0985775</v>
      </c>
      <c r="I168" s="141">
        <f>IF(OR(D7="Paid - Loss &amp; DCCE",D7="Incurred - Loss &amp; DCCE"),"N/A",IF(D7="Paid - Pure Loss", I97, IF(D7="Incurred - Pure Loss", I240, 0)))</f>
        <v>502450558.69499016</v>
      </c>
      <c r="J168" s="141">
        <f>IF(OR(D7="Paid - Loss &amp; DCCE",D7="Incurred - Loss &amp; DCCE"),"N/A",IF(D7="Paid - Pure Loss", J97, IF(D7="Incurred - Pure Loss", J240, 0)))</f>
        <v>436234161.68554199</v>
      </c>
      <c r="K168" s="141">
        <f>IF(OR(D7="Paid - Loss &amp; DCCE",D7="Incurred - Loss &amp; DCCE"),"N/A",IF(D7="Paid - Pure Loss", K97, IF(D7="Incurred - Pure Loss", K240, 0)))</f>
        <v>409673063.61100942</v>
      </c>
      <c r="L168" s="141">
        <f>IF(OR(D7="Paid - Loss &amp; DCCE",D7="Incurred - Loss &amp; DCCE"),"N/A",IF(D7="Paid - Pure Loss", L97, IF(D7="Incurred - Pure Loss", L240, 0)))</f>
        <v>418300220.24000001</v>
      </c>
      <c r="M168" s="140" t="s">
        <v>215</v>
      </c>
      <c r="N168" s="105"/>
      <c r="O168" s="141">
        <f>IF(OR(P7="Paid - Loss &amp; DCCE",P7="Incurred - Loss &amp; DCCE"),"N/A",IF(P7="Paid - Pure Loss", O97, IF(P7="Incurred - Pure Loss", O240, 0)))</f>
        <v>51234573.297078408</v>
      </c>
      <c r="P168" s="141">
        <f>IF(OR(P7="Paid - Loss &amp; DCCE",P7="Incurred - Loss &amp; DCCE"),"N/A",IF(P7="Paid - Pure Loss", P97, IF(P7="Incurred - Pure Loss", P240, 0)))</f>
        <v>44323680.997342288</v>
      </c>
      <c r="Q168" s="141">
        <f>IF(OR(P7="Paid - Loss &amp; DCCE",P7="Incurred - Loss &amp; DCCE"),"N/A",IF(P7="Paid - Pure Loss", Q97, IF(P7="Incurred - Pure Loss", Q240, 0)))</f>
        <v>42496096.509180628</v>
      </c>
      <c r="R168" s="141">
        <f>IF(OR(P7="Paid - Loss &amp; DCCE",P7="Incurred - Loss &amp; DCCE"),"N/A",IF(P7="Paid - Pure Loss", R97, IF(P7="Incurred - Pure Loss", R240, 0)))</f>
        <v>47480080.303118199</v>
      </c>
      <c r="S168" s="141">
        <f>IF(OR(P7="Paid - Loss &amp; DCCE",P7="Incurred - Loss &amp; DCCE"),"N/A",IF(P7="Paid - Pure Loss", S97, IF(P7="Incurred - Pure Loss", S240, 0)))</f>
        <v>49839261.617852174</v>
      </c>
      <c r="T168" s="141">
        <f>IF(OR(P7="Paid - Loss &amp; DCCE",P7="Incurred - Loss &amp; DCCE"),"N/A",IF(P7="Paid - Pure Loss", T97, IF(P7="Incurred - Pure Loss", T240, 0)))</f>
        <v>45297754.99540066</v>
      </c>
      <c r="U168" s="141">
        <f>IF(OR(P7="Paid - Loss &amp; DCCE",P7="Incurred - Loss &amp; DCCE"),"N/A",IF(P7="Paid - Pure Loss", U97, IF(P7="Incurred - Pure Loss", U240, 0)))</f>
        <v>44789245.044351667</v>
      </c>
      <c r="V168" s="141">
        <f>IF(OR(P7="Paid - Loss &amp; DCCE",P7="Incurred - Loss &amp; DCCE"),"N/A",IF(P7="Paid - Pure Loss", V97, IF(P7="Incurred - Pure Loss", V240, 0)))</f>
        <v>40001849.465384535</v>
      </c>
      <c r="W168" s="141">
        <f>IF(OR(P7="Paid - Loss &amp; DCCE",P7="Incurred - Loss &amp; DCCE"),"N/A",IF(P7="Paid - Pure Loss", W97, IF(P7="Incurred - Pure Loss", W240, 0)))</f>
        <v>38747589.281357817</v>
      </c>
      <c r="X168" s="141">
        <f>IF(OR(P7="Paid - Loss &amp; DCCE",P7="Incurred - Loss &amp; DCCE"),"N/A",IF(P7="Paid - Pure Loss", X97, IF(P7="Incurred - Pure Loss", X240, 0)))</f>
        <v>36412133.960000001</v>
      </c>
      <c r="Y168" s="140" t="s">
        <v>215</v>
      </c>
      <c r="Z168" s="105"/>
      <c r="AA168" s="141">
        <f>IF(OR(AB7="Paid - Loss &amp; DCCE",AB7="Incurred - Loss &amp; DCCE"),"N/A",IF(AB7="Paid - Pure Loss", AA97, IF(AB7="Incurred - Pure Loss", AA240, 0)))</f>
        <v>69916893.617357731</v>
      </c>
      <c r="AB168" s="141">
        <f>IF(OR(AB7="Paid - Loss &amp; DCCE",AB7="Incurred - Loss &amp; DCCE"),"N/A",IF(AB7="Paid - Pure Loss", AB97, IF(AB7="Incurred - Pure Loss", AB240, 0)))</f>
        <v>62495688.739749521</v>
      </c>
      <c r="AC168" s="141">
        <f>IF(OR(AB7="Paid - Loss &amp; DCCE",AB7="Incurred - Loss &amp; DCCE"),"N/A",IF(AB7="Paid - Pure Loss", AC97, IF(AB7="Incurred - Pure Loss", AC240, 0)))</f>
        <v>58618504.239613801</v>
      </c>
      <c r="AD168" s="141">
        <f>IF(OR(AB7="Paid - Loss &amp; DCCE",AB7="Incurred - Loss &amp; DCCE"),"N/A",IF(AB7="Paid - Pure Loss", AD97, IF(AB7="Incurred - Pure Loss", AD240, 0)))</f>
        <v>55833178.075213015</v>
      </c>
      <c r="AE168" s="141">
        <f>IF(OR(AB7="Paid - Loss &amp; DCCE",AB7="Incurred - Loss &amp; DCCE"),"N/A",IF(AB7="Paid - Pure Loss", AE97, IF(AB7="Incurred - Pure Loss", AE240, 0)))</f>
        <v>50429330.524766557</v>
      </c>
      <c r="AF168" s="141">
        <f>IF(OR(AB7="Paid - Loss &amp; DCCE",AB7="Incurred - Loss &amp; DCCE"),"N/A",IF(AB7="Paid - Pure Loss", AF97, IF(AB7="Incurred - Pure Loss", AF240, 0)))</f>
        <v>55032708.571539827</v>
      </c>
      <c r="AG168" s="141">
        <f>IF(OR(AB7="Paid - Loss &amp; DCCE",AB7="Incurred - Loss &amp; DCCE"),"N/A",IF(AB7="Paid - Pure Loss", AG97, IF(AB7="Incurred - Pure Loss", AG240, 0)))</f>
        <v>51561357.184232496</v>
      </c>
      <c r="AH168" s="141">
        <f>IF(OR(AB7="Paid - Loss &amp; DCCE",AB7="Incurred - Loss &amp; DCCE"),"N/A",IF(AB7="Paid - Pure Loss", AH97, IF(AB7="Incurred - Pure Loss", AH240, 0)))</f>
        <v>43653717.542660594</v>
      </c>
      <c r="AI168" s="141">
        <f>IF(OR(AB7="Paid - Loss &amp; DCCE",AB7="Incurred - Loss &amp; DCCE"),"N/A",IF(AB7="Paid - Pure Loss", AI97, IF(AB7="Incurred - Pure Loss", AI240, 0)))</f>
        <v>39729635.789999999</v>
      </c>
      <c r="AJ168" s="141">
        <f>IF(OR(AB7="Paid - Loss &amp; DCCE",AB7="Incurred - Loss &amp; DCCE"),"N/A",IF(AB7="Paid - Pure Loss", AJ97, IF(AB7="Incurred - Pure Loss", AJ240, 0)))</f>
        <v>40721303.950000003</v>
      </c>
      <c r="AK168" s="140" t="s">
        <v>215</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215</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215</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215</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50529740.616542667</v>
      </c>
      <c r="D169" s="110">
        <f>IF(OR(D7="Paid - Loss &amp; DCCE",D7="Incurred - Loss &amp; DCCE"),"N/A",IFERROR(D167*D168,0))</f>
        <v>44769846.358692437</v>
      </c>
      <c r="E169" s="110">
        <f>IF(OR(D7="Paid - Loss &amp; DCCE",D7="Incurred - Loss &amp; DCCE"),"N/A",IFERROR(E167*E168,0))</f>
        <v>29351563.934109293</v>
      </c>
      <c r="F169" s="110">
        <f>IF(OR(D7="Paid - Loss &amp; DCCE",D7="Incurred - Loss &amp; DCCE"),"N/A",IFERROR(F167*F168,0))</f>
        <v>26472953.012195755</v>
      </c>
      <c r="G169" s="110">
        <f>IF(OR(D7="Paid - Loss &amp; DCCE",D7="Incurred - Loss &amp; DCCE"),"N/A",IFERROR(G167*G168,0))</f>
        <v>24277481.988213375</v>
      </c>
      <c r="H169" s="110">
        <f>IF(OR(D7="Paid - Loss &amp; DCCE",D7="Incurred - Loss &amp; DCCE"),"N/A",IFERROR(H167*H168,0))</f>
        <v>26676719.427459564</v>
      </c>
      <c r="I169" s="110">
        <f>IF(OR(D7="Paid - Loss &amp; DCCE",D7="Incurred - Loss &amp; DCCE"),"N/A",IFERROR(I167*I168,0))</f>
        <v>24532674.700520255</v>
      </c>
      <c r="J169" s="110">
        <f>IF(OR(D7="Paid - Loss &amp; DCCE",D7="Incurred - Loss &amp; DCCE"),"N/A",IFERROR(J167*J168,0))</f>
        <v>24682855.603010692</v>
      </c>
      <c r="K169" s="110">
        <f>IF(OR(D7="Paid - Loss &amp; DCCE",D7="Incurred - Loss &amp; DCCE"),"N/A",IFERROR(K167*K168,0))</f>
        <v>21781688.467364483</v>
      </c>
      <c r="L169" s="110">
        <f>IF(OR(D7="Paid - Loss &amp; DCCE",D7="Incurred - Loss &amp; DCCE"),"N/A",IFERROR(L167*L168,0))</f>
        <v>20373977.392285962</v>
      </c>
      <c r="M169" s="95" t="s">
        <v>42</v>
      </c>
      <c r="N169" s="105"/>
      <c r="O169" s="110">
        <f>IF(OR(P7="Paid - Loss &amp; DCCE",P7="Incurred - Loss &amp; DCCE"),"N/A",IFERROR(O167*O168,0))</f>
        <v>2073751.6833462331</v>
      </c>
      <c r="P169" s="110">
        <f>IF(OR(P7="Paid - Loss &amp; DCCE",P7="Incurred - Loss &amp; DCCE"),"N/A",IFERROR(P167*P168,0))</f>
        <v>2315813.9315291494</v>
      </c>
      <c r="Q169" s="110">
        <f>IF(OR(P7="Paid - Loss &amp; DCCE",P7="Incurred - Loss &amp; DCCE"),"N/A",IFERROR(Q167*Q168,0))</f>
        <v>1861537.9684877</v>
      </c>
      <c r="R169" s="110">
        <f>IF(OR(P7="Paid - Loss &amp; DCCE",P7="Incurred - Loss &amp; DCCE"),"N/A",IFERROR(R167*R168,0))</f>
        <v>1759228.4410031235</v>
      </c>
      <c r="S169" s="110">
        <f>IF(OR(P7="Paid - Loss &amp; DCCE",P7="Incurred - Loss &amp; DCCE"),"N/A",IFERROR(S167*S168,0))</f>
        <v>2335537.3409901396</v>
      </c>
      <c r="T169" s="110">
        <f>IF(OR(P7="Paid - Loss &amp; DCCE",P7="Incurred - Loss &amp; DCCE"),"N/A",IFERROR(T167*T168,0))</f>
        <v>1803354.0689974406</v>
      </c>
      <c r="U169" s="110">
        <f>IF(OR(P7="Paid - Loss &amp; DCCE",P7="Incurred - Loss &amp; DCCE"),"N/A",IFERROR(U167*U168,0))</f>
        <v>2462671.8461837596</v>
      </c>
      <c r="V169" s="110">
        <f>IF(OR(P7="Paid - Loss &amp; DCCE",P7="Incurred - Loss &amp; DCCE"),"N/A",IFERROR(V167*V168,0))</f>
        <v>2030982.534781171</v>
      </c>
      <c r="W169" s="110">
        <f>IF(OR(P7="Paid - Loss &amp; DCCE",P7="Incurred - Loss &amp; DCCE"),"N/A",IFERROR(W167*W168,0))</f>
        <v>4135062.5682123932</v>
      </c>
      <c r="X169" s="110">
        <f>IF(OR(P7="Paid - Loss &amp; DCCE",P7="Incurred - Loss &amp; DCCE"),"N/A",IFERROR(X167*X168,0))</f>
        <v>2337956.3199999998</v>
      </c>
      <c r="Y169" s="95" t="s">
        <v>42</v>
      </c>
      <c r="Z169" s="105"/>
      <c r="AA169" s="110">
        <f>IF(OR(AB7="Paid - Loss &amp; DCCE",AB7="Incurred - Loss &amp; DCCE"),"N/A",IFERROR(AA167*AA168,0))</f>
        <v>4040239.2484236625</v>
      </c>
      <c r="AB169" s="110">
        <f>IF(OR(AB7="Paid - Loss &amp; DCCE",AB7="Incurred - Loss &amp; DCCE"),"N/A",IFERROR(AB167*AB168,0))</f>
        <v>3152413.6430051872</v>
      </c>
      <c r="AC169" s="110">
        <f>IF(OR(AB7="Paid - Loss &amp; DCCE",AB7="Incurred - Loss &amp; DCCE"),"N/A",IFERROR(AC167*AC168,0))</f>
        <v>2327414.5760810305</v>
      </c>
      <c r="AD169" s="110">
        <f>IF(OR(AB7="Paid - Loss &amp; DCCE",AB7="Incurred - Loss &amp; DCCE"),"N/A",IFERROR(AD167*AD168,0))</f>
        <v>1990530.6453852898</v>
      </c>
      <c r="AE169" s="110">
        <f>IF(OR(AB7="Paid - Loss &amp; DCCE",AB7="Incurred - Loss &amp; DCCE"),"N/A",IFERROR(AE167*AE168,0))</f>
        <v>2093326.9428412793</v>
      </c>
      <c r="AF169" s="110">
        <f>IF(OR(AB7="Paid - Loss &amp; DCCE",AB7="Incurred - Loss &amp; DCCE"),"N/A",IFERROR(AF167*AF168,0))</f>
        <v>2255575.628444822</v>
      </c>
      <c r="AG169" s="110">
        <f>IF(OR(AB7="Paid - Loss &amp; DCCE",AB7="Incurred - Loss &amp; DCCE"),"N/A",IFERROR(AG167*AG168,0))</f>
        <v>1653653.5433956657</v>
      </c>
      <c r="AH169" s="110">
        <f>IF(OR(AB7="Paid - Loss &amp; DCCE",AB7="Incurred - Loss &amp; DCCE"),"N/A",IFERROR(AH167*AH168,0))</f>
        <v>1467670.0575418761</v>
      </c>
      <c r="AI169" s="110">
        <f>IF(OR(AB7="Paid - Loss &amp; DCCE",AB7="Incurred - Loss &amp; DCCE"),"N/A",IFERROR(AI167*AI168,0))</f>
        <v>1123746.5286520496</v>
      </c>
      <c r="AJ169" s="110">
        <f>IF(OR(AB7="Paid - Loss &amp; DCCE",AB7="Incurred - Loss &amp; DCCE"),"N/A",IFERROR(AJ167*AJ168,0))</f>
        <v>1712249.28</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7.9865258913802348</v>
      </c>
      <c r="D170" s="113">
        <f>IF(OR(D7="Paid - Loss &amp; DCCE",D7="Incurred - Loss &amp; DCCE"),"N/A",IFERROR(D169/D114,1))</f>
        <v>3.2939581159929663</v>
      </c>
      <c r="E170" s="113">
        <f>IF(OR(D7="Paid - Loss &amp; DCCE",D7="Incurred - Loss &amp; DCCE"),"N/A",IFERROR(E169/E113,1))</f>
        <v>1.9437213861079208</v>
      </c>
      <c r="F170" s="113">
        <f>IF(OR(D7="Paid - Loss &amp; DCCE",D7="Incurred - Loss &amp; DCCE"),"N/A",IFERROR(F169/F112,1))</f>
        <v>1.4047292836819434</v>
      </c>
      <c r="G170" s="113">
        <f>IF(OR(D7="Paid - Loss &amp; DCCE",D7="Incurred - Loss &amp; DCCE"),"N/A",IFERROR(G169/G111,1))</f>
        <v>1.1658255327392468</v>
      </c>
      <c r="H170" s="113">
        <f>IF(OR(D7="Paid - Loss &amp; DCCE",D7="Incurred - Loss &amp; DCCE"),"N/A",IFERROR(H169/H110,1))</f>
        <v>1.0597654358143374</v>
      </c>
      <c r="I170" s="113">
        <f>IF(OR(D7="Paid - Loss &amp; DCCE",D7="Incurred - Loss &amp; DCCE"),"N/A",IFERROR(I169/I109,1))</f>
        <v>1.037734234931295</v>
      </c>
      <c r="J170" s="113">
        <f>IF(OR(D7="Paid - Loss &amp; DCCE",D7="Incurred - Loss &amp; DCCE"),"N/A",IFERROR(J169/J108,1))</f>
        <v>1.0245635720933841</v>
      </c>
      <c r="K170" s="113">
        <f>IF(OR(D7="Paid - Loss &amp; DCCE",D7="Incurred - Loss &amp; DCCE"),"N/A",IFERROR(K169/K107,1))</f>
        <v>1.0127379308117979</v>
      </c>
      <c r="L170" s="113">
        <f>IF(OR(D7="Paid - Loss &amp; DCCE",D7="Incurred - Loss &amp; DCCE"),"N/A",IFERROR(L169/L106,1))</f>
        <v>1.0005058994544689</v>
      </c>
      <c r="M170" s="111" t="s">
        <v>43</v>
      </c>
      <c r="N170" s="112"/>
      <c r="O170" s="113">
        <f>IF(OR(P7="Paid - Loss &amp; DCCE",P7="Incurred - Loss &amp; DCCE"),"N/A",IFERROR(O169/O115,1))</f>
        <v>6.206944071509664</v>
      </c>
      <c r="P170" s="113">
        <f>IF(OR(P7="Paid - Loss &amp; DCCE",P7="Incurred - Loss &amp; DCCE"),"N/A",IFERROR(P169/P114,1))</f>
        <v>2.2281880950921504</v>
      </c>
      <c r="Q170" s="113">
        <f>IF(OR(P7="Paid - Loss &amp; DCCE",P7="Incurred - Loss &amp; DCCE"),"N/A",IFERROR(Q169/Q113,1))</f>
        <v>1.5574901205038534</v>
      </c>
      <c r="R170" s="113">
        <f>IF(OR(P7="Paid - Loss &amp; DCCE",P7="Incurred - Loss &amp; DCCE"),"N/A",IFERROR(R169/R112,1))</f>
        <v>1.2568729150224138</v>
      </c>
      <c r="S170" s="113">
        <f>IF(OR(P7="Paid - Loss &amp; DCCE",P7="Incurred - Loss &amp; DCCE"),"N/A",IFERROR(S169/S111,1))</f>
        <v>1.1011052430550377</v>
      </c>
      <c r="T170" s="113">
        <f>IF(OR(P7="Paid - Loss &amp; DCCE",P7="Incurred - Loss &amp; DCCE"),"N/A",IFERROR(T169/T110,1))</f>
        <v>1.0384824015723007</v>
      </c>
      <c r="U170" s="113">
        <f>IF(OR(P7="Paid - Loss &amp; DCCE",P7="Incurred - Loss &amp; DCCE"),"N/A",IFERROR(U169/U109,1))</f>
        <v>1.0308092064841388</v>
      </c>
      <c r="V170" s="113">
        <f>IF(OR(P7="Paid - Loss &amp; DCCE",P7="Incurred - Loss &amp; DCCE"),"N/A",IFERROR(V169/V108,1))</f>
        <v>1.0049927960701064</v>
      </c>
      <c r="W170" s="113">
        <f>IF(OR(P7="Paid - Loss &amp; DCCE",P7="Incurred - Loss &amp; DCCE"),"N/A",IFERROR(W169/W107,1))</f>
        <v>1.0006291498424011</v>
      </c>
      <c r="X170" s="113">
        <f>IF(OR(P7="Paid - Loss &amp; DCCE",P7="Incurred - Loss &amp; DCCE"),"N/A",IFERROR(X169/X106,1))</f>
        <v>1</v>
      </c>
      <c r="Y170" s="111" t="s">
        <v>43</v>
      </c>
      <c r="Z170" s="112"/>
      <c r="AA170" s="113">
        <f>IF(OR(AB7="Paid - Loss &amp; DCCE",AB7="Incurred - Loss &amp; DCCE"),"N/A",IFERROR(AA169/AA115,1))</f>
        <v>5.4378120234986014</v>
      </c>
      <c r="AB170" s="113">
        <f>IF(OR(AB7="Paid - Loss &amp; DCCE",AB7="Incurred - Loss &amp; DCCE"),"N/A",IFERROR(AB169/AB114,1))</f>
        <v>2.9022223687307158</v>
      </c>
      <c r="AC170" s="113">
        <f>IF(OR(AB7="Paid - Loss &amp; DCCE",AB7="Incurred - Loss &amp; DCCE"),"N/A",IFERROR(AC169/AC113,1))</f>
        <v>1.9131072491704171</v>
      </c>
      <c r="AD170" s="113">
        <f>IF(OR(AB7="Paid - Loss &amp; DCCE",AB7="Incurred - Loss &amp; DCCE"),"N/A",IFERROR(AD169/AD112,1))</f>
        <v>1.3979224119464757</v>
      </c>
      <c r="AE170" s="113">
        <f>IF(OR(AB7="Paid - Loss &amp; DCCE",AB7="Incurred - Loss &amp; DCCE"),"N/A",IFERROR(AE169/AE111,1))</f>
        <v>1.185486098566976</v>
      </c>
      <c r="AF170" s="113">
        <f>IF(OR(AB7="Paid - Loss &amp; DCCE",AB7="Incurred - Loss &amp; DCCE"),"N/A",IFERROR(AF169/AF110,1))</f>
        <v>1.0897761760037603</v>
      </c>
      <c r="AG170" s="113">
        <f>IF(OR(AB7="Paid - Loss &amp; DCCE",AB7="Incurred - Loss &amp; DCCE"),"N/A",IFERROR(AG169/AG109,1))</f>
        <v>1.0720881395153743</v>
      </c>
      <c r="AH170" s="113">
        <f>IF(OR(AB7="Paid - Loss &amp; DCCE",AB7="Incurred - Loss &amp; DCCE"),"N/A",IFERROR(AH169/AH108,1))</f>
        <v>1.0322458807818378</v>
      </c>
      <c r="AI170" s="113">
        <f>IF(OR(AB7="Paid - Loss &amp; DCCE",AB7="Incurred - Loss &amp; DCCE"),"N/A",IFERROR(AI169/AI107,1))</f>
        <v>1.0000538661619434</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Homeowners Multiple Peril</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Renters</v>
      </c>
      <c r="N175" s="69"/>
      <c r="O175" s="18"/>
      <c r="P175" s="18"/>
      <c r="Q175" s="18"/>
      <c r="R175" s="18"/>
      <c r="S175" s="18"/>
      <c r="T175" s="18"/>
      <c r="U175" s="18"/>
      <c r="V175" s="18"/>
      <c r="W175" s="18"/>
      <c r="X175" s="18"/>
      <c r="Y175" s="138" t="str">
        <f>Y$5</f>
        <v>Condominium Unitowners</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0</v>
      </c>
      <c r="C178" s="209" t="str">
        <f>$C$35</f>
        <v>12</v>
      </c>
      <c r="D178" s="20">
        <f>$D$35</f>
        <v>24</v>
      </c>
      <c r="E178" s="20">
        <f>$E$35</f>
        <v>36</v>
      </c>
      <c r="F178" s="20">
        <f>$F$35</f>
        <v>48</v>
      </c>
      <c r="G178" s="20">
        <f>$G$35</f>
        <v>60</v>
      </c>
      <c r="H178" s="20">
        <f>$H$35</f>
        <v>72</v>
      </c>
      <c r="I178" s="20">
        <f>$I$35</f>
        <v>84</v>
      </c>
      <c r="J178" s="20">
        <f>$J$35</f>
        <v>96</v>
      </c>
      <c r="K178" s="20">
        <f>$K$35</f>
        <v>108</v>
      </c>
      <c r="L178" s="20">
        <f>$L$35</f>
        <v>120</v>
      </c>
      <c r="M178" s="210" t="str">
        <f>$A$35</f>
        <v>Fiscal Accident Year Data Ending</v>
      </c>
      <c r="N178" s="98">
        <f>$B$35</f>
        <v>0</v>
      </c>
      <c r="O178" s="209" t="str">
        <f>$C$35</f>
        <v>12</v>
      </c>
      <c r="P178" s="20">
        <f>$D$35</f>
        <v>24</v>
      </c>
      <c r="Q178" s="20">
        <f>$E$35</f>
        <v>36</v>
      </c>
      <c r="R178" s="20">
        <f>$F$35</f>
        <v>48</v>
      </c>
      <c r="S178" s="20">
        <f>$G$35</f>
        <v>60</v>
      </c>
      <c r="T178" s="20">
        <f>$H$35</f>
        <v>72</v>
      </c>
      <c r="U178" s="20">
        <f>$I$35</f>
        <v>84</v>
      </c>
      <c r="V178" s="20">
        <f>$J$35</f>
        <v>96</v>
      </c>
      <c r="W178" s="20">
        <f>$K$35</f>
        <v>108</v>
      </c>
      <c r="X178" s="20">
        <f>$L$35</f>
        <v>120</v>
      </c>
      <c r="Y178" s="210" t="str">
        <f>$A$35</f>
        <v>Fiscal Accident Year Data Ending</v>
      </c>
      <c r="Z178" s="98">
        <f>$B$35</f>
        <v>0</v>
      </c>
      <c r="AA178" s="209" t="str">
        <f>$C$35</f>
        <v>12</v>
      </c>
      <c r="AB178" s="20">
        <f>$D$35</f>
        <v>24</v>
      </c>
      <c r="AC178" s="20">
        <f>$E$35</f>
        <v>36</v>
      </c>
      <c r="AD178" s="20">
        <f>$F$35</f>
        <v>48</v>
      </c>
      <c r="AE178" s="20">
        <f>$G$35</f>
        <v>60</v>
      </c>
      <c r="AF178" s="20">
        <f>$H$35</f>
        <v>72</v>
      </c>
      <c r="AG178" s="20">
        <f>$I$35</f>
        <v>84</v>
      </c>
      <c r="AH178" s="20">
        <f>$J$35</f>
        <v>96</v>
      </c>
      <c r="AI178" s="20">
        <f>$K$35</f>
        <v>108</v>
      </c>
      <c r="AJ178" s="20">
        <f>$L$35</f>
        <v>120</v>
      </c>
      <c r="AK178" s="210" t="str">
        <f>$A$35</f>
        <v>Fiscal Accident Year Data Ending</v>
      </c>
      <c r="AL178" s="98">
        <f>$B$35</f>
        <v>0</v>
      </c>
      <c r="AM178" s="209" t="str">
        <f>$C$35</f>
        <v>12</v>
      </c>
      <c r="AN178" s="20">
        <f>$D$35</f>
        <v>24</v>
      </c>
      <c r="AO178" s="20">
        <f>$E$35</f>
        <v>36</v>
      </c>
      <c r="AP178" s="20">
        <f>$F$35</f>
        <v>48</v>
      </c>
      <c r="AQ178" s="20">
        <f>$G$35</f>
        <v>60</v>
      </c>
      <c r="AR178" s="20">
        <f>$H$35</f>
        <v>72</v>
      </c>
      <c r="AS178" s="20">
        <f>$I$35</f>
        <v>84</v>
      </c>
      <c r="AT178" s="20">
        <f>$J$35</f>
        <v>96</v>
      </c>
      <c r="AU178" s="20">
        <f>$K$35</f>
        <v>108</v>
      </c>
      <c r="AV178" s="20">
        <f>$L$35</f>
        <v>120</v>
      </c>
      <c r="AW178" s="210" t="str">
        <f>$A$35</f>
        <v>Fiscal Accident Year Data Ending</v>
      </c>
      <c r="AX178" s="98">
        <f>$B$35</f>
        <v>0</v>
      </c>
      <c r="AY178" s="209" t="str">
        <f>$C$35</f>
        <v>12</v>
      </c>
      <c r="AZ178" s="20">
        <f>$D$35</f>
        <v>24</v>
      </c>
      <c r="BA178" s="20">
        <f>$E$35</f>
        <v>36</v>
      </c>
      <c r="BB178" s="20">
        <f>$F$35</f>
        <v>48</v>
      </c>
      <c r="BC178" s="20">
        <f>$G$35</f>
        <v>60</v>
      </c>
      <c r="BD178" s="20">
        <f>$H$35</f>
        <v>72</v>
      </c>
      <c r="BE178" s="20">
        <f>$I$35</f>
        <v>84</v>
      </c>
      <c r="BF178" s="20">
        <f>$J$35</f>
        <v>96</v>
      </c>
      <c r="BG178" s="20">
        <f>$K$35</f>
        <v>108</v>
      </c>
      <c r="BH178" s="20">
        <f>$L$35</f>
        <v>120</v>
      </c>
      <c r="BI178" s="210" t="str">
        <f>$A$35</f>
        <v>Fiscal Accident Year Data Ending</v>
      </c>
      <c r="BJ178" s="98">
        <f>$B$35</f>
        <v>0</v>
      </c>
      <c r="BK178" s="209" t="str">
        <f>$C$35</f>
        <v>12</v>
      </c>
      <c r="BL178" s="20">
        <f>$D$35</f>
        <v>24</v>
      </c>
      <c r="BM178" s="20">
        <f>$E$35</f>
        <v>36</v>
      </c>
      <c r="BN178" s="20">
        <f>$F$35</f>
        <v>48</v>
      </c>
      <c r="BO178" s="20">
        <f>$G$35</f>
        <v>60</v>
      </c>
      <c r="BP178" s="20">
        <f>$H$35</f>
        <v>72</v>
      </c>
      <c r="BQ178" s="20">
        <f>$I$35</f>
        <v>84</v>
      </c>
      <c r="BR178" s="20">
        <f>$J$35</f>
        <v>96</v>
      </c>
      <c r="BS178" s="20">
        <f>$K$35</f>
        <v>108</v>
      </c>
      <c r="BT178" s="20">
        <f>$L$35</f>
        <v>120</v>
      </c>
      <c r="BU178" s="210" t="str">
        <f>$A$35</f>
        <v>Fiscal Accident Year Data Ending</v>
      </c>
      <c r="BV178" s="98">
        <f>$B$35</f>
        <v>0</v>
      </c>
      <c r="BW178" s="209" t="str">
        <f>$C$35</f>
        <v>12</v>
      </c>
      <c r="BX178" s="20">
        <f>$D$35</f>
        <v>24</v>
      </c>
      <c r="BY178" s="20">
        <f>$E$35</f>
        <v>36</v>
      </c>
      <c r="BZ178" s="20">
        <f>$F$35</f>
        <v>48</v>
      </c>
      <c r="CA178" s="20">
        <f>$G$35</f>
        <v>60</v>
      </c>
      <c r="CB178" s="20">
        <f>$H$35</f>
        <v>72</v>
      </c>
      <c r="CC178" s="20">
        <f>$I$35</f>
        <v>84</v>
      </c>
      <c r="CD178" s="20">
        <f>$J$35</f>
        <v>96</v>
      </c>
      <c r="CE178" s="20">
        <f>$K$35</f>
        <v>108</v>
      </c>
      <c r="CF178" s="20">
        <f>$L$35</f>
        <v>120</v>
      </c>
      <c r="CG178" s="210" t="str">
        <f>$A$35</f>
        <v>Fiscal Accident Year Data Ending</v>
      </c>
      <c r="CH178" s="98">
        <f>$B$35</f>
        <v>0</v>
      </c>
      <c r="CI178" s="209" t="str">
        <f>$C$35</f>
        <v>12</v>
      </c>
      <c r="CJ178" s="20">
        <f>$D$35</f>
        <v>24</v>
      </c>
      <c r="CK178" s="20">
        <f>$E$35</f>
        <v>36</v>
      </c>
      <c r="CL178" s="20">
        <f>$F$35</f>
        <v>48</v>
      </c>
      <c r="CM178" s="20">
        <f>$G$35</f>
        <v>60</v>
      </c>
      <c r="CN178" s="20">
        <f>$H$35</f>
        <v>72</v>
      </c>
      <c r="CO178" s="20">
        <f>$I$35</f>
        <v>84</v>
      </c>
      <c r="CP178" s="20">
        <f>$J$35</f>
        <v>96</v>
      </c>
      <c r="CQ178" s="20">
        <f>$K$35</f>
        <v>108</v>
      </c>
      <c r="CR178" s="20">
        <f>$L$35</f>
        <v>120</v>
      </c>
      <c r="CS178" s="210" t="str">
        <f>$A$35</f>
        <v>Fiscal Accident Year Data Ending</v>
      </c>
      <c r="CT178" s="98">
        <f>$B$35</f>
        <v>0</v>
      </c>
      <c r="CU178" s="209" t="str">
        <f>$C$35</f>
        <v>12</v>
      </c>
      <c r="CV178" s="20">
        <f>$D$35</f>
        <v>24</v>
      </c>
      <c r="CW178" s="20">
        <f>$E$35</f>
        <v>36</v>
      </c>
      <c r="CX178" s="20">
        <f>$F$35</f>
        <v>48</v>
      </c>
      <c r="CY178" s="20">
        <f>$G$35</f>
        <v>60</v>
      </c>
      <c r="CZ178" s="20">
        <f>$H$35</f>
        <v>72</v>
      </c>
      <c r="DA178" s="20">
        <f>$I$35</f>
        <v>84</v>
      </c>
      <c r="DB178" s="20">
        <f>$J$35</f>
        <v>96</v>
      </c>
      <c r="DC178" s="20">
        <f>$K$35</f>
        <v>108</v>
      </c>
      <c r="DD178" s="20">
        <f>$L$35</f>
        <v>120</v>
      </c>
      <c r="DE178" s="210" t="str">
        <f>$A$35</f>
        <v>Fiscal Accident Year Data Ending</v>
      </c>
      <c r="DF178" s="98">
        <f>$B$35</f>
        <v>0</v>
      </c>
      <c r="DG178" s="209"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20132</v>
      </c>
      <c r="B179" s="21"/>
      <c r="C179" s="21">
        <v>377800500.51999998</v>
      </c>
      <c r="D179" s="21">
        <v>418730439.75</v>
      </c>
      <c r="E179" s="21">
        <v>428528719.34000003</v>
      </c>
      <c r="F179" s="21">
        <v>433683555.40999997</v>
      </c>
      <c r="G179" s="21">
        <v>435512602.33000004</v>
      </c>
      <c r="H179" s="21">
        <v>436839796.52999997</v>
      </c>
      <c r="I179" s="21">
        <v>438009954.90999997</v>
      </c>
      <c r="J179" s="21">
        <v>438260789.55000001</v>
      </c>
      <c r="K179" s="21">
        <v>438491193.18000001</v>
      </c>
      <c r="L179" s="21">
        <v>438663895.66000003</v>
      </c>
      <c r="M179" s="31">
        <f>$A$36</f>
        <v>20132</v>
      </c>
      <c r="N179" s="21"/>
      <c r="O179" s="21">
        <v>32994536.780000001</v>
      </c>
      <c r="P179" s="21">
        <v>35713962.229999997</v>
      </c>
      <c r="Q179" s="21">
        <v>37433794.07</v>
      </c>
      <c r="R179" s="21">
        <v>38019428.560000002</v>
      </c>
      <c r="S179" s="21">
        <v>38144820.469999999</v>
      </c>
      <c r="T179" s="21">
        <v>38369411.43</v>
      </c>
      <c r="U179" s="21">
        <v>38592764.700000003</v>
      </c>
      <c r="V179" s="21">
        <v>38719681.349999994</v>
      </c>
      <c r="W179" s="21">
        <v>38748656.43</v>
      </c>
      <c r="X179" s="21">
        <v>38750090.280000001</v>
      </c>
      <c r="Y179" s="31">
        <f>$A$36</f>
        <v>20132</v>
      </c>
      <c r="Z179" s="21"/>
      <c r="AA179" s="21">
        <v>40501753.549999997</v>
      </c>
      <c r="AB179" s="21">
        <v>42020562.949999996</v>
      </c>
      <c r="AC179" s="21">
        <v>42180968.720000006</v>
      </c>
      <c r="AD179" s="21">
        <v>41570140.829999998</v>
      </c>
      <c r="AE179" s="21">
        <v>41993069.600000001</v>
      </c>
      <c r="AF179" s="21">
        <v>42264740.460000001</v>
      </c>
      <c r="AG179" s="21">
        <v>42534031.689999998</v>
      </c>
      <c r="AH179" s="21">
        <v>42438352.93</v>
      </c>
      <c r="AI179" s="21">
        <v>42438352.93</v>
      </c>
      <c r="AJ179" s="21">
        <v>42433553.230000004</v>
      </c>
      <c r="AK179" s="31">
        <f>$A$36</f>
        <v>20132</v>
      </c>
      <c r="AL179" s="21"/>
      <c r="AM179" s="21"/>
      <c r="AN179" s="21"/>
      <c r="AO179" s="21"/>
      <c r="AP179" s="21"/>
      <c r="AQ179" s="21"/>
      <c r="AR179" s="21"/>
      <c r="AS179" s="21"/>
      <c r="AT179" s="21"/>
      <c r="AU179" s="21"/>
      <c r="AV179" s="21"/>
      <c r="AW179" s="31">
        <f>$A$36</f>
        <v>20132</v>
      </c>
      <c r="AX179" s="21"/>
      <c r="AY179" s="21"/>
      <c r="AZ179" s="21"/>
      <c r="BA179" s="21"/>
      <c r="BB179" s="21"/>
      <c r="BC179" s="21"/>
      <c r="BD179" s="21"/>
      <c r="BE179" s="21"/>
      <c r="BF179" s="21"/>
      <c r="BG179" s="21"/>
      <c r="BH179" s="21"/>
      <c r="BI179" s="31">
        <f>$A$36</f>
        <v>20132</v>
      </c>
      <c r="BJ179" s="21"/>
      <c r="BK179" s="21"/>
      <c r="BL179" s="21"/>
      <c r="BM179" s="21"/>
      <c r="BN179" s="21"/>
      <c r="BO179" s="21"/>
      <c r="BP179" s="21"/>
      <c r="BQ179" s="21"/>
      <c r="BR179" s="21"/>
      <c r="BS179" s="21"/>
      <c r="BT179" s="21"/>
      <c r="BU179" s="31">
        <f>$A$36</f>
        <v>20132</v>
      </c>
      <c r="BV179" s="21"/>
      <c r="BW179" s="21"/>
      <c r="BX179" s="21"/>
      <c r="BY179" s="21"/>
      <c r="BZ179" s="21"/>
      <c r="CA179" s="21"/>
      <c r="CB179" s="21"/>
      <c r="CC179" s="21"/>
      <c r="CD179" s="21"/>
      <c r="CE179" s="21"/>
      <c r="CF179" s="21"/>
      <c r="CG179" s="31">
        <f>$A$36</f>
        <v>20132</v>
      </c>
      <c r="CH179" s="21"/>
      <c r="CI179" s="21"/>
      <c r="CJ179" s="21"/>
      <c r="CK179" s="21"/>
      <c r="CL179" s="21"/>
      <c r="CM179" s="21"/>
      <c r="CN179" s="21"/>
      <c r="CO179" s="21"/>
      <c r="CP179" s="21"/>
      <c r="CQ179" s="21"/>
      <c r="CR179" s="21"/>
      <c r="CS179" s="31">
        <f>$A$36</f>
        <v>20132</v>
      </c>
      <c r="CT179" s="21"/>
      <c r="CU179" s="21"/>
      <c r="CV179" s="21"/>
      <c r="CW179" s="21"/>
      <c r="CX179" s="21"/>
      <c r="CY179" s="21"/>
      <c r="CZ179" s="21"/>
      <c r="DA179" s="21"/>
      <c r="DB179" s="21"/>
      <c r="DC179" s="21"/>
      <c r="DD179" s="21"/>
      <c r="DE179" s="31">
        <f>$A$36</f>
        <v>20132</v>
      </c>
      <c r="DF179" s="21"/>
      <c r="DG179" s="21"/>
      <c r="DH179" s="21"/>
      <c r="DI179" s="21"/>
      <c r="DJ179" s="21"/>
      <c r="DK179" s="21"/>
      <c r="DL179" s="21"/>
      <c r="DM179" s="21"/>
      <c r="DN179" s="21"/>
      <c r="DO179" s="21"/>
      <c r="DP179" s="21"/>
    </row>
    <row r="180" spans="1:120" ht="15" customHeight="1" x14ac:dyDescent="0.25">
      <c r="A180" s="31">
        <f>$A$37</f>
        <v>20142</v>
      </c>
      <c r="B180" s="21"/>
      <c r="C180" s="21">
        <v>372294918.88</v>
      </c>
      <c r="D180" s="21">
        <v>401836685.53999996</v>
      </c>
      <c r="E180" s="21">
        <v>415918764.82999998</v>
      </c>
      <c r="F180" s="21">
        <v>425219385.43000001</v>
      </c>
      <c r="G180" s="21">
        <v>428768772.86000001</v>
      </c>
      <c r="H180" s="21">
        <v>431308311.12</v>
      </c>
      <c r="I180" s="21">
        <v>430950326.53999996</v>
      </c>
      <c r="J180" s="21">
        <v>431364279.66000003</v>
      </c>
      <c r="K180" s="21">
        <v>431249205.75</v>
      </c>
      <c r="L180" s="134"/>
      <c r="M180" s="31">
        <f>$A$37</f>
        <v>20142</v>
      </c>
      <c r="N180" s="21"/>
      <c r="O180" s="21">
        <v>33255420.489999998</v>
      </c>
      <c r="P180" s="21">
        <v>37124070.310000002</v>
      </c>
      <c r="Q180" s="21">
        <v>39333361.079999998</v>
      </c>
      <c r="R180" s="21">
        <v>41924975.789999999</v>
      </c>
      <c r="S180" s="21">
        <v>42391442.18</v>
      </c>
      <c r="T180" s="21">
        <v>42555791.600000001</v>
      </c>
      <c r="U180" s="21">
        <v>42659267.909999996</v>
      </c>
      <c r="V180" s="21">
        <v>42706405.100000001</v>
      </c>
      <c r="W180" s="21">
        <v>42880090.380000003</v>
      </c>
      <c r="X180" s="134"/>
      <c r="Y180" s="31">
        <f>$A$37</f>
        <v>20142</v>
      </c>
      <c r="Z180" s="21"/>
      <c r="AA180" s="21">
        <v>39604992.120000005</v>
      </c>
      <c r="AB180" s="21">
        <v>40152506.449999996</v>
      </c>
      <c r="AC180" s="21">
        <v>40130396.369999997</v>
      </c>
      <c r="AD180" s="21">
        <v>40646071.049999997</v>
      </c>
      <c r="AE180" s="21">
        <v>40677230.139999993</v>
      </c>
      <c r="AF180" s="21">
        <v>40808684.030000001</v>
      </c>
      <c r="AG180" s="21">
        <v>40722488.689999998</v>
      </c>
      <c r="AH180" s="21">
        <v>40844093.760000005</v>
      </c>
      <c r="AI180" s="21">
        <v>40853321.789999999</v>
      </c>
      <c r="AJ180" s="134"/>
      <c r="AK180" s="31">
        <f>$A$37</f>
        <v>20142</v>
      </c>
      <c r="AL180" s="21"/>
      <c r="AM180" s="21"/>
      <c r="AN180" s="21"/>
      <c r="AO180" s="21"/>
      <c r="AP180" s="21"/>
      <c r="AQ180" s="21"/>
      <c r="AR180" s="21"/>
      <c r="AS180" s="21"/>
      <c r="AT180" s="21"/>
      <c r="AU180" s="21"/>
      <c r="AV180" s="134"/>
      <c r="AW180" s="31">
        <f>$A$37</f>
        <v>20142</v>
      </c>
      <c r="AX180" s="21"/>
      <c r="AY180" s="21"/>
      <c r="AZ180" s="21"/>
      <c r="BA180" s="21"/>
      <c r="BB180" s="21"/>
      <c r="BC180" s="21"/>
      <c r="BD180" s="21"/>
      <c r="BE180" s="21"/>
      <c r="BF180" s="21"/>
      <c r="BG180" s="21"/>
      <c r="BH180" s="134"/>
      <c r="BI180" s="31">
        <f>$A$37</f>
        <v>20142</v>
      </c>
      <c r="BJ180" s="21"/>
      <c r="BK180" s="21"/>
      <c r="BL180" s="21"/>
      <c r="BM180" s="21"/>
      <c r="BN180" s="21"/>
      <c r="BO180" s="21"/>
      <c r="BP180" s="21"/>
      <c r="BQ180" s="21"/>
      <c r="BR180" s="21"/>
      <c r="BS180" s="21"/>
      <c r="BT180" s="134"/>
      <c r="BU180" s="31">
        <f>$A$37</f>
        <v>20142</v>
      </c>
      <c r="BV180" s="21"/>
      <c r="BW180" s="21"/>
      <c r="BX180" s="21"/>
      <c r="BY180" s="21"/>
      <c r="BZ180" s="21"/>
      <c r="CA180" s="21"/>
      <c r="CB180" s="21"/>
      <c r="CC180" s="21"/>
      <c r="CD180" s="21"/>
      <c r="CE180" s="21"/>
      <c r="CF180" s="134"/>
      <c r="CG180" s="31">
        <f>$A$37</f>
        <v>20142</v>
      </c>
      <c r="CH180" s="21"/>
      <c r="CI180" s="21"/>
      <c r="CJ180" s="21"/>
      <c r="CK180" s="21"/>
      <c r="CL180" s="21"/>
      <c r="CM180" s="21"/>
      <c r="CN180" s="21"/>
      <c r="CO180" s="21"/>
      <c r="CP180" s="21"/>
      <c r="CQ180" s="21"/>
      <c r="CR180" s="134"/>
      <c r="CS180" s="31">
        <f>$A$37</f>
        <v>20142</v>
      </c>
      <c r="CT180" s="21"/>
      <c r="CU180" s="21"/>
      <c r="CV180" s="21"/>
      <c r="CW180" s="21"/>
      <c r="CX180" s="21"/>
      <c r="CY180" s="21"/>
      <c r="CZ180" s="21"/>
      <c r="DA180" s="21"/>
      <c r="DB180" s="21"/>
      <c r="DC180" s="21"/>
      <c r="DD180" s="134"/>
      <c r="DE180" s="31">
        <f>$A$37</f>
        <v>20142</v>
      </c>
      <c r="DF180" s="21"/>
      <c r="DG180" s="21"/>
      <c r="DH180" s="21"/>
      <c r="DI180" s="21"/>
      <c r="DJ180" s="21"/>
      <c r="DK180" s="21"/>
      <c r="DL180" s="21"/>
      <c r="DM180" s="21"/>
      <c r="DN180" s="21"/>
      <c r="DO180" s="21"/>
      <c r="DP180" s="134"/>
    </row>
    <row r="181" spans="1:120" ht="15" customHeight="1" x14ac:dyDescent="0.25">
      <c r="A181" s="31">
        <f>$A$38</f>
        <v>20152</v>
      </c>
      <c r="B181" s="21"/>
      <c r="C181" s="21">
        <v>389846436.18000001</v>
      </c>
      <c r="D181" s="21">
        <v>427719633.21999997</v>
      </c>
      <c r="E181" s="21">
        <v>440588624.21999997</v>
      </c>
      <c r="F181" s="21">
        <v>449887884.21999997</v>
      </c>
      <c r="G181" s="21">
        <v>455357509.85000002</v>
      </c>
      <c r="H181" s="21">
        <v>459193018.52999997</v>
      </c>
      <c r="I181" s="21">
        <v>459803872.31999999</v>
      </c>
      <c r="J181" s="21">
        <v>460592924.48000002</v>
      </c>
      <c r="K181" s="134"/>
      <c r="L181" s="134"/>
      <c r="M181" s="31">
        <f>$A$38</f>
        <v>20152</v>
      </c>
      <c r="N181" s="21"/>
      <c r="O181" s="21">
        <v>33823723.160000004</v>
      </c>
      <c r="P181" s="21">
        <v>38011469.920000002</v>
      </c>
      <c r="Q181" s="21">
        <v>40603937.460000001</v>
      </c>
      <c r="R181" s="21">
        <v>41588891.640000001</v>
      </c>
      <c r="S181" s="21">
        <v>41954282.640000001</v>
      </c>
      <c r="T181" s="21">
        <v>41912855.890000001</v>
      </c>
      <c r="U181" s="21">
        <v>41952557.030000001</v>
      </c>
      <c r="V181" s="21">
        <v>41936758.420000002</v>
      </c>
      <c r="W181" s="134"/>
      <c r="X181" s="134"/>
      <c r="Y181" s="31">
        <f>$A$38</f>
        <v>20152</v>
      </c>
      <c r="Z181" s="21"/>
      <c r="AA181" s="21">
        <v>42985928.979999997</v>
      </c>
      <c r="AB181" s="21">
        <v>44327789.130000003</v>
      </c>
      <c r="AC181" s="21">
        <v>44881482.57</v>
      </c>
      <c r="AD181" s="21">
        <v>44782197.07</v>
      </c>
      <c r="AE181" s="21">
        <v>44772868.030000001</v>
      </c>
      <c r="AF181" s="21">
        <v>45074076.200000003</v>
      </c>
      <c r="AG181" s="21">
        <v>45044585.980000004</v>
      </c>
      <c r="AH181" s="21">
        <v>45111181.210000001</v>
      </c>
      <c r="AI181" s="134"/>
      <c r="AJ181" s="134"/>
      <c r="AK181" s="31">
        <f>$A$38</f>
        <v>20152</v>
      </c>
      <c r="AL181" s="21"/>
      <c r="AM181" s="21"/>
      <c r="AN181" s="21"/>
      <c r="AO181" s="21"/>
      <c r="AP181" s="21"/>
      <c r="AQ181" s="21"/>
      <c r="AR181" s="21"/>
      <c r="AS181" s="21"/>
      <c r="AT181" s="21"/>
      <c r="AU181" s="134"/>
      <c r="AV181" s="134"/>
      <c r="AW181" s="31">
        <f>$A$38</f>
        <v>20152</v>
      </c>
      <c r="AX181" s="21"/>
      <c r="AY181" s="21"/>
      <c r="AZ181" s="21"/>
      <c r="BA181" s="21"/>
      <c r="BB181" s="21"/>
      <c r="BC181" s="21"/>
      <c r="BD181" s="21"/>
      <c r="BE181" s="21"/>
      <c r="BF181" s="21"/>
      <c r="BG181" s="134"/>
      <c r="BH181" s="134"/>
      <c r="BI181" s="31">
        <f>$A$38</f>
        <v>20152</v>
      </c>
      <c r="BJ181" s="21"/>
      <c r="BK181" s="21"/>
      <c r="BL181" s="21"/>
      <c r="BM181" s="21"/>
      <c r="BN181" s="21"/>
      <c r="BO181" s="21"/>
      <c r="BP181" s="21"/>
      <c r="BQ181" s="21"/>
      <c r="BR181" s="21"/>
      <c r="BS181" s="134"/>
      <c r="BT181" s="134"/>
      <c r="BU181" s="31">
        <f>$A$38</f>
        <v>20152</v>
      </c>
      <c r="BV181" s="21"/>
      <c r="BW181" s="21"/>
      <c r="BX181" s="21"/>
      <c r="BY181" s="21"/>
      <c r="BZ181" s="21"/>
      <c r="CA181" s="21"/>
      <c r="CB181" s="21"/>
      <c r="CC181" s="21"/>
      <c r="CD181" s="21"/>
      <c r="CE181" s="134"/>
      <c r="CF181" s="134"/>
      <c r="CG181" s="31">
        <f>$A$38</f>
        <v>20152</v>
      </c>
      <c r="CH181" s="21"/>
      <c r="CI181" s="21"/>
      <c r="CJ181" s="21"/>
      <c r="CK181" s="21"/>
      <c r="CL181" s="21"/>
      <c r="CM181" s="21"/>
      <c r="CN181" s="21"/>
      <c r="CO181" s="21"/>
      <c r="CP181" s="21"/>
      <c r="CQ181" s="134"/>
      <c r="CR181" s="134"/>
      <c r="CS181" s="31">
        <f>$A$38</f>
        <v>20152</v>
      </c>
      <c r="CT181" s="21"/>
      <c r="CU181" s="21"/>
      <c r="CV181" s="21"/>
      <c r="CW181" s="21"/>
      <c r="CX181" s="21"/>
      <c r="CY181" s="21"/>
      <c r="CZ181" s="21"/>
      <c r="DA181" s="21"/>
      <c r="DB181" s="21"/>
      <c r="DC181" s="134"/>
      <c r="DD181" s="134"/>
      <c r="DE181" s="31">
        <f>$A$38</f>
        <v>20152</v>
      </c>
      <c r="DF181" s="21"/>
      <c r="DG181" s="21"/>
      <c r="DH181" s="21"/>
      <c r="DI181" s="21"/>
      <c r="DJ181" s="21"/>
      <c r="DK181" s="21"/>
      <c r="DL181" s="21"/>
      <c r="DM181" s="21"/>
      <c r="DN181" s="21"/>
      <c r="DO181" s="134"/>
      <c r="DP181" s="134"/>
    </row>
    <row r="182" spans="1:120" ht="15" customHeight="1" x14ac:dyDescent="0.25">
      <c r="A182" s="31">
        <f>$A$39</f>
        <v>20162</v>
      </c>
      <c r="B182" s="21"/>
      <c r="C182" s="21">
        <v>440802347.44999999</v>
      </c>
      <c r="D182" s="21">
        <v>493199157.42000002</v>
      </c>
      <c r="E182" s="21">
        <v>510612271.47000003</v>
      </c>
      <c r="F182" s="21">
        <v>519748293.96000004</v>
      </c>
      <c r="G182" s="21">
        <v>523574911.50999999</v>
      </c>
      <c r="H182" s="21">
        <v>525387312.13999999</v>
      </c>
      <c r="I182" s="21">
        <v>526108679.03999996</v>
      </c>
      <c r="J182" s="134"/>
      <c r="K182" s="134"/>
      <c r="L182" s="134"/>
      <c r="M182" s="31">
        <f>$A$39</f>
        <v>20162</v>
      </c>
      <c r="N182" s="21"/>
      <c r="O182" s="21">
        <v>34110674.269999996</v>
      </c>
      <c r="P182" s="21">
        <v>42064602.210000001</v>
      </c>
      <c r="Q182" s="21">
        <v>44754976.640000001</v>
      </c>
      <c r="R182" s="21">
        <v>46123998.509999998</v>
      </c>
      <c r="S182" s="21">
        <v>46796755.229999997</v>
      </c>
      <c r="T182" s="21">
        <v>46976364.890000001</v>
      </c>
      <c r="U182" s="21">
        <v>47076409.030000001</v>
      </c>
      <c r="V182" s="134"/>
      <c r="W182" s="134"/>
      <c r="X182" s="134"/>
      <c r="Y182" s="31">
        <f>$A$39</f>
        <v>20162</v>
      </c>
      <c r="Z182" s="21"/>
      <c r="AA182" s="21">
        <v>48656521.900000006</v>
      </c>
      <c r="AB182" s="21">
        <v>51951316.600000001</v>
      </c>
      <c r="AC182" s="21">
        <v>53081273.329999998</v>
      </c>
      <c r="AD182" s="21">
        <v>52930861.509999998</v>
      </c>
      <c r="AE182" s="21">
        <v>53130116</v>
      </c>
      <c r="AF182" s="21">
        <v>53164245.969999999</v>
      </c>
      <c r="AG182" s="21">
        <v>53165475.059999995</v>
      </c>
      <c r="AH182" s="134"/>
      <c r="AI182" s="134"/>
      <c r="AJ182" s="134"/>
      <c r="AK182" s="31">
        <f>$A$39</f>
        <v>20162</v>
      </c>
      <c r="AL182" s="21"/>
      <c r="AM182" s="21"/>
      <c r="AN182" s="21"/>
      <c r="AO182" s="21"/>
      <c r="AP182" s="21"/>
      <c r="AQ182" s="21"/>
      <c r="AR182" s="21"/>
      <c r="AS182" s="21"/>
      <c r="AT182" s="134"/>
      <c r="AU182" s="134"/>
      <c r="AV182" s="134"/>
      <c r="AW182" s="31">
        <f>$A$39</f>
        <v>20162</v>
      </c>
      <c r="AX182" s="21"/>
      <c r="AY182" s="21"/>
      <c r="AZ182" s="21"/>
      <c r="BA182" s="21"/>
      <c r="BB182" s="21"/>
      <c r="BC182" s="21"/>
      <c r="BD182" s="21"/>
      <c r="BE182" s="21"/>
      <c r="BF182" s="134"/>
      <c r="BG182" s="134"/>
      <c r="BH182" s="134"/>
      <c r="BI182" s="31">
        <f>$A$39</f>
        <v>20162</v>
      </c>
      <c r="BJ182" s="21"/>
      <c r="BK182" s="21"/>
      <c r="BL182" s="21"/>
      <c r="BM182" s="21"/>
      <c r="BN182" s="21"/>
      <c r="BO182" s="21"/>
      <c r="BP182" s="21"/>
      <c r="BQ182" s="21"/>
      <c r="BR182" s="134"/>
      <c r="BS182" s="134"/>
      <c r="BT182" s="134"/>
      <c r="BU182" s="31">
        <f>$A$39</f>
        <v>20162</v>
      </c>
      <c r="BV182" s="21"/>
      <c r="BW182" s="21"/>
      <c r="BX182" s="21"/>
      <c r="BY182" s="21"/>
      <c r="BZ182" s="21"/>
      <c r="CA182" s="21"/>
      <c r="CB182" s="21"/>
      <c r="CC182" s="21"/>
      <c r="CD182" s="134"/>
      <c r="CE182" s="134"/>
      <c r="CF182" s="134"/>
      <c r="CG182" s="31">
        <f>$A$39</f>
        <v>20162</v>
      </c>
      <c r="CH182" s="21"/>
      <c r="CI182" s="21"/>
      <c r="CJ182" s="21"/>
      <c r="CK182" s="21"/>
      <c r="CL182" s="21"/>
      <c r="CM182" s="21"/>
      <c r="CN182" s="21"/>
      <c r="CO182" s="21"/>
      <c r="CP182" s="134"/>
      <c r="CQ182" s="134"/>
      <c r="CR182" s="134"/>
      <c r="CS182" s="31">
        <f>$A$39</f>
        <v>20162</v>
      </c>
      <c r="CT182" s="21"/>
      <c r="CU182" s="21"/>
      <c r="CV182" s="21"/>
      <c r="CW182" s="21"/>
      <c r="CX182" s="21"/>
      <c r="CY182" s="21"/>
      <c r="CZ182" s="21"/>
      <c r="DA182" s="21"/>
      <c r="DB182" s="134"/>
      <c r="DC182" s="134"/>
      <c r="DD182" s="134"/>
      <c r="DE182" s="31">
        <f>$A$39</f>
        <v>20162</v>
      </c>
      <c r="DF182" s="21"/>
      <c r="DG182" s="21"/>
      <c r="DH182" s="21"/>
      <c r="DI182" s="21"/>
      <c r="DJ182" s="21"/>
      <c r="DK182" s="21"/>
      <c r="DL182" s="21"/>
      <c r="DM182" s="21"/>
      <c r="DN182" s="134"/>
      <c r="DO182" s="134"/>
      <c r="DP182" s="134"/>
    </row>
    <row r="183" spans="1:120" ht="15" customHeight="1" x14ac:dyDescent="0.25">
      <c r="A183" s="31">
        <f>$A$40</f>
        <v>20172</v>
      </c>
      <c r="B183" s="21"/>
      <c r="C183" s="21">
        <v>488615077.86000001</v>
      </c>
      <c r="D183" s="21">
        <v>555326759.21000004</v>
      </c>
      <c r="E183" s="21">
        <v>575368208.81999993</v>
      </c>
      <c r="F183" s="21">
        <v>583646205.85000002</v>
      </c>
      <c r="G183" s="21">
        <v>587558598.09000003</v>
      </c>
      <c r="H183" s="21">
        <v>591547356.57000005</v>
      </c>
      <c r="I183" s="134"/>
      <c r="J183" s="134"/>
      <c r="K183" s="134"/>
      <c r="L183" s="134"/>
      <c r="M183" s="31">
        <f>$A$40</f>
        <v>20172</v>
      </c>
      <c r="N183" s="21"/>
      <c r="O183" s="21">
        <v>37212318.109999999</v>
      </c>
      <c r="P183" s="21">
        <v>42876940.140000001</v>
      </c>
      <c r="Q183" s="21">
        <v>44812389.829999998</v>
      </c>
      <c r="R183" s="21">
        <v>46217279.289999999</v>
      </c>
      <c r="S183" s="21">
        <v>46695169.990000002</v>
      </c>
      <c r="T183" s="21">
        <v>46890926.07</v>
      </c>
      <c r="U183" s="134"/>
      <c r="V183" s="134"/>
      <c r="W183" s="134"/>
      <c r="X183" s="134"/>
      <c r="Y183" s="31">
        <f>$A$40</f>
        <v>20172</v>
      </c>
      <c r="Z183" s="21"/>
      <c r="AA183" s="21">
        <v>50754235.370000005</v>
      </c>
      <c r="AB183" s="21">
        <v>54664372.699999996</v>
      </c>
      <c r="AC183" s="21">
        <v>56253058.159999996</v>
      </c>
      <c r="AD183" s="21">
        <v>56832478.379999995</v>
      </c>
      <c r="AE183" s="21">
        <v>57458071.850000001</v>
      </c>
      <c r="AF183" s="21">
        <v>57234896.540000007</v>
      </c>
      <c r="AG183" s="134"/>
      <c r="AH183" s="134"/>
      <c r="AI183" s="134"/>
      <c r="AJ183" s="134"/>
      <c r="AK183" s="31">
        <f>$A$40</f>
        <v>20172</v>
      </c>
      <c r="AL183" s="21"/>
      <c r="AM183" s="21"/>
      <c r="AN183" s="21"/>
      <c r="AO183" s="21"/>
      <c r="AP183" s="21"/>
      <c r="AQ183" s="21"/>
      <c r="AR183" s="21"/>
      <c r="AS183" s="134"/>
      <c r="AT183" s="134"/>
      <c r="AU183" s="134"/>
      <c r="AV183" s="134"/>
      <c r="AW183" s="31">
        <f>$A$40</f>
        <v>20172</v>
      </c>
      <c r="AX183" s="21"/>
      <c r="AY183" s="21"/>
      <c r="AZ183" s="21"/>
      <c r="BA183" s="21"/>
      <c r="BB183" s="21"/>
      <c r="BC183" s="21"/>
      <c r="BD183" s="21"/>
      <c r="BE183" s="134"/>
      <c r="BF183" s="134"/>
      <c r="BG183" s="134"/>
      <c r="BH183" s="134"/>
      <c r="BI183" s="31">
        <f>$A$40</f>
        <v>20172</v>
      </c>
      <c r="BJ183" s="21"/>
      <c r="BK183" s="21"/>
      <c r="BL183" s="21"/>
      <c r="BM183" s="21"/>
      <c r="BN183" s="21"/>
      <c r="BO183" s="21"/>
      <c r="BP183" s="21"/>
      <c r="BQ183" s="134"/>
      <c r="BR183" s="134"/>
      <c r="BS183" s="134"/>
      <c r="BT183" s="134"/>
      <c r="BU183" s="31">
        <f>$A$40</f>
        <v>20172</v>
      </c>
      <c r="BV183" s="21"/>
      <c r="BW183" s="21"/>
      <c r="BX183" s="21"/>
      <c r="BY183" s="21"/>
      <c r="BZ183" s="21"/>
      <c r="CA183" s="21"/>
      <c r="CB183" s="21"/>
      <c r="CC183" s="134"/>
      <c r="CD183" s="134"/>
      <c r="CE183" s="134"/>
      <c r="CF183" s="134"/>
      <c r="CG183" s="31">
        <f>$A$40</f>
        <v>20172</v>
      </c>
      <c r="CH183" s="21"/>
      <c r="CI183" s="21"/>
      <c r="CJ183" s="21"/>
      <c r="CK183" s="21"/>
      <c r="CL183" s="21"/>
      <c r="CM183" s="21"/>
      <c r="CN183" s="21"/>
      <c r="CO183" s="134"/>
      <c r="CP183" s="134"/>
      <c r="CQ183" s="134"/>
      <c r="CR183" s="134"/>
      <c r="CS183" s="31">
        <f>$A$40</f>
        <v>20172</v>
      </c>
      <c r="CT183" s="21"/>
      <c r="CU183" s="21"/>
      <c r="CV183" s="21"/>
      <c r="CW183" s="21"/>
      <c r="CX183" s="21"/>
      <c r="CY183" s="21"/>
      <c r="CZ183" s="21"/>
      <c r="DA183" s="134"/>
      <c r="DB183" s="134"/>
      <c r="DC183" s="134"/>
      <c r="DD183" s="134"/>
      <c r="DE183" s="31">
        <f>$A$40</f>
        <v>20172</v>
      </c>
      <c r="DF183" s="21"/>
      <c r="DG183" s="21"/>
      <c r="DH183" s="21"/>
      <c r="DI183" s="21"/>
      <c r="DJ183" s="21"/>
      <c r="DK183" s="21"/>
      <c r="DL183" s="21"/>
      <c r="DM183" s="134"/>
      <c r="DN183" s="134"/>
      <c r="DO183" s="134"/>
      <c r="DP183" s="134"/>
    </row>
    <row r="184" spans="1:120" ht="15" customHeight="1" x14ac:dyDescent="0.25">
      <c r="A184" s="31">
        <f>$A$41</f>
        <v>20182</v>
      </c>
      <c r="B184" s="21"/>
      <c r="C184" s="21">
        <v>428588073</v>
      </c>
      <c r="D184" s="21">
        <v>493669068.51999998</v>
      </c>
      <c r="E184" s="21">
        <v>511585533.54000002</v>
      </c>
      <c r="F184" s="21">
        <v>523139019.21000004</v>
      </c>
      <c r="G184" s="21">
        <v>530960733.76999998</v>
      </c>
      <c r="H184" s="134"/>
      <c r="I184" s="134"/>
      <c r="J184" s="134"/>
      <c r="K184" s="134"/>
      <c r="L184" s="134"/>
      <c r="M184" s="31">
        <f>$A$41</f>
        <v>20182</v>
      </c>
      <c r="N184" s="21"/>
      <c r="O184" s="21">
        <v>39650369.240000002</v>
      </c>
      <c r="P184" s="21">
        <v>48323356.020000003</v>
      </c>
      <c r="Q184" s="21">
        <v>50393746.770000003</v>
      </c>
      <c r="R184" s="21">
        <v>51660735.509999998</v>
      </c>
      <c r="S184" s="21">
        <v>51802695.539999999</v>
      </c>
      <c r="T184" s="134"/>
      <c r="U184" s="134"/>
      <c r="V184" s="134"/>
      <c r="W184" s="134"/>
      <c r="X184" s="134"/>
      <c r="Y184" s="31">
        <f>$A$41</f>
        <v>20182</v>
      </c>
      <c r="Z184" s="21"/>
      <c r="AA184" s="21">
        <v>45913240.68</v>
      </c>
      <c r="AB184" s="21">
        <v>50919982.82</v>
      </c>
      <c r="AC184" s="21">
        <v>51345051.5</v>
      </c>
      <c r="AD184" s="21">
        <v>51728566.369999997</v>
      </c>
      <c r="AE184" s="21">
        <v>52413294.630000003</v>
      </c>
      <c r="AF184" s="134"/>
      <c r="AG184" s="134"/>
      <c r="AH184" s="134"/>
      <c r="AI184" s="134"/>
      <c r="AJ184" s="134"/>
      <c r="AK184" s="31">
        <f>$A$41</f>
        <v>20182</v>
      </c>
      <c r="AL184" s="21"/>
      <c r="AM184" s="21"/>
      <c r="AN184" s="21"/>
      <c r="AO184" s="21"/>
      <c r="AP184" s="21"/>
      <c r="AQ184" s="21"/>
      <c r="AR184" s="134"/>
      <c r="AS184" s="134"/>
      <c r="AT184" s="134"/>
      <c r="AU184" s="134"/>
      <c r="AV184" s="134"/>
      <c r="AW184" s="31">
        <f>$A$41</f>
        <v>20182</v>
      </c>
      <c r="AX184" s="21"/>
      <c r="AY184" s="21"/>
      <c r="AZ184" s="21"/>
      <c r="BA184" s="21"/>
      <c r="BB184" s="21"/>
      <c r="BC184" s="21"/>
      <c r="BD184" s="134"/>
      <c r="BE184" s="134"/>
      <c r="BF184" s="134"/>
      <c r="BG184" s="134"/>
      <c r="BH184" s="134"/>
      <c r="BI184" s="31">
        <f>$A$41</f>
        <v>20182</v>
      </c>
      <c r="BJ184" s="21"/>
      <c r="BK184" s="21"/>
      <c r="BL184" s="21"/>
      <c r="BM184" s="21"/>
      <c r="BN184" s="21"/>
      <c r="BO184" s="21"/>
      <c r="BP184" s="134"/>
      <c r="BQ184" s="134"/>
      <c r="BR184" s="134"/>
      <c r="BS184" s="134"/>
      <c r="BT184" s="134"/>
      <c r="BU184" s="31">
        <f>$A$41</f>
        <v>20182</v>
      </c>
      <c r="BV184" s="21"/>
      <c r="BW184" s="21"/>
      <c r="BX184" s="21"/>
      <c r="BY184" s="21"/>
      <c r="BZ184" s="21"/>
      <c r="CA184" s="21"/>
      <c r="CB184" s="134"/>
      <c r="CC184" s="134"/>
      <c r="CD184" s="134"/>
      <c r="CE184" s="134"/>
      <c r="CF184" s="134"/>
      <c r="CG184" s="31">
        <f>$A$41</f>
        <v>20182</v>
      </c>
      <c r="CH184" s="21"/>
      <c r="CI184" s="21"/>
      <c r="CJ184" s="21"/>
      <c r="CK184" s="21"/>
      <c r="CL184" s="21"/>
      <c r="CM184" s="21"/>
      <c r="CN184" s="134"/>
      <c r="CO184" s="134"/>
      <c r="CP184" s="134"/>
      <c r="CQ184" s="134"/>
      <c r="CR184" s="134"/>
      <c r="CS184" s="31">
        <f>$A$41</f>
        <v>20182</v>
      </c>
      <c r="CT184" s="21"/>
      <c r="CU184" s="21"/>
      <c r="CV184" s="21"/>
      <c r="CW184" s="21"/>
      <c r="CX184" s="21"/>
      <c r="CY184" s="21"/>
      <c r="CZ184" s="134"/>
      <c r="DA184" s="134"/>
      <c r="DB184" s="134"/>
      <c r="DC184" s="134"/>
      <c r="DD184" s="134"/>
      <c r="DE184" s="31">
        <f>$A$41</f>
        <v>20182</v>
      </c>
      <c r="DF184" s="21"/>
      <c r="DG184" s="21"/>
      <c r="DH184" s="21"/>
      <c r="DI184" s="21"/>
      <c r="DJ184" s="21"/>
      <c r="DK184" s="21"/>
      <c r="DL184" s="134"/>
      <c r="DM184" s="134"/>
      <c r="DN184" s="134"/>
      <c r="DO184" s="134"/>
      <c r="DP184" s="134"/>
    </row>
    <row r="185" spans="1:120" ht="15" customHeight="1" x14ac:dyDescent="0.25">
      <c r="A185" s="31">
        <f>$A$42</f>
        <v>20192</v>
      </c>
      <c r="B185" s="21"/>
      <c r="C185" s="21">
        <v>501315113.45999998</v>
      </c>
      <c r="D185" s="21">
        <v>602196449.88</v>
      </c>
      <c r="E185" s="21">
        <v>624797368.57999992</v>
      </c>
      <c r="F185" s="21">
        <v>637974096.90999997</v>
      </c>
      <c r="G185" s="134"/>
      <c r="H185" s="134"/>
      <c r="I185" s="134"/>
      <c r="J185" s="134"/>
      <c r="K185" s="134"/>
      <c r="L185" s="134"/>
      <c r="M185" s="31">
        <f>$A$42</f>
        <v>20192</v>
      </c>
      <c r="N185" s="21"/>
      <c r="O185" s="21">
        <v>38532287.100000001</v>
      </c>
      <c r="P185" s="21">
        <v>46041973.640000001</v>
      </c>
      <c r="Q185" s="21">
        <v>47770579.630000003</v>
      </c>
      <c r="R185" s="21">
        <v>48543953.940000005</v>
      </c>
      <c r="S185" s="134"/>
      <c r="T185" s="134"/>
      <c r="U185" s="134"/>
      <c r="V185" s="134"/>
      <c r="W185" s="134"/>
      <c r="X185" s="134"/>
      <c r="Y185" s="31">
        <f>$A$42</f>
        <v>20192</v>
      </c>
      <c r="Z185" s="21"/>
      <c r="AA185" s="21">
        <v>49042413.68</v>
      </c>
      <c r="AB185" s="21">
        <v>56134914.950000003</v>
      </c>
      <c r="AC185" s="21">
        <v>56763292.189999998</v>
      </c>
      <c r="AD185" s="21">
        <v>57241093.289999999</v>
      </c>
      <c r="AE185" s="134"/>
      <c r="AF185" s="134"/>
      <c r="AG185" s="134"/>
      <c r="AH185" s="134"/>
      <c r="AI185" s="134"/>
      <c r="AJ185" s="134"/>
      <c r="AK185" s="31">
        <f>$A$42</f>
        <v>20192</v>
      </c>
      <c r="AL185" s="21"/>
      <c r="AM185" s="21"/>
      <c r="AN185" s="21"/>
      <c r="AO185" s="21"/>
      <c r="AP185" s="21"/>
      <c r="AQ185" s="134"/>
      <c r="AR185" s="134"/>
      <c r="AS185" s="134"/>
      <c r="AT185" s="134"/>
      <c r="AU185" s="134"/>
      <c r="AV185" s="134"/>
      <c r="AW185" s="31">
        <f>$A$42</f>
        <v>20192</v>
      </c>
      <c r="AX185" s="21"/>
      <c r="AY185" s="21"/>
      <c r="AZ185" s="21"/>
      <c r="BA185" s="21"/>
      <c r="BB185" s="21"/>
      <c r="BC185" s="134"/>
      <c r="BD185" s="134"/>
      <c r="BE185" s="134"/>
      <c r="BF185" s="134"/>
      <c r="BG185" s="134"/>
      <c r="BH185" s="134"/>
      <c r="BI185" s="31">
        <f>$A$42</f>
        <v>20192</v>
      </c>
      <c r="BJ185" s="21"/>
      <c r="BK185" s="21"/>
      <c r="BL185" s="21"/>
      <c r="BM185" s="21"/>
      <c r="BN185" s="21"/>
      <c r="BO185" s="134"/>
      <c r="BP185" s="134"/>
      <c r="BQ185" s="134"/>
      <c r="BR185" s="134"/>
      <c r="BS185" s="134"/>
      <c r="BT185" s="134"/>
      <c r="BU185" s="31">
        <f>$A$42</f>
        <v>20192</v>
      </c>
      <c r="BV185" s="21"/>
      <c r="BW185" s="21"/>
      <c r="BX185" s="21"/>
      <c r="BY185" s="21"/>
      <c r="BZ185" s="21"/>
      <c r="CA185" s="134"/>
      <c r="CB185" s="134"/>
      <c r="CC185" s="134"/>
      <c r="CD185" s="134"/>
      <c r="CE185" s="134"/>
      <c r="CF185" s="134"/>
      <c r="CG185" s="31">
        <f>$A$42</f>
        <v>20192</v>
      </c>
      <c r="CH185" s="21"/>
      <c r="CI185" s="21"/>
      <c r="CJ185" s="21"/>
      <c r="CK185" s="21"/>
      <c r="CL185" s="21"/>
      <c r="CM185" s="134"/>
      <c r="CN185" s="134"/>
      <c r="CO185" s="134"/>
      <c r="CP185" s="134"/>
      <c r="CQ185" s="134"/>
      <c r="CR185" s="134"/>
      <c r="CS185" s="31">
        <f>$A$42</f>
        <v>20192</v>
      </c>
      <c r="CT185" s="21"/>
      <c r="CU185" s="21"/>
      <c r="CV185" s="21"/>
      <c r="CW185" s="21"/>
      <c r="CX185" s="21"/>
      <c r="CY185" s="134"/>
      <c r="CZ185" s="134"/>
      <c r="DA185" s="134"/>
      <c r="DB185" s="134"/>
      <c r="DC185" s="134"/>
      <c r="DD185" s="134"/>
      <c r="DE185" s="31">
        <f>$A$42</f>
        <v>20192</v>
      </c>
      <c r="DF185" s="21"/>
      <c r="DG185" s="21"/>
      <c r="DH185" s="21"/>
      <c r="DI185" s="21"/>
      <c r="DJ185" s="21"/>
      <c r="DK185" s="134"/>
      <c r="DL185" s="134"/>
      <c r="DM185" s="134"/>
      <c r="DN185" s="134"/>
      <c r="DO185" s="134"/>
      <c r="DP185" s="134"/>
    </row>
    <row r="186" spans="1:120" ht="15" customHeight="1" x14ac:dyDescent="0.25">
      <c r="A186" s="31">
        <f>$A$43</f>
        <v>20202</v>
      </c>
      <c r="B186" s="21"/>
      <c r="C186" s="21">
        <v>492174387.36000001</v>
      </c>
      <c r="D186" s="21">
        <v>576950767.44999993</v>
      </c>
      <c r="E186" s="21">
        <v>602958812.33000004</v>
      </c>
      <c r="F186" s="134"/>
      <c r="G186" s="134"/>
      <c r="H186" s="134"/>
      <c r="I186" s="134"/>
      <c r="J186" s="134"/>
      <c r="K186" s="134"/>
      <c r="L186" s="134"/>
      <c r="M186" s="31">
        <f>$A$43</f>
        <v>20202</v>
      </c>
      <c r="N186" s="21"/>
      <c r="O186" s="21">
        <v>35419155.170000002</v>
      </c>
      <c r="P186" s="21">
        <v>40085118.840000004</v>
      </c>
      <c r="Q186" s="21">
        <v>42605999.799999997</v>
      </c>
      <c r="R186" s="134"/>
      <c r="S186" s="134"/>
      <c r="T186" s="134"/>
      <c r="U186" s="134"/>
      <c r="V186" s="134"/>
      <c r="W186" s="134"/>
      <c r="X186" s="134"/>
      <c r="Y186" s="31">
        <f>$A$43</f>
        <v>20202</v>
      </c>
      <c r="Z186" s="21"/>
      <c r="AA186" s="21">
        <v>53602572.729999997</v>
      </c>
      <c r="AB186" s="21">
        <v>57439417.020000003</v>
      </c>
      <c r="AC186" s="21">
        <v>59717603.520000003</v>
      </c>
      <c r="AD186" s="134"/>
      <c r="AE186" s="134"/>
      <c r="AF186" s="134"/>
      <c r="AG186" s="134"/>
      <c r="AH186" s="134"/>
      <c r="AI186" s="134"/>
      <c r="AJ186" s="134"/>
      <c r="AK186" s="31">
        <f>$A$43</f>
        <v>20202</v>
      </c>
      <c r="AL186" s="21"/>
      <c r="AM186" s="21"/>
      <c r="AN186" s="21"/>
      <c r="AO186" s="21"/>
      <c r="AP186" s="134"/>
      <c r="AQ186" s="134"/>
      <c r="AR186" s="134"/>
      <c r="AS186" s="134"/>
      <c r="AT186" s="134"/>
      <c r="AU186" s="134"/>
      <c r="AV186" s="134"/>
      <c r="AW186" s="31">
        <f>$A$43</f>
        <v>20202</v>
      </c>
      <c r="AX186" s="21"/>
      <c r="AY186" s="21"/>
      <c r="AZ186" s="21"/>
      <c r="BA186" s="21"/>
      <c r="BB186" s="134"/>
      <c r="BC186" s="134"/>
      <c r="BD186" s="134"/>
      <c r="BE186" s="134"/>
      <c r="BF186" s="134"/>
      <c r="BG186" s="134"/>
      <c r="BH186" s="134"/>
      <c r="BI186" s="31">
        <f>$A$43</f>
        <v>20202</v>
      </c>
      <c r="BJ186" s="21"/>
      <c r="BK186" s="21"/>
      <c r="BL186" s="21"/>
      <c r="BM186" s="21"/>
      <c r="BN186" s="134"/>
      <c r="BO186" s="134"/>
      <c r="BP186" s="134"/>
      <c r="BQ186" s="134"/>
      <c r="BR186" s="134"/>
      <c r="BS186" s="134"/>
      <c r="BT186" s="134"/>
      <c r="BU186" s="31">
        <f>$A$43</f>
        <v>20202</v>
      </c>
      <c r="BV186" s="21"/>
      <c r="BW186" s="21"/>
      <c r="BX186" s="21"/>
      <c r="BY186" s="21"/>
      <c r="BZ186" s="134"/>
      <c r="CA186" s="134"/>
      <c r="CB186" s="134"/>
      <c r="CC186" s="134"/>
      <c r="CD186" s="134"/>
      <c r="CE186" s="134"/>
      <c r="CF186" s="134"/>
      <c r="CG186" s="31">
        <f>$A$43</f>
        <v>20202</v>
      </c>
      <c r="CH186" s="21"/>
      <c r="CI186" s="21"/>
      <c r="CJ186" s="21"/>
      <c r="CK186" s="21"/>
      <c r="CL186" s="134"/>
      <c r="CM186" s="134"/>
      <c r="CN186" s="134"/>
      <c r="CO186" s="134"/>
      <c r="CP186" s="134"/>
      <c r="CQ186" s="134"/>
      <c r="CR186" s="134"/>
      <c r="CS186" s="31">
        <f>$A$43</f>
        <v>20202</v>
      </c>
      <c r="CT186" s="21"/>
      <c r="CU186" s="21"/>
      <c r="CV186" s="21"/>
      <c r="CW186" s="21"/>
      <c r="CX186" s="134"/>
      <c r="CY186" s="134"/>
      <c r="CZ186" s="134"/>
      <c r="DA186" s="134"/>
      <c r="DB186" s="134"/>
      <c r="DC186" s="134"/>
      <c r="DD186" s="134"/>
      <c r="DE186" s="31">
        <f>$A$43</f>
        <v>20202</v>
      </c>
      <c r="DF186" s="21"/>
      <c r="DG186" s="21"/>
      <c r="DH186" s="21"/>
      <c r="DI186" s="21"/>
      <c r="DJ186" s="134"/>
      <c r="DK186" s="134"/>
      <c r="DL186" s="134"/>
      <c r="DM186" s="134"/>
      <c r="DN186" s="134"/>
      <c r="DO186" s="134"/>
      <c r="DP186" s="134"/>
    </row>
    <row r="187" spans="1:120" ht="15" customHeight="1" x14ac:dyDescent="0.25">
      <c r="A187" s="31">
        <f>$A$44</f>
        <v>20212</v>
      </c>
      <c r="B187" s="21"/>
      <c r="C187" s="21">
        <v>597873357.12</v>
      </c>
      <c r="D187" s="21">
        <v>727290289.19000006</v>
      </c>
      <c r="E187" s="134"/>
      <c r="F187" s="134"/>
      <c r="G187" s="134"/>
      <c r="H187" s="134"/>
      <c r="I187" s="134"/>
      <c r="J187" s="134"/>
      <c r="K187" s="134"/>
      <c r="L187" s="134"/>
      <c r="M187" s="31">
        <f>$A$44</f>
        <v>20212</v>
      </c>
      <c r="N187" s="21"/>
      <c r="O187" s="21">
        <v>34915282.060000002</v>
      </c>
      <c r="P187" s="21">
        <v>42607062.779999994</v>
      </c>
      <c r="Q187" s="134"/>
      <c r="R187" s="134"/>
      <c r="S187" s="134"/>
      <c r="T187" s="134"/>
      <c r="U187" s="134"/>
      <c r="V187" s="134"/>
      <c r="W187" s="134"/>
      <c r="X187" s="134"/>
      <c r="Y187" s="31">
        <f>$A$44</f>
        <v>20212</v>
      </c>
      <c r="Z187" s="21"/>
      <c r="AA187" s="21">
        <v>54696301.869999997</v>
      </c>
      <c r="AB187" s="21">
        <v>62625578.859999999</v>
      </c>
      <c r="AC187" s="134"/>
      <c r="AD187" s="134"/>
      <c r="AE187" s="134"/>
      <c r="AF187" s="134"/>
      <c r="AG187" s="134"/>
      <c r="AH187" s="134"/>
      <c r="AI187" s="134"/>
      <c r="AJ187" s="134"/>
      <c r="AK187" s="31">
        <f>$A$44</f>
        <v>20212</v>
      </c>
      <c r="AL187" s="21"/>
      <c r="AM187" s="21"/>
      <c r="AN187" s="21"/>
      <c r="AO187" s="134"/>
      <c r="AP187" s="134"/>
      <c r="AQ187" s="134"/>
      <c r="AR187" s="134"/>
      <c r="AS187" s="134"/>
      <c r="AT187" s="134"/>
      <c r="AU187" s="134"/>
      <c r="AV187" s="134"/>
      <c r="AW187" s="31">
        <f>$A$44</f>
        <v>20212</v>
      </c>
      <c r="AX187" s="21"/>
      <c r="AY187" s="21"/>
      <c r="AZ187" s="21"/>
      <c r="BA187" s="134"/>
      <c r="BB187" s="134"/>
      <c r="BC187" s="134"/>
      <c r="BD187" s="134"/>
      <c r="BE187" s="134"/>
      <c r="BF187" s="134"/>
      <c r="BG187" s="134"/>
      <c r="BH187" s="134"/>
      <c r="BI187" s="31">
        <f>$A$44</f>
        <v>20212</v>
      </c>
      <c r="BJ187" s="21"/>
      <c r="BK187" s="21"/>
      <c r="BL187" s="21"/>
      <c r="BM187" s="134"/>
      <c r="BN187" s="134"/>
      <c r="BO187" s="134"/>
      <c r="BP187" s="134"/>
      <c r="BQ187" s="134"/>
      <c r="BR187" s="134"/>
      <c r="BS187" s="134"/>
      <c r="BT187" s="134"/>
      <c r="BU187" s="31">
        <f>$A$44</f>
        <v>20212</v>
      </c>
      <c r="BV187" s="21"/>
      <c r="BW187" s="21"/>
      <c r="BX187" s="21"/>
      <c r="BY187" s="134"/>
      <c r="BZ187" s="134"/>
      <c r="CA187" s="134"/>
      <c r="CB187" s="134"/>
      <c r="CC187" s="134"/>
      <c r="CD187" s="134"/>
      <c r="CE187" s="134"/>
      <c r="CF187" s="134"/>
      <c r="CG187" s="31">
        <f>$A$44</f>
        <v>20212</v>
      </c>
      <c r="CH187" s="21"/>
      <c r="CI187" s="21"/>
      <c r="CJ187" s="21"/>
      <c r="CK187" s="134"/>
      <c r="CL187" s="134"/>
      <c r="CM187" s="134"/>
      <c r="CN187" s="134"/>
      <c r="CO187" s="134"/>
      <c r="CP187" s="134"/>
      <c r="CQ187" s="134"/>
      <c r="CR187" s="134"/>
      <c r="CS187" s="31">
        <f>$A$44</f>
        <v>20212</v>
      </c>
      <c r="CT187" s="21"/>
      <c r="CU187" s="21"/>
      <c r="CV187" s="21"/>
      <c r="CW187" s="134"/>
      <c r="CX187" s="134"/>
      <c r="CY187" s="134"/>
      <c r="CZ187" s="134"/>
      <c r="DA187" s="134"/>
      <c r="DB187" s="134"/>
      <c r="DC187" s="134"/>
      <c r="DD187" s="134"/>
      <c r="DE187" s="31">
        <f>$A$44</f>
        <v>20212</v>
      </c>
      <c r="DF187" s="21"/>
      <c r="DG187" s="21"/>
      <c r="DH187" s="21"/>
      <c r="DI187" s="134"/>
      <c r="DJ187" s="134"/>
      <c r="DK187" s="134"/>
      <c r="DL187" s="134"/>
      <c r="DM187" s="134"/>
      <c r="DN187" s="134"/>
      <c r="DO187" s="134"/>
      <c r="DP187" s="134"/>
    </row>
    <row r="188" spans="1:120" ht="15" customHeight="1" x14ac:dyDescent="0.25">
      <c r="A188" s="31">
        <f>$A$45</f>
        <v>20222</v>
      </c>
      <c r="B188" s="21"/>
      <c r="C188" s="21">
        <v>797256298.62</v>
      </c>
      <c r="D188" s="134"/>
      <c r="E188" s="134"/>
      <c r="F188" s="134"/>
      <c r="G188" s="134"/>
      <c r="H188" s="134"/>
      <c r="I188" s="134"/>
      <c r="J188" s="134"/>
      <c r="K188" s="134"/>
      <c r="L188" s="134"/>
      <c r="M188" s="31">
        <f>$A$45</f>
        <v>20222</v>
      </c>
      <c r="N188" s="21"/>
      <c r="O188" s="21">
        <v>41446408.859999999</v>
      </c>
      <c r="P188" s="134"/>
      <c r="Q188" s="134"/>
      <c r="R188" s="134"/>
      <c r="S188" s="134"/>
      <c r="T188" s="134"/>
      <c r="U188" s="134"/>
      <c r="V188" s="134"/>
      <c r="W188" s="134"/>
      <c r="X188" s="134"/>
      <c r="Y188" s="31">
        <f>$A$45</f>
        <v>20222</v>
      </c>
      <c r="Z188" s="21"/>
      <c r="AA188" s="21">
        <v>62560663.739999995</v>
      </c>
      <c r="AB188" s="134"/>
      <c r="AC188" s="134"/>
      <c r="AD188" s="134"/>
      <c r="AE188" s="134"/>
      <c r="AF188" s="134"/>
      <c r="AG188" s="134"/>
      <c r="AH188" s="134"/>
      <c r="AI188" s="134"/>
      <c r="AJ188" s="134"/>
      <c r="AK188" s="31">
        <f>$A$45</f>
        <v>20222</v>
      </c>
      <c r="AL188" s="21"/>
      <c r="AM188" s="21"/>
      <c r="AN188" s="134"/>
      <c r="AO188" s="134"/>
      <c r="AP188" s="134"/>
      <c r="AQ188" s="134"/>
      <c r="AR188" s="134"/>
      <c r="AS188" s="134"/>
      <c r="AT188" s="134"/>
      <c r="AU188" s="134"/>
      <c r="AV188" s="134"/>
      <c r="AW188" s="31">
        <f>$A$45</f>
        <v>20222</v>
      </c>
      <c r="AX188" s="21"/>
      <c r="AY188" s="21"/>
      <c r="AZ188" s="134"/>
      <c r="BA188" s="134"/>
      <c r="BB188" s="134"/>
      <c r="BC188" s="134"/>
      <c r="BD188" s="134"/>
      <c r="BE188" s="134"/>
      <c r="BF188" s="134"/>
      <c r="BG188" s="134"/>
      <c r="BH188" s="134"/>
      <c r="BI188" s="31">
        <f>$A$45</f>
        <v>20222</v>
      </c>
      <c r="BJ188" s="21"/>
      <c r="BK188" s="21"/>
      <c r="BL188" s="134"/>
      <c r="BM188" s="134"/>
      <c r="BN188" s="134"/>
      <c r="BO188" s="134"/>
      <c r="BP188" s="134"/>
      <c r="BQ188" s="134"/>
      <c r="BR188" s="134"/>
      <c r="BS188" s="134"/>
      <c r="BT188" s="134"/>
      <c r="BU188" s="31">
        <f>$A$45</f>
        <v>20222</v>
      </c>
      <c r="BV188" s="21"/>
      <c r="BW188" s="21"/>
      <c r="BX188" s="134"/>
      <c r="BY188" s="134"/>
      <c r="BZ188" s="134"/>
      <c r="CA188" s="134"/>
      <c r="CB188" s="134"/>
      <c r="CC188" s="134"/>
      <c r="CD188" s="134"/>
      <c r="CE188" s="134"/>
      <c r="CF188" s="134"/>
      <c r="CG188" s="31">
        <f>$A$45</f>
        <v>20222</v>
      </c>
      <c r="CH188" s="21"/>
      <c r="CI188" s="21"/>
      <c r="CJ188" s="134"/>
      <c r="CK188" s="134"/>
      <c r="CL188" s="134"/>
      <c r="CM188" s="134"/>
      <c r="CN188" s="134"/>
      <c r="CO188" s="134"/>
      <c r="CP188" s="134"/>
      <c r="CQ188" s="134"/>
      <c r="CR188" s="134"/>
      <c r="CS188" s="31">
        <f>$A$45</f>
        <v>20222</v>
      </c>
      <c r="CT188" s="21"/>
      <c r="CU188" s="21"/>
      <c r="CV188" s="134"/>
      <c r="CW188" s="134"/>
      <c r="CX188" s="134"/>
      <c r="CY188" s="134"/>
      <c r="CZ188" s="134"/>
      <c r="DA188" s="134"/>
      <c r="DB188" s="134"/>
      <c r="DC188" s="134"/>
      <c r="DD188" s="134"/>
      <c r="DE188" s="31">
        <f>$A$45</f>
        <v>20222</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Data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Data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Data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Data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Data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Data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Data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Data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Data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20132</v>
      </c>
      <c r="B192" s="105"/>
      <c r="C192" s="90">
        <f>IFERROR(D179/C179,"")</f>
        <v>1.1083374404577668</v>
      </c>
      <c r="D192" s="90">
        <f t="shared" ref="D192:K192" si="371">IFERROR(E179/D179,"")</f>
        <v>1.023399969669867</v>
      </c>
      <c r="E192" s="90">
        <f t="shared" si="371"/>
        <v>1.0120291495933789</v>
      </c>
      <c r="F192" s="90">
        <f t="shared" si="371"/>
        <v>1.0042174689290926</v>
      </c>
      <c r="G192" s="90">
        <f t="shared" si="371"/>
        <v>1.0030474300695305</v>
      </c>
      <c r="H192" s="90">
        <f t="shared" si="371"/>
        <v>1.0026786899666538</v>
      </c>
      <c r="I192" s="90">
        <f t="shared" si="371"/>
        <v>1.0005726688108072</v>
      </c>
      <c r="J192" s="90">
        <f t="shared" si="371"/>
        <v>1.000525722664436</v>
      </c>
      <c r="K192" s="90">
        <f t="shared" si="371"/>
        <v>1.0003938562112218</v>
      </c>
      <c r="L192" s="22"/>
      <c r="M192" s="91">
        <f>$A$36</f>
        <v>20132</v>
      </c>
      <c r="N192" s="105"/>
      <c r="O192" s="90">
        <f>IFERROR(P179/O179,"")</f>
        <v>1.0824204767029311</v>
      </c>
      <c r="P192" s="90">
        <f t="shared" ref="P192:W192" si="372">IFERROR(Q179/P179,"")</f>
        <v>1.048155727693393</v>
      </c>
      <c r="Q192" s="90">
        <f t="shared" si="372"/>
        <v>1.0156445400352656</v>
      </c>
      <c r="R192" s="90">
        <f t="shared" si="372"/>
        <v>1.0032981008591992</v>
      </c>
      <c r="S192" s="90">
        <f t="shared" si="372"/>
        <v>1.005887849444111</v>
      </c>
      <c r="T192" s="90">
        <f t="shared" si="372"/>
        <v>1.0058211283852367</v>
      </c>
      <c r="U192" s="90">
        <f t="shared" si="372"/>
        <v>1.0032886125414071</v>
      </c>
      <c r="V192" s="90">
        <f t="shared" si="372"/>
        <v>1.0007483295055579</v>
      </c>
      <c r="W192" s="90">
        <f t="shared" si="372"/>
        <v>1.0000370038636719</v>
      </c>
      <c r="X192" s="22"/>
      <c r="Y192" s="91">
        <f>$A$36</f>
        <v>20132</v>
      </c>
      <c r="Z192" s="105"/>
      <c r="AA192" s="90">
        <f>IFERROR(AB179/AA179,"")</f>
        <v>1.0374998430160562</v>
      </c>
      <c r="AB192" s="90">
        <f t="shared" ref="AB192:AI192" si="373">IFERROR(AC179/AB179,"")</f>
        <v>1.003817316064777</v>
      </c>
      <c r="AC192" s="90">
        <f t="shared" si="373"/>
        <v>0.98551887477846412</v>
      </c>
      <c r="AD192" s="90">
        <f t="shared" si="373"/>
        <v>1.0101738594470864</v>
      </c>
      <c r="AE192" s="90">
        <f t="shared" si="373"/>
        <v>1.006469421325656</v>
      </c>
      <c r="AF192" s="90">
        <f t="shared" si="373"/>
        <v>1.0063715339800763</v>
      </c>
      <c r="AG192" s="90">
        <f t="shared" si="373"/>
        <v>0.99775053630708388</v>
      </c>
      <c r="AH192" s="90">
        <f t="shared" si="373"/>
        <v>1</v>
      </c>
      <c r="AI192" s="90">
        <f t="shared" si="373"/>
        <v>0.99988690183127715</v>
      </c>
      <c r="AJ192" s="22"/>
      <c r="AK192" s="91">
        <f>$A$36</f>
        <v>20132</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20132</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20132</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20132</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20132</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20132</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20132</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20142</v>
      </c>
      <c r="B193" s="105"/>
      <c r="C193" s="90">
        <f t="shared" ref="C193:J200" si="381">IFERROR(D180/C180,"")</f>
        <v>1.0793504427857152</v>
      </c>
      <c r="D193" s="90">
        <f t="shared" si="381"/>
        <v>1.0350442848966765</v>
      </c>
      <c r="E193" s="90">
        <f t="shared" si="381"/>
        <v>1.0223616277659449</v>
      </c>
      <c r="F193" s="90">
        <f t="shared" si="381"/>
        <v>1.0083471910068511</v>
      </c>
      <c r="G193" s="90">
        <f t="shared" si="381"/>
        <v>1.0059228619730411</v>
      </c>
      <c r="H193" s="90">
        <f t="shared" si="381"/>
        <v>0.99917000305635095</v>
      </c>
      <c r="I193" s="90">
        <f t="shared" si="381"/>
        <v>1.0009605587802279</v>
      </c>
      <c r="J193" s="90">
        <f t="shared" si="381"/>
        <v>0.99973323264019287</v>
      </c>
      <c r="K193" s="22"/>
      <c r="L193" s="22"/>
      <c r="M193" s="91">
        <f>$A$37</f>
        <v>20142</v>
      </c>
      <c r="N193" s="105"/>
      <c r="O193" s="90">
        <f t="shared" ref="O193:V200" si="382">IFERROR(P180/O180,"")</f>
        <v>1.1163314059181215</v>
      </c>
      <c r="P193" s="90">
        <f t="shared" si="382"/>
        <v>1.0595110059740644</v>
      </c>
      <c r="Q193" s="90">
        <f t="shared" si="382"/>
        <v>1.0658884630969858</v>
      </c>
      <c r="R193" s="90">
        <f t="shared" si="382"/>
        <v>1.0111262172776558</v>
      </c>
      <c r="S193" s="90">
        <f t="shared" si="382"/>
        <v>1.0038769480713148</v>
      </c>
      <c r="T193" s="90">
        <f t="shared" si="382"/>
        <v>1.0024315447112959</v>
      </c>
      <c r="U193" s="90">
        <f t="shared" si="382"/>
        <v>1.0011049695015735</v>
      </c>
      <c r="V193" s="90">
        <f t="shared" si="382"/>
        <v>1.0040669609065269</v>
      </c>
      <c r="W193" s="22"/>
      <c r="X193" s="22"/>
      <c r="Y193" s="91">
        <f>$A$37</f>
        <v>20142</v>
      </c>
      <c r="Z193" s="105"/>
      <c r="AA193" s="90">
        <f t="shared" ref="AA193:AH200" si="383">IFERROR(AB180/AA180,"")</f>
        <v>1.0138243766932478</v>
      </c>
      <c r="AB193" s="90">
        <f t="shared" si="383"/>
        <v>0.99944934745163339</v>
      </c>
      <c r="AC193" s="90">
        <f t="shared" si="383"/>
        <v>1.0128499772403319</v>
      </c>
      <c r="AD193" s="90">
        <f t="shared" si="383"/>
        <v>1.00076659537306</v>
      </c>
      <c r="AE193" s="90">
        <f t="shared" si="383"/>
        <v>1.0032316332638083</v>
      </c>
      <c r="AF193" s="90">
        <f t="shared" si="383"/>
        <v>0.9978878186824981</v>
      </c>
      <c r="AG193" s="90">
        <f t="shared" si="383"/>
        <v>1.0029861895456764</v>
      </c>
      <c r="AH193" s="90">
        <f t="shared" si="383"/>
        <v>1.000225933033408</v>
      </c>
      <c r="AI193" s="22"/>
      <c r="AJ193" s="22"/>
      <c r="AK193" s="91">
        <f>$A$37</f>
        <v>20142</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20142</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20142</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20142</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20142</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20142</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20142</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20152</v>
      </c>
      <c r="B194" s="105"/>
      <c r="C194" s="90">
        <f t="shared" si="381"/>
        <v>1.0971490143942553</v>
      </c>
      <c r="D194" s="90">
        <f t="shared" si="381"/>
        <v>1.0300874451404496</v>
      </c>
      <c r="E194" s="90">
        <f t="shared" si="381"/>
        <v>1.0211064459879395</v>
      </c>
      <c r="F194" s="90">
        <f t="shared" si="381"/>
        <v>1.0121577526798329</v>
      </c>
      <c r="G194" s="90">
        <f t="shared" si="381"/>
        <v>1.0084230710969573</v>
      </c>
      <c r="H194" s="90">
        <f t="shared" si="381"/>
        <v>1.0013302767362524</v>
      </c>
      <c r="I194" s="90">
        <f t="shared" si="381"/>
        <v>1.0017160624507548</v>
      </c>
      <c r="J194" s="22"/>
      <c r="K194" s="22"/>
      <c r="L194" s="22"/>
      <c r="M194" s="91">
        <f>$A$38</f>
        <v>20152</v>
      </c>
      <c r="N194" s="105"/>
      <c r="O194" s="90">
        <f t="shared" si="382"/>
        <v>1.1238109341242608</v>
      </c>
      <c r="P194" s="90">
        <f t="shared" si="382"/>
        <v>1.068202243834721</v>
      </c>
      <c r="Q194" s="90">
        <f t="shared" si="382"/>
        <v>1.0242576026270926</v>
      </c>
      <c r="R194" s="90">
        <f t="shared" si="382"/>
        <v>1.0087857835491958</v>
      </c>
      <c r="S194" s="90">
        <f t="shared" si="382"/>
        <v>0.99901257398784593</v>
      </c>
      <c r="T194" s="90">
        <f t="shared" si="382"/>
        <v>1.0009472306087706</v>
      </c>
      <c r="U194" s="90">
        <f t="shared" si="382"/>
        <v>0.99962341723321646</v>
      </c>
      <c r="V194" s="22"/>
      <c r="W194" s="22"/>
      <c r="X194" s="22"/>
      <c r="Y194" s="91">
        <f>$A$38</f>
        <v>20152</v>
      </c>
      <c r="Z194" s="105"/>
      <c r="AA194" s="90">
        <f t="shared" si="383"/>
        <v>1.0312162649927685</v>
      </c>
      <c r="AB194" s="90">
        <f t="shared" si="383"/>
        <v>1.0124908877899637</v>
      </c>
      <c r="AC194" s="90">
        <f t="shared" si="383"/>
        <v>0.9977878293159067</v>
      </c>
      <c r="AD194" s="90">
        <f t="shared" si="383"/>
        <v>0.99979167971626282</v>
      </c>
      <c r="AE194" s="90">
        <f t="shared" si="383"/>
        <v>1.0067274709718881</v>
      </c>
      <c r="AF194" s="90">
        <f t="shared" si="383"/>
        <v>0.99934573878188548</v>
      </c>
      <c r="AG194" s="90">
        <f t="shared" si="383"/>
        <v>1.0014784291730323</v>
      </c>
      <c r="AH194" s="22"/>
      <c r="AI194" s="22"/>
      <c r="AJ194" s="22"/>
      <c r="AK194" s="91">
        <f>$A$38</f>
        <v>20152</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20152</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20152</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20152</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20152</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20152</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20152</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20162</v>
      </c>
      <c r="B195" s="105"/>
      <c r="C195" s="90">
        <f t="shared" si="381"/>
        <v>1.1188669032120873</v>
      </c>
      <c r="D195" s="90">
        <f t="shared" si="381"/>
        <v>1.0353064553903348</v>
      </c>
      <c r="E195" s="90">
        <f t="shared" si="381"/>
        <v>1.0178922893170945</v>
      </c>
      <c r="F195" s="90">
        <f t="shared" si="381"/>
        <v>1.007362443695283</v>
      </c>
      <c r="G195" s="90">
        <f t="shared" si="381"/>
        <v>1.0034615879985025</v>
      </c>
      <c r="H195" s="90">
        <f t="shared" si="381"/>
        <v>1.0013730192628021</v>
      </c>
      <c r="I195" s="22"/>
      <c r="J195" s="22"/>
      <c r="K195" s="22"/>
      <c r="L195" s="22"/>
      <c r="M195" s="91">
        <f>$A$39</f>
        <v>20162</v>
      </c>
      <c r="N195" s="105"/>
      <c r="O195" s="90">
        <f t="shared" si="382"/>
        <v>1.2331800267869641</v>
      </c>
      <c r="P195" s="90">
        <f t="shared" si="382"/>
        <v>1.0639581569455665</v>
      </c>
      <c r="Q195" s="90">
        <f t="shared" si="382"/>
        <v>1.0305892656589262</v>
      </c>
      <c r="R195" s="90">
        <f t="shared" si="382"/>
        <v>1.0145858282398075</v>
      </c>
      <c r="S195" s="90">
        <f t="shared" si="382"/>
        <v>1.0038380793522381</v>
      </c>
      <c r="T195" s="90">
        <f t="shared" si="382"/>
        <v>1.0021296696803652</v>
      </c>
      <c r="U195" s="22"/>
      <c r="V195" s="22"/>
      <c r="W195" s="22"/>
      <c r="X195" s="22"/>
      <c r="Y195" s="91">
        <f>$A$39</f>
        <v>20162</v>
      </c>
      <c r="Z195" s="105"/>
      <c r="AA195" s="90">
        <f t="shared" si="383"/>
        <v>1.0677153765074194</v>
      </c>
      <c r="AB195" s="90">
        <f t="shared" si="383"/>
        <v>1.0217503001646737</v>
      </c>
      <c r="AC195" s="90">
        <f t="shared" si="383"/>
        <v>0.99716638636257071</v>
      </c>
      <c r="AD195" s="90">
        <f t="shared" si="383"/>
        <v>1.003764429376657</v>
      </c>
      <c r="AE195" s="90">
        <f t="shared" si="383"/>
        <v>1.0006423846317218</v>
      </c>
      <c r="AF195" s="90">
        <f t="shared" si="383"/>
        <v>1.0000231187328545</v>
      </c>
      <c r="AG195" s="22"/>
      <c r="AH195" s="22"/>
      <c r="AI195" s="22"/>
      <c r="AJ195" s="22"/>
      <c r="AK195" s="91">
        <f>$A$39</f>
        <v>20162</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20162</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20162</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20162</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20162</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20162</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20162</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20172</v>
      </c>
      <c r="B196" s="105"/>
      <c r="C196" s="90">
        <f t="shared" si="381"/>
        <v>1.1365321791586516</v>
      </c>
      <c r="D196" s="90">
        <f t="shared" si="381"/>
        <v>1.036089472148813</v>
      </c>
      <c r="E196" s="90">
        <f t="shared" si="381"/>
        <v>1.0143873034747213</v>
      </c>
      <c r="F196" s="90">
        <f t="shared" si="381"/>
        <v>1.0067033627577553</v>
      </c>
      <c r="G196" s="90">
        <f t="shared" si="381"/>
        <v>1.0067886990216235</v>
      </c>
      <c r="H196" s="22"/>
      <c r="I196" s="22"/>
      <c r="J196" s="22"/>
      <c r="K196" s="22"/>
      <c r="L196" s="22"/>
      <c r="M196" s="91">
        <f>$A$40</f>
        <v>20172</v>
      </c>
      <c r="N196" s="105"/>
      <c r="O196" s="90">
        <f t="shared" si="382"/>
        <v>1.1522243793911284</v>
      </c>
      <c r="P196" s="90">
        <f t="shared" si="382"/>
        <v>1.045139641114325</v>
      </c>
      <c r="Q196" s="90">
        <f t="shared" si="382"/>
        <v>1.0313504694868894</v>
      </c>
      <c r="R196" s="90">
        <f t="shared" si="382"/>
        <v>1.010340087243158</v>
      </c>
      <c r="S196" s="90">
        <f t="shared" si="382"/>
        <v>1.0041922126001881</v>
      </c>
      <c r="T196" s="22"/>
      <c r="U196" s="22"/>
      <c r="V196" s="22"/>
      <c r="W196" s="22"/>
      <c r="X196" s="22"/>
      <c r="Y196" s="91">
        <f>$A$40</f>
        <v>20172</v>
      </c>
      <c r="Z196" s="105"/>
      <c r="AA196" s="90">
        <f t="shared" si="383"/>
        <v>1.0770406115173436</v>
      </c>
      <c r="AB196" s="90">
        <f t="shared" si="383"/>
        <v>1.0290625389358945</v>
      </c>
      <c r="AC196" s="90">
        <f t="shared" si="383"/>
        <v>1.0103002439147746</v>
      </c>
      <c r="AD196" s="90">
        <f t="shared" si="383"/>
        <v>1.0110076753263704</v>
      </c>
      <c r="AE196" s="90">
        <f t="shared" si="383"/>
        <v>0.99611585800194247</v>
      </c>
      <c r="AF196" s="22"/>
      <c r="AG196" s="22"/>
      <c r="AH196" s="22"/>
      <c r="AI196" s="22"/>
      <c r="AJ196" s="22"/>
      <c r="AK196" s="91">
        <f>$A$40</f>
        <v>20172</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20172</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20172</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20172</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20172</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20172</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20172</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20182</v>
      </c>
      <c r="B197" s="105"/>
      <c r="C197" s="90">
        <f t="shared" si="381"/>
        <v>1.1518497588242498</v>
      </c>
      <c r="D197" s="90">
        <f t="shared" si="381"/>
        <v>1.0362924601975021</v>
      </c>
      <c r="E197" s="90">
        <f t="shared" si="381"/>
        <v>1.0225836832993571</v>
      </c>
      <c r="F197" s="90">
        <f t="shared" si="381"/>
        <v>1.0149515028946066</v>
      </c>
      <c r="G197" s="22"/>
      <c r="H197" s="22"/>
      <c r="I197" s="22"/>
      <c r="J197" s="22"/>
      <c r="K197" s="22"/>
      <c r="L197" s="22"/>
      <c r="M197" s="91">
        <f>$A$41</f>
        <v>20182</v>
      </c>
      <c r="N197" s="105"/>
      <c r="O197" s="90">
        <f t="shared" si="382"/>
        <v>1.2187365955535803</v>
      </c>
      <c r="P197" s="90">
        <f t="shared" si="382"/>
        <v>1.0428445149617322</v>
      </c>
      <c r="Q197" s="90">
        <f t="shared" si="382"/>
        <v>1.0251417848683211</v>
      </c>
      <c r="R197" s="90">
        <f t="shared" si="382"/>
        <v>1.0027479289367167</v>
      </c>
      <c r="S197" s="22"/>
      <c r="T197" s="22"/>
      <c r="U197" s="22"/>
      <c r="V197" s="22"/>
      <c r="W197" s="22"/>
      <c r="X197" s="22"/>
      <c r="Y197" s="91">
        <f>$A$41</f>
        <v>20182</v>
      </c>
      <c r="Z197" s="105"/>
      <c r="AA197" s="90">
        <f t="shared" si="383"/>
        <v>1.1090478926306973</v>
      </c>
      <c r="AB197" s="90">
        <f t="shared" si="383"/>
        <v>1.0083477773647842</v>
      </c>
      <c r="AC197" s="90">
        <f t="shared" si="383"/>
        <v>1.0074693638198025</v>
      </c>
      <c r="AD197" s="90">
        <f t="shared" si="383"/>
        <v>1.0132369463924891</v>
      </c>
      <c r="AE197" s="22"/>
      <c r="AF197" s="22"/>
      <c r="AG197" s="22"/>
      <c r="AH197" s="22"/>
      <c r="AI197" s="22"/>
      <c r="AJ197" s="22"/>
      <c r="AK197" s="91">
        <f>$A$41</f>
        <v>20182</v>
      </c>
      <c r="AL197" s="105"/>
      <c r="AM197" s="90" t="str">
        <f t="shared" si="384"/>
        <v/>
      </c>
      <c r="AN197" s="90" t="str">
        <f t="shared" si="384"/>
        <v/>
      </c>
      <c r="AO197" s="90" t="str">
        <f t="shared" si="384"/>
        <v/>
      </c>
      <c r="AP197" s="90" t="str">
        <f t="shared" si="384"/>
        <v/>
      </c>
      <c r="AQ197" s="22"/>
      <c r="AR197" s="22"/>
      <c r="AS197" s="22"/>
      <c r="AT197" s="22"/>
      <c r="AU197" s="22"/>
      <c r="AV197" s="22"/>
      <c r="AW197" s="91">
        <f>$A$41</f>
        <v>20182</v>
      </c>
      <c r="AX197" s="105"/>
      <c r="AY197" s="90" t="str">
        <f t="shared" si="385"/>
        <v/>
      </c>
      <c r="AZ197" s="90" t="str">
        <f t="shared" si="385"/>
        <v/>
      </c>
      <c r="BA197" s="90" t="str">
        <f t="shared" si="385"/>
        <v/>
      </c>
      <c r="BB197" s="90" t="str">
        <f t="shared" si="385"/>
        <v/>
      </c>
      <c r="BC197" s="22"/>
      <c r="BD197" s="22"/>
      <c r="BE197" s="22"/>
      <c r="BF197" s="22"/>
      <c r="BG197" s="22"/>
      <c r="BH197" s="22"/>
      <c r="BI197" s="91">
        <f>$A$41</f>
        <v>20182</v>
      </c>
      <c r="BJ197" s="105"/>
      <c r="BK197" s="90" t="str">
        <f t="shared" si="386"/>
        <v/>
      </c>
      <c r="BL197" s="90" t="str">
        <f t="shared" si="386"/>
        <v/>
      </c>
      <c r="BM197" s="90" t="str">
        <f t="shared" si="386"/>
        <v/>
      </c>
      <c r="BN197" s="90" t="str">
        <f t="shared" si="386"/>
        <v/>
      </c>
      <c r="BO197" s="22"/>
      <c r="BP197" s="22"/>
      <c r="BQ197" s="22"/>
      <c r="BR197" s="22"/>
      <c r="BS197" s="22"/>
      <c r="BT197" s="22"/>
      <c r="BU197" s="91">
        <f>$A$41</f>
        <v>20182</v>
      </c>
      <c r="BV197" s="105"/>
      <c r="BW197" s="90" t="str">
        <f t="shared" si="387"/>
        <v/>
      </c>
      <c r="BX197" s="90" t="str">
        <f t="shared" si="387"/>
        <v/>
      </c>
      <c r="BY197" s="90" t="str">
        <f t="shared" si="387"/>
        <v/>
      </c>
      <c r="BZ197" s="90" t="str">
        <f t="shared" si="387"/>
        <v/>
      </c>
      <c r="CA197" s="22"/>
      <c r="CB197" s="22"/>
      <c r="CC197" s="22"/>
      <c r="CD197" s="22"/>
      <c r="CE197" s="22"/>
      <c r="CF197" s="22"/>
      <c r="CG197" s="91">
        <f>$A$41</f>
        <v>20182</v>
      </c>
      <c r="CH197" s="105"/>
      <c r="CI197" s="90" t="str">
        <f t="shared" si="388"/>
        <v/>
      </c>
      <c r="CJ197" s="90" t="str">
        <f t="shared" si="388"/>
        <v/>
      </c>
      <c r="CK197" s="90" t="str">
        <f t="shared" si="388"/>
        <v/>
      </c>
      <c r="CL197" s="90" t="str">
        <f t="shared" si="388"/>
        <v/>
      </c>
      <c r="CM197" s="22"/>
      <c r="CN197" s="22"/>
      <c r="CO197" s="22"/>
      <c r="CP197" s="22"/>
      <c r="CQ197" s="22"/>
      <c r="CR197" s="22"/>
      <c r="CS197" s="91">
        <f>$A$41</f>
        <v>20182</v>
      </c>
      <c r="CT197" s="105"/>
      <c r="CU197" s="90" t="str">
        <f t="shared" si="389"/>
        <v/>
      </c>
      <c r="CV197" s="90" t="str">
        <f t="shared" si="389"/>
        <v/>
      </c>
      <c r="CW197" s="90" t="str">
        <f t="shared" si="389"/>
        <v/>
      </c>
      <c r="CX197" s="90" t="str">
        <f t="shared" si="389"/>
        <v/>
      </c>
      <c r="CY197" s="22"/>
      <c r="CZ197" s="22"/>
      <c r="DA197" s="22"/>
      <c r="DB197" s="22"/>
      <c r="DC197" s="22"/>
      <c r="DD197" s="22"/>
      <c r="DE197" s="91">
        <f>$A$41</f>
        <v>20182</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20192</v>
      </c>
      <c r="B198" s="105"/>
      <c r="C198" s="90">
        <f t="shared" si="381"/>
        <v>1.201233383377837</v>
      </c>
      <c r="D198" s="90">
        <f t="shared" si="381"/>
        <v>1.0375308069393363</v>
      </c>
      <c r="E198" s="90">
        <f t="shared" si="381"/>
        <v>1.0210896027938583</v>
      </c>
      <c r="F198" s="22"/>
      <c r="G198" s="22"/>
      <c r="H198" s="22"/>
      <c r="I198" s="22"/>
      <c r="J198" s="22"/>
      <c r="K198" s="22"/>
      <c r="L198" s="22"/>
      <c r="M198" s="91">
        <f>$A$42</f>
        <v>20192</v>
      </c>
      <c r="N198" s="105"/>
      <c r="O198" s="90">
        <f t="shared" si="382"/>
        <v>1.1948933506207577</v>
      </c>
      <c r="P198" s="90">
        <f t="shared" si="382"/>
        <v>1.0375441331754345</v>
      </c>
      <c r="Q198" s="90">
        <f t="shared" si="382"/>
        <v>1.0161893432315467</v>
      </c>
      <c r="R198" s="22"/>
      <c r="S198" s="22"/>
      <c r="T198" s="22"/>
      <c r="U198" s="22"/>
      <c r="V198" s="22"/>
      <c r="W198" s="22"/>
      <c r="X198" s="22"/>
      <c r="Y198" s="91">
        <f>$A$42</f>
        <v>20192</v>
      </c>
      <c r="Z198" s="105"/>
      <c r="AA198" s="90">
        <f t="shared" si="383"/>
        <v>1.1446197431529028</v>
      </c>
      <c r="AB198" s="90">
        <f t="shared" si="383"/>
        <v>1.0111940534791883</v>
      </c>
      <c r="AC198" s="90">
        <f t="shared" si="383"/>
        <v>1.0084174310820573</v>
      </c>
      <c r="AD198" s="22"/>
      <c r="AE198" s="22"/>
      <c r="AF198" s="22"/>
      <c r="AG198" s="22"/>
      <c r="AH198" s="22"/>
      <c r="AI198" s="22"/>
      <c r="AJ198" s="22"/>
      <c r="AK198" s="91">
        <f>$A$42</f>
        <v>20192</v>
      </c>
      <c r="AL198" s="105"/>
      <c r="AM198" s="90" t="str">
        <f t="shared" si="384"/>
        <v/>
      </c>
      <c r="AN198" s="90" t="str">
        <f t="shared" si="384"/>
        <v/>
      </c>
      <c r="AO198" s="90" t="str">
        <f t="shared" si="384"/>
        <v/>
      </c>
      <c r="AP198" s="22"/>
      <c r="AQ198" s="22"/>
      <c r="AR198" s="22"/>
      <c r="AS198" s="22"/>
      <c r="AT198" s="22"/>
      <c r="AU198" s="22"/>
      <c r="AV198" s="22"/>
      <c r="AW198" s="91">
        <f>$A$42</f>
        <v>20192</v>
      </c>
      <c r="AX198" s="105"/>
      <c r="AY198" s="90" t="str">
        <f t="shared" si="385"/>
        <v/>
      </c>
      <c r="AZ198" s="90" t="str">
        <f t="shared" si="385"/>
        <v/>
      </c>
      <c r="BA198" s="90" t="str">
        <f t="shared" si="385"/>
        <v/>
      </c>
      <c r="BB198" s="22"/>
      <c r="BC198" s="22"/>
      <c r="BD198" s="22"/>
      <c r="BE198" s="22"/>
      <c r="BF198" s="22"/>
      <c r="BG198" s="22"/>
      <c r="BH198" s="22"/>
      <c r="BI198" s="91">
        <f>$A$42</f>
        <v>20192</v>
      </c>
      <c r="BJ198" s="105"/>
      <c r="BK198" s="90" t="str">
        <f t="shared" si="386"/>
        <v/>
      </c>
      <c r="BL198" s="90" t="str">
        <f t="shared" si="386"/>
        <v/>
      </c>
      <c r="BM198" s="90" t="str">
        <f t="shared" si="386"/>
        <v/>
      </c>
      <c r="BN198" s="22"/>
      <c r="BO198" s="22"/>
      <c r="BP198" s="22"/>
      <c r="BQ198" s="22"/>
      <c r="BR198" s="22"/>
      <c r="BS198" s="22"/>
      <c r="BT198" s="22"/>
      <c r="BU198" s="91">
        <f>$A$42</f>
        <v>20192</v>
      </c>
      <c r="BV198" s="105"/>
      <c r="BW198" s="90" t="str">
        <f t="shared" si="387"/>
        <v/>
      </c>
      <c r="BX198" s="90" t="str">
        <f t="shared" si="387"/>
        <v/>
      </c>
      <c r="BY198" s="90" t="str">
        <f t="shared" si="387"/>
        <v/>
      </c>
      <c r="BZ198" s="22"/>
      <c r="CA198" s="22"/>
      <c r="CB198" s="22"/>
      <c r="CC198" s="22"/>
      <c r="CD198" s="22"/>
      <c r="CE198" s="22"/>
      <c r="CF198" s="22"/>
      <c r="CG198" s="91">
        <f>$A$42</f>
        <v>20192</v>
      </c>
      <c r="CH198" s="105"/>
      <c r="CI198" s="90" t="str">
        <f t="shared" si="388"/>
        <v/>
      </c>
      <c r="CJ198" s="90" t="str">
        <f t="shared" si="388"/>
        <v/>
      </c>
      <c r="CK198" s="90" t="str">
        <f t="shared" si="388"/>
        <v/>
      </c>
      <c r="CL198" s="22"/>
      <c r="CM198" s="22"/>
      <c r="CN198" s="22"/>
      <c r="CO198" s="22"/>
      <c r="CP198" s="22"/>
      <c r="CQ198" s="22"/>
      <c r="CR198" s="22"/>
      <c r="CS198" s="91">
        <f>$A$42</f>
        <v>20192</v>
      </c>
      <c r="CT198" s="105"/>
      <c r="CU198" s="90" t="str">
        <f t="shared" si="389"/>
        <v/>
      </c>
      <c r="CV198" s="90" t="str">
        <f t="shared" si="389"/>
        <v/>
      </c>
      <c r="CW198" s="90" t="str">
        <f t="shared" si="389"/>
        <v/>
      </c>
      <c r="CX198" s="22"/>
      <c r="CY198" s="22"/>
      <c r="CZ198" s="22"/>
      <c r="DA198" s="22"/>
      <c r="DB198" s="22"/>
      <c r="DC198" s="22"/>
      <c r="DD198" s="22"/>
      <c r="DE198" s="91">
        <f>$A$42</f>
        <v>20192</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20202</v>
      </c>
      <c r="B199" s="105"/>
      <c r="C199" s="90">
        <f t="shared" si="381"/>
        <v>1.1722486628057514</v>
      </c>
      <c r="D199" s="90">
        <f t="shared" si="381"/>
        <v>1.0450784474989958</v>
      </c>
      <c r="E199" s="22"/>
      <c r="F199" s="22"/>
      <c r="G199" s="22"/>
      <c r="H199" s="22"/>
      <c r="I199" s="22"/>
      <c r="J199" s="22"/>
      <c r="K199" s="22"/>
      <c r="L199" s="22"/>
      <c r="M199" s="91">
        <f>$A$43</f>
        <v>20202</v>
      </c>
      <c r="N199" s="105"/>
      <c r="O199" s="90">
        <f t="shared" si="382"/>
        <v>1.1317356003440779</v>
      </c>
      <c r="P199" s="90">
        <f t="shared" si="382"/>
        <v>1.0628881997347221</v>
      </c>
      <c r="Q199" s="22"/>
      <c r="R199" s="22"/>
      <c r="S199" s="22"/>
      <c r="T199" s="22"/>
      <c r="U199" s="22"/>
      <c r="V199" s="22"/>
      <c r="W199" s="22"/>
      <c r="X199" s="22"/>
      <c r="Y199" s="91">
        <f>$A$43</f>
        <v>20202</v>
      </c>
      <c r="Z199" s="105"/>
      <c r="AA199" s="90">
        <f t="shared" si="383"/>
        <v>1.0715794801366432</v>
      </c>
      <c r="AB199" s="90">
        <f t="shared" si="383"/>
        <v>1.0396624237882977</v>
      </c>
      <c r="AC199" s="22"/>
      <c r="AD199" s="22"/>
      <c r="AE199" s="22"/>
      <c r="AF199" s="22"/>
      <c r="AG199" s="22"/>
      <c r="AH199" s="22"/>
      <c r="AI199" s="22"/>
      <c r="AJ199" s="22"/>
      <c r="AK199" s="91">
        <f>$A$43</f>
        <v>20202</v>
      </c>
      <c r="AL199" s="105"/>
      <c r="AM199" s="90" t="str">
        <f t="shared" si="384"/>
        <v/>
      </c>
      <c r="AN199" s="90" t="str">
        <f t="shared" si="384"/>
        <v/>
      </c>
      <c r="AO199" s="22"/>
      <c r="AP199" s="22"/>
      <c r="AQ199" s="22"/>
      <c r="AR199" s="22"/>
      <c r="AS199" s="22"/>
      <c r="AT199" s="22"/>
      <c r="AU199" s="22"/>
      <c r="AV199" s="22"/>
      <c r="AW199" s="91">
        <f>$A$43</f>
        <v>20202</v>
      </c>
      <c r="AX199" s="105"/>
      <c r="AY199" s="90" t="str">
        <f t="shared" si="385"/>
        <v/>
      </c>
      <c r="AZ199" s="90" t="str">
        <f t="shared" si="385"/>
        <v/>
      </c>
      <c r="BA199" s="22"/>
      <c r="BB199" s="22"/>
      <c r="BC199" s="22"/>
      <c r="BD199" s="22"/>
      <c r="BE199" s="22"/>
      <c r="BF199" s="22"/>
      <c r="BG199" s="22"/>
      <c r="BH199" s="22"/>
      <c r="BI199" s="91">
        <f>$A$43</f>
        <v>20202</v>
      </c>
      <c r="BJ199" s="105"/>
      <c r="BK199" s="90" t="str">
        <f t="shared" si="386"/>
        <v/>
      </c>
      <c r="BL199" s="90" t="str">
        <f t="shared" si="386"/>
        <v/>
      </c>
      <c r="BM199" s="22"/>
      <c r="BN199" s="22"/>
      <c r="BO199" s="22"/>
      <c r="BP199" s="22"/>
      <c r="BQ199" s="22"/>
      <c r="BR199" s="22"/>
      <c r="BS199" s="22"/>
      <c r="BT199" s="22"/>
      <c r="BU199" s="91">
        <f>$A$43</f>
        <v>20202</v>
      </c>
      <c r="BV199" s="105"/>
      <c r="BW199" s="90" t="str">
        <f t="shared" si="387"/>
        <v/>
      </c>
      <c r="BX199" s="90" t="str">
        <f t="shared" si="387"/>
        <v/>
      </c>
      <c r="BY199" s="22"/>
      <c r="BZ199" s="22"/>
      <c r="CA199" s="22"/>
      <c r="CB199" s="22"/>
      <c r="CC199" s="22"/>
      <c r="CD199" s="22"/>
      <c r="CE199" s="22"/>
      <c r="CF199" s="22"/>
      <c r="CG199" s="91">
        <f>$A$43</f>
        <v>20202</v>
      </c>
      <c r="CH199" s="105"/>
      <c r="CI199" s="90" t="str">
        <f t="shared" si="388"/>
        <v/>
      </c>
      <c r="CJ199" s="90" t="str">
        <f t="shared" si="388"/>
        <v/>
      </c>
      <c r="CK199" s="22"/>
      <c r="CL199" s="22"/>
      <c r="CM199" s="22"/>
      <c r="CN199" s="22"/>
      <c r="CO199" s="22"/>
      <c r="CP199" s="22"/>
      <c r="CQ199" s="22"/>
      <c r="CR199" s="22"/>
      <c r="CS199" s="91">
        <f>$A$43</f>
        <v>20202</v>
      </c>
      <c r="CT199" s="105"/>
      <c r="CU199" s="90" t="str">
        <f t="shared" si="389"/>
        <v/>
      </c>
      <c r="CV199" s="90" t="str">
        <f t="shared" si="389"/>
        <v/>
      </c>
      <c r="CW199" s="22"/>
      <c r="CX199" s="22"/>
      <c r="CY199" s="22"/>
      <c r="CZ199" s="22"/>
      <c r="DA199" s="22"/>
      <c r="DB199" s="22"/>
      <c r="DC199" s="22"/>
      <c r="DD199" s="22"/>
      <c r="DE199" s="91">
        <f>$A$43</f>
        <v>20202</v>
      </c>
      <c r="DF199" s="105"/>
      <c r="DG199" s="90" t="str">
        <f t="shared" si="390"/>
        <v/>
      </c>
      <c r="DH199" s="90" t="str">
        <f t="shared" si="390"/>
        <v/>
      </c>
      <c r="DI199" s="22"/>
      <c r="DJ199" s="22"/>
      <c r="DK199" s="22"/>
      <c r="DL199" s="22"/>
      <c r="DM199" s="22"/>
      <c r="DN199" s="22"/>
      <c r="DO199" s="22"/>
      <c r="DP199" s="22"/>
    </row>
    <row r="200" spans="1:120" x14ac:dyDescent="0.25">
      <c r="A200" s="91">
        <f>$A$44</f>
        <v>20212</v>
      </c>
      <c r="B200" s="105"/>
      <c r="C200" s="90">
        <f t="shared" si="381"/>
        <v>1.2164621161468223</v>
      </c>
      <c r="D200" s="22"/>
      <c r="E200" s="22"/>
      <c r="F200" s="22"/>
      <c r="G200" s="22"/>
      <c r="H200" s="22"/>
      <c r="I200" s="22"/>
      <c r="J200" s="22"/>
      <c r="K200" s="22"/>
      <c r="L200" s="22"/>
      <c r="M200" s="91">
        <f>$A$44</f>
        <v>20212</v>
      </c>
      <c r="N200" s="105"/>
      <c r="O200" s="90">
        <f t="shared" si="382"/>
        <v>1.2202983984715372</v>
      </c>
      <c r="P200" s="22"/>
      <c r="Q200" s="22"/>
      <c r="R200" s="22"/>
      <c r="S200" s="22"/>
      <c r="T200" s="22"/>
      <c r="U200" s="22"/>
      <c r="V200" s="22"/>
      <c r="W200" s="22"/>
      <c r="X200" s="22"/>
      <c r="Y200" s="91">
        <f>$A$44</f>
        <v>20212</v>
      </c>
      <c r="Z200" s="105"/>
      <c r="AA200" s="90">
        <f t="shared" si="383"/>
        <v>1.1449691609653243</v>
      </c>
      <c r="AB200" s="22"/>
      <c r="AC200" s="22"/>
      <c r="AD200" s="22"/>
      <c r="AE200" s="22"/>
      <c r="AF200" s="22"/>
      <c r="AG200" s="22"/>
      <c r="AH200" s="22"/>
      <c r="AI200" s="22"/>
      <c r="AJ200" s="22"/>
      <c r="AK200" s="91">
        <f>$A$44</f>
        <v>20212</v>
      </c>
      <c r="AL200" s="105"/>
      <c r="AM200" s="90" t="str">
        <f t="shared" si="384"/>
        <v/>
      </c>
      <c r="AN200" s="22"/>
      <c r="AO200" s="22"/>
      <c r="AP200" s="22"/>
      <c r="AQ200" s="22"/>
      <c r="AR200" s="22"/>
      <c r="AS200" s="22"/>
      <c r="AT200" s="22"/>
      <c r="AU200" s="22"/>
      <c r="AV200" s="22"/>
      <c r="AW200" s="91">
        <f>$A$44</f>
        <v>20212</v>
      </c>
      <c r="AX200" s="105"/>
      <c r="AY200" s="90" t="str">
        <f t="shared" si="385"/>
        <v/>
      </c>
      <c r="AZ200" s="22"/>
      <c r="BA200" s="22"/>
      <c r="BB200" s="22"/>
      <c r="BC200" s="22"/>
      <c r="BD200" s="22"/>
      <c r="BE200" s="22"/>
      <c r="BF200" s="22"/>
      <c r="BG200" s="22"/>
      <c r="BH200" s="22"/>
      <c r="BI200" s="91">
        <f>$A$44</f>
        <v>20212</v>
      </c>
      <c r="BJ200" s="105"/>
      <c r="BK200" s="90" t="str">
        <f t="shared" si="386"/>
        <v/>
      </c>
      <c r="BL200" s="22"/>
      <c r="BM200" s="22"/>
      <c r="BN200" s="22"/>
      <c r="BO200" s="22"/>
      <c r="BP200" s="22"/>
      <c r="BQ200" s="22"/>
      <c r="BR200" s="22"/>
      <c r="BS200" s="22"/>
      <c r="BT200" s="22"/>
      <c r="BU200" s="91">
        <f>$A$44</f>
        <v>20212</v>
      </c>
      <c r="BV200" s="105"/>
      <c r="BW200" s="90" t="str">
        <f t="shared" si="387"/>
        <v/>
      </c>
      <c r="BX200" s="22"/>
      <c r="BY200" s="22"/>
      <c r="BZ200" s="22"/>
      <c r="CA200" s="22"/>
      <c r="CB200" s="22"/>
      <c r="CC200" s="22"/>
      <c r="CD200" s="22"/>
      <c r="CE200" s="22"/>
      <c r="CF200" s="22"/>
      <c r="CG200" s="91">
        <f>$A$44</f>
        <v>20212</v>
      </c>
      <c r="CH200" s="105"/>
      <c r="CI200" s="90" t="str">
        <f t="shared" si="388"/>
        <v/>
      </c>
      <c r="CJ200" s="22"/>
      <c r="CK200" s="22"/>
      <c r="CL200" s="22"/>
      <c r="CM200" s="22"/>
      <c r="CN200" s="22"/>
      <c r="CO200" s="22"/>
      <c r="CP200" s="22"/>
      <c r="CQ200" s="22"/>
      <c r="CR200" s="22"/>
      <c r="CS200" s="91">
        <f>$A$44</f>
        <v>20212</v>
      </c>
      <c r="CT200" s="105"/>
      <c r="CU200" s="90" t="str">
        <f t="shared" si="389"/>
        <v/>
      </c>
      <c r="CV200" s="22"/>
      <c r="CW200" s="22"/>
      <c r="CX200" s="22"/>
      <c r="CY200" s="22"/>
      <c r="CZ200" s="22"/>
      <c r="DA200" s="22"/>
      <c r="DB200" s="22"/>
      <c r="DC200" s="22"/>
      <c r="DD200" s="22"/>
      <c r="DE200" s="91">
        <f>$A$44</f>
        <v>20212</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1.1979904501402403</v>
      </c>
      <c r="D202" s="93">
        <f>IFERROR(SUM(E184:E186)/SUM(D184:D186),1)</f>
        <v>1.0397685204064095</v>
      </c>
      <c r="E202" s="93">
        <f>IFERROR(SUM(F183:F185)/SUM(E183:E185),1)</f>
        <v>1.0192833004862918</v>
      </c>
      <c r="F202" s="93">
        <f>IFERROR(SUM(G182:G184)/SUM(F182:F184),1)</f>
        <v>1.0095668021396667</v>
      </c>
      <c r="G202" s="93">
        <f>IFERROR(SUM(H181:H183)/SUM(G181:G183),1)</f>
        <v>1.0061517542522418</v>
      </c>
      <c r="H202" s="93">
        <f>IFERROR(SUM(I180:I182)/SUM(H180:H182),1)</f>
        <v>1.0006880739637605</v>
      </c>
      <c r="I202" s="93">
        <f>IFERROR(SUM(J179:J181)/SUM(I179:I181),1)</f>
        <v>1.0010941293952544</v>
      </c>
      <c r="J202" s="93">
        <f>IFERROR(SUM(K179:K180)/SUM(J179:J180),1)</f>
        <v>1.0001326200498162</v>
      </c>
      <c r="K202" s="93">
        <f>IFERROR(SUM(L179:L179)/SUM(K179:K179),1)</f>
        <v>1.0003938562112218</v>
      </c>
      <c r="L202" s="93">
        <v>1</v>
      </c>
      <c r="M202" s="285" t="s">
        <v>37</v>
      </c>
      <c r="N202" s="107"/>
      <c r="O202" s="93">
        <f>IFERROR(SUM(P185:P187)/SUM(O185:O187),1)</f>
        <v>1.1824931451944602</v>
      </c>
      <c r="P202" s="93">
        <f>IFERROR(SUM(Q184:Q186)/SUM(P184:P186),1)</f>
        <v>1.0470052556202518</v>
      </c>
      <c r="Q202" s="93">
        <f>IFERROR(SUM(R183:R185)/SUM(Q183:Q185),1)</f>
        <v>1.0240965983891936</v>
      </c>
      <c r="R202" s="93">
        <f>IFERROR(SUM(S182:S184)/SUM(R182:R184),1)</f>
        <v>1.0089763151242708</v>
      </c>
      <c r="S202" s="93">
        <f>IFERROR(SUM(T181:T183)/SUM(S181:S183),1)</f>
        <v>1.0024654731592422</v>
      </c>
      <c r="T202" s="93">
        <f>IFERROR(SUM(U180:U182)/SUM(T180:T182),1)</f>
        <v>1.0018503675841031</v>
      </c>
      <c r="U202" s="93">
        <f>IFERROR(SUM(V179:V181)/SUM(U179:U181),1)</f>
        <v>1.0012844913526551</v>
      </c>
      <c r="V202" s="93">
        <f>IFERROR(SUM(W179:W180)/SUM(V179:V180),1)</f>
        <v>1.0024888873926718</v>
      </c>
      <c r="W202" s="93">
        <f>IFERROR(SUM(X179:X179)/SUM(W179:W179),1)</f>
        <v>1.0000370038636719</v>
      </c>
      <c r="X202" s="93">
        <v>1</v>
      </c>
      <c r="Y202" s="285" t="s">
        <v>37</v>
      </c>
      <c r="Z202" s="107"/>
      <c r="AA202" s="93">
        <f>IFERROR(SUM(AB185:AB187)/SUM(AA185:AA187),1)</f>
        <v>1.1198580662212434</v>
      </c>
      <c r="AB202" s="93">
        <f>IFERROR(SUM(AC184:AC186)/SUM(AB184:AB186),1)</f>
        <v>1.0202537846019377</v>
      </c>
      <c r="AC202" s="93">
        <f>IFERROR(SUM(AD183:AD185)/SUM(AC183:AC185),1)</f>
        <v>1.0087656601475987</v>
      </c>
      <c r="AD202" s="93">
        <f>IFERROR(SUM(AE182:AE184)/SUM(AD182:AD184),1)</f>
        <v>1.0093476896456322</v>
      </c>
      <c r="AE202" s="93">
        <f>IFERROR(SUM(AF181:AF183)/SUM(AE181:AE183),1)</f>
        <v>1.0007219494574409</v>
      </c>
      <c r="AF202" s="93">
        <f>IFERROR(SUM(AG180:AG182)/SUM(AF180:AF182),1)</f>
        <v>0.9991768505261065</v>
      </c>
      <c r="AG202" s="93">
        <f>IFERROR(SUM(AH179:AH181)/SUM(AG179:AG181),1)</f>
        <v>1.0007211281541126</v>
      </c>
      <c r="AH202" s="93">
        <f>IFERROR(SUM(AI179:AI180)/SUM(AH179:AH180),1)</f>
        <v>1.0001108040213367</v>
      </c>
      <c r="AI202" s="93">
        <f>IFERROR(SUM(AJ179:AJ179)/SUM(AI179:AI179),1)</f>
        <v>0.99988690183127715</v>
      </c>
      <c r="AJ202" s="93">
        <v>1</v>
      </c>
      <c r="AK202" s="285"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5"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5"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5"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1.1979904501402403</v>
      </c>
      <c r="D203" s="93">
        <f t="shared" ref="D203:K203" si="391">IF(D202=0,1,D202)</f>
        <v>1.0397685204064095</v>
      </c>
      <c r="E203" s="93">
        <f t="shared" si="391"/>
        <v>1.0192833004862918</v>
      </c>
      <c r="F203" s="93">
        <f t="shared" si="391"/>
        <v>1.0095668021396667</v>
      </c>
      <c r="G203" s="93">
        <f t="shared" si="391"/>
        <v>1.0061517542522418</v>
      </c>
      <c r="H203" s="93">
        <f t="shared" si="391"/>
        <v>1.0006880739637605</v>
      </c>
      <c r="I203" s="93">
        <f t="shared" si="391"/>
        <v>1.0010941293952544</v>
      </c>
      <c r="J203" s="93">
        <f t="shared" si="391"/>
        <v>1.0001326200498162</v>
      </c>
      <c r="K203" s="93">
        <f t="shared" si="391"/>
        <v>1.0003938562112218</v>
      </c>
      <c r="L203" s="93">
        <f>IF(L202=0,1,L202)</f>
        <v>1</v>
      </c>
      <c r="M203" s="285" t="s">
        <v>40</v>
      </c>
      <c r="N203" s="107"/>
      <c r="O203" s="93">
        <f>IF(O202=0,1,O202)</f>
        <v>1.1824931451944602</v>
      </c>
      <c r="P203" s="93">
        <f t="shared" ref="P203:W203" si="392">IF(P202=0,1,P202)</f>
        <v>1.0470052556202518</v>
      </c>
      <c r="Q203" s="93">
        <f t="shared" si="392"/>
        <v>1.0240965983891936</v>
      </c>
      <c r="R203" s="93">
        <f t="shared" si="392"/>
        <v>1.0089763151242708</v>
      </c>
      <c r="S203" s="93">
        <f t="shared" si="392"/>
        <v>1.0024654731592422</v>
      </c>
      <c r="T203" s="93">
        <f t="shared" si="392"/>
        <v>1.0018503675841031</v>
      </c>
      <c r="U203" s="93">
        <f t="shared" si="392"/>
        <v>1.0012844913526551</v>
      </c>
      <c r="V203" s="93">
        <f t="shared" si="392"/>
        <v>1.0024888873926718</v>
      </c>
      <c r="W203" s="93">
        <f t="shared" si="392"/>
        <v>1.0000370038636719</v>
      </c>
      <c r="X203" s="93">
        <f>IF(X202=0,1,X202)</f>
        <v>1</v>
      </c>
      <c r="Y203" s="285" t="s">
        <v>40</v>
      </c>
      <c r="Z203" s="107"/>
      <c r="AA203" s="93">
        <f>IF(AA202=0,1,AA202)</f>
        <v>1.1198580662212434</v>
      </c>
      <c r="AB203" s="93">
        <f t="shared" ref="AB203:AI203" si="393">IF(AB202=0,1,AB202)</f>
        <v>1.0202537846019377</v>
      </c>
      <c r="AC203" s="93">
        <f t="shared" si="393"/>
        <v>1.0087656601475987</v>
      </c>
      <c r="AD203" s="93">
        <f t="shared" si="393"/>
        <v>1.0093476896456322</v>
      </c>
      <c r="AE203" s="93">
        <f t="shared" si="393"/>
        <v>1.0007219494574409</v>
      </c>
      <c r="AF203" s="93">
        <f t="shared" si="393"/>
        <v>0.9991768505261065</v>
      </c>
      <c r="AG203" s="93">
        <f t="shared" si="393"/>
        <v>1.0007211281541126</v>
      </c>
      <c r="AH203" s="93">
        <f t="shared" si="393"/>
        <v>1.0001108040213367</v>
      </c>
      <c r="AI203" s="93">
        <f t="shared" si="393"/>
        <v>0.99988690183127715</v>
      </c>
      <c r="AJ203" s="93">
        <f>IF(AJ202=0,1,AJ202)</f>
        <v>1</v>
      </c>
      <c r="AK203" s="285"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5"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5"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5"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1.2926642153535723</v>
      </c>
      <c r="D204" s="113">
        <f>PRODUCT(D203:L203)</f>
        <v>1.079027145168185</v>
      </c>
      <c r="E204" s="113">
        <f>PRODUCT(E203:L203)</f>
        <v>1.0377570814958221</v>
      </c>
      <c r="F204" s="113">
        <f>PRODUCT(F203:L203)</f>
        <v>1.0181242849762344</v>
      </c>
      <c r="G204" s="113">
        <f>PRODUCT(G203:L203)</f>
        <v>1.0084763908821399</v>
      </c>
      <c r="H204" s="113">
        <f>PRODUCT(H203:L203)</f>
        <v>1.0023104234724769</v>
      </c>
      <c r="I204" s="113">
        <f>PRODUCT(I203:L203)</f>
        <v>1.0016212339798258</v>
      </c>
      <c r="J204" s="113">
        <f>PRODUCT(J203:L203)</f>
        <v>1.0005265284942684</v>
      </c>
      <c r="K204" s="113">
        <f>PRODUCT(K203:L203)</f>
        <v>1.0003938562112218</v>
      </c>
      <c r="L204" s="114">
        <f>PRODUCT(L203:L203)</f>
        <v>1</v>
      </c>
      <c r="M204" s="111" t="s">
        <v>39</v>
      </c>
      <c r="N204" s="115"/>
      <c r="O204" s="113">
        <f>PRODUCT(O203:X203)</f>
        <v>1.2897181191727372</v>
      </c>
      <c r="P204" s="113">
        <f>PRODUCT(P203:X203)</f>
        <v>1.090677036407381</v>
      </c>
      <c r="Q204" s="113">
        <f>PRODUCT(Q203:X203)</f>
        <v>1.0417111380794912</v>
      </c>
      <c r="R204" s="113">
        <f>PRODUCT(R203:X203)</f>
        <v>1.0172000763580344</v>
      </c>
      <c r="S204" s="113">
        <f>PRODUCT(S203:X203)</f>
        <v>1.0081505988896784</v>
      </c>
      <c r="T204" s="113">
        <f>PRODUCT(T203:X203)</f>
        <v>1.005671143677916</v>
      </c>
      <c r="U204" s="113">
        <f>PRODUCT(U203:X203)</f>
        <v>1.0038137193112249</v>
      </c>
      <c r="V204" s="113">
        <f>PRODUCT(V203:X203)</f>
        <v>1.0025259833547935</v>
      </c>
      <c r="W204" s="113">
        <f>PRODUCT(W203:X203)</f>
        <v>1.0000370038636719</v>
      </c>
      <c r="X204" s="114">
        <f>PRODUCT(X203:X203)</f>
        <v>1</v>
      </c>
      <c r="Y204" s="111" t="s">
        <v>39</v>
      </c>
      <c r="Z204" s="115"/>
      <c r="AA204" s="113">
        <f>PRODUCT(AA203:AJ203)</f>
        <v>1.1640459829024843</v>
      </c>
      <c r="AB204" s="113">
        <f>PRODUCT(AB203:AJ203)</f>
        <v>1.0394584974775825</v>
      </c>
      <c r="AC204" s="113">
        <f>PRODUCT(AC203:AJ203)</f>
        <v>1.0188234664408888</v>
      </c>
      <c r="AD204" s="113">
        <f>PRODUCT(AD203:AJ203)</f>
        <v>1.009970409075799</v>
      </c>
      <c r="AE204" s="113">
        <f>PRODUCT(AE203:AJ203)</f>
        <v>1.0006169523510631</v>
      </c>
      <c r="AF204" s="113">
        <f>PRODUCT(AF203:AJ203)</f>
        <v>0.99989507864154004</v>
      </c>
      <c r="AG204" s="113">
        <f>PRODUCT(AG203:AJ203)</f>
        <v>1.0007188198115833</v>
      </c>
      <c r="AH204" s="113">
        <f>PRODUCT(AH203:AJ203)</f>
        <v>0.99999769332088195</v>
      </c>
      <c r="AI204" s="113">
        <f>PRODUCT(AI203:AJ203)</f>
        <v>0.99988690183127715</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1030584687.6913157</v>
      </c>
      <c r="D205" s="99">
        <f>D204*D187</f>
        <v>784765964.45322943</v>
      </c>
      <c r="E205" s="99">
        <f>E204*E186</f>
        <v>625724777.34576797</v>
      </c>
      <c r="F205" s="99">
        <f>F204*F185</f>
        <v>649536921.24985266</v>
      </c>
      <c r="G205" s="99">
        <f>G204*G184</f>
        <v>535461364.49250233</v>
      </c>
      <c r="H205" s="99">
        <f>H204*H183</f>
        <v>592914081.46770108</v>
      </c>
      <c r="I205" s="99">
        <f>I204*I182</f>
        <v>526961624.30754089</v>
      </c>
      <c r="J205" s="99">
        <f>J204*J181</f>
        <v>460835439.77899712</v>
      </c>
      <c r="K205" s="99">
        <f>K204*K180</f>
        <v>431419055.92826909</v>
      </c>
      <c r="L205" s="99">
        <f>L204*L179</f>
        <v>438663895.66000003</v>
      </c>
      <c r="M205" s="95" t="s">
        <v>41</v>
      </c>
      <c r="N205" s="106"/>
      <c r="O205" s="99">
        <f>O204*O188</f>
        <v>53454184.481383465</v>
      </c>
      <c r="P205" s="99">
        <f>P204*P187</f>
        <v>46470544.962913625</v>
      </c>
      <c r="Q205" s="99">
        <f>Q204*Q186</f>
        <v>44383144.54067257</v>
      </c>
      <c r="R205" s="99">
        <f>R204*R185</f>
        <v>49378913.654488914</v>
      </c>
      <c r="S205" s="99">
        <f>S204*S184</f>
        <v>52224918.532750674</v>
      </c>
      <c r="T205" s="99">
        <f>T204*T183</f>
        <v>47156851.248933509</v>
      </c>
      <c r="U205" s="99">
        <f>U204*U182</f>
        <v>47255945.24022083</v>
      </c>
      <c r="V205" s="99">
        <f>V204*V181</f>
        <v>42042689.97372292</v>
      </c>
      <c r="W205" s="99">
        <f>W204*W180</f>
        <v>42881677.109018661</v>
      </c>
      <c r="X205" s="99">
        <f>X204*X179</f>
        <v>38750090.280000001</v>
      </c>
      <c r="Y205" s="95" t="s">
        <v>41</v>
      </c>
      <c r="Z205" s="106"/>
      <c r="AA205" s="99">
        <f>AA204*AA188</f>
        <v>72823489.314260095</v>
      </c>
      <c r="AB205" s="99">
        <f>AB204*AB187</f>
        <v>65096690.105479449</v>
      </c>
      <c r="AC205" s="99">
        <f>AC204*AC186</f>
        <v>60841695.825789027</v>
      </c>
      <c r="AD205" s="99">
        <f>AD204*AD185</f>
        <v>57811810.406047277</v>
      </c>
      <c r="AE205" s="99">
        <f>AE204*AE184</f>
        <v>52445631.135348946</v>
      </c>
      <c r="AF205" s="99">
        <f>AF204*AF183</f>
        <v>57228891.376903713</v>
      </c>
      <c r="AG205" s="99">
        <f>AG204*AG182</f>
        <v>53203691.456765361</v>
      </c>
      <c r="AH205" s="99">
        <f>AH204*AH181</f>
        <v>45111077.152980313</v>
      </c>
      <c r="AI205" s="99">
        <f>AI204*AI180</f>
        <v>40848701.354119308</v>
      </c>
      <c r="AJ205" s="99">
        <f>AJ204*AJ179</f>
        <v>42433553.230000004</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Homeowners Multiple Peril</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Renters</v>
      </c>
      <c r="N210" s="69"/>
      <c r="O210" s="18"/>
      <c r="P210" s="18"/>
      <c r="Q210" s="18"/>
      <c r="R210" s="18"/>
      <c r="S210" s="18"/>
      <c r="T210" s="18"/>
      <c r="U210" s="18"/>
      <c r="V210" s="18"/>
      <c r="W210" s="18"/>
      <c r="X210" s="18"/>
      <c r="Y210" s="138" t="str">
        <f>Y$5</f>
        <v>Condominium Unitowners</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Data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Data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Data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Data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Data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Data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Data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Data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Data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20132</v>
      </c>
      <c r="B214" s="21"/>
      <c r="C214" s="21">
        <v>375585584.64999998</v>
      </c>
      <c r="D214" s="21">
        <v>411828667.19</v>
      </c>
      <c r="E214" s="21">
        <v>416615838.49000001</v>
      </c>
      <c r="F214" s="21">
        <v>418021608.64999998</v>
      </c>
      <c r="G214" s="21">
        <v>417377819.79000002</v>
      </c>
      <c r="H214" s="21">
        <v>417616641.26999998</v>
      </c>
      <c r="I214" s="21">
        <v>418394134.88999999</v>
      </c>
      <c r="J214" s="21">
        <v>418419566.50999999</v>
      </c>
      <c r="K214" s="21">
        <v>418370078.60000002</v>
      </c>
      <c r="L214" s="21">
        <v>418300220.24000001</v>
      </c>
      <c r="M214" s="31">
        <f>$A$36</f>
        <v>20132</v>
      </c>
      <c r="N214" s="21"/>
      <c r="O214" s="21">
        <v>32699874.800000001</v>
      </c>
      <c r="P214" s="21">
        <v>34805171.93</v>
      </c>
      <c r="Q214" s="21">
        <v>36080729.850000001</v>
      </c>
      <c r="R214" s="21">
        <v>36358999.57</v>
      </c>
      <c r="S214" s="21">
        <v>36273787.57</v>
      </c>
      <c r="T214" s="21">
        <v>36307392.18</v>
      </c>
      <c r="U214" s="21">
        <v>36370555.850000001</v>
      </c>
      <c r="V214" s="21">
        <v>36400540.229999997</v>
      </c>
      <c r="W214" s="21">
        <v>36412170.109999999</v>
      </c>
      <c r="X214" s="21">
        <v>36412133.960000001</v>
      </c>
      <c r="Y214" s="31">
        <f>$A$36</f>
        <v>20132</v>
      </c>
      <c r="Z214" s="21"/>
      <c r="AA214" s="21">
        <v>40331415.909999996</v>
      </c>
      <c r="AB214" s="21">
        <v>41520777.189999998</v>
      </c>
      <c r="AC214" s="21">
        <v>41330004.840000004</v>
      </c>
      <c r="AD214" s="21">
        <v>40371947.579999998</v>
      </c>
      <c r="AE214" s="21">
        <v>40499752.789999999</v>
      </c>
      <c r="AF214" s="21">
        <v>40636714.020000003</v>
      </c>
      <c r="AG214" s="21">
        <v>40835234.659999996</v>
      </c>
      <c r="AH214" s="21">
        <v>40721303.950000003</v>
      </c>
      <c r="AI214" s="21">
        <v>40721303.950000003</v>
      </c>
      <c r="AJ214" s="21">
        <v>40721303.950000003</v>
      </c>
      <c r="AK214" s="31">
        <f>$A$36</f>
        <v>20132</v>
      </c>
      <c r="AL214" s="21"/>
      <c r="AM214" s="21"/>
      <c r="AN214" s="21"/>
      <c r="AO214" s="21"/>
      <c r="AP214" s="21"/>
      <c r="AQ214" s="21"/>
      <c r="AR214" s="21"/>
      <c r="AS214" s="21"/>
      <c r="AT214" s="21"/>
      <c r="AU214" s="21"/>
      <c r="AV214" s="21"/>
      <c r="AW214" s="31">
        <f>$A$36</f>
        <v>20132</v>
      </c>
      <c r="AX214" s="21"/>
      <c r="AY214" s="21"/>
      <c r="AZ214" s="21"/>
      <c r="BA214" s="21"/>
      <c r="BB214" s="21"/>
      <c r="BC214" s="21"/>
      <c r="BD214" s="21"/>
      <c r="BE214" s="21"/>
      <c r="BF214" s="21"/>
      <c r="BG214" s="21"/>
      <c r="BH214" s="21"/>
      <c r="BI214" s="31">
        <f>$A$36</f>
        <v>20132</v>
      </c>
      <c r="BJ214" s="21"/>
      <c r="BK214" s="21"/>
      <c r="BL214" s="21"/>
      <c r="BM214" s="21"/>
      <c r="BN214" s="21"/>
      <c r="BO214" s="21"/>
      <c r="BP214" s="21"/>
      <c r="BQ214" s="21"/>
      <c r="BR214" s="21"/>
      <c r="BS214" s="21"/>
      <c r="BT214" s="21"/>
      <c r="BU214" s="31">
        <f>$A$36</f>
        <v>20132</v>
      </c>
      <c r="BV214" s="21"/>
      <c r="BW214" s="21"/>
      <c r="BX214" s="21"/>
      <c r="BY214" s="21"/>
      <c r="BZ214" s="21"/>
      <c r="CA214" s="21"/>
      <c r="CB214" s="21"/>
      <c r="CC214" s="21"/>
      <c r="CD214" s="21"/>
      <c r="CE214" s="21"/>
      <c r="CF214" s="21"/>
      <c r="CG214" s="31">
        <f>$A$36</f>
        <v>20132</v>
      </c>
      <c r="CH214" s="21"/>
      <c r="CI214" s="21"/>
      <c r="CJ214" s="21"/>
      <c r="CK214" s="21"/>
      <c r="CL214" s="21"/>
      <c r="CM214" s="21"/>
      <c r="CN214" s="21"/>
      <c r="CO214" s="21"/>
      <c r="CP214" s="21"/>
      <c r="CQ214" s="21"/>
      <c r="CR214" s="21"/>
      <c r="CS214" s="31">
        <f>$A$36</f>
        <v>20132</v>
      </c>
      <c r="CT214" s="21"/>
      <c r="CU214" s="21"/>
      <c r="CV214" s="21"/>
      <c r="CW214" s="21"/>
      <c r="CX214" s="21"/>
      <c r="CY214" s="21"/>
      <c r="CZ214" s="21"/>
      <c r="DA214" s="21"/>
      <c r="DB214" s="21"/>
      <c r="DC214" s="21"/>
      <c r="DD214" s="21"/>
      <c r="DE214" s="31">
        <f>$A$36</f>
        <v>20132</v>
      </c>
      <c r="DF214" s="21"/>
      <c r="DG214" s="21"/>
      <c r="DH214" s="21"/>
      <c r="DI214" s="21"/>
      <c r="DJ214" s="21"/>
      <c r="DK214" s="21"/>
      <c r="DL214" s="21"/>
      <c r="DM214" s="21"/>
      <c r="DN214" s="21"/>
      <c r="DO214" s="21"/>
      <c r="DP214" s="21"/>
    </row>
    <row r="215" spans="1:120" ht="15" customHeight="1" x14ac:dyDescent="0.25">
      <c r="A215" s="31">
        <f>$A$37</f>
        <v>20142</v>
      </c>
      <c r="B215" s="21"/>
      <c r="C215" s="21">
        <v>370020688.69999999</v>
      </c>
      <c r="D215" s="21">
        <v>395290220.57999998</v>
      </c>
      <c r="E215" s="21">
        <v>404370240.64999998</v>
      </c>
      <c r="F215" s="21">
        <v>408020416.72000003</v>
      </c>
      <c r="G215" s="21">
        <v>409037534.13999999</v>
      </c>
      <c r="H215" s="21">
        <v>410553262.13</v>
      </c>
      <c r="I215" s="21">
        <v>409868615.89999998</v>
      </c>
      <c r="J215" s="21">
        <v>410061756.42000002</v>
      </c>
      <c r="K215" s="21">
        <v>409741481.19</v>
      </c>
      <c r="L215" s="134"/>
      <c r="M215" s="31">
        <f>$A$37</f>
        <v>20142</v>
      </c>
      <c r="N215" s="21"/>
      <c r="O215" s="21">
        <v>33002351.859999999</v>
      </c>
      <c r="P215" s="21">
        <v>36279144.420000002</v>
      </c>
      <c r="Q215" s="21">
        <v>37413624.100000001</v>
      </c>
      <c r="R215" s="21">
        <v>38442266.5</v>
      </c>
      <c r="S215" s="21">
        <v>38534952.509999998</v>
      </c>
      <c r="T215" s="21">
        <v>38569775.75</v>
      </c>
      <c r="U215" s="21">
        <v>38592627.75</v>
      </c>
      <c r="V215" s="21">
        <v>38597627.75</v>
      </c>
      <c r="W215" s="21">
        <v>38747627.75</v>
      </c>
      <c r="X215" s="134"/>
      <c r="Y215" s="31">
        <f>$A$37</f>
        <v>20142</v>
      </c>
      <c r="Z215" s="21"/>
      <c r="AA215" s="21">
        <v>39388940.310000002</v>
      </c>
      <c r="AB215" s="21">
        <v>39691326.969999999</v>
      </c>
      <c r="AC215" s="21">
        <v>39448542.719999999</v>
      </c>
      <c r="AD215" s="21">
        <v>39762415.829999998</v>
      </c>
      <c r="AE215" s="21">
        <v>39769664.479999997</v>
      </c>
      <c r="AF215" s="21">
        <v>39858320.600000001</v>
      </c>
      <c r="AG215" s="21">
        <v>39737928.789999999</v>
      </c>
      <c r="AH215" s="21">
        <v>39795320.770000003</v>
      </c>
      <c r="AI215" s="21">
        <v>39729635.789999999</v>
      </c>
      <c r="AJ215" s="134"/>
      <c r="AK215" s="31">
        <f>$A$37</f>
        <v>20142</v>
      </c>
      <c r="AL215" s="21"/>
      <c r="AM215" s="21"/>
      <c r="AN215" s="21"/>
      <c r="AO215" s="21"/>
      <c r="AP215" s="21"/>
      <c r="AQ215" s="21"/>
      <c r="AR215" s="21"/>
      <c r="AS215" s="21"/>
      <c r="AT215" s="21"/>
      <c r="AU215" s="21"/>
      <c r="AV215" s="134"/>
      <c r="AW215" s="31">
        <f>$A$37</f>
        <v>20142</v>
      </c>
      <c r="AX215" s="21"/>
      <c r="AY215" s="21"/>
      <c r="AZ215" s="21"/>
      <c r="BA215" s="21"/>
      <c r="BB215" s="21"/>
      <c r="BC215" s="21"/>
      <c r="BD215" s="21"/>
      <c r="BE215" s="21"/>
      <c r="BF215" s="21"/>
      <c r="BG215" s="21"/>
      <c r="BH215" s="134"/>
      <c r="BI215" s="31">
        <f>$A$37</f>
        <v>20142</v>
      </c>
      <c r="BJ215" s="21"/>
      <c r="BK215" s="21"/>
      <c r="BL215" s="21"/>
      <c r="BM215" s="21"/>
      <c r="BN215" s="21"/>
      <c r="BO215" s="21"/>
      <c r="BP215" s="21"/>
      <c r="BQ215" s="21"/>
      <c r="BR215" s="21"/>
      <c r="BS215" s="21"/>
      <c r="BT215" s="134"/>
      <c r="BU215" s="31">
        <f>$A$37</f>
        <v>20142</v>
      </c>
      <c r="BV215" s="21"/>
      <c r="BW215" s="21"/>
      <c r="BX215" s="21"/>
      <c r="BY215" s="21"/>
      <c r="BZ215" s="21"/>
      <c r="CA215" s="21"/>
      <c r="CB215" s="21"/>
      <c r="CC215" s="21"/>
      <c r="CD215" s="21"/>
      <c r="CE215" s="21"/>
      <c r="CF215" s="134"/>
      <c r="CG215" s="31">
        <f>$A$37</f>
        <v>20142</v>
      </c>
      <c r="CH215" s="21"/>
      <c r="CI215" s="21"/>
      <c r="CJ215" s="21"/>
      <c r="CK215" s="21"/>
      <c r="CL215" s="21"/>
      <c r="CM215" s="21"/>
      <c r="CN215" s="21"/>
      <c r="CO215" s="21"/>
      <c r="CP215" s="21"/>
      <c r="CQ215" s="21"/>
      <c r="CR215" s="134"/>
      <c r="CS215" s="31">
        <f>$A$37</f>
        <v>20142</v>
      </c>
      <c r="CT215" s="21"/>
      <c r="CU215" s="21"/>
      <c r="CV215" s="21"/>
      <c r="CW215" s="21"/>
      <c r="CX215" s="21"/>
      <c r="CY215" s="21"/>
      <c r="CZ215" s="21"/>
      <c r="DA215" s="21"/>
      <c r="DB215" s="21"/>
      <c r="DC215" s="21"/>
      <c r="DD215" s="134"/>
      <c r="DE215" s="31">
        <f>$A$37</f>
        <v>20142</v>
      </c>
      <c r="DF215" s="21"/>
      <c r="DG215" s="21"/>
      <c r="DH215" s="21"/>
      <c r="DI215" s="21"/>
      <c r="DJ215" s="21"/>
      <c r="DK215" s="21"/>
      <c r="DL215" s="21"/>
      <c r="DM215" s="21"/>
      <c r="DN215" s="21"/>
      <c r="DO215" s="21"/>
      <c r="DP215" s="134"/>
    </row>
    <row r="216" spans="1:120" ht="15" customHeight="1" x14ac:dyDescent="0.25">
      <c r="A216" s="31">
        <f>$A$38</f>
        <v>20152</v>
      </c>
      <c r="B216" s="21"/>
      <c r="C216" s="21">
        <v>387513170.76999998</v>
      </c>
      <c r="D216" s="21">
        <v>421073574.14999998</v>
      </c>
      <c r="E216" s="21">
        <v>429158227.88999999</v>
      </c>
      <c r="F216" s="21">
        <v>433299374.69999999</v>
      </c>
      <c r="G216" s="21">
        <v>434447316.23000002</v>
      </c>
      <c r="H216" s="21">
        <v>435886499.44</v>
      </c>
      <c r="I216" s="21">
        <v>435988741.63999999</v>
      </c>
      <c r="J216" s="21">
        <v>436501832.16000003</v>
      </c>
      <c r="K216" s="134"/>
      <c r="L216" s="134"/>
      <c r="M216" s="31">
        <f>$A$38</f>
        <v>20152</v>
      </c>
      <c r="N216" s="21"/>
      <c r="O216" s="21">
        <v>33588572.840000004</v>
      </c>
      <c r="P216" s="21">
        <v>37272803.920000002</v>
      </c>
      <c r="Q216" s="21">
        <v>39250381.899999999</v>
      </c>
      <c r="R216" s="21">
        <v>39755481.07</v>
      </c>
      <c r="S216" s="21">
        <v>39991479.539999999</v>
      </c>
      <c r="T216" s="21">
        <v>39910690.32</v>
      </c>
      <c r="U216" s="21">
        <v>39936378.32</v>
      </c>
      <c r="V216" s="21">
        <v>39915865.789999999</v>
      </c>
      <c r="W216" s="134"/>
      <c r="X216" s="134"/>
      <c r="Y216" s="31">
        <f>$A$38</f>
        <v>20152</v>
      </c>
      <c r="Z216" s="21"/>
      <c r="AA216" s="21">
        <v>42734068.68</v>
      </c>
      <c r="AB216" s="21">
        <v>43670103.520000003</v>
      </c>
      <c r="AC216" s="21">
        <v>43986551.670000002</v>
      </c>
      <c r="AD216" s="21">
        <v>43709629.850000001</v>
      </c>
      <c r="AE216" s="21">
        <v>43556129.899999999</v>
      </c>
      <c r="AF216" s="21">
        <v>43722798.060000002</v>
      </c>
      <c r="AG216" s="21">
        <v>43679899.060000002</v>
      </c>
      <c r="AH216" s="21">
        <v>43689359.060000002</v>
      </c>
      <c r="AI216" s="134"/>
      <c r="AJ216" s="134"/>
      <c r="AK216" s="31">
        <f>$A$38</f>
        <v>20152</v>
      </c>
      <c r="AL216" s="21"/>
      <c r="AM216" s="21"/>
      <c r="AN216" s="21"/>
      <c r="AO216" s="21"/>
      <c r="AP216" s="21"/>
      <c r="AQ216" s="21"/>
      <c r="AR216" s="21"/>
      <c r="AS216" s="21"/>
      <c r="AT216" s="21"/>
      <c r="AU216" s="134"/>
      <c r="AV216" s="134"/>
      <c r="AW216" s="31">
        <f>$A$38</f>
        <v>20152</v>
      </c>
      <c r="AX216" s="21"/>
      <c r="AY216" s="21"/>
      <c r="AZ216" s="21"/>
      <c r="BA216" s="21"/>
      <c r="BB216" s="21"/>
      <c r="BC216" s="21"/>
      <c r="BD216" s="21"/>
      <c r="BE216" s="21"/>
      <c r="BF216" s="21"/>
      <c r="BG216" s="134"/>
      <c r="BH216" s="134"/>
      <c r="BI216" s="31">
        <f>$A$38</f>
        <v>20152</v>
      </c>
      <c r="BJ216" s="21"/>
      <c r="BK216" s="21"/>
      <c r="BL216" s="21"/>
      <c r="BM216" s="21"/>
      <c r="BN216" s="21"/>
      <c r="BO216" s="21"/>
      <c r="BP216" s="21"/>
      <c r="BQ216" s="21"/>
      <c r="BR216" s="21"/>
      <c r="BS216" s="134"/>
      <c r="BT216" s="134"/>
      <c r="BU216" s="31">
        <f>$A$38</f>
        <v>20152</v>
      </c>
      <c r="BV216" s="21"/>
      <c r="BW216" s="21"/>
      <c r="BX216" s="21"/>
      <c r="BY216" s="21"/>
      <c r="BZ216" s="21"/>
      <c r="CA216" s="21"/>
      <c r="CB216" s="21"/>
      <c r="CC216" s="21"/>
      <c r="CD216" s="21"/>
      <c r="CE216" s="134"/>
      <c r="CF216" s="134"/>
      <c r="CG216" s="31">
        <f>$A$38</f>
        <v>20152</v>
      </c>
      <c r="CH216" s="21"/>
      <c r="CI216" s="21"/>
      <c r="CJ216" s="21"/>
      <c r="CK216" s="21"/>
      <c r="CL216" s="21"/>
      <c r="CM216" s="21"/>
      <c r="CN216" s="21"/>
      <c r="CO216" s="21"/>
      <c r="CP216" s="21"/>
      <c r="CQ216" s="134"/>
      <c r="CR216" s="134"/>
      <c r="CS216" s="31">
        <f>$A$38</f>
        <v>20152</v>
      </c>
      <c r="CT216" s="21"/>
      <c r="CU216" s="21"/>
      <c r="CV216" s="21"/>
      <c r="CW216" s="21"/>
      <c r="CX216" s="21"/>
      <c r="CY216" s="21"/>
      <c r="CZ216" s="21"/>
      <c r="DA216" s="21"/>
      <c r="DB216" s="21"/>
      <c r="DC216" s="134"/>
      <c r="DD216" s="134"/>
      <c r="DE216" s="31">
        <f>$A$38</f>
        <v>20152</v>
      </c>
      <c r="DF216" s="21"/>
      <c r="DG216" s="21"/>
      <c r="DH216" s="21"/>
      <c r="DI216" s="21"/>
      <c r="DJ216" s="21"/>
      <c r="DK216" s="21"/>
      <c r="DL216" s="21"/>
      <c r="DM216" s="21"/>
      <c r="DN216" s="21"/>
      <c r="DO216" s="134"/>
      <c r="DP216" s="134"/>
    </row>
    <row r="217" spans="1:120" ht="15" customHeight="1" x14ac:dyDescent="0.25">
      <c r="A217" s="31">
        <f>$A$39</f>
        <v>20162</v>
      </c>
      <c r="B217" s="21"/>
      <c r="C217" s="21">
        <v>437817928.20999998</v>
      </c>
      <c r="D217" s="21">
        <v>485633508.23000002</v>
      </c>
      <c r="E217" s="21">
        <v>498368123.49000001</v>
      </c>
      <c r="F217" s="21">
        <v>502109599.47000003</v>
      </c>
      <c r="G217" s="21">
        <v>502137604.38999999</v>
      </c>
      <c r="H217" s="21">
        <v>502451866.17000002</v>
      </c>
      <c r="I217" s="21">
        <v>502468064.82999998</v>
      </c>
      <c r="J217" s="134"/>
      <c r="K217" s="134"/>
      <c r="L217" s="134"/>
      <c r="M217" s="31">
        <f>$A$39</f>
        <v>20162</v>
      </c>
      <c r="N217" s="21"/>
      <c r="O217" s="21">
        <v>33801915.399999999</v>
      </c>
      <c r="P217" s="21">
        <v>41209262.079999998</v>
      </c>
      <c r="Q217" s="21">
        <v>43421596.259999998</v>
      </c>
      <c r="R217" s="21">
        <v>44296999.409999996</v>
      </c>
      <c r="S217" s="21">
        <v>44621553.469999999</v>
      </c>
      <c r="T217" s="21">
        <v>44626017.090000004</v>
      </c>
      <c r="U217" s="21">
        <v>44687342.43</v>
      </c>
      <c r="V217" s="134"/>
      <c r="W217" s="134"/>
      <c r="X217" s="134"/>
      <c r="Y217" s="31">
        <f>$A$39</f>
        <v>20162</v>
      </c>
      <c r="Z217" s="21"/>
      <c r="AA217" s="21">
        <v>48348563.270000003</v>
      </c>
      <c r="AB217" s="21">
        <v>51244435.920000002</v>
      </c>
      <c r="AC217" s="21">
        <v>52040901.149999999</v>
      </c>
      <c r="AD217" s="21">
        <v>51626936.689999998</v>
      </c>
      <c r="AE217" s="21">
        <v>51625058.450000003</v>
      </c>
      <c r="AF217" s="21">
        <v>51623000.219999999</v>
      </c>
      <c r="AG217" s="21">
        <v>51623014.619999997</v>
      </c>
      <c r="AH217" s="134"/>
      <c r="AI217" s="134"/>
      <c r="AJ217" s="134"/>
      <c r="AK217" s="31">
        <f>$A$39</f>
        <v>20162</v>
      </c>
      <c r="AL217" s="21"/>
      <c r="AM217" s="21"/>
      <c r="AN217" s="21"/>
      <c r="AO217" s="21"/>
      <c r="AP217" s="21"/>
      <c r="AQ217" s="21"/>
      <c r="AR217" s="21"/>
      <c r="AS217" s="21"/>
      <c r="AT217" s="134"/>
      <c r="AU217" s="134"/>
      <c r="AV217" s="134"/>
      <c r="AW217" s="31">
        <f>$A$39</f>
        <v>20162</v>
      </c>
      <c r="AX217" s="21"/>
      <c r="AY217" s="21"/>
      <c r="AZ217" s="21"/>
      <c r="BA217" s="21"/>
      <c r="BB217" s="21"/>
      <c r="BC217" s="21"/>
      <c r="BD217" s="21"/>
      <c r="BE217" s="21"/>
      <c r="BF217" s="134"/>
      <c r="BG217" s="134"/>
      <c r="BH217" s="134"/>
      <c r="BI217" s="31">
        <f>$A$39</f>
        <v>20162</v>
      </c>
      <c r="BJ217" s="21"/>
      <c r="BK217" s="21"/>
      <c r="BL217" s="21"/>
      <c r="BM217" s="21"/>
      <c r="BN217" s="21"/>
      <c r="BO217" s="21"/>
      <c r="BP217" s="21"/>
      <c r="BQ217" s="21"/>
      <c r="BR217" s="134"/>
      <c r="BS217" s="134"/>
      <c r="BT217" s="134"/>
      <c r="BU217" s="31">
        <f>$A$39</f>
        <v>20162</v>
      </c>
      <c r="BV217" s="21"/>
      <c r="BW217" s="21"/>
      <c r="BX217" s="21"/>
      <c r="BY217" s="21"/>
      <c r="BZ217" s="21"/>
      <c r="CA217" s="21"/>
      <c r="CB217" s="21"/>
      <c r="CC217" s="21"/>
      <c r="CD217" s="134"/>
      <c r="CE217" s="134"/>
      <c r="CF217" s="134"/>
      <c r="CG217" s="31">
        <f>$A$39</f>
        <v>20162</v>
      </c>
      <c r="CH217" s="21"/>
      <c r="CI217" s="21"/>
      <c r="CJ217" s="21"/>
      <c r="CK217" s="21"/>
      <c r="CL217" s="21"/>
      <c r="CM217" s="21"/>
      <c r="CN217" s="21"/>
      <c r="CO217" s="21"/>
      <c r="CP217" s="134"/>
      <c r="CQ217" s="134"/>
      <c r="CR217" s="134"/>
      <c r="CS217" s="31">
        <f>$A$39</f>
        <v>20162</v>
      </c>
      <c r="CT217" s="21"/>
      <c r="CU217" s="21"/>
      <c r="CV217" s="21"/>
      <c r="CW217" s="21"/>
      <c r="CX217" s="21"/>
      <c r="CY217" s="21"/>
      <c r="CZ217" s="21"/>
      <c r="DA217" s="21"/>
      <c r="DB217" s="134"/>
      <c r="DC217" s="134"/>
      <c r="DD217" s="134"/>
      <c r="DE217" s="31">
        <f>$A$39</f>
        <v>20162</v>
      </c>
      <c r="DF217" s="21"/>
      <c r="DG217" s="21"/>
      <c r="DH217" s="21"/>
      <c r="DI217" s="21"/>
      <c r="DJ217" s="21"/>
      <c r="DK217" s="21"/>
      <c r="DL217" s="21"/>
      <c r="DM217" s="21"/>
      <c r="DN217" s="134"/>
      <c r="DO217" s="134"/>
      <c r="DP217" s="134"/>
    </row>
    <row r="218" spans="1:120" ht="15" customHeight="1" x14ac:dyDescent="0.25">
      <c r="A218" s="31">
        <f>$A$40</f>
        <v>20172</v>
      </c>
      <c r="B218" s="21"/>
      <c r="C218" s="21">
        <v>485213102.24000001</v>
      </c>
      <c r="D218" s="21">
        <v>547494982.60000002</v>
      </c>
      <c r="E218" s="21">
        <v>561803323.63999999</v>
      </c>
      <c r="F218" s="21">
        <v>564232112.13</v>
      </c>
      <c r="G218" s="21">
        <v>564696636.33000004</v>
      </c>
      <c r="H218" s="21">
        <v>566375069.83000004</v>
      </c>
      <c r="I218" s="134"/>
      <c r="J218" s="134"/>
      <c r="K218" s="134"/>
      <c r="L218" s="134"/>
      <c r="M218" s="31">
        <f>$A$40</f>
        <v>20172</v>
      </c>
      <c r="N218" s="21"/>
      <c r="O218" s="21">
        <v>36847570.689999998</v>
      </c>
      <c r="P218" s="21">
        <v>42049072.289999999</v>
      </c>
      <c r="Q218" s="21">
        <v>43627743.920000002</v>
      </c>
      <c r="R218" s="21">
        <v>44791534.810000002</v>
      </c>
      <c r="S218" s="21">
        <v>45078279.490000002</v>
      </c>
      <c r="T218" s="21">
        <v>45154397.780000001</v>
      </c>
      <c r="U218" s="134"/>
      <c r="V218" s="134"/>
      <c r="W218" s="134"/>
      <c r="X218" s="134"/>
      <c r="Y218" s="31">
        <f>$A$40</f>
        <v>20172</v>
      </c>
      <c r="Z218" s="21"/>
      <c r="AA218" s="21">
        <v>50448596.450000003</v>
      </c>
      <c r="AB218" s="21">
        <v>54046993.689999998</v>
      </c>
      <c r="AC218" s="21">
        <v>55066321.859999999</v>
      </c>
      <c r="AD218" s="21">
        <v>55211403.159999996</v>
      </c>
      <c r="AE218" s="21">
        <v>55618013.329999998</v>
      </c>
      <c r="AF218" s="21">
        <v>55165136.090000004</v>
      </c>
      <c r="AG218" s="134"/>
      <c r="AH218" s="134"/>
      <c r="AI218" s="134"/>
      <c r="AJ218" s="134"/>
      <c r="AK218" s="31">
        <f>$A$40</f>
        <v>20172</v>
      </c>
      <c r="AL218" s="21"/>
      <c r="AM218" s="21"/>
      <c r="AN218" s="21"/>
      <c r="AO218" s="21"/>
      <c r="AP218" s="21"/>
      <c r="AQ218" s="21"/>
      <c r="AR218" s="21"/>
      <c r="AS218" s="134"/>
      <c r="AT218" s="134"/>
      <c r="AU218" s="134"/>
      <c r="AV218" s="134"/>
      <c r="AW218" s="31">
        <f>$A$40</f>
        <v>20172</v>
      </c>
      <c r="AX218" s="21"/>
      <c r="AY218" s="21"/>
      <c r="AZ218" s="21"/>
      <c r="BA218" s="21"/>
      <c r="BB218" s="21"/>
      <c r="BC218" s="21"/>
      <c r="BD218" s="21"/>
      <c r="BE218" s="134"/>
      <c r="BF218" s="134"/>
      <c r="BG218" s="134"/>
      <c r="BH218" s="134"/>
      <c r="BI218" s="31">
        <f>$A$40</f>
        <v>20172</v>
      </c>
      <c r="BJ218" s="21"/>
      <c r="BK218" s="21"/>
      <c r="BL218" s="21"/>
      <c r="BM218" s="21"/>
      <c r="BN218" s="21"/>
      <c r="BO218" s="21"/>
      <c r="BP218" s="21"/>
      <c r="BQ218" s="134"/>
      <c r="BR218" s="134"/>
      <c r="BS218" s="134"/>
      <c r="BT218" s="134"/>
      <c r="BU218" s="31">
        <f>$A$40</f>
        <v>20172</v>
      </c>
      <c r="BV218" s="21"/>
      <c r="BW218" s="21"/>
      <c r="BX218" s="21"/>
      <c r="BY218" s="21"/>
      <c r="BZ218" s="21"/>
      <c r="CA218" s="21"/>
      <c r="CB218" s="21"/>
      <c r="CC218" s="134"/>
      <c r="CD218" s="134"/>
      <c r="CE218" s="134"/>
      <c r="CF218" s="134"/>
      <c r="CG218" s="31">
        <f>$A$40</f>
        <v>20172</v>
      </c>
      <c r="CH218" s="21"/>
      <c r="CI218" s="21"/>
      <c r="CJ218" s="21"/>
      <c r="CK218" s="21"/>
      <c r="CL218" s="21"/>
      <c r="CM218" s="21"/>
      <c r="CN218" s="21"/>
      <c r="CO218" s="134"/>
      <c r="CP218" s="134"/>
      <c r="CQ218" s="134"/>
      <c r="CR218" s="134"/>
      <c r="CS218" s="31">
        <f>$A$40</f>
        <v>20172</v>
      </c>
      <c r="CT218" s="21"/>
      <c r="CU218" s="21"/>
      <c r="CV218" s="21"/>
      <c r="CW218" s="21"/>
      <c r="CX218" s="21"/>
      <c r="CY218" s="21"/>
      <c r="CZ218" s="21"/>
      <c r="DA218" s="134"/>
      <c r="DB218" s="134"/>
      <c r="DC218" s="134"/>
      <c r="DD218" s="134"/>
      <c r="DE218" s="31">
        <f>$A$40</f>
        <v>20172</v>
      </c>
      <c r="DF218" s="21"/>
      <c r="DG218" s="21"/>
      <c r="DH218" s="21"/>
      <c r="DI218" s="21"/>
      <c r="DJ218" s="21"/>
      <c r="DK218" s="21"/>
      <c r="DL218" s="21"/>
      <c r="DM218" s="134"/>
      <c r="DN218" s="134"/>
      <c r="DO218" s="134"/>
      <c r="DP218" s="134"/>
    </row>
    <row r="219" spans="1:120" ht="15" customHeight="1" x14ac:dyDescent="0.25">
      <c r="A219" s="31">
        <f>$A$41</f>
        <v>20182</v>
      </c>
      <c r="B219" s="21"/>
      <c r="C219" s="21">
        <v>425461070.82999998</v>
      </c>
      <c r="D219" s="21">
        <v>486382729.19</v>
      </c>
      <c r="E219" s="21">
        <v>499493581.10000002</v>
      </c>
      <c r="F219" s="21">
        <v>506362492.97000003</v>
      </c>
      <c r="G219" s="21">
        <v>510136449.76999998</v>
      </c>
      <c r="H219" s="134"/>
      <c r="I219" s="134"/>
      <c r="J219" s="134"/>
      <c r="K219" s="134"/>
      <c r="L219" s="134"/>
      <c r="M219" s="31">
        <f>$A$41</f>
        <v>20182</v>
      </c>
      <c r="N219" s="21"/>
      <c r="O219" s="21">
        <v>39328992.960000001</v>
      </c>
      <c r="P219" s="21">
        <v>47164398.960000001</v>
      </c>
      <c r="Q219" s="21">
        <v>48849736.210000001</v>
      </c>
      <c r="R219" s="21">
        <v>49746263.909999996</v>
      </c>
      <c r="S219" s="21">
        <v>49681610.969999999</v>
      </c>
      <c r="T219" s="134"/>
      <c r="U219" s="134"/>
      <c r="V219" s="134"/>
      <c r="W219" s="134"/>
      <c r="X219" s="134"/>
      <c r="Y219" s="31">
        <f>$A$41</f>
        <v>20182</v>
      </c>
      <c r="Z219" s="21"/>
      <c r="AA219" s="21">
        <v>45563391.170000002</v>
      </c>
      <c r="AB219" s="21">
        <v>50214459.670000002</v>
      </c>
      <c r="AC219" s="21">
        <v>50308170.439999998</v>
      </c>
      <c r="AD219" s="21">
        <v>50327038.140000001</v>
      </c>
      <c r="AE219" s="21">
        <v>50647498.350000001</v>
      </c>
      <c r="AF219" s="134"/>
      <c r="AG219" s="134"/>
      <c r="AH219" s="134"/>
      <c r="AI219" s="134"/>
      <c r="AJ219" s="134"/>
      <c r="AK219" s="31">
        <f>$A$41</f>
        <v>20182</v>
      </c>
      <c r="AL219" s="21"/>
      <c r="AM219" s="21"/>
      <c r="AN219" s="21"/>
      <c r="AO219" s="21"/>
      <c r="AP219" s="21"/>
      <c r="AQ219" s="21"/>
      <c r="AR219" s="134"/>
      <c r="AS219" s="134"/>
      <c r="AT219" s="134"/>
      <c r="AU219" s="134"/>
      <c r="AV219" s="134"/>
      <c r="AW219" s="31">
        <f>$A$41</f>
        <v>20182</v>
      </c>
      <c r="AX219" s="21"/>
      <c r="AY219" s="21"/>
      <c r="AZ219" s="21"/>
      <c r="BA219" s="21"/>
      <c r="BB219" s="21"/>
      <c r="BC219" s="21"/>
      <c r="BD219" s="134"/>
      <c r="BE219" s="134"/>
      <c r="BF219" s="134"/>
      <c r="BG219" s="134"/>
      <c r="BH219" s="134"/>
      <c r="BI219" s="31">
        <f>$A$41</f>
        <v>20182</v>
      </c>
      <c r="BJ219" s="21"/>
      <c r="BK219" s="21"/>
      <c r="BL219" s="21"/>
      <c r="BM219" s="21"/>
      <c r="BN219" s="21"/>
      <c r="BO219" s="21"/>
      <c r="BP219" s="134"/>
      <c r="BQ219" s="134"/>
      <c r="BR219" s="134"/>
      <c r="BS219" s="134"/>
      <c r="BT219" s="134"/>
      <c r="BU219" s="31">
        <f>$A$41</f>
        <v>20182</v>
      </c>
      <c r="BV219" s="21"/>
      <c r="BW219" s="21"/>
      <c r="BX219" s="21"/>
      <c r="BY219" s="21"/>
      <c r="BZ219" s="21"/>
      <c r="CA219" s="21"/>
      <c r="CB219" s="134"/>
      <c r="CC219" s="134"/>
      <c r="CD219" s="134"/>
      <c r="CE219" s="134"/>
      <c r="CF219" s="134"/>
      <c r="CG219" s="31">
        <f>$A$41</f>
        <v>20182</v>
      </c>
      <c r="CH219" s="21"/>
      <c r="CI219" s="21"/>
      <c r="CJ219" s="21"/>
      <c r="CK219" s="21"/>
      <c r="CL219" s="21"/>
      <c r="CM219" s="21"/>
      <c r="CN219" s="134"/>
      <c r="CO219" s="134"/>
      <c r="CP219" s="134"/>
      <c r="CQ219" s="134"/>
      <c r="CR219" s="134"/>
      <c r="CS219" s="31">
        <f>$A$41</f>
        <v>20182</v>
      </c>
      <c r="CT219" s="21"/>
      <c r="CU219" s="21"/>
      <c r="CV219" s="21"/>
      <c r="CW219" s="21"/>
      <c r="CX219" s="21"/>
      <c r="CY219" s="21"/>
      <c r="CZ219" s="134"/>
      <c r="DA219" s="134"/>
      <c r="DB219" s="134"/>
      <c r="DC219" s="134"/>
      <c r="DD219" s="134"/>
      <c r="DE219" s="31">
        <f>$A$41</f>
        <v>20182</v>
      </c>
      <c r="DF219" s="21"/>
      <c r="DG219" s="21"/>
      <c r="DH219" s="21"/>
      <c r="DI219" s="21"/>
      <c r="DJ219" s="21"/>
      <c r="DK219" s="21"/>
      <c r="DL219" s="134"/>
      <c r="DM219" s="134"/>
      <c r="DN219" s="134"/>
      <c r="DO219" s="134"/>
      <c r="DP219" s="134"/>
    </row>
    <row r="220" spans="1:120" ht="15" customHeight="1" x14ac:dyDescent="0.25">
      <c r="A220" s="31">
        <f>$A$42</f>
        <v>20192</v>
      </c>
      <c r="B220" s="21"/>
      <c r="C220" s="21">
        <v>498314223.62</v>
      </c>
      <c r="D220" s="21">
        <v>594094319.40999997</v>
      </c>
      <c r="E220" s="21">
        <v>610856176.42999995</v>
      </c>
      <c r="F220" s="21">
        <v>619128506.28999996</v>
      </c>
      <c r="G220" s="134"/>
      <c r="H220" s="134"/>
      <c r="I220" s="134"/>
      <c r="J220" s="134"/>
      <c r="K220" s="134"/>
      <c r="L220" s="134"/>
      <c r="M220" s="31">
        <f>$A$42</f>
        <v>20192</v>
      </c>
      <c r="N220" s="21"/>
      <c r="O220" s="21">
        <v>38224807.990000002</v>
      </c>
      <c r="P220" s="21">
        <v>45177123.43</v>
      </c>
      <c r="Q220" s="21">
        <v>46569589.850000001</v>
      </c>
      <c r="R220" s="21">
        <v>47144267.130000003</v>
      </c>
      <c r="S220" s="134"/>
      <c r="T220" s="134"/>
      <c r="U220" s="134"/>
      <c r="V220" s="134"/>
      <c r="W220" s="134"/>
      <c r="X220" s="134"/>
      <c r="Y220" s="31">
        <f>$A$42</f>
        <v>20192</v>
      </c>
      <c r="Z220" s="21"/>
      <c r="AA220" s="21">
        <v>48708045.240000002</v>
      </c>
      <c r="AB220" s="21">
        <v>55456088.82</v>
      </c>
      <c r="AC220" s="21">
        <v>55703963.359999999</v>
      </c>
      <c r="AD220" s="21">
        <v>55817172.600000001</v>
      </c>
      <c r="AE220" s="134"/>
      <c r="AF220" s="134"/>
      <c r="AG220" s="134"/>
      <c r="AH220" s="134"/>
      <c r="AI220" s="134"/>
      <c r="AJ220" s="134"/>
      <c r="AK220" s="31">
        <f>$A$42</f>
        <v>20192</v>
      </c>
      <c r="AL220" s="21"/>
      <c r="AM220" s="21"/>
      <c r="AN220" s="21"/>
      <c r="AO220" s="21"/>
      <c r="AP220" s="21"/>
      <c r="AQ220" s="134"/>
      <c r="AR220" s="134"/>
      <c r="AS220" s="134"/>
      <c r="AT220" s="134"/>
      <c r="AU220" s="134"/>
      <c r="AV220" s="134"/>
      <c r="AW220" s="31">
        <f>$A$42</f>
        <v>20192</v>
      </c>
      <c r="AX220" s="21"/>
      <c r="AY220" s="21"/>
      <c r="AZ220" s="21"/>
      <c r="BA220" s="21"/>
      <c r="BB220" s="21"/>
      <c r="BC220" s="134"/>
      <c r="BD220" s="134"/>
      <c r="BE220" s="134"/>
      <c r="BF220" s="134"/>
      <c r="BG220" s="134"/>
      <c r="BH220" s="134"/>
      <c r="BI220" s="31">
        <f>$A$42</f>
        <v>20192</v>
      </c>
      <c r="BJ220" s="21"/>
      <c r="BK220" s="21"/>
      <c r="BL220" s="21"/>
      <c r="BM220" s="21"/>
      <c r="BN220" s="21"/>
      <c r="BO220" s="134"/>
      <c r="BP220" s="134"/>
      <c r="BQ220" s="134"/>
      <c r="BR220" s="134"/>
      <c r="BS220" s="134"/>
      <c r="BT220" s="134"/>
      <c r="BU220" s="31">
        <f>$A$42</f>
        <v>20192</v>
      </c>
      <c r="BV220" s="21"/>
      <c r="BW220" s="21"/>
      <c r="BX220" s="21"/>
      <c r="BY220" s="21"/>
      <c r="BZ220" s="21"/>
      <c r="CA220" s="134"/>
      <c r="CB220" s="134"/>
      <c r="CC220" s="134"/>
      <c r="CD220" s="134"/>
      <c r="CE220" s="134"/>
      <c r="CF220" s="134"/>
      <c r="CG220" s="31">
        <f>$A$42</f>
        <v>20192</v>
      </c>
      <c r="CH220" s="21"/>
      <c r="CI220" s="21"/>
      <c r="CJ220" s="21"/>
      <c r="CK220" s="21"/>
      <c r="CL220" s="21"/>
      <c r="CM220" s="134"/>
      <c r="CN220" s="134"/>
      <c r="CO220" s="134"/>
      <c r="CP220" s="134"/>
      <c r="CQ220" s="134"/>
      <c r="CR220" s="134"/>
      <c r="CS220" s="31">
        <f>$A$42</f>
        <v>20192</v>
      </c>
      <c r="CT220" s="21"/>
      <c r="CU220" s="21"/>
      <c r="CV220" s="21"/>
      <c r="CW220" s="21"/>
      <c r="CX220" s="21"/>
      <c r="CY220" s="134"/>
      <c r="CZ220" s="134"/>
      <c r="DA220" s="134"/>
      <c r="DB220" s="134"/>
      <c r="DC220" s="134"/>
      <c r="DD220" s="134"/>
      <c r="DE220" s="31">
        <f>$A$42</f>
        <v>20192</v>
      </c>
      <c r="DF220" s="21"/>
      <c r="DG220" s="21"/>
      <c r="DH220" s="21"/>
      <c r="DI220" s="21"/>
      <c r="DJ220" s="21"/>
      <c r="DK220" s="134"/>
      <c r="DL220" s="134"/>
      <c r="DM220" s="134"/>
      <c r="DN220" s="134"/>
      <c r="DO220" s="134"/>
      <c r="DP220" s="134"/>
    </row>
    <row r="221" spans="1:120" ht="15" customHeight="1" x14ac:dyDescent="0.25">
      <c r="A221" s="31">
        <f>$A$43</f>
        <v>20202</v>
      </c>
      <c r="B221" s="21"/>
      <c r="C221" s="21">
        <v>487825542.05000001</v>
      </c>
      <c r="D221" s="21">
        <v>567407675.40999997</v>
      </c>
      <c r="E221" s="21">
        <v>587858106.98000002</v>
      </c>
      <c r="F221" s="134"/>
      <c r="G221" s="134"/>
      <c r="H221" s="134"/>
      <c r="I221" s="134"/>
      <c r="J221" s="134"/>
      <c r="K221" s="134"/>
      <c r="L221" s="134"/>
      <c r="M221" s="31">
        <f>$A$43</f>
        <v>20202</v>
      </c>
      <c r="N221" s="21"/>
      <c r="O221" s="21">
        <v>35057340.880000003</v>
      </c>
      <c r="P221" s="21">
        <v>39343938.140000001</v>
      </c>
      <c r="Q221" s="21">
        <v>41410783.25</v>
      </c>
      <c r="R221" s="134"/>
      <c r="S221" s="134"/>
      <c r="T221" s="134"/>
      <c r="U221" s="134"/>
      <c r="V221" s="134"/>
      <c r="W221" s="134"/>
      <c r="X221" s="134"/>
      <c r="Y221" s="31">
        <f>$A$43</f>
        <v>20202</v>
      </c>
      <c r="Z221" s="21"/>
      <c r="AA221" s="21">
        <v>53159633.07</v>
      </c>
      <c r="AB221" s="21">
        <v>56650494.140000001</v>
      </c>
      <c r="AC221" s="21">
        <v>58501041</v>
      </c>
      <c r="AD221" s="134"/>
      <c r="AE221" s="134"/>
      <c r="AF221" s="134"/>
      <c r="AG221" s="134"/>
      <c r="AH221" s="134"/>
      <c r="AI221" s="134"/>
      <c r="AJ221" s="134"/>
      <c r="AK221" s="31">
        <f>$A$43</f>
        <v>20202</v>
      </c>
      <c r="AL221" s="21"/>
      <c r="AM221" s="21"/>
      <c r="AN221" s="21"/>
      <c r="AO221" s="21"/>
      <c r="AP221" s="134"/>
      <c r="AQ221" s="134"/>
      <c r="AR221" s="134"/>
      <c r="AS221" s="134"/>
      <c r="AT221" s="134"/>
      <c r="AU221" s="134"/>
      <c r="AV221" s="134"/>
      <c r="AW221" s="31">
        <f>$A$43</f>
        <v>20202</v>
      </c>
      <c r="AX221" s="21"/>
      <c r="AY221" s="21"/>
      <c r="AZ221" s="21"/>
      <c r="BA221" s="21"/>
      <c r="BB221" s="134"/>
      <c r="BC221" s="134"/>
      <c r="BD221" s="134"/>
      <c r="BE221" s="134"/>
      <c r="BF221" s="134"/>
      <c r="BG221" s="134"/>
      <c r="BH221" s="134"/>
      <c r="BI221" s="31">
        <f>$A$43</f>
        <v>20202</v>
      </c>
      <c r="BJ221" s="21"/>
      <c r="BK221" s="21"/>
      <c r="BL221" s="21"/>
      <c r="BM221" s="21"/>
      <c r="BN221" s="134"/>
      <c r="BO221" s="134"/>
      <c r="BP221" s="134"/>
      <c r="BQ221" s="134"/>
      <c r="BR221" s="134"/>
      <c r="BS221" s="134"/>
      <c r="BT221" s="134"/>
      <c r="BU221" s="31">
        <f>$A$43</f>
        <v>20202</v>
      </c>
      <c r="BV221" s="21"/>
      <c r="BW221" s="21"/>
      <c r="BX221" s="21"/>
      <c r="BY221" s="21"/>
      <c r="BZ221" s="134"/>
      <c r="CA221" s="134"/>
      <c r="CB221" s="134"/>
      <c r="CC221" s="134"/>
      <c r="CD221" s="134"/>
      <c r="CE221" s="134"/>
      <c r="CF221" s="134"/>
      <c r="CG221" s="31">
        <f>$A$43</f>
        <v>20202</v>
      </c>
      <c r="CH221" s="21"/>
      <c r="CI221" s="21"/>
      <c r="CJ221" s="21"/>
      <c r="CK221" s="21"/>
      <c r="CL221" s="134"/>
      <c r="CM221" s="134"/>
      <c r="CN221" s="134"/>
      <c r="CO221" s="134"/>
      <c r="CP221" s="134"/>
      <c r="CQ221" s="134"/>
      <c r="CR221" s="134"/>
      <c r="CS221" s="31">
        <f>$A$43</f>
        <v>20202</v>
      </c>
      <c r="CT221" s="21"/>
      <c r="CU221" s="21"/>
      <c r="CV221" s="21"/>
      <c r="CW221" s="21"/>
      <c r="CX221" s="134"/>
      <c r="CY221" s="134"/>
      <c r="CZ221" s="134"/>
      <c r="DA221" s="134"/>
      <c r="DB221" s="134"/>
      <c r="DC221" s="134"/>
      <c r="DD221" s="134"/>
      <c r="DE221" s="31">
        <f>$A$43</f>
        <v>20202</v>
      </c>
      <c r="DF221" s="21"/>
      <c r="DG221" s="21"/>
      <c r="DH221" s="21"/>
      <c r="DI221" s="21"/>
      <c r="DJ221" s="134"/>
      <c r="DK221" s="134"/>
      <c r="DL221" s="134"/>
      <c r="DM221" s="134"/>
      <c r="DN221" s="134"/>
      <c r="DO221" s="134"/>
      <c r="DP221" s="134"/>
    </row>
    <row r="222" spans="1:120" ht="15" customHeight="1" x14ac:dyDescent="0.25">
      <c r="A222" s="31">
        <f>$A$44</f>
        <v>20212</v>
      </c>
      <c r="B222" s="21"/>
      <c r="C222" s="21">
        <v>591216125.22000003</v>
      </c>
      <c r="D222" s="21">
        <v>713698784.75</v>
      </c>
      <c r="E222" s="134"/>
      <c r="F222" s="134"/>
      <c r="G222" s="134"/>
      <c r="H222" s="134"/>
      <c r="I222" s="134"/>
      <c r="J222" s="134"/>
      <c r="K222" s="134"/>
      <c r="L222" s="134"/>
      <c r="M222" s="31">
        <f>$A$44</f>
        <v>20212</v>
      </c>
      <c r="N222" s="21"/>
      <c r="O222" s="21">
        <v>34603746.780000001</v>
      </c>
      <c r="P222" s="21">
        <v>41567736.729999997</v>
      </c>
      <c r="Q222" s="134"/>
      <c r="R222" s="134"/>
      <c r="S222" s="134"/>
      <c r="T222" s="134"/>
      <c r="U222" s="134"/>
      <c r="V222" s="134"/>
      <c r="W222" s="134"/>
      <c r="X222" s="134"/>
      <c r="Y222" s="31">
        <f>$A$44</f>
        <v>20212</v>
      </c>
      <c r="Z222" s="21"/>
      <c r="AA222" s="21">
        <v>54048867.119999997</v>
      </c>
      <c r="AB222" s="21">
        <v>61539372.07</v>
      </c>
      <c r="AC222" s="134"/>
      <c r="AD222" s="134"/>
      <c r="AE222" s="134"/>
      <c r="AF222" s="134"/>
      <c r="AG222" s="134"/>
      <c r="AH222" s="134"/>
      <c r="AI222" s="134"/>
      <c r="AJ222" s="134"/>
      <c r="AK222" s="31">
        <f>$A$44</f>
        <v>20212</v>
      </c>
      <c r="AL222" s="21"/>
      <c r="AM222" s="21"/>
      <c r="AN222" s="21"/>
      <c r="AO222" s="134"/>
      <c r="AP222" s="134"/>
      <c r="AQ222" s="134"/>
      <c r="AR222" s="134"/>
      <c r="AS222" s="134"/>
      <c r="AT222" s="134"/>
      <c r="AU222" s="134"/>
      <c r="AV222" s="134"/>
      <c r="AW222" s="31">
        <f>$A$44</f>
        <v>20212</v>
      </c>
      <c r="AX222" s="21"/>
      <c r="AY222" s="21"/>
      <c r="AZ222" s="21"/>
      <c r="BA222" s="134"/>
      <c r="BB222" s="134"/>
      <c r="BC222" s="134"/>
      <c r="BD222" s="134"/>
      <c r="BE222" s="134"/>
      <c r="BF222" s="134"/>
      <c r="BG222" s="134"/>
      <c r="BH222" s="134"/>
      <c r="BI222" s="31">
        <f>$A$44</f>
        <v>20212</v>
      </c>
      <c r="BJ222" s="21"/>
      <c r="BK222" s="21"/>
      <c r="BL222" s="21"/>
      <c r="BM222" s="134"/>
      <c r="BN222" s="134"/>
      <c r="BO222" s="134"/>
      <c r="BP222" s="134"/>
      <c r="BQ222" s="134"/>
      <c r="BR222" s="134"/>
      <c r="BS222" s="134"/>
      <c r="BT222" s="134"/>
      <c r="BU222" s="31">
        <f>$A$44</f>
        <v>20212</v>
      </c>
      <c r="BV222" s="21"/>
      <c r="BW222" s="21"/>
      <c r="BX222" s="21"/>
      <c r="BY222" s="134"/>
      <c r="BZ222" s="134"/>
      <c r="CA222" s="134"/>
      <c r="CB222" s="134"/>
      <c r="CC222" s="134"/>
      <c r="CD222" s="134"/>
      <c r="CE222" s="134"/>
      <c r="CF222" s="134"/>
      <c r="CG222" s="31">
        <f>$A$44</f>
        <v>20212</v>
      </c>
      <c r="CH222" s="21"/>
      <c r="CI222" s="21"/>
      <c r="CJ222" s="21"/>
      <c r="CK222" s="134"/>
      <c r="CL222" s="134"/>
      <c r="CM222" s="134"/>
      <c r="CN222" s="134"/>
      <c r="CO222" s="134"/>
      <c r="CP222" s="134"/>
      <c r="CQ222" s="134"/>
      <c r="CR222" s="134"/>
      <c r="CS222" s="31">
        <f>$A$44</f>
        <v>20212</v>
      </c>
      <c r="CT222" s="21"/>
      <c r="CU222" s="21"/>
      <c r="CV222" s="21"/>
      <c r="CW222" s="134"/>
      <c r="CX222" s="134"/>
      <c r="CY222" s="134"/>
      <c r="CZ222" s="134"/>
      <c r="DA222" s="134"/>
      <c r="DB222" s="134"/>
      <c r="DC222" s="134"/>
      <c r="DD222" s="134"/>
      <c r="DE222" s="31">
        <f>$A$44</f>
        <v>20212</v>
      </c>
      <c r="DF222" s="21"/>
      <c r="DG222" s="21"/>
      <c r="DH222" s="21"/>
      <c r="DI222" s="134"/>
      <c r="DJ222" s="134"/>
      <c r="DK222" s="134"/>
      <c r="DL222" s="134"/>
      <c r="DM222" s="134"/>
      <c r="DN222" s="134"/>
      <c r="DO222" s="134"/>
      <c r="DP222" s="134"/>
    </row>
    <row r="223" spans="1:120" ht="15" customHeight="1" x14ac:dyDescent="0.25">
      <c r="A223" s="31">
        <f>$A$45</f>
        <v>20222</v>
      </c>
      <c r="B223" s="21"/>
      <c r="C223" s="21">
        <v>790929424.91999996</v>
      </c>
      <c r="D223" s="134"/>
      <c r="E223" s="134"/>
      <c r="F223" s="134"/>
      <c r="G223" s="134"/>
      <c r="H223" s="134"/>
      <c r="I223" s="134"/>
      <c r="J223" s="134"/>
      <c r="K223" s="134"/>
      <c r="L223" s="134"/>
      <c r="M223" s="31">
        <f>$A$45</f>
        <v>20222</v>
      </c>
      <c r="N223" s="21"/>
      <c r="O223" s="21">
        <v>41112306.979999997</v>
      </c>
      <c r="P223" s="134"/>
      <c r="Q223" s="134"/>
      <c r="R223" s="134"/>
      <c r="S223" s="134"/>
      <c r="T223" s="134"/>
      <c r="U223" s="134"/>
      <c r="V223" s="134"/>
      <c r="W223" s="134"/>
      <c r="X223" s="134"/>
      <c r="Y223" s="31">
        <f>$A$45</f>
        <v>20222</v>
      </c>
      <c r="Z223" s="21"/>
      <c r="AA223" s="21">
        <v>61817673.869999997</v>
      </c>
      <c r="AB223" s="134"/>
      <c r="AC223" s="134"/>
      <c r="AD223" s="134"/>
      <c r="AE223" s="134"/>
      <c r="AF223" s="134"/>
      <c r="AG223" s="134"/>
      <c r="AH223" s="134"/>
      <c r="AI223" s="134"/>
      <c r="AJ223" s="134"/>
      <c r="AK223" s="31">
        <f>$A$45</f>
        <v>20222</v>
      </c>
      <c r="AL223" s="21"/>
      <c r="AM223" s="21"/>
      <c r="AN223" s="134"/>
      <c r="AO223" s="134"/>
      <c r="AP223" s="134"/>
      <c r="AQ223" s="134"/>
      <c r="AR223" s="134"/>
      <c r="AS223" s="134"/>
      <c r="AT223" s="134"/>
      <c r="AU223" s="134"/>
      <c r="AV223" s="134"/>
      <c r="AW223" s="31">
        <f>$A$45</f>
        <v>20222</v>
      </c>
      <c r="AX223" s="21"/>
      <c r="AY223" s="21"/>
      <c r="AZ223" s="134"/>
      <c r="BA223" s="134"/>
      <c r="BB223" s="134"/>
      <c r="BC223" s="134"/>
      <c r="BD223" s="134"/>
      <c r="BE223" s="134"/>
      <c r="BF223" s="134"/>
      <c r="BG223" s="134"/>
      <c r="BH223" s="134"/>
      <c r="BI223" s="31">
        <f>$A$45</f>
        <v>20222</v>
      </c>
      <c r="BJ223" s="21"/>
      <c r="BK223" s="21"/>
      <c r="BL223" s="134"/>
      <c r="BM223" s="134"/>
      <c r="BN223" s="134"/>
      <c r="BO223" s="134"/>
      <c r="BP223" s="134"/>
      <c r="BQ223" s="134"/>
      <c r="BR223" s="134"/>
      <c r="BS223" s="134"/>
      <c r="BT223" s="134"/>
      <c r="BU223" s="31">
        <f>$A$45</f>
        <v>20222</v>
      </c>
      <c r="BV223" s="21"/>
      <c r="BW223" s="21"/>
      <c r="BX223" s="134"/>
      <c r="BY223" s="134"/>
      <c r="BZ223" s="134"/>
      <c r="CA223" s="134"/>
      <c r="CB223" s="134"/>
      <c r="CC223" s="134"/>
      <c r="CD223" s="134"/>
      <c r="CE223" s="134"/>
      <c r="CF223" s="134"/>
      <c r="CG223" s="31">
        <f>$A$45</f>
        <v>20222</v>
      </c>
      <c r="CH223" s="21"/>
      <c r="CI223" s="21"/>
      <c r="CJ223" s="134"/>
      <c r="CK223" s="134"/>
      <c r="CL223" s="134"/>
      <c r="CM223" s="134"/>
      <c r="CN223" s="134"/>
      <c r="CO223" s="134"/>
      <c r="CP223" s="134"/>
      <c r="CQ223" s="134"/>
      <c r="CR223" s="134"/>
      <c r="CS223" s="31">
        <f>$A$45</f>
        <v>20222</v>
      </c>
      <c r="CT223" s="21"/>
      <c r="CU223" s="21"/>
      <c r="CV223" s="134"/>
      <c r="CW223" s="134"/>
      <c r="CX223" s="134"/>
      <c r="CY223" s="134"/>
      <c r="CZ223" s="134"/>
      <c r="DA223" s="134"/>
      <c r="DB223" s="134"/>
      <c r="DC223" s="134"/>
      <c r="DD223" s="134"/>
      <c r="DE223" s="31">
        <f>$A$45</f>
        <v>20222</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Data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Data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Data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Data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Data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Data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Data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Data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Data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20132</v>
      </c>
      <c r="B227" s="105"/>
      <c r="C227" s="90">
        <f>IFERROR(D214/C214,"")</f>
        <v>1.0964975335083058</v>
      </c>
      <c r="D227" s="90">
        <f t="shared" ref="D227:K227" si="401">IFERROR(E214/D214,"")</f>
        <v>1.0116241818051763</v>
      </c>
      <c r="E227" s="90">
        <f t="shared" si="401"/>
        <v>1.0033742600019604</v>
      </c>
      <c r="F227" s="90">
        <f t="shared" si="401"/>
        <v>0.99845991487837416</v>
      </c>
      <c r="G227" s="90">
        <f t="shared" si="401"/>
        <v>1.0005721949482609</v>
      </c>
      <c r="H227" s="90">
        <f t="shared" si="401"/>
        <v>1.0018617400341989</v>
      </c>
      <c r="I227" s="90">
        <f t="shared" si="401"/>
        <v>1.0000607838826581</v>
      </c>
      <c r="J227" s="90">
        <f t="shared" si="401"/>
        <v>0.99988172658747121</v>
      </c>
      <c r="K227" s="90">
        <f t="shared" si="401"/>
        <v>0.99983302257122741</v>
      </c>
      <c r="L227" s="22"/>
      <c r="M227" s="91">
        <f>$A$36</f>
        <v>20132</v>
      </c>
      <c r="N227" s="105"/>
      <c r="O227" s="90">
        <f>IFERROR(P214/O214,"")</f>
        <v>1.0643824217333089</v>
      </c>
      <c r="P227" s="90">
        <f t="shared" ref="P227:W227" si="402">IFERROR(Q214/P214,"")</f>
        <v>1.0366485165643025</v>
      </c>
      <c r="Q227" s="90">
        <f t="shared" si="402"/>
        <v>1.0077124193761284</v>
      </c>
      <c r="R227" s="90">
        <f t="shared" si="402"/>
        <v>0.99765637115960948</v>
      </c>
      <c r="S227" s="90">
        <f t="shared" si="402"/>
        <v>1.0009264158019107</v>
      </c>
      <c r="T227" s="90">
        <f t="shared" si="402"/>
        <v>1.0017396917323849</v>
      </c>
      <c r="U227" s="90">
        <f t="shared" si="402"/>
        <v>1.0008244135757411</v>
      </c>
      <c r="V227" s="90">
        <f t="shared" si="402"/>
        <v>1.0003194974559861</v>
      </c>
      <c r="W227" s="90">
        <f t="shared" si="402"/>
        <v>0.99999900720006829</v>
      </c>
      <c r="X227" s="22"/>
      <c r="Y227" s="91">
        <f>$A$36</f>
        <v>20132</v>
      </c>
      <c r="Z227" s="105"/>
      <c r="AA227" s="90">
        <f>IFERROR(AB214/AA214,"")</f>
        <v>1.0294896981215358</v>
      </c>
      <c r="AB227" s="90">
        <f t="shared" ref="AB227:AI227" si="403">IFERROR(AC214/AB214,"")</f>
        <v>0.9954053762258106</v>
      </c>
      <c r="AC227" s="90">
        <f t="shared" si="403"/>
        <v>0.97681932862798071</v>
      </c>
      <c r="AD227" s="90">
        <f t="shared" si="403"/>
        <v>1.0031656934495603</v>
      </c>
      <c r="AE227" s="90">
        <f t="shared" si="403"/>
        <v>1.0033817794076467</v>
      </c>
      <c r="AF227" s="90">
        <f t="shared" si="403"/>
        <v>1.0048852532688122</v>
      </c>
      <c r="AG227" s="90">
        <f t="shared" si="403"/>
        <v>0.99720999007478228</v>
      </c>
      <c r="AH227" s="90">
        <f t="shared" si="403"/>
        <v>1</v>
      </c>
      <c r="AI227" s="90">
        <f t="shared" si="403"/>
        <v>1</v>
      </c>
      <c r="AJ227" s="22"/>
      <c r="AK227" s="91">
        <f>$A$36</f>
        <v>20132</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20132</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20132</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20132</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20132</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20132</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20132</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20142</v>
      </c>
      <c r="B228" s="105"/>
      <c r="C228" s="90">
        <f t="shared" ref="C228:J235" si="411">IFERROR(D215/C215,"")</f>
        <v>1.0682922135213031</v>
      </c>
      <c r="D228" s="90">
        <f t="shared" si="411"/>
        <v>1.0229705153258715</v>
      </c>
      <c r="E228" s="90">
        <f t="shared" si="411"/>
        <v>1.0090268167710181</v>
      </c>
      <c r="F228" s="90">
        <f t="shared" si="411"/>
        <v>1.0024928101102792</v>
      </c>
      <c r="G228" s="90">
        <f t="shared" si="411"/>
        <v>1.003705596341389</v>
      </c>
      <c r="H228" s="90">
        <f t="shared" si="411"/>
        <v>0.99833238146386172</v>
      </c>
      <c r="I228" s="90">
        <f t="shared" si="411"/>
        <v>1.0004712254427579</v>
      </c>
      <c r="J228" s="90">
        <f t="shared" si="411"/>
        <v>0.99921895854713161</v>
      </c>
      <c r="K228" s="22"/>
      <c r="L228" s="22"/>
      <c r="M228" s="91">
        <f>$A$37</f>
        <v>20142</v>
      </c>
      <c r="N228" s="105"/>
      <c r="O228" s="90">
        <f t="shared" ref="O228:V235" si="412">IFERROR(P215/O215,"")</f>
        <v>1.0992896680182236</v>
      </c>
      <c r="P228" s="90">
        <f t="shared" si="412"/>
        <v>1.0312708499094203</v>
      </c>
      <c r="Q228" s="90">
        <f t="shared" si="412"/>
        <v>1.0274937920274876</v>
      </c>
      <c r="R228" s="90">
        <f t="shared" si="412"/>
        <v>1.0024110443644108</v>
      </c>
      <c r="S228" s="90">
        <f t="shared" si="412"/>
        <v>1.0009036793282919</v>
      </c>
      <c r="T228" s="90">
        <f t="shared" si="412"/>
        <v>1.0005924846477749</v>
      </c>
      <c r="U228" s="90">
        <f t="shared" si="412"/>
        <v>1.0001295584232406</v>
      </c>
      <c r="V228" s="90">
        <f t="shared" si="412"/>
        <v>1.0038862492008982</v>
      </c>
      <c r="W228" s="22"/>
      <c r="X228" s="22"/>
      <c r="Y228" s="91">
        <f>$A$37</f>
        <v>20142</v>
      </c>
      <c r="Z228" s="105"/>
      <c r="AA228" s="90">
        <f t="shared" ref="AA228:AH235" si="413">IFERROR(AB215/AA215,"")</f>
        <v>1.0076769432642805</v>
      </c>
      <c r="AB228" s="90">
        <f t="shared" si="413"/>
        <v>0.9938831914039179</v>
      </c>
      <c r="AC228" s="90">
        <f t="shared" si="413"/>
        <v>1.0079565197687486</v>
      </c>
      <c r="AD228" s="90">
        <f t="shared" si="413"/>
        <v>1.0001822990341178</v>
      </c>
      <c r="AE228" s="90">
        <f t="shared" si="413"/>
        <v>1.002229239827874</v>
      </c>
      <c r="AF228" s="90">
        <f t="shared" si="413"/>
        <v>0.99697950620629006</v>
      </c>
      <c r="AG228" s="90">
        <f t="shared" si="413"/>
        <v>1.0014442619871635</v>
      </c>
      <c r="AH228" s="90">
        <f t="shared" si="413"/>
        <v>0.99834942956284645</v>
      </c>
      <c r="AI228" s="22"/>
      <c r="AJ228" s="22"/>
      <c r="AK228" s="91">
        <f>$A$37</f>
        <v>20142</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20142</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20142</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20142</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20142</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20142</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20142</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20152</v>
      </c>
      <c r="B229" s="105"/>
      <c r="C229" s="90">
        <f t="shared" si="411"/>
        <v>1.0866045489842693</v>
      </c>
      <c r="D229" s="90">
        <f t="shared" si="411"/>
        <v>1.0192000976464033</v>
      </c>
      <c r="E229" s="90">
        <f t="shared" si="411"/>
        <v>1.0096494638594262</v>
      </c>
      <c r="F229" s="90">
        <f t="shared" si="411"/>
        <v>1.0026493034539798</v>
      </c>
      <c r="G229" s="90">
        <f t="shared" si="411"/>
        <v>1.0033126760282207</v>
      </c>
      <c r="H229" s="90">
        <f t="shared" si="411"/>
        <v>1.0002345615203301</v>
      </c>
      <c r="I229" s="90">
        <f t="shared" si="411"/>
        <v>1.0011768435076329</v>
      </c>
      <c r="J229" s="22"/>
      <c r="K229" s="22"/>
      <c r="L229" s="22"/>
      <c r="M229" s="91">
        <f>$A$38</f>
        <v>20152</v>
      </c>
      <c r="N229" s="105"/>
      <c r="O229" s="90">
        <f t="shared" si="412"/>
        <v>1.1096870384326813</v>
      </c>
      <c r="P229" s="90">
        <f t="shared" si="412"/>
        <v>1.0530568610895104</v>
      </c>
      <c r="Q229" s="90">
        <f t="shared" si="412"/>
        <v>1.0128686434513392</v>
      </c>
      <c r="R229" s="90">
        <f t="shared" si="412"/>
        <v>1.005936249886763</v>
      </c>
      <c r="S229" s="90">
        <f t="shared" si="412"/>
        <v>0.99797983918251409</v>
      </c>
      <c r="T229" s="90">
        <f t="shared" si="412"/>
        <v>1.0006436370755314</v>
      </c>
      <c r="U229" s="90">
        <f t="shared" si="412"/>
        <v>0.99948636979959371</v>
      </c>
      <c r="V229" s="22"/>
      <c r="W229" s="22"/>
      <c r="X229" s="22"/>
      <c r="Y229" s="91">
        <f>$A$38</f>
        <v>20152</v>
      </c>
      <c r="Z229" s="105"/>
      <c r="AA229" s="90">
        <f t="shared" si="413"/>
        <v>1.0219037145049117</v>
      </c>
      <c r="AB229" s="90">
        <f t="shared" si="413"/>
        <v>1.0072463338644269</v>
      </c>
      <c r="AC229" s="90">
        <f t="shared" si="413"/>
        <v>0.9937043980606266</v>
      </c>
      <c r="AD229" s="90">
        <f t="shared" si="413"/>
        <v>0.99648818920391746</v>
      </c>
      <c r="AE229" s="90">
        <f t="shared" si="413"/>
        <v>1.0038265144397047</v>
      </c>
      <c r="AF229" s="90">
        <f t="shared" si="413"/>
        <v>0.9990188413847364</v>
      </c>
      <c r="AG229" s="90">
        <f t="shared" si="413"/>
        <v>1.0002165755920591</v>
      </c>
      <c r="AH229" s="22"/>
      <c r="AI229" s="22"/>
      <c r="AJ229" s="22"/>
      <c r="AK229" s="91">
        <f>$A$38</f>
        <v>20152</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20152</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20152</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20152</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20152</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20152</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20152</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20162</v>
      </c>
      <c r="B230" s="105"/>
      <c r="C230" s="90">
        <f t="shared" si="411"/>
        <v>1.1092133897199963</v>
      </c>
      <c r="D230" s="90">
        <f t="shared" si="411"/>
        <v>1.02622268654075</v>
      </c>
      <c r="E230" s="90">
        <f t="shared" si="411"/>
        <v>1.0075074544370917</v>
      </c>
      <c r="F230" s="90">
        <f t="shared" si="411"/>
        <v>1.0000557745162202</v>
      </c>
      <c r="G230" s="90">
        <f t="shared" si="411"/>
        <v>1.0006258479294372</v>
      </c>
      <c r="H230" s="90">
        <f t="shared" si="411"/>
        <v>1.0000322392274577</v>
      </c>
      <c r="I230" s="22"/>
      <c r="J230" s="22"/>
      <c r="K230" s="22"/>
      <c r="L230" s="22"/>
      <c r="M230" s="91">
        <f>$A$39</f>
        <v>20162</v>
      </c>
      <c r="N230" s="105"/>
      <c r="O230" s="90">
        <f t="shared" si="412"/>
        <v>1.2191398502819755</v>
      </c>
      <c r="P230" s="90">
        <f t="shared" si="412"/>
        <v>1.0536853626668969</v>
      </c>
      <c r="Q230" s="90">
        <f t="shared" si="412"/>
        <v>1.0201605474095945</v>
      </c>
      <c r="R230" s="90">
        <f t="shared" si="412"/>
        <v>1.0073267730167461</v>
      </c>
      <c r="S230" s="90">
        <f t="shared" si="412"/>
        <v>1.0001000328238909</v>
      </c>
      <c r="T230" s="90">
        <f t="shared" si="412"/>
        <v>1.0013742059901138</v>
      </c>
      <c r="U230" s="22"/>
      <c r="V230" s="22"/>
      <c r="W230" s="22"/>
      <c r="X230" s="22"/>
      <c r="Y230" s="91">
        <f>$A$39</f>
        <v>20162</v>
      </c>
      <c r="Z230" s="105"/>
      <c r="AA230" s="90">
        <f t="shared" si="413"/>
        <v>1.0598957332781151</v>
      </c>
      <c r="AB230" s="90">
        <f t="shared" si="413"/>
        <v>1.0155424723816533</v>
      </c>
      <c r="AC230" s="90">
        <f t="shared" si="413"/>
        <v>0.99204540177337031</v>
      </c>
      <c r="AD230" s="90">
        <f t="shared" si="413"/>
        <v>0.99996361899193686</v>
      </c>
      <c r="AE230" s="90">
        <f t="shared" si="413"/>
        <v>0.99996013118315408</v>
      </c>
      <c r="AF230" s="90">
        <f t="shared" si="413"/>
        <v>1.0000002789454301</v>
      </c>
      <c r="AG230" s="22"/>
      <c r="AH230" s="22"/>
      <c r="AI230" s="22"/>
      <c r="AJ230" s="22"/>
      <c r="AK230" s="91">
        <f>$A$39</f>
        <v>20162</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20162</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20162</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20162</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20162</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20162</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20162</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20172</v>
      </c>
      <c r="B231" s="105"/>
      <c r="C231" s="90">
        <f t="shared" si="411"/>
        <v>1.1283598486365556</v>
      </c>
      <c r="D231" s="90">
        <f t="shared" si="411"/>
        <v>1.0261341957364634</v>
      </c>
      <c r="E231" s="90">
        <f t="shared" si="411"/>
        <v>1.0043232006430001</v>
      </c>
      <c r="F231" s="90">
        <f t="shared" si="411"/>
        <v>1.0008232856478985</v>
      </c>
      <c r="G231" s="90">
        <f t="shared" si="411"/>
        <v>1.0029722746551286</v>
      </c>
      <c r="H231" s="22"/>
      <c r="I231" s="22"/>
      <c r="J231" s="22"/>
      <c r="K231" s="22"/>
      <c r="L231" s="22"/>
      <c r="M231" s="91">
        <f>$A$40</f>
        <v>20172</v>
      </c>
      <c r="N231" s="105"/>
      <c r="O231" s="90">
        <f t="shared" si="412"/>
        <v>1.1411626737556304</v>
      </c>
      <c r="P231" s="90">
        <f t="shared" si="412"/>
        <v>1.0375435543289129</v>
      </c>
      <c r="Q231" s="90">
        <f t="shared" si="412"/>
        <v>1.0266754772406761</v>
      </c>
      <c r="R231" s="90">
        <f t="shared" si="412"/>
        <v>1.006401760538377</v>
      </c>
      <c r="S231" s="90">
        <f t="shared" si="412"/>
        <v>1.0016885801956326</v>
      </c>
      <c r="T231" s="22"/>
      <c r="U231" s="22"/>
      <c r="V231" s="22"/>
      <c r="W231" s="22"/>
      <c r="X231" s="22"/>
      <c r="Y231" s="91">
        <f>$A$40</f>
        <v>20172</v>
      </c>
      <c r="Z231" s="105"/>
      <c r="AA231" s="90">
        <f t="shared" si="413"/>
        <v>1.0713279950923194</v>
      </c>
      <c r="AB231" s="90">
        <f t="shared" si="413"/>
        <v>1.0188600345811389</v>
      </c>
      <c r="AC231" s="90">
        <f t="shared" si="413"/>
        <v>1.0026346648023605</v>
      </c>
      <c r="AD231" s="90">
        <f t="shared" si="413"/>
        <v>1.0073646048955081</v>
      </c>
      <c r="AE231" s="90">
        <f t="shared" si="413"/>
        <v>0.99185736395665691</v>
      </c>
      <c r="AF231" s="22"/>
      <c r="AG231" s="22"/>
      <c r="AH231" s="22"/>
      <c r="AI231" s="22"/>
      <c r="AJ231" s="22"/>
      <c r="AK231" s="91">
        <f>$A$40</f>
        <v>20172</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20172</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20172</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20172</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20172</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20172</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20172</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20182</v>
      </c>
      <c r="B232" s="105"/>
      <c r="C232" s="90">
        <f t="shared" si="411"/>
        <v>1.1431897358814815</v>
      </c>
      <c r="D232" s="90">
        <f t="shared" si="411"/>
        <v>1.0269558335918594</v>
      </c>
      <c r="E232" s="90">
        <f t="shared" si="411"/>
        <v>1.0137517520342765</v>
      </c>
      <c r="F232" s="90">
        <f t="shared" si="411"/>
        <v>1.0074530733464564</v>
      </c>
      <c r="G232" s="22"/>
      <c r="H232" s="22"/>
      <c r="I232" s="22"/>
      <c r="J232" s="22"/>
      <c r="K232" s="22"/>
      <c r="L232" s="22"/>
      <c r="M232" s="91">
        <f>$A$41</f>
        <v>20182</v>
      </c>
      <c r="N232" s="105"/>
      <c r="O232" s="90">
        <f t="shared" si="412"/>
        <v>1.1992272217081452</v>
      </c>
      <c r="P232" s="90">
        <f t="shared" si="412"/>
        <v>1.0357332498062644</v>
      </c>
      <c r="Q232" s="90">
        <f t="shared" si="412"/>
        <v>1.0183527644068724</v>
      </c>
      <c r="R232" s="90">
        <f t="shared" si="412"/>
        <v>0.99870034581658296</v>
      </c>
      <c r="S232" s="22"/>
      <c r="T232" s="22"/>
      <c r="U232" s="22"/>
      <c r="V232" s="22"/>
      <c r="W232" s="22"/>
      <c r="X232" s="22"/>
      <c r="Y232" s="91">
        <f>$A$41</f>
        <v>20182</v>
      </c>
      <c r="Z232" s="105"/>
      <c r="AA232" s="90">
        <f t="shared" si="413"/>
        <v>1.1020790678781252</v>
      </c>
      <c r="AB232" s="90">
        <f t="shared" si="413"/>
        <v>1.0018662108606933</v>
      </c>
      <c r="AC232" s="90">
        <f t="shared" si="413"/>
        <v>1.0003750424600018</v>
      </c>
      <c r="AD232" s="90">
        <f t="shared" si="413"/>
        <v>1.0063675555296647</v>
      </c>
      <c r="AE232" s="22"/>
      <c r="AF232" s="22"/>
      <c r="AG232" s="22"/>
      <c r="AH232" s="22"/>
      <c r="AI232" s="22"/>
      <c r="AJ232" s="22"/>
      <c r="AK232" s="91">
        <f>$A$41</f>
        <v>20182</v>
      </c>
      <c r="AL232" s="105"/>
      <c r="AM232" s="90" t="str">
        <f t="shared" si="414"/>
        <v/>
      </c>
      <c r="AN232" s="90" t="str">
        <f t="shared" si="414"/>
        <v/>
      </c>
      <c r="AO232" s="90" t="str">
        <f t="shared" si="414"/>
        <v/>
      </c>
      <c r="AP232" s="90" t="str">
        <f t="shared" si="414"/>
        <v/>
      </c>
      <c r="AQ232" s="22"/>
      <c r="AR232" s="22"/>
      <c r="AS232" s="22"/>
      <c r="AT232" s="22"/>
      <c r="AU232" s="22"/>
      <c r="AV232" s="22"/>
      <c r="AW232" s="91">
        <f>$A$41</f>
        <v>20182</v>
      </c>
      <c r="AX232" s="105"/>
      <c r="AY232" s="90" t="str">
        <f t="shared" si="415"/>
        <v/>
      </c>
      <c r="AZ232" s="90" t="str">
        <f t="shared" si="415"/>
        <v/>
      </c>
      <c r="BA232" s="90" t="str">
        <f t="shared" si="415"/>
        <v/>
      </c>
      <c r="BB232" s="90" t="str">
        <f t="shared" si="415"/>
        <v/>
      </c>
      <c r="BC232" s="22"/>
      <c r="BD232" s="22"/>
      <c r="BE232" s="22"/>
      <c r="BF232" s="22"/>
      <c r="BG232" s="22"/>
      <c r="BH232" s="22"/>
      <c r="BI232" s="91">
        <f>$A$41</f>
        <v>20182</v>
      </c>
      <c r="BJ232" s="105"/>
      <c r="BK232" s="90" t="str">
        <f t="shared" si="416"/>
        <v/>
      </c>
      <c r="BL232" s="90" t="str">
        <f t="shared" si="416"/>
        <v/>
      </c>
      <c r="BM232" s="90" t="str">
        <f t="shared" si="416"/>
        <v/>
      </c>
      <c r="BN232" s="90" t="str">
        <f t="shared" si="416"/>
        <v/>
      </c>
      <c r="BO232" s="22"/>
      <c r="BP232" s="22"/>
      <c r="BQ232" s="22"/>
      <c r="BR232" s="22"/>
      <c r="BS232" s="22"/>
      <c r="BT232" s="22"/>
      <c r="BU232" s="91">
        <f>$A$41</f>
        <v>20182</v>
      </c>
      <c r="BV232" s="105"/>
      <c r="BW232" s="90" t="str">
        <f t="shared" si="417"/>
        <v/>
      </c>
      <c r="BX232" s="90" t="str">
        <f t="shared" si="417"/>
        <v/>
      </c>
      <c r="BY232" s="90" t="str">
        <f t="shared" si="417"/>
        <v/>
      </c>
      <c r="BZ232" s="90" t="str">
        <f t="shared" si="417"/>
        <v/>
      </c>
      <c r="CA232" s="22"/>
      <c r="CB232" s="22"/>
      <c r="CC232" s="22"/>
      <c r="CD232" s="22"/>
      <c r="CE232" s="22"/>
      <c r="CF232" s="22"/>
      <c r="CG232" s="91">
        <f>$A$41</f>
        <v>20182</v>
      </c>
      <c r="CH232" s="105"/>
      <c r="CI232" s="90" t="str">
        <f t="shared" si="418"/>
        <v/>
      </c>
      <c r="CJ232" s="90" t="str">
        <f t="shared" si="418"/>
        <v/>
      </c>
      <c r="CK232" s="90" t="str">
        <f t="shared" si="418"/>
        <v/>
      </c>
      <c r="CL232" s="90" t="str">
        <f t="shared" si="418"/>
        <v/>
      </c>
      <c r="CM232" s="22"/>
      <c r="CN232" s="22"/>
      <c r="CO232" s="22"/>
      <c r="CP232" s="22"/>
      <c r="CQ232" s="22"/>
      <c r="CR232" s="22"/>
      <c r="CS232" s="91">
        <f>$A$41</f>
        <v>20182</v>
      </c>
      <c r="CT232" s="105"/>
      <c r="CU232" s="90" t="str">
        <f t="shared" si="419"/>
        <v/>
      </c>
      <c r="CV232" s="90" t="str">
        <f t="shared" si="419"/>
        <v/>
      </c>
      <c r="CW232" s="90" t="str">
        <f t="shared" si="419"/>
        <v/>
      </c>
      <c r="CX232" s="90" t="str">
        <f t="shared" si="419"/>
        <v/>
      </c>
      <c r="CY232" s="22"/>
      <c r="CZ232" s="22"/>
      <c r="DA232" s="22"/>
      <c r="DB232" s="22"/>
      <c r="DC232" s="22"/>
      <c r="DD232" s="22"/>
      <c r="DE232" s="91">
        <f>$A$41</f>
        <v>20182</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20192</v>
      </c>
      <c r="B233" s="105"/>
      <c r="C233" s="90">
        <f t="shared" si="411"/>
        <v>1.1922082317743334</v>
      </c>
      <c r="D233" s="90">
        <f t="shared" si="411"/>
        <v>1.0282141344772431</v>
      </c>
      <c r="E233" s="90">
        <f t="shared" si="411"/>
        <v>1.013542189109629</v>
      </c>
      <c r="F233" s="22"/>
      <c r="G233" s="22"/>
      <c r="H233" s="22"/>
      <c r="I233" s="22"/>
      <c r="J233" s="22"/>
      <c r="K233" s="22"/>
      <c r="L233" s="22"/>
      <c r="M233" s="91">
        <f>$A$42</f>
        <v>20192</v>
      </c>
      <c r="N233" s="105"/>
      <c r="O233" s="90">
        <f t="shared" si="412"/>
        <v>1.1818796693973923</v>
      </c>
      <c r="P233" s="90">
        <f t="shared" si="412"/>
        <v>1.0308223789891706</v>
      </c>
      <c r="Q233" s="90">
        <f t="shared" si="412"/>
        <v>1.0123401834083363</v>
      </c>
      <c r="R233" s="22"/>
      <c r="S233" s="22"/>
      <c r="T233" s="22"/>
      <c r="U233" s="22"/>
      <c r="V233" s="22"/>
      <c r="W233" s="22"/>
      <c r="X233" s="22"/>
      <c r="Y233" s="91">
        <f>$A$42</f>
        <v>20192</v>
      </c>
      <c r="Z233" s="105"/>
      <c r="AA233" s="90">
        <f t="shared" si="413"/>
        <v>1.1385406362901702</v>
      </c>
      <c r="AB233" s="90">
        <f t="shared" si="413"/>
        <v>1.0044697443558372</v>
      </c>
      <c r="AC233" s="90">
        <f t="shared" si="413"/>
        <v>1.0020323372552211</v>
      </c>
      <c r="AD233" s="22"/>
      <c r="AE233" s="22"/>
      <c r="AF233" s="22"/>
      <c r="AG233" s="22"/>
      <c r="AH233" s="22"/>
      <c r="AI233" s="22"/>
      <c r="AJ233" s="22"/>
      <c r="AK233" s="91">
        <f>$A$42</f>
        <v>20192</v>
      </c>
      <c r="AL233" s="105"/>
      <c r="AM233" s="90" t="str">
        <f t="shared" si="414"/>
        <v/>
      </c>
      <c r="AN233" s="90" t="str">
        <f t="shared" si="414"/>
        <v/>
      </c>
      <c r="AO233" s="90" t="str">
        <f t="shared" si="414"/>
        <v/>
      </c>
      <c r="AP233" s="22"/>
      <c r="AQ233" s="22"/>
      <c r="AR233" s="22"/>
      <c r="AS233" s="22"/>
      <c r="AT233" s="22"/>
      <c r="AU233" s="22"/>
      <c r="AV233" s="22"/>
      <c r="AW233" s="91">
        <f>$A$42</f>
        <v>20192</v>
      </c>
      <c r="AX233" s="105"/>
      <c r="AY233" s="90" t="str">
        <f t="shared" si="415"/>
        <v/>
      </c>
      <c r="AZ233" s="90" t="str">
        <f t="shared" si="415"/>
        <v/>
      </c>
      <c r="BA233" s="90" t="str">
        <f t="shared" si="415"/>
        <v/>
      </c>
      <c r="BB233" s="22"/>
      <c r="BC233" s="22"/>
      <c r="BD233" s="22"/>
      <c r="BE233" s="22"/>
      <c r="BF233" s="22"/>
      <c r="BG233" s="22"/>
      <c r="BH233" s="22"/>
      <c r="BI233" s="91">
        <f>$A$42</f>
        <v>20192</v>
      </c>
      <c r="BJ233" s="105"/>
      <c r="BK233" s="90" t="str">
        <f t="shared" si="416"/>
        <v/>
      </c>
      <c r="BL233" s="90" t="str">
        <f t="shared" si="416"/>
        <v/>
      </c>
      <c r="BM233" s="90" t="str">
        <f t="shared" si="416"/>
        <v/>
      </c>
      <c r="BN233" s="22"/>
      <c r="BO233" s="22"/>
      <c r="BP233" s="22"/>
      <c r="BQ233" s="22"/>
      <c r="BR233" s="22"/>
      <c r="BS233" s="22"/>
      <c r="BT233" s="22"/>
      <c r="BU233" s="91">
        <f>$A$42</f>
        <v>20192</v>
      </c>
      <c r="BV233" s="105"/>
      <c r="BW233" s="90" t="str">
        <f t="shared" si="417"/>
        <v/>
      </c>
      <c r="BX233" s="90" t="str">
        <f t="shared" si="417"/>
        <v/>
      </c>
      <c r="BY233" s="90" t="str">
        <f t="shared" si="417"/>
        <v/>
      </c>
      <c r="BZ233" s="22"/>
      <c r="CA233" s="22"/>
      <c r="CB233" s="22"/>
      <c r="CC233" s="22"/>
      <c r="CD233" s="22"/>
      <c r="CE233" s="22"/>
      <c r="CF233" s="22"/>
      <c r="CG233" s="91">
        <f>$A$42</f>
        <v>20192</v>
      </c>
      <c r="CH233" s="105"/>
      <c r="CI233" s="90" t="str">
        <f t="shared" si="418"/>
        <v/>
      </c>
      <c r="CJ233" s="90" t="str">
        <f t="shared" si="418"/>
        <v/>
      </c>
      <c r="CK233" s="90" t="str">
        <f t="shared" si="418"/>
        <v/>
      </c>
      <c r="CL233" s="22"/>
      <c r="CM233" s="22"/>
      <c r="CN233" s="22"/>
      <c r="CO233" s="22"/>
      <c r="CP233" s="22"/>
      <c r="CQ233" s="22"/>
      <c r="CR233" s="22"/>
      <c r="CS233" s="91">
        <f>$A$42</f>
        <v>20192</v>
      </c>
      <c r="CT233" s="105"/>
      <c r="CU233" s="90" t="str">
        <f t="shared" si="419"/>
        <v/>
      </c>
      <c r="CV233" s="90" t="str">
        <f t="shared" si="419"/>
        <v/>
      </c>
      <c r="CW233" s="90" t="str">
        <f t="shared" si="419"/>
        <v/>
      </c>
      <c r="CX233" s="22"/>
      <c r="CY233" s="22"/>
      <c r="CZ233" s="22"/>
      <c r="DA233" s="22"/>
      <c r="DB233" s="22"/>
      <c r="DC233" s="22"/>
      <c r="DD233" s="22"/>
      <c r="DE233" s="91">
        <f>$A$42</f>
        <v>20192</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20202</v>
      </c>
      <c r="B234" s="105"/>
      <c r="C234" s="90">
        <f t="shared" si="411"/>
        <v>1.163136462731267</v>
      </c>
      <c r="D234" s="90">
        <f t="shared" si="411"/>
        <v>1.0360418662916797</v>
      </c>
      <c r="E234" s="22"/>
      <c r="F234" s="22"/>
      <c r="G234" s="22"/>
      <c r="H234" s="22"/>
      <c r="I234" s="22"/>
      <c r="J234" s="22"/>
      <c r="K234" s="22"/>
      <c r="L234" s="22"/>
      <c r="M234" s="91">
        <f>$A$43</f>
        <v>20202</v>
      </c>
      <c r="N234" s="105"/>
      <c r="O234" s="90">
        <f t="shared" si="412"/>
        <v>1.1222738847955658</v>
      </c>
      <c r="P234" s="90">
        <f t="shared" si="412"/>
        <v>1.0525327460267302</v>
      </c>
      <c r="Q234" s="22"/>
      <c r="R234" s="22"/>
      <c r="S234" s="22"/>
      <c r="T234" s="22"/>
      <c r="U234" s="22"/>
      <c r="V234" s="22"/>
      <c r="W234" s="22"/>
      <c r="X234" s="22"/>
      <c r="Y234" s="91">
        <f>$A$43</f>
        <v>20202</v>
      </c>
      <c r="Z234" s="105"/>
      <c r="AA234" s="90">
        <f t="shared" si="413"/>
        <v>1.0656675162788138</v>
      </c>
      <c r="AB234" s="90">
        <f t="shared" si="413"/>
        <v>1.0326660320989745</v>
      </c>
      <c r="AC234" s="22"/>
      <c r="AD234" s="22"/>
      <c r="AE234" s="22"/>
      <c r="AF234" s="22"/>
      <c r="AG234" s="22"/>
      <c r="AH234" s="22"/>
      <c r="AI234" s="22"/>
      <c r="AJ234" s="22"/>
      <c r="AK234" s="91">
        <f>$A$43</f>
        <v>20202</v>
      </c>
      <c r="AL234" s="105"/>
      <c r="AM234" s="90" t="str">
        <f t="shared" si="414"/>
        <v/>
      </c>
      <c r="AN234" s="90" t="str">
        <f t="shared" si="414"/>
        <v/>
      </c>
      <c r="AO234" s="22"/>
      <c r="AP234" s="22"/>
      <c r="AQ234" s="22"/>
      <c r="AR234" s="22"/>
      <c r="AS234" s="22"/>
      <c r="AT234" s="22"/>
      <c r="AU234" s="22"/>
      <c r="AV234" s="22"/>
      <c r="AW234" s="91">
        <f>$A$43</f>
        <v>20202</v>
      </c>
      <c r="AX234" s="105"/>
      <c r="AY234" s="90" t="str">
        <f t="shared" si="415"/>
        <v/>
      </c>
      <c r="AZ234" s="90" t="str">
        <f t="shared" si="415"/>
        <v/>
      </c>
      <c r="BA234" s="22"/>
      <c r="BB234" s="22"/>
      <c r="BC234" s="22"/>
      <c r="BD234" s="22"/>
      <c r="BE234" s="22"/>
      <c r="BF234" s="22"/>
      <c r="BG234" s="22"/>
      <c r="BH234" s="22"/>
      <c r="BI234" s="91">
        <f>$A$43</f>
        <v>20202</v>
      </c>
      <c r="BJ234" s="105"/>
      <c r="BK234" s="90" t="str">
        <f t="shared" si="416"/>
        <v/>
      </c>
      <c r="BL234" s="90" t="str">
        <f t="shared" si="416"/>
        <v/>
      </c>
      <c r="BM234" s="22"/>
      <c r="BN234" s="22"/>
      <c r="BO234" s="22"/>
      <c r="BP234" s="22"/>
      <c r="BQ234" s="22"/>
      <c r="BR234" s="22"/>
      <c r="BS234" s="22"/>
      <c r="BT234" s="22"/>
      <c r="BU234" s="91">
        <f>$A$43</f>
        <v>20202</v>
      </c>
      <c r="BV234" s="105"/>
      <c r="BW234" s="90" t="str">
        <f t="shared" si="417"/>
        <v/>
      </c>
      <c r="BX234" s="90" t="str">
        <f t="shared" si="417"/>
        <v/>
      </c>
      <c r="BY234" s="22"/>
      <c r="BZ234" s="22"/>
      <c r="CA234" s="22"/>
      <c r="CB234" s="22"/>
      <c r="CC234" s="22"/>
      <c r="CD234" s="22"/>
      <c r="CE234" s="22"/>
      <c r="CF234" s="22"/>
      <c r="CG234" s="91">
        <f>$A$43</f>
        <v>20202</v>
      </c>
      <c r="CH234" s="105"/>
      <c r="CI234" s="90" t="str">
        <f t="shared" si="418"/>
        <v/>
      </c>
      <c r="CJ234" s="90" t="str">
        <f t="shared" si="418"/>
        <v/>
      </c>
      <c r="CK234" s="22"/>
      <c r="CL234" s="22"/>
      <c r="CM234" s="22"/>
      <c r="CN234" s="22"/>
      <c r="CO234" s="22"/>
      <c r="CP234" s="22"/>
      <c r="CQ234" s="22"/>
      <c r="CR234" s="22"/>
      <c r="CS234" s="91">
        <f>$A$43</f>
        <v>20202</v>
      </c>
      <c r="CT234" s="105"/>
      <c r="CU234" s="90" t="str">
        <f t="shared" si="419"/>
        <v/>
      </c>
      <c r="CV234" s="90" t="str">
        <f t="shared" si="419"/>
        <v/>
      </c>
      <c r="CW234" s="22"/>
      <c r="CX234" s="22"/>
      <c r="CY234" s="22"/>
      <c r="CZ234" s="22"/>
      <c r="DA234" s="22"/>
      <c r="DB234" s="22"/>
      <c r="DC234" s="22"/>
      <c r="DD234" s="22"/>
      <c r="DE234" s="91">
        <f>$A$43</f>
        <v>20202</v>
      </c>
      <c r="DF234" s="105"/>
      <c r="DG234" s="90" t="str">
        <f t="shared" si="420"/>
        <v/>
      </c>
      <c r="DH234" s="90" t="str">
        <f t="shared" si="420"/>
        <v/>
      </c>
      <c r="DI234" s="22"/>
      <c r="DJ234" s="22"/>
      <c r="DK234" s="22"/>
      <c r="DL234" s="22"/>
      <c r="DM234" s="22"/>
      <c r="DN234" s="22"/>
      <c r="DO234" s="22"/>
      <c r="DP234" s="22"/>
    </row>
    <row r="235" spans="1:120" x14ac:dyDescent="0.25">
      <c r="A235" s="91">
        <f>$A$44</f>
        <v>20212</v>
      </c>
      <c r="B235" s="105"/>
      <c r="C235" s="90">
        <f t="shared" si="411"/>
        <v>1.2071707017199884</v>
      </c>
      <c r="D235" s="22"/>
      <c r="E235" s="22"/>
      <c r="F235" s="22"/>
      <c r="G235" s="22"/>
      <c r="H235" s="22"/>
      <c r="I235" s="22"/>
      <c r="J235" s="22"/>
      <c r="K235" s="22"/>
      <c r="L235" s="22"/>
      <c r="M235" s="91">
        <f>$A$44</f>
        <v>20212</v>
      </c>
      <c r="N235" s="105"/>
      <c r="O235" s="90">
        <f t="shared" si="412"/>
        <v>1.2012495928338311</v>
      </c>
      <c r="P235" s="22"/>
      <c r="Q235" s="22"/>
      <c r="R235" s="22"/>
      <c r="S235" s="22"/>
      <c r="T235" s="22"/>
      <c r="U235" s="22"/>
      <c r="V235" s="22"/>
      <c r="W235" s="22"/>
      <c r="X235" s="22"/>
      <c r="Y235" s="91">
        <f>$A$44</f>
        <v>20212</v>
      </c>
      <c r="Z235" s="105"/>
      <c r="AA235" s="90">
        <f t="shared" si="413"/>
        <v>1.1385876402065835</v>
      </c>
      <c r="AB235" s="22"/>
      <c r="AC235" s="22"/>
      <c r="AD235" s="22"/>
      <c r="AE235" s="22"/>
      <c r="AF235" s="22"/>
      <c r="AG235" s="22"/>
      <c r="AH235" s="22"/>
      <c r="AI235" s="22"/>
      <c r="AJ235" s="22"/>
      <c r="AK235" s="91">
        <f>$A$44</f>
        <v>20212</v>
      </c>
      <c r="AL235" s="105"/>
      <c r="AM235" s="90" t="str">
        <f t="shared" si="414"/>
        <v/>
      </c>
      <c r="AN235" s="22"/>
      <c r="AO235" s="22"/>
      <c r="AP235" s="22"/>
      <c r="AQ235" s="22"/>
      <c r="AR235" s="22"/>
      <c r="AS235" s="22"/>
      <c r="AT235" s="22"/>
      <c r="AU235" s="22"/>
      <c r="AV235" s="22"/>
      <c r="AW235" s="91">
        <f>$A$44</f>
        <v>20212</v>
      </c>
      <c r="AX235" s="105"/>
      <c r="AY235" s="90" t="str">
        <f t="shared" si="415"/>
        <v/>
      </c>
      <c r="AZ235" s="22"/>
      <c r="BA235" s="22"/>
      <c r="BB235" s="22"/>
      <c r="BC235" s="22"/>
      <c r="BD235" s="22"/>
      <c r="BE235" s="22"/>
      <c r="BF235" s="22"/>
      <c r="BG235" s="22"/>
      <c r="BH235" s="22"/>
      <c r="BI235" s="91">
        <f>$A$44</f>
        <v>20212</v>
      </c>
      <c r="BJ235" s="105"/>
      <c r="BK235" s="90" t="str">
        <f t="shared" si="416"/>
        <v/>
      </c>
      <c r="BL235" s="22"/>
      <c r="BM235" s="22"/>
      <c r="BN235" s="22"/>
      <c r="BO235" s="22"/>
      <c r="BP235" s="22"/>
      <c r="BQ235" s="22"/>
      <c r="BR235" s="22"/>
      <c r="BS235" s="22"/>
      <c r="BT235" s="22"/>
      <c r="BU235" s="91">
        <f>$A$44</f>
        <v>20212</v>
      </c>
      <c r="BV235" s="105"/>
      <c r="BW235" s="90" t="str">
        <f t="shared" si="417"/>
        <v/>
      </c>
      <c r="BX235" s="22"/>
      <c r="BY235" s="22"/>
      <c r="BZ235" s="22"/>
      <c r="CA235" s="22"/>
      <c r="CB235" s="22"/>
      <c r="CC235" s="22"/>
      <c r="CD235" s="22"/>
      <c r="CE235" s="22"/>
      <c r="CF235" s="22"/>
      <c r="CG235" s="91">
        <f>$A$44</f>
        <v>20212</v>
      </c>
      <c r="CH235" s="105"/>
      <c r="CI235" s="90" t="str">
        <f t="shared" si="418"/>
        <v/>
      </c>
      <c r="CJ235" s="22"/>
      <c r="CK235" s="22"/>
      <c r="CL235" s="22"/>
      <c r="CM235" s="22"/>
      <c r="CN235" s="22"/>
      <c r="CO235" s="22"/>
      <c r="CP235" s="22"/>
      <c r="CQ235" s="22"/>
      <c r="CR235" s="22"/>
      <c r="CS235" s="91">
        <f>$A$44</f>
        <v>20212</v>
      </c>
      <c r="CT235" s="105"/>
      <c r="CU235" s="90" t="str">
        <f t="shared" si="419"/>
        <v/>
      </c>
      <c r="CV235" s="22"/>
      <c r="CW235" s="22"/>
      <c r="CX235" s="22"/>
      <c r="CY235" s="22"/>
      <c r="CZ235" s="22"/>
      <c r="DA235" s="22"/>
      <c r="DB235" s="22"/>
      <c r="DC235" s="22"/>
      <c r="DD235" s="22"/>
      <c r="DE235" s="91">
        <f>$A$44</f>
        <v>20212</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1.1888254200590997</v>
      </c>
      <c r="D237" s="93">
        <f>IFERROR(SUM(E219:E221)/SUM(D219:D221),1)</f>
        <v>1.0305380223305565</v>
      </c>
      <c r="E237" s="93">
        <f>IFERROR(SUM(F218:F220)/SUM(E218:E220),1)</f>
        <v>1.0105074292646139</v>
      </c>
      <c r="F237" s="93">
        <f>IFERROR(SUM(G217:G219)/SUM(F217:F219),1)</f>
        <v>1.0027128343064144</v>
      </c>
      <c r="G237" s="93">
        <f>IFERROR(SUM(H216:H218)/SUM(G216:G218),1)</f>
        <v>1.0022859659296504</v>
      </c>
      <c r="H237" s="93">
        <f>IFERROR(SUM(I215:I217)/SUM(H215:H217),1)</f>
        <v>0.99958024398820777</v>
      </c>
      <c r="I237" s="93">
        <f>IFERROR(SUM(J214:J216)/SUM(I214:I216),1)</f>
        <v>1.0005787318934416</v>
      </c>
      <c r="J237" s="93">
        <f>IFERROR(SUM(K214:K215)/SUM(J214:J215),1)</f>
        <v>0.99955368560549751</v>
      </c>
      <c r="K237" s="93">
        <f>IFERROR(SUM(L214:L214)/SUM(K214:K214),1)</f>
        <v>0.99983302257122741</v>
      </c>
      <c r="L237" s="93">
        <v>1</v>
      </c>
      <c r="M237" s="285" t="s">
        <v>37</v>
      </c>
      <c r="N237" s="107"/>
      <c r="O237" s="93">
        <f>IFERROR(SUM(P220:P222)/SUM(O220:O222),1)</f>
        <v>1.1687236551203435</v>
      </c>
      <c r="P237" s="93">
        <f>IFERROR(SUM(Q219:Q221)/SUM(P219:P221),1)</f>
        <v>1.0390677054193691</v>
      </c>
      <c r="Q237" s="93">
        <f>IFERROR(SUM(R218:R220)/SUM(Q218:Q220),1)</f>
        <v>1.0189503875944961</v>
      </c>
      <c r="R237" s="93">
        <f>IFERROR(SUM(S217:S219)/SUM(R217:R219),1)</f>
        <v>1.0039373831875216</v>
      </c>
      <c r="S237" s="93">
        <f>IFERROR(SUM(T216:T218)/SUM(S216:S218),1)</f>
        <v>0.99999840151205188</v>
      </c>
      <c r="T237" s="93">
        <f>IFERROR(SUM(U215:U217)/SUM(T215:T217),1)</f>
        <v>1.0008924415447495</v>
      </c>
      <c r="U237" s="93">
        <f>IFERROR(SUM(V214:V216)/SUM(U214:U216),1)</f>
        <v>1.0001259521773467</v>
      </c>
      <c r="V237" s="93">
        <f>IFERROR(SUM(W214:W215)/SUM(V214:V215),1)</f>
        <v>1.0021551177095833</v>
      </c>
      <c r="W237" s="93">
        <f>IFERROR(SUM(X214:X214)/SUM(W214:W214),1)</f>
        <v>0.99999900720006829</v>
      </c>
      <c r="X237" s="93">
        <v>1</v>
      </c>
      <c r="Y237" s="285" t="s">
        <v>37</v>
      </c>
      <c r="Z237" s="107"/>
      <c r="AA237" s="93">
        <f>IFERROR(SUM(AB220:AB222)/SUM(AA220:AA222),1)</f>
        <v>1.1137108929081536</v>
      </c>
      <c r="AB237" s="93">
        <f>IFERROR(SUM(AC219:AC221)/SUM(AB219:AB221),1)</f>
        <v>1.0135049167654551</v>
      </c>
      <c r="AC237" s="93">
        <f>IFERROR(SUM(AD218:AD220)/SUM(AC218:AC220),1)</f>
        <v>1.0017206412792101</v>
      </c>
      <c r="AD237" s="93">
        <f>IFERROR(SUM(AE217:AE219)/SUM(AD217:AD219),1)</f>
        <v>1.0046141977913616</v>
      </c>
      <c r="AE237" s="93">
        <f>IFERROR(SUM(AF216:AF218)/SUM(AE216:AE218),1)</f>
        <v>0.99808840294385837</v>
      </c>
      <c r="AF237" s="93">
        <f>IFERROR(SUM(AG215:AG217)/SUM(AF215:AF217),1)</f>
        <v>0.99879237103608576</v>
      </c>
      <c r="AG237" s="93">
        <f>IFERROR(SUM(AH214:AH216)/SUM(AG214:AG216),1)</f>
        <v>0.99962110607940791</v>
      </c>
      <c r="AH237" s="93">
        <f>IFERROR(SUM(AI214:AI215)/SUM(AH214:AH215),1)</f>
        <v>0.99918420599188784</v>
      </c>
      <c r="AI237" s="93">
        <f>IFERROR(SUM(AJ214:AJ214)/SUM(AI214:AI214),1)</f>
        <v>1</v>
      </c>
      <c r="AJ237" s="93">
        <v>1</v>
      </c>
      <c r="AK237" s="285"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5"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5"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5"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1.1888254200590997</v>
      </c>
      <c r="D238" s="93">
        <f t="shared" ref="D238:K238" si="421">IF(D237=0,1,D237)</f>
        <v>1.0305380223305565</v>
      </c>
      <c r="E238" s="93">
        <f t="shared" si="421"/>
        <v>1.0105074292646139</v>
      </c>
      <c r="F238" s="93">
        <f t="shared" si="421"/>
        <v>1.0027128343064144</v>
      </c>
      <c r="G238" s="93">
        <f t="shared" si="421"/>
        <v>1.0022859659296504</v>
      </c>
      <c r="H238" s="93">
        <f t="shared" si="421"/>
        <v>0.99958024398820777</v>
      </c>
      <c r="I238" s="93">
        <f t="shared" si="421"/>
        <v>1.0005787318934416</v>
      </c>
      <c r="J238" s="93">
        <f t="shared" si="421"/>
        <v>0.99955368560549751</v>
      </c>
      <c r="K238" s="93">
        <f t="shared" si="421"/>
        <v>0.99983302257122741</v>
      </c>
      <c r="L238" s="93">
        <f>IF(L237=0,1,L237)</f>
        <v>1</v>
      </c>
      <c r="M238" s="285" t="s">
        <v>40</v>
      </c>
      <c r="N238" s="107"/>
      <c r="O238" s="93">
        <f>IF(O237=0,1,O237)</f>
        <v>1.1687236551203435</v>
      </c>
      <c r="P238" s="93">
        <f t="shared" ref="P238:W238" si="422">IF(P237=0,1,P237)</f>
        <v>1.0390677054193691</v>
      </c>
      <c r="Q238" s="93">
        <f t="shared" si="422"/>
        <v>1.0189503875944961</v>
      </c>
      <c r="R238" s="93">
        <f t="shared" si="422"/>
        <v>1.0039373831875216</v>
      </c>
      <c r="S238" s="93">
        <f t="shared" si="422"/>
        <v>0.99999840151205188</v>
      </c>
      <c r="T238" s="93">
        <f t="shared" si="422"/>
        <v>1.0008924415447495</v>
      </c>
      <c r="U238" s="93">
        <f t="shared" si="422"/>
        <v>1.0001259521773467</v>
      </c>
      <c r="V238" s="93">
        <f t="shared" si="422"/>
        <v>1.0021551177095833</v>
      </c>
      <c r="W238" s="93">
        <f t="shared" si="422"/>
        <v>0.99999900720006829</v>
      </c>
      <c r="X238" s="93">
        <f>IF(X237=0,1,X237)</f>
        <v>1</v>
      </c>
      <c r="Y238" s="285" t="s">
        <v>40</v>
      </c>
      <c r="Z238" s="107"/>
      <c r="AA238" s="93">
        <f>IF(AA237=0,1,AA237)</f>
        <v>1.1137108929081536</v>
      </c>
      <c r="AB238" s="93">
        <f t="shared" ref="AB238:AI238" si="423">IF(AB237=0,1,AB237)</f>
        <v>1.0135049167654551</v>
      </c>
      <c r="AC238" s="93">
        <f t="shared" si="423"/>
        <v>1.0017206412792101</v>
      </c>
      <c r="AD238" s="93">
        <f t="shared" si="423"/>
        <v>1.0046141977913616</v>
      </c>
      <c r="AE238" s="93">
        <f t="shared" si="423"/>
        <v>0.99808840294385837</v>
      </c>
      <c r="AF238" s="93">
        <f t="shared" si="423"/>
        <v>0.99879237103608576</v>
      </c>
      <c r="AG238" s="93">
        <f t="shared" si="423"/>
        <v>0.99962110607940791</v>
      </c>
      <c r="AH238" s="93">
        <f t="shared" si="423"/>
        <v>0.99918420599188784</v>
      </c>
      <c r="AI238" s="93">
        <f t="shared" si="423"/>
        <v>1</v>
      </c>
      <c r="AJ238" s="93">
        <f>IF(AJ237=0,1,AJ237)</f>
        <v>1</v>
      </c>
      <c r="AK238" s="285"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5"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5"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5"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1.2436333778174311</v>
      </c>
      <c r="D239" s="113">
        <f>PRODUCT(D238:L238)</f>
        <v>1.046102612573347</v>
      </c>
      <c r="E239" s="113">
        <f>PRODUCT(E238:L238)</f>
        <v>1.0151033633941922</v>
      </c>
      <c r="F239" s="113">
        <f>PRODUCT(F238:L238)</f>
        <v>1.0045481448196012</v>
      </c>
      <c r="G239" s="113">
        <f>PRODUCT(G238:L238)</f>
        <v>1.0018303450902335</v>
      </c>
      <c r="H239" s="113">
        <f>PRODUCT(H238:L238)</f>
        <v>0.99954541831881871</v>
      </c>
      <c r="I239" s="113">
        <f>PRODUCT(I238:L238)</f>
        <v>0.99996515970618804</v>
      </c>
      <c r="J239" s="113">
        <f>PRODUCT(J238:L238)</f>
        <v>0.999386782701155</v>
      </c>
      <c r="K239" s="113">
        <f>PRODUCT(K238:L238)</f>
        <v>0.99983302257122741</v>
      </c>
      <c r="L239" s="114">
        <f>PRODUCT(L238:L238)</f>
        <v>1</v>
      </c>
      <c r="M239" s="111" t="s">
        <v>39</v>
      </c>
      <c r="N239" s="115"/>
      <c r="O239" s="113">
        <f>PRODUCT(O238:X238)</f>
        <v>1.2462101268606165</v>
      </c>
      <c r="P239" s="113">
        <f>PRODUCT(P238:X238)</f>
        <v>1.0663000799211975</v>
      </c>
      <c r="Q239" s="113">
        <f>PRODUCT(Q238:X238)</f>
        <v>1.0262084697270397</v>
      </c>
      <c r="R239" s="113">
        <f>PRODUCT(R238:X238)</f>
        <v>1.0071230966894065</v>
      </c>
      <c r="S239" s="113">
        <f>PRODUCT(S238:X238)</f>
        <v>1.0031732193214784</v>
      </c>
      <c r="T239" s="113">
        <f>PRODUCT(T238:X238)</f>
        <v>1.0031748228843427</v>
      </c>
      <c r="U239" s="113">
        <f>PRODUCT(U238:X238)</f>
        <v>1.0022803462638508</v>
      </c>
      <c r="V239" s="113">
        <f>PRODUCT(V238:X238)</f>
        <v>1.002154122770051</v>
      </c>
      <c r="W239" s="113">
        <f>PRODUCT(W238:X238)</f>
        <v>0.99999900720006829</v>
      </c>
      <c r="X239" s="114">
        <f>PRODUCT(X238:X238)</f>
        <v>1</v>
      </c>
      <c r="Y239" s="111" t="s">
        <v>39</v>
      </c>
      <c r="Z239" s="115"/>
      <c r="AA239" s="113">
        <f>PRODUCT(AA238:AJ238)</f>
        <v>1.1310178665795489</v>
      </c>
      <c r="AB239" s="113">
        <f>PRODUCT(AB238:AJ238)</f>
        <v>1.0155399159526965</v>
      </c>
      <c r="AC239" s="113">
        <f>PRODUCT(AC238:AJ238)</f>
        <v>1.0020078828958583</v>
      </c>
      <c r="AD239" s="113">
        <f>PRODUCT(AD238:AJ238)</f>
        <v>1.0002867482258142</v>
      </c>
      <c r="AE239" s="113">
        <f>PRODUCT(AE238:AJ238)</f>
        <v>0.99569242643090106</v>
      </c>
      <c r="AF239" s="113">
        <f>PRODUCT(AF238:AJ238)</f>
        <v>0.99759943457323974</v>
      </c>
      <c r="AG239" s="113">
        <f>PRODUCT(AG238:AJ238)</f>
        <v>0.99880562117068583</v>
      </c>
      <c r="AH239" s="113">
        <f>PRODUCT(AH238:AJ238)</f>
        <v>0.99918420599188784</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983626232.32845783</v>
      </c>
      <c r="D240" s="99">
        <f>D239*D222</f>
        <v>746602163.31739783</v>
      </c>
      <c r="E240" s="99">
        <f>E239*E221</f>
        <v>596736741.59394085</v>
      </c>
      <c r="F240" s="99">
        <f>F239*F220</f>
        <v>621944392.39855027</v>
      </c>
      <c r="G240" s="99">
        <f>G239*G219</f>
        <v>511070175.51618564</v>
      </c>
      <c r="H240" s="99">
        <f>H239*H218</f>
        <v>566117606.0985775</v>
      </c>
      <c r="I240" s="99">
        <f>I239*I217</f>
        <v>502450558.69499016</v>
      </c>
      <c r="J240" s="99">
        <f>J239*J216</f>
        <v>436234161.68554199</v>
      </c>
      <c r="K240" s="99">
        <f>K239*K215</f>
        <v>409673063.61100942</v>
      </c>
      <c r="L240" s="99">
        <f>L239*L214</f>
        <v>418300220.24000001</v>
      </c>
      <c r="M240" s="95" t="s">
        <v>41</v>
      </c>
      <c r="N240" s="106"/>
      <c r="O240" s="99">
        <f>O239*O223</f>
        <v>51234573.297078408</v>
      </c>
      <c r="P240" s="99">
        <f>P239*P222</f>
        <v>44323680.997342288</v>
      </c>
      <c r="Q240" s="99">
        <f>Q239*Q221</f>
        <v>42496096.509180628</v>
      </c>
      <c r="R240" s="99">
        <f>R239*R220</f>
        <v>47480080.303118199</v>
      </c>
      <c r="S240" s="99">
        <f>S239*S219</f>
        <v>49839261.617852174</v>
      </c>
      <c r="T240" s="99">
        <f>T239*T218</f>
        <v>45297754.99540066</v>
      </c>
      <c r="U240" s="99">
        <f>U239*U217</f>
        <v>44789245.044351667</v>
      </c>
      <c r="V240" s="99">
        <f>V239*V216</f>
        <v>40001849.465384535</v>
      </c>
      <c r="W240" s="99">
        <f>W239*W215</f>
        <v>38747589.281357817</v>
      </c>
      <c r="X240" s="99">
        <f>X239*X214</f>
        <v>36412133.960000001</v>
      </c>
      <c r="Y240" s="95" t="s">
        <v>41</v>
      </c>
      <c r="Z240" s="106"/>
      <c r="AA240" s="99">
        <f>AA239*AA223</f>
        <v>69916893.617357731</v>
      </c>
      <c r="AB240" s="99">
        <f>AB239*AB222</f>
        <v>62495688.739749521</v>
      </c>
      <c r="AC240" s="99">
        <f>AC239*AC221</f>
        <v>58618504.239613801</v>
      </c>
      <c r="AD240" s="99">
        <f>AD239*AD220</f>
        <v>55833178.075213015</v>
      </c>
      <c r="AE240" s="99">
        <f>AE239*AE219</f>
        <v>50429330.524766557</v>
      </c>
      <c r="AF240" s="99">
        <f>AF239*AF218</f>
        <v>55032708.571539827</v>
      </c>
      <c r="AG240" s="99">
        <f>AG239*AG217</f>
        <v>51561357.184232496</v>
      </c>
      <c r="AH240" s="99">
        <f>AH239*AH216</f>
        <v>43653717.542660594</v>
      </c>
      <c r="AI240" s="99">
        <f>AI239*AI215</f>
        <v>39729635.789999999</v>
      </c>
      <c r="AJ240" s="99">
        <f>AJ239*AJ214</f>
        <v>40721303.950000003</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Homeowners Multiple Peril</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Renters</v>
      </c>
      <c r="N245" s="69"/>
      <c r="O245" s="18"/>
      <c r="P245" s="18"/>
      <c r="Q245" s="18"/>
      <c r="R245" s="18"/>
      <c r="S245" s="18"/>
      <c r="T245" s="18"/>
      <c r="U245" s="18"/>
      <c r="V245" s="18"/>
      <c r="W245" s="18"/>
      <c r="X245" s="18"/>
      <c r="Y245" s="138" t="str">
        <f>Y$5</f>
        <v>Condominium Unitowners</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Data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Data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Data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Data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Data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Data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Data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Data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Data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20132</v>
      </c>
      <c r="B249" s="21"/>
      <c r="C249" s="21"/>
      <c r="D249" s="21"/>
      <c r="E249" s="21"/>
      <c r="F249" s="21"/>
      <c r="G249" s="21"/>
      <c r="H249" s="21"/>
      <c r="I249" s="21"/>
      <c r="J249" s="21"/>
      <c r="K249" s="21"/>
      <c r="L249" s="21"/>
      <c r="M249" s="31">
        <f>$A$36</f>
        <v>20132</v>
      </c>
      <c r="N249" s="21"/>
      <c r="O249" s="21"/>
      <c r="P249" s="21"/>
      <c r="Q249" s="21"/>
      <c r="R249" s="21"/>
      <c r="S249" s="21"/>
      <c r="T249" s="21"/>
      <c r="U249" s="21"/>
      <c r="V249" s="21"/>
      <c r="W249" s="21"/>
      <c r="X249" s="21"/>
      <c r="Y249" s="31">
        <f>$A$36</f>
        <v>20132</v>
      </c>
      <c r="Z249" s="21"/>
      <c r="AA249" s="21"/>
      <c r="AB249" s="21"/>
      <c r="AC249" s="21"/>
      <c r="AD249" s="21"/>
      <c r="AE249" s="21"/>
      <c r="AF249" s="21"/>
      <c r="AG249" s="21"/>
      <c r="AH249" s="21"/>
      <c r="AI249" s="21"/>
      <c r="AJ249" s="21"/>
      <c r="AK249" s="31">
        <f>$A$36</f>
        <v>20132</v>
      </c>
      <c r="AL249" s="21"/>
      <c r="AM249" s="21"/>
      <c r="AN249" s="21"/>
      <c r="AO249" s="21"/>
      <c r="AP249" s="21"/>
      <c r="AQ249" s="21"/>
      <c r="AR249" s="21"/>
      <c r="AS249" s="21"/>
      <c r="AT249" s="21"/>
      <c r="AU249" s="21"/>
      <c r="AV249" s="21"/>
      <c r="AW249" s="31">
        <f>$A$36</f>
        <v>20132</v>
      </c>
      <c r="AX249" s="21"/>
      <c r="AY249" s="21"/>
      <c r="AZ249" s="21"/>
      <c r="BA249" s="21"/>
      <c r="BB249" s="21"/>
      <c r="BC249" s="21"/>
      <c r="BD249" s="21"/>
      <c r="BE249" s="21"/>
      <c r="BF249" s="21"/>
      <c r="BG249" s="21"/>
      <c r="BH249" s="21"/>
      <c r="BI249" s="31">
        <f>$A$36</f>
        <v>20132</v>
      </c>
      <c r="BJ249" s="21"/>
      <c r="BK249" s="21"/>
      <c r="BL249" s="21"/>
      <c r="BM249" s="21"/>
      <c r="BN249" s="21"/>
      <c r="BO249" s="21"/>
      <c r="BP249" s="21"/>
      <c r="BQ249" s="21"/>
      <c r="BR249" s="21"/>
      <c r="BS249" s="21"/>
      <c r="BT249" s="21"/>
      <c r="BU249" s="31">
        <f>$A$36</f>
        <v>20132</v>
      </c>
      <c r="BV249" s="21"/>
      <c r="BW249" s="21"/>
      <c r="BX249" s="21"/>
      <c r="BY249" s="21"/>
      <c r="BZ249" s="21"/>
      <c r="CA249" s="21"/>
      <c r="CB249" s="21"/>
      <c r="CC249" s="21"/>
      <c r="CD249" s="21"/>
      <c r="CE249" s="21"/>
      <c r="CF249" s="21"/>
      <c r="CG249" s="31">
        <f>$A$36</f>
        <v>20132</v>
      </c>
      <c r="CH249" s="21"/>
      <c r="CI249" s="21"/>
      <c r="CJ249" s="21"/>
      <c r="CK249" s="21"/>
      <c r="CL249" s="21"/>
      <c r="CM249" s="21"/>
      <c r="CN249" s="21"/>
      <c r="CO249" s="21"/>
      <c r="CP249" s="21"/>
      <c r="CQ249" s="21"/>
      <c r="CR249" s="21"/>
      <c r="CS249" s="31">
        <f>$A$36</f>
        <v>20132</v>
      </c>
      <c r="CT249" s="21"/>
      <c r="CU249" s="21"/>
      <c r="CV249" s="21"/>
      <c r="CW249" s="21"/>
      <c r="CX249" s="21"/>
      <c r="CY249" s="21"/>
      <c r="CZ249" s="21"/>
      <c r="DA249" s="21"/>
      <c r="DB249" s="21"/>
      <c r="DC249" s="21"/>
      <c r="DD249" s="21"/>
      <c r="DE249" s="31">
        <f>$A$36</f>
        <v>20132</v>
      </c>
      <c r="DF249" s="21"/>
      <c r="DG249" s="21"/>
      <c r="DH249" s="21"/>
      <c r="DI249" s="21"/>
      <c r="DJ249" s="21"/>
      <c r="DK249" s="21"/>
      <c r="DL249" s="21"/>
      <c r="DM249" s="21"/>
      <c r="DN249" s="21"/>
      <c r="DO249" s="21"/>
      <c r="DP249" s="21"/>
    </row>
    <row r="250" spans="1:120" ht="15" customHeight="1" x14ac:dyDescent="0.25">
      <c r="A250" s="31">
        <f>$A$37</f>
        <v>20142</v>
      </c>
      <c r="B250" s="21"/>
      <c r="C250" s="21"/>
      <c r="D250" s="21"/>
      <c r="E250" s="21"/>
      <c r="F250" s="21"/>
      <c r="G250" s="21"/>
      <c r="H250" s="21"/>
      <c r="I250" s="21"/>
      <c r="J250" s="21"/>
      <c r="K250" s="21"/>
      <c r="L250" s="134"/>
      <c r="M250" s="31">
        <f>$A$37</f>
        <v>20142</v>
      </c>
      <c r="N250" s="21"/>
      <c r="O250" s="21"/>
      <c r="P250" s="21"/>
      <c r="Q250" s="21"/>
      <c r="R250" s="21"/>
      <c r="S250" s="21"/>
      <c r="T250" s="21"/>
      <c r="U250" s="21"/>
      <c r="V250" s="21"/>
      <c r="W250" s="21"/>
      <c r="X250" s="134"/>
      <c r="Y250" s="31">
        <f>$A$37</f>
        <v>20142</v>
      </c>
      <c r="Z250" s="21"/>
      <c r="AA250" s="21"/>
      <c r="AB250" s="21"/>
      <c r="AC250" s="21"/>
      <c r="AD250" s="21"/>
      <c r="AE250" s="21"/>
      <c r="AF250" s="21"/>
      <c r="AG250" s="21"/>
      <c r="AH250" s="21"/>
      <c r="AI250" s="21"/>
      <c r="AJ250" s="134"/>
      <c r="AK250" s="31">
        <f>$A$37</f>
        <v>20142</v>
      </c>
      <c r="AL250" s="21"/>
      <c r="AM250" s="21"/>
      <c r="AN250" s="21"/>
      <c r="AO250" s="21"/>
      <c r="AP250" s="21"/>
      <c r="AQ250" s="21"/>
      <c r="AR250" s="21"/>
      <c r="AS250" s="21"/>
      <c r="AT250" s="21"/>
      <c r="AU250" s="21"/>
      <c r="AV250" s="134"/>
      <c r="AW250" s="31">
        <f>$A$37</f>
        <v>20142</v>
      </c>
      <c r="AX250" s="21"/>
      <c r="AY250" s="21"/>
      <c r="AZ250" s="21"/>
      <c r="BA250" s="21"/>
      <c r="BB250" s="21"/>
      <c r="BC250" s="21"/>
      <c r="BD250" s="21"/>
      <c r="BE250" s="21"/>
      <c r="BF250" s="21"/>
      <c r="BG250" s="21"/>
      <c r="BH250" s="134"/>
      <c r="BI250" s="31">
        <f>$A$37</f>
        <v>20142</v>
      </c>
      <c r="BJ250" s="21"/>
      <c r="BK250" s="21"/>
      <c r="BL250" s="21"/>
      <c r="BM250" s="21"/>
      <c r="BN250" s="21"/>
      <c r="BO250" s="21"/>
      <c r="BP250" s="21"/>
      <c r="BQ250" s="21"/>
      <c r="BR250" s="21"/>
      <c r="BS250" s="21"/>
      <c r="BT250" s="134"/>
      <c r="BU250" s="31">
        <f>$A$37</f>
        <v>20142</v>
      </c>
      <c r="BV250" s="21"/>
      <c r="BW250" s="21"/>
      <c r="BX250" s="21"/>
      <c r="BY250" s="21"/>
      <c r="BZ250" s="21"/>
      <c r="CA250" s="21"/>
      <c r="CB250" s="21"/>
      <c r="CC250" s="21"/>
      <c r="CD250" s="21"/>
      <c r="CE250" s="21"/>
      <c r="CF250" s="134"/>
      <c r="CG250" s="31">
        <f>$A$37</f>
        <v>20142</v>
      </c>
      <c r="CH250" s="21"/>
      <c r="CI250" s="21"/>
      <c r="CJ250" s="21"/>
      <c r="CK250" s="21"/>
      <c r="CL250" s="21"/>
      <c r="CM250" s="21"/>
      <c r="CN250" s="21"/>
      <c r="CO250" s="21"/>
      <c r="CP250" s="21"/>
      <c r="CQ250" s="21"/>
      <c r="CR250" s="134"/>
      <c r="CS250" s="31">
        <f>$A$37</f>
        <v>20142</v>
      </c>
      <c r="CT250" s="21"/>
      <c r="CU250" s="21"/>
      <c r="CV250" s="21"/>
      <c r="CW250" s="21"/>
      <c r="CX250" s="21"/>
      <c r="CY250" s="21"/>
      <c r="CZ250" s="21"/>
      <c r="DA250" s="21"/>
      <c r="DB250" s="21"/>
      <c r="DC250" s="21"/>
      <c r="DD250" s="134"/>
      <c r="DE250" s="31">
        <f>$A$37</f>
        <v>20142</v>
      </c>
      <c r="DF250" s="21"/>
      <c r="DG250" s="21"/>
      <c r="DH250" s="21"/>
      <c r="DI250" s="21"/>
      <c r="DJ250" s="21"/>
      <c r="DK250" s="21"/>
      <c r="DL250" s="21"/>
      <c r="DM250" s="21"/>
      <c r="DN250" s="21"/>
      <c r="DO250" s="21"/>
      <c r="DP250" s="134"/>
    </row>
    <row r="251" spans="1:120" ht="15" customHeight="1" x14ac:dyDescent="0.25">
      <c r="A251" s="31">
        <f>$A$38</f>
        <v>20152</v>
      </c>
      <c r="B251" s="21"/>
      <c r="C251" s="21"/>
      <c r="D251" s="21"/>
      <c r="E251" s="21"/>
      <c r="F251" s="21"/>
      <c r="G251" s="21"/>
      <c r="H251" s="21"/>
      <c r="I251" s="21"/>
      <c r="J251" s="21"/>
      <c r="K251" s="134"/>
      <c r="L251" s="134"/>
      <c r="M251" s="31">
        <f>$A$38</f>
        <v>20152</v>
      </c>
      <c r="N251" s="21"/>
      <c r="O251" s="21"/>
      <c r="P251" s="21"/>
      <c r="Q251" s="21"/>
      <c r="R251" s="21"/>
      <c r="S251" s="21"/>
      <c r="T251" s="21"/>
      <c r="U251" s="21"/>
      <c r="V251" s="21"/>
      <c r="W251" s="134"/>
      <c r="X251" s="134"/>
      <c r="Y251" s="31">
        <f>$A$38</f>
        <v>20152</v>
      </c>
      <c r="Z251" s="21"/>
      <c r="AA251" s="21"/>
      <c r="AB251" s="21"/>
      <c r="AC251" s="21"/>
      <c r="AD251" s="21"/>
      <c r="AE251" s="21"/>
      <c r="AF251" s="21"/>
      <c r="AG251" s="21"/>
      <c r="AH251" s="21"/>
      <c r="AI251" s="134"/>
      <c r="AJ251" s="134"/>
      <c r="AK251" s="31">
        <f>$A$38</f>
        <v>20152</v>
      </c>
      <c r="AL251" s="21"/>
      <c r="AM251" s="21"/>
      <c r="AN251" s="21"/>
      <c r="AO251" s="21"/>
      <c r="AP251" s="21"/>
      <c r="AQ251" s="21"/>
      <c r="AR251" s="21"/>
      <c r="AS251" s="21"/>
      <c r="AT251" s="21"/>
      <c r="AU251" s="134"/>
      <c r="AV251" s="134"/>
      <c r="AW251" s="31">
        <f>$A$38</f>
        <v>20152</v>
      </c>
      <c r="AX251" s="21"/>
      <c r="AY251" s="21"/>
      <c r="AZ251" s="21"/>
      <c r="BA251" s="21"/>
      <c r="BB251" s="21"/>
      <c r="BC251" s="21"/>
      <c r="BD251" s="21"/>
      <c r="BE251" s="21"/>
      <c r="BF251" s="21"/>
      <c r="BG251" s="134"/>
      <c r="BH251" s="134"/>
      <c r="BI251" s="31">
        <f>$A$38</f>
        <v>20152</v>
      </c>
      <c r="BJ251" s="21"/>
      <c r="BK251" s="21"/>
      <c r="BL251" s="21"/>
      <c r="BM251" s="21"/>
      <c r="BN251" s="21"/>
      <c r="BO251" s="21"/>
      <c r="BP251" s="21"/>
      <c r="BQ251" s="21"/>
      <c r="BR251" s="21"/>
      <c r="BS251" s="134"/>
      <c r="BT251" s="134"/>
      <c r="BU251" s="31">
        <f>$A$38</f>
        <v>20152</v>
      </c>
      <c r="BV251" s="21"/>
      <c r="BW251" s="21"/>
      <c r="BX251" s="21"/>
      <c r="BY251" s="21"/>
      <c r="BZ251" s="21"/>
      <c r="CA251" s="21"/>
      <c r="CB251" s="21"/>
      <c r="CC251" s="21"/>
      <c r="CD251" s="21"/>
      <c r="CE251" s="134"/>
      <c r="CF251" s="134"/>
      <c r="CG251" s="31">
        <f>$A$38</f>
        <v>20152</v>
      </c>
      <c r="CH251" s="21"/>
      <c r="CI251" s="21"/>
      <c r="CJ251" s="21"/>
      <c r="CK251" s="21"/>
      <c r="CL251" s="21"/>
      <c r="CM251" s="21"/>
      <c r="CN251" s="21"/>
      <c r="CO251" s="21"/>
      <c r="CP251" s="21"/>
      <c r="CQ251" s="134"/>
      <c r="CR251" s="134"/>
      <c r="CS251" s="31">
        <f>$A$38</f>
        <v>20152</v>
      </c>
      <c r="CT251" s="21"/>
      <c r="CU251" s="21"/>
      <c r="CV251" s="21"/>
      <c r="CW251" s="21"/>
      <c r="CX251" s="21"/>
      <c r="CY251" s="21"/>
      <c r="CZ251" s="21"/>
      <c r="DA251" s="21"/>
      <c r="DB251" s="21"/>
      <c r="DC251" s="134"/>
      <c r="DD251" s="134"/>
      <c r="DE251" s="31">
        <f>$A$38</f>
        <v>20152</v>
      </c>
      <c r="DF251" s="21"/>
      <c r="DG251" s="21"/>
      <c r="DH251" s="21"/>
      <c r="DI251" s="21"/>
      <c r="DJ251" s="21"/>
      <c r="DK251" s="21"/>
      <c r="DL251" s="21"/>
      <c r="DM251" s="21"/>
      <c r="DN251" s="21"/>
      <c r="DO251" s="134"/>
      <c r="DP251" s="134"/>
    </row>
    <row r="252" spans="1:120" ht="15" customHeight="1" x14ac:dyDescent="0.25">
      <c r="A252" s="31">
        <f>$A$39</f>
        <v>20162</v>
      </c>
      <c r="B252" s="21"/>
      <c r="C252" s="21"/>
      <c r="D252" s="21"/>
      <c r="E252" s="21"/>
      <c r="F252" s="21"/>
      <c r="G252" s="21"/>
      <c r="H252" s="21"/>
      <c r="I252" s="21"/>
      <c r="J252" s="134"/>
      <c r="K252" s="134"/>
      <c r="L252" s="134"/>
      <c r="M252" s="31">
        <f>$A$39</f>
        <v>20162</v>
      </c>
      <c r="N252" s="21"/>
      <c r="O252" s="21"/>
      <c r="P252" s="21"/>
      <c r="Q252" s="21"/>
      <c r="R252" s="21"/>
      <c r="S252" s="21"/>
      <c r="T252" s="21"/>
      <c r="U252" s="21"/>
      <c r="V252" s="134"/>
      <c r="W252" s="134"/>
      <c r="X252" s="134"/>
      <c r="Y252" s="31">
        <f>$A$39</f>
        <v>20162</v>
      </c>
      <c r="Z252" s="21"/>
      <c r="AA252" s="21"/>
      <c r="AB252" s="21"/>
      <c r="AC252" s="21"/>
      <c r="AD252" s="21"/>
      <c r="AE252" s="21"/>
      <c r="AF252" s="21"/>
      <c r="AG252" s="21"/>
      <c r="AH252" s="134"/>
      <c r="AI252" s="134"/>
      <c r="AJ252" s="134"/>
      <c r="AK252" s="31">
        <f>$A$39</f>
        <v>20162</v>
      </c>
      <c r="AL252" s="21"/>
      <c r="AM252" s="21"/>
      <c r="AN252" s="21"/>
      <c r="AO252" s="21"/>
      <c r="AP252" s="21"/>
      <c r="AQ252" s="21"/>
      <c r="AR252" s="21"/>
      <c r="AS252" s="21"/>
      <c r="AT252" s="134"/>
      <c r="AU252" s="134"/>
      <c r="AV252" s="134"/>
      <c r="AW252" s="31">
        <f>$A$39</f>
        <v>20162</v>
      </c>
      <c r="AX252" s="21"/>
      <c r="AY252" s="21"/>
      <c r="AZ252" s="21"/>
      <c r="BA252" s="21"/>
      <c r="BB252" s="21"/>
      <c r="BC252" s="21"/>
      <c r="BD252" s="21"/>
      <c r="BE252" s="21"/>
      <c r="BF252" s="134"/>
      <c r="BG252" s="134"/>
      <c r="BH252" s="134"/>
      <c r="BI252" s="31">
        <f>$A$39</f>
        <v>20162</v>
      </c>
      <c r="BJ252" s="21"/>
      <c r="BK252" s="21"/>
      <c r="BL252" s="21"/>
      <c r="BM252" s="21"/>
      <c r="BN252" s="21"/>
      <c r="BO252" s="21"/>
      <c r="BP252" s="21"/>
      <c r="BQ252" s="21"/>
      <c r="BR252" s="134"/>
      <c r="BS252" s="134"/>
      <c r="BT252" s="134"/>
      <c r="BU252" s="31">
        <f>$A$39</f>
        <v>20162</v>
      </c>
      <c r="BV252" s="21"/>
      <c r="BW252" s="21"/>
      <c r="BX252" s="21"/>
      <c r="BY252" s="21"/>
      <c r="BZ252" s="21"/>
      <c r="CA252" s="21"/>
      <c r="CB252" s="21"/>
      <c r="CC252" s="21"/>
      <c r="CD252" s="134"/>
      <c r="CE252" s="134"/>
      <c r="CF252" s="134"/>
      <c r="CG252" s="31">
        <f>$A$39</f>
        <v>20162</v>
      </c>
      <c r="CH252" s="21"/>
      <c r="CI252" s="21"/>
      <c r="CJ252" s="21"/>
      <c r="CK252" s="21"/>
      <c r="CL252" s="21"/>
      <c r="CM252" s="21"/>
      <c r="CN252" s="21"/>
      <c r="CO252" s="21"/>
      <c r="CP252" s="134"/>
      <c r="CQ252" s="134"/>
      <c r="CR252" s="134"/>
      <c r="CS252" s="31">
        <f>$A$39</f>
        <v>20162</v>
      </c>
      <c r="CT252" s="21"/>
      <c r="CU252" s="21"/>
      <c r="CV252" s="21"/>
      <c r="CW252" s="21"/>
      <c r="CX252" s="21"/>
      <c r="CY252" s="21"/>
      <c r="CZ252" s="21"/>
      <c r="DA252" s="21"/>
      <c r="DB252" s="134"/>
      <c r="DC252" s="134"/>
      <c r="DD252" s="134"/>
      <c r="DE252" s="31">
        <f>$A$39</f>
        <v>20162</v>
      </c>
      <c r="DF252" s="21"/>
      <c r="DG252" s="21"/>
      <c r="DH252" s="21"/>
      <c r="DI252" s="21"/>
      <c r="DJ252" s="21"/>
      <c r="DK252" s="21"/>
      <c r="DL252" s="21"/>
      <c r="DM252" s="21"/>
      <c r="DN252" s="134"/>
      <c r="DO252" s="134"/>
      <c r="DP252" s="134"/>
    </row>
    <row r="253" spans="1:120" ht="15" customHeight="1" x14ac:dyDescent="0.25">
      <c r="A253" s="31">
        <f>$A$40</f>
        <v>20172</v>
      </c>
      <c r="B253" s="21"/>
      <c r="C253" s="21"/>
      <c r="D253" s="21"/>
      <c r="E253" s="21"/>
      <c r="F253" s="21"/>
      <c r="G253" s="21"/>
      <c r="H253" s="21"/>
      <c r="I253" s="134"/>
      <c r="J253" s="134"/>
      <c r="K253" s="134"/>
      <c r="L253" s="134"/>
      <c r="M253" s="31">
        <f>$A$40</f>
        <v>20172</v>
      </c>
      <c r="N253" s="21"/>
      <c r="O253" s="21"/>
      <c r="P253" s="21"/>
      <c r="Q253" s="21"/>
      <c r="R253" s="21"/>
      <c r="S253" s="21"/>
      <c r="T253" s="21"/>
      <c r="U253" s="134"/>
      <c r="V253" s="134"/>
      <c r="W253" s="134"/>
      <c r="X253" s="134"/>
      <c r="Y253" s="31">
        <f>$A$40</f>
        <v>20172</v>
      </c>
      <c r="Z253" s="21"/>
      <c r="AA253" s="21"/>
      <c r="AB253" s="21"/>
      <c r="AC253" s="21"/>
      <c r="AD253" s="21"/>
      <c r="AE253" s="21"/>
      <c r="AF253" s="21"/>
      <c r="AG253" s="134"/>
      <c r="AH253" s="134"/>
      <c r="AI253" s="134"/>
      <c r="AJ253" s="134"/>
      <c r="AK253" s="31">
        <f>$A$40</f>
        <v>20172</v>
      </c>
      <c r="AL253" s="21"/>
      <c r="AM253" s="21"/>
      <c r="AN253" s="21"/>
      <c r="AO253" s="21"/>
      <c r="AP253" s="21"/>
      <c r="AQ253" s="21"/>
      <c r="AR253" s="21"/>
      <c r="AS253" s="134"/>
      <c r="AT253" s="134"/>
      <c r="AU253" s="134"/>
      <c r="AV253" s="134"/>
      <c r="AW253" s="31">
        <f>$A$40</f>
        <v>20172</v>
      </c>
      <c r="AX253" s="21"/>
      <c r="AY253" s="21"/>
      <c r="AZ253" s="21"/>
      <c r="BA253" s="21"/>
      <c r="BB253" s="21"/>
      <c r="BC253" s="21"/>
      <c r="BD253" s="21"/>
      <c r="BE253" s="134"/>
      <c r="BF253" s="134"/>
      <c r="BG253" s="134"/>
      <c r="BH253" s="134"/>
      <c r="BI253" s="31">
        <f>$A$40</f>
        <v>20172</v>
      </c>
      <c r="BJ253" s="21"/>
      <c r="BK253" s="21"/>
      <c r="BL253" s="21"/>
      <c r="BM253" s="21"/>
      <c r="BN253" s="21"/>
      <c r="BO253" s="21"/>
      <c r="BP253" s="21"/>
      <c r="BQ253" s="134"/>
      <c r="BR253" s="134"/>
      <c r="BS253" s="134"/>
      <c r="BT253" s="134"/>
      <c r="BU253" s="31">
        <f>$A$40</f>
        <v>20172</v>
      </c>
      <c r="BV253" s="21"/>
      <c r="BW253" s="21"/>
      <c r="BX253" s="21"/>
      <c r="BY253" s="21"/>
      <c r="BZ253" s="21"/>
      <c r="CA253" s="21"/>
      <c r="CB253" s="21"/>
      <c r="CC253" s="134"/>
      <c r="CD253" s="134"/>
      <c r="CE253" s="134"/>
      <c r="CF253" s="134"/>
      <c r="CG253" s="31">
        <f>$A$40</f>
        <v>20172</v>
      </c>
      <c r="CH253" s="21"/>
      <c r="CI253" s="21"/>
      <c r="CJ253" s="21"/>
      <c r="CK253" s="21"/>
      <c r="CL253" s="21"/>
      <c r="CM253" s="21"/>
      <c r="CN253" s="21"/>
      <c r="CO253" s="134"/>
      <c r="CP253" s="134"/>
      <c r="CQ253" s="134"/>
      <c r="CR253" s="134"/>
      <c r="CS253" s="31">
        <f>$A$40</f>
        <v>20172</v>
      </c>
      <c r="CT253" s="21"/>
      <c r="CU253" s="21"/>
      <c r="CV253" s="21"/>
      <c r="CW253" s="21"/>
      <c r="CX253" s="21"/>
      <c r="CY253" s="21"/>
      <c r="CZ253" s="21"/>
      <c r="DA253" s="134"/>
      <c r="DB253" s="134"/>
      <c r="DC253" s="134"/>
      <c r="DD253" s="134"/>
      <c r="DE253" s="31">
        <f>$A$40</f>
        <v>20172</v>
      </c>
      <c r="DF253" s="21"/>
      <c r="DG253" s="21"/>
      <c r="DH253" s="21"/>
      <c r="DI253" s="21"/>
      <c r="DJ253" s="21"/>
      <c r="DK253" s="21"/>
      <c r="DL253" s="21"/>
      <c r="DM253" s="134"/>
      <c r="DN253" s="134"/>
      <c r="DO253" s="134"/>
      <c r="DP253" s="134"/>
    </row>
    <row r="254" spans="1:120" ht="15" customHeight="1" x14ac:dyDescent="0.25">
      <c r="A254" s="31">
        <f>$A$41</f>
        <v>20182</v>
      </c>
      <c r="B254" s="21"/>
      <c r="C254" s="21"/>
      <c r="D254" s="21"/>
      <c r="E254" s="21"/>
      <c r="F254" s="21"/>
      <c r="G254" s="21"/>
      <c r="H254" s="134"/>
      <c r="I254" s="134"/>
      <c r="J254" s="134"/>
      <c r="K254" s="134"/>
      <c r="L254" s="134"/>
      <c r="M254" s="31">
        <f>$A$41</f>
        <v>20182</v>
      </c>
      <c r="N254" s="21"/>
      <c r="O254" s="21"/>
      <c r="P254" s="21"/>
      <c r="Q254" s="21"/>
      <c r="R254" s="21"/>
      <c r="S254" s="21"/>
      <c r="T254" s="134"/>
      <c r="U254" s="134"/>
      <c r="V254" s="134"/>
      <c r="W254" s="134"/>
      <c r="X254" s="134"/>
      <c r="Y254" s="31">
        <f>$A$41</f>
        <v>20182</v>
      </c>
      <c r="Z254" s="21"/>
      <c r="AA254" s="21"/>
      <c r="AB254" s="21"/>
      <c r="AC254" s="21"/>
      <c r="AD254" s="21"/>
      <c r="AE254" s="21"/>
      <c r="AF254" s="134"/>
      <c r="AG254" s="134"/>
      <c r="AH254" s="134"/>
      <c r="AI254" s="134"/>
      <c r="AJ254" s="134"/>
      <c r="AK254" s="31">
        <f>$A$41</f>
        <v>20182</v>
      </c>
      <c r="AL254" s="21"/>
      <c r="AM254" s="21"/>
      <c r="AN254" s="21"/>
      <c r="AO254" s="21"/>
      <c r="AP254" s="21"/>
      <c r="AQ254" s="21"/>
      <c r="AR254" s="134"/>
      <c r="AS254" s="134"/>
      <c r="AT254" s="134"/>
      <c r="AU254" s="134"/>
      <c r="AV254" s="134"/>
      <c r="AW254" s="31">
        <f>$A$41</f>
        <v>20182</v>
      </c>
      <c r="AX254" s="21"/>
      <c r="AY254" s="21"/>
      <c r="AZ254" s="21"/>
      <c r="BA254" s="21"/>
      <c r="BB254" s="21"/>
      <c r="BC254" s="21"/>
      <c r="BD254" s="134"/>
      <c r="BE254" s="134"/>
      <c r="BF254" s="134"/>
      <c r="BG254" s="134"/>
      <c r="BH254" s="134"/>
      <c r="BI254" s="31">
        <f>$A$41</f>
        <v>20182</v>
      </c>
      <c r="BJ254" s="21"/>
      <c r="BK254" s="21"/>
      <c r="BL254" s="21"/>
      <c r="BM254" s="21"/>
      <c r="BN254" s="21"/>
      <c r="BO254" s="21"/>
      <c r="BP254" s="134"/>
      <c r="BQ254" s="134"/>
      <c r="BR254" s="134"/>
      <c r="BS254" s="134"/>
      <c r="BT254" s="134"/>
      <c r="BU254" s="31">
        <f>$A$41</f>
        <v>20182</v>
      </c>
      <c r="BV254" s="21"/>
      <c r="BW254" s="21"/>
      <c r="BX254" s="21"/>
      <c r="BY254" s="21"/>
      <c r="BZ254" s="21"/>
      <c r="CA254" s="21"/>
      <c r="CB254" s="134"/>
      <c r="CC254" s="134"/>
      <c r="CD254" s="134"/>
      <c r="CE254" s="134"/>
      <c r="CF254" s="134"/>
      <c r="CG254" s="31">
        <f>$A$41</f>
        <v>20182</v>
      </c>
      <c r="CH254" s="21"/>
      <c r="CI254" s="21"/>
      <c r="CJ254" s="21"/>
      <c r="CK254" s="21"/>
      <c r="CL254" s="21"/>
      <c r="CM254" s="21"/>
      <c r="CN254" s="134"/>
      <c r="CO254" s="134"/>
      <c r="CP254" s="134"/>
      <c r="CQ254" s="134"/>
      <c r="CR254" s="134"/>
      <c r="CS254" s="31">
        <f>$A$41</f>
        <v>20182</v>
      </c>
      <c r="CT254" s="21"/>
      <c r="CU254" s="21"/>
      <c r="CV254" s="21"/>
      <c r="CW254" s="21"/>
      <c r="CX254" s="21"/>
      <c r="CY254" s="21"/>
      <c r="CZ254" s="134"/>
      <c r="DA254" s="134"/>
      <c r="DB254" s="134"/>
      <c r="DC254" s="134"/>
      <c r="DD254" s="134"/>
      <c r="DE254" s="31">
        <f>$A$41</f>
        <v>20182</v>
      </c>
      <c r="DF254" s="21"/>
      <c r="DG254" s="21"/>
      <c r="DH254" s="21"/>
      <c r="DI254" s="21"/>
      <c r="DJ254" s="21"/>
      <c r="DK254" s="21"/>
      <c r="DL254" s="134"/>
      <c r="DM254" s="134"/>
      <c r="DN254" s="134"/>
      <c r="DO254" s="134"/>
      <c r="DP254" s="134"/>
    </row>
    <row r="255" spans="1:120" ht="15" customHeight="1" x14ac:dyDescent="0.25">
      <c r="A255" s="31">
        <f>$A$42</f>
        <v>20192</v>
      </c>
      <c r="B255" s="21"/>
      <c r="C255" s="21"/>
      <c r="D255" s="21"/>
      <c r="E255" s="21"/>
      <c r="F255" s="21"/>
      <c r="G255" s="134"/>
      <c r="H255" s="134"/>
      <c r="I255" s="134"/>
      <c r="J255" s="134"/>
      <c r="K255" s="134"/>
      <c r="L255" s="134"/>
      <c r="M255" s="31">
        <f>$A$42</f>
        <v>20192</v>
      </c>
      <c r="N255" s="21"/>
      <c r="O255" s="21"/>
      <c r="P255" s="21"/>
      <c r="Q255" s="21"/>
      <c r="R255" s="21"/>
      <c r="S255" s="134"/>
      <c r="T255" s="134"/>
      <c r="U255" s="134"/>
      <c r="V255" s="134"/>
      <c r="W255" s="134"/>
      <c r="X255" s="134"/>
      <c r="Y255" s="31">
        <f>$A$42</f>
        <v>20192</v>
      </c>
      <c r="Z255" s="21"/>
      <c r="AA255" s="21"/>
      <c r="AB255" s="21"/>
      <c r="AC255" s="21"/>
      <c r="AD255" s="21"/>
      <c r="AE255" s="134"/>
      <c r="AF255" s="134"/>
      <c r="AG255" s="134"/>
      <c r="AH255" s="134"/>
      <c r="AI255" s="134"/>
      <c r="AJ255" s="134"/>
      <c r="AK255" s="31">
        <f>$A$42</f>
        <v>20192</v>
      </c>
      <c r="AL255" s="21"/>
      <c r="AM255" s="21"/>
      <c r="AN255" s="21"/>
      <c r="AO255" s="21"/>
      <c r="AP255" s="21"/>
      <c r="AQ255" s="134"/>
      <c r="AR255" s="134"/>
      <c r="AS255" s="134"/>
      <c r="AT255" s="134"/>
      <c r="AU255" s="134"/>
      <c r="AV255" s="134"/>
      <c r="AW255" s="31">
        <f>$A$42</f>
        <v>20192</v>
      </c>
      <c r="AX255" s="21"/>
      <c r="AY255" s="21"/>
      <c r="AZ255" s="21"/>
      <c r="BA255" s="21"/>
      <c r="BB255" s="21"/>
      <c r="BC255" s="134"/>
      <c r="BD255" s="134"/>
      <c r="BE255" s="134"/>
      <c r="BF255" s="134"/>
      <c r="BG255" s="134"/>
      <c r="BH255" s="134"/>
      <c r="BI255" s="31">
        <f>$A$42</f>
        <v>20192</v>
      </c>
      <c r="BJ255" s="21"/>
      <c r="BK255" s="21"/>
      <c r="BL255" s="21"/>
      <c r="BM255" s="21"/>
      <c r="BN255" s="21"/>
      <c r="BO255" s="134"/>
      <c r="BP255" s="134"/>
      <c r="BQ255" s="134"/>
      <c r="BR255" s="134"/>
      <c r="BS255" s="134"/>
      <c r="BT255" s="134"/>
      <c r="BU255" s="31">
        <f>$A$42</f>
        <v>20192</v>
      </c>
      <c r="BV255" s="21"/>
      <c r="BW255" s="21"/>
      <c r="BX255" s="21"/>
      <c r="BY255" s="21"/>
      <c r="BZ255" s="21"/>
      <c r="CA255" s="134"/>
      <c r="CB255" s="134"/>
      <c r="CC255" s="134"/>
      <c r="CD255" s="134"/>
      <c r="CE255" s="134"/>
      <c r="CF255" s="134"/>
      <c r="CG255" s="31">
        <f>$A$42</f>
        <v>20192</v>
      </c>
      <c r="CH255" s="21"/>
      <c r="CI255" s="21"/>
      <c r="CJ255" s="21"/>
      <c r="CK255" s="21"/>
      <c r="CL255" s="21"/>
      <c r="CM255" s="134"/>
      <c r="CN255" s="134"/>
      <c r="CO255" s="134"/>
      <c r="CP255" s="134"/>
      <c r="CQ255" s="134"/>
      <c r="CR255" s="134"/>
      <c r="CS255" s="31">
        <f>$A$42</f>
        <v>20192</v>
      </c>
      <c r="CT255" s="21"/>
      <c r="CU255" s="21"/>
      <c r="CV255" s="21"/>
      <c r="CW255" s="21"/>
      <c r="CX255" s="21"/>
      <c r="CY255" s="134"/>
      <c r="CZ255" s="134"/>
      <c r="DA255" s="134"/>
      <c r="DB255" s="134"/>
      <c r="DC255" s="134"/>
      <c r="DD255" s="134"/>
      <c r="DE255" s="31">
        <f>$A$42</f>
        <v>20192</v>
      </c>
      <c r="DF255" s="21"/>
      <c r="DG255" s="21"/>
      <c r="DH255" s="21"/>
      <c r="DI255" s="21"/>
      <c r="DJ255" s="21"/>
      <c r="DK255" s="134"/>
      <c r="DL255" s="134"/>
      <c r="DM255" s="134"/>
      <c r="DN255" s="134"/>
      <c r="DO255" s="134"/>
      <c r="DP255" s="134"/>
    </row>
    <row r="256" spans="1:120" ht="15" customHeight="1" x14ac:dyDescent="0.25">
      <c r="A256" s="31">
        <f>$A$43</f>
        <v>20202</v>
      </c>
      <c r="B256" s="21"/>
      <c r="C256" s="21"/>
      <c r="D256" s="21"/>
      <c r="E256" s="21"/>
      <c r="F256" s="134"/>
      <c r="G256" s="134"/>
      <c r="H256" s="134"/>
      <c r="I256" s="134"/>
      <c r="J256" s="134"/>
      <c r="K256" s="134"/>
      <c r="L256" s="134"/>
      <c r="M256" s="31">
        <f>$A$43</f>
        <v>20202</v>
      </c>
      <c r="N256" s="21"/>
      <c r="O256" s="21"/>
      <c r="P256" s="21"/>
      <c r="Q256" s="21"/>
      <c r="R256" s="134"/>
      <c r="S256" s="134"/>
      <c r="T256" s="134"/>
      <c r="U256" s="134"/>
      <c r="V256" s="134"/>
      <c r="W256" s="134"/>
      <c r="X256" s="134"/>
      <c r="Y256" s="31">
        <f>$A$43</f>
        <v>20202</v>
      </c>
      <c r="Z256" s="21"/>
      <c r="AA256" s="21"/>
      <c r="AB256" s="21"/>
      <c r="AC256" s="21"/>
      <c r="AD256" s="134"/>
      <c r="AE256" s="134"/>
      <c r="AF256" s="134"/>
      <c r="AG256" s="134"/>
      <c r="AH256" s="134"/>
      <c r="AI256" s="134"/>
      <c r="AJ256" s="134"/>
      <c r="AK256" s="31">
        <f>$A$43</f>
        <v>20202</v>
      </c>
      <c r="AL256" s="21"/>
      <c r="AM256" s="21"/>
      <c r="AN256" s="21"/>
      <c r="AO256" s="21"/>
      <c r="AP256" s="134"/>
      <c r="AQ256" s="134"/>
      <c r="AR256" s="134"/>
      <c r="AS256" s="134"/>
      <c r="AT256" s="134"/>
      <c r="AU256" s="134"/>
      <c r="AV256" s="134"/>
      <c r="AW256" s="31">
        <f>$A$43</f>
        <v>20202</v>
      </c>
      <c r="AX256" s="21"/>
      <c r="AY256" s="21"/>
      <c r="AZ256" s="21"/>
      <c r="BA256" s="21"/>
      <c r="BB256" s="134"/>
      <c r="BC256" s="134"/>
      <c r="BD256" s="134"/>
      <c r="BE256" s="134"/>
      <c r="BF256" s="134"/>
      <c r="BG256" s="134"/>
      <c r="BH256" s="134"/>
      <c r="BI256" s="31">
        <f>$A$43</f>
        <v>20202</v>
      </c>
      <c r="BJ256" s="21"/>
      <c r="BK256" s="21"/>
      <c r="BL256" s="21"/>
      <c r="BM256" s="21"/>
      <c r="BN256" s="134"/>
      <c r="BO256" s="134"/>
      <c r="BP256" s="134"/>
      <c r="BQ256" s="134"/>
      <c r="BR256" s="134"/>
      <c r="BS256" s="134"/>
      <c r="BT256" s="134"/>
      <c r="BU256" s="31">
        <f>$A$43</f>
        <v>20202</v>
      </c>
      <c r="BV256" s="21"/>
      <c r="BW256" s="21"/>
      <c r="BX256" s="21"/>
      <c r="BY256" s="21"/>
      <c r="BZ256" s="134"/>
      <c r="CA256" s="134"/>
      <c r="CB256" s="134"/>
      <c r="CC256" s="134"/>
      <c r="CD256" s="134"/>
      <c r="CE256" s="134"/>
      <c r="CF256" s="134"/>
      <c r="CG256" s="31">
        <f>$A$43</f>
        <v>20202</v>
      </c>
      <c r="CH256" s="21"/>
      <c r="CI256" s="21"/>
      <c r="CJ256" s="21"/>
      <c r="CK256" s="21"/>
      <c r="CL256" s="134"/>
      <c r="CM256" s="134"/>
      <c r="CN256" s="134"/>
      <c r="CO256" s="134"/>
      <c r="CP256" s="134"/>
      <c r="CQ256" s="134"/>
      <c r="CR256" s="134"/>
      <c r="CS256" s="31">
        <f>$A$43</f>
        <v>20202</v>
      </c>
      <c r="CT256" s="21"/>
      <c r="CU256" s="21"/>
      <c r="CV256" s="21"/>
      <c r="CW256" s="21"/>
      <c r="CX256" s="134"/>
      <c r="CY256" s="134"/>
      <c r="CZ256" s="134"/>
      <c r="DA256" s="134"/>
      <c r="DB256" s="134"/>
      <c r="DC256" s="134"/>
      <c r="DD256" s="134"/>
      <c r="DE256" s="31">
        <f>$A$43</f>
        <v>20202</v>
      </c>
      <c r="DF256" s="21"/>
      <c r="DG256" s="21"/>
      <c r="DH256" s="21"/>
      <c r="DI256" s="21"/>
      <c r="DJ256" s="134"/>
      <c r="DK256" s="134"/>
      <c r="DL256" s="134"/>
      <c r="DM256" s="134"/>
      <c r="DN256" s="134"/>
      <c r="DO256" s="134"/>
      <c r="DP256" s="134"/>
    </row>
    <row r="257" spans="1:120" ht="15" customHeight="1" x14ac:dyDescent="0.25">
      <c r="A257" s="31">
        <f>$A$44</f>
        <v>20212</v>
      </c>
      <c r="B257" s="21"/>
      <c r="C257" s="21"/>
      <c r="D257" s="21"/>
      <c r="E257" s="134"/>
      <c r="F257" s="134"/>
      <c r="G257" s="134"/>
      <c r="H257" s="134"/>
      <c r="I257" s="134"/>
      <c r="J257" s="134"/>
      <c r="K257" s="134"/>
      <c r="L257" s="134"/>
      <c r="M257" s="31">
        <f>$A$44</f>
        <v>20212</v>
      </c>
      <c r="N257" s="21"/>
      <c r="O257" s="21"/>
      <c r="P257" s="21"/>
      <c r="Q257" s="134"/>
      <c r="R257" s="134"/>
      <c r="S257" s="134"/>
      <c r="T257" s="134"/>
      <c r="U257" s="134"/>
      <c r="V257" s="134"/>
      <c r="W257" s="134"/>
      <c r="X257" s="134"/>
      <c r="Y257" s="31">
        <f>$A$44</f>
        <v>20212</v>
      </c>
      <c r="Z257" s="21"/>
      <c r="AA257" s="21"/>
      <c r="AB257" s="21"/>
      <c r="AC257" s="134"/>
      <c r="AD257" s="134"/>
      <c r="AE257" s="134"/>
      <c r="AF257" s="134"/>
      <c r="AG257" s="134"/>
      <c r="AH257" s="134"/>
      <c r="AI257" s="134"/>
      <c r="AJ257" s="134"/>
      <c r="AK257" s="31">
        <f>$A$44</f>
        <v>20212</v>
      </c>
      <c r="AL257" s="21"/>
      <c r="AM257" s="21"/>
      <c r="AN257" s="21"/>
      <c r="AO257" s="134"/>
      <c r="AP257" s="134"/>
      <c r="AQ257" s="134"/>
      <c r="AR257" s="134"/>
      <c r="AS257" s="134"/>
      <c r="AT257" s="134"/>
      <c r="AU257" s="134"/>
      <c r="AV257" s="134"/>
      <c r="AW257" s="31">
        <f>$A$44</f>
        <v>20212</v>
      </c>
      <c r="AX257" s="21"/>
      <c r="AY257" s="21"/>
      <c r="AZ257" s="21"/>
      <c r="BA257" s="134"/>
      <c r="BB257" s="134"/>
      <c r="BC257" s="134"/>
      <c r="BD257" s="134"/>
      <c r="BE257" s="134"/>
      <c r="BF257" s="134"/>
      <c r="BG257" s="134"/>
      <c r="BH257" s="134"/>
      <c r="BI257" s="31">
        <f>$A$44</f>
        <v>20212</v>
      </c>
      <c r="BJ257" s="21"/>
      <c r="BK257" s="21"/>
      <c r="BL257" s="21"/>
      <c r="BM257" s="134"/>
      <c r="BN257" s="134"/>
      <c r="BO257" s="134"/>
      <c r="BP257" s="134"/>
      <c r="BQ257" s="134"/>
      <c r="BR257" s="134"/>
      <c r="BS257" s="134"/>
      <c r="BT257" s="134"/>
      <c r="BU257" s="31">
        <f>$A$44</f>
        <v>20212</v>
      </c>
      <c r="BV257" s="21"/>
      <c r="BW257" s="21"/>
      <c r="BX257" s="21"/>
      <c r="BY257" s="134"/>
      <c r="BZ257" s="134"/>
      <c r="CA257" s="134"/>
      <c r="CB257" s="134"/>
      <c r="CC257" s="134"/>
      <c r="CD257" s="134"/>
      <c r="CE257" s="134"/>
      <c r="CF257" s="134"/>
      <c r="CG257" s="31">
        <f>$A$44</f>
        <v>20212</v>
      </c>
      <c r="CH257" s="21"/>
      <c r="CI257" s="21"/>
      <c r="CJ257" s="21"/>
      <c r="CK257" s="134"/>
      <c r="CL257" s="134"/>
      <c r="CM257" s="134"/>
      <c r="CN257" s="134"/>
      <c r="CO257" s="134"/>
      <c r="CP257" s="134"/>
      <c r="CQ257" s="134"/>
      <c r="CR257" s="134"/>
      <c r="CS257" s="31">
        <f>$A$44</f>
        <v>20212</v>
      </c>
      <c r="CT257" s="21"/>
      <c r="CU257" s="21"/>
      <c r="CV257" s="21"/>
      <c r="CW257" s="134"/>
      <c r="CX257" s="134"/>
      <c r="CY257" s="134"/>
      <c r="CZ257" s="134"/>
      <c r="DA257" s="134"/>
      <c r="DB257" s="134"/>
      <c r="DC257" s="134"/>
      <c r="DD257" s="134"/>
      <c r="DE257" s="31">
        <f>$A$44</f>
        <v>20212</v>
      </c>
      <c r="DF257" s="21"/>
      <c r="DG257" s="21"/>
      <c r="DH257" s="21"/>
      <c r="DI257" s="134"/>
      <c r="DJ257" s="134"/>
      <c r="DK257" s="134"/>
      <c r="DL257" s="134"/>
      <c r="DM257" s="134"/>
      <c r="DN257" s="134"/>
      <c r="DO257" s="134"/>
      <c r="DP257" s="134"/>
    </row>
    <row r="258" spans="1:120" ht="15" customHeight="1" x14ac:dyDescent="0.25">
      <c r="A258" s="31">
        <f>$A$45</f>
        <v>20222</v>
      </c>
      <c r="B258" s="21"/>
      <c r="C258" s="21"/>
      <c r="D258" s="134"/>
      <c r="E258" s="134"/>
      <c r="F258" s="134"/>
      <c r="G258" s="134"/>
      <c r="H258" s="134"/>
      <c r="I258" s="134"/>
      <c r="J258" s="134"/>
      <c r="K258" s="134"/>
      <c r="L258" s="134"/>
      <c r="M258" s="31">
        <f>$A$45</f>
        <v>20222</v>
      </c>
      <c r="N258" s="21"/>
      <c r="O258" s="21"/>
      <c r="P258" s="134"/>
      <c r="Q258" s="134"/>
      <c r="R258" s="134"/>
      <c r="S258" s="134"/>
      <c r="T258" s="134"/>
      <c r="U258" s="134"/>
      <c r="V258" s="134"/>
      <c r="W258" s="134"/>
      <c r="X258" s="134"/>
      <c r="Y258" s="31">
        <f>$A$45</f>
        <v>20222</v>
      </c>
      <c r="Z258" s="21"/>
      <c r="AA258" s="21"/>
      <c r="AB258" s="134"/>
      <c r="AC258" s="134"/>
      <c r="AD258" s="134"/>
      <c r="AE258" s="134"/>
      <c r="AF258" s="134"/>
      <c r="AG258" s="134"/>
      <c r="AH258" s="134"/>
      <c r="AI258" s="134"/>
      <c r="AJ258" s="134"/>
      <c r="AK258" s="31">
        <f>$A$45</f>
        <v>20222</v>
      </c>
      <c r="AL258" s="21"/>
      <c r="AM258" s="21"/>
      <c r="AN258" s="134"/>
      <c r="AO258" s="134"/>
      <c r="AP258" s="134"/>
      <c r="AQ258" s="134"/>
      <c r="AR258" s="134"/>
      <c r="AS258" s="134"/>
      <c r="AT258" s="134"/>
      <c r="AU258" s="134"/>
      <c r="AV258" s="134"/>
      <c r="AW258" s="31">
        <f>$A$45</f>
        <v>20222</v>
      </c>
      <c r="AX258" s="21"/>
      <c r="AY258" s="21"/>
      <c r="AZ258" s="134"/>
      <c r="BA258" s="134"/>
      <c r="BB258" s="134"/>
      <c r="BC258" s="134"/>
      <c r="BD258" s="134"/>
      <c r="BE258" s="134"/>
      <c r="BF258" s="134"/>
      <c r="BG258" s="134"/>
      <c r="BH258" s="134"/>
      <c r="BI258" s="31">
        <f>$A$45</f>
        <v>20222</v>
      </c>
      <c r="BJ258" s="21"/>
      <c r="BK258" s="21"/>
      <c r="BL258" s="134"/>
      <c r="BM258" s="134"/>
      <c r="BN258" s="134"/>
      <c r="BO258" s="134"/>
      <c r="BP258" s="134"/>
      <c r="BQ258" s="134"/>
      <c r="BR258" s="134"/>
      <c r="BS258" s="134"/>
      <c r="BT258" s="134"/>
      <c r="BU258" s="31">
        <f>$A$45</f>
        <v>20222</v>
      </c>
      <c r="BV258" s="21"/>
      <c r="BW258" s="21"/>
      <c r="BX258" s="134"/>
      <c r="BY258" s="134"/>
      <c r="BZ258" s="134"/>
      <c r="CA258" s="134"/>
      <c r="CB258" s="134"/>
      <c r="CC258" s="134"/>
      <c r="CD258" s="134"/>
      <c r="CE258" s="134"/>
      <c r="CF258" s="134"/>
      <c r="CG258" s="31">
        <f>$A$45</f>
        <v>20222</v>
      </c>
      <c r="CH258" s="21"/>
      <c r="CI258" s="21"/>
      <c r="CJ258" s="134"/>
      <c r="CK258" s="134"/>
      <c r="CL258" s="134"/>
      <c r="CM258" s="134"/>
      <c r="CN258" s="134"/>
      <c r="CO258" s="134"/>
      <c r="CP258" s="134"/>
      <c r="CQ258" s="134"/>
      <c r="CR258" s="134"/>
      <c r="CS258" s="31">
        <f>$A$45</f>
        <v>20222</v>
      </c>
      <c r="CT258" s="21"/>
      <c r="CU258" s="21"/>
      <c r="CV258" s="134"/>
      <c r="CW258" s="134"/>
      <c r="CX258" s="134"/>
      <c r="CY258" s="134"/>
      <c r="CZ258" s="134"/>
      <c r="DA258" s="134"/>
      <c r="DB258" s="134"/>
      <c r="DC258" s="134"/>
      <c r="DD258" s="134"/>
      <c r="DE258" s="31">
        <f>$A$45</f>
        <v>20222</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Data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Data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Data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Data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Data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Data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Data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Data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Data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20132</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20132</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20132</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20132</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20132</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20132</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20132</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20132</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20132</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20132</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20142</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20142</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20142</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20142</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20142</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20142</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20142</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20142</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20142</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20142</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20152</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20152</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20152</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20152</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20152</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20152</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20152</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20152</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20152</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20152</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20162</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20162</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20162</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20162</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20162</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20162</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20162</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20162</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20162</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20162</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20172</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20172</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20172</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20172</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20172</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20172</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20172</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20172</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20172</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20172</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20182</v>
      </c>
      <c r="B267" s="105"/>
      <c r="C267" s="90" t="str">
        <f t="shared" si="441"/>
        <v/>
      </c>
      <c r="D267" s="90" t="str">
        <f t="shared" si="441"/>
        <v/>
      </c>
      <c r="E267" s="90" t="str">
        <f t="shared" si="441"/>
        <v/>
      </c>
      <c r="F267" s="90" t="str">
        <f t="shared" si="441"/>
        <v/>
      </c>
      <c r="G267" s="22"/>
      <c r="H267" s="22"/>
      <c r="I267" s="22"/>
      <c r="J267" s="22"/>
      <c r="K267" s="22"/>
      <c r="L267" s="22"/>
      <c r="M267" s="91">
        <f>$A$41</f>
        <v>20182</v>
      </c>
      <c r="N267" s="105"/>
      <c r="O267" s="90" t="str">
        <f t="shared" si="442"/>
        <v/>
      </c>
      <c r="P267" s="90" t="str">
        <f t="shared" si="442"/>
        <v/>
      </c>
      <c r="Q267" s="90" t="str">
        <f t="shared" si="442"/>
        <v/>
      </c>
      <c r="R267" s="90" t="str">
        <f t="shared" si="442"/>
        <v/>
      </c>
      <c r="S267" s="22"/>
      <c r="T267" s="22"/>
      <c r="U267" s="22"/>
      <c r="V267" s="22"/>
      <c r="W267" s="22"/>
      <c r="X267" s="22"/>
      <c r="Y267" s="91">
        <f>$A$41</f>
        <v>20182</v>
      </c>
      <c r="Z267" s="105"/>
      <c r="AA267" s="90" t="str">
        <f t="shared" si="443"/>
        <v/>
      </c>
      <c r="AB267" s="90" t="str">
        <f t="shared" si="443"/>
        <v/>
      </c>
      <c r="AC267" s="90" t="str">
        <f t="shared" si="443"/>
        <v/>
      </c>
      <c r="AD267" s="90" t="str">
        <f t="shared" si="443"/>
        <v/>
      </c>
      <c r="AE267" s="22"/>
      <c r="AF267" s="22"/>
      <c r="AG267" s="22"/>
      <c r="AH267" s="22"/>
      <c r="AI267" s="22"/>
      <c r="AJ267" s="22"/>
      <c r="AK267" s="91">
        <f>$A$41</f>
        <v>20182</v>
      </c>
      <c r="AL267" s="105"/>
      <c r="AM267" s="90" t="str">
        <f t="shared" si="444"/>
        <v/>
      </c>
      <c r="AN267" s="90" t="str">
        <f t="shared" si="444"/>
        <v/>
      </c>
      <c r="AO267" s="90" t="str">
        <f t="shared" si="444"/>
        <v/>
      </c>
      <c r="AP267" s="90" t="str">
        <f t="shared" si="444"/>
        <v/>
      </c>
      <c r="AQ267" s="22"/>
      <c r="AR267" s="22"/>
      <c r="AS267" s="22"/>
      <c r="AT267" s="22"/>
      <c r="AU267" s="22"/>
      <c r="AV267" s="22"/>
      <c r="AW267" s="91">
        <f>$A$41</f>
        <v>20182</v>
      </c>
      <c r="AX267" s="105"/>
      <c r="AY267" s="90" t="str">
        <f t="shared" si="445"/>
        <v/>
      </c>
      <c r="AZ267" s="90" t="str">
        <f t="shared" si="445"/>
        <v/>
      </c>
      <c r="BA267" s="90" t="str">
        <f t="shared" si="445"/>
        <v/>
      </c>
      <c r="BB267" s="90" t="str">
        <f t="shared" si="445"/>
        <v/>
      </c>
      <c r="BC267" s="22"/>
      <c r="BD267" s="22"/>
      <c r="BE267" s="22"/>
      <c r="BF267" s="22"/>
      <c r="BG267" s="22"/>
      <c r="BH267" s="22"/>
      <c r="BI267" s="91">
        <f>$A$41</f>
        <v>20182</v>
      </c>
      <c r="BJ267" s="105"/>
      <c r="BK267" s="90" t="str">
        <f t="shared" si="446"/>
        <v/>
      </c>
      <c r="BL267" s="90" t="str">
        <f t="shared" si="446"/>
        <v/>
      </c>
      <c r="BM267" s="90" t="str">
        <f t="shared" si="446"/>
        <v/>
      </c>
      <c r="BN267" s="90" t="str">
        <f t="shared" si="446"/>
        <v/>
      </c>
      <c r="BO267" s="22"/>
      <c r="BP267" s="22"/>
      <c r="BQ267" s="22"/>
      <c r="BR267" s="22"/>
      <c r="BS267" s="22"/>
      <c r="BT267" s="22"/>
      <c r="BU267" s="91">
        <f>$A$41</f>
        <v>20182</v>
      </c>
      <c r="BV267" s="105"/>
      <c r="BW267" s="90" t="str">
        <f t="shared" si="447"/>
        <v/>
      </c>
      <c r="BX267" s="90" t="str">
        <f t="shared" si="447"/>
        <v/>
      </c>
      <c r="BY267" s="90" t="str">
        <f t="shared" si="447"/>
        <v/>
      </c>
      <c r="BZ267" s="90" t="str">
        <f t="shared" si="447"/>
        <v/>
      </c>
      <c r="CA267" s="22"/>
      <c r="CB267" s="22"/>
      <c r="CC267" s="22"/>
      <c r="CD267" s="22"/>
      <c r="CE267" s="22"/>
      <c r="CF267" s="22"/>
      <c r="CG267" s="91">
        <f>$A$41</f>
        <v>20182</v>
      </c>
      <c r="CH267" s="105"/>
      <c r="CI267" s="90" t="str">
        <f t="shared" si="448"/>
        <v/>
      </c>
      <c r="CJ267" s="90" t="str">
        <f t="shared" si="448"/>
        <v/>
      </c>
      <c r="CK267" s="90" t="str">
        <f t="shared" si="448"/>
        <v/>
      </c>
      <c r="CL267" s="90" t="str">
        <f t="shared" si="448"/>
        <v/>
      </c>
      <c r="CM267" s="22"/>
      <c r="CN267" s="22"/>
      <c r="CO267" s="22"/>
      <c r="CP267" s="22"/>
      <c r="CQ267" s="22"/>
      <c r="CR267" s="22"/>
      <c r="CS267" s="91">
        <f>$A$41</f>
        <v>20182</v>
      </c>
      <c r="CT267" s="105"/>
      <c r="CU267" s="90" t="str">
        <f t="shared" si="449"/>
        <v/>
      </c>
      <c r="CV267" s="90" t="str">
        <f t="shared" si="449"/>
        <v/>
      </c>
      <c r="CW267" s="90" t="str">
        <f t="shared" si="449"/>
        <v/>
      </c>
      <c r="CX267" s="90" t="str">
        <f t="shared" si="449"/>
        <v/>
      </c>
      <c r="CY267" s="22"/>
      <c r="CZ267" s="22"/>
      <c r="DA267" s="22"/>
      <c r="DB267" s="22"/>
      <c r="DC267" s="22"/>
      <c r="DD267" s="22"/>
      <c r="DE267" s="91">
        <f>$A$41</f>
        <v>20182</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20192</v>
      </c>
      <c r="B268" s="105"/>
      <c r="C268" s="90" t="str">
        <f t="shared" si="441"/>
        <v/>
      </c>
      <c r="D268" s="90" t="str">
        <f t="shared" si="441"/>
        <v/>
      </c>
      <c r="E268" s="90" t="str">
        <f t="shared" si="441"/>
        <v/>
      </c>
      <c r="F268" s="22"/>
      <c r="G268" s="22"/>
      <c r="H268" s="22"/>
      <c r="I268" s="22"/>
      <c r="J268" s="22"/>
      <c r="K268" s="22"/>
      <c r="L268" s="22"/>
      <c r="M268" s="91">
        <f>$A$42</f>
        <v>20192</v>
      </c>
      <c r="N268" s="105"/>
      <c r="O268" s="90" t="str">
        <f t="shared" si="442"/>
        <v/>
      </c>
      <c r="P268" s="90" t="str">
        <f t="shared" si="442"/>
        <v/>
      </c>
      <c r="Q268" s="90" t="str">
        <f t="shared" si="442"/>
        <v/>
      </c>
      <c r="R268" s="22"/>
      <c r="S268" s="22"/>
      <c r="T268" s="22"/>
      <c r="U268" s="22"/>
      <c r="V268" s="22"/>
      <c r="W268" s="22"/>
      <c r="X268" s="22"/>
      <c r="Y268" s="91">
        <f>$A$42</f>
        <v>20192</v>
      </c>
      <c r="Z268" s="105"/>
      <c r="AA268" s="90" t="str">
        <f t="shared" si="443"/>
        <v/>
      </c>
      <c r="AB268" s="90" t="str">
        <f t="shared" si="443"/>
        <v/>
      </c>
      <c r="AC268" s="90" t="str">
        <f t="shared" si="443"/>
        <v/>
      </c>
      <c r="AD268" s="22"/>
      <c r="AE268" s="22"/>
      <c r="AF268" s="22"/>
      <c r="AG268" s="22"/>
      <c r="AH268" s="22"/>
      <c r="AI268" s="22"/>
      <c r="AJ268" s="22"/>
      <c r="AK268" s="91">
        <f>$A$42</f>
        <v>20192</v>
      </c>
      <c r="AL268" s="105"/>
      <c r="AM268" s="90" t="str">
        <f t="shared" si="444"/>
        <v/>
      </c>
      <c r="AN268" s="90" t="str">
        <f t="shared" si="444"/>
        <v/>
      </c>
      <c r="AO268" s="90" t="str">
        <f t="shared" si="444"/>
        <v/>
      </c>
      <c r="AP268" s="22"/>
      <c r="AQ268" s="22"/>
      <c r="AR268" s="22"/>
      <c r="AS268" s="22"/>
      <c r="AT268" s="22"/>
      <c r="AU268" s="22"/>
      <c r="AV268" s="22"/>
      <c r="AW268" s="91">
        <f>$A$42</f>
        <v>20192</v>
      </c>
      <c r="AX268" s="105"/>
      <c r="AY268" s="90" t="str">
        <f t="shared" si="445"/>
        <v/>
      </c>
      <c r="AZ268" s="90" t="str">
        <f t="shared" si="445"/>
        <v/>
      </c>
      <c r="BA268" s="90" t="str">
        <f t="shared" si="445"/>
        <v/>
      </c>
      <c r="BB268" s="22"/>
      <c r="BC268" s="22"/>
      <c r="BD268" s="22"/>
      <c r="BE268" s="22"/>
      <c r="BF268" s="22"/>
      <c r="BG268" s="22"/>
      <c r="BH268" s="22"/>
      <c r="BI268" s="91">
        <f>$A$42</f>
        <v>20192</v>
      </c>
      <c r="BJ268" s="105"/>
      <c r="BK268" s="90" t="str">
        <f t="shared" si="446"/>
        <v/>
      </c>
      <c r="BL268" s="90" t="str">
        <f t="shared" si="446"/>
        <v/>
      </c>
      <c r="BM268" s="90" t="str">
        <f t="shared" si="446"/>
        <v/>
      </c>
      <c r="BN268" s="22"/>
      <c r="BO268" s="22"/>
      <c r="BP268" s="22"/>
      <c r="BQ268" s="22"/>
      <c r="BR268" s="22"/>
      <c r="BS268" s="22"/>
      <c r="BT268" s="22"/>
      <c r="BU268" s="91">
        <f>$A$42</f>
        <v>20192</v>
      </c>
      <c r="BV268" s="105"/>
      <c r="BW268" s="90" t="str">
        <f t="shared" si="447"/>
        <v/>
      </c>
      <c r="BX268" s="90" t="str">
        <f t="shared" si="447"/>
        <v/>
      </c>
      <c r="BY268" s="90" t="str">
        <f t="shared" si="447"/>
        <v/>
      </c>
      <c r="BZ268" s="22"/>
      <c r="CA268" s="22"/>
      <c r="CB268" s="22"/>
      <c r="CC268" s="22"/>
      <c r="CD268" s="22"/>
      <c r="CE268" s="22"/>
      <c r="CF268" s="22"/>
      <c r="CG268" s="91">
        <f>$A$42</f>
        <v>20192</v>
      </c>
      <c r="CH268" s="105"/>
      <c r="CI268" s="90" t="str">
        <f t="shared" si="448"/>
        <v/>
      </c>
      <c r="CJ268" s="90" t="str">
        <f t="shared" si="448"/>
        <v/>
      </c>
      <c r="CK268" s="90" t="str">
        <f t="shared" si="448"/>
        <v/>
      </c>
      <c r="CL268" s="22"/>
      <c r="CM268" s="22"/>
      <c r="CN268" s="22"/>
      <c r="CO268" s="22"/>
      <c r="CP268" s="22"/>
      <c r="CQ268" s="22"/>
      <c r="CR268" s="22"/>
      <c r="CS268" s="91">
        <f>$A$42</f>
        <v>20192</v>
      </c>
      <c r="CT268" s="105"/>
      <c r="CU268" s="90" t="str">
        <f t="shared" si="449"/>
        <v/>
      </c>
      <c r="CV268" s="90" t="str">
        <f t="shared" si="449"/>
        <v/>
      </c>
      <c r="CW268" s="90" t="str">
        <f t="shared" si="449"/>
        <v/>
      </c>
      <c r="CX268" s="22"/>
      <c r="CY268" s="22"/>
      <c r="CZ268" s="22"/>
      <c r="DA268" s="22"/>
      <c r="DB268" s="22"/>
      <c r="DC268" s="22"/>
      <c r="DD268" s="22"/>
      <c r="DE268" s="91">
        <f>$A$42</f>
        <v>20192</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20202</v>
      </c>
      <c r="B269" s="105"/>
      <c r="C269" s="90" t="str">
        <f t="shared" si="441"/>
        <v/>
      </c>
      <c r="D269" s="90" t="str">
        <f t="shared" si="441"/>
        <v/>
      </c>
      <c r="E269" s="22"/>
      <c r="F269" s="22"/>
      <c r="G269" s="22"/>
      <c r="H269" s="22"/>
      <c r="I269" s="22"/>
      <c r="J269" s="22"/>
      <c r="K269" s="22"/>
      <c r="L269" s="22"/>
      <c r="M269" s="91">
        <f>$A$43</f>
        <v>20202</v>
      </c>
      <c r="N269" s="105"/>
      <c r="O269" s="90" t="str">
        <f t="shared" si="442"/>
        <v/>
      </c>
      <c r="P269" s="90" t="str">
        <f t="shared" si="442"/>
        <v/>
      </c>
      <c r="Q269" s="22"/>
      <c r="R269" s="22"/>
      <c r="S269" s="22"/>
      <c r="T269" s="22"/>
      <c r="U269" s="22"/>
      <c r="V269" s="22"/>
      <c r="W269" s="22"/>
      <c r="X269" s="22"/>
      <c r="Y269" s="91">
        <f>$A$43</f>
        <v>20202</v>
      </c>
      <c r="Z269" s="105"/>
      <c r="AA269" s="90" t="str">
        <f t="shared" si="443"/>
        <v/>
      </c>
      <c r="AB269" s="90" t="str">
        <f t="shared" si="443"/>
        <v/>
      </c>
      <c r="AC269" s="22"/>
      <c r="AD269" s="22"/>
      <c r="AE269" s="22"/>
      <c r="AF269" s="22"/>
      <c r="AG269" s="22"/>
      <c r="AH269" s="22"/>
      <c r="AI269" s="22"/>
      <c r="AJ269" s="22"/>
      <c r="AK269" s="91">
        <f>$A$43</f>
        <v>20202</v>
      </c>
      <c r="AL269" s="105"/>
      <c r="AM269" s="90" t="str">
        <f t="shared" si="444"/>
        <v/>
      </c>
      <c r="AN269" s="90" t="str">
        <f t="shared" si="444"/>
        <v/>
      </c>
      <c r="AO269" s="22"/>
      <c r="AP269" s="22"/>
      <c r="AQ269" s="22"/>
      <c r="AR269" s="22"/>
      <c r="AS269" s="22"/>
      <c r="AT269" s="22"/>
      <c r="AU269" s="22"/>
      <c r="AV269" s="22"/>
      <c r="AW269" s="91">
        <f>$A$43</f>
        <v>20202</v>
      </c>
      <c r="AX269" s="105"/>
      <c r="AY269" s="90" t="str">
        <f t="shared" si="445"/>
        <v/>
      </c>
      <c r="AZ269" s="90" t="str">
        <f t="shared" si="445"/>
        <v/>
      </c>
      <c r="BA269" s="22"/>
      <c r="BB269" s="22"/>
      <c r="BC269" s="22"/>
      <c r="BD269" s="22"/>
      <c r="BE269" s="22"/>
      <c r="BF269" s="22"/>
      <c r="BG269" s="22"/>
      <c r="BH269" s="22"/>
      <c r="BI269" s="91">
        <f>$A$43</f>
        <v>20202</v>
      </c>
      <c r="BJ269" s="105"/>
      <c r="BK269" s="90" t="str">
        <f t="shared" si="446"/>
        <v/>
      </c>
      <c r="BL269" s="90" t="str">
        <f t="shared" si="446"/>
        <v/>
      </c>
      <c r="BM269" s="22"/>
      <c r="BN269" s="22"/>
      <c r="BO269" s="22"/>
      <c r="BP269" s="22"/>
      <c r="BQ269" s="22"/>
      <c r="BR269" s="22"/>
      <c r="BS269" s="22"/>
      <c r="BT269" s="22"/>
      <c r="BU269" s="91">
        <f>$A$43</f>
        <v>20202</v>
      </c>
      <c r="BV269" s="105"/>
      <c r="BW269" s="90" t="str">
        <f t="shared" si="447"/>
        <v/>
      </c>
      <c r="BX269" s="90" t="str">
        <f t="shared" si="447"/>
        <v/>
      </c>
      <c r="BY269" s="22"/>
      <c r="BZ269" s="22"/>
      <c r="CA269" s="22"/>
      <c r="CB269" s="22"/>
      <c r="CC269" s="22"/>
      <c r="CD269" s="22"/>
      <c r="CE269" s="22"/>
      <c r="CF269" s="22"/>
      <c r="CG269" s="91">
        <f>$A$43</f>
        <v>20202</v>
      </c>
      <c r="CH269" s="105"/>
      <c r="CI269" s="90" t="str">
        <f t="shared" si="448"/>
        <v/>
      </c>
      <c r="CJ269" s="90" t="str">
        <f t="shared" si="448"/>
        <v/>
      </c>
      <c r="CK269" s="22"/>
      <c r="CL269" s="22"/>
      <c r="CM269" s="22"/>
      <c r="CN269" s="22"/>
      <c r="CO269" s="22"/>
      <c r="CP269" s="22"/>
      <c r="CQ269" s="22"/>
      <c r="CR269" s="22"/>
      <c r="CS269" s="91">
        <f>$A$43</f>
        <v>20202</v>
      </c>
      <c r="CT269" s="105"/>
      <c r="CU269" s="90" t="str">
        <f t="shared" si="449"/>
        <v/>
      </c>
      <c r="CV269" s="90" t="str">
        <f t="shared" si="449"/>
        <v/>
      </c>
      <c r="CW269" s="22"/>
      <c r="CX269" s="22"/>
      <c r="CY269" s="22"/>
      <c r="CZ269" s="22"/>
      <c r="DA269" s="22"/>
      <c r="DB269" s="22"/>
      <c r="DC269" s="22"/>
      <c r="DD269" s="22"/>
      <c r="DE269" s="91">
        <f>$A$43</f>
        <v>20202</v>
      </c>
      <c r="DF269" s="105"/>
      <c r="DG269" s="90" t="str">
        <f t="shared" si="450"/>
        <v/>
      </c>
      <c r="DH269" s="90" t="str">
        <f t="shared" si="450"/>
        <v/>
      </c>
      <c r="DI269" s="22"/>
      <c r="DJ269" s="22"/>
      <c r="DK269" s="22"/>
      <c r="DL269" s="22"/>
      <c r="DM269" s="22"/>
      <c r="DN269" s="22"/>
      <c r="DO269" s="22"/>
      <c r="DP269" s="22"/>
    </row>
    <row r="270" spans="1:120" x14ac:dyDescent="0.25">
      <c r="A270" s="91">
        <f>$A$44</f>
        <v>20212</v>
      </c>
      <c r="B270" s="105"/>
      <c r="C270" s="90" t="str">
        <f t="shared" si="441"/>
        <v/>
      </c>
      <c r="D270" s="22"/>
      <c r="E270" s="22"/>
      <c r="F270" s="22"/>
      <c r="G270" s="22"/>
      <c r="H270" s="22"/>
      <c r="I270" s="22"/>
      <c r="J270" s="22"/>
      <c r="K270" s="22"/>
      <c r="L270" s="22"/>
      <c r="M270" s="91">
        <f>$A$44</f>
        <v>20212</v>
      </c>
      <c r="N270" s="105"/>
      <c r="O270" s="90" t="str">
        <f t="shared" si="442"/>
        <v/>
      </c>
      <c r="P270" s="22"/>
      <c r="Q270" s="22"/>
      <c r="R270" s="22"/>
      <c r="S270" s="22"/>
      <c r="T270" s="22"/>
      <c r="U270" s="22"/>
      <c r="V270" s="22"/>
      <c r="W270" s="22"/>
      <c r="X270" s="22"/>
      <c r="Y270" s="91">
        <f>$A$44</f>
        <v>20212</v>
      </c>
      <c r="Z270" s="105"/>
      <c r="AA270" s="90" t="str">
        <f t="shared" si="443"/>
        <v/>
      </c>
      <c r="AB270" s="22"/>
      <c r="AC270" s="22"/>
      <c r="AD270" s="22"/>
      <c r="AE270" s="22"/>
      <c r="AF270" s="22"/>
      <c r="AG270" s="22"/>
      <c r="AH270" s="22"/>
      <c r="AI270" s="22"/>
      <c r="AJ270" s="22"/>
      <c r="AK270" s="91">
        <f>$A$44</f>
        <v>20212</v>
      </c>
      <c r="AL270" s="105"/>
      <c r="AM270" s="90" t="str">
        <f t="shared" si="444"/>
        <v/>
      </c>
      <c r="AN270" s="22"/>
      <c r="AO270" s="22"/>
      <c r="AP270" s="22"/>
      <c r="AQ270" s="22"/>
      <c r="AR270" s="22"/>
      <c r="AS270" s="22"/>
      <c r="AT270" s="22"/>
      <c r="AU270" s="22"/>
      <c r="AV270" s="22"/>
      <c r="AW270" s="91">
        <f>$A$44</f>
        <v>20212</v>
      </c>
      <c r="AX270" s="105"/>
      <c r="AY270" s="90" t="str">
        <f t="shared" si="445"/>
        <v/>
      </c>
      <c r="AZ270" s="22"/>
      <c r="BA270" s="22"/>
      <c r="BB270" s="22"/>
      <c r="BC270" s="22"/>
      <c r="BD270" s="22"/>
      <c r="BE270" s="22"/>
      <c r="BF270" s="22"/>
      <c r="BG270" s="22"/>
      <c r="BH270" s="22"/>
      <c r="BI270" s="91">
        <f>$A$44</f>
        <v>20212</v>
      </c>
      <c r="BJ270" s="105"/>
      <c r="BK270" s="90" t="str">
        <f t="shared" si="446"/>
        <v/>
      </c>
      <c r="BL270" s="22"/>
      <c r="BM270" s="22"/>
      <c r="BN270" s="22"/>
      <c r="BO270" s="22"/>
      <c r="BP270" s="22"/>
      <c r="BQ270" s="22"/>
      <c r="BR270" s="22"/>
      <c r="BS270" s="22"/>
      <c r="BT270" s="22"/>
      <c r="BU270" s="91">
        <f>$A$44</f>
        <v>20212</v>
      </c>
      <c r="BV270" s="105"/>
      <c r="BW270" s="90" t="str">
        <f t="shared" si="447"/>
        <v/>
      </c>
      <c r="BX270" s="22"/>
      <c r="BY270" s="22"/>
      <c r="BZ270" s="22"/>
      <c r="CA270" s="22"/>
      <c r="CB270" s="22"/>
      <c r="CC270" s="22"/>
      <c r="CD270" s="22"/>
      <c r="CE270" s="22"/>
      <c r="CF270" s="22"/>
      <c r="CG270" s="91">
        <f>$A$44</f>
        <v>20212</v>
      </c>
      <c r="CH270" s="105"/>
      <c r="CI270" s="90" t="str">
        <f t="shared" si="448"/>
        <v/>
      </c>
      <c r="CJ270" s="22"/>
      <c r="CK270" s="22"/>
      <c r="CL270" s="22"/>
      <c r="CM270" s="22"/>
      <c r="CN270" s="22"/>
      <c r="CO270" s="22"/>
      <c r="CP270" s="22"/>
      <c r="CQ270" s="22"/>
      <c r="CR270" s="22"/>
      <c r="CS270" s="91">
        <f>$A$44</f>
        <v>20212</v>
      </c>
      <c r="CT270" s="105"/>
      <c r="CU270" s="90" t="str">
        <f t="shared" si="449"/>
        <v/>
      </c>
      <c r="CV270" s="22"/>
      <c r="CW270" s="22"/>
      <c r="CX270" s="22"/>
      <c r="CY270" s="22"/>
      <c r="CZ270" s="22"/>
      <c r="DA270" s="22"/>
      <c r="DB270" s="22"/>
      <c r="DC270" s="22"/>
      <c r="DD270" s="22"/>
      <c r="DE270" s="91">
        <f>$A$44</f>
        <v>20212</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Homeowners Multiple Peril</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Renters</v>
      </c>
      <c r="N280" s="69"/>
      <c r="O280" s="18"/>
      <c r="P280" s="18"/>
      <c r="Q280" s="18"/>
      <c r="R280" s="18"/>
      <c r="S280" s="18"/>
      <c r="T280" s="18"/>
      <c r="U280" s="18"/>
      <c r="V280" s="18"/>
      <c r="W280" s="18"/>
      <c r="X280" s="18"/>
      <c r="Y280" s="138" t="str">
        <f>Y$5</f>
        <v>Condominium Unitowners</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Data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Data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Data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Data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Data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Data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Data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Data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Data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20132</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20132</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20132</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20132</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20132</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20132</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20132</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20132</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20132</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20132</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20142</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20142</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20142</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20142</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20142</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20142</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20142</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20142</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20142</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20142</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20152</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20152</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20152</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20152</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20152</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20152</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20152</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20152</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20152</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20152</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20162</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20162</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20162</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20162</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20162</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20162</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20162</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20162</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20162</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20162</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20172</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20172</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20172</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20172</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20172</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20172</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20172</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20172</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20172</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20172</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20182</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20182</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20182</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20182</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20182</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20182</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20182</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20182</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20182</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20182</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20192</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20192</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20192</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20192</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20192</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20192</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20192</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20192</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20192</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20192</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20202</v>
      </c>
      <c r="B291" s="116"/>
      <c r="C291" s="117">
        <f t="shared" ref="C291:E293" si="531">IFERROR(C256/C221,"")</f>
        <v>0</v>
      </c>
      <c r="D291" s="117">
        <f t="shared" si="531"/>
        <v>0</v>
      </c>
      <c r="E291" s="117">
        <f t="shared" si="531"/>
        <v>0</v>
      </c>
      <c r="F291" s="134"/>
      <c r="G291" s="134"/>
      <c r="H291" s="134"/>
      <c r="I291" s="134"/>
      <c r="J291" s="134"/>
      <c r="K291" s="134"/>
      <c r="L291" s="134"/>
      <c r="M291" s="31">
        <f>$A$43</f>
        <v>20202</v>
      </c>
      <c r="N291" s="116"/>
      <c r="O291" s="117">
        <f t="shared" ref="O291:Q291" si="532">IFERROR(O256/O221,"")</f>
        <v>0</v>
      </c>
      <c r="P291" s="117">
        <f t="shared" si="532"/>
        <v>0</v>
      </c>
      <c r="Q291" s="117">
        <f t="shared" si="532"/>
        <v>0</v>
      </c>
      <c r="R291" s="134"/>
      <c r="S291" s="134"/>
      <c r="T291" s="134"/>
      <c r="U291" s="134"/>
      <c r="V291" s="134"/>
      <c r="W291" s="134"/>
      <c r="X291" s="134"/>
      <c r="Y291" s="31">
        <f>$A$43</f>
        <v>20202</v>
      </c>
      <c r="Z291" s="116"/>
      <c r="AA291" s="117">
        <f t="shared" ref="AA291:AC291" si="533">IFERROR(AA256/AA221,"")</f>
        <v>0</v>
      </c>
      <c r="AB291" s="117">
        <f t="shared" si="533"/>
        <v>0</v>
      </c>
      <c r="AC291" s="117">
        <f t="shared" si="533"/>
        <v>0</v>
      </c>
      <c r="AD291" s="134"/>
      <c r="AE291" s="134"/>
      <c r="AF291" s="134"/>
      <c r="AG291" s="134"/>
      <c r="AH291" s="134"/>
      <c r="AI291" s="134"/>
      <c r="AJ291" s="134"/>
      <c r="AK291" s="31">
        <f>$A$43</f>
        <v>20202</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20202</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20202</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20202</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20202</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20202</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20202</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20212</v>
      </c>
      <c r="B292" s="116"/>
      <c r="C292" s="117">
        <f t="shared" si="531"/>
        <v>0</v>
      </c>
      <c r="D292" s="117">
        <f>IFERROR(D257/D222,"")</f>
        <v>0</v>
      </c>
      <c r="E292" s="134"/>
      <c r="F292" s="134"/>
      <c r="G292" s="134"/>
      <c r="H292" s="134"/>
      <c r="I292" s="134"/>
      <c r="J292" s="134"/>
      <c r="K292" s="134"/>
      <c r="L292" s="134"/>
      <c r="M292" s="31">
        <f>$A$44</f>
        <v>20212</v>
      </c>
      <c r="N292" s="116"/>
      <c r="O292" s="117">
        <f t="shared" ref="O292" si="541">IFERROR(O257/O222,"")</f>
        <v>0</v>
      </c>
      <c r="P292" s="117">
        <f>IFERROR(P257/P222,"")</f>
        <v>0</v>
      </c>
      <c r="Q292" s="134"/>
      <c r="R292" s="134"/>
      <c r="S292" s="134"/>
      <c r="T292" s="134"/>
      <c r="U292" s="134"/>
      <c r="V292" s="134"/>
      <c r="W292" s="134"/>
      <c r="X292" s="134"/>
      <c r="Y292" s="31">
        <f>$A$44</f>
        <v>20212</v>
      </c>
      <c r="Z292" s="116"/>
      <c r="AA292" s="117">
        <f t="shared" ref="AA292" si="542">IFERROR(AA257/AA222,"")</f>
        <v>0</v>
      </c>
      <c r="AB292" s="117">
        <f>IFERROR(AB257/AB222,"")</f>
        <v>0</v>
      </c>
      <c r="AC292" s="134"/>
      <c r="AD292" s="134"/>
      <c r="AE292" s="134"/>
      <c r="AF292" s="134"/>
      <c r="AG292" s="134"/>
      <c r="AH292" s="134"/>
      <c r="AI292" s="134"/>
      <c r="AJ292" s="134"/>
      <c r="AK292" s="31">
        <f>$A$44</f>
        <v>20212</v>
      </c>
      <c r="AL292" s="116"/>
      <c r="AM292" s="117" t="str">
        <f t="shared" ref="AM292" si="543">IFERROR(AM257/AM222,"")</f>
        <v/>
      </c>
      <c r="AN292" s="117" t="str">
        <f>IFERROR(AN257/AN222,"")</f>
        <v/>
      </c>
      <c r="AO292" s="134"/>
      <c r="AP292" s="134"/>
      <c r="AQ292" s="134"/>
      <c r="AR292" s="134"/>
      <c r="AS292" s="134"/>
      <c r="AT292" s="134"/>
      <c r="AU292" s="134"/>
      <c r="AV292" s="134"/>
      <c r="AW292" s="31">
        <f>$A$44</f>
        <v>20212</v>
      </c>
      <c r="AX292" s="116"/>
      <c r="AY292" s="117" t="str">
        <f t="shared" ref="AY292" si="544">IFERROR(AY257/AY222,"")</f>
        <v/>
      </c>
      <c r="AZ292" s="117" t="str">
        <f>IFERROR(AZ257/AZ222,"")</f>
        <v/>
      </c>
      <c r="BA292" s="134"/>
      <c r="BB292" s="134"/>
      <c r="BC292" s="134"/>
      <c r="BD292" s="134"/>
      <c r="BE292" s="134"/>
      <c r="BF292" s="134"/>
      <c r="BG292" s="134"/>
      <c r="BH292" s="134"/>
      <c r="BI292" s="31">
        <f>$A$44</f>
        <v>20212</v>
      </c>
      <c r="BJ292" s="116"/>
      <c r="BK292" s="117" t="str">
        <f t="shared" ref="BK292" si="545">IFERROR(BK257/BK222,"")</f>
        <v/>
      </c>
      <c r="BL292" s="117" t="str">
        <f>IFERROR(BL257/BL222,"")</f>
        <v/>
      </c>
      <c r="BM292" s="134"/>
      <c r="BN292" s="134"/>
      <c r="BO292" s="134"/>
      <c r="BP292" s="134"/>
      <c r="BQ292" s="134"/>
      <c r="BR292" s="134"/>
      <c r="BS292" s="134"/>
      <c r="BT292" s="134"/>
      <c r="BU292" s="31">
        <f>$A$44</f>
        <v>20212</v>
      </c>
      <c r="BV292" s="116"/>
      <c r="BW292" s="117" t="str">
        <f t="shared" ref="BW292" si="546">IFERROR(BW257/BW222,"")</f>
        <v/>
      </c>
      <c r="BX292" s="117" t="str">
        <f>IFERROR(BX257/BX222,"")</f>
        <v/>
      </c>
      <c r="BY292" s="134"/>
      <c r="BZ292" s="134"/>
      <c r="CA292" s="134"/>
      <c r="CB292" s="134"/>
      <c r="CC292" s="134"/>
      <c r="CD292" s="134"/>
      <c r="CE292" s="134"/>
      <c r="CF292" s="134"/>
      <c r="CG292" s="31">
        <f>$A$44</f>
        <v>20212</v>
      </c>
      <c r="CH292" s="116"/>
      <c r="CI292" s="117" t="str">
        <f t="shared" ref="CI292" si="547">IFERROR(CI257/CI222,"")</f>
        <v/>
      </c>
      <c r="CJ292" s="117" t="str">
        <f>IFERROR(CJ257/CJ222,"")</f>
        <v/>
      </c>
      <c r="CK292" s="134"/>
      <c r="CL292" s="134"/>
      <c r="CM292" s="134"/>
      <c r="CN292" s="134"/>
      <c r="CO292" s="134"/>
      <c r="CP292" s="134"/>
      <c r="CQ292" s="134"/>
      <c r="CR292" s="134"/>
      <c r="CS292" s="31">
        <f>$A$44</f>
        <v>20212</v>
      </c>
      <c r="CT292" s="116"/>
      <c r="CU292" s="117" t="str">
        <f t="shared" ref="CU292" si="548">IFERROR(CU257/CU222,"")</f>
        <v/>
      </c>
      <c r="CV292" s="117" t="str">
        <f>IFERROR(CV257/CV222,"")</f>
        <v/>
      </c>
      <c r="CW292" s="134"/>
      <c r="CX292" s="134"/>
      <c r="CY292" s="134"/>
      <c r="CZ292" s="134"/>
      <c r="DA292" s="134"/>
      <c r="DB292" s="134"/>
      <c r="DC292" s="134"/>
      <c r="DD292" s="134"/>
      <c r="DE292" s="31">
        <f>$A$44</f>
        <v>20212</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20222</v>
      </c>
      <c r="B293" s="116"/>
      <c r="C293" s="117">
        <f t="shared" si="531"/>
        <v>0</v>
      </c>
      <c r="D293" s="134"/>
      <c r="E293" s="134"/>
      <c r="F293" s="134"/>
      <c r="G293" s="134"/>
      <c r="H293" s="134"/>
      <c r="I293" s="134"/>
      <c r="J293" s="134"/>
      <c r="K293" s="134"/>
      <c r="L293" s="134"/>
      <c r="M293" s="31">
        <f>$A$45</f>
        <v>20222</v>
      </c>
      <c r="N293" s="116"/>
      <c r="O293" s="117">
        <f t="shared" ref="O293" si="550">IFERROR(O258/O223,"")</f>
        <v>0</v>
      </c>
      <c r="P293" s="134"/>
      <c r="Q293" s="134"/>
      <c r="R293" s="134"/>
      <c r="S293" s="134"/>
      <c r="T293" s="134"/>
      <c r="U293" s="134"/>
      <c r="V293" s="134"/>
      <c r="W293" s="134"/>
      <c r="X293" s="134"/>
      <c r="Y293" s="31">
        <f>$A$45</f>
        <v>20222</v>
      </c>
      <c r="Z293" s="116"/>
      <c r="AA293" s="117">
        <f t="shared" ref="AA293" si="551">IFERROR(AA258/AA223,"")</f>
        <v>0</v>
      </c>
      <c r="AB293" s="134"/>
      <c r="AC293" s="134"/>
      <c r="AD293" s="134"/>
      <c r="AE293" s="134"/>
      <c r="AF293" s="134"/>
      <c r="AG293" s="134"/>
      <c r="AH293" s="134"/>
      <c r="AI293" s="134"/>
      <c r="AJ293" s="134"/>
      <c r="AK293" s="31">
        <f>$A$45</f>
        <v>20222</v>
      </c>
      <c r="AL293" s="116"/>
      <c r="AM293" s="117" t="str">
        <f t="shared" ref="AM293" si="552">IFERROR(AM258/AM223,"")</f>
        <v/>
      </c>
      <c r="AN293" s="134"/>
      <c r="AO293" s="134"/>
      <c r="AP293" s="134"/>
      <c r="AQ293" s="134"/>
      <c r="AR293" s="134"/>
      <c r="AS293" s="134"/>
      <c r="AT293" s="134"/>
      <c r="AU293" s="134"/>
      <c r="AV293" s="134"/>
      <c r="AW293" s="31">
        <f>$A$45</f>
        <v>20222</v>
      </c>
      <c r="AX293" s="116"/>
      <c r="AY293" s="117" t="str">
        <f t="shared" ref="AY293" si="553">IFERROR(AY258/AY223,"")</f>
        <v/>
      </c>
      <c r="AZ293" s="134"/>
      <c r="BA293" s="134"/>
      <c r="BB293" s="134"/>
      <c r="BC293" s="134"/>
      <c r="BD293" s="134"/>
      <c r="BE293" s="134"/>
      <c r="BF293" s="134"/>
      <c r="BG293" s="134"/>
      <c r="BH293" s="134"/>
      <c r="BI293" s="31">
        <f>$A$45</f>
        <v>20222</v>
      </c>
      <c r="BJ293" s="116"/>
      <c r="BK293" s="117" t="str">
        <f t="shared" ref="BK293" si="554">IFERROR(BK258/BK223,"")</f>
        <v/>
      </c>
      <c r="BL293" s="134"/>
      <c r="BM293" s="134"/>
      <c r="BN293" s="134"/>
      <c r="BO293" s="134"/>
      <c r="BP293" s="134"/>
      <c r="BQ293" s="134"/>
      <c r="BR293" s="134"/>
      <c r="BS293" s="134"/>
      <c r="BT293" s="134"/>
      <c r="BU293" s="31">
        <f>$A$45</f>
        <v>20222</v>
      </c>
      <c r="BV293" s="116"/>
      <c r="BW293" s="117" t="str">
        <f t="shared" ref="BW293" si="555">IFERROR(BW258/BW223,"")</f>
        <v/>
      </c>
      <c r="BX293" s="134"/>
      <c r="BY293" s="134"/>
      <c r="BZ293" s="134"/>
      <c r="CA293" s="134"/>
      <c r="CB293" s="134"/>
      <c r="CC293" s="134"/>
      <c r="CD293" s="134"/>
      <c r="CE293" s="134"/>
      <c r="CF293" s="134"/>
      <c r="CG293" s="31">
        <f>$A$45</f>
        <v>20222</v>
      </c>
      <c r="CH293" s="116"/>
      <c r="CI293" s="117" t="str">
        <f t="shared" ref="CI293" si="556">IFERROR(CI258/CI223,"")</f>
        <v/>
      </c>
      <c r="CJ293" s="134"/>
      <c r="CK293" s="134"/>
      <c r="CL293" s="134"/>
      <c r="CM293" s="134"/>
      <c r="CN293" s="134"/>
      <c r="CO293" s="134"/>
      <c r="CP293" s="134"/>
      <c r="CQ293" s="134"/>
      <c r="CR293" s="134"/>
      <c r="CS293" s="31">
        <f>$A$45</f>
        <v>20222</v>
      </c>
      <c r="CT293" s="116"/>
      <c r="CU293" s="117" t="str">
        <f t="shared" ref="CU293" si="557">IFERROR(CU258/CU223,"")</f>
        <v/>
      </c>
      <c r="CV293" s="134"/>
      <c r="CW293" s="134"/>
      <c r="CX293" s="134"/>
      <c r="CY293" s="134"/>
      <c r="CZ293" s="134"/>
      <c r="DA293" s="134"/>
      <c r="DB293" s="134"/>
      <c r="DC293" s="134"/>
      <c r="DD293" s="134"/>
      <c r="DE293" s="31">
        <f>$A$45</f>
        <v>20222</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Data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Data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Data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Data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Data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Data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Data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Data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Data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20132</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20132</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20132</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20132</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20132</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20132</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20132</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20132</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20132</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20132</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20142</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20142</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20142</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20142</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20142</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20142</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20142</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20142</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20142</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20142</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20152</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20152</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20152</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20152</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20152</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20152</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20152</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20152</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20152</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20152</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20162</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20162</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20162</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20162</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20162</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20162</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20162</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20162</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20162</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20162</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20172</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20172</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20172</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20172</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20172</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20172</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20172</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20172</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20172</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20172</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20182</v>
      </c>
      <c r="B302" s="105"/>
      <c r="C302" s="90" t="str">
        <f t="shared" si="569"/>
        <v/>
      </c>
      <c r="D302" s="90" t="str">
        <f t="shared" si="569"/>
        <v/>
      </c>
      <c r="E302" s="90" t="str">
        <f t="shared" si="569"/>
        <v/>
      </c>
      <c r="F302" s="90" t="str">
        <f t="shared" si="569"/>
        <v/>
      </c>
      <c r="G302" s="22"/>
      <c r="H302" s="22"/>
      <c r="I302" s="22"/>
      <c r="J302" s="22"/>
      <c r="K302" s="22"/>
      <c r="L302" s="22"/>
      <c r="M302" s="91">
        <f>$A$41</f>
        <v>20182</v>
      </c>
      <c r="N302" s="105"/>
      <c r="O302" s="90" t="str">
        <f t="shared" si="570"/>
        <v/>
      </c>
      <c r="P302" s="90" t="str">
        <f t="shared" si="570"/>
        <v/>
      </c>
      <c r="Q302" s="90" t="str">
        <f t="shared" si="570"/>
        <v/>
      </c>
      <c r="R302" s="90" t="str">
        <f t="shared" si="570"/>
        <v/>
      </c>
      <c r="S302" s="22"/>
      <c r="T302" s="22"/>
      <c r="U302" s="22"/>
      <c r="V302" s="22"/>
      <c r="W302" s="22"/>
      <c r="X302" s="22"/>
      <c r="Y302" s="91">
        <f>$A$41</f>
        <v>20182</v>
      </c>
      <c r="Z302" s="105"/>
      <c r="AA302" s="90" t="str">
        <f t="shared" si="571"/>
        <v/>
      </c>
      <c r="AB302" s="90" t="str">
        <f t="shared" si="571"/>
        <v/>
      </c>
      <c r="AC302" s="90" t="str">
        <f t="shared" si="571"/>
        <v/>
      </c>
      <c r="AD302" s="90" t="str">
        <f t="shared" si="571"/>
        <v/>
      </c>
      <c r="AE302" s="22"/>
      <c r="AF302" s="22"/>
      <c r="AG302" s="22"/>
      <c r="AH302" s="22"/>
      <c r="AI302" s="22"/>
      <c r="AJ302" s="22"/>
      <c r="AK302" s="91">
        <f>$A$41</f>
        <v>20182</v>
      </c>
      <c r="AL302" s="105"/>
      <c r="AM302" s="90" t="str">
        <f t="shared" si="572"/>
        <v/>
      </c>
      <c r="AN302" s="90" t="str">
        <f t="shared" si="572"/>
        <v/>
      </c>
      <c r="AO302" s="90" t="str">
        <f t="shared" si="572"/>
        <v/>
      </c>
      <c r="AP302" s="90" t="str">
        <f t="shared" si="572"/>
        <v/>
      </c>
      <c r="AQ302" s="22"/>
      <c r="AR302" s="22"/>
      <c r="AS302" s="22"/>
      <c r="AT302" s="22"/>
      <c r="AU302" s="22"/>
      <c r="AV302" s="22"/>
      <c r="AW302" s="91">
        <f>$A$41</f>
        <v>20182</v>
      </c>
      <c r="AX302" s="105"/>
      <c r="AY302" s="90" t="str">
        <f t="shared" si="573"/>
        <v/>
      </c>
      <c r="AZ302" s="90" t="str">
        <f t="shared" si="573"/>
        <v/>
      </c>
      <c r="BA302" s="90" t="str">
        <f t="shared" si="573"/>
        <v/>
      </c>
      <c r="BB302" s="90" t="str">
        <f t="shared" si="573"/>
        <v/>
      </c>
      <c r="BC302" s="22"/>
      <c r="BD302" s="22"/>
      <c r="BE302" s="22"/>
      <c r="BF302" s="22"/>
      <c r="BG302" s="22"/>
      <c r="BH302" s="22"/>
      <c r="BI302" s="91">
        <f>$A$41</f>
        <v>20182</v>
      </c>
      <c r="BJ302" s="105"/>
      <c r="BK302" s="90" t="str">
        <f t="shared" si="574"/>
        <v/>
      </c>
      <c r="BL302" s="90" t="str">
        <f t="shared" si="574"/>
        <v/>
      </c>
      <c r="BM302" s="90" t="str">
        <f t="shared" si="574"/>
        <v/>
      </c>
      <c r="BN302" s="90" t="str">
        <f t="shared" si="574"/>
        <v/>
      </c>
      <c r="BO302" s="22"/>
      <c r="BP302" s="22"/>
      <c r="BQ302" s="22"/>
      <c r="BR302" s="22"/>
      <c r="BS302" s="22"/>
      <c r="BT302" s="22"/>
      <c r="BU302" s="91">
        <f>$A$41</f>
        <v>20182</v>
      </c>
      <c r="BV302" s="105"/>
      <c r="BW302" s="90" t="str">
        <f t="shared" si="575"/>
        <v/>
      </c>
      <c r="BX302" s="90" t="str">
        <f t="shared" si="575"/>
        <v/>
      </c>
      <c r="BY302" s="90" t="str">
        <f t="shared" si="575"/>
        <v/>
      </c>
      <c r="BZ302" s="90" t="str">
        <f t="shared" si="575"/>
        <v/>
      </c>
      <c r="CA302" s="22"/>
      <c r="CB302" s="22"/>
      <c r="CC302" s="22"/>
      <c r="CD302" s="22"/>
      <c r="CE302" s="22"/>
      <c r="CF302" s="22"/>
      <c r="CG302" s="91">
        <f>$A$41</f>
        <v>20182</v>
      </c>
      <c r="CH302" s="105"/>
      <c r="CI302" s="90" t="str">
        <f t="shared" si="576"/>
        <v/>
      </c>
      <c r="CJ302" s="90" t="str">
        <f t="shared" si="576"/>
        <v/>
      </c>
      <c r="CK302" s="90" t="str">
        <f t="shared" si="576"/>
        <v/>
      </c>
      <c r="CL302" s="90" t="str">
        <f t="shared" si="576"/>
        <v/>
      </c>
      <c r="CM302" s="22"/>
      <c r="CN302" s="22"/>
      <c r="CO302" s="22"/>
      <c r="CP302" s="22"/>
      <c r="CQ302" s="22"/>
      <c r="CR302" s="22"/>
      <c r="CS302" s="91">
        <f>$A$41</f>
        <v>20182</v>
      </c>
      <c r="CT302" s="105"/>
      <c r="CU302" s="90" t="str">
        <f t="shared" si="577"/>
        <v/>
      </c>
      <c r="CV302" s="90" t="str">
        <f t="shared" si="577"/>
        <v/>
      </c>
      <c r="CW302" s="90" t="str">
        <f t="shared" si="577"/>
        <v/>
      </c>
      <c r="CX302" s="90" t="str">
        <f t="shared" si="577"/>
        <v/>
      </c>
      <c r="CY302" s="22"/>
      <c r="CZ302" s="22"/>
      <c r="DA302" s="22"/>
      <c r="DB302" s="22"/>
      <c r="DC302" s="22"/>
      <c r="DD302" s="22"/>
      <c r="DE302" s="91">
        <f>$A$41</f>
        <v>20182</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20192</v>
      </c>
      <c r="B303" s="105"/>
      <c r="C303" s="90" t="str">
        <f t="shared" si="569"/>
        <v/>
      </c>
      <c r="D303" s="90" t="str">
        <f t="shared" si="569"/>
        <v/>
      </c>
      <c r="E303" s="90" t="str">
        <f t="shared" si="569"/>
        <v/>
      </c>
      <c r="F303" s="22"/>
      <c r="G303" s="22"/>
      <c r="H303" s="22"/>
      <c r="I303" s="22"/>
      <c r="J303" s="22"/>
      <c r="K303" s="22"/>
      <c r="L303" s="22"/>
      <c r="M303" s="91">
        <f>$A$42</f>
        <v>20192</v>
      </c>
      <c r="N303" s="105"/>
      <c r="O303" s="90" t="str">
        <f t="shared" si="570"/>
        <v/>
      </c>
      <c r="P303" s="90" t="str">
        <f t="shared" si="570"/>
        <v/>
      </c>
      <c r="Q303" s="90" t="str">
        <f t="shared" si="570"/>
        <v/>
      </c>
      <c r="R303" s="22"/>
      <c r="S303" s="22"/>
      <c r="T303" s="22"/>
      <c r="U303" s="22"/>
      <c r="V303" s="22"/>
      <c r="W303" s="22"/>
      <c r="X303" s="22"/>
      <c r="Y303" s="91">
        <f>$A$42</f>
        <v>20192</v>
      </c>
      <c r="Z303" s="105"/>
      <c r="AA303" s="90" t="str">
        <f t="shared" si="571"/>
        <v/>
      </c>
      <c r="AB303" s="90" t="str">
        <f t="shared" si="571"/>
        <v/>
      </c>
      <c r="AC303" s="90" t="str">
        <f t="shared" si="571"/>
        <v/>
      </c>
      <c r="AD303" s="22"/>
      <c r="AE303" s="22"/>
      <c r="AF303" s="22"/>
      <c r="AG303" s="22"/>
      <c r="AH303" s="22"/>
      <c r="AI303" s="22"/>
      <c r="AJ303" s="22"/>
      <c r="AK303" s="91">
        <f>$A$42</f>
        <v>20192</v>
      </c>
      <c r="AL303" s="105"/>
      <c r="AM303" s="90" t="str">
        <f t="shared" si="572"/>
        <v/>
      </c>
      <c r="AN303" s="90" t="str">
        <f t="shared" si="572"/>
        <v/>
      </c>
      <c r="AO303" s="90" t="str">
        <f t="shared" si="572"/>
        <v/>
      </c>
      <c r="AP303" s="22"/>
      <c r="AQ303" s="22"/>
      <c r="AR303" s="22"/>
      <c r="AS303" s="22"/>
      <c r="AT303" s="22"/>
      <c r="AU303" s="22"/>
      <c r="AV303" s="22"/>
      <c r="AW303" s="91">
        <f>$A$42</f>
        <v>20192</v>
      </c>
      <c r="AX303" s="105"/>
      <c r="AY303" s="90" t="str">
        <f t="shared" si="573"/>
        <v/>
      </c>
      <c r="AZ303" s="90" t="str">
        <f t="shared" si="573"/>
        <v/>
      </c>
      <c r="BA303" s="90" t="str">
        <f t="shared" si="573"/>
        <v/>
      </c>
      <c r="BB303" s="22"/>
      <c r="BC303" s="22"/>
      <c r="BD303" s="22"/>
      <c r="BE303" s="22"/>
      <c r="BF303" s="22"/>
      <c r="BG303" s="22"/>
      <c r="BH303" s="22"/>
      <c r="BI303" s="91">
        <f>$A$42</f>
        <v>20192</v>
      </c>
      <c r="BJ303" s="105"/>
      <c r="BK303" s="90" t="str">
        <f t="shared" si="574"/>
        <v/>
      </c>
      <c r="BL303" s="90" t="str">
        <f t="shared" si="574"/>
        <v/>
      </c>
      <c r="BM303" s="90" t="str">
        <f t="shared" si="574"/>
        <v/>
      </c>
      <c r="BN303" s="22"/>
      <c r="BO303" s="22"/>
      <c r="BP303" s="22"/>
      <c r="BQ303" s="22"/>
      <c r="BR303" s="22"/>
      <c r="BS303" s="22"/>
      <c r="BT303" s="22"/>
      <c r="BU303" s="91">
        <f>$A$42</f>
        <v>20192</v>
      </c>
      <c r="BV303" s="105"/>
      <c r="BW303" s="90" t="str">
        <f t="shared" si="575"/>
        <v/>
      </c>
      <c r="BX303" s="90" t="str">
        <f t="shared" si="575"/>
        <v/>
      </c>
      <c r="BY303" s="90" t="str">
        <f t="shared" si="575"/>
        <v/>
      </c>
      <c r="BZ303" s="22"/>
      <c r="CA303" s="22"/>
      <c r="CB303" s="22"/>
      <c r="CC303" s="22"/>
      <c r="CD303" s="22"/>
      <c r="CE303" s="22"/>
      <c r="CF303" s="22"/>
      <c r="CG303" s="91">
        <f>$A$42</f>
        <v>20192</v>
      </c>
      <c r="CH303" s="105"/>
      <c r="CI303" s="90" t="str">
        <f t="shared" si="576"/>
        <v/>
      </c>
      <c r="CJ303" s="90" t="str">
        <f t="shared" si="576"/>
        <v/>
      </c>
      <c r="CK303" s="90" t="str">
        <f t="shared" si="576"/>
        <v/>
      </c>
      <c r="CL303" s="22"/>
      <c r="CM303" s="22"/>
      <c r="CN303" s="22"/>
      <c r="CO303" s="22"/>
      <c r="CP303" s="22"/>
      <c r="CQ303" s="22"/>
      <c r="CR303" s="22"/>
      <c r="CS303" s="91">
        <f>$A$42</f>
        <v>20192</v>
      </c>
      <c r="CT303" s="105"/>
      <c r="CU303" s="90" t="str">
        <f t="shared" si="577"/>
        <v/>
      </c>
      <c r="CV303" s="90" t="str">
        <f t="shared" si="577"/>
        <v/>
      </c>
      <c r="CW303" s="90" t="str">
        <f t="shared" si="577"/>
        <v/>
      </c>
      <c r="CX303" s="22"/>
      <c r="CY303" s="22"/>
      <c r="CZ303" s="22"/>
      <c r="DA303" s="22"/>
      <c r="DB303" s="22"/>
      <c r="DC303" s="22"/>
      <c r="DD303" s="22"/>
      <c r="DE303" s="91">
        <f>$A$42</f>
        <v>20192</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20202</v>
      </c>
      <c r="B304" s="105"/>
      <c r="C304" s="90" t="str">
        <f t="shared" si="569"/>
        <v/>
      </c>
      <c r="D304" s="90" t="str">
        <f t="shared" si="569"/>
        <v/>
      </c>
      <c r="E304" s="22"/>
      <c r="F304" s="22"/>
      <c r="G304" s="22"/>
      <c r="H304" s="22"/>
      <c r="I304" s="22"/>
      <c r="J304" s="22"/>
      <c r="K304" s="22"/>
      <c r="L304" s="22"/>
      <c r="M304" s="91">
        <f>$A$43</f>
        <v>20202</v>
      </c>
      <c r="N304" s="105"/>
      <c r="O304" s="90" t="str">
        <f t="shared" si="570"/>
        <v/>
      </c>
      <c r="P304" s="90" t="str">
        <f t="shared" si="570"/>
        <v/>
      </c>
      <c r="Q304" s="22"/>
      <c r="R304" s="22"/>
      <c r="S304" s="22"/>
      <c r="T304" s="22"/>
      <c r="U304" s="22"/>
      <c r="V304" s="22"/>
      <c r="W304" s="22"/>
      <c r="X304" s="22"/>
      <c r="Y304" s="91">
        <f>$A$43</f>
        <v>20202</v>
      </c>
      <c r="Z304" s="105"/>
      <c r="AA304" s="90" t="str">
        <f t="shared" si="571"/>
        <v/>
      </c>
      <c r="AB304" s="90" t="str">
        <f t="shared" si="571"/>
        <v/>
      </c>
      <c r="AC304" s="22"/>
      <c r="AD304" s="22"/>
      <c r="AE304" s="22"/>
      <c r="AF304" s="22"/>
      <c r="AG304" s="22"/>
      <c r="AH304" s="22"/>
      <c r="AI304" s="22"/>
      <c r="AJ304" s="22"/>
      <c r="AK304" s="91">
        <f>$A$43</f>
        <v>20202</v>
      </c>
      <c r="AL304" s="105"/>
      <c r="AM304" s="90" t="str">
        <f t="shared" si="572"/>
        <v/>
      </c>
      <c r="AN304" s="90" t="str">
        <f t="shared" si="572"/>
        <v/>
      </c>
      <c r="AO304" s="22"/>
      <c r="AP304" s="22"/>
      <c r="AQ304" s="22"/>
      <c r="AR304" s="22"/>
      <c r="AS304" s="22"/>
      <c r="AT304" s="22"/>
      <c r="AU304" s="22"/>
      <c r="AV304" s="22"/>
      <c r="AW304" s="91">
        <f>$A$43</f>
        <v>20202</v>
      </c>
      <c r="AX304" s="105"/>
      <c r="AY304" s="90" t="str">
        <f t="shared" si="573"/>
        <v/>
      </c>
      <c r="AZ304" s="90" t="str">
        <f t="shared" si="573"/>
        <v/>
      </c>
      <c r="BA304" s="22"/>
      <c r="BB304" s="22"/>
      <c r="BC304" s="22"/>
      <c r="BD304" s="22"/>
      <c r="BE304" s="22"/>
      <c r="BF304" s="22"/>
      <c r="BG304" s="22"/>
      <c r="BH304" s="22"/>
      <c r="BI304" s="91">
        <f>$A$43</f>
        <v>20202</v>
      </c>
      <c r="BJ304" s="105"/>
      <c r="BK304" s="90" t="str">
        <f t="shared" si="574"/>
        <v/>
      </c>
      <c r="BL304" s="90" t="str">
        <f t="shared" si="574"/>
        <v/>
      </c>
      <c r="BM304" s="22"/>
      <c r="BN304" s="22"/>
      <c r="BO304" s="22"/>
      <c r="BP304" s="22"/>
      <c r="BQ304" s="22"/>
      <c r="BR304" s="22"/>
      <c r="BS304" s="22"/>
      <c r="BT304" s="22"/>
      <c r="BU304" s="91">
        <f>$A$43</f>
        <v>20202</v>
      </c>
      <c r="BV304" s="105"/>
      <c r="BW304" s="90" t="str">
        <f t="shared" si="575"/>
        <v/>
      </c>
      <c r="BX304" s="90" t="str">
        <f t="shared" si="575"/>
        <v/>
      </c>
      <c r="BY304" s="22"/>
      <c r="BZ304" s="22"/>
      <c r="CA304" s="22"/>
      <c r="CB304" s="22"/>
      <c r="CC304" s="22"/>
      <c r="CD304" s="22"/>
      <c r="CE304" s="22"/>
      <c r="CF304" s="22"/>
      <c r="CG304" s="91">
        <f>$A$43</f>
        <v>20202</v>
      </c>
      <c r="CH304" s="105"/>
      <c r="CI304" s="90" t="str">
        <f t="shared" si="576"/>
        <v/>
      </c>
      <c r="CJ304" s="90" t="str">
        <f t="shared" si="576"/>
        <v/>
      </c>
      <c r="CK304" s="22"/>
      <c r="CL304" s="22"/>
      <c r="CM304" s="22"/>
      <c r="CN304" s="22"/>
      <c r="CO304" s="22"/>
      <c r="CP304" s="22"/>
      <c r="CQ304" s="22"/>
      <c r="CR304" s="22"/>
      <c r="CS304" s="91">
        <f>$A$43</f>
        <v>20202</v>
      </c>
      <c r="CT304" s="105"/>
      <c r="CU304" s="90" t="str">
        <f t="shared" si="577"/>
        <v/>
      </c>
      <c r="CV304" s="90" t="str">
        <f t="shared" si="577"/>
        <v/>
      </c>
      <c r="CW304" s="22"/>
      <c r="CX304" s="22"/>
      <c r="CY304" s="22"/>
      <c r="CZ304" s="22"/>
      <c r="DA304" s="22"/>
      <c r="DB304" s="22"/>
      <c r="DC304" s="22"/>
      <c r="DD304" s="22"/>
      <c r="DE304" s="91">
        <f>$A$43</f>
        <v>20202</v>
      </c>
      <c r="DF304" s="105"/>
      <c r="DG304" s="90" t="str">
        <f t="shared" si="578"/>
        <v/>
      </c>
      <c r="DH304" s="90" t="str">
        <f t="shared" si="578"/>
        <v/>
      </c>
      <c r="DI304" s="22"/>
      <c r="DJ304" s="22"/>
      <c r="DK304" s="22"/>
      <c r="DL304" s="22"/>
      <c r="DM304" s="22"/>
      <c r="DN304" s="22"/>
      <c r="DO304" s="22"/>
      <c r="DP304" s="22"/>
    </row>
    <row r="305" spans="1:120" x14ac:dyDescent="0.25">
      <c r="A305" s="91">
        <f>$A$44</f>
        <v>20212</v>
      </c>
      <c r="B305" s="105"/>
      <c r="C305" s="90" t="str">
        <f t="shared" si="569"/>
        <v/>
      </c>
      <c r="D305" s="22"/>
      <c r="E305" s="22"/>
      <c r="F305" s="22"/>
      <c r="G305" s="22"/>
      <c r="H305" s="22"/>
      <c r="I305" s="22"/>
      <c r="J305" s="22"/>
      <c r="K305" s="22"/>
      <c r="L305" s="22"/>
      <c r="M305" s="91">
        <f>$A$44</f>
        <v>20212</v>
      </c>
      <c r="N305" s="105"/>
      <c r="O305" s="90" t="str">
        <f t="shared" si="570"/>
        <v/>
      </c>
      <c r="P305" s="22"/>
      <c r="Q305" s="22"/>
      <c r="R305" s="22"/>
      <c r="S305" s="22"/>
      <c r="T305" s="22"/>
      <c r="U305" s="22"/>
      <c r="V305" s="22"/>
      <c r="W305" s="22"/>
      <c r="X305" s="22"/>
      <c r="Y305" s="91">
        <f>$A$44</f>
        <v>20212</v>
      </c>
      <c r="Z305" s="105"/>
      <c r="AA305" s="90" t="str">
        <f t="shared" si="571"/>
        <v/>
      </c>
      <c r="AB305" s="22"/>
      <c r="AC305" s="22"/>
      <c r="AD305" s="22"/>
      <c r="AE305" s="22"/>
      <c r="AF305" s="22"/>
      <c r="AG305" s="22"/>
      <c r="AH305" s="22"/>
      <c r="AI305" s="22"/>
      <c r="AJ305" s="22"/>
      <c r="AK305" s="91">
        <f>$A$44</f>
        <v>20212</v>
      </c>
      <c r="AL305" s="105"/>
      <c r="AM305" s="90" t="str">
        <f t="shared" si="572"/>
        <v/>
      </c>
      <c r="AN305" s="22"/>
      <c r="AO305" s="22"/>
      <c r="AP305" s="22"/>
      <c r="AQ305" s="22"/>
      <c r="AR305" s="22"/>
      <c r="AS305" s="22"/>
      <c r="AT305" s="22"/>
      <c r="AU305" s="22"/>
      <c r="AV305" s="22"/>
      <c r="AW305" s="91">
        <f>$A$44</f>
        <v>20212</v>
      </c>
      <c r="AX305" s="105"/>
      <c r="AY305" s="90" t="str">
        <f t="shared" si="573"/>
        <v/>
      </c>
      <c r="AZ305" s="22"/>
      <c r="BA305" s="22"/>
      <c r="BB305" s="22"/>
      <c r="BC305" s="22"/>
      <c r="BD305" s="22"/>
      <c r="BE305" s="22"/>
      <c r="BF305" s="22"/>
      <c r="BG305" s="22"/>
      <c r="BH305" s="22"/>
      <c r="BI305" s="91">
        <f>$A$44</f>
        <v>20212</v>
      </c>
      <c r="BJ305" s="105"/>
      <c r="BK305" s="90" t="str">
        <f t="shared" si="574"/>
        <v/>
      </c>
      <c r="BL305" s="22"/>
      <c r="BM305" s="22"/>
      <c r="BN305" s="22"/>
      <c r="BO305" s="22"/>
      <c r="BP305" s="22"/>
      <c r="BQ305" s="22"/>
      <c r="BR305" s="22"/>
      <c r="BS305" s="22"/>
      <c r="BT305" s="22"/>
      <c r="BU305" s="91">
        <f>$A$44</f>
        <v>20212</v>
      </c>
      <c r="BV305" s="105"/>
      <c r="BW305" s="90" t="str">
        <f t="shared" si="575"/>
        <v/>
      </c>
      <c r="BX305" s="22"/>
      <c r="BY305" s="22"/>
      <c r="BZ305" s="22"/>
      <c r="CA305" s="22"/>
      <c r="CB305" s="22"/>
      <c r="CC305" s="22"/>
      <c r="CD305" s="22"/>
      <c r="CE305" s="22"/>
      <c r="CF305" s="22"/>
      <c r="CG305" s="91">
        <f>$A$44</f>
        <v>20212</v>
      </c>
      <c r="CH305" s="105"/>
      <c r="CI305" s="90" t="str">
        <f t="shared" si="576"/>
        <v/>
      </c>
      <c r="CJ305" s="22"/>
      <c r="CK305" s="22"/>
      <c r="CL305" s="22"/>
      <c r="CM305" s="22"/>
      <c r="CN305" s="22"/>
      <c r="CO305" s="22"/>
      <c r="CP305" s="22"/>
      <c r="CQ305" s="22"/>
      <c r="CR305" s="22"/>
      <c r="CS305" s="91">
        <f>$A$44</f>
        <v>20212</v>
      </c>
      <c r="CT305" s="105"/>
      <c r="CU305" s="90" t="str">
        <f t="shared" si="577"/>
        <v/>
      </c>
      <c r="CV305" s="22"/>
      <c r="CW305" s="22"/>
      <c r="CX305" s="22"/>
      <c r="CY305" s="22"/>
      <c r="CZ305" s="22"/>
      <c r="DA305" s="22"/>
      <c r="DB305" s="22"/>
      <c r="DC305" s="22"/>
      <c r="DD305" s="22"/>
      <c r="DE305" s="91">
        <f>$A$44</f>
        <v>20212</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983626232.32845783</v>
      </c>
      <c r="D311" s="141">
        <f>IF(OR(D7="Paid - Loss &amp; DCCE",D7="Incurred - Loss &amp; DCCE"),"N/A",IF(D7="Paid - Pure Loss", D97, IF(D7="Incurred - Pure Loss", D240, 0)))</f>
        <v>746602163.31739783</v>
      </c>
      <c r="E311" s="141">
        <f>IF(OR(D7="Paid - Loss &amp; DCCE",D7="Incurred - Loss &amp; DCCE"),"N/A",IF(D7="Paid - Pure Loss", E97, IF(D7="Incurred - Pure Loss", E240, 0)))</f>
        <v>596736741.59394085</v>
      </c>
      <c r="F311" s="141">
        <f>IF(OR(D7="Paid - Loss &amp; DCCE",D7="Incurred - Loss &amp; DCCE"),"N/A",IF(D7="Paid - Pure Loss", F97, IF(D7="Incurred - Pure Loss", F240, 0)))</f>
        <v>621944392.39855027</v>
      </c>
      <c r="G311" s="141">
        <f>IF(OR(D7="Paid - Loss &amp; DCCE",D7="Incurred - Loss &amp; DCCE"),"N/A",IF(D7="Paid - Pure Loss", G97, IF(D7="Incurred - Pure Loss", G240, 0)))</f>
        <v>511070175.51618564</v>
      </c>
      <c r="H311" s="141">
        <f>IF(OR(D7="Paid - Loss &amp; DCCE",D7="Incurred - Loss &amp; DCCE"),"N/A",IF(D7="Paid - Pure Loss", H97, IF(D7="Incurred - Pure Loss", H240, 0)))</f>
        <v>566117606.0985775</v>
      </c>
      <c r="I311" s="141">
        <f>IF(OR(D7="Paid - Loss &amp; DCCE",D7="Incurred - Loss &amp; DCCE"),"N/A",IF(D7="Paid - Pure Loss", I97, IF(D7="Incurred - Pure Loss", I240, 0)))</f>
        <v>502450558.69499016</v>
      </c>
      <c r="J311" s="141">
        <f>IF(OR(D7="Paid - Loss &amp; DCCE",D7="Incurred - Loss &amp; DCCE"),"N/A",IF(D7="Paid - Pure Loss", J97, IF(D7="Incurred - Pure Loss", J240, 0)))</f>
        <v>436234161.68554199</v>
      </c>
      <c r="K311" s="141">
        <f>IF(OR(D7="Paid - Loss &amp; DCCE",D7="Incurred - Loss &amp; DCCE"),"N/A",IF(D7="Paid - Pure Loss", K97, IF(D7="Incurred - Pure Loss", K240, 0)))</f>
        <v>409673063.61100942</v>
      </c>
      <c r="L311" s="141">
        <f>IF(OR(D7="Paid - Loss &amp; DCCE",D7="Incurred - Loss &amp; DCCE"),"N/A",IF(D7="Paid - Pure Loss", L97, IF(D7="Incurred - Pure Loss", L240, 0)))</f>
        <v>418300220.24000001</v>
      </c>
      <c r="M311" s="140" t="s">
        <v>215</v>
      </c>
      <c r="N311" s="105"/>
      <c r="O311" s="141">
        <f>IF(OR(P7="Paid - Loss &amp; DCCE",P7="Incurred - Loss &amp; DCCE"),"N/A",IF(P7="Paid - Pure Loss", O97, IF(P7="Incurred - Pure Loss", O240, 0)))</f>
        <v>51234573.297078408</v>
      </c>
      <c r="P311" s="141">
        <f>IF(OR(P7="Paid - Loss &amp; DCCE",P7="Incurred - Loss &amp; DCCE"),"N/A",IF(P7="Paid - Pure Loss", P97, IF(P7="Incurred - Pure Loss", P240, 0)))</f>
        <v>44323680.997342288</v>
      </c>
      <c r="Q311" s="141">
        <f>IF(OR(P7="Paid - Loss &amp; DCCE",P7="Incurred - Loss &amp; DCCE"),"N/A",IF(P7="Paid - Pure Loss", Q97, IF(P7="Incurred - Pure Loss", Q240, 0)))</f>
        <v>42496096.509180628</v>
      </c>
      <c r="R311" s="141">
        <f>IF(OR(P7="Paid - Loss &amp; DCCE",P7="Incurred - Loss &amp; DCCE"),"N/A",IF(P7="Paid - Pure Loss", R97, IF(P7="Incurred - Pure Loss", R240, 0)))</f>
        <v>47480080.303118199</v>
      </c>
      <c r="S311" s="141">
        <f>IF(OR(P7="Paid - Loss &amp; DCCE",P7="Incurred - Loss &amp; DCCE"),"N/A",IF(P7="Paid - Pure Loss", S97, IF(P7="Incurred - Pure Loss", S240, 0)))</f>
        <v>49839261.617852174</v>
      </c>
      <c r="T311" s="141">
        <f>IF(OR(P7="Paid - Loss &amp; DCCE",P7="Incurred - Loss &amp; DCCE"),"N/A",IF(P7="Paid - Pure Loss", T97, IF(P7="Incurred - Pure Loss", T240, 0)))</f>
        <v>45297754.99540066</v>
      </c>
      <c r="U311" s="141">
        <f>IF(OR(P7="Paid - Loss &amp; DCCE",P7="Incurred - Loss &amp; DCCE"),"N/A",IF(P7="Paid - Pure Loss", U97, IF(P7="Incurred - Pure Loss", U240, 0)))</f>
        <v>44789245.044351667</v>
      </c>
      <c r="V311" s="141">
        <f>IF(OR(P7="Paid - Loss &amp; DCCE",P7="Incurred - Loss &amp; DCCE"),"N/A",IF(P7="Paid - Pure Loss", V97, IF(P7="Incurred - Pure Loss", V240, 0)))</f>
        <v>40001849.465384535</v>
      </c>
      <c r="W311" s="141">
        <f>IF(OR(P7="Paid - Loss &amp; DCCE",P7="Incurred - Loss &amp; DCCE"),"N/A",IF(P7="Paid - Pure Loss", W97, IF(P7="Incurred - Pure Loss", W240, 0)))</f>
        <v>38747589.281357817</v>
      </c>
      <c r="X311" s="141">
        <f>IF(OR(P7="Paid - Loss &amp; DCCE",P7="Incurred - Loss &amp; DCCE"),"N/A",IF(P7="Paid - Pure Loss", X97, IF(P7="Incurred - Pure Loss", X240, 0)))</f>
        <v>36412133.960000001</v>
      </c>
      <c r="Y311" s="140" t="s">
        <v>215</v>
      </c>
      <c r="Z311" s="105"/>
      <c r="AA311" s="141">
        <f>IF(OR(AB7="Paid - Loss &amp; DCCE",AB7="Incurred - Loss &amp; DCCE"),"N/A",IF(AB7="Paid - Pure Loss", AA97, IF(AB7="Incurred - Pure Loss", AA240, 0)))</f>
        <v>69916893.617357731</v>
      </c>
      <c r="AB311" s="141">
        <f>IF(OR(AB7="Paid - Loss &amp; DCCE",AB7="Incurred - Loss &amp; DCCE"),"N/A",IF(AB7="Paid - Pure Loss", AB97, IF(AB7="Incurred - Pure Loss", AB240, 0)))</f>
        <v>62495688.739749521</v>
      </c>
      <c r="AC311" s="141">
        <f>IF(OR(AB7="Paid - Loss &amp; DCCE",AB7="Incurred - Loss &amp; DCCE"),"N/A",IF(AB7="Paid - Pure Loss", AC97, IF(AB7="Incurred - Pure Loss", AC240, 0)))</f>
        <v>58618504.239613801</v>
      </c>
      <c r="AD311" s="141">
        <f>IF(OR(AB7="Paid - Loss &amp; DCCE",AB7="Incurred - Loss &amp; DCCE"),"N/A",IF(AB7="Paid - Pure Loss", AD97, IF(AB7="Incurred - Pure Loss", AD240, 0)))</f>
        <v>55833178.075213015</v>
      </c>
      <c r="AE311" s="141">
        <f>IF(OR(AB7="Paid - Loss &amp; DCCE",AB7="Incurred - Loss &amp; DCCE"),"N/A",IF(AB7="Paid - Pure Loss", AE97, IF(AB7="Incurred - Pure Loss", AE240, 0)))</f>
        <v>50429330.524766557</v>
      </c>
      <c r="AF311" s="141">
        <f>IF(OR(AB7="Paid - Loss &amp; DCCE",AB7="Incurred - Loss &amp; DCCE"),"N/A",IF(AB7="Paid - Pure Loss", AF97, IF(AB7="Incurred - Pure Loss", AF240, 0)))</f>
        <v>55032708.571539827</v>
      </c>
      <c r="AG311" s="141">
        <f>IF(OR(AB7="Paid - Loss &amp; DCCE",AB7="Incurred - Loss &amp; DCCE"),"N/A",IF(AB7="Paid - Pure Loss", AG97, IF(AB7="Incurred - Pure Loss", AG240, 0)))</f>
        <v>51561357.184232496</v>
      </c>
      <c r="AH311" s="141">
        <f>IF(OR(AB7="Paid - Loss &amp; DCCE",AB7="Incurred - Loss &amp; DCCE"),"N/A",IF(AB7="Paid - Pure Loss", AH97, IF(AB7="Incurred - Pure Loss", AH240, 0)))</f>
        <v>43653717.542660594</v>
      </c>
      <c r="AI311" s="141">
        <f>IF(OR(AB7="Paid - Loss &amp; DCCE",AB7="Incurred - Loss &amp; DCCE"),"N/A",IF(AB7="Paid - Pure Loss", AI97, IF(AB7="Incurred - Pure Loss", AI240, 0)))</f>
        <v>39729635.789999999</v>
      </c>
      <c r="AJ311" s="141">
        <f>IF(OR(AB7="Paid - Loss &amp; DCCE",AB7="Incurred - Loss &amp; DCCE"),"N/A",IF(AB7="Paid - Pure Loss", AJ97, IF(AB7="Incurred - Pure Loss", AJ240, 0)))</f>
        <v>40721303.950000003</v>
      </c>
      <c r="AK311" s="140" t="s">
        <v>215</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215</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215</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215</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Homeowners Multiple Peril</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Renters</v>
      </c>
      <c r="N318" s="69"/>
      <c r="O318" s="18"/>
      <c r="P318" s="18"/>
      <c r="Q318" s="18"/>
      <c r="R318" s="18"/>
      <c r="S318" s="18"/>
      <c r="T318" s="18"/>
      <c r="U318" s="18"/>
      <c r="V318" s="18"/>
      <c r="W318" s="18"/>
      <c r="X318" s="18"/>
      <c r="Y318" s="138" t="str">
        <f>Y$5</f>
        <v>Condominium Unitowners</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Data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Data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Data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Data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Data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Data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Data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Data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Data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20132</v>
      </c>
      <c r="B322" s="21"/>
      <c r="C322" s="21">
        <v>41243</v>
      </c>
      <c r="D322" s="21">
        <v>45587</v>
      </c>
      <c r="E322" s="21">
        <v>46084</v>
      </c>
      <c r="F322" s="21">
        <v>46232</v>
      </c>
      <c r="G322" s="21">
        <v>46287</v>
      </c>
      <c r="H322" s="21">
        <v>46321</v>
      </c>
      <c r="I322" s="21">
        <v>46336</v>
      </c>
      <c r="J322" s="21">
        <v>46342</v>
      </c>
      <c r="K322" s="21">
        <v>46363</v>
      </c>
      <c r="L322" s="21">
        <v>46367</v>
      </c>
      <c r="M322" s="31">
        <f>$A$36</f>
        <v>20132</v>
      </c>
      <c r="N322" s="21"/>
      <c r="O322" s="21">
        <v>9937</v>
      </c>
      <c r="P322" s="21">
        <v>10787</v>
      </c>
      <c r="Q322" s="21">
        <v>10878</v>
      </c>
      <c r="R322" s="21">
        <v>10902</v>
      </c>
      <c r="S322" s="21">
        <v>10908</v>
      </c>
      <c r="T322" s="21">
        <v>10911</v>
      </c>
      <c r="U322" s="21">
        <v>10912</v>
      </c>
      <c r="V322" s="21">
        <v>10912</v>
      </c>
      <c r="W322" s="21">
        <v>10912</v>
      </c>
      <c r="X322" s="21">
        <v>10914</v>
      </c>
      <c r="Y322" s="31">
        <f>$A$36</f>
        <v>20132</v>
      </c>
      <c r="Z322" s="21"/>
      <c r="AA322" s="21">
        <v>6647</v>
      </c>
      <c r="AB322" s="21">
        <v>7207</v>
      </c>
      <c r="AC322" s="21">
        <v>7259</v>
      </c>
      <c r="AD322" s="21">
        <v>7273</v>
      </c>
      <c r="AE322" s="21">
        <v>7276</v>
      </c>
      <c r="AF322" s="21">
        <v>7278</v>
      </c>
      <c r="AG322" s="21">
        <v>7279</v>
      </c>
      <c r="AH322" s="21">
        <v>7279</v>
      </c>
      <c r="AI322" s="21">
        <v>7281</v>
      </c>
      <c r="AJ322" s="21">
        <v>7281</v>
      </c>
      <c r="AK322" s="31">
        <f>$A$36</f>
        <v>20132</v>
      </c>
      <c r="AL322" s="21"/>
      <c r="AM322" s="21"/>
      <c r="AN322" s="21"/>
      <c r="AO322" s="21"/>
      <c r="AP322" s="21"/>
      <c r="AQ322" s="21"/>
      <c r="AR322" s="21"/>
      <c r="AS322" s="21"/>
      <c r="AT322" s="21"/>
      <c r="AU322" s="21"/>
      <c r="AV322" s="21"/>
      <c r="AW322" s="31">
        <f>$A$36</f>
        <v>20132</v>
      </c>
      <c r="AX322" s="21"/>
      <c r="AY322" s="21"/>
      <c r="AZ322" s="21"/>
      <c r="BA322" s="21"/>
      <c r="BB322" s="21"/>
      <c r="BC322" s="21"/>
      <c r="BD322" s="21"/>
      <c r="BE322" s="21"/>
      <c r="BF322" s="21"/>
      <c r="BG322" s="21"/>
      <c r="BH322" s="21"/>
      <c r="BI322" s="31">
        <f>$A$36</f>
        <v>20132</v>
      </c>
      <c r="BJ322" s="21"/>
      <c r="BK322" s="21"/>
      <c r="BL322" s="21"/>
      <c r="BM322" s="21"/>
      <c r="BN322" s="21"/>
      <c r="BO322" s="21"/>
      <c r="BP322" s="21"/>
      <c r="BQ322" s="21"/>
      <c r="BR322" s="21"/>
      <c r="BS322" s="21"/>
      <c r="BT322" s="21"/>
      <c r="BU322" s="31">
        <f>$A$36</f>
        <v>20132</v>
      </c>
      <c r="BV322" s="21"/>
      <c r="BW322" s="21"/>
      <c r="BX322" s="21"/>
      <c r="BY322" s="21"/>
      <c r="BZ322" s="21"/>
      <c r="CA322" s="21"/>
      <c r="CB322" s="21"/>
      <c r="CC322" s="21"/>
      <c r="CD322" s="21"/>
      <c r="CE322" s="21"/>
      <c r="CF322" s="21"/>
      <c r="CG322" s="31">
        <f>$A$36</f>
        <v>20132</v>
      </c>
      <c r="CH322" s="21"/>
      <c r="CI322" s="21"/>
      <c r="CJ322" s="21"/>
      <c r="CK322" s="21"/>
      <c r="CL322" s="21"/>
      <c r="CM322" s="21"/>
      <c r="CN322" s="21"/>
      <c r="CO322" s="21"/>
      <c r="CP322" s="21"/>
      <c r="CQ322" s="21"/>
      <c r="CR322" s="21"/>
      <c r="CS322" s="31">
        <f>$A$36</f>
        <v>20132</v>
      </c>
      <c r="CT322" s="21"/>
      <c r="CU322" s="21"/>
      <c r="CV322" s="21"/>
      <c r="CW322" s="21"/>
      <c r="CX322" s="21"/>
      <c r="CY322" s="21"/>
      <c r="CZ322" s="21"/>
      <c r="DA322" s="21"/>
      <c r="DB322" s="21"/>
      <c r="DC322" s="21"/>
      <c r="DD322" s="21"/>
      <c r="DE322" s="31">
        <f>$A$36</f>
        <v>20132</v>
      </c>
      <c r="DF322" s="21"/>
      <c r="DG322" s="21"/>
      <c r="DH322" s="21"/>
      <c r="DI322" s="21"/>
      <c r="DJ322" s="21"/>
      <c r="DK322" s="21"/>
      <c r="DL322" s="21"/>
      <c r="DM322" s="21"/>
      <c r="DN322" s="21"/>
      <c r="DO322" s="21"/>
      <c r="DP322" s="21"/>
    </row>
    <row r="323" spans="1:120" ht="15" customHeight="1" x14ac:dyDescent="0.25">
      <c r="A323" s="31">
        <f>$A$37</f>
        <v>20142</v>
      </c>
      <c r="B323" s="21"/>
      <c r="C323" s="21">
        <v>38219</v>
      </c>
      <c r="D323" s="21">
        <v>41730</v>
      </c>
      <c r="E323" s="21">
        <v>42245</v>
      </c>
      <c r="F323" s="21">
        <v>42378</v>
      </c>
      <c r="G323" s="21">
        <v>42422</v>
      </c>
      <c r="H323" s="21">
        <v>42449</v>
      </c>
      <c r="I323" s="21">
        <v>42462</v>
      </c>
      <c r="J323" s="21">
        <v>42478</v>
      </c>
      <c r="K323" s="21">
        <v>42484</v>
      </c>
      <c r="L323" s="134"/>
      <c r="M323" s="31">
        <f>$A$37</f>
        <v>20142</v>
      </c>
      <c r="N323" s="21"/>
      <c r="O323" s="21">
        <v>9989</v>
      </c>
      <c r="P323" s="21">
        <v>10801</v>
      </c>
      <c r="Q323" s="21">
        <v>10915</v>
      </c>
      <c r="R323" s="21">
        <v>10943</v>
      </c>
      <c r="S323" s="21">
        <v>10957</v>
      </c>
      <c r="T323" s="21">
        <v>10961</v>
      </c>
      <c r="U323" s="21">
        <v>10965</v>
      </c>
      <c r="V323" s="21">
        <v>10966</v>
      </c>
      <c r="W323" s="21">
        <v>10966</v>
      </c>
      <c r="X323" s="134"/>
      <c r="Y323" s="31">
        <f>$A$37</f>
        <v>20142</v>
      </c>
      <c r="Z323" s="21"/>
      <c r="AA323" s="21">
        <v>6507</v>
      </c>
      <c r="AB323" s="21">
        <v>7079</v>
      </c>
      <c r="AC323" s="21">
        <v>7135</v>
      </c>
      <c r="AD323" s="21">
        <v>7150</v>
      </c>
      <c r="AE323" s="21">
        <v>7155</v>
      </c>
      <c r="AF323" s="21">
        <v>7161</v>
      </c>
      <c r="AG323" s="21">
        <v>7166</v>
      </c>
      <c r="AH323" s="21">
        <v>7168</v>
      </c>
      <c r="AI323" s="21">
        <v>7173</v>
      </c>
      <c r="AJ323" s="134"/>
      <c r="AK323" s="31">
        <f>$A$37</f>
        <v>20142</v>
      </c>
      <c r="AL323" s="21"/>
      <c r="AM323" s="21"/>
      <c r="AN323" s="21"/>
      <c r="AO323" s="21"/>
      <c r="AP323" s="21"/>
      <c r="AQ323" s="21"/>
      <c r="AR323" s="21"/>
      <c r="AS323" s="21"/>
      <c r="AT323" s="21"/>
      <c r="AU323" s="21"/>
      <c r="AV323" s="134"/>
      <c r="AW323" s="31">
        <f>$A$37</f>
        <v>20142</v>
      </c>
      <c r="AX323" s="21"/>
      <c r="AY323" s="21"/>
      <c r="AZ323" s="21"/>
      <c r="BA323" s="21"/>
      <c r="BB323" s="21"/>
      <c r="BC323" s="21"/>
      <c r="BD323" s="21"/>
      <c r="BE323" s="21"/>
      <c r="BF323" s="21"/>
      <c r="BG323" s="21"/>
      <c r="BH323" s="134"/>
      <c r="BI323" s="31">
        <f>$A$37</f>
        <v>20142</v>
      </c>
      <c r="BJ323" s="21"/>
      <c r="BK323" s="21"/>
      <c r="BL323" s="21"/>
      <c r="BM323" s="21"/>
      <c r="BN323" s="21"/>
      <c r="BO323" s="21"/>
      <c r="BP323" s="21"/>
      <c r="BQ323" s="21"/>
      <c r="BR323" s="21"/>
      <c r="BS323" s="21"/>
      <c r="BT323" s="134"/>
      <c r="BU323" s="31">
        <f>$A$37</f>
        <v>20142</v>
      </c>
      <c r="BV323" s="21"/>
      <c r="BW323" s="21"/>
      <c r="BX323" s="21"/>
      <c r="BY323" s="21"/>
      <c r="BZ323" s="21"/>
      <c r="CA323" s="21"/>
      <c r="CB323" s="21"/>
      <c r="CC323" s="21"/>
      <c r="CD323" s="21"/>
      <c r="CE323" s="21"/>
      <c r="CF323" s="134"/>
      <c r="CG323" s="31">
        <f>$A$37</f>
        <v>20142</v>
      </c>
      <c r="CH323" s="21"/>
      <c r="CI323" s="21"/>
      <c r="CJ323" s="21"/>
      <c r="CK323" s="21"/>
      <c r="CL323" s="21"/>
      <c r="CM323" s="21"/>
      <c r="CN323" s="21"/>
      <c r="CO323" s="21"/>
      <c r="CP323" s="21"/>
      <c r="CQ323" s="21"/>
      <c r="CR323" s="134"/>
      <c r="CS323" s="31">
        <f>$A$37</f>
        <v>20142</v>
      </c>
      <c r="CT323" s="21"/>
      <c r="CU323" s="21"/>
      <c r="CV323" s="21"/>
      <c r="CW323" s="21"/>
      <c r="CX323" s="21"/>
      <c r="CY323" s="21"/>
      <c r="CZ323" s="21"/>
      <c r="DA323" s="21"/>
      <c r="DB323" s="21"/>
      <c r="DC323" s="21"/>
      <c r="DD323" s="134"/>
      <c r="DE323" s="31">
        <f>$A$37</f>
        <v>20142</v>
      </c>
      <c r="DF323" s="21"/>
      <c r="DG323" s="21"/>
      <c r="DH323" s="21"/>
      <c r="DI323" s="21"/>
      <c r="DJ323" s="21"/>
      <c r="DK323" s="21"/>
      <c r="DL323" s="21"/>
      <c r="DM323" s="21"/>
      <c r="DN323" s="21"/>
      <c r="DO323" s="21"/>
      <c r="DP323" s="134"/>
    </row>
    <row r="324" spans="1:120" ht="15" customHeight="1" x14ac:dyDescent="0.25">
      <c r="A324" s="31">
        <f>$A$38</f>
        <v>20152</v>
      </c>
      <c r="B324" s="21"/>
      <c r="C324" s="21">
        <v>35352</v>
      </c>
      <c r="D324" s="21">
        <v>38885</v>
      </c>
      <c r="E324" s="21">
        <v>39492</v>
      </c>
      <c r="F324" s="21">
        <v>39659</v>
      </c>
      <c r="G324" s="21">
        <v>39723</v>
      </c>
      <c r="H324" s="21">
        <v>39765</v>
      </c>
      <c r="I324" s="21">
        <v>39792</v>
      </c>
      <c r="J324" s="21">
        <v>39804</v>
      </c>
      <c r="K324" s="134"/>
      <c r="L324" s="134"/>
      <c r="M324" s="31">
        <f>$A$38</f>
        <v>20152</v>
      </c>
      <c r="N324" s="21"/>
      <c r="O324" s="21">
        <v>9495</v>
      </c>
      <c r="P324" s="21">
        <v>10317</v>
      </c>
      <c r="Q324" s="21">
        <v>10428</v>
      </c>
      <c r="R324" s="21">
        <v>10457</v>
      </c>
      <c r="S324" s="21">
        <v>10458</v>
      </c>
      <c r="T324" s="21">
        <v>10461</v>
      </c>
      <c r="U324" s="21">
        <v>10464</v>
      </c>
      <c r="V324" s="21">
        <v>10465</v>
      </c>
      <c r="W324" s="134"/>
      <c r="X324" s="134"/>
      <c r="Y324" s="31">
        <f>$A$38</f>
        <v>20152</v>
      </c>
      <c r="Z324" s="21"/>
      <c r="AA324" s="21">
        <v>6537</v>
      </c>
      <c r="AB324" s="21">
        <v>7119</v>
      </c>
      <c r="AC324" s="21">
        <v>7189</v>
      </c>
      <c r="AD324" s="21">
        <v>7206</v>
      </c>
      <c r="AE324" s="21">
        <v>7213</v>
      </c>
      <c r="AF324" s="21">
        <v>7216</v>
      </c>
      <c r="AG324" s="21">
        <v>7217</v>
      </c>
      <c r="AH324" s="21">
        <v>7218</v>
      </c>
      <c r="AI324" s="134"/>
      <c r="AJ324" s="134"/>
      <c r="AK324" s="31">
        <f>$A$38</f>
        <v>20152</v>
      </c>
      <c r="AL324" s="21"/>
      <c r="AM324" s="21"/>
      <c r="AN324" s="21"/>
      <c r="AO324" s="21"/>
      <c r="AP324" s="21"/>
      <c r="AQ324" s="21"/>
      <c r="AR324" s="21"/>
      <c r="AS324" s="21"/>
      <c r="AT324" s="21"/>
      <c r="AU324" s="134"/>
      <c r="AV324" s="134"/>
      <c r="AW324" s="31">
        <f>$A$38</f>
        <v>20152</v>
      </c>
      <c r="AX324" s="21"/>
      <c r="AY324" s="21"/>
      <c r="AZ324" s="21"/>
      <c r="BA324" s="21"/>
      <c r="BB324" s="21"/>
      <c r="BC324" s="21"/>
      <c r="BD324" s="21"/>
      <c r="BE324" s="21"/>
      <c r="BF324" s="21"/>
      <c r="BG324" s="134"/>
      <c r="BH324" s="134"/>
      <c r="BI324" s="31">
        <f>$A$38</f>
        <v>20152</v>
      </c>
      <c r="BJ324" s="21"/>
      <c r="BK324" s="21"/>
      <c r="BL324" s="21"/>
      <c r="BM324" s="21"/>
      <c r="BN324" s="21"/>
      <c r="BO324" s="21"/>
      <c r="BP324" s="21"/>
      <c r="BQ324" s="21"/>
      <c r="BR324" s="21"/>
      <c r="BS324" s="134"/>
      <c r="BT324" s="134"/>
      <c r="BU324" s="31">
        <f>$A$38</f>
        <v>20152</v>
      </c>
      <c r="BV324" s="21"/>
      <c r="BW324" s="21"/>
      <c r="BX324" s="21"/>
      <c r="BY324" s="21"/>
      <c r="BZ324" s="21"/>
      <c r="CA324" s="21"/>
      <c r="CB324" s="21"/>
      <c r="CC324" s="21"/>
      <c r="CD324" s="21"/>
      <c r="CE324" s="134"/>
      <c r="CF324" s="134"/>
      <c r="CG324" s="31">
        <f>$A$38</f>
        <v>20152</v>
      </c>
      <c r="CH324" s="21"/>
      <c r="CI324" s="21"/>
      <c r="CJ324" s="21"/>
      <c r="CK324" s="21"/>
      <c r="CL324" s="21"/>
      <c r="CM324" s="21"/>
      <c r="CN324" s="21"/>
      <c r="CO324" s="21"/>
      <c r="CP324" s="21"/>
      <c r="CQ324" s="134"/>
      <c r="CR324" s="134"/>
      <c r="CS324" s="31">
        <f>$A$38</f>
        <v>20152</v>
      </c>
      <c r="CT324" s="21"/>
      <c r="CU324" s="21"/>
      <c r="CV324" s="21"/>
      <c r="CW324" s="21"/>
      <c r="CX324" s="21"/>
      <c r="CY324" s="21"/>
      <c r="CZ324" s="21"/>
      <c r="DA324" s="21"/>
      <c r="DB324" s="21"/>
      <c r="DC324" s="134"/>
      <c r="DD324" s="134"/>
      <c r="DE324" s="31">
        <f>$A$38</f>
        <v>20152</v>
      </c>
      <c r="DF324" s="21"/>
      <c r="DG324" s="21"/>
      <c r="DH324" s="21"/>
      <c r="DI324" s="21"/>
      <c r="DJ324" s="21"/>
      <c r="DK324" s="21"/>
      <c r="DL324" s="21"/>
      <c r="DM324" s="21"/>
      <c r="DN324" s="21"/>
      <c r="DO324" s="134"/>
      <c r="DP324" s="134"/>
    </row>
    <row r="325" spans="1:120" ht="15" customHeight="1" x14ac:dyDescent="0.25">
      <c r="A325" s="31">
        <f>$A$39</f>
        <v>20162</v>
      </c>
      <c r="B325" s="21"/>
      <c r="C325" s="21">
        <v>38318</v>
      </c>
      <c r="D325" s="21">
        <v>42417</v>
      </c>
      <c r="E325" s="21">
        <v>43073</v>
      </c>
      <c r="F325" s="21">
        <v>43260</v>
      </c>
      <c r="G325" s="21">
        <v>43359</v>
      </c>
      <c r="H325" s="21">
        <v>43396</v>
      </c>
      <c r="I325" s="21">
        <v>43436</v>
      </c>
      <c r="J325" s="134"/>
      <c r="K325" s="134"/>
      <c r="L325" s="134"/>
      <c r="M325" s="31">
        <f>$A$39</f>
        <v>20162</v>
      </c>
      <c r="N325" s="21"/>
      <c r="O325" s="21">
        <v>9912</v>
      </c>
      <c r="P325" s="21">
        <v>10942</v>
      </c>
      <c r="Q325" s="21">
        <v>11056</v>
      </c>
      <c r="R325" s="21">
        <v>11088</v>
      </c>
      <c r="S325" s="21">
        <v>11097</v>
      </c>
      <c r="T325" s="21">
        <v>11098</v>
      </c>
      <c r="U325" s="21">
        <v>11101</v>
      </c>
      <c r="V325" s="134"/>
      <c r="W325" s="134"/>
      <c r="X325" s="134"/>
      <c r="Y325" s="31">
        <f>$A$39</f>
        <v>20162</v>
      </c>
      <c r="Z325" s="21"/>
      <c r="AA325" s="21">
        <v>6794</v>
      </c>
      <c r="AB325" s="21">
        <v>7461</v>
      </c>
      <c r="AC325" s="21">
        <v>7531</v>
      </c>
      <c r="AD325" s="21">
        <v>7547</v>
      </c>
      <c r="AE325" s="21">
        <v>7551</v>
      </c>
      <c r="AF325" s="21">
        <v>7551</v>
      </c>
      <c r="AG325" s="21">
        <v>7552</v>
      </c>
      <c r="AH325" s="134"/>
      <c r="AI325" s="134"/>
      <c r="AJ325" s="134"/>
      <c r="AK325" s="31">
        <f>$A$39</f>
        <v>20162</v>
      </c>
      <c r="AL325" s="21"/>
      <c r="AM325" s="21"/>
      <c r="AN325" s="21"/>
      <c r="AO325" s="21"/>
      <c r="AP325" s="21"/>
      <c r="AQ325" s="21"/>
      <c r="AR325" s="21"/>
      <c r="AS325" s="21"/>
      <c r="AT325" s="134"/>
      <c r="AU325" s="134"/>
      <c r="AV325" s="134"/>
      <c r="AW325" s="31">
        <f>$A$39</f>
        <v>20162</v>
      </c>
      <c r="AX325" s="21"/>
      <c r="AY325" s="21"/>
      <c r="AZ325" s="21"/>
      <c r="BA325" s="21"/>
      <c r="BB325" s="21"/>
      <c r="BC325" s="21"/>
      <c r="BD325" s="21"/>
      <c r="BE325" s="21"/>
      <c r="BF325" s="134"/>
      <c r="BG325" s="134"/>
      <c r="BH325" s="134"/>
      <c r="BI325" s="31">
        <f>$A$39</f>
        <v>20162</v>
      </c>
      <c r="BJ325" s="21"/>
      <c r="BK325" s="21"/>
      <c r="BL325" s="21"/>
      <c r="BM325" s="21"/>
      <c r="BN325" s="21"/>
      <c r="BO325" s="21"/>
      <c r="BP325" s="21"/>
      <c r="BQ325" s="21"/>
      <c r="BR325" s="134"/>
      <c r="BS325" s="134"/>
      <c r="BT325" s="134"/>
      <c r="BU325" s="31">
        <f>$A$39</f>
        <v>20162</v>
      </c>
      <c r="BV325" s="21"/>
      <c r="BW325" s="21"/>
      <c r="BX325" s="21"/>
      <c r="BY325" s="21"/>
      <c r="BZ325" s="21"/>
      <c r="CA325" s="21"/>
      <c r="CB325" s="21"/>
      <c r="CC325" s="21"/>
      <c r="CD325" s="134"/>
      <c r="CE325" s="134"/>
      <c r="CF325" s="134"/>
      <c r="CG325" s="31">
        <f>$A$39</f>
        <v>20162</v>
      </c>
      <c r="CH325" s="21"/>
      <c r="CI325" s="21"/>
      <c r="CJ325" s="21"/>
      <c r="CK325" s="21"/>
      <c r="CL325" s="21"/>
      <c r="CM325" s="21"/>
      <c r="CN325" s="21"/>
      <c r="CO325" s="21"/>
      <c r="CP325" s="134"/>
      <c r="CQ325" s="134"/>
      <c r="CR325" s="134"/>
      <c r="CS325" s="31">
        <f>$A$39</f>
        <v>20162</v>
      </c>
      <c r="CT325" s="21"/>
      <c r="CU325" s="21"/>
      <c r="CV325" s="21"/>
      <c r="CW325" s="21"/>
      <c r="CX325" s="21"/>
      <c r="CY325" s="21"/>
      <c r="CZ325" s="21"/>
      <c r="DA325" s="21"/>
      <c r="DB325" s="134"/>
      <c r="DC325" s="134"/>
      <c r="DD325" s="134"/>
      <c r="DE325" s="31">
        <f>$A$39</f>
        <v>20162</v>
      </c>
      <c r="DF325" s="21"/>
      <c r="DG325" s="21"/>
      <c r="DH325" s="21"/>
      <c r="DI325" s="21"/>
      <c r="DJ325" s="21"/>
      <c r="DK325" s="21"/>
      <c r="DL325" s="21"/>
      <c r="DM325" s="21"/>
      <c r="DN325" s="134"/>
      <c r="DO325" s="134"/>
      <c r="DP325" s="134"/>
    </row>
    <row r="326" spans="1:120" ht="15" customHeight="1" x14ac:dyDescent="0.25">
      <c r="A326" s="31">
        <f>$A$40</f>
        <v>20172</v>
      </c>
      <c r="B326" s="21"/>
      <c r="C326" s="21">
        <v>41792</v>
      </c>
      <c r="D326" s="21">
        <v>45438</v>
      </c>
      <c r="E326" s="21">
        <v>46138</v>
      </c>
      <c r="F326" s="21">
        <v>46355</v>
      </c>
      <c r="G326" s="21">
        <v>46421</v>
      </c>
      <c r="H326" s="21">
        <v>46459</v>
      </c>
      <c r="I326" s="134"/>
      <c r="J326" s="134"/>
      <c r="K326" s="134"/>
      <c r="L326" s="134"/>
      <c r="M326" s="31">
        <f>$A$40</f>
        <v>20172</v>
      </c>
      <c r="N326" s="21"/>
      <c r="O326" s="21">
        <v>10956</v>
      </c>
      <c r="P326" s="21">
        <v>11807</v>
      </c>
      <c r="Q326" s="21">
        <v>11930</v>
      </c>
      <c r="R326" s="21">
        <v>11960</v>
      </c>
      <c r="S326" s="21">
        <v>11968</v>
      </c>
      <c r="T326" s="21">
        <v>11981</v>
      </c>
      <c r="U326" s="134"/>
      <c r="V326" s="134"/>
      <c r="W326" s="134"/>
      <c r="X326" s="134"/>
      <c r="Y326" s="31">
        <f>$A$40</f>
        <v>20172</v>
      </c>
      <c r="Z326" s="21"/>
      <c r="AA326" s="21">
        <v>7022</v>
      </c>
      <c r="AB326" s="21">
        <v>7597</v>
      </c>
      <c r="AC326" s="21">
        <v>7663</v>
      </c>
      <c r="AD326" s="21">
        <v>7687</v>
      </c>
      <c r="AE326" s="21">
        <v>7690</v>
      </c>
      <c r="AF326" s="21">
        <v>7700</v>
      </c>
      <c r="AG326" s="134"/>
      <c r="AH326" s="134"/>
      <c r="AI326" s="134"/>
      <c r="AJ326" s="134"/>
      <c r="AK326" s="31">
        <f>$A$40</f>
        <v>20172</v>
      </c>
      <c r="AL326" s="21"/>
      <c r="AM326" s="21"/>
      <c r="AN326" s="21"/>
      <c r="AO326" s="21"/>
      <c r="AP326" s="21"/>
      <c r="AQ326" s="21"/>
      <c r="AR326" s="21"/>
      <c r="AS326" s="134"/>
      <c r="AT326" s="134"/>
      <c r="AU326" s="134"/>
      <c r="AV326" s="134"/>
      <c r="AW326" s="31">
        <f>$A$40</f>
        <v>20172</v>
      </c>
      <c r="AX326" s="21"/>
      <c r="AY326" s="21"/>
      <c r="AZ326" s="21"/>
      <c r="BA326" s="21"/>
      <c r="BB326" s="21"/>
      <c r="BC326" s="21"/>
      <c r="BD326" s="21"/>
      <c r="BE326" s="134"/>
      <c r="BF326" s="134"/>
      <c r="BG326" s="134"/>
      <c r="BH326" s="134"/>
      <c r="BI326" s="31">
        <f>$A$40</f>
        <v>20172</v>
      </c>
      <c r="BJ326" s="21"/>
      <c r="BK326" s="21"/>
      <c r="BL326" s="21"/>
      <c r="BM326" s="21"/>
      <c r="BN326" s="21"/>
      <c r="BO326" s="21"/>
      <c r="BP326" s="21"/>
      <c r="BQ326" s="134"/>
      <c r="BR326" s="134"/>
      <c r="BS326" s="134"/>
      <c r="BT326" s="134"/>
      <c r="BU326" s="31">
        <f>$A$40</f>
        <v>20172</v>
      </c>
      <c r="BV326" s="21"/>
      <c r="BW326" s="21"/>
      <c r="BX326" s="21"/>
      <c r="BY326" s="21"/>
      <c r="BZ326" s="21"/>
      <c r="CA326" s="21"/>
      <c r="CB326" s="21"/>
      <c r="CC326" s="134"/>
      <c r="CD326" s="134"/>
      <c r="CE326" s="134"/>
      <c r="CF326" s="134"/>
      <c r="CG326" s="31">
        <f>$A$40</f>
        <v>20172</v>
      </c>
      <c r="CH326" s="21"/>
      <c r="CI326" s="21"/>
      <c r="CJ326" s="21"/>
      <c r="CK326" s="21"/>
      <c r="CL326" s="21"/>
      <c r="CM326" s="21"/>
      <c r="CN326" s="21"/>
      <c r="CO326" s="134"/>
      <c r="CP326" s="134"/>
      <c r="CQ326" s="134"/>
      <c r="CR326" s="134"/>
      <c r="CS326" s="31">
        <f>$A$40</f>
        <v>20172</v>
      </c>
      <c r="CT326" s="21"/>
      <c r="CU326" s="21"/>
      <c r="CV326" s="21"/>
      <c r="CW326" s="21"/>
      <c r="CX326" s="21"/>
      <c r="CY326" s="21"/>
      <c r="CZ326" s="21"/>
      <c r="DA326" s="134"/>
      <c r="DB326" s="134"/>
      <c r="DC326" s="134"/>
      <c r="DD326" s="134"/>
      <c r="DE326" s="31">
        <f>$A$40</f>
        <v>20172</v>
      </c>
      <c r="DF326" s="21"/>
      <c r="DG326" s="21"/>
      <c r="DH326" s="21"/>
      <c r="DI326" s="21"/>
      <c r="DJ326" s="21"/>
      <c r="DK326" s="21"/>
      <c r="DL326" s="21"/>
      <c r="DM326" s="134"/>
      <c r="DN326" s="134"/>
      <c r="DO326" s="134"/>
      <c r="DP326" s="134"/>
    </row>
    <row r="327" spans="1:120" ht="15" customHeight="1" x14ac:dyDescent="0.25">
      <c r="A327" s="31">
        <f>$A$41</f>
        <v>20182</v>
      </c>
      <c r="B327" s="21"/>
      <c r="C327" s="21">
        <v>34975</v>
      </c>
      <c r="D327" s="21">
        <v>38473</v>
      </c>
      <c r="E327" s="21">
        <v>39126</v>
      </c>
      <c r="F327" s="21">
        <v>39333</v>
      </c>
      <c r="G327" s="21">
        <v>39418</v>
      </c>
      <c r="H327" s="134"/>
      <c r="I327" s="134"/>
      <c r="J327" s="134"/>
      <c r="K327" s="134"/>
      <c r="L327" s="134"/>
      <c r="M327" s="31">
        <f>$A$41</f>
        <v>20182</v>
      </c>
      <c r="N327" s="21"/>
      <c r="O327" s="21">
        <v>11257</v>
      </c>
      <c r="P327" s="21">
        <v>12286</v>
      </c>
      <c r="Q327" s="21">
        <v>12412</v>
      </c>
      <c r="R327" s="21">
        <v>12442</v>
      </c>
      <c r="S327" s="21">
        <v>12452</v>
      </c>
      <c r="T327" s="134"/>
      <c r="U327" s="134"/>
      <c r="V327" s="134"/>
      <c r="W327" s="134"/>
      <c r="X327" s="134"/>
      <c r="Y327" s="31">
        <f>$A$41</f>
        <v>20182</v>
      </c>
      <c r="Z327" s="21"/>
      <c r="AA327" s="21">
        <v>6496</v>
      </c>
      <c r="AB327" s="21">
        <v>7071</v>
      </c>
      <c r="AC327" s="21">
        <v>7143</v>
      </c>
      <c r="AD327" s="21">
        <v>7175</v>
      </c>
      <c r="AE327" s="21">
        <v>7183</v>
      </c>
      <c r="AF327" s="134"/>
      <c r="AG327" s="134"/>
      <c r="AH327" s="134"/>
      <c r="AI327" s="134"/>
      <c r="AJ327" s="134"/>
      <c r="AK327" s="31">
        <f>$A$41</f>
        <v>20182</v>
      </c>
      <c r="AL327" s="21"/>
      <c r="AM327" s="21"/>
      <c r="AN327" s="21"/>
      <c r="AO327" s="21"/>
      <c r="AP327" s="21"/>
      <c r="AQ327" s="21"/>
      <c r="AR327" s="134"/>
      <c r="AS327" s="134"/>
      <c r="AT327" s="134"/>
      <c r="AU327" s="134"/>
      <c r="AV327" s="134"/>
      <c r="AW327" s="31">
        <f>$A$41</f>
        <v>20182</v>
      </c>
      <c r="AX327" s="21"/>
      <c r="AY327" s="21"/>
      <c r="AZ327" s="21"/>
      <c r="BA327" s="21"/>
      <c r="BB327" s="21"/>
      <c r="BC327" s="21"/>
      <c r="BD327" s="134"/>
      <c r="BE327" s="134"/>
      <c r="BF327" s="134"/>
      <c r="BG327" s="134"/>
      <c r="BH327" s="134"/>
      <c r="BI327" s="31">
        <f>$A$41</f>
        <v>20182</v>
      </c>
      <c r="BJ327" s="21"/>
      <c r="BK327" s="21"/>
      <c r="BL327" s="21"/>
      <c r="BM327" s="21"/>
      <c r="BN327" s="21"/>
      <c r="BO327" s="21"/>
      <c r="BP327" s="134"/>
      <c r="BQ327" s="134"/>
      <c r="BR327" s="134"/>
      <c r="BS327" s="134"/>
      <c r="BT327" s="134"/>
      <c r="BU327" s="31">
        <f>$A$41</f>
        <v>20182</v>
      </c>
      <c r="BV327" s="21"/>
      <c r="BW327" s="21"/>
      <c r="BX327" s="21"/>
      <c r="BY327" s="21"/>
      <c r="BZ327" s="21"/>
      <c r="CA327" s="21"/>
      <c r="CB327" s="134"/>
      <c r="CC327" s="134"/>
      <c r="CD327" s="134"/>
      <c r="CE327" s="134"/>
      <c r="CF327" s="134"/>
      <c r="CG327" s="31">
        <f>$A$41</f>
        <v>20182</v>
      </c>
      <c r="CH327" s="21"/>
      <c r="CI327" s="21"/>
      <c r="CJ327" s="21"/>
      <c r="CK327" s="21"/>
      <c r="CL327" s="21"/>
      <c r="CM327" s="21"/>
      <c r="CN327" s="134"/>
      <c r="CO327" s="134"/>
      <c r="CP327" s="134"/>
      <c r="CQ327" s="134"/>
      <c r="CR327" s="134"/>
      <c r="CS327" s="31">
        <f>$A$41</f>
        <v>20182</v>
      </c>
      <c r="CT327" s="21"/>
      <c r="CU327" s="21"/>
      <c r="CV327" s="21"/>
      <c r="CW327" s="21"/>
      <c r="CX327" s="21"/>
      <c r="CY327" s="21"/>
      <c r="CZ327" s="134"/>
      <c r="DA327" s="134"/>
      <c r="DB327" s="134"/>
      <c r="DC327" s="134"/>
      <c r="DD327" s="134"/>
      <c r="DE327" s="31">
        <f>$A$41</f>
        <v>20182</v>
      </c>
      <c r="DF327" s="21"/>
      <c r="DG327" s="21"/>
      <c r="DH327" s="21"/>
      <c r="DI327" s="21"/>
      <c r="DJ327" s="21"/>
      <c r="DK327" s="21"/>
      <c r="DL327" s="134"/>
      <c r="DM327" s="134"/>
      <c r="DN327" s="134"/>
      <c r="DO327" s="134"/>
      <c r="DP327" s="134"/>
    </row>
    <row r="328" spans="1:120" ht="15" customHeight="1" x14ac:dyDescent="0.25">
      <c r="A328" s="31">
        <f>$A$42</f>
        <v>20192</v>
      </c>
      <c r="B328" s="21"/>
      <c r="C328" s="21">
        <v>38014</v>
      </c>
      <c r="D328" s="21">
        <v>41918</v>
      </c>
      <c r="E328" s="21">
        <v>42618</v>
      </c>
      <c r="F328" s="21">
        <v>42814</v>
      </c>
      <c r="G328" s="134"/>
      <c r="H328" s="134"/>
      <c r="I328" s="134"/>
      <c r="J328" s="134"/>
      <c r="K328" s="134"/>
      <c r="L328" s="134"/>
      <c r="M328" s="31">
        <f>$A$42</f>
        <v>20192</v>
      </c>
      <c r="N328" s="21"/>
      <c r="O328" s="21">
        <v>11211</v>
      </c>
      <c r="P328" s="21">
        <v>12152</v>
      </c>
      <c r="Q328" s="21">
        <v>12284</v>
      </c>
      <c r="R328" s="21">
        <v>12306</v>
      </c>
      <c r="S328" s="134"/>
      <c r="T328" s="134"/>
      <c r="U328" s="134"/>
      <c r="V328" s="134"/>
      <c r="W328" s="134"/>
      <c r="X328" s="134"/>
      <c r="Y328" s="31">
        <f>$A$42</f>
        <v>20192</v>
      </c>
      <c r="Z328" s="21"/>
      <c r="AA328" s="21">
        <v>6838</v>
      </c>
      <c r="AB328" s="21">
        <v>7530</v>
      </c>
      <c r="AC328" s="21">
        <v>7603</v>
      </c>
      <c r="AD328" s="21">
        <v>7623</v>
      </c>
      <c r="AE328" s="134"/>
      <c r="AF328" s="134"/>
      <c r="AG328" s="134"/>
      <c r="AH328" s="134"/>
      <c r="AI328" s="134"/>
      <c r="AJ328" s="134"/>
      <c r="AK328" s="31">
        <f>$A$42</f>
        <v>20192</v>
      </c>
      <c r="AL328" s="21"/>
      <c r="AM328" s="21"/>
      <c r="AN328" s="21"/>
      <c r="AO328" s="21"/>
      <c r="AP328" s="21"/>
      <c r="AQ328" s="134"/>
      <c r="AR328" s="134"/>
      <c r="AS328" s="134"/>
      <c r="AT328" s="134"/>
      <c r="AU328" s="134"/>
      <c r="AV328" s="134"/>
      <c r="AW328" s="31">
        <f>$A$42</f>
        <v>20192</v>
      </c>
      <c r="AX328" s="21"/>
      <c r="AY328" s="21"/>
      <c r="AZ328" s="21"/>
      <c r="BA328" s="21"/>
      <c r="BB328" s="21"/>
      <c r="BC328" s="134"/>
      <c r="BD328" s="134"/>
      <c r="BE328" s="134"/>
      <c r="BF328" s="134"/>
      <c r="BG328" s="134"/>
      <c r="BH328" s="134"/>
      <c r="BI328" s="31">
        <f>$A$42</f>
        <v>20192</v>
      </c>
      <c r="BJ328" s="21"/>
      <c r="BK328" s="21"/>
      <c r="BL328" s="21"/>
      <c r="BM328" s="21"/>
      <c r="BN328" s="21"/>
      <c r="BO328" s="134"/>
      <c r="BP328" s="134"/>
      <c r="BQ328" s="134"/>
      <c r="BR328" s="134"/>
      <c r="BS328" s="134"/>
      <c r="BT328" s="134"/>
      <c r="BU328" s="31">
        <f>$A$42</f>
        <v>20192</v>
      </c>
      <c r="BV328" s="21"/>
      <c r="BW328" s="21"/>
      <c r="BX328" s="21"/>
      <c r="BY328" s="21"/>
      <c r="BZ328" s="21"/>
      <c r="CA328" s="134"/>
      <c r="CB328" s="134"/>
      <c r="CC328" s="134"/>
      <c r="CD328" s="134"/>
      <c r="CE328" s="134"/>
      <c r="CF328" s="134"/>
      <c r="CG328" s="31">
        <f>$A$42</f>
        <v>20192</v>
      </c>
      <c r="CH328" s="21"/>
      <c r="CI328" s="21"/>
      <c r="CJ328" s="21"/>
      <c r="CK328" s="21"/>
      <c r="CL328" s="21"/>
      <c r="CM328" s="134"/>
      <c r="CN328" s="134"/>
      <c r="CO328" s="134"/>
      <c r="CP328" s="134"/>
      <c r="CQ328" s="134"/>
      <c r="CR328" s="134"/>
      <c r="CS328" s="31">
        <f>$A$42</f>
        <v>20192</v>
      </c>
      <c r="CT328" s="21"/>
      <c r="CU328" s="21"/>
      <c r="CV328" s="21"/>
      <c r="CW328" s="21"/>
      <c r="CX328" s="21"/>
      <c r="CY328" s="134"/>
      <c r="CZ328" s="134"/>
      <c r="DA328" s="134"/>
      <c r="DB328" s="134"/>
      <c r="DC328" s="134"/>
      <c r="DD328" s="134"/>
      <c r="DE328" s="31">
        <f>$A$42</f>
        <v>20192</v>
      </c>
      <c r="DF328" s="21"/>
      <c r="DG328" s="21"/>
      <c r="DH328" s="21"/>
      <c r="DI328" s="21"/>
      <c r="DJ328" s="21"/>
      <c r="DK328" s="134"/>
      <c r="DL328" s="134"/>
      <c r="DM328" s="134"/>
      <c r="DN328" s="134"/>
      <c r="DO328" s="134"/>
      <c r="DP328" s="134"/>
    </row>
    <row r="329" spans="1:120" ht="15" customHeight="1" x14ac:dyDescent="0.25">
      <c r="A329" s="31">
        <f>$A$43</f>
        <v>20202</v>
      </c>
      <c r="B329" s="21"/>
      <c r="C329" s="21">
        <v>37256</v>
      </c>
      <c r="D329" s="21">
        <v>40783</v>
      </c>
      <c r="E329" s="21">
        <v>41466</v>
      </c>
      <c r="F329" s="134"/>
      <c r="G329" s="134"/>
      <c r="H329" s="134"/>
      <c r="I329" s="134"/>
      <c r="J329" s="134"/>
      <c r="K329" s="134"/>
      <c r="L329" s="134"/>
      <c r="M329" s="31">
        <f>$A$43</f>
        <v>20202</v>
      </c>
      <c r="N329" s="21"/>
      <c r="O329" s="21">
        <v>10005</v>
      </c>
      <c r="P329" s="21">
        <v>10829</v>
      </c>
      <c r="Q329" s="21">
        <v>10979</v>
      </c>
      <c r="R329" s="134"/>
      <c r="S329" s="134"/>
      <c r="T329" s="134"/>
      <c r="U329" s="134"/>
      <c r="V329" s="134"/>
      <c r="W329" s="134"/>
      <c r="X329" s="134"/>
      <c r="Y329" s="31">
        <f>$A$43</f>
        <v>20202</v>
      </c>
      <c r="Z329" s="21"/>
      <c r="AA329" s="21">
        <v>6763</v>
      </c>
      <c r="AB329" s="21">
        <v>7341</v>
      </c>
      <c r="AC329" s="21">
        <v>7427</v>
      </c>
      <c r="AD329" s="134"/>
      <c r="AE329" s="134"/>
      <c r="AF329" s="134"/>
      <c r="AG329" s="134"/>
      <c r="AH329" s="134"/>
      <c r="AI329" s="134"/>
      <c r="AJ329" s="134"/>
      <c r="AK329" s="31">
        <f>$A$43</f>
        <v>20202</v>
      </c>
      <c r="AL329" s="21"/>
      <c r="AM329" s="21"/>
      <c r="AN329" s="21"/>
      <c r="AO329" s="21"/>
      <c r="AP329" s="134"/>
      <c r="AQ329" s="134"/>
      <c r="AR329" s="134"/>
      <c r="AS329" s="134"/>
      <c r="AT329" s="134"/>
      <c r="AU329" s="134"/>
      <c r="AV329" s="134"/>
      <c r="AW329" s="31">
        <f>$A$43</f>
        <v>20202</v>
      </c>
      <c r="AX329" s="21"/>
      <c r="AY329" s="21"/>
      <c r="AZ329" s="21"/>
      <c r="BA329" s="21"/>
      <c r="BB329" s="134"/>
      <c r="BC329" s="134"/>
      <c r="BD329" s="134"/>
      <c r="BE329" s="134"/>
      <c r="BF329" s="134"/>
      <c r="BG329" s="134"/>
      <c r="BH329" s="134"/>
      <c r="BI329" s="31">
        <f>$A$43</f>
        <v>20202</v>
      </c>
      <c r="BJ329" s="21"/>
      <c r="BK329" s="21"/>
      <c r="BL329" s="21"/>
      <c r="BM329" s="21"/>
      <c r="BN329" s="134"/>
      <c r="BO329" s="134"/>
      <c r="BP329" s="134"/>
      <c r="BQ329" s="134"/>
      <c r="BR329" s="134"/>
      <c r="BS329" s="134"/>
      <c r="BT329" s="134"/>
      <c r="BU329" s="31">
        <f>$A$43</f>
        <v>20202</v>
      </c>
      <c r="BV329" s="21"/>
      <c r="BW329" s="21"/>
      <c r="BX329" s="21"/>
      <c r="BY329" s="21"/>
      <c r="BZ329" s="134"/>
      <c r="CA329" s="134"/>
      <c r="CB329" s="134"/>
      <c r="CC329" s="134"/>
      <c r="CD329" s="134"/>
      <c r="CE329" s="134"/>
      <c r="CF329" s="134"/>
      <c r="CG329" s="31">
        <f>$A$43</f>
        <v>20202</v>
      </c>
      <c r="CH329" s="21"/>
      <c r="CI329" s="21"/>
      <c r="CJ329" s="21"/>
      <c r="CK329" s="21"/>
      <c r="CL329" s="134"/>
      <c r="CM329" s="134"/>
      <c r="CN329" s="134"/>
      <c r="CO329" s="134"/>
      <c r="CP329" s="134"/>
      <c r="CQ329" s="134"/>
      <c r="CR329" s="134"/>
      <c r="CS329" s="31">
        <f>$A$43</f>
        <v>20202</v>
      </c>
      <c r="CT329" s="21"/>
      <c r="CU329" s="21"/>
      <c r="CV329" s="21"/>
      <c r="CW329" s="21"/>
      <c r="CX329" s="134"/>
      <c r="CY329" s="134"/>
      <c r="CZ329" s="134"/>
      <c r="DA329" s="134"/>
      <c r="DB329" s="134"/>
      <c r="DC329" s="134"/>
      <c r="DD329" s="134"/>
      <c r="DE329" s="31">
        <f>$A$43</f>
        <v>20202</v>
      </c>
      <c r="DF329" s="21"/>
      <c r="DG329" s="21"/>
      <c r="DH329" s="21"/>
      <c r="DI329" s="21"/>
      <c r="DJ329" s="134"/>
      <c r="DK329" s="134"/>
      <c r="DL329" s="134"/>
      <c r="DM329" s="134"/>
      <c r="DN329" s="134"/>
      <c r="DO329" s="134"/>
      <c r="DP329" s="134"/>
    </row>
    <row r="330" spans="1:120" ht="15" customHeight="1" x14ac:dyDescent="0.25">
      <c r="A330" s="31">
        <f>$A$44</f>
        <v>20212</v>
      </c>
      <c r="B330" s="21"/>
      <c r="C330" s="21">
        <v>36670</v>
      </c>
      <c r="D330" s="21">
        <v>41416</v>
      </c>
      <c r="E330" s="134"/>
      <c r="F330" s="134"/>
      <c r="G330" s="134"/>
      <c r="H330" s="134"/>
      <c r="I330" s="134"/>
      <c r="J330" s="134"/>
      <c r="K330" s="134"/>
      <c r="L330" s="134"/>
      <c r="M330" s="31">
        <f>$A$44</f>
        <v>20212</v>
      </c>
      <c r="N330" s="21"/>
      <c r="O330" s="21">
        <v>9780</v>
      </c>
      <c r="P330" s="21">
        <v>10719</v>
      </c>
      <c r="Q330" s="134"/>
      <c r="R330" s="134"/>
      <c r="S330" s="134"/>
      <c r="T330" s="134"/>
      <c r="U330" s="134"/>
      <c r="V330" s="134"/>
      <c r="W330" s="134"/>
      <c r="X330" s="134"/>
      <c r="Y330" s="31">
        <f>$A$44</f>
        <v>20212</v>
      </c>
      <c r="Z330" s="21"/>
      <c r="AA330" s="21">
        <v>6929</v>
      </c>
      <c r="AB330" s="21">
        <v>7659</v>
      </c>
      <c r="AC330" s="134"/>
      <c r="AD330" s="134"/>
      <c r="AE330" s="134"/>
      <c r="AF330" s="134"/>
      <c r="AG330" s="134"/>
      <c r="AH330" s="134"/>
      <c r="AI330" s="134"/>
      <c r="AJ330" s="134"/>
      <c r="AK330" s="31">
        <f>$A$44</f>
        <v>20212</v>
      </c>
      <c r="AL330" s="21"/>
      <c r="AM330" s="21"/>
      <c r="AN330" s="21"/>
      <c r="AO330" s="134"/>
      <c r="AP330" s="134"/>
      <c r="AQ330" s="134"/>
      <c r="AR330" s="134"/>
      <c r="AS330" s="134"/>
      <c r="AT330" s="134"/>
      <c r="AU330" s="134"/>
      <c r="AV330" s="134"/>
      <c r="AW330" s="31">
        <f>$A$44</f>
        <v>20212</v>
      </c>
      <c r="AX330" s="21"/>
      <c r="AY330" s="21"/>
      <c r="AZ330" s="21"/>
      <c r="BA330" s="134"/>
      <c r="BB330" s="134"/>
      <c r="BC330" s="134"/>
      <c r="BD330" s="134"/>
      <c r="BE330" s="134"/>
      <c r="BF330" s="134"/>
      <c r="BG330" s="134"/>
      <c r="BH330" s="134"/>
      <c r="BI330" s="31">
        <f>$A$44</f>
        <v>20212</v>
      </c>
      <c r="BJ330" s="21"/>
      <c r="BK330" s="21"/>
      <c r="BL330" s="21"/>
      <c r="BM330" s="134"/>
      <c r="BN330" s="134"/>
      <c r="BO330" s="134"/>
      <c r="BP330" s="134"/>
      <c r="BQ330" s="134"/>
      <c r="BR330" s="134"/>
      <c r="BS330" s="134"/>
      <c r="BT330" s="134"/>
      <c r="BU330" s="31">
        <f>$A$44</f>
        <v>20212</v>
      </c>
      <c r="BV330" s="21"/>
      <c r="BW330" s="21"/>
      <c r="BX330" s="21"/>
      <c r="BY330" s="134"/>
      <c r="BZ330" s="134"/>
      <c r="CA330" s="134"/>
      <c r="CB330" s="134"/>
      <c r="CC330" s="134"/>
      <c r="CD330" s="134"/>
      <c r="CE330" s="134"/>
      <c r="CF330" s="134"/>
      <c r="CG330" s="31">
        <f>$A$44</f>
        <v>20212</v>
      </c>
      <c r="CH330" s="21"/>
      <c r="CI330" s="21"/>
      <c r="CJ330" s="21"/>
      <c r="CK330" s="134"/>
      <c r="CL330" s="134"/>
      <c r="CM330" s="134"/>
      <c r="CN330" s="134"/>
      <c r="CO330" s="134"/>
      <c r="CP330" s="134"/>
      <c r="CQ330" s="134"/>
      <c r="CR330" s="134"/>
      <c r="CS330" s="31">
        <f>$A$44</f>
        <v>20212</v>
      </c>
      <c r="CT330" s="21"/>
      <c r="CU330" s="21"/>
      <c r="CV330" s="21"/>
      <c r="CW330" s="134"/>
      <c r="CX330" s="134"/>
      <c r="CY330" s="134"/>
      <c r="CZ330" s="134"/>
      <c r="DA330" s="134"/>
      <c r="DB330" s="134"/>
      <c r="DC330" s="134"/>
      <c r="DD330" s="134"/>
      <c r="DE330" s="31">
        <f>$A$44</f>
        <v>20212</v>
      </c>
      <c r="DF330" s="21"/>
      <c r="DG330" s="21"/>
      <c r="DH330" s="21"/>
      <c r="DI330" s="134"/>
      <c r="DJ330" s="134"/>
      <c r="DK330" s="134"/>
      <c r="DL330" s="134"/>
      <c r="DM330" s="134"/>
      <c r="DN330" s="134"/>
      <c r="DO330" s="134"/>
      <c r="DP330" s="134"/>
    </row>
    <row r="331" spans="1:120" ht="15" customHeight="1" x14ac:dyDescent="0.25">
      <c r="A331" s="31">
        <f>$A$45</f>
        <v>20222</v>
      </c>
      <c r="B331" s="21"/>
      <c r="C331" s="21">
        <v>37239</v>
      </c>
      <c r="D331" s="134"/>
      <c r="E331" s="134"/>
      <c r="F331" s="134"/>
      <c r="G331" s="134"/>
      <c r="H331" s="134"/>
      <c r="I331" s="134"/>
      <c r="J331" s="134"/>
      <c r="K331" s="134"/>
      <c r="L331" s="134"/>
      <c r="M331" s="31">
        <f>$A$45</f>
        <v>20222</v>
      </c>
      <c r="N331" s="21"/>
      <c r="O331" s="21">
        <v>10549</v>
      </c>
      <c r="P331" s="134"/>
      <c r="Q331" s="134"/>
      <c r="R331" s="134"/>
      <c r="S331" s="134"/>
      <c r="T331" s="134"/>
      <c r="U331" s="134"/>
      <c r="V331" s="134"/>
      <c r="W331" s="134"/>
      <c r="X331" s="134"/>
      <c r="Y331" s="31">
        <f>$A$45</f>
        <v>20222</v>
      </c>
      <c r="Z331" s="21"/>
      <c r="AA331" s="21">
        <v>7075</v>
      </c>
      <c r="AB331" s="134"/>
      <c r="AC331" s="134"/>
      <c r="AD331" s="134"/>
      <c r="AE331" s="134"/>
      <c r="AF331" s="134"/>
      <c r="AG331" s="134"/>
      <c r="AH331" s="134"/>
      <c r="AI331" s="134"/>
      <c r="AJ331" s="134"/>
      <c r="AK331" s="31">
        <f>$A$45</f>
        <v>20222</v>
      </c>
      <c r="AL331" s="21"/>
      <c r="AM331" s="21"/>
      <c r="AN331" s="134"/>
      <c r="AO331" s="134"/>
      <c r="AP331" s="134"/>
      <c r="AQ331" s="134"/>
      <c r="AR331" s="134"/>
      <c r="AS331" s="134"/>
      <c r="AT331" s="134"/>
      <c r="AU331" s="134"/>
      <c r="AV331" s="134"/>
      <c r="AW331" s="31">
        <f>$A$45</f>
        <v>20222</v>
      </c>
      <c r="AX331" s="21"/>
      <c r="AY331" s="21"/>
      <c r="AZ331" s="134"/>
      <c r="BA331" s="134"/>
      <c r="BB331" s="134"/>
      <c r="BC331" s="134"/>
      <c r="BD331" s="134"/>
      <c r="BE331" s="134"/>
      <c r="BF331" s="134"/>
      <c r="BG331" s="134"/>
      <c r="BH331" s="134"/>
      <c r="BI331" s="31">
        <f>$A$45</f>
        <v>20222</v>
      </c>
      <c r="BJ331" s="21"/>
      <c r="BK331" s="21"/>
      <c r="BL331" s="134"/>
      <c r="BM331" s="134"/>
      <c r="BN331" s="134"/>
      <c r="BO331" s="134"/>
      <c r="BP331" s="134"/>
      <c r="BQ331" s="134"/>
      <c r="BR331" s="134"/>
      <c r="BS331" s="134"/>
      <c r="BT331" s="134"/>
      <c r="BU331" s="31">
        <f>$A$45</f>
        <v>20222</v>
      </c>
      <c r="BV331" s="21"/>
      <c r="BW331" s="21"/>
      <c r="BX331" s="134"/>
      <c r="BY331" s="134"/>
      <c r="BZ331" s="134"/>
      <c r="CA331" s="134"/>
      <c r="CB331" s="134"/>
      <c r="CC331" s="134"/>
      <c r="CD331" s="134"/>
      <c r="CE331" s="134"/>
      <c r="CF331" s="134"/>
      <c r="CG331" s="31">
        <f>$A$45</f>
        <v>20222</v>
      </c>
      <c r="CH331" s="21"/>
      <c r="CI331" s="21"/>
      <c r="CJ331" s="134"/>
      <c r="CK331" s="134"/>
      <c r="CL331" s="134"/>
      <c r="CM331" s="134"/>
      <c r="CN331" s="134"/>
      <c r="CO331" s="134"/>
      <c r="CP331" s="134"/>
      <c r="CQ331" s="134"/>
      <c r="CR331" s="134"/>
      <c r="CS331" s="31">
        <f>$A$45</f>
        <v>20222</v>
      </c>
      <c r="CT331" s="21"/>
      <c r="CU331" s="21"/>
      <c r="CV331" s="134"/>
      <c r="CW331" s="134"/>
      <c r="CX331" s="134"/>
      <c r="CY331" s="134"/>
      <c r="CZ331" s="134"/>
      <c r="DA331" s="134"/>
      <c r="DB331" s="134"/>
      <c r="DC331" s="134"/>
      <c r="DD331" s="134"/>
      <c r="DE331" s="31">
        <f>$A$45</f>
        <v>20222</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Data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Data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Data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Data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Data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Data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Data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Data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Data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20132</v>
      </c>
      <c r="B335" s="105"/>
      <c r="C335" s="90">
        <f>IFERROR(D322/C322,"")</f>
        <v>1.1053269645758068</v>
      </c>
      <c r="D335" s="90">
        <f t="shared" ref="D335:K335" si="589">IFERROR(E322/D322,"")</f>
        <v>1.0109022308991598</v>
      </c>
      <c r="E335" s="90">
        <f t="shared" si="589"/>
        <v>1.0032115267771895</v>
      </c>
      <c r="F335" s="90">
        <f t="shared" si="589"/>
        <v>1.0011896521889601</v>
      </c>
      <c r="G335" s="90">
        <f t="shared" si="589"/>
        <v>1.0007345474971374</v>
      </c>
      <c r="H335" s="90">
        <f t="shared" si="589"/>
        <v>1.000323827205803</v>
      </c>
      <c r="I335" s="90">
        <f t="shared" si="589"/>
        <v>1.0001294889502763</v>
      </c>
      <c r="J335" s="90">
        <f t="shared" si="589"/>
        <v>1.0004531526477063</v>
      </c>
      <c r="K335" s="90">
        <f t="shared" si="589"/>
        <v>1.0000862756939801</v>
      </c>
      <c r="L335" s="22"/>
      <c r="M335" s="91">
        <f>$A$36</f>
        <v>20132</v>
      </c>
      <c r="N335" s="105"/>
      <c r="O335" s="90">
        <f>IFERROR(P322/O322,"")</f>
        <v>1.0855388950387441</v>
      </c>
      <c r="P335" s="90">
        <f t="shared" ref="P335:W335" si="590">IFERROR(Q322/P322,"")</f>
        <v>1.008436080467229</v>
      </c>
      <c r="Q335" s="90">
        <f t="shared" si="590"/>
        <v>1.0022062879205735</v>
      </c>
      <c r="R335" s="90">
        <f t="shared" si="590"/>
        <v>1.0005503577325261</v>
      </c>
      <c r="S335" s="90">
        <f t="shared" si="590"/>
        <v>1.0002750275027503</v>
      </c>
      <c r="T335" s="90">
        <f t="shared" si="590"/>
        <v>1.0000916506278068</v>
      </c>
      <c r="U335" s="90">
        <f t="shared" si="590"/>
        <v>1</v>
      </c>
      <c r="V335" s="90">
        <f t="shared" si="590"/>
        <v>1</v>
      </c>
      <c r="W335" s="90">
        <f t="shared" si="590"/>
        <v>1.0001832844574781</v>
      </c>
      <c r="X335" s="22"/>
      <c r="Y335" s="91">
        <f>$A$36</f>
        <v>20132</v>
      </c>
      <c r="Z335" s="105"/>
      <c r="AA335" s="90">
        <f>IFERROR(AB322/AA322,"")</f>
        <v>1.08424853317286</v>
      </c>
      <c r="AB335" s="90">
        <f t="shared" ref="AB335:AI335" si="591">IFERROR(AC322/AB322,"")</f>
        <v>1.0072152074372138</v>
      </c>
      <c r="AC335" s="90">
        <f t="shared" si="591"/>
        <v>1.0019286403085825</v>
      </c>
      <c r="AD335" s="90">
        <f t="shared" si="591"/>
        <v>1.0004124845318301</v>
      </c>
      <c r="AE335" s="90">
        <f t="shared" si="591"/>
        <v>1.0002748763056624</v>
      </c>
      <c r="AF335" s="90">
        <f t="shared" si="591"/>
        <v>1.000137400384721</v>
      </c>
      <c r="AG335" s="90">
        <f t="shared" si="591"/>
        <v>1</v>
      </c>
      <c r="AH335" s="90">
        <f t="shared" si="591"/>
        <v>1.000274763016898</v>
      </c>
      <c r="AI335" s="90">
        <f t="shared" si="591"/>
        <v>1</v>
      </c>
      <c r="AJ335" s="22"/>
      <c r="AK335" s="91">
        <f>$A$36</f>
        <v>20132</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20132</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20132</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20132</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20132</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20132</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20132</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20142</v>
      </c>
      <c r="B336" s="105"/>
      <c r="C336" s="90">
        <f t="shared" ref="C336:J343" si="599">IFERROR(D323/C323,"")</f>
        <v>1.0918653025981842</v>
      </c>
      <c r="D336" s="90">
        <f t="shared" si="599"/>
        <v>1.012341241313204</v>
      </c>
      <c r="E336" s="90">
        <f t="shared" si="599"/>
        <v>1.0031483015741507</v>
      </c>
      <c r="F336" s="90">
        <f t="shared" si="599"/>
        <v>1.0010382745764312</v>
      </c>
      <c r="G336" s="90">
        <f t="shared" si="599"/>
        <v>1.0006364622130026</v>
      </c>
      <c r="H336" s="90">
        <f t="shared" si="599"/>
        <v>1.0003062498527644</v>
      </c>
      <c r="I336" s="90">
        <f t="shared" si="599"/>
        <v>1.0003768074984691</v>
      </c>
      <c r="J336" s="90">
        <f t="shared" si="599"/>
        <v>1.000141249588022</v>
      </c>
      <c r="K336" s="22"/>
      <c r="L336" s="22"/>
      <c r="M336" s="91">
        <f>$A$37</f>
        <v>20142</v>
      </c>
      <c r="N336" s="105"/>
      <c r="O336" s="90">
        <f t="shared" ref="O336:V343" si="600">IFERROR(P323/O323,"")</f>
        <v>1.0812894183601962</v>
      </c>
      <c r="P336" s="90">
        <f t="shared" si="600"/>
        <v>1.0105545782797889</v>
      </c>
      <c r="Q336" s="90">
        <f t="shared" si="600"/>
        <v>1.0025652771415483</v>
      </c>
      <c r="R336" s="90">
        <f t="shared" si="600"/>
        <v>1.001279356666362</v>
      </c>
      <c r="S336" s="90">
        <f t="shared" si="600"/>
        <v>1.0003650634297709</v>
      </c>
      <c r="T336" s="90">
        <f t="shared" si="600"/>
        <v>1.0003649302070978</v>
      </c>
      <c r="U336" s="90">
        <f t="shared" si="600"/>
        <v>1.0000911992704058</v>
      </c>
      <c r="V336" s="90">
        <f t="shared" si="600"/>
        <v>1</v>
      </c>
      <c r="W336" s="22"/>
      <c r="X336" s="22"/>
      <c r="Y336" s="91">
        <f>$A$37</f>
        <v>20142</v>
      </c>
      <c r="Z336" s="105"/>
      <c r="AA336" s="90">
        <f t="shared" ref="AA336:AH343" si="601">IFERROR(AB323/AA323,"")</f>
        <v>1.0879053327186108</v>
      </c>
      <c r="AB336" s="90">
        <f t="shared" si="601"/>
        <v>1.0079107218533692</v>
      </c>
      <c r="AC336" s="90">
        <f t="shared" si="601"/>
        <v>1.0021023125437982</v>
      </c>
      <c r="AD336" s="90">
        <f t="shared" si="601"/>
        <v>1.0006993006993008</v>
      </c>
      <c r="AE336" s="90">
        <f t="shared" si="601"/>
        <v>1.00083857442348</v>
      </c>
      <c r="AF336" s="90">
        <f t="shared" si="601"/>
        <v>1.0006982265046782</v>
      </c>
      <c r="AG336" s="90">
        <f t="shared" si="601"/>
        <v>1.0002790957298353</v>
      </c>
      <c r="AH336" s="90">
        <f t="shared" si="601"/>
        <v>1.0006975446428572</v>
      </c>
      <c r="AI336" s="22"/>
      <c r="AJ336" s="22"/>
      <c r="AK336" s="91">
        <f>$A$37</f>
        <v>20142</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20142</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20142</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20142</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20142</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20142</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20142</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20152</v>
      </c>
      <c r="B337" s="105"/>
      <c r="C337" s="90">
        <f t="shared" si="599"/>
        <v>1.0999377687259562</v>
      </c>
      <c r="D337" s="90">
        <f t="shared" si="599"/>
        <v>1.0156101324418156</v>
      </c>
      <c r="E337" s="90">
        <f t="shared" si="599"/>
        <v>1.0042287045477565</v>
      </c>
      <c r="F337" s="90">
        <f t="shared" si="599"/>
        <v>1.001613757280819</v>
      </c>
      <c r="G337" s="90">
        <f t="shared" si="599"/>
        <v>1.0010573219545351</v>
      </c>
      <c r="H337" s="90">
        <f t="shared" si="599"/>
        <v>1.0006789890607317</v>
      </c>
      <c r="I337" s="90">
        <f t="shared" si="599"/>
        <v>1.000301568154403</v>
      </c>
      <c r="J337" s="22"/>
      <c r="K337" s="22"/>
      <c r="L337" s="22"/>
      <c r="M337" s="91">
        <f>$A$38</f>
        <v>20152</v>
      </c>
      <c r="N337" s="105"/>
      <c r="O337" s="90">
        <f t="shared" si="600"/>
        <v>1.0865718799368089</v>
      </c>
      <c r="P337" s="90">
        <f t="shared" si="600"/>
        <v>1.0107589415527769</v>
      </c>
      <c r="Q337" s="90">
        <f t="shared" si="600"/>
        <v>1.0027809742999616</v>
      </c>
      <c r="R337" s="90">
        <f t="shared" si="600"/>
        <v>1.0000956297217176</v>
      </c>
      <c r="S337" s="90">
        <f t="shared" si="600"/>
        <v>1.0002868617326448</v>
      </c>
      <c r="T337" s="90">
        <f t="shared" si="600"/>
        <v>1.0002867794665902</v>
      </c>
      <c r="U337" s="90">
        <f t="shared" si="600"/>
        <v>1.0000955657492354</v>
      </c>
      <c r="V337" s="22"/>
      <c r="W337" s="22"/>
      <c r="X337" s="22"/>
      <c r="Y337" s="91">
        <f>$A$38</f>
        <v>20152</v>
      </c>
      <c r="Z337" s="105"/>
      <c r="AA337" s="90">
        <f t="shared" si="601"/>
        <v>1.0890316659017898</v>
      </c>
      <c r="AB337" s="90">
        <f t="shared" si="601"/>
        <v>1.0098328416912488</v>
      </c>
      <c r="AC337" s="90">
        <f t="shared" si="601"/>
        <v>1.0023647238837112</v>
      </c>
      <c r="AD337" s="90">
        <f t="shared" si="601"/>
        <v>1.0009714127116291</v>
      </c>
      <c r="AE337" s="90">
        <f t="shared" si="601"/>
        <v>1.0004159157077499</v>
      </c>
      <c r="AF337" s="90">
        <f t="shared" si="601"/>
        <v>1.000138580931264</v>
      </c>
      <c r="AG337" s="90">
        <f t="shared" si="601"/>
        <v>1.0001385617292504</v>
      </c>
      <c r="AH337" s="22"/>
      <c r="AI337" s="22"/>
      <c r="AJ337" s="22"/>
      <c r="AK337" s="91">
        <f>$A$38</f>
        <v>20152</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20152</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20152</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20152</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20152</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20152</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20152</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20162</v>
      </c>
      <c r="B338" s="105"/>
      <c r="C338" s="90">
        <f t="shared" si="599"/>
        <v>1.1069732240722376</v>
      </c>
      <c r="D338" s="90">
        <f t="shared" si="599"/>
        <v>1.0154654973241861</v>
      </c>
      <c r="E338" s="90">
        <f t="shared" si="599"/>
        <v>1.0043414668121562</v>
      </c>
      <c r="F338" s="90">
        <f t="shared" si="599"/>
        <v>1.0022884882108183</v>
      </c>
      <c r="G338" s="90">
        <f t="shared" si="599"/>
        <v>1.0008533407135773</v>
      </c>
      <c r="H338" s="90">
        <f t="shared" si="599"/>
        <v>1.0009217439395337</v>
      </c>
      <c r="I338" s="22"/>
      <c r="J338" s="22"/>
      <c r="K338" s="22"/>
      <c r="L338" s="22"/>
      <c r="M338" s="91">
        <f>$A$39</f>
        <v>20162</v>
      </c>
      <c r="N338" s="105"/>
      <c r="O338" s="90">
        <f t="shared" si="600"/>
        <v>1.1039144471347861</v>
      </c>
      <c r="P338" s="90">
        <f t="shared" si="600"/>
        <v>1.0104185706452202</v>
      </c>
      <c r="Q338" s="90">
        <f t="shared" si="600"/>
        <v>1.0028943560057888</v>
      </c>
      <c r="R338" s="90">
        <f t="shared" si="600"/>
        <v>1.0008116883116882</v>
      </c>
      <c r="S338" s="90">
        <f t="shared" si="600"/>
        <v>1.0000901144453456</v>
      </c>
      <c r="T338" s="90">
        <f t="shared" si="600"/>
        <v>1.0002703189763922</v>
      </c>
      <c r="U338" s="22"/>
      <c r="V338" s="22"/>
      <c r="W338" s="22"/>
      <c r="X338" s="22"/>
      <c r="Y338" s="91">
        <f>$A$39</f>
        <v>20162</v>
      </c>
      <c r="Z338" s="105"/>
      <c r="AA338" s="90">
        <f t="shared" si="601"/>
        <v>1.0981748601707388</v>
      </c>
      <c r="AB338" s="90">
        <f t="shared" si="601"/>
        <v>1.0093821203592013</v>
      </c>
      <c r="AC338" s="90">
        <f t="shared" si="601"/>
        <v>1.0021245518523436</v>
      </c>
      <c r="AD338" s="90">
        <f t="shared" si="601"/>
        <v>1.0005300119252682</v>
      </c>
      <c r="AE338" s="90">
        <f t="shared" si="601"/>
        <v>1</v>
      </c>
      <c r="AF338" s="90">
        <f t="shared" si="601"/>
        <v>1.0001324327903589</v>
      </c>
      <c r="AG338" s="22"/>
      <c r="AH338" s="22"/>
      <c r="AI338" s="22"/>
      <c r="AJ338" s="22"/>
      <c r="AK338" s="91">
        <f>$A$39</f>
        <v>20162</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20162</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20162</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20162</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20162</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20162</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20162</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20172</v>
      </c>
      <c r="B339" s="105"/>
      <c r="C339" s="90">
        <f t="shared" si="599"/>
        <v>1.0872415773353752</v>
      </c>
      <c r="D339" s="90">
        <f t="shared" si="599"/>
        <v>1.0154056076411815</v>
      </c>
      <c r="E339" s="90">
        <f t="shared" si="599"/>
        <v>1.0047032814599679</v>
      </c>
      <c r="F339" s="90">
        <f t="shared" si="599"/>
        <v>1.0014237946284112</v>
      </c>
      <c r="G339" s="90">
        <f t="shared" si="599"/>
        <v>1.0008185950324207</v>
      </c>
      <c r="H339" s="22"/>
      <c r="I339" s="22"/>
      <c r="J339" s="22"/>
      <c r="K339" s="22"/>
      <c r="L339" s="22"/>
      <c r="M339" s="91">
        <f>$A$40</f>
        <v>20172</v>
      </c>
      <c r="N339" s="105"/>
      <c r="O339" s="90">
        <f t="shared" si="600"/>
        <v>1.07767433369843</v>
      </c>
      <c r="P339" s="90">
        <f t="shared" si="600"/>
        <v>1.0104175489116625</v>
      </c>
      <c r="Q339" s="90">
        <f t="shared" si="600"/>
        <v>1.002514668901928</v>
      </c>
      <c r="R339" s="90">
        <f t="shared" si="600"/>
        <v>1.0006688963210701</v>
      </c>
      <c r="S339" s="90">
        <f t="shared" si="600"/>
        <v>1.001086229946524</v>
      </c>
      <c r="T339" s="22"/>
      <c r="U339" s="22"/>
      <c r="V339" s="22"/>
      <c r="W339" s="22"/>
      <c r="X339" s="22"/>
      <c r="Y339" s="91">
        <f>$A$40</f>
        <v>20172</v>
      </c>
      <c r="Z339" s="105"/>
      <c r="AA339" s="90">
        <f t="shared" si="601"/>
        <v>1.0818855027057819</v>
      </c>
      <c r="AB339" s="90">
        <f t="shared" si="601"/>
        <v>1.0086876398578386</v>
      </c>
      <c r="AC339" s="90">
        <f t="shared" si="601"/>
        <v>1.0031319326634478</v>
      </c>
      <c r="AD339" s="90">
        <f t="shared" si="601"/>
        <v>1.0003902692858071</v>
      </c>
      <c r="AE339" s="90">
        <f t="shared" si="601"/>
        <v>1.0013003901170352</v>
      </c>
      <c r="AF339" s="22"/>
      <c r="AG339" s="22"/>
      <c r="AH339" s="22"/>
      <c r="AI339" s="22"/>
      <c r="AJ339" s="22"/>
      <c r="AK339" s="91">
        <f>$A$40</f>
        <v>20172</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20172</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20172</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20172</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20172</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20172</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20172</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20182</v>
      </c>
      <c r="B340" s="105"/>
      <c r="C340" s="90">
        <f t="shared" si="599"/>
        <v>1.1000142959256611</v>
      </c>
      <c r="D340" s="90">
        <f t="shared" si="599"/>
        <v>1.0169729420632652</v>
      </c>
      <c r="E340" s="90">
        <f t="shared" si="599"/>
        <v>1.0052905996012882</v>
      </c>
      <c r="F340" s="90">
        <f t="shared" si="599"/>
        <v>1.0021610352630108</v>
      </c>
      <c r="G340" s="22"/>
      <c r="H340" s="22"/>
      <c r="I340" s="22"/>
      <c r="J340" s="22"/>
      <c r="K340" s="22"/>
      <c r="L340" s="22"/>
      <c r="M340" s="91">
        <f>$A$41</f>
        <v>20182</v>
      </c>
      <c r="N340" s="105"/>
      <c r="O340" s="90">
        <f t="shared" si="600"/>
        <v>1.0914097894643333</v>
      </c>
      <c r="P340" s="90">
        <f t="shared" si="600"/>
        <v>1.0102555754517337</v>
      </c>
      <c r="Q340" s="90">
        <f t="shared" si="600"/>
        <v>1.0024170157911698</v>
      </c>
      <c r="R340" s="90">
        <f t="shared" si="600"/>
        <v>1.0008037293039704</v>
      </c>
      <c r="S340" s="22"/>
      <c r="T340" s="22"/>
      <c r="U340" s="22"/>
      <c r="V340" s="22"/>
      <c r="W340" s="22"/>
      <c r="X340" s="22"/>
      <c r="Y340" s="91">
        <f>$A$41</f>
        <v>20182</v>
      </c>
      <c r="Z340" s="105"/>
      <c r="AA340" s="90">
        <f t="shared" si="601"/>
        <v>1.0885160098522169</v>
      </c>
      <c r="AB340" s="90">
        <f t="shared" si="601"/>
        <v>1.0101824352991091</v>
      </c>
      <c r="AC340" s="90">
        <f t="shared" si="601"/>
        <v>1.0044799104017919</v>
      </c>
      <c r="AD340" s="90">
        <f t="shared" si="601"/>
        <v>1.0011149825783972</v>
      </c>
      <c r="AE340" s="22"/>
      <c r="AF340" s="22"/>
      <c r="AG340" s="22"/>
      <c r="AH340" s="22"/>
      <c r="AI340" s="22"/>
      <c r="AJ340" s="22"/>
      <c r="AK340" s="91">
        <f>$A$41</f>
        <v>20182</v>
      </c>
      <c r="AL340" s="105"/>
      <c r="AM340" s="90" t="str">
        <f t="shared" si="602"/>
        <v/>
      </c>
      <c r="AN340" s="90" t="str">
        <f t="shared" si="602"/>
        <v/>
      </c>
      <c r="AO340" s="90" t="str">
        <f t="shared" si="602"/>
        <v/>
      </c>
      <c r="AP340" s="90" t="str">
        <f t="shared" si="602"/>
        <v/>
      </c>
      <c r="AQ340" s="22"/>
      <c r="AR340" s="22"/>
      <c r="AS340" s="22"/>
      <c r="AT340" s="22"/>
      <c r="AU340" s="22"/>
      <c r="AV340" s="22"/>
      <c r="AW340" s="91">
        <f>$A$41</f>
        <v>20182</v>
      </c>
      <c r="AX340" s="105"/>
      <c r="AY340" s="90" t="str">
        <f t="shared" si="603"/>
        <v/>
      </c>
      <c r="AZ340" s="90" t="str">
        <f t="shared" si="603"/>
        <v/>
      </c>
      <c r="BA340" s="90" t="str">
        <f t="shared" si="603"/>
        <v/>
      </c>
      <c r="BB340" s="90" t="str">
        <f t="shared" si="603"/>
        <v/>
      </c>
      <c r="BC340" s="22"/>
      <c r="BD340" s="22"/>
      <c r="BE340" s="22"/>
      <c r="BF340" s="22"/>
      <c r="BG340" s="22"/>
      <c r="BH340" s="22"/>
      <c r="BI340" s="91">
        <f>$A$41</f>
        <v>20182</v>
      </c>
      <c r="BJ340" s="105"/>
      <c r="BK340" s="90" t="str">
        <f t="shared" si="604"/>
        <v/>
      </c>
      <c r="BL340" s="90" t="str">
        <f t="shared" si="604"/>
        <v/>
      </c>
      <c r="BM340" s="90" t="str">
        <f t="shared" si="604"/>
        <v/>
      </c>
      <c r="BN340" s="90" t="str">
        <f t="shared" si="604"/>
        <v/>
      </c>
      <c r="BO340" s="22"/>
      <c r="BP340" s="22"/>
      <c r="BQ340" s="22"/>
      <c r="BR340" s="22"/>
      <c r="BS340" s="22"/>
      <c r="BT340" s="22"/>
      <c r="BU340" s="91">
        <f>$A$41</f>
        <v>20182</v>
      </c>
      <c r="BV340" s="105"/>
      <c r="BW340" s="90" t="str">
        <f t="shared" si="605"/>
        <v/>
      </c>
      <c r="BX340" s="90" t="str">
        <f t="shared" si="605"/>
        <v/>
      </c>
      <c r="BY340" s="90" t="str">
        <f t="shared" si="605"/>
        <v/>
      </c>
      <c r="BZ340" s="90" t="str">
        <f t="shared" si="605"/>
        <v/>
      </c>
      <c r="CA340" s="22"/>
      <c r="CB340" s="22"/>
      <c r="CC340" s="22"/>
      <c r="CD340" s="22"/>
      <c r="CE340" s="22"/>
      <c r="CF340" s="22"/>
      <c r="CG340" s="91">
        <f>$A$41</f>
        <v>20182</v>
      </c>
      <c r="CH340" s="105"/>
      <c r="CI340" s="90" t="str">
        <f t="shared" si="606"/>
        <v/>
      </c>
      <c r="CJ340" s="90" t="str">
        <f t="shared" si="606"/>
        <v/>
      </c>
      <c r="CK340" s="90" t="str">
        <f t="shared" si="606"/>
        <v/>
      </c>
      <c r="CL340" s="90" t="str">
        <f t="shared" si="606"/>
        <v/>
      </c>
      <c r="CM340" s="22"/>
      <c r="CN340" s="22"/>
      <c r="CO340" s="22"/>
      <c r="CP340" s="22"/>
      <c r="CQ340" s="22"/>
      <c r="CR340" s="22"/>
      <c r="CS340" s="91">
        <f>$A$41</f>
        <v>20182</v>
      </c>
      <c r="CT340" s="105"/>
      <c r="CU340" s="90" t="str">
        <f t="shared" si="607"/>
        <v/>
      </c>
      <c r="CV340" s="90" t="str">
        <f t="shared" si="607"/>
        <v/>
      </c>
      <c r="CW340" s="90" t="str">
        <f t="shared" si="607"/>
        <v/>
      </c>
      <c r="CX340" s="90" t="str">
        <f t="shared" si="607"/>
        <v/>
      </c>
      <c r="CY340" s="22"/>
      <c r="CZ340" s="22"/>
      <c r="DA340" s="22"/>
      <c r="DB340" s="22"/>
      <c r="DC340" s="22"/>
      <c r="DD340" s="22"/>
      <c r="DE340" s="91">
        <f>$A$41</f>
        <v>20182</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20192</v>
      </c>
      <c r="B341" s="105"/>
      <c r="C341" s="90">
        <f t="shared" si="599"/>
        <v>1.102699005629505</v>
      </c>
      <c r="D341" s="90">
        <f t="shared" si="599"/>
        <v>1.0166992700033399</v>
      </c>
      <c r="E341" s="90">
        <f t="shared" si="599"/>
        <v>1.0045989957295041</v>
      </c>
      <c r="F341" s="22"/>
      <c r="G341" s="22"/>
      <c r="H341" s="22"/>
      <c r="I341" s="22"/>
      <c r="J341" s="22"/>
      <c r="K341" s="22"/>
      <c r="L341" s="22"/>
      <c r="M341" s="91">
        <f>$A$42</f>
        <v>20192</v>
      </c>
      <c r="N341" s="105"/>
      <c r="O341" s="90">
        <f t="shared" si="600"/>
        <v>1.0839354205690839</v>
      </c>
      <c r="P341" s="90">
        <f t="shared" si="600"/>
        <v>1.010862409479921</v>
      </c>
      <c r="Q341" s="90">
        <f t="shared" si="600"/>
        <v>1.00179094757408</v>
      </c>
      <c r="R341" s="22"/>
      <c r="S341" s="22"/>
      <c r="T341" s="22"/>
      <c r="U341" s="22"/>
      <c r="V341" s="22"/>
      <c r="W341" s="22"/>
      <c r="X341" s="22"/>
      <c r="Y341" s="91">
        <f>$A$42</f>
        <v>20192</v>
      </c>
      <c r="Z341" s="105"/>
      <c r="AA341" s="90">
        <f t="shared" si="601"/>
        <v>1.1011991810470898</v>
      </c>
      <c r="AB341" s="90">
        <f t="shared" si="601"/>
        <v>1.0096945551128818</v>
      </c>
      <c r="AC341" s="90">
        <f t="shared" si="601"/>
        <v>1.0026305405760885</v>
      </c>
      <c r="AD341" s="22"/>
      <c r="AE341" s="22"/>
      <c r="AF341" s="22"/>
      <c r="AG341" s="22"/>
      <c r="AH341" s="22"/>
      <c r="AI341" s="22"/>
      <c r="AJ341" s="22"/>
      <c r="AK341" s="91">
        <f>$A$42</f>
        <v>20192</v>
      </c>
      <c r="AL341" s="105"/>
      <c r="AM341" s="90" t="str">
        <f t="shared" si="602"/>
        <v/>
      </c>
      <c r="AN341" s="90" t="str">
        <f t="shared" si="602"/>
        <v/>
      </c>
      <c r="AO341" s="90" t="str">
        <f t="shared" si="602"/>
        <v/>
      </c>
      <c r="AP341" s="22"/>
      <c r="AQ341" s="22"/>
      <c r="AR341" s="22"/>
      <c r="AS341" s="22"/>
      <c r="AT341" s="22"/>
      <c r="AU341" s="22"/>
      <c r="AV341" s="22"/>
      <c r="AW341" s="91">
        <f>$A$42</f>
        <v>20192</v>
      </c>
      <c r="AX341" s="105"/>
      <c r="AY341" s="90" t="str">
        <f t="shared" si="603"/>
        <v/>
      </c>
      <c r="AZ341" s="90" t="str">
        <f t="shared" si="603"/>
        <v/>
      </c>
      <c r="BA341" s="90" t="str">
        <f t="shared" si="603"/>
        <v/>
      </c>
      <c r="BB341" s="22"/>
      <c r="BC341" s="22"/>
      <c r="BD341" s="22"/>
      <c r="BE341" s="22"/>
      <c r="BF341" s="22"/>
      <c r="BG341" s="22"/>
      <c r="BH341" s="22"/>
      <c r="BI341" s="91">
        <f>$A$42</f>
        <v>20192</v>
      </c>
      <c r="BJ341" s="105"/>
      <c r="BK341" s="90" t="str">
        <f t="shared" si="604"/>
        <v/>
      </c>
      <c r="BL341" s="90" t="str">
        <f t="shared" si="604"/>
        <v/>
      </c>
      <c r="BM341" s="90" t="str">
        <f t="shared" si="604"/>
        <v/>
      </c>
      <c r="BN341" s="22"/>
      <c r="BO341" s="22"/>
      <c r="BP341" s="22"/>
      <c r="BQ341" s="22"/>
      <c r="BR341" s="22"/>
      <c r="BS341" s="22"/>
      <c r="BT341" s="22"/>
      <c r="BU341" s="91">
        <f>$A$42</f>
        <v>20192</v>
      </c>
      <c r="BV341" s="105"/>
      <c r="BW341" s="90" t="str">
        <f t="shared" si="605"/>
        <v/>
      </c>
      <c r="BX341" s="90" t="str">
        <f t="shared" si="605"/>
        <v/>
      </c>
      <c r="BY341" s="90" t="str">
        <f t="shared" si="605"/>
        <v/>
      </c>
      <c r="BZ341" s="22"/>
      <c r="CA341" s="22"/>
      <c r="CB341" s="22"/>
      <c r="CC341" s="22"/>
      <c r="CD341" s="22"/>
      <c r="CE341" s="22"/>
      <c r="CF341" s="22"/>
      <c r="CG341" s="91">
        <f>$A$42</f>
        <v>20192</v>
      </c>
      <c r="CH341" s="105"/>
      <c r="CI341" s="90" t="str">
        <f t="shared" si="606"/>
        <v/>
      </c>
      <c r="CJ341" s="90" t="str">
        <f t="shared" si="606"/>
        <v/>
      </c>
      <c r="CK341" s="90" t="str">
        <f t="shared" si="606"/>
        <v/>
      </c>
      <c r="CL341" s="22"/>
      <c r="CM341" s="22"/>
      <c r="CN341" s="22"/>
      <c r="CO341" s="22"/>
      <c r="CP341" s="22"/>
      <c r="CQ341" s="22"/>
      <c r="CR341" s="22"/>
      <c r="CS341" s="91">
        <f>$A$42</f>
        <v>20192</v>
      </c>
      <c r="CT341" s="105"/>
      <c r="CU341" s="90" t="str">
        <f t="shared" si="607"/>
        <v/>
      </c>
      <c r="CV341" s="90" t="str">
        <f t="shared" si="607"/>
        <v/>
      </c>
      <c r="CW341" s="90" t="str">
        <f t="shared" si="607"/>
        <v/>
      </c>
      <c r="CX341" s="22"/>
      <c r="CY341" s="22"/>
      <c r="CZ341" s="22"/>
      <c r="DA341" s="22"/>
      <c r="DB341" s="22"/>
      <c r="DC341" s="22"/>
      <c r="DD341" s="22"/>
      <c r="DE341" s="91">
        <f>$A$42</f>
        <v>20192</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20202</v>
      </c>
      <c r="B342" s="105"/>
      <c r="C342" s="90">
        <f t="shared" si="599"/>
        <v>1.0946693150096629</v>
      </c>
      <c r="D342" s="90">
        <f t="shared" si="599"/>
        <v>1.0167471740676262</v>
      </c>
      <c r="E342" s="22"/>
      <c r="F342" s="22"/>
      <c r="G342" s="22"/>
      <c r="H342" s="22"/>
      <c r="I342" s="22"/>
      <c r="J342" s="22"/>
      <c r="K342" s="22"/>
      <c r="L342" s="22"/>
      <c r="M342" s="91">
        <f>$A$43</f>
        <v>20202</v>
      </c>
      <c r="N342" s="105"/>
      <c r="O342" s="90">
        <f t="shared" si="600"/>
        <v>1.0823588205897052</v>
      </c>
      <c r="P342" s="90">
        <f t="shared" si="600"/>
        <v>1.0138516945239635</v>
      </c>
      <c r="Q342" s="22"/>
      <c r="R342" s="22"/>
      <c r="S342" s="22"/>
      <c r="T342" s="22"/>
      <c r="U342" s="22"/>
      <c r="V342" s="22"/>
      <c r="W342" s="22"/>
      <c r="X342" s="22"/>
      <c r="Y342" s="91">
        <f>$A$43</f>
        <v>20202</v>
      </c>
      <c r="Z342" s="105"/>
      <c r="AA342" s="90">
        <f t="shared" si="601"/>
        <v>1.0854650303119917</v>
      </c>
      <c r="AB342" s="90">
        <f t="shared" si="601"/>
        <v>1.0117150252009264</v>
      </c>
      <c r="AC342" s="22"/>
      <c r="AD342" s="22"/>
      <c r="AE342" s="22"/>
      <c r="AF342" s="22"/>
      <c r="AG342" s="22"/>
      <c r="AH342" s="22"/>
      <c r="AI342" s="22"/>
      <c r="AJ342" s="22"/>
      <c r="AK342" s="91">
        <f>$A$43</f>
        <v>20202</v>
      </c>
      <c r="AL342" s="105"/>
      <c r="AM342" s="90" t="str">
        <f t="shared" si="602"/>
        <v/>
      </c>
      <c r="AN342" s="90" t="str">
        <f t="shared" si="602"/>
        <v/>
      </c>
      <c r="AO342" s="22"/>
      <c r="AP342" s="22"/>
      <c r="AQ342" s="22"/>
      <c r="AR342" s="22"/>
      <c r="AS342" s="22"/>
      <c r="AT342" s="22"/>
      <c r="AU342" s="22"/>
      <c r="AV342" s="22"/>
      <c r="AW342" s="91">
        <f>$A$43</f>
        <v>20202</v>
      </c>
      <c r="AX342" s="105"/>
      <c r="AY342" s="90" t="str">
        <f t="shared" si="603"/>
        <v/>
      </c>
      <c r="AZ342" s="90" t="str">
        <f t="shared" si="603"/>
        <v/>
      </c>
      <c r="BA342" s="22"/>
      <c r="BB342" s="22"/>
      <c r="BC342" s="22"/>
      <c r="BD342" s="22"/>
      <c r="BE342" s="22"/>
      <c r="BF342" s="22"/>
      <c r="BG342" s="22"/>
      <c r="BH342" s="22"/>
      <c r="BI342" s="91">
        <f>$A$43</f>
        <v>20202</v>
      </c>
      <c r="BJ342" s="105"/>
      <c r="BK342" s="90" t="str">
        <f t="shared" si="604"/>
        <v/>
      </c>
      <c r="BL342" s="90" t="str">
        <f t="shared" si="604"/>
        <v/>
      </c>
      <c r="BM342" s="22"/>
      <c r="BN342" s="22"/>
      <c r="BO342" s="22"/>
      <c r="BP342" s="22"/>
      <c r="BQ342" s="22"/>
      <c r="BR342" s="22"/>
      <c r="BS342" s="22"/>
      <c r="BT342" s="22"/>
      <c r="BU342" s="91">
        <f>$A$43</f>
        <v>20202</v>
      </c>
      <c r="BV342" s="105"/>
      <c r="BW342" s="90" t="str">
        <f t="shared" si="605"/>
        <v/>
      </c>
      <c r="BX342" s="90" t="str">
        <f t="shared" si="605"/>
        <v/>
      </c>
      <c r="BY342" s="22"/>
      <c r="BZ342" s="22"/>
      <c r="CA342" s="22"/>
      <c r="CB342" s="22"/>
      <c r="CC342" s="22"/>
      <c r="CD342" s="22"/>
      <c r="CE342" s="22"/>
      <c r="CF342" s="22"/>
      <c r="CG342" s="91">
        <f>$A$43</f>
        <v>20202</v>
      </c>
      <c r="CH342" s="105"/>
      <c r="CI342" s="90" t="str">
        <f t="shared" si="606"/>
        <v/>
      </c>
      <c r="CJ342" s="90" t="str">
        <f t="shared" si="606"/>
        <v/>
      </c>
      <c r="CK342" s="22"/>
      <c r="CL342" s="22"/>
      <c r="CM342" s="22"/>
      <c r="CN342" s="22"/>
      <c r="CO342" s="22"/>
      <c r="CP342" s="22"/>
      <c r="CQ342" s="22"/>
      <c r="CR342" s="22"/>
      <c r="CS342" s="91">
        <f>$A$43</f>
        <v>20202</v>
      </c>
      <c r="CT342" s="105"/>
      <c r="CU342" s="90" t="str">
        <f t="shared" si="607"/>
        <v/>
      </c>
      <c r="CV342" s="90" t="str">
        <f t="shared" si="607"/>
        <v/>
      </c>
      <c r="CW342" s="22"/>
      <c r="CX342" s="22"/>
      <c r="CY342" s="22"/>
      <c r="CZ342" s="22"/>
      <c r="DA342" s="22"/>
      <c r="DB342" s="22"/>
      <c r="DC342" s="22"/>
      <c r="DD342" s="22"/>
      <c r="DE342" s="91">
        <f>$A$43</f>
        <v>20202</v>
      </c>
      <c r="DF342" s="105"/>
      <c r="DG342" s="90" t="str">
        <f t="shared" si="608"/>
        <v/>
      </c>
      <c r="DH342" s="90" t="str">
        <f t="shared" si="608"/>
        <v/>
      </c>
      <c r="DI342" s="22"/>
      <c r="DJ342" s="22"/>
      <c r="DK342" s="22"/>
      <c r="DL342" s="22"/>
      <c r="DM342" s="22"/>
      <c r="DN342" s="22"/>
      <c r="DO342" s="22"/>
      <c r="DP342" s="22"/>
    </row>
    <row r="343" spans="1:120" x14ac:dyDescent="0.25">
      <c r="A343" s="91">
        <f>$A$44</f>
        <v>20212</v>
      </c>
      <c r="B343" s="105"/>
      <c r="C343" s="90">
        <f t="shared" si="599"/>
        <v>1.1294245977638397</v>
      </c>
      <c r="D343" s="22"/>
      <c r="E343" s="22"/>
      <c r="F343" s="22"/>
      <c r="G343" s="22"/>
      <c r="H343" s="22"/>
      <c r="I343" s="22"/>
      <c r="J343" s="22"/>
      <c r="K343" s="22"/>
      <c r="L343" s="22"/>
      <c r="M343" s="91">
        <f>$A$44</f>
        <v>20212</v>
      </c>
      <c r="N343" s="105"/>
      <c r="O343" s="90">
        <f t="shared" si="600"/>
        <v>1.0960122699386503</v>
      </c>
      <c r="P343" s="22"/>
      <c r="Q343" s="22"/>
      <c r="R343" s="22"/>
      <c r="S343" s="22"/>
      <c r="T343" s="22"/>
      <c r="U343" s="22"/>
      <c r="V343" s="22"/>
      <c r="W343" s="22"/>
      <c r="X343" s="22"/>
      <c r="Y343" s="91">
        <f>$A$44</f>
        <v>20212</v>
      </c>
      <c r="Z343" s="105"/>
      <c r="AA343" s="90">
        <f t="shared" si="601"/>
        <v>1.1053543079809496</v>
      </c>
      <c r="AB343" s="22"/>
      <c r="AC343" s="22"/>
      <c r="AD343" s="22"/>
      <c r="AE343" s="22"/>
      <c r="AF343" s="22"/>
      <c r="AG343" s="22"/>
      <c r="AH343" s="22"/>
      <c r="AI343" s="22"/>
      <c r="AJ343" s="22"/>
      <c r="AK343" s="91">
        <f>$A$44</f>
        <v>20212</v>
      </c>
      <c r="AL343" s="105"/>
      <c r="AM343" s="90" t="str">
        <f t="shared" si="602"/>
        <v/>
      </c>
      <c r="AN343" s="22"/>
      <c r="AO343" s="22"/>
      <c r="AP343" s="22"/>
      <c r="AQ343" s="22"/>
      <c r="AR343" s="22"/>
      <c r="AS343" s="22"/>
      <c r="AT343" s="22"/>
      <c r="AU343" s="22"/>
      <c r="AV343" s="22"/>
      <c r="AW343" s="91">
        <f>$A$44</f>
        <v>20212</v>
      </c>
      <c r="AX343" s="105"/>
      <c r="AY343" s="90" t="str">
        <f t="shared" si="603"/>
        <v/>
      </c>
      <c r="AZ343" s="22"/>
      <c r="BA343" s="22"/>
      <c r="BB343" s="22"/>
      <c r="BC343" s="22"/>
      <c r="BD343" s="22"/>
      <c r="BE343" s="22"/>
      <c r="BF343" s="22"/>
      <c r="BG343" s="22"/>
      <c r="BH343" s="22"/>
      <c r="BI343" s="91">
        <f>$A$44</f>
        <v>20212</v>
      </c>
      <c r="BJ343" s="105"/>
      <c r="BK343" s="90" t="str">
        <f t="shared" si="604"/>
        <v/>
      </c>
      <c r="BL343" s="22"/>
      <c r="BM343" s="22"/>
      <c r="BN343" s="22"/>
      <c r="BO343" s="22"/>
      <c r="BP343" s="22"/>
      <c r="BQ343" s="22"/>
      <c r="BR343" s="22"/>
      <c r="BS343" s="22"/>
      <c r="BT343" s="22"/>
      <c r="BU343" s="91">
        <f>$A$44</f>
        <v>20212</v>
      </c>
      <c r="BV343" s="105"/>
      <c r="BW343" s="90" t="str">
        <f t="shared" si="605"/>
        <v/>
      </c>
      <c r="BX343" s="22"/>
      <c r="BY343" s="22"/>
      <c r="BZ343" s="22"/>
      <c r="CA343" s="22"/>
      <c r="CB343" s="22"/>
      <c r="CC343" s="22"/>
      <c r="CD343" s="22"/>
      <c r="CE343" s="22"/>
      <c r="CF343" s="22"/>
      <c r="CG343" s="91">
        <f>$A$44</f>
        <v>20212</v>
      </c>
      <c r="CH343" s="105"/>
      <c r="CI343" s="90" t="str">
        <f t="shared" si="606"/>
        <v/>
      </c>
      <c r="CJ343" s="22"/>
      <c r="CK343" s="22"/>
      <c r="CL343" s="22"/>
      <c r="CM343" s="22"/>
      <c r="CN343" s="22"/>
      <c r="CO343" s="22"/>
      <c r="CP343" s="22"/>
      <c r="CQ343" s="22"/>
      <c r="CR343" s="22"/>
      <c r="CS343" s="91">
        <f>$A$44</f>
        <v>20212</v>
      </c>
      <c r="CT343" s="105"/>
      <c r="CU343" s="90" t="str">
        <f t="shared" si="607"/>
        <v/>
      </c>
      <c r="CV343" s="22"/>
      <c r="CW343" s="22"/>
      <c r="CX343" s="22"/>
      <c r="CY343" s="22"/>
      <c r="CZ343" s="22"/>
      <c r="DA343" s="22"/>
      <c r="DB343" s="22"/>
      <c r="DC343" s="22"/>
      <c r="DD343" s="22"/>
      <c r="DE343" s="91">
        <f>$A$44</f>
        <v>20212</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1.1087814900839736</v>
      </c>
      <c r="D345" s="93">
        <f>IFERROR(SUM(E327:E329)/SUM(D327:D329),1)</f>
        <v>1.0168022843184181</v>
      </c>
      <c r="E345" s="93">
        <f>IFERROR(SUM(F326:F328)/SUM(E326:E328),1)</f>
        <v>1.0048482194523076</v>
      </c>
      <c r="F345" s="93">
        <f>IFERROR(SUM(G325:G327)/SUM(F325:F327),1)</f>
        <v>1.0019387660142072</v>
      </c>
      <c r="G345" s="93">
        <f>IFERROR(SUM(H324:H326)/SUM(G324:G326),1)</f>
        <v>1.0009034539740391</v>
      </c>
      <c r="H345" s="93">
        <f>IFERROR(SUM(I323:I325)/SUM(H323:H325),1)</f>
        <v>1.0006368919672</v>
      </c>
      <c r="I345" s="93">
        <f>IFERROR(SUM(J322:J324)/SUM(I322:I324),1)</f>
        <v>1.0002644062524302</v>
      </c>
      <c r="J345" s="93">
        <f>IFERROR(SUM(K322:K323)/SUM(J322:J323),1)</f>
        <v>1.0003039855888314</v>
      </c>
      <c r="K345" s="93">
        <f>IFERROR(SUM(L322:L322)/SUM(K322:K322),1)</f>
        <v>1.0000862756939801</v>
      </c>
      <c r="L345" s="93">
        <v>1</v>
      </c>
      <c r="M345" s="285" t="s">
        <v>37</v>
      </c>
      <c r="N345" s="107"/>
      <c r="O345" s="93">
        <f>IFERROR(SUM(P328:P330)/SUM(O328:O330),1)</f>
        <v>1.0872370628468189</v>
      </c>
      <c r="P345" s="93">
        <f>IFERROR(SUM(Q327:Q329)/SUM(P327:P329),1)</f>
        <v>1.0115688887628662</v>
      </c>
      <c r="Q345" s="93">
        <f>IFERROR(SUM(R326:R328)/SUM(Q326:Q328),1)</f>
        <v>1.0022388467209087</v>
      </c>
      <c r="R345" s="93">
        <f>IFERROR(SUM(S325:S327)/SUM(R325:R327),1)</f>
        <v>1.0007607776838545</v>
      </c>
      <c r="S345" s="93">
        <f>IFERROR(SUM(T324:T326)/SUM(S324:S326),1)</f>
        <v>1.0005071145183904</v>
      </c>
      <c r="T345" s="93">
        <f>IFERROR(SUM(U323:U325)/SUM(T323:T325),1)</f>
        <v>1.0003075030750308</v>
      </c>
      <c r="U345" s="93">
        <f>IFERROR(SUM(V322:V324)/SUM(U322:U324),1)</f>
        <v>1.0000618410067716</v>
      </c>
      <c r="V345" s="93">
        <f>IFERROR(SUM(W322:W323)/SUM(V322:V323),1)</f>
        <v>1</v>
      </c>
      <c r="W345" s="93">
        <f>IFERROR(SUM(X322:X322)/SUM(W322:W322),1)</f>
        <v>1.0001832844574781</v>
      </c>
      <c r="X345" s="93">
        <v>1</v>
      </c>
      <c r="Y345" s="285" t="s">
        <v>37</v>
      </c>
      <c r="Z345" s="107"/>
      <c r="AA345" s="93">
        <f>IFERROR(SUM(AB328:AB330)/SUM(AA328:AA330),1)</f>
        <v>1.0974184120798831</v>
      </c>
      <c r="AB345" s="93">
        <f>IFERROR(SUM(AC327:AC329)/SUM(AB327:AB329),1)</f>
        <v>1.0105277549904292</v>
      </c>
      <c r="AC345" s="93">
        <f>IFERROR(SUM(AD326:AD328)/SUM(AC326:AC328),1)</f>
        <v>1.0033914944888214</v>
      </c>
      <c r="AD345" s="93">
        <f>IFERROR(SUM(AE325:AE327)/SUM(AD325:AD327),1)</f>
        <v>1.0006693739122674</v>
      </c>
      <c r="AE345" s="93">
        <f>IFERROR(SUM(AF324:AF326)/SUM(AE324:AE326),1)</f>
        <v>1.0005789614322615</v>
      </c>
      <c r="AF345" s="93">
        <f>IFERROR(SUM(AG323:AG325)/SUM(AF323:AF325),1)</f>
        <v>1.0003192265596497</v>
      </c>
      <c r="AG345" s="93">
        <f>IFERROR(SUM(AH322:AH324)/SUM(AG322:AG324),1)</f>
        <v>1.0001384913673714</v>
      </c>
      <c r="AH345" s="93">
        <f>IFERROR(SUM(AI322:AI323)/SUM(AH322:AH323),1)</f>
        <v>1.000484529660137</v>
      </c>
      <c r="AI345" s="93">
        <f>IFERROR(SUM(AJ322:AJ322)/SUM(AI322:AI322),1)</f>
        <v>1</v>
      </c>
      <c r="AJ345" s="93">
        <v>1</v>
      </c>
      <c r="AK345" s="285"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5"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5"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5"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1.1087814900839736</v>
      </c>
      <c r="D346" s="93">
        <f t="shared" ref="D346:K346" si="609">IF(D345=0,1,D345)</f>
        <v>1.0168022843184181</v>
      </c>
      <c r="E346" s="93">
        <f t="shared" si="609"/>
        <v>1.0048482194523076</v>
      </c>
      <c r="F346" s="93">
        <f t="shared" si="609"/>
        <v>1.0019387660142072</v>
      </c>
      <c r="G346" s="93">
        <f t="shared" si="609"/>
        <v>1.0009034539740391</v>
      </c>
      <c r="H346" s="93">
        <f t="shared" si="609"/>
        <v>1.0006368919672</v>
      </c>
      <c r="I346" s="93">
        <f t="shared" si="609"/>
        <v>1.0002644062524302</v>
      </c>
      <c r="J346" s="93">
        <f t="shared" si="609"/>
        <v>1.0003039855888314</v>
      </c>
      <c r="K346" s="93">
        <f t="shared" si="609"/>
        <v>1.0000862756939801</v>
      </c>
      <c r="L346" s="93">
        <f>IF(L345=0,1,L345)</f>
        <v>1</v>
      </c>
      <c r="M346" s="285" t="s">
        <v>40</v>
      </c>
      <c r="N346" s="107"/>
      <c r="O346" s="93">
        <f>IF(O345=0,1,O345)</f>
        <v>1.0872370628468189</v>
      </c>
      <c r="P346" s="93">
        <f t="shared" ref="P346:W346" si="610">IF(P345=0,1,P345)</f>
        <v>1.0115688887628662</v>
      </c>
      <c r="Q346" s="93">
        <f t="shared" si="610"/>
        <v>1.0022388467209087</v>
      </c>
      <c r="R346" s="93">
        <f t="shared" si="610"/>
        <v>1.0007607776838545</v>
      </c>
      <c r="S346" s="93">
        <f t="shared" si="610"/>
        <v>1.0005071145183904</v>
      </c>
      <c r="T346" s="93">
        <f t="shared" si="610"/>
        <v>1.0003075030750308</v>
      </c>
      <c r="U346" s="93">
        <f t="shared" si="610"/>
        <v>1.0000618410067716</v>
      </c>
      <c r="V346" s="93">
        <f t="shared" si="610"/>
        <v>1</v>
      </c>
      <c r="W346" s="93">
        <f t="shared" si="610"/>
        <v>1.0001832844574781</v>
      </c>
      <c r="X346" s="93">
        <f>IF(X345=0,1,X345)</f>
        <v>1</v>
      </c>
      <c r="Y346" s="285" t="s">
        <v>40</v>
      </c>
      <c r="Z346" s="107"/>
      <c r="AA346" s="93">
        <f>IF(AA345=0,1,AA345)</f>
        <v>1.0974184120798831</v>
      </c>
      <c r="AB346" s="93">
        <f t="shared" ref="AB346:AI346" si="611">IF(AB345=0,1,AB345)</f>
        <v>1.0105277549904292</v>
      </c>
      <c r="AC346" s="93">
        <f t="shared" si="611"/>
        <v>1.0033914944888214</v>
      </c>
      <c r="AD346" s="93">
        <f t="shared" si="611"/>
        <v>1.0006693739122674</v>
      </c>
      <c r="AE346" s="93">
        <f t="shared" si="611"/>
        <v>1.0005789614322615</v>
      </c>
      <c r="AF346" s="93">
        <f t="shared" si="611"/>
        <v>1.0003192265596497</v>
      </c>
      <c r="AG346" s="93">
        <f t="shared" si="611"/>
        <v>1.0001384913673714</v>
      </c>
      <c r="AH346" s="93">
        <f t="shared" si="611"/>
        <v>1.000484529660137</v>
      </c>
      <c r="AI346" s="93">
        <f t="shared" si="611"/>
        <v>1</v>
      </c>
      <c r="AJ346" s="93">
        <f>IF(AJ345=0,1,AJ345)</f>
        <v>1</v>
      </c>
      <c r="AK346" s="285"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5"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5"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5"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1.137567322679091</v>
      </c>
      <c r="D347" s="113">
        <f>PRODUCT(D346:L346)</f>
        <v>1.0259616821281328</v>
      </c>
      <c r="E347" s="113">
        <f>PRODUCT(E346:L346)</f>
        <v>1.0090080421247816</v>
      </c>
      <c r="F347" s="113">
        <f>PRODUCT(F346:L346)</f>
        <v>1.0041397522451116</v>
      </c>
      <c r="G347" s="113">
        <f>PRODUCT(G346:L346)</f>
        <v>1.0021967272906909</v>
      </c>
      <c r="H347" s="113">
        <f>PRODUCT(H346:L346)</f>
        <v>1.0012921059583886</v>
      </c>
      <c r="I347" s="113">
        <f>PRODUCT(I346:L346)</f>
        <v>1.0006547969562671</v>
      </c>
      <c r="J347" s="113">
        <f>PRODUCT(J346:L346)</f>
        <v>1.0003902875093791</v>
      </c>
      <c r="K347" s="113">
        <f>PRODUCT(K346:L346)</f>
        <v>1.0000862756939801</v>
      </c>
      <c r="L347" s="114">
        <f>PRODUCT(L346:L346)</f>
        <v>1</v>
      </c>
      <c r="M347" s="111" t="s">
        <v>39</v>
      </c>
      <c r="N347" s="115"/>
      <c r="O347" s="113">
        <f>PRODUCT(O346:X346)</f>
        <v>1.1042855177096265</v>
      </c>
      <c r="P347" s="113">
        <f>PRODUCT(P346:X346)</f>
        <v>1.0156805313628365</v>
      </c>
      <c r="Q347" s="113">
        <f>PRODUCT(Q346:X346)</f>
        <v>1.0040646194694647</v>
      </c>
      <c r="R347" s="113">
        <f>PRODUCT(R346:X346)</f>
        <v>1.0018216942543481</v>
      </c>
      <c r="S347" s="113">
        <f>PRODUCT(S346:X346)</f>
        <v>1.0010601100624155</v>
      </c>
      <c r="T347" s="113">
        <f>PRODUCT(T346:X346)</f>
        <v>1.0005527152540952</v>
      </c>
      <c r="U347" s="113">
        <f>PRODUCT(U346:X346)</f>
        <v>1.000245136798745</v>
      </c>
      <c r="V347" s="113">
        <f>PRODUCT(V346:X346)</f>
        <v>1.0001832844574781</v>
      </c>
      <c r="W347" s="113">
        <f>PRODUCT(W346:X346)</f>
        <v>1.0001832844574781</v>
      </c>
      <c r="X347" s="114">
        <f>PRODUCT(X346:X346)</f>
        <v>1</v>
      </c>
      <c r="Y347" s="111" t="s">
        <v>39</v>
      </c>
      <c r="Z347" s="115"/>
      <c r="AA347" s="113">
        <f>PRODUCT(AA346:AJ346)</f>
        <v>1.1151724062744237</v>
      </c>
      <c r="AB347" s="113">
        <f>PRODUCT(AB346:AJ346)</f>
        <v>1.0161779627525038</v>
      </c>
      <c r="AC347" s="113">
        <f>PRODUCT(AC346:AJ346)</f>
        <v>1.0055913434679764</v>
      </c>
      <c r="AD347" s="113">
        <f>PRODUCT(AD346:AJ346)</f>
        <v>1.0021924134211202</v>
      </c>
      <c r="AE347" s="113">
        <f>PRODUCT(AE346:AJ346)</f>
        <v>1.001522020707897</v>
      </c>
      <c r="AF347" s="113">
        <f>PRODUCT(AF346:AJ346)</f>
        <v>1.0009425135966135</v>
      </c>
      <c r="AG347" s="113">
        <f>PRODUCT(AG346:AJ346)</f>
        <v>1.0006230881306837</v>
      </c>
      <c r="AH347" s="113">
        <f>PRODUCT(AH346:AJ346)</f>
        <v>1.000484529660137</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42361.869529246673</v>
      </c>
      <c r="D348" s="99">
        <f>D347*D330</f>
        <v>42491.229027018744</v>
      </c>
      <c r="E348" s="99">
        <f>E347*E329</f>
        <v>41839.527474746195</v>
      </c>
      <c r="F348" s="99">
        <f>F347*F328</f>
        <v>42991.239352622208</v>
      </c>
      <c r="G348" s="99">
        <f>G347*G327</f>
        <v>39504.590596344453</v>
      </c>
      <c r="H348" s="99">
        <f>H347*H326</f>
        <v>46519.029950720775</v>
      </c>
      <c r="I348" s="99">
        <f>I347*I325</f>
        <v>43464.441760592417</v>
      </c>
      <c r="J348" s="99">
        <f>J347*J324</f>
        <v>39819.535004023324</v>
      </c>
      <c r="K348" s="99">
        <f>K347*K323</f>
        <v>42487.66533658305</v>
      </c>
      <c r="L348" s="99">
        <f>L347*L322</f>
        <v>46367</v>
      </c>
      <c r="M348" s="95" t="s">
        <v>208</v>
      </c>
      <c r="N348" s="106"/>
      <c r="O348" s="99">
        <f>O347*O331</f>
        <v>11649.107926318849</v>
      </c>
      <c r="P348" s="99">
        <f>P347*P330</f>
        <v>10887.079615678245</v>
      </c>
      <c r="Q348" s="99">
        <f>Q347*Q329</f>
        <v>11023.625457155253</v>
      </c>
      <c r="R348" s="99">
        <f>R347*R328</f>
        <v>12328.417769494008</v>
      </c>
      <c r="S348" s="99">
        <f>S347*S327</f>
        <v>12465.200490497198</v>
      </c>
      <c r="T348" s="99">
        <f>T347*T326</f>
        <v>11987.622081459314</v>
      </c>
      <c r="U348" s="99">
        <f>U347*U325</f>
        <v>11103.721263602869</v>
      </c>
      <c r="V348" s="99">
        <f>V347*V324</f>
        <v>10466.918071847507</v>
      </c>
      <c r="W348" s="99">
        <f>W347*W323</f>
        <v>10968.009897360704</v>
      </c>
      <c r="X348" s="99">
        <f>X347*X322</f>
        <v>10914</v>
      </c>
      <c r="Y348" s="95" t="s">
        <v>208</v>
      </c>
      <c r="Z348" s="106"/>
      <c r="AA348" s="99">
        <f>AA347*AA331</f>
        <v>7889.8447743915476</v>
      </c>
      <c r="AB348" s="99">
        <f>AB347*AB330</f>
        <v>7782.9070167214268</v>
      </c>
      <c r="AC348" s="99">
        <f>AC347*AC329</f>
        <v>7468.5269079366608</v>
      </c>
      <c r="AD348" s="99">
        <f>AD347*AD328</f>
        <v>7639.7127675091997</v>
      </c>
      <c r="AE348" s="99">
        <f>AE347*AE327</f>
        <v>7193.932674744824</v>
      </c>
      <c r="AF348" s="99">
        <f>AF347*AF326</f>
        <v>7707.2573546939238</v>
      </c>
      <c r="AG348" s="99">
        <f>AG347*AG325</f>
        <v>7556.7055615629233</v>
      </c>
      <c r="AH348" s="99">
        <f>AH347*AH324</f>
        <v>7221.4973350868686</v>
      </c>
      <c r="AI348" s="99">
        <f>AI347*AI323</f>
        <v>7173</v>
      </c>
      <c r="AJ348" s="99">
        <f>AJ347*AJ322</f>
        <v>7281</v>
      </c>
      <c r="AK348" s="95" t="s">
        <v>208</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208</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208</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208</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Homeowners Multiple Peril</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Renters</v>
      </c>
      <c r="N353" s="69"/>
      <c r="O353" s="18"/>
      <c r="P353" s="18"/>
      <c r="Q353" s="18"/>
      <c r="R353" s="18"/>
      <c r="S353" s="18"/>
      <c r="T353" s="18"/>
      <c r="U353" s="18"/>
      <c r="V353" s="18"/>
      <c r="W353" s="18"/>
      <c r="X353" s="18"/>
      <c r="Y353" s="138" t="str">
        <f>Y$5</f>
        <v>Condominium Unitowners</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Data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Data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Data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Data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Data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Data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Data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Data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Data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20132</v>
      </c>
      <c r="B357" s="21"/>
      <c r="C357" s="21">
        <v>25618.47</v>
      </c>
      <c r="D357" s="21">
        <v>33098.129999999997</v>
      </c>
      <c r="E357" s="21">
        <v>33839.69</v>
      </c>
      <c r="F357" s="21">
        <v>34111.51</v>
      </c>
      <c r="G357" s="21">
        <v>34235.99</v>
      </c>
      <c r="H357" s="21">
        <v>34295.300000000003</v>
      </c>
      <c r="I357" s="21">
        <v>34360.35</v>
      </c>
      <c r="J357" s="21">
        <v>34364.35</v>
      </c>
      <c r="K357" s="21">
        <v>34379.89</v>
      </c>
      <c r="L357" s="21">
        <v>34390.89</v>
      </c>
      <c r="M357" s="31">
        <f>$A$36</f>
        <v>20132</v>
      </c>
      <c r="N357" s="21"/>
      <c r="O357" s="21">
        <v>6292</v>
      </c>
      <c r="P357" s="21">
        <v>7480</v>
      </c>
      <c r="Q357" s="21">
        <v>7576</v>
      </c>
      <c r="R357" s="21">
        <v>7609</v>
      </c>
      <c r="S357" s="21">
        <v>7618</v>
      </c>
      <c r="T357" s="21">
        <v>7623</v>
      </c>
      <c r="U357" s="21">
        <v>7628</v>
      </c>
      <c r="V357" s="21">
        <v>7628</v>
      </c>
      <c r="W357" s="21">
        <v>7629</v>
      </c>
      <c r="X357" s="21">
        <v>7629</v>
      </c>
      <c r="Y357" s="31">
        <f>$A$36</f>
        <v>20132</v>
      </c>
      <c r="Z357" s="21"/>
      <c r="AA357" s="21">
        <v>4105</v>
      </c>
      <c r="AB357" s="21">
        <v>5210</v>
      </c>
      <c r="AC357" s="21">
        <v>5298</v>
      </c>
      <c r="AD357" s="21">
        <v>5311</v>
      </c>
      <c r="AE357" s="21">
        <v>5319</v>
      </c>
      <c r="AF357" s="21">
        <v>5320</v>
      </c>
      <c r="AG357" s="21">
        <v>5321</v>
      </c>
      <c r="AH357" s="21">
        <v>5322</v>
      </c>
      <c r="AI357" s="21">
        <v>5322</v>
      </c>
      <c r="AJ357" s="21">
        <v>5322</v>
      </c>
      <c r="AK357" s="31">
        <f>$A$36</f>
        <v>20132</v>
      </c>
      <c r="AL357" s="21"/>
      <c r="AM357" s="21"/>
      <c r="AN357" s="21"/>
      <c r="AO357" s="21"/>
      <c r="AP357" s="21"/>
      <c r="AQ357" s="21"/>
      <c r="AR357" s="21"/>
      <c r="AS357" s="21"/>
      <c r="AT357" s="21"/>
      <c r="AU357" s="21"/>
      <c r="AV357" s="21"/>
      <c r="AW357" s="31">
        <f>$A$36</f>
        <v>20132</v>
      </c>
      <c r="AX357" s="21"/>
      <c r="AY357" s="21"/>
      <c r="AZ357" s="21"/>
      <c r="BA357" s="21"/>
      <c r="BB357" s="21"/>
      <c r="BC357" s="21"/>
      <c r="BD357" s="21"/>
      <c r="BE357" s="21"/>
      <c r="BF357" s="21"/>
      <c r="BG357" s="21"/>
      <c r="BH357" s="21"/>
      <c r="BI357" s="31">
        <f>$A$36</f>
        <v>20132</v>
      </c>
      <c r="BJ357" s="21"/>
      <c r="BK357" s="21"/>
      <c r="BL357" s="21"/>
      <c r="BM357" s="21"/>
      <c r="BN357" s="21"/>
      <c r="BO357" s="21"/>
      <c r="BP357" s="21"/>
      <c r="BQ357" s="21"/>
      <c r="BR357" s="21"/>
      <c r="BS357" s="21"/>
      <c r="BT357" s="21"/>
      <c r="BU357" s="31">
        <f>$A$36</f>
        <v>20132</v>
      </c>
      <c r="BV357" s="21"/>
      <c r="BW357" s="21"/>
      <c r="BX357" s="21"/>
      <c r="BY357" s="21"/>
      <c r="BZ357" s="21"/>
      <c r="CA357" s="21"/>
      <c r="CB357" s="21"/>
      <c r="CC357" s="21"/>
      <c r="CD357" s="21"/>
      <c r="CE357" s="21"/>
      <c r="CF357" s="21"/>
      <c r="CG357" s="31">
        <f>$A$36</f>
        <v>20132</v>
      </c>
      <c r="CH357" s="21"/>
      <c r="CI357" s="21"/>
      <c r="CJ357" s="21"/>
      <c r="CK357" s="21"/>
      <c r="CL357" s="21"/>
      <c r="CM357" s="21"/>
      <c r="CN357" s="21"/>
      <c r="CO357" s="21"/>
      <c r="CP357" s="21"/>
      <c r="CQ357" s="21"/>
      <c r="CR357" s="21"/>
      <c r="CS357" s="31">
        <f>$A$36</f>
        <v>20132</v>
      </c>
      <c r="CT357" s="21"/>
      <c r="CU357" s="21"/>
      <c r="CV357" s="21"/>
      <c r="CW357" s="21"/>
      <c r="CX357" s="21"/>
      <c r="CY357" s="21"/>
      <c r="CZ357" s="21"/>
      <c r="DA357" s="21"/>
      <c r="DB357" s="21"/>
      <c r="DC357" s="21"/>
      <c r="DD357" s="21"/>
      <c r="DE357" s="31">
        <f>$A$36</f>
        <v>20132</v>
      </c>
      <c r="DF357" s="21"/>
      <c r="DG357" s="21"/>
      <c r="DH357" s="21"/>
      <c r="DI357" s="21"/>
      <c r="DJ357" s="21"/>
      <c r="DK357" s="21"/>
      <c r="DL357" s="21"/>
      <c r="DM357" s="21"/>
      <c r="DN357" s="21"/>
      <c r="DO357" s="21"/>
      <c r="DP357" s="21"/>
    </row>
    <row r="358" spans="1:120" ht="15" customHeight="1" x14ac:dyDescent="0.25">
      <c r="A358" s="31">
        <f>$A$37</f>
        <v>20142</v>
      </c>
      <c r="B358" s="21"/>
      <c r="C358" s="21">
        <v>23012.62</v>
      </c>
      <c r="D358" s="21">
        <v>29425.87</v>
      </c>
      <c r="E358" s="21">
        <v>30178.16</v>
      </c>
      <c r="F358" s="21">
        <v>30464.43</v>
      </c>
      <c r="G358" s="21">
        <v>30557.63</v>
      </c>
      <c r="H358" s="21">
        <v>30625.93</v>
      </c>
      <c r="I358" s="21">
        <v>30654</v>
      </c>
      <c r="J358" s="21">
        <v>30667.599999999999</v>
      </c>
      <c r="K358" s="21">
        <v>30670.6</v>
      </c>
      <c r="L358" s="134"/>
      <c r="M358" s="31">
        <f>$A$37</f>
        <v>20142</v>
      </c>
      <c r="N358" s="21"/>
      <c r="O358" s="21">
        <v>6167</v>
      </c>
      <c r="P358" s="21">
        <v>7412</v>
      </c>
      <c r="Q358" s="21">
        <v>7526</v>
      </c>
      <c r="R358" s="21">
        <v>7572</v>
      </c>
      <c r="S358" s="21">
        <v>7591</v>
      </c>
      <c r="T358" s="21">
        <v>7594</v>
      </c>
      <c r="U358" s="21">
        <v>7597</v>
      </c>
      <c r="V358" s="21">
        <v>7598</v>
      </c>
      <c r="W358" s="21">
        <v>7599</v>
      </c>
      <c r="X358" s="134"/>
      <c r="Y358" s="31">
        <f>$A$37</f>
        <v>20142</v>
      </c>
      <c r="Z358" s="21"/>
      <c r="AA358" s="21">
        <v>3822</v>
      </c>
      <c r="AB358" s="21">
        <v>4955</v>
      </c>
      <c r="AC358" s="21">
        <v>5013</v>
      </c>
      <c r="AD358" s="21">
        <v>5036</v>
      </c>
      <c r="AE358" s="21">
        <v>5039</v>
      </c>
      <c r="AF358" s="21">
        <v>5054</v>
      </c>
      <c r="AG358" s="21">
        <v>5058</v>
      </c>
      <c r="AH358" s="21">
        <v>5059</v>
      </c>
      <c r="AI358" s="21">
        <v>5060</v>
      </c>
      <c r="AJ358" s="134"/>
      <c r="AK358" s="31">
        <f>$A$37</f>
        <v>20142</v>
      </c>
      <c r="AL358" s="21"/>
      <c r="AM358" s="21"/>
      <c r="AN358" s="21"/>
      <c r="AO358" s="21"/>
      <c r="AP358" s="21"/>
      <c r="AQ358" s="21"/>
      <c r="AR358" s="21"/>
      <c r="AS358" s="21"/>
      <c r="AT358" s="21"/>
      <c r="AU358" s="21"/>
      <c r="AV358" s="134"/>
      <c r="AW358" s="31">
        <f>$A$37</f>
        <v>20142</v>
      </c>
      <c r="AX358" s="21"/>
      <c r="AY358" s="21"/>
      <c r="AZ358" s="21"/>
      <c r="BA358" s="21"/>
      <c r="BB358" s="21"/>
      <c r="BC358" s="21"/>
      <c r="BD358" s="21"/>
      <c r="BE358" s="21"/>
      <c r="BF358" s="21"/>
      <c r="BG358" s="21"/>
      <c r="BH358" s="134"/>
      <c r="BI358" s="31">
        <f>$A$37</f>
        <v>20142</v>
      </c>
      <c r="BJ358" s="21"/>
      <c r="BK358" s="21"/>
      <c r="BL358" s="21"/>
      <c r="BM358" s="21"/>
      <c r="BN358" s="21"/>
      <c r="BO358" s="21"/>
      <c r="BP358" s="21"/>
      <c r="BQ358" s="21"/>
      <c r="BR358" s="21"/>
      <c r="BS358" s="21"/>
      <c r="BT358" s="134"/>
      <c r="BU358" s="31">
        <f>$A$37</f>
        <v>20142</v>
      </c>
      <c r="BV358" s="21"/>
      <c r="BW358" s="21"/>
      <c r="BX358" s="21"/>
      <c r="BY358" s="21"/>
      <c r="BZ358" s="21"/>
      <c r="CA358" s="21"/>
      <c r="CB358" s="21"/>
      <c r="CC358" s="21"/>
      <c r="CD358" s="21"/>
      <c r="CE358" s="21"/>
      <c r="CF358" s="134"/>
      <c r="CG358" s="31">
        <f>$A$37</f>
        <v>20142</v>
      </c>
      <c r="CH358" s="21"/>
      <c r="CI358" s="21"/>
      <c r="CJ358" s="21"/>
      <c r="CK358" s="21"/>
      <c r="CL358" s="21"/>
      <c r="CM358" s="21"/>
      <c r="CN358" s="21"/>
      <c r="CO358" s="21"/>
      <c r="CP358" s="21"/>
      <c r="CQ358" s="21"/>
      <c r="CR358" s="134"/>
      <c r="CS358" s="31">
        <f>$A$37</f>
        <v>20142</v>
      </c>
      <c r="CT358" s="21"/>
      <c r="CU358" s="21"/>
      <c r="CV358" s="21"/>
      <c r="CW358" s="21"/>
      <c r="CX358" s="21"/>
      <c r="CY358" s="21"/>
      <c r="CZ358" s="21"/>
      <c r="DA358" s="21"/>
      <c r="DB358" s="21"/>
      <c r="DC358" s="21"/>
      <c r="DD358" s="134"/>
      <c r="DE358" s="31">
        <f>$A$37</f>
        <v>20142</v>
      </c>
      <c r="DF358" s="21"/>
      <c r="DG358" s="21"/>
      <c r="DH358" s="21"/>
      <c r="DI358" s="21"/>
      <c r="DJ358" s="21"/>
      <c r="DK358" s="21"/>
      <c r="DL358" s="21"/>
      <c r="DM358" s="21"/>
      <c r="DN358" s="21"/>
      <c r="DO358" s="21"/>
      <c r="DP358" s="134"/>
    </row>
    <row r="359" spans="1:120" ht="15" customHeight="1" x14ac:dyDescent="0.25">
      <c r="A359" s="31">
        <f>$A$38</f>
        <v>20152</v>
      </c>
      <c r="B359" s="21"/>
      <c r="C359" s="21">
        <v>21383.97</v>
      </c>
      <c r="D359" s="21">
        <v>28040.12</v>
      </c>
      <c r="E359" s="21">
        <v>28876.240000000002</v>
      </c>
      <c r="F359" s="21">
        <v>29103.08</v>
      </c>
      <c r="G359" s="21">
        <v>29250.7</v>
      </c>
      <c r="H359" s="21">
        <v>29293.88</v>
      </c>
      <c r="I359" s="21">
        <v>29318.48</v>
      </c>
      <c r="J359" s="21">
        <v>29327.55</v>
      </c>
      <c r="K359" s="134"/>
      <c r="L359" s="134"/>
      <c r="M359" s="31">
        <f>$A$38</f>
        <v>20152</v>
      </c>
      <c r="N359" s="21"/>
      <c r="O359" s="21">
        <v>6119</v>
      </c>
      <c r="P359" s="21">
        <v>7262</v>
      </c>
      <c r="Q359" s="21">
        <v>7383</v>
      </c>
      <c r="R359" s="21">
        <v>7430</v>
      </c>
      <c r="S359" s="21">
        <v>7444</v>
      </c>
      <c r="T359" s="21">
        <v>7447</v>
      </c>
      <c r="U359" s="21">
        <v>7449</v>
      </c>
      <c r="V359" s="21">
        <v>7450</v>
      </c>
      <c r="W359" s="134"/>
      <c r="X359" s="134"/>
      <c r="Y359" s="31">
        <f>$A$38</f>
        <v>20152</v>
      </c>
      <c r="Z359" s="21"/>
      <c r="AA359" s="21">
        <v>3873</v>
      </c>
      <c r="AB359" s="21">
        <v>5014</v>
      </c>
      <c r="AC359" s="21">
        <v>5099</v>
      </c>
      <c r="AD359" s="21">
        <v>5111</v>
      </c>
      <c r="AE359" s="21">
        <v>5115</v>
      </c>
      <c r="AF359" s="21">
        <v>5118</v>
      </c>
      <c r="AG359" s="21">
        <v>5119</v>
      </c>
      <c r="AH359" s="21">
        <v>5119</v>
      </c>
      <c r="AI359" s="134"/>
      <c r="AJ359" s="134"/>
      <c r="AK359" s="31">
        <f>$A$38</f>
        <v>20152</v>
      </c>
      <c r="AL359" s="21"/>
      <c r="AM359" s="21"/>
      <c r="AN359" s="21"/>
      <c r="AO359" s="21"/>
      <c r="AP359" s="21"/>
      <c r="AQ359" s="21"/>
      <c r="AR359" s="21"/>
      <c r="AS359" s="21"/>
      <c r="AT359" s="21"/>
      <c r="AU359" s="134"/>
      <c r="AV359" s="134"/>
      <c r="AW359" s="31">
        <f>$A$38</f>
        <v>20152</v>
      </c>
      <c r="AX359" s="21"/>
      <c r="AY359" s="21"/>
      <c r="AZ359" s="21"/>
      <c r="BA359" s="21"/>
      <c r="BB359" s="21"/>
      <c r="BC359" s="21"/>
      <c r="BD359" s="21"/>
      <c r="BE359" s="21"/>
      <c r="BF359" s="21"/>
      <c r="BG359" s="134"/>
      <c r="BH359" s="134"/>
      <c r="BI359" s="31">
        <f>$A$38</f>
        <v>20152</v>
      </c>
      <c r="BJ359" s="21"/>
      <c r="BK359" s="21"/>
      <c r="BL359" s="21"/>
      <c r="BM359" s="21"/>
      <c r="BN359" s="21"/>
      <c r="BO359" s="21"/>
      <c r="BP359" s="21"/>
      <c r="BQ359" s="21"/>
      <c r="BR359" s="21"/>
      <c r="BS359" s="134"/>
      <c r="BT359" s="134"/>
      <c r="BU359" s="31">
        <f>$A$38</f>
        <v>20152</v>
      </c>
      <c r="BV359" s="21"/>
      <c r="BW359" s="21"/>
      <c r="BX359" s="21"/>
      <c r="BY359" s="21"/>
      <c r="BZ359" s="21"/>
      <c r="CA359" s="21"/>
      <c r="CB359" s="21"/>
      <c r="CC359" s="21"/>
      <c r="CD359" s="21"/>
      <c r="CE359" s="134"/>
      <c r="CF359" s="134"/>
      <c r="CG359" s="31">
        <f>$A$38</f>
        <v>20152</v>
      </c>
      <c r="CH359" s="21"/>
      <c r="CI359" s="21"/>
      <c r="CJ359" s="21"/>
      <c r="CK359" s="21"/>
      <c r="CL359" s="21"/>
      <c r="CM359" s="21"/>
      <c r="CN359" s="21"/>
      <c r="CO359" s="21"/>
      <c r="CP359" s="21"/>
      <c r="CQ359" s="134"/>
      <c r="CR359" s="134"/>
      <c r="CS359" s="31">
        <f>$A$38</f>
        <v>20152</v>
      </c>
      <c r="CT359" s="21"/>
      <c r="CU359" s="21"/>
      <c r="CV359" s="21"/>
      <c r="CW359" s="21"/>
      <c r="CX359" s="21"/>
      <c r="CY359" s="21"/>
      <c r="CZ359" s="21"/>
      <c r="DA359" s="21"/>
      <c r="DB359" s="21"/>
      <c r="DC359" s="134"/>
      <c r="DD359" s="134"/>
      <c r="DE359" s="31">
        <f>$A$38</f>
        <v>20152</v>
      </c>
      <c r="DF359" s="21"/>
      <c r="DG359" s="21"/>
      <c r="DH359" s="21"/>
      <c r="DI359" s="21"/>
      <c r="DJ359" s="21"/>
      <c r="DK359" s="21"/>
      <c r="DL359" s="21"/>
      <c r="DM359" s="21"/>
      <c r="DN359" s="21"/>
      <c r="DO359" s="134"/>
      <c r="DP359" s="134"/>
    </row>
    <row r="360" spans="1:120" ht="15" customHeight="1" x14ac:dyDescent="0.25">
      <c r="A360" s="31">
        <f>$A$39</f>
        <v>20162</v>
      </c>
      <c r="B360" s="21"/>
      <c r="C360" s="21">
        <v>22910.01</v>
      </c>
      <c r="D360" s="21">
        <v>29165.759999999998</v>
      </c>
      <c r="E360" s="21">
        <v>29874.89</v>
      </c>
      <c r="F360" s="21">
        <v>30186.25</v>
      </c>
      <c r="G360" s="21">
        <v>30318.44</v>
      </c>
      <c r="H360" s="21">
        <v>30372.32</v>
      </c>
      <c r="I360" s="21">
        <v>30388.32</v>
      </c>
      <c r="J360" s="134"/>
      <c r="K360" s="134"/>
      <c r="L360" s="134"/>
      <c r="M360" s="31">
        <f>$A$39</f>
        <v>20162</v>
      </c>
      <c r="N360" s="21"/>
      <c r="O360" s="21">
        <v>6092</v>
      </c>
      <c r="P360" s="21">
        <v>7339</v>
      </c>
      <c r="Q360" s="21">
        <v>7438</v>
      </c>
      <c r="R360" s="21">
        <v>7471</v>
      </c>
      <c r="S360" s="21">
        <v>7482</v>
      </c>
      <c r="T360" s="21">
        <v>7486</v>
      </c>
      <c r="U360" s="21">
        <v>7489</v>
      </c>
      <c r="V360" s="134"/>
      <c r="W360" s="134"/>
      <c r="X360" s="134"/>
      <c r="Y360" s="31">
        <f>$A$39</f>
        <v>20162</v>
      </c>
      <c r="Z360" s="21"/>
      <c r="AA360" s="21">
        <v>4296</v>
      </c>
      <c r="AB360" s="21">
        <v>5351</v>
      </c>
      <c r="AC360" s="21">
        <v>5401</v>
      </c>
      <c r="AD360" s="21">
        <v>5420</v>
      </c>
      <c r="AE360" s="21">
        <v>5425</v>
      </c>
      <c r="AF360" s="21">
        <v>5426</v>
      </c>
      <c r="AG360" s="21">
        <v>5426</v>
      </c>
      <c r="AH360" s="134"/>
      <c r="AI360" s="134"/>
      <c r="AJ360" s="134"/>
      <c r="AK360" s="31">
        <f>$A$39</f>
        <v>20162</v>
      </c>
      <c r="AL360" s="21"/>
      <c r="AM360" s="21"/>
      <c r="AN360" s="21"/>
      <c r="AO360" s="21"/>
      <c r="AP360" s="21"/>
      <c r="AQ360" s="21"/>
      <c r="AR360" s="21"/>
      <c r="AS360" s="21"/>
      <c r="AT360" s="134"/>
      <c r="AU360" s="134"/>
      <c r="AV360" s="134"/>
      <c r="AW360" s="31">
        <f>$A$39</f>
        <v>20162</v>
      </c>
      <c r="AX360" s="21"/>
      <c r="AY360" s="21"/>
      <c r="AZ360" s="21"/>
      <c r="BA360" s="21"/>
      <c r="BB360" s="21"/>
      <c r="BC360" s="21"/>
      <c r="BD360" s="21"/>
      <c r="BE360" s="21"/>
      <c r="BF360" s="134"/>
      <c r="BG360" s="134"/>
      <c r="BH360" s="134"/>
      <c r="BI360" s="31">
        <f>$A$39</f>
        <v>20162</v>
      </c>
      <c r="BJ360" s="21"/>
      <c r="BK360" s="21"/>
      <c r="BL360" s="21"/>
      <c r="BM360" s="21"/>
      <c r="BN360" s="21"/>
      <c r="BO360" s="21"/>
      <c r="BP360" s="21"/>
      <c r="BQ360" s="21"/>
      <c r="BR360" s="134"/>
      <c r="BS360" s="134"/>
      <c r="BT360" s="134"/>
      <c r="BU360" s="31">
        <f>$A$39</f>
        <v>20162</v>
      </c>
      <c r="BV360" s="21"/>
      <c r="BW360" s="21"/>
      <c r="BX360" s="21"/>
      <c r="BY360" s="21"/>
      <c r="BZ360" s="21"/>
      <c r="CA360" s="21"/>
      <c r="CB360" s="21"/>
      <c r="CC360" s="21"/>
      <c r="CD360" s="134"/>
      <c r="CE360" s="134"/>
      <c r="CF360" s="134"/>
      <c r="CG360" s="31">
        <f>$A$39</f>
        <v>20162</v>
      </c>
      <c r="CH360" s="21"/>
      <c r="CI360" s="21"/>
      <c r="CJ360" s="21"/>
      <c r="CK360" s="21"/>
      <c r="CL360" s="21"/>
      <c r="CM360" s="21"/>
      <c r="CN360" s="21"/>
      <c r="CO360" s="21"/>
      <c r="CP360" s="134"/>
      <c r="CQ360" s="134"/>
      <c r="CR360" s="134"/>
      <c r="CS360" s="31">
        <f>$A$39</f>
        <v>20162</v>
      </c>
      <c r="CT360" s="21"/>
      <c r="CU360" s="21"/>
      <c r="CV360" s="21"/>
      <c r="CW360" s="21"/>
      <c r="CX360" s="21"/>
      <c r="CY360" s="21"/>
      <c r="CZ360" s="21"/>
      <c r="DA360" s="21"/>
      <c r="DB360" s="134"/>
      <c r="DC360" s="134"/>
      <c r="DD360" s="134"/>
      <c r="DE360" s="31">
        <f>$A$39</f>
        <v>20162</v>
      </c>
      <c r="DF360" s="21"/>
      <c r="DG360" s="21"/>
      <c r="DH360" s="21"/>
      <c r="DI360" s="21"/>
      <c r="DJ360" s="21"/>
      <c r="DK360" s="21"/>
      <c r="DL360" s="21"/>
      <c r="DM360" s="21"/>
      <c r="DN360" s="134"/>
      <c r="DO360" s="134"/>
      <c r="DP360" s="134"/>
    </row>
    <row r="361" spans="1:120" ht="15" customHeight="1" x14ac:dyDescent="0.25">
      <c r="A361" s="31">
        <f>$A$40</f>
        <v>20172</v>
      </c>
      <c r="B361" s="21"/>
      <c r="C361" s="21">
        <v>25486</v>
      </c>
      <c r="D361" s="21">
        <v>30487</v>
      </c>
      <c r="E361" s="21">
        <v>31200</v>
      </c>
      <c r="F361" s="21">
        <v>31461</v>
      </c>
      <c r="G361" s="21">
        <v>31563</v>
      </c>
      <c r="H361" s="21">
        <v>31619</v>
      </c>
      <c r="I361" s="134"/>
      <c r="J361" s="134"/>
      <c r="K361" s="134"/>
      <c r="L361" s="134"/>
      <c r="M361" s="31">
        <f>$A$40</f>
        <v>20172</v>
      </c>
      <c r="N361" s="21"/>
      <c r="O361" s="21">
        <v>7030</v>
      </c>
      <c r="P361" s="21">
        <v>7912</v>
      </c>
      <c r="Q361" s="21">
        <v>8009</v>
      </c>
      <c r="R361" s="21">
        <v>8050</v>
      </c>
      <c r="S361" s="21">
        <v>8061</v>
      </c>
      <c r="T361" s="21">
        <v>8070</v>
      </c>
      <c r="U361" s="134"/>
      <c r="V361" s="134"/>
      <c r="W361" s="134"/>
      <c r="X361" s="134"/>
      <c r="Y361" s="31">
        <f>$A$40</f>
        <v>20172</v>
      </c>
      <c r="Z361" s="21"/>
      <c r="AA361" s="21">
        <v>4465</v>
      </c>
      <c r="AB361" s="21">
        <v>5337</v>
      </c>
      <c r="AC361" s="21">
        <v>5398</v>
      </c>
      <c r="AD361" s="21">
        <v>5414</v>
      </c>
      <c r="AE361" s="21">
        <v>5421</v>
      </c>
      <c r="AF361" s="21">
        <v>5425</v>
      </c>
      <c r="AG361" s="134"/>
      <c r="AH361" s="134"/>
      <c r="AI361" s="134"/>
      <c r="AJ361" s="134"/>
      <c r="AK361" s="31">
        <f>$A$40</f>
        <v>20172</v>
      </c>
      <c r="AL361" s="21"/>
      <c r="AM361" s="21"/>
      <c r="AN361" s="21"/>
      <c r="AO361" s="21"/>
      <c r="AP361" s="21"/>
      <c r="AQ361" s="21"/>
      <c r="AR361" s="21"/>
      <c r="AS361" s="134"/>
      <c r="AT361" s="134"/>
      <c r="AU361" s="134"/>
      <c r="AV361" s="134"/>
      <c r="AW361" s="31">
        <f>$A$40</f>
        <v>20172</v>
      </c>
      <c r="AX361" s="21"/>
      <c r="AY361" s="21"/>
      <c r="AZ361" s="21"/>
      <c r="BA361" s="21"/>
      <c r="BB361" s="21"/>
      <c r="BC361" s="21"/>
      <c r="BD361" s="21"/>
      <c r="BE361" s="134"/>
      <c r="BF361" s="134"/>
      <c r="BG361" s="134"/>
      <c r="BH361" s="134"/>
      <c r="BI361" s="31">
        <f>$A$40</f>
        <v>20172</v>
      </c>
      <c r="BJ361" s="21"/>
      <c r="BK361" s="21"/>
      <c r="BL361" s="21"/>
      <c r="BM361" s="21"/>
      <c r="BN361" s="21"/>
      <c r="BO361" s="21"/>
      <c r="BP361" s="21"/>
      <c r="BQ361" s="134"/>
      <c r="BR361" s="134"/>
      <c r="BS361" s="134"/>
      <c r="BT361" s="134"/>
      <c r="BU361" s="31">
        <f>$A$40</f>
        <v>20172</v>
      </c>
      <c r="BV361" s="21"/>
      <c r="BW361" s="21"/>
      <c r="BX361" s="21"/>
      <c r="BY361" s="21"/>
      <c r="BZ361" s="21"/>
      <c r="CA361" s="21"/>
      <c r="CB361" s="21"/>
      <c r="CC361" s="134"/>
      <c r="CD361" s="134"/>
      <c r="CE361" s="134"/>
      <c r="CF361" s="134"/>
      <c r="CG361" s="31">
        <f>$A$40</f>
        <v>20172</v>
      </c>
      <c r="CH361" s="21"/>
      <c r="CI361" s="21"/>
      <c r="CJ361" s="21"/>
      <c r="CK361" s="21"/>
      <c r="CL361" s="21"/>
      <c r="CM361" s="21"/>
      <c r="CN361" s="21"/>
      <c r="CO361" s="134"/>
      <c r="CP361" s="134"/>
      <c r="CQ361" s="134"/>
      <c r="CR361" s="134"/>
      <c r="CS361" s="31">
        <f>$A$40</f>
        <v>20172</v>
      </c>
      <c r="CT361" s="21"/>
      <c r="CU361" s="21"/>
      <c r="CV361" s="21"/>
      <c r="CW361" s="21"/>
      <c r="CX361" s="21"/>
      <c r="CY361" s="21"/>
      <c r="CZ361" s="21"/>
      <c r="DA361" s="134"/>
      <c r="DB361" s="134"/>
      <c r="DC361" s="134"/>
      <c r="DD361" s="134"/>
      <c r="DE361" s="31">
        <f>$A$40</f>
        <v>20172</v>
      </c>
      <c r="DF361" s="21"/>
      <c r="DG361" s="21"/>
      <c r="DH361" s="21"/>
      <c r="DI361" s="21"/>
      <c r="DJ361" s="21"/>
      <c r="DK361" s="21"/>
      <c r="DL361" s="21"/>
      <c r="DM361" s="134"/>
      <c r="DN361" s="134"/>
      <c r="DO361" s="134"/>
      <c r="DP361" s="134"/>
    </row>
    <row r="362" spans="1:120" ht="15" customHeight="1" x14ac:dyDescent="0.25">
      <c r="A362" s="31">
        <f>$A$41</f>
        <v>20182</v>
      </c>
      <c r="B362" s="21"/>
      <c r="C362" s="21">
        <v>18847</v>
      </c>
      <c r="D362" s="21">
        <v>23543</v>
      </c>
      <c r="E362" s="21">
        <v>24276</v>
      </c>
      <c r="F362" s="21">
        <v>24511</v>
      </c>
      <c r="G362" s="21">
        <v>24652</v>
      </c>
      <c r="H362" s="134"/>
      <c r="I362" s="134"/>
      <c r="J362" s="134"/>
      <c r="K362" s="134"/>
      <c r="L362" s="134"/>
      <c r="M362" s="31">
        <f>$A$41</f>
        <v>20182</v>
      </c>
      <c r="N362" s="21"/>
      <c r="O362" s="21">
        <v>7153</v>
      </c>
      <c r="P362" s="21">
        <v>8201</v>
      </c>
      <c r="Q362" s="21">
        <v>8307</v>
      </c>
      <c r="R362" s="21">
        <v>8345</v>
      </c>
      <c r="S362" s="21">
        <v>8358</v>
      </c>
      <c r="T362" s="134"/>
      <c r="U362" s="134"/>
      <c r="V362" s="134"/>
      <c r="W362" s="134"/>
      <c r="X362" s="134"/>
      <c r="Y362" s="31">
        <f>$A$41</f>
        <v>20182</v>
      </c>
      <c r="Z362" s="21"/>
      <c r="AA362" s="21">
        <v>3666</v>
      </c>
      <c r="AB362" s="21">
        <v>4527</v>
      </c>
      <c r="AC362" s="21">
        <v>4587</v>
      </c>
      <c r="AD362" s="21">
        <v>4606</v>
      </c>
      <c r="AE362" s="21">
        <v>4619</v>
      </c>
      <c r="AF362" s="134"/>
      <c r="AG362" s="134"/>
      <c r="AH362" s="134"/>
      <c r="AI362" s="134"/>
      <c r="AJ362" s="134"/>
      <c r="AK362" s="31">
        <f>$A$41</f>
        <v>20182</v>
      </c>
      <c r="AL362" s="21"/>
      <c r="AM362" s="21"/>
      <c r="AN362" s="21"/>
      <c r="AO362" s="21"/>
      <c r="AP362" s="21"/>
      <c r="AQ362" s="21"/>
      <c r="AR362" s="134"/>
      <c r="AS362" s="134"/>
      <c r="AT362" s="134"/>
      <c r="AU362" s="134"/>
      <c r="AV362" s="134"/>
      <c r="AW362" s="31">
        <f>$A$41</f>
        <v>20182</v>
      </c>
      <c r="AX362" s="21"/>
      <c r="AY362" s="21"/>
      <c r="AZ362" s="21"/>
      <c r="BA362" s="21"/>
      <c r="BB362" s="21"/>
      <c r="BC362" s="21"/>
      <c r="BD362" s="134"/>
      <c r="BE362" s="134"/>
      <c r="BF362" s="134"/>
      <c r="BG362" s="134"/>
      <c r="BH362" s="134"/>
      <c r="BI362" s="31">
        <f>$A$41</f>
        <v>20182</v>
      </c>
      <c r="BJ362" s="21"/>
      <c r="BK362" s="21"/>
      <c r="BL362" s="21"/>
      <c r="BM362" s="21"/>
      <c r="BN362" s="21"/>
      <c r="BO362" s="21"/>
      <c r="BP362" s="134"/>
      <c r="BQ362" s="134"/>
      <c r="BR362" s="134"/>
      <c r="BS362" s="134"/>
      <c r="BT362" s="134"/>
      <c r="BU362" s="31">
        <f>$A$41</f>
        <v>20182</v>
      </c>
      <c r="BV362" s="21"/>
      <c r="BW362" s="21"/>
      <c r="BX362" s="21"/>
      <c r="BY362" s="21"/>
      <c r="BZ362" s="21"/>
      <c r="CA362" s="21"/>
      <c r="CB362" s="134"/>
      <c r="CC362" s="134"/>
      <c r="CD362" s="134"/>
      <c r="CE362" s="134"/>
      <c r="CF362" s="134"/>
      <c r="CG362" s="31">
        <f>$A$41</f>
        <v>20182</v>
      </c>
      <c r="CH362" s="21"/>
      <c r="CI362" s="21"/>
      <c r="CJ362" s="21"/>
      <c r="CK362" s="21"/>
      <c r="CL362" s="21"/>
      <c r="CM362" s="21"/>
      <c r="CN362" s="134"/>
      <c r="CO362" s="134"/>
      <c r="CP362" s="134"/>
      <c r="CQ362" s="134"/>
      <c r="CR362" s="134"/>
      <c r="CS362" s="31">
        <f>$A$41</f>
        <v>20182</v>
      </c>
      <c r="CT362" s="21"/>
      <c r="CU362" s="21"/>
      <c r="CV362" s="21"/>
      <c r="CW362" s="21"/>
      <c r="CX362" s="21"/>
      <c r="CY362" s="21"/>
      <c r="CZ362" s="134"/>
      <c r="DA362" s="134"/>
      <c r="DB362" s="134"/>
      <c r="DC362" s="134"/>
      <c r="DD362" s="134"/>
      <c r="DE362" s="31">
        <f>$A$41</f>
        <v>20182</v>
      </c>
      <c r="DF362" s="21"/>
      <c r="DG362" s="21"/>
      <c r="DH362" s="21"/>
      <c r="DI362" s="21"/>
      <c r="DJ362" s="21"/>
      <c r="DK362" s="21"/>
      <c r="DL362" s="134"/>
      <c r="DM362" s="134"/>
      <c r="DN362" s="134"/>
      <c r="DO362" s="134"/>
      <c r="DP362" s="134"/>
    </row>
    <row r="363" spans="1:120" ht="15" customHeight="1" x14ac:dyDescent="0.25">
      <c r="A363" s="31">
        <f>$A$42</f>
        <v>20192</v>
      </c>
      <c r="B363" s="21"/>
      <c r="C363" s="21">
        <v>21095</v>
      </c>
      <c r="D363" s="21">
        <v>26683</v>
      </c>
      <c r="E363" s="21">
        <v>27451</v>
      </c>
      <c r="F363" s="21">
        <v>27700</v>
      </c>
      <c r="G363" s="134"/>
      <c r="H363" s="134"/>
      <c r="I363" s="134"/>
      <c r="J363" s="134"/>
      <c r="K363" s="134"/>
      <c r="L363" s="134"/>
      <c r="M363" s="31">
        <f>$A$42</f>
        <v>20192</v>
      </c>
      <c r="N363" s="21"/>
      <c r="O363" s="21">
        <v>7088</v>
      </c>
      <c r="P363" s="21">
        <v>7989</v>
      </c>
      <c r="Q363" s="21">
        <v>8081</v>
      </c>
      <c r="R363" s="21">
        <v>8101</v>
      </c>
      <c r="S363" s="134"/>
      <c r="T363" s="134"/>
      <c r="U363" s="134"/>
      <c r="V363" s="134"/>
      <c r="W363" s="134"/>
      <c r="X363" s="134"/>
      <c r="Y363" s="31">
        <f>$A$42</f>
        <v>20192</v>
      </c>
      <c r="Z363" s="21"/>
      <c r="AA363" s="21">
        <v>4057</v>
      </c>
      <c r="AB363" s="21">
        <v>4965</v>
      </c>
      <c r="AC363" s="21">
        <v>5030</v>
      </c>
      <c r="AD363" s="21">
        <v>5047</v>
      </c>
      <c r="AE363" s="134"/>
      <c r="AF363" s="134"/>
      <c r="AG363" s="134"/>
      <c r="AH363" s="134"/>
      <c r="AI363" s="134"/>
      <c r="AJ363" s="134"/>
      <c r="AK363" s="31">
        <f>$A$42</f>
        <v>20192</v>
      </c>
      <c r="AL363" s="21"/>
      <c r="AM363" s="21"/>
      <c r="AN363" s="21"/>
      <c r="AO363" s="21"/>
      <c r="AP363" s="21"/>
      <c r="AQ363" s="134"/>
      <c r="AR363" s="134"/>
      <c r="AS363" s="134"/>
      <c r="AT363" s="134"/>
      <c r="AU363" s="134"/>
      <c r="AV363" s="134"/>
      <c r="AW363" s="31">
        <f>$A$42</f>
        <v>20192</v>
      </c>
      <c r="AX363" s="21"/>
      <c r="AY363" s="21"/>
      <c r="AZ363" s="21"/>
      <c r="BA363" s="21"/>
      <c r="BB363" s="21"/>
      <c r="BC363" s="134"/>
      <c r="BD363" s="134"/>
      <c r="BE363" s="134"/>
      <c r="BF363" s="134"/>
      <c r="BG363" s="134"/>
      <c r="BH363" s="134"/>
      <c r="BI363" s="31">
        <f>$A$42</f>
        <v>20192</v>
      </c>
      <c r="BJ363" s="21"/>
      <c r="BK363" s="21"/>
      <c r="BL363" s="21"/>
      <c r="BM363" s="21"/>
      <c r="BN363" s="21"/>
      <c r="BO363" s="134"/>
      <c r="BP363" s="134"/>
      <c r="BQ363" s="134"/>
      <c r="BR363" s="134"/>
      <c r="BS363" s="134"/>
      <c r="BT363" s="134"/>
      <c r="BU363" s="31">
        <f>$A$42</f>
        <v>20192</v>
      </c>
      <c r="BV363" s="21"/>
      <c r="BW363" s="21"/>
      <c r="BX363" s="21"/>
      <c r="BY363" s="21"/>
      <c r="BZ363" s="21"/>
      <c r="CA363" s="134"/>
      <c r="CB363" s="134"/>
      <c r="CC363" s="134"/>
      <c r="CD363" s="134"/>
      <c r="CE363" s="134"/>
      <c r="CF363" s="134"/>
      <c r="CG363" s="31">
        <f>$A$42</f>
        <v>20192</v>
      </c>
      <c r="CH363" s="21"/>
      <c r="CI363" s="21"/>
      <c r="CJ363" s="21"/>
      <c r="CK363" s="21"/>
      <c r="CL363" s="21"/>
      <c r="CM363" s="134"/>
      <c r="CN363" s="134"/>
      <c r="CO363" s="134"/>
      <c r="CP363" s="134"/>
      <c r="CQ363" s="134"/>
      <c r="CR363" s="134"/>
      <c r="CS363" s="31">
        <f>$A$42</f>
        <v>20192</v>
      </c>
      <c r="CT363" s="21"/>
      <c r="CU363" s="21"/>
      <c r="CV363" s="21"/>
      <c r="CW363" s="21"/>
      <c r="CX363" s="21"/>
      <c r="CY363" s="134"/>
      <c r="CZ363" s="134"/>
      <c r="DA363" s="134"/>
      <c r="DB363" s="134"/>
      <c r="DC363" s="134"/>
      <c r="DD363" s="134"/>
      <c r="DE363" s="31">
        <f>$A$42</f>
        <v>20192</v>
      </c>
      <c r="DF363" s="21"/>
      <c r="DG363" s="21"/>
      <c r="DH363" s="21"/>
      <c r="DI363" s="21"/>
      <c r="DJ363" s="21"/>
      <c r="DK363" s="134"/>
      <c r="DL363" s="134"/>
      <c r="DM363" s="134"/>
      <c r="DN363" s="134"/>
      <c r="DO363" s="134"/>
      <c r="DP363" s="134"/>
    </row>
    <row r="364" spans="1:120" ht="15" customHeight="1" x14ac:dyDescent="0.25">
      <c r="A364" s="31">
        <f>$A$43</f>
        <v>20202</v>
      </c>
      <c r="B364" s="21"/>
      <c r="C364" s="21">
        <v>19293</v>
      </c>
      <c r="D364" s="21">
        <v>24639</v>
      </c>
      <c r="E364" s="21">
        <v>25348</v>
      </c>
      <c r="F364" s="134"/>
      <c r="G364" s="134"/>
      <c r="H364" s="134"/>
      <c r="I364" s="134"/>
      <c r="J364" s="134"/>
      <c r="K364" s="134"/>
      <c r="L364" s="134"/>
      <c r="M364" s="31">
        <f>$A$43</f>
        <v>20202</v>
      </c>
      <c r="N364" s="21"/>
      <c r="O364" s="21">
        <v>5987</v>
      </c>
      <c r="P364" s="21">
        <v>6794</v>
      </c>
      <c r="Q364" s="21">
        <v>6886</v>
      </c>
      <c r="R364" s="134"/>
      <c r="S364" s="134"/>
      <c r="T364" s="134"/>
      <c r="U364" s="134"/>
      <c r="V364" s="134"/>
      <c r="W364" s="134"/>
      <c r="X364" s="134"/>
      <c r="Y364" s="31">
        <f>$A$43</f>
        <v>20202</v>
      </c>
      <c r="Z364" s="21"/>
      <c r="AA364" s="21">
        <v>3679</v>
      </c>
      <c r="AB364" s="21">
        <v>4585</v>
      </c>
      <c r="AC364" s="21">
        <v>4665</v>
      </c>
      <c r="AD364" s="134"/>
      <c r="AE364" s="134"/>
      <c r="AF364" s="134"/>
      <c r="AG364" s="134"/>
      <c r="AH364" s="134"/>
      <c r="AI364" s="134"/>
      <c r="AJ364" s="134"/>
      <c r="AK364" s="31">
        <f>$A$43</f>
        <v>20202</v>
      </c>
      <c r="AL364" s="21"/>
      <c r="AM364" s="21"/>
      <c r="AN364" s="21"/>
      <c r="AO364" s="21"/>
      <c r="AP364" s="134"/>
      <c r="AQ364" s="134"/>
      <c r="AR364" s="134"/>
      <c r="AS364" s="134"/>
      <c r="AT364" s="134"/>
      <c r="AU364" s="134"/>
      <c r="AV364" s="134"/>
      <c r="AW364" s="31">
        <f>$A$43</f>
        <v>20202</v>
      </c>
      <c r="AX364" s="21"/>
      <c r="AY364" s="21"/>
      <c r="AZ364" s="21"/>
      <c r="BA364" s="21"/>
      <c r="BB364" s="134"/>
      <c r="BC364" s="134"/>
      <c r="BD364" s="134"/>
      <c r="BE364" s="134"/>
      <c r="BF364" s="134"/>
      <c r="BG364" s="134"/>
      <c r="BH364" s="134"/>
      <c r="BI364" s="31">
        <f>$A$43</f>
        <v>20202</v>
      </c>
      <c r="BJ364" s="21"/>
      <c r="BK364" s="21"/>
      <c r="BL364" s="21"/>
      <c r="BM364" s="21"/>
      <c r="BN364" s="134"/>
      <c r="BO364" s="134"/>
      <c r="BP364" s="134"/>
      <c r="BQ364" s="134"/>
      <c r="BR364" s="134"/>
      <c r="BS364" s="134"/>
      <c r="BT364" s="134"/>
      <c r="BU364" s="31">
        <f>$A$43</f>
        <v>20202</v>
      </c>
      <c r="BV364" s="21"/>
      <c r="BW364" s="21"/>
      <c r="BX364" s="21"/>
      <c r="BY364" s="21"/>
      <c r="BZ364" s="134"/>
      <c r="CA364" s="134"/>
      <c r="CB364" s="134"/>
      <c r="CC364" s="134"/>
      <c r="CD364" s="134"/>
      <c r="CE364" s="134"/>
      <c r="CF364" s="134"/>
      <c r="CG364" s="31">
        <f>$A$43</f>
        <v>20202</v>
      </c>
      <c r="CH364" s="21"/>
      <c r="CI364" s="21"/>
      <c r="CJ364" s="21"/>
      <c r="CK364" s="21"/>
      <c r="CL364" s="134"/>
      <c r="CM364" s="134"/>
      <c r="CN364" s="134"/>
      <c r="CO364" s="134"/>
      <c r="CP364" s="134"/>
      <c r="CQ364" s="134"/>
      <c r="CR364" s="134"/>
      <c r="CS364" s="31">
        <f>$A$43</f>
        <v>20202</v>
      </c>
      <c r="CT364" s="21"/>
      <c r="CU364" s="21"/>
      <c r="CV364" s="21"/>
      <c r="CW364" s="21"/>
      <c r="CX364" s="134"/>
      <c r="CY364" s="134"/>
      <c r="CZ364" s="134"/>
      <c r="DA364" s="134"/>
      <c r="DB364" s="134"/>
      <c r="DC364" s="134"/>
      <c r="DD364" s="134"/>
      <c r="DE364" s="31">
        <f>$A$43</f>
        <v>20202</v>
      </c>
      <c r="DF364" s="21"/>
      <c r="DG364" s="21"/>
      <c r="DH364" s="21"/>
      <c r="DI364" s="21"/>
      <c r="DJ364" s="134"/>
      <c r="DK364" s="134"/>
      <c r="DL364" s="134"/>
      <c r="DM364" s="134"/>
      <c r="DN364" s="134"/>
      <c r="DO364" s="134"/>
      <c r="DP364" s="134"/>
    </row>
    <row r="365" spans="1:120" ht="15" customHeight="1" x14ac:dyDescent="0.25">
      <c r="A365" s="31">
        <f>$A$44</f>
        <v>20212</v>
      </c>
      <c r="B365" s="21"/>
      <c r="C365" s="21">
        <v>17570</v>
      </c>
      <c r="D365" s="21">
        <v>22938</v>
      </c>
      <c r="E365" s="134"/>
      <c r="F365" s="134"/>
      <c r="G365" s="134"/>
      <c r="H365" s="134"/>
      <c r="I365" s="134"/>
      <c r="J365" s="134"/>
      <c r="K365" s="134"/>
      <c r="L365" s="134"/>
      <c r="M365" s="31">
        <f>$A$44</f>
        <v>20212</v>
      </c>
      <c r="N365" s="21"/>
      <c r="O365" s="21">
        <v>5345</v>
      </c>
      <c r="P365" s="21">
        <v>6259</v>
      </c>
      <c r="Q365" s="134"/>
      <c r="R365" s="134"/>
      <c r="S365" s="134"/>
      <c r="T365" s="134"/>
      <c r="U365" s="134"/>
      <c r="V365" s="134"/>
      <c r="W365" s="134"/>
      <c r="X365" s="134"/>
      <c r="Y365" s="31">
        <f>$A$44</f>
        <v>20212</v>
      </c>
      <c r="Z365" s="21"/>
      <c r="AA365" s="21">
        <v>3787</v>
      </c>
      <c r="AB365" s="21">
        <v>4787</v>
      </c>
      <c r="AC365" s="134"/>
      <c r="AD365" s="134"/>
      <c r="AE365" s="134"/>
      <c r="AF365" s="134"/>
      <c r="AG365" s="134"/>
      <c r="AH365" s="134"/>
      <c r="AI365" s="134"/>
      <c r="AJ365" s="134"/>
      <c r="AK365" s="31">
        <f>$A$44</f>
        <v>20212</v>
      </c>
      <c r="AL365" s="21"/>
      <c r="AM365" s="21"/>
      <c r="AN365" s="21"/>
      <c r="AO365" s="134"/>
      <c r="AP365" s="134"/>
      <c r="AQ365" s="134"/>
      <c r="AR365" s="134"/>
      <c r="AS365" s="134"/>
      <c r="AT365" s="134"/>
      <c r="AU365" s="134"/>
      <c r="AV365" s="134"/>
      <c r="AW365" s="31">
        <f>$A$44</f>
        <v>20212</v>
      </c>
      <c r="AX365" s="21"/>
      <c r="AY365" s="21"/>
      <c r="AZ365" s="21"/>
      <c r="BA365" s="134"/>
      <c r="BB365" s="134"/>
      <c r="BC365" s="134"/>
      <c r="BD365" s="134"/>
      <c r="BE365" s="134"/>
      <c r="BF365" s="134"/>
      <c r="BG365" s="134"/>
      <c r="BH365" s="134"/>
      <c r="BI365" s="31">
        <f>$A$44</f>
        <v>20212</v>
      </c>
      <c r="BJ365" s="21"/>
      <c r="BK365" s="21"/>
      <c r="BL365" s="21"/>
      <c r="BM365" s="134"/>
      <c r="BN365" s="134"/>
      <c r="BO365" s="134"/>
      <c r="BP365" s="134"/>
      <c r="BQ365" s="134"/>
      <c r="BR365" s="134"/>
      <c r="BS365" s="134"/>
      <c r="BT365" s="134"/>
      <c r="BU365" s="31">
        <f>$A$44</f>
        <v>20212</v>
      </c>
      <c r="BV365" s="21"/>
      <c r="BW365" s="21"/>
      <c r="BX365" s="21"/>
      <c r="BY365" s="134"/>
      <c r="BZ365" s="134"/>
      <c r="CA365" s="134"/>
      <c r="CB365" s="134"/>
      <c r="CC365" s="134"/>
      <c r="CD365" s="134"/>
      <c r="CE365" s="134"/>
      <c r="CF365" s="134"/>
      <c r="CG365" s="31">
        <f>$A$44</f>
        <v>20212</v>
      </c>
      <c r="CH365" s="21"/>
      <c r="CI365" s="21"/>
      <c r="CJ365" s="21"/>
      <c r="CK365" s="134"/>
      <c r="CL365" s="134"/>
      <c r="CM365" s="134"/>
      <c r="CN365" s="134"/>
      <c r="CO365" s="134"/>
      <c r="CP365" s="134"/>
      <c r="CQ365" s="134"/>
      <c r="CR365" s="134"/>
      <c r="CS365" s="31">
        <f>$A$44</f>
        <v>20212</v>
      </c>
      <c r="CT365" s="21"/>
      <c r="CU365" s="21"/>
      <c r="CV365" s="21"/>
      <c r="CW365" s="134"/>
      <c r="CX365" s="134"/>
      <c r="CY365" s="134"/>
      <c r="CZ365" s="134"/>
      <c r="DA365" s="134"/>
      <c r="DB365" s="134"/>
      <c r="DC365" s="134"/>
      <c r="DD365" s="134"/>
      <c r="DE365" s="31">
        <f>$A$44</f>
        <v>20212</v>
      </c>
      <c r="DF365" s="21"/>
      <c r="DG365" s="21"/>
      <c r="DH365" s="21"/>
      <c r="DI365" s="134"/>
      <c r="DJ365" s="134"/>
      <c r="DK365" s="134"/>
      <c r="DL365" s="134"/>
      <c r="DM365" s="134"/>
      <c r="DN365" s="134"/>
      <c r="DO365" s="134"/>
      <c r="DP365" s="134"/>
    </row>
    <row r="366" spans="1:120" ht="15" customHeight="1" x14ac:dyDescent="0.25">
      <c r="A366" s="31">
        <f>$A$45</f>
        <v>20222</v>
      </c>
      <c r="B366" s="21"/>
      <c r="C366" s="21">
        <v>17657</v>
      </c>
      <c r="D366" s="134"/>
      <c r="E366" s="134"/>
      <c r="F366" s="134"/>
      <c r="G366" s="134"/>
      <c r="H366" s="134"/>
      <c r="I366" s="134"/>
      <c r="J366" s="134"/>
      <c r="K366" s="134"/>
      <c r="L366" s="134"/>
      <c r="M366" s="31">
        <f>$A$45</f>
        <v>20222</v>
      </c>
      <c r="N366" s="21"/>
      <c r="O366" s="21">
        <v>5962</v>
      </c>
      <c r="P366" s="134"/>
      <c r="Q366" s="134"/>
      <c r="R366" s="134"/>
      <c r="S366" s="134"/>
      <c r="T366" s="134"/>
      <c r="U366" s="134"/>
      <c r="V366" s="134"/>
      <c r="W366" s="134"/>
      <c r="X366" s="134"/>
      <c r="Y366" s="31">
        <f>$A$45</f>
        <v>20222</v>
      </c>
      <c r="Z366" s="21"/>
      <c r="AA366" s="21">
        <v>3694</v>
      </c>
      <c r="AB366" s="134"/>
      <c r="AC366" s="134"/>
      <c r="AD366" s="134"/>
      <c r="AE366" s="134"/>
      <c r="AF366" s="134"/>
      <c r="AG366" s="134"/>
      <c r="AH366" s="134"/>
      <c r="AI366" s="134"/>
      <c r="AJ366" s="134"/>
      <c r="AK366" s="31">
        <f>$A$45</f>
        <v>20222</v>
      </c>
      <c r="AL366" s="21"/>
      <c r="AM366" s="21"/>
      <c r="AN366" s="134"/>
      <c r="AO366" s="134"/>
      <c r="AP366" s="134"/>
      <c r="AQ366" s="134"/>
      <c r="AR366" s="134"/>
      <c r="AS366" s="134"/>
      <c r="AT366" s="134"/>
      <c r="AU366" s="134"/>
      <c r="AV366" s="134"/>
      <c r="AW366" s="31">
        <f>$A$45</f>
        <v>20222</v>
      </c>
      <c r="AX366" s="21"/>
      <c r="AY366" s="21"/>
      <c r="AZ366" s="134"/>
      <c r="BA366" s="134"/>
      <c r="BB366" s="134"/>
      <c r="BC366" s="134"/>
      <c r="BD366" s="134"/>
      <c r="BE366" s="134"/>
      <c r="BF366" s="134"/>
      <c r="BG366" s="134"/>
      <c r="BH366" s="134"/>
      <c r="BI366" s="31">
        <f>$A$45</f>
        <v>20222</v>
      </c>
      <c r="BJ366" s="21"/>
      <c r="BK366" s="21"/>
      <c r="BL366" s="134"/>
      <c r="BM366" s="134"/>
      <c r="BN366" s="134"/>
      <c r="BO366" s="134"/>
      <c r="BP366" s="134"/>
      <c r="BQ366" s="134"/>
      <c r="BR366" s="134"/>
      <c r="BS366" s="134"/>
      <c r="BT366" s="134"/>
      <c r="BU366" s="31">
        <f>$A$45</f>
        <v>20222</v>
      </c>
      <c r="BV366" s="21"/>
      <c r="BW366" s="21"/>
      <c r="BX366" s="134"/>
      <c r="BY366" s="134"/>
      <c r="BZ366" s="134"/>
      <c r="CA366" s="134"/>
      <c r="CB366" s="134"/>
      <c r="CC366" s="134"/>
      <c r="CD366" s="134"/>
      <c r="CE366" s="134"/>
      <c r="CF366" s="134"/>
      <c r="CG366" s="31">
        <f>$A$45</f>
        <v>20222</v>
      </c>
      <c r="CH366" s="21"/>
      <c r="CI366" s="21"/>
      <c r="CJ366" s="134"/>
      <c r="CK366" s="134"/>
      <c r="CL366" s="134"/>
      <c r="CM366" s="134"/>
      <c r="CN366" s="134"/>
      <c r="CO366" s="134"/>
      <c r="CP366" s="134"/>
      <c r="CQ366" s="134"/>
      <c r="CR366" s="134"/>
      <c r="CS366" s="31">
        <f>$A$45</f>
        <v>20222</v>
      </c>
      <c r="CT366" s="21"/>
      <c r="CU366" s="21"/>
      <c r="CV366" s="134"/>
      <c r="CW366" s="134"/>
      <c r="CX366" s="134"/>
      <c r="CY366" s="134"/>
      <c r="CZ366" s="134"/>
      <c r="DA366" s="134"/>
      <c r="DB366" s="134"/>
      <c r="DC366" s="134"/>
      <c r="DD366" s="134"/>
      <c r="DE366" s="31">
        <f>$A$45</f>
        <v>20222</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Data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Data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Data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Data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Data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Data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Data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Data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Data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20132</v>
      </c>
      <c r="B370" s="105"/>
      <c r="C370" s="90">
        <f>IFERROR(D357/C357,"")</f>
        <v>1.2919635715950248</v>
      </c>
      <c r="D370" s="90">
        <f t="shared" ref="D370:K370" si="619">IFERROR(E357/D357,"")</f>
        <v>1.022404891152461</v>
      </c>
      <c r="E370" s="90">
        <f t="shared" si="619"/>
        <v>1.0080325794946703</v>
      </c>
      <c r="F370" s="90">
        <f t="shared" si="619"/>
        <v>1.0036492081411816</v>
      </c>
      <c r="G370" s="90">
        <f t="shared" si="619"/>
        <v>1.0017323874671071</v>
      </c>
      <c r="H370" s="90">
        <f t="shared" si="619"/>
        <v>1.0018967613638019</v>
      </c>
      <c r="I370" s="90">
        <f t="shared" si="619"/>
        <v>1.0001164132495739</v>
      </c>
      <c r="J370" s="90">
        <f t="shared" si="619"/>
        <v>1.0004522128310298</v>
      </c>
      <c r="K370" s="90">
        <f t="shared" si="619"/>
        <v>1.0003199544850201</v>
      </c>
      <c r="L370" s="22"/>
      <c r="M370" s="91">
        <f>$A$36</f>
        <v>20132</v>
      </c>
      <c r="N370" s="105"/>
      <c r="O370" s="90">
        <f>IFERROR(P357/O357,"")</f>
        <v>1.1888111888111887</v>
      </c>
      <c r="P370" s="90">
        <f t="shared" ref="P370:W370" si="620">IFERROR(Q357/P357,"")</f>
        <v>1.0128342245989306</v>
      </c>
      <c r="Q370" s="90">
        <f t="shared" si="620"/>
        <v>1.0043558606124603</v>
      </c>
      <c r="R370" s="90">
        <f t="shared" si="620"/>
        <v>1.0011828098304638</v>
      </c>
      <c r="S370" s="90">
        <f t="shared" si="620"/>
        <v>1.0006563402467838</v>
      </c>
      <c r="T370" s="90">
        <f t="shared" si="620"/>
        <v>1.0006559097468188</v>
      </c>
      <c r="U370" s="90">
        <f t="shared" si="620"/>
        <v>1</v>
      </c>
      <c r="V370" s="90">
        <f t="shared" si="620"/>
        <v>1.0001310959622443</v>
      </c>
      <c r="W370" s="90">
        <f t="shared" si="620"/>
        <v>1</v>
      </c>
      <c r="X370" s="22"/>
      <c r="Y370" s="91">
        <f>$A$36</f>
        <v>20132</v>
      </c>
      <c r="Z370" s="105"/>
      <c r="AA370" s="90">
        <f>IFERROR(AB357/AA357,"")</f>
        <v>1.2691839220462851</v>
      </c>
      <c r="AB370" s="90">
        <f t="shared" ref="AB370:AI370" si="621">IFERROR(AC357/AB357,"")</f>
        <v>1.016890595009597</v>
      </c>
      <c r="AC370" s="90">
        <f t="shared" si="621"/>
        <v>1.0024537561343903</v>
      </c>
      <c r="AD370" s="90">
        <f t="shared" si="621"/>
        <v>1.0015063076633401</v>
      </c>
      <c r="AE370" s="90">
        <f t="shared" si="621"/>
        <v>1.0001880052641474</v>
      </c>
      <c r="AF370" s="90">
        <f t="shared" si="621"/>
        <v>1.000187969924812</v>
      </c>
      <c r="AG370" s="90">
        <f t="shared" si="621"/>
        <v>1.0001879345987597</v>
      </c>
      <c r="AH370" s="90">
        <f t="shared" si="621"/>
        <v>1</v>
      </c>
      <c r="AI370" s="90">
        <f t="shared" si="621"/>
        <v>1</v>
      </c>
      <c r="AJ370" s="22"/>
      <c r="AK370" s="91">
        <f>$A$36</f>
        <v>20132</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20132</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20132</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20132</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20132</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20132</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20132</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20142</v>
      </c>
      <c r="B371" s="105"/>
      <c r="C371" s="90">
        <f t="shared" ref="C371:J378" si="629">IFERROR(D358/C358,"")</f>
        <v>1.2786840437985767</v>
      </c>
      <c r="D371" s="90">
        <f t="shared" si="629"/>
        <v>1.0255655992499118</v>
      </c>
      <c r="E371" s="90">
        <f t="shared" si="629"/>
        <v>1.0094859991464025</v>
      </c>
      <c r="F371" s="90">
        <f t="shared" si="629"/>
        <v>1.0030593055573336</v>
      </c>
      <c r="G371" s="90">
        <f t="shared" si="629"/>
        <v>1.0022351209828773</v>
      </c>
      <c r="H371" s="90">
        <f t="shared" si="629"/>
        <v>1.000916543595574</v>
      </c>
      <c r="I371" s="90">
        <f t="shared" si="629"/>
        <v>1.0004436615123637</v>
      </c>
      <c r="J371" s="90">
        <f t="shared" si="629"/>
        <v>1.0000978231097315</v>
      </c>
      <c r="K371" s="22"/>
      <c r="L371" s="22"/>
      <c r="M371" s="91">
        <f>$A$37</f>
        <v>20142</v>
      </c>
      <c r="N371" s="105"/>
      <c r="O371" s="90">
        <f t="shared" ref="O371:V378" si="630">IFERROR(P358/O358,"")</f>
        <v>1.2018809794065186</v>
      </c>
      <c r="P371" s="90">
        <f t="shared" si="630"/>
        <v>1.0153804641122504</v>
      </c>
      <c r="Q371" s="90">
        <f t="shared" si="630"/>
        <v>1.0061121445655063</v>
      </c>
      <c r="R371" s="90">
        <f t="shared" si="630"/>
        <v>1.0025092445853143</v>
      </c>
      <c r="S371" s="90">
        <f t="shared" si="630"/>
        <v>1.0003952048478462</v>
      </c>
      <c r="T371" s="90">
        <f t="shared" si="630"/>
        <v>1.0003950487226758</v>
      </c>
      <c r="U371" s="90">
        <f t="shared" si="630"/>
        <v>1.000131630906937</v>
      </c>
      <c r="V371" s="90">
        <f t="shared" si="630"/>
        <v>1.0001316135825218</v>
      </c>
      <c r="W371" s="22"/>
      <c r="X371" s="22"/>
      <c r="Y371" s="91">
        <f>$A$37</f>
        <v>20142</v>
      </c>
      <c r="Z371" s="105"/>
      <c r="AA371" s="90">
        <f t="shared" ref="AA371:AH378" si="631">IFERROR(AB358/AA358,"")</f>
        <v>1.2964416535845107</v>
      </c>
      <c r="AB371" s="90">
        <f t="shared" si="631"/>
        <v>1.0117053481331988</v>
      </c>
      <c r="AC371" s="90">
        <f t="shared" si="631"/>
        <v>1.0045880710153601</v>
      </c>
      <c r="AD371" s="90">
        <f t="shared" si="631"/>
        <v>1.0005957108816521</v>
      </c>
      <c r="AE371" s="90">
        <f t="shared" si="631"/>
        <v>1.0029767811073627</v>
      </c>
      <c r="AF371" s="90">
        <f t="shared" si="631"/>
        <v>1.0007914523149981</v>
      </c>
      <c r="AG371" s="90">
        <f t="shared" si="631"/>
        <v>1.0001977066034005</v>
      </c>
      <c r="AH371" s="90">
        <f t="shared" si="631"/>
        <v>1.000197667523226</v>
      </c>
      <c r="AI371" s="22"/>
      <c r="AJ371" s="22"/>
      <c r="AK371" s="91">
        <f>$A$37</f>
        <v>20142</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20142</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20142</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20142</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20142</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20142</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20142</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20152</v>
      </c>
      <c r="B372" s="105"/>
      <c r="C372" s="90">
        <f t="shared" si="629"/>
        <v>1.31126820697934</v>
      </c>
      <c r="D372" s="90">
        <f t="shared" si="629"/>
        <v>1.029818702630374</v>
      </c>
      <c r="E372" s="90">
        <f t="shared" si="629"/>
        <v>1.0078555933875049</v>
      </c>
      <c r="F372" s="90">
        <f t="shared" si="629"/>
        <v>1.0050723153700569</v>
      </c>
      <c r="G372" s="90">
        <f t="shared" si="629"/>
        <v>1.0014762039882805</v>
      </c>
      <c r="H372" s="90">
        <f t="shared" si="629"/>
        <v>1.0008397658487027</v>
      </c>
      <c r="I372" s="90">
        <f t="shared" si="629"/>
        <v>1.000309361194714</v>
      </c>
      <c r="J372" s="22"/>
      <c r="K372" s="22"/>
      <c r="L372" s="22"/>
      <c r="M372" s="91">
        <f>$A$38</f>
        <v>20152</v>
      </c>
      <c r="N372" s="105"/>
      <c r="O372" s="90">
        <f t="shared" si="630"/>
        <v>1.186795227978428</v>
      </c>
      <c r="P372" s="90">
        <f t="shared" si="630"/>
        <v>1.0166620765629304</v>
      </c>
      <c r="Q372" s="90">
        <f t="shared" si="630"/>
        <v>1.0063659758905594</v>
      </c>
      <c r="R372" s="90">
        <f t="shared" si="630"/>
        <v>1.0018842530282639</v>
      </c>
      <c r="S372" s="90">
        <f t="shared" si="630"/>
        <v>1.0004030091348737</v>
      </c>
      <c r="T372" s="90">
        <f t="shared" si="630"/>
        <v>1.0002685645226266</v>
      </c>
      <c r="U372" s="90">
        <f t="shared" si="630"/>
        <v>1.0001342462075447</v>
      </c>
      <c r="V372" s="22"/>
      <c r="W372" s="22"/>
      <c r="X372" s="22"/>
      <c r="Y372" s="91">
        <f>$A$38</f>
        <v>20152</v>
      </c>
      <c r="Z372" s="105"/>
      <c r="AA372" s="90">
        <f t="shared" si="631"/>
        <v>1.2946036664084688</v>
      </c>
      <c r="AB372" s="90">
        <f t="shared" si="631"/>
        <v>1.0169525329078579</v>
      </c>
      <c r="AC372" s="90">
        <f t="shared" si="631"/>
        <v>1.0023534026279664</v>
      </c>
      <c r="AD372" s="90">
        <f t="shared" si="631"/>
        <v>1.0007826257092545</v>
      </c>
      <c r="AE372" s="90">
        <f t="shared" si="631"/>
        <v>1.0005865102639295</v>
      </c>
      <c r="AF372" s="90">
        <f t="shared" si="631"/>
        <v>1.0001953888237594</v>
      </c>
      <c r="AG372" s="90">
        <f t="shared" si="631"/>
        <v>1</v>
      </c>
      <c r="AH372" s="22"/>
      <c r="AI372" s="22"/>
      <c r="AJ372" s="22"/>
      <c r="AK372" s="91">
        <f>$A$38</f>
        <v>20152</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20152</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20152</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20152</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20152</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20152</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20152</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20162</v>
      </c>
      <c r="B373" s="105"/>
      <c r="C373" s="90">
        <f t="shared" si="629"/>
        <v>1.2730574975742044</v>
      </c>
      <c r="D373" s="90">
        <f t="shared" si="629"/>
        <v>1.0243137843827832</v>
      </c>
      <c r="E373" s="90">
        <f t="shared" si="629"/>
        <v>1.0104221304245806</v>
      </c>
      <c r="F373" s="90">
        <f t="shared" si="629"/>
        <v>1.0043791461344154</v>
      </c>
      <c r="G373" s="90">
        <f t="shared" si="629"/>
        <v>1.0017771362906536</v>
      </c>
      <c r="H373" s="90">
        <f t="shared" si="629"/>
        <v>1.0005267954505945</v>
      </c>
      <c r="I373" s="22"/>
      <c r="J373" s="22"/>
      <c r="K373" s="22"/>
      <c r="L373" s="22"/>
      <c r="M373" s="91">
        <f>$A$39</f>
        <v>20162</v>
      </c>
      <c r="N373" s="105"/>
      <c r="O373" s="90">
        <f t="shared" si="630"/>
        <v>1.2046946815495732</v>
      </c>
      <c r="P373" s="90">
        <f t="shared" si="630"/>
        <v>1.0134895762365446</v>
      </c>
      <c r="Q373" s="90">
        <f t="shared" si="630"/>
        <v>1.0044366765259478</v>
      </c>
      <c r="R373" s="90">
        <f t="shared" si="630"/>
        <v>1.0014723597911925</v>
      </c>
      <c r="S373" s="90">
        <f t="shared" si="630"/>
        <v>1.0005346164127238</v>
      </c>
      <c r="T373" s="90">
        <f t="shared" si="630"/>
        <v>1.000400748063051</v>
      </c>
      <c r="U373" s="22"/>
      <c r="V373" s="22"/>
      <c r="W373" s="22"/>
      <c r="X373" s="22"/>
      <c r="Y373" s="91">
        <f>$A$39</f>
        <v>20162</v>
      </c>
      <c r="Z373" s="105"/>
      <c r="AA373" s="90">
        <f t="shared" si="631"/>
        <v>1.2455772811918064</v>
      </c>
      <c r="AB373" s="90">
        <f t="shared" si="631"/>
        <v>1.009344047841525</v>
      </c>
      <c r="AC373" s="90">
        <f t="shared" si="631"/>
        <v>1.0035178670616554</v>
      </c>
      <c r="AD373" s="90">
        <f t="shared" si="631"/>
        <v>1.0009225092250922</v>
      </c>
      <c r="AE373" s="90">
        <f t="shared" si="631"/>
        <v>1.000184331797235</v>
      </c>
      <c r="AF373" s="90">
        <f t="shared" si="631"/>
        <v>1</v>
      </c>
      <c r="AG373" s="22"/>
      <c r="AH373" s="22"/>
      <c r="AI373" s="22"/>
      <c r="AJ373" s="22"/>
      <c r="AK373" s="91">
        <f>$A$39</f>
        <v>20162</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20162</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20162</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20162</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20162</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20162</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20162</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20172</v>
      </c>
      <c r="B374" s="105"/>
      <c r="C374" s="90">
        <f t="shared" si="629"/>
        <v>1.1962253786392529</v>
      </c>
      <c r="D374" s="90">
        <f t="shared" si="629"/>
        <v>1.0233870174172599</v>
      </c>
      <c r="E374" s="90">
        <f t="shared" si="629"/>
        <v>1.0083653846153846</v>
      </c>
      <c r="F374" s="90">
        <f t="shared" si="629"/>
        <v>1.0032421092781538</v>
      </c>
      <c r="G374" s="90">
        <f t="shared" si="629"/>
        <v>1.0017742293191394</v>
      </c>
      <c r="H374" s="22"/>
      <c r="I374" s="22"/>
      <c r="J374" s="22"/>
      <c r="K374" s="22"/>
      <c r="L374" s="22"/>
      <c r="M374" s="91">
        <f>$A$40</f>
        <v>20172</v>
      </c>
      <c r="N374" s="105"/>
      <c r="O374" s="90">
        <f t="shared" si="630"/>
        <v>1.1254623044096728</v>
      </c>
      <c r="P374" s="90">
        <f t="shared" si="630"/>
        <v>1.0122598584428717</v>
      </c>
      <c r="Q374" s="90">
        <f t="shared" si="630"/>
        <v>1.0051192408540393</v>
      </c>
      <c r="R374" s="90">
        <f t="shared" si="630"/>
        <v>1.0013664596273293</v>
      </c>
      <c r="S374" s="90">
        <f t="shared" si="630"/>
        <v>1.0011164867882396</v>
      </c>
      <c r="T374" s="22"/>
      <c r="U374" s="22"/>
      <c r="V374" s="22"/>
      <c r="W374" s="22"/>
      <c r="X374" s="22"/>
      <c r="Y374" s="91">
        <f>$A$40</f>
        <v>20172</v>
      </c>
      <c r="Z374" s="105"/>
      <c r="AA374" s="90">
        <f t="shared" si="631"/>
        <v>1.1952967525195968</v>
      </c>
      <c r="AB374" s="90">
        <f t="shared" si="631"/>
        <v>1.0114296421210418</v>
      </c>
      <c r="AC374" s="90">
        <f t="shared" si="631"/>
        <v>1.0029640607632457</v>
      </c>
      <c r="AD374" s="90">
        <f t="shared" si="631"/>
        <v>1.0012929442186922</v>
      </c>
      <c r="AE374" s="90">
        <f t="shared" si="631"/>
        <v>1.0007378712414683</v>
      </c>
      <c r="AF374" s="22"/>
      <c r="AG374" s="22"/>
      <c r="AH374" s="22"/>
      <c r="AI374" s="22"/>
      <c r="AJ374" s="22"/>
      <c r="AK374" s="91">
        <f>$A$40</f>
        <v>20172</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20172</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20172</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20172</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20172</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20172</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20172</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20182</v>
      </c>
      <c r="B375" s="105"/>
      <c r="C375" s="90">
        <f t="shared" si="629"/>
        <v>1.2491643232344671</v>
      </c>
      <c r="D375" s="90">
        <f t="shared" si="629"/>
        <v>1.031134519814807</v>
      </c>
      <c r="E375" s="90">
        <f t="shared" si="629"/>
        <v>1.0096803427253254</v>
      </c>
      <c r="F375" s="90">
        <f t="shared" si="629"/>
        <v>1.0057525192770593</v>
      </c>
      <c r="G375" s="22"/>
      <c r="H375" s="22"/>
      <c r="I375" s="22"/>
      <c r="J375" s="22"/>
      <c r="K375" s="22"/>
      <c r="L375" s="22"/>
      <c r="M375" s="91">
        <f>$A$41</f>
        <v>20182</v>
      </c>
      <c r="N375" s="105"/>
      <c r="O375" s="90">
        <f t="shared" si="630"/>
        <v>1.1465119530267021</v>
      </c>
      <c r="P375" s="90">
        <f t="shared" si="630"/>
        <v>1.0129252530179247</v>
      </c>
      <c r="Q375" s="90">
        <f t="shared" si="630"/>
        <v>1.0045744552786806</v>
      </c>
      <c r="R375" s="90">
        <f t="shared" si="630"/>
        <v>1.0015578190533254</v>
      </c>
      <c r="S375" s="22"/>
      <c r="T375" s="22"/>
      <c r="U375" s="22"/>
      <c r="V375" s="22"/>
      <c r="W375" s="22"/>
      <c r="X375" s="22"/>
      <c r="Y375" s="91">
        <f>$A$41</f>
        <v>20182</v>
      </c>
      <c r="Z375" s="105"/>
      <c r="AA375" s="90">
        <f t="shared" si="631"/>
        <v>1.2348608837970541</v>
      </c>
      <c r="AB375" s="90">
        <f t="shared" si="631"/>
        <v>1.0132538104705102</v>
      </c>
      <c r="AC375" s="90">
        <f t="shared" si="631"/>
        <v>1.0041421408327884</v>
      </c>
      <c r="AD375" s="90">
        <f t="shared" si="631"/>
        <v>1.002822405557968</v>
      </c>
      <c r="AE375" s="22"/>
      <c r="AF375" s="22"/>
      <c r="AG375" s="22"/>
      <c r="AH375" s="22"/>
      <c r="AI375" s="22"/>
      <c r="AJ375" s="22"/>
      <c r="AK375" s="91">
        <f>$A$41</f>
        <v>20182</v>
      </c>
      <c r="AL375" s="105"/>
      <c r="AM375" s="90" t="str">
        <f t="shared" si="632"/>
        <v/>
      </c>
      <c r="AN375" s="90" t="str">
        <f t="shared" si="632"/>
        <v/>
      </c>
      <c r="AO375" s="90" t="str">
        <f t="shared" si="632"/>
        <v/>
      </c>
      <c r="AP375" s="90" t="str">
        <f t="shared" si="632"/>
        <v/>
      </c>
      <c r="AQ375" s="22"/>
      <c r="AR375" s="22"/>
      <c r="AS375" s="22"/>
      <c r="AT375" s="22"/>
      <c r="AU375" s="22"/>
      <c r="AV375" s="22"/>
      <c r="AW375" s="91">
        <f>$A$41</f>
        <v>20182</v>
      </c>
      <c r="AX375" s="105"/>
      <c r="AY375" s="90" t="str">
        <f t="shared" si="633"/>
        <v/>
      </c>
      <c r="AZ375" s="90" t="str">
        <f t="shared" si="633"/>
        <v/>
      </c>
      <c r="BA375" s="90" t="str">
        <f t="shared" si="633"/>
        <v/>
      </c>
      <c r="BB375" s="90" t="str">
        <f t="shared" si="633"/>
        <v/>
      </c>
      <c r="BC375" s="22"/>
      <c r="BD375" s="22"/>
      <c r="BE375" s="22"/>
      <c r="BF375" s="22"/>
      <c r="BG375" s="22"/>
      <c r="BH375" s="22"/>
      <c r="BI375" s="91">
        <f>$A$41</f>
        <v>20182</v>
      </c>
      <c r="BJ375" s="105"/>
      <c r="BK375" s="90" t="str">
        <f t="shared" si="634"/>
        <v/>
      </c>
      <c r="BL375" s="90" t="str">
        <f t="shared" si="634"/>
        <v/>
      </c>
      <c r="BM375" s="90" t="str">
        <f t="shared" si="634"/>
        <v/>
      </c>
      <c r="BN375" s="90" t="str">
        <f t="shared" si="634"/>
        <v/>
      </c>
      <c r="BO375" s="22"/>
      <c r="BP375" s="22"/>
      <c r="BQ375" s="22"/>
      <c r="BR375" s="22"/>
      <c r="BS375" s="22"/>
      <c r="BT375" s="22"/>
      <c r="BU375" s="91">
        <f>$A$41</f>
        <v>20182</v>
      </c>
      <c r="BV375" s="105"/>
      <c r="BW375" s="90" t="str">
        <f t="shared" si="635"/>
        <v/>
      </c>
      <c r="BX375" s="90" t="str">
        <f t="shared" si="635"/>
        <v/>
      </c>
      <c r="BY375" s="90" t="str">
        <f t="shared" si="635"/>
        <v/>
      </c>
      <c r="BZ375" s="90" t="str">
        <f t="shared" si="635"/>
        <v/>
      </c>
      <c r="CA375" s="22"/>
      <c r="CB375" s="22"/>
      <c r="CC375" s="22"/>
      <c r="CD375" s="22"/>
      <c r="CE375" s="22"/>
      <c r="CF375" s="22"/>
      <c r="CG375" s="91">
        <f>$A$41</f>
        <v>20182</v>
      </c>
      <c r="CH375" s="105"/>
      <c r="CI375" s="90" t="str">
        <f t="shared" si="636"/>
        <v/>
      </c>
      <c r="CJ375" s="90" t="str">
        <f t="shared" si="636"/>
        <v/>
      </c>
      <c r="CK375" s="90" t="str">
        <f t="shared" si="636"/>
        <v/>
      </c>
      <c r="CL375" s="90" t="str">
        <f t="shared" si="636"/>
        <v/>
      </c>
      <c r="CM375" s="22"/>
      <c r="CN375" s="22"/>
      <c r="CO375" s="22"/>
      <c r="CP375" s="22"/>
      <c r="CQ375" s="22"/>
      <c r="CR375" s="22"/>
      <c r="CS375" s="91">
        <f>$A$41</f>
        <v>20182</v>
      </c>
      <c r="CT375" s="105"/>
      <c r="CU375" s="90" t="str">
        <f t="shared" si="637"/>
        <v/>
      </c>
      <c r="CV375" s="90" t="str">
        <f t="shared" si="637"/>
        <v/>
      </c>
      <c r="CW375" s="90" t="str">
        <f t="shared" si="637"/>
        <v/>
      </c>
      <c r="CX375" s="90" t="str">
        <f t="shared" si="637"/>
        <v/>
      </c>
      <c r="CY375" s="22"/>
      <c r="CZ375" s="22"/>
      <c r="DA375" s="22"/>
      <c r="DB375" s="22"/>
      <c r="DC375" s="22"/>
      <c r="DD375" s="22"/>
      <c r="DE375" s="91">
        <f>$A$41</f>
        <v>20182</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20192</v>
      </c>
      <c r="B376" s="105"/>
      <c r="C376" s="90">
        <f t="shared" si="629"/>
        <v>1.2648968949988149</v>
      </c>
      <c r="D376" s="90">
        <f t="shared" si="629"/>
        <v>1.0287823707978863</v>
      </c>
      <c r="E376" s="90">
        <f t="shared" si="629"/>
        <v>1.0090707078066372</v>
      </c>
      <c r="F376" s="22"/>
      <c r="G376" s="22"/>
      <c r="H376" s="22"/>
      <c r="I376" s="22"/>
      <c r="J376" s="22"/>
      <c r="K376" s="22"/>
      <c r="L376" s="22"/>
      <c r="M376" s="91">
        <f>$A$42</f>
        <v>20192</v>
      </c>
      <c r="N376" s="105"/>
      <c r="O376" s="90">
        <f t="shared" si="630"/>
        <v>1.1271162528216705</v>
      </c>
      <c r="P376" s="90">
        <f t="shared" si="630"/>
        <v>1.0115158342721242</v>
      </c>
      <c r="Q376" s="90">
        <f t="shared" si="630"/>
        <v>1.0024749412201461</v>
      </c>
      <c r="R376" s="22"/>
      <c r="S376" s="22"/>
      <c r="T376" s="22"/>
      <c r="U376" s="22"/>
      <c r="V376" s="22"/>
      <c r="W376" s="22"/>
      <c r="X376" s="22"/>
      <c r="Y376" s="91">
        <f>$A$42</f>
        <v>20192</v>
      </c>
      <c r="Z376" s="105"/>
      <c r="AA376" s="90">
        <f t="shared" si="631"/>
        <v>1.2238106975597733</v>
      </c>
      <c r="AB376" s="90">
        <f t="shared" si="631"/>
        <v>1.013091641490433</v>
      </c>
      <c r="AC376" s="90">
        <f t="shared" si="631"/>
        <v>1.00337972166998</v>
      </c>
      <c r="AD376" s="22"/>
      <c r="AE376" s="22"/>
      <c r="AF376" s="22"/>
      <c r="AG376" s="22"/>
      <c r="AH376" s="22"/>
      <c r="AI376" s="22"/>
      <c r="AJ376" s="22"/>
      <c r="AK376" s="91">
        <f>$A$42</f>
        <v>20192</v>
      </c>
      <c r="AL376" s="105"/>
      <c r="AM376" s="90" t="str">
        <f t="shared" si="632"/>
        <v/>
      </c>
      <c r="AN376" s="90" t="str">
        <f t="shared" si="632"/>
        <v/>
      </c>
      <c r="AO376" s="90" t="str">
        <f t="shared" si="632"/>
        <v/>
      </c>
      <c r="AP376" s="22"/>
      <c r="AQ376" s="22"/>
      <c r="AR376" s="22"/>
      <c r="AS376" s="22"/>
      <c r="AT376" s="22"/>
      <c r="AU376" s="22"/>
      <c r="AV376" s="22"/>
      <c r="AW376" s="91">
        <f>$A$42</f>
        <v>20192</v>
      </c>
      <c r="AX376" s="105"/>
      <c r="AY376" s="90" t="str">
        <f t="shared" si="633"/>
        <v/>
      </c>
      <c r="AZ376" s="90" t="str">
        <f t="shared" si="633"/>
        <v/>
      </c>
      <c r="BA376" s="90" t="str">
        <f t="shared" si="633"/>
        <v/>
      </c>
      <c r="BB376" s="22"/>
      <c r="BC376" s="22"/>
      <c r="BD376" s="22"/>
      <c r="BE376" s="22"/>
      <c r="BF376" s="22"/>
      <c r="BG376" s="22"/>
      <c r="BH376" s="22"/>
      <c r="BI376" s="91">
        <f>$A$42</f>
        <v>20192</v>
      </c>
      <c r="BJ376" s="105"/>
      <c r="BK376" s="90" t="str">
        <f t="shared" si="634"/>
        <v/>
      </c>
      <c r="BL376" s="90" t="str">
        <f t="shared" si="634"/>
        <v/>
      </c>
      <c r="BM376" s="90" t="str">
        <f t="shared" si="634"/>
        <v/>
      </c>
      <c r="BN376" s="22"/>
      <c r="BO376" s="22"/>
      <c r="BP376" s="22"/>
      <c r="BQ376" s="22"/>
      <c r="BR376" s="22"/>
      <c r="BS376" s="22"/>
      <c r="BT376" s="22"/>
      <c r="BU376" s="91">
        <f>$A$42</f>
        <v>20192</v>
      </c>
      <c r="BV376" s="105"/>
      <c r="BW376" s="90" t="str">
        <f t="shared" si="635"/>
        <v/>
      </c>
      <c r="BX376" s="90" t="str">
        <f t="shared" si="635"/>
        <v/>
      </c>
      <c r="BY376" s="90" t="str">
        <f t="shared" si="635"/>
        <v/>
      </c>
      <c r="BZ376" s="22"/>
      <c r="CA376" s="22"/>
      <c r="CB376" s="22"/>
      <c r="CC376" s="22"/>
      <c r="CD376" s="22"/>
      <c r="CE376" s="22"/>
      <c r="CF376" s="22"/>
      <c r="CG376" s="91">
        <f>$A$42</f>
        <v>20192</v>
      </c>
      <c r="CH376" s="105"/>
      <c r="CI376" s="90" t="str">
        <f t="shared" si="636"/>
        <v/>
      </c>
      <c r="CJ376" s="90" t="str">
        <f t="shared" si="636"/>
        <v/>
      </c>
      <c r="CK376" s="90" t="str">
        <f t="shared" si="636"/>
        <v/>
      </c>
      <c r="CL376" s="22"/>
      <c r="CM376" s="22"/>
      <c r="CN376" s="22"/>
      <c r="CO376" s="22"/>
      <c r="CP376" s="22"/>
      <c r="CQ376" s="22"/>
      <c r="CR376" s="22"/>
      <c r="CS376" s="91">
        <f>$A$42</f>
        <v>20192</v>
      </c>
      <c r="CT376" s="105"/>
      <c r="CU376" s="90" t="str">
        <f t="shared" si="637"/>
        <v/>
      </c>
      <c r="CV376" s="90" t="str">
        <f t="shared" si="637"/>
        <v/>
      </c>
      <c r="CW376" s="90" t="str">
        <f t="shared" si="637"/>
        <v/>
      </c>
      <c r="CX376" s="22"/>
      <c r="CY376" s="22"/>
      <c r="CZ376" s="22"/>
      <c r="DA376" s="22"/>
      <c r="DB376" s="22"/>
      <c r="DC376" s="22"/>
      <c r="DD376" s="22"/>
      <c r="DE376" s="91">
        <f>$A$42</f>
        <v>20192</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20202</v>
      </c>
      <c r="B377" s="105"/>
      <c r="C377" s="90">
        <f t="shared" si="629"/>
        <v>1.2770953195459493</v>
      </c>
      <c r="D377" s="90">
        <f t="shared" si="629"/>
        <v>1.0287755184869516</v>
      </c>
      <c r="E377" s="22"/>
      <c r="F377" s="22"/>
      <c r="G377" s="22"/>
      <c r="H377" s="22"/>
      <c r="I377" s="22"/>
      <c r="J377" s="22"/>
      <c r="K377" s="22"/>
      <c r="L377" s="22"/>
      <c r="M377" s="91">
        <f>$A$43</f>
        <v>20202</v>
      </c>
      <c r="N377" s="105"/>
      <c r="O377" s="90">
        <f t="shared" si="630"/>
        <v>1.1347920494404544</v>
      </c>
      <c r="P377" s="90">
        <f t="shared" si="630"/>
        <v>1.0135413600235501</v>
      </c>
      <c r="Q377" s="22"/>
      <c r="R377" s="22"/>
      <c r="S377" s="22"/>
      <c r="T377" s="22"/>
      <c r="U377" s="22"/>
      <c r="V377" s="22"/>
      <c r="W377" s="22"/>
      <c r="X377" s="22"/>
      <c r="Y377" s="91">
        <f>$A$43</f>
        <v>20202</v>
      </c>
      <c r="Z377" s="105"/>
      <c r="AA377" s="90">
        <f t="shared" si="631"/>
        <v>1.2462625713509106</v>
      </c>
      <c r="AB377" s="90">
        <f t="shared" si="631"/>
        <v>1.0174482006543075</v>
      </c>
      <c r="AC377" s="22"/>
      <c r="AD377" s="22"/>
      <c r="AE377" s="22"/>
      <c r="AF377" s="22"/>
      <c r="AG377" s="22"/>
      <c r="AH377" s="22"/>
      <c r="AI377" s="22"/>
      <c r="AJ377" s="22"/>
      <c r="AK377" s="91">
        <f>$A$43</f>
        <v>20202</v>
      </c>
      <c r="AL377" s="105"/>
      <c r="AM377" s="90" t="str">
        <f t="shared" si="632"/>
        <v/>
      </c>
      <c r="AN377" s="90" t="str">
        <f t="shared" si="632"/>
        <v/>
      </c>
      <c r="AO377" s="22"/>
      <c r="AP377" s="22"/>
      <c r="AQ377" s="22"/>
      <c r="AR377" s="22"/>
      <c r="AS377" s="22"/>
      <c r="AT377" s="22"/>
      <c r="AU377" s="22"/>
      <c r="AV377" s="22"/>
      <c r="AW377" s="91">
        <f>$A$43</f>
        <v>20202</v>
      </c>
      <c r="AX377" s="105"/>
      <c r="AY377" s="90" t="str">
        <f t="shared" si="633"/>
        <v/>
      </c>
      <c r="AZ377" s="90" t="str">
        <f t="shared" si="633"/>
        <v/>
      </c>
      <c r="BA377" s="22"/>
      <c r="BB377" s="22"/>
      <c r="BC377" s="22"/>
      <c r="BD377" s="22"/>
      <c r="BE377" s="22"/>
      <c r="BF377" s="22"/>
      <c r="BG377" s="22"/>
      <c r="BH377" s="22"/>
      <c r="BI377" s="91">
        <f>$A$43</f>
        <v>20202</v>
      </c>
      <c r="BJ377" s="105"/>
      <c r="BK377" s="90" t="str">
        <f t="shared" si="634"/>
        <v/>
      </c>
      <c r="BL377" s="90" t="str">
        <f t="shared" si="634"/>
        <v/>
      </c>
      <c r="BM377" s="22"/>
      <c r="BN377" s="22"/>
      <c r="BO377" s="22"/>
      <c r="BP377" s="22"/>
      <c r="BQ377" s="22"/>
      <c r="BR377" s="22"/>
      <c r="BS377" s="22"/>
      <c r="BT377" s="22"/>
      <c r="BU377" s="91">
        <f>$A$43</f>
        <v>20202</v>
      </c>
      <c r="BV377" s="105"/>
      <c r="BW377" s="90" t="str">
        <f t="shared" si="635"/>
        <v/>
      </c>
      <c r="BX377" s="90" t="str">
        <f t="shared" si="635"/>
        <v/>
      </c>
      <c r="BY377" s="22"/>
      <c r="BZ377" s="22"/>
      <c r="CA377" s="22"/>
      <c r="CB377" s="22"/>
      <c r="CC377" s="22"/>
      <c r="CD377" s="22"/>
      <c r="CE377" s="22"/>
      <c r="CF377" s="22"/>
      <c r="CG377" s="91">
        <f>$A$43</f>
        <v>20202</v>
      </c>
      <c r="CH377" s="105"/>
      <c r="CI377" s="90" t="str">
        <f t="shared" si="636"/>
        <v/>
      </c>
      <c r="CJ377" s="90" t="str">
        <f t="shared" si="636"/>
        <v/>
      </c>
      <c r="CK377" s="22"/>
      <c r="CL377" s="22"/>
      <c r="CM377" s="22"/>
      <c r="CN377" s="22"/>
      <c r="CO377" s="22"/>
      <c r="CP377" s="22"/>
      <c r="CQ377" s="22"/>
      <c r="CR377" s="22"/>
      <c r="CS377" s="91">
        <f>$A$43</f>
        <v>20202</v>
      </c>
      <c r="CT377" s="105"/>
      <c r="CU377" s="90" t="str">
        <f t="shared" si="637"/>
        <v/>
      </c>
      <c r="CV377" s="90" t="str">
        <f t="shared" si="637"/>
        <v/>
      </c>
      <c r="CW377" s="22"/>
      <c r="CX377" s="22"/>
      <c r="CY377" s="22"/>
      <c r="CZ377" s="22"/>
      <c r="DA377" s="22"/>
      <c r="DB377" s="22"/>
      <c r="DC377" s="22"/>
      <c r="DD377" s="22"/>
      <c r="DE377" s="91">
        <f>$A$43</f>
        <v>20202</v>
      </c>
      <c r="DF377" s="105"/>
      <c r="DG377" s="90" t="str">
        <f t="shared" si="638"/>
        <v/>
      </c>
      <c r="DH377" s="90" t="str">
        <f t="shared" si="638"/>
        <v/>
      </c>
      <c r="DI377" s="22"/>
      <c r="DJ377" s="22"/>
      <c r="DK377" s="22"/>
      <c r="DL377" s="22"/>
      <c r="DM377" s="22"/>
      <c r="DN377" s="22"/>
      <c r="DO377" s="22"/>
      <c r="DP377" s="22"/>
    </row>
    <row r="378" spans="1:120" x14ac:dyDescent="0.25">
      <c r="A378" s="91">
        <f>$A$44</f>
        <v>20212</v>
      </c>
      <c r="B378" s="105"/>
      <c r="C378" s="90">
        <f t="shared" si="629"/>
        <v>1.3055207740466706</v>
      </c>
      <c r="D378" s="22"/>
      <c r="E378" s="22"/>
      <c r="F378" s="22"/>
      <c r="G378" s="22"/>
      <c r="H378" s="22"/>
      <c r="I378" s="22"/>
      <c r="J378" s="22"/>
      <c r="K378" s="22"/>
      <c r="L378" s="22"/>
      <c r="M378" s="91">
        <f>$A$44</f>
        <v>20212</v>
      </c>
      <c r="N378" s="105"/>
      <c r="O378" s="90">
        <f t="shared" si="630"/>
        <v>1.171000935453695</v>
      </c>
      <c r="P378" s="22"/>
      <c r="Q378" s="22"/>
      <c r="R378" s="22"/>
      <c r="S378" s="22"/>
      <c r="T378" s="22"/>
      <c r="U378" s="22"/>
      <c r="V378" s="22"/>
      <c r="W378" s="22"/>
      <c r="X378" s="22"/>
      <c r="Y378" s="91">
        <f>$A$44</f>
        <v>20212</v>
      </c>
      <c r="Z378" s="105"/>
      <c r="AA378" s="90">
        <f t="shared" si="631"/>
        <v>1.2640612622128333</v>
      </c>
      <c r="AB378" s="22"/>
      <c r="AC378" s="22"/>
      <c r="AD378" s="22"/>
      <c r="AE378" s="22"/>
      <c r="AF378" s="22"/>
      <c r="AG378" s="22"/>
      <c r="AH378" s="22"/>
      <c r="AI378" s="22"/>
      <c r="AJ378" s="22"/>
      <c r="AK378" s="91">
        <f>$A$44</f>
        <v>20212</v>
      </c>
      <c r="AL378" s="105"/>
      <c r="AM378" s="90" t="str">
        <f t="shared" si="632"/>
        <v/>
      </c>
      <c r="AN378" s="22"/>
      <c r="AO378" s="22"/>
      <c r="AP378" s="22"/>
      <c r="AQ378" s="22"/>
      <c r="AR378" s="22"/>
      <c r="AS378" s="22"/>
      <c r="AT378" s="22"/>
      <c r="AU378" s="22"/>
      <c r="AV378" s="22"/>
      <c r="AW378" s="91">
        <f>$A$44</f>
        <v>20212</v>
      </c>
      <c r="AX378" s="105"/>
      <c r="AY378" s="90" t="str">
        <f t="shared" si="633"/>
        <v/>
      </c>
      <c r="AZ378" s="22"/>
      <c r="BA378" s="22"/>
      <c r="BB378" s="22"/>
      <c r="BC378" s="22"/>
      <c r="BD378" s="22"/>
      <c r="BE378" s="22"/>
      <c r="BF378" s="22"/>
      <c r="BG378" s="22"/>
      <c r="BH378" s="22"/>
      <c r="BI378" s="91">
        <f>$A$44</f>
        <v>20212</v>
      </c>
      <c r="BJ378" s="105"/>
      <c r="BK378" s="90" t="str">
        <f t="shared" si="634"/>
        <v/>
      </c>
      <c r="BL378" s="22"/>
      <c r="BM378" s="22"/>
      <c r="BN378" s="22"/>
      <c r="BO378" s="22"/>
      <c r="BP378" s="22"/>
      <c r="BQ378" s="22"/>
      <c r="BR378" s="22"/>
      <c r="BS378" s="22"/>
      <c r="BT378" s="22"/>
      <c r="BU378" s="91">
        <f>$A$44</f>
        <v>20212</v>
      </c>
      <c r="BV378" s="105"/>
      <c r="BW378" s="90" t="str">
        <f t="shared" si="635"/>
        <v/>
      </c>
      <c r="BX378" s="22"/>
      <c r="BY378" s="22"/>
      <c r="BZ378" s="22"/>
      <c r="CA378" s="22"/>
      <c r="CB378" s="22"/>
      <c r="CC378" s="22"/>
      <c r="CD378" s="22"/>
      <c r="CE378" s="22"/>
      <c r="CF378" s="22"/>
      <c r="CG378" s="91">
        <f>$A$44</f>
        <v>20212</v>
      </c>
      <c r="CH378" s="105"/>
      <c r="CI378" s="90" t="str">
        <f t="shared" si="636"/>
        <v/>
      </c>
      <c r="CJ378" s="22"/>
      <c r="CK378" s="22"/>
      <c r="CL378" s="22"/>
      <c r="CM378" s="22"/>
      <c r="CN378" s="22"/>
      <c r="CO378" s="22"/>
      <c r="CP378" s="22"/>
      <c r="CQ378" s="22"/>
      <c r="CR378" s="22"/>
      <c r="CS378" s="91">
        <f>$A$44</f>
        <v>20212</v>
      </c>
      <c r="CT378" s="105"/>
      <c r="CU378" s="90" t="str">
        <f t="shared" si="637"/>
        <v/>
      </c>
      <c r="CV378" s="22"/>
      <c r="CW378" s="22"/>
      <c r="CX378" s="22"/>
      <c r="CY378" s="22"/>
      <c r="CZ378" s="22"/>
      <c r="DA378" s="22"/>
      <c r="DB378" s="22"/>
      <c r="DC378" s="22"/>
      <c r="DD378" s="22"/>
      <c r="DE378" s="91">
        <f>$A$44</f>
        <v>20212</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1.2812726457089616</v>
      </c>
      <c r="D380" s="93">
        <f>IFERROR(SUM(E362:E364)/SUM(D362:D364),1)</f>
        <v>1.0295198023108261</v>
      </c>
      <c r="E380" s="93">
        <f>IFERROR(SUM(F361:F363)/SUM(E361:E363),1)</f>
        <v>1.0089838050333426</v>
      </c>
      <c r="F380" s="93">
        <f>IFERROR(SUM(G360:G362)/SUM(F360:F362),1)</f>
        <v>1.0043546613353915</v>
      </c>
      <c r="G380" s="93">
        <f>IFERROR(SUM(H359:H361)/SUM(G359:G361),1)</f>
        <v>1.0016795391834319</v>
      </c>
      <c r="H380" s="93">
        <f>IFERROR(SUM(I358:I360)/SUM(H358:H360),1)</f>
        <v>1.0007605313995802</v>
      </c>
      <c r="I380" s="93">
        <f>IFERROR(SUM(J357:J359)/SUM(I357:I359),1)</f>
        <v>1.0002827223565751</v>
      </c>
      <c r="J380" s="93">
        <f>IFERROR(SUM(K357:K358)/SUM(J357:J358),1)</f>
        <v>1.000285090636218</v>
      </c>
      <c r="K380" s="93">
        <f>IFERROR(SUM(L357:L357)/SUM(K357:K357),1)</f>
        <v>1.0003199544850201</v>
      </c>
      <c r="L380" s="93">
        <v>1</v>
      </c>
      <c r="M380" s="285" t="s">
        <v>37</v>
      </c>
      <c r="N380" s="107"/>
      <c r="O380" s="93">
        <f>IFERROR(SUM(P363:P365)/SUM(O363:O365),1)</f>
        <v>1.1423452768729643</v>
      </c>
      <c r="P380" s="93">
        <f>IFERROR(SUM(Q362:Q364)/SUM(P362:P364),1)</f>
        <v>1.0126174730247128</v>
      </c>
      <c r="Q380" s="93">
        <f>IFERROR(SUM(R361:R363)/SUM(Q361:Q363),1)</f>
        <v>1.0040578759683567</v>
      </c>
      <c r="R380" s="93">
        <f>IFERROR(SUM(S360:S362)/SUM(R360:R362),1)</f>
        <v>1.0014665214112126</v>
      </c>
      <c r="S380" s="93">
        <f>IFERROR(SUM(T359:T361)/SUM(S359:S361),1)</f>
        <v>1.0006960455909861</v>
      </c>
      <c r="T380" s="93">
        <f>IFERROR(SUM(U358:U360)/SUM(T358:T360),1)</f>
        <v>1.0003551294002753</v>
      </c>
      <c r="U380" s="93">
        <f>IFERROR(SUM(V357:V359)/SUM(U357:U359),1)</f>
        <v>1.0000882067566375</v>
      </c>
      <c r="V380" s="93">
        <f>IFERROR(SUM(W357:W358)/SUM(V357:V358),1)</f>
        <v>1.0001313542624459</v>
      </c>
      <c r="W380" s="93">
        <f>IFERROR(SUM(X357:X357)/SUM(W357:W357),1)</f>
        <v>1</v>
      </c>
      <c r="X380" s="93">
        <v>1</v>
      </c>
      <c r="Y380" s="285" t="s">
        <v>37</v>
      </c>
      <c r="Z380" s="107"/>
      <c r="AA380" s="93">
        <f>IFERROR(SUM(AB363:AB365)/SUM(AA363:AA365),1)</f>
        <v>1.244207237698516</v>
      </c>
      <c r="AB380" s="93">
        <f>IFERROR(SUM(AC362:AC364)/SUM(AB362:AB364),1)</f>
        <v>1.0145627619521205</v>
      </c>
      <c r="AC380" s="93">
        <f>IFERROR(SUM(AD361:AD363)/SUM(AC361:AC363),1)</f>
        <v>1.0034632034632034</v>
      </c>
      <c r="AD380" s="93">
        <f>IFERROR(SUM(AE360:AE362)/SUM(AD360:AD362),1)</f>
        <v>1.001619170984456</v>
      </c>
      <c r="AE380" s="93">
        <f>IFERROR(SUM(AF359:AF361)/SUM(AE359:AE361),1)</f>
        <v>1.0005012217279619</v>
      </c>
      <c r="AF380" s="93">
        <f>IFERROR(SUM(AG358:AG360)/SUM(AF358:AF360),1)</f>
        <v>1.0003205539171689</v>
      </c>
      <c r="AG380" s="93">
        <f>IFERROR(SUM(AH357:AH359)/SUM(AG357:AG359),1)</f>
        <v>1.0001290489095367</v>
      </c>
      <c r="AH380" s="93">
        <f>IFERROR(SUM(AI357:AI358)/SUM(AH357:AH358),1)</f>
        <v>1.0000963298333494</v>
      </c>
      <c r="AI380" s="93">
        <f>IFERROR(SUM(AJ357:AJ357)/SUM(AI357:AI357),1)</f>
        <v>1</v>
      </c>
      <c r="AJ380" s="93">
        <v>1</v>
      </c>
      <c r="AK380" s="285"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5"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5"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5"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1.2812726457089616</v>
      </c>
      <c r="D381" s="93">
        <f t="shared" ref="D381:K381" si="639">IF(D380=0,1,D380)</f>
        <v>1.0295198023108261</v>
      </c>
      <c r="E381" s="93">
        <f t="shared" si="639"/>
        <v>1.0089838050333426</v>
      </c>
      <c r="F381" s="93">
        <f t="shared" si="639"/>
        <v>1.0043546613353915</v>
      </c>
      <c r="G381" s="93">
        <f t="shared" si="639"/>
        <v>1.0016795391834319</v>
      </c>
      <c r="H381" s="93">
        <f t="shared" si="639"/>
        <v>1.0007605313995802</v>
      </c>
      <c r="I381" s="93">
        <f t="shared" si="639"/>
        <v>1.0002827223565751</v>
      </c>
      <c r="J381" s="93">
        <f t="shared" si="639"/>
        <v>1.000285090636218</v>
      </c>
      <c r="K381" s="93">
        <f t="shared" si="639"/>
        <v>1.0003199544850201</v>
      </c>
      <c r="L381" s="93">
        <f>IF(L380=0,1,L380)</f>
        <v>1</v>
      </c>
      <c r="M381" s="285" t="s">
        <v>40</v>
      </c>
      <c r="N381" s="107"/>
      <c r="O381" s="93">
        <f>IF(O380=0,1,O380)</f>
        <v>1.1423452768729643</v>
      </c>
      <c r="P381" s="93">
        <f t="shared" ref="P381:W381" si="640">IF(P380=0,1,P380)</f>
        <v>1.0126174730247128</v>
      </c>
      <c r="Q381" s="93">
        <f t="shared" si="640"/>
        <v>1.0040578759683567</v>
      </c>
      <c r="R381" s="93">
        <f t="shared" si="640"/>
        <v>1.0014665214112126</v>
      </c>
      <c r="S381" s="93">
        <f t="shared" si="640"/>
        <v>1.0006960455909861</v>
      </c>
      <c r="T381" s="93">
        <f t="shared" si="640"/>
        <v>1.0003551294002753</v>
      </c>
      <c r="U381" s="93">
        <f t="shared" si="640"/>
        <v>1.0000882067566375</v>
      </c>
      <c r="V381" s="93">
        <f t="shared" si="640"/>
        <v>1.0001313542624459</v>
      </c>
      <c r="W381" s="93">
        <f t="shared" si="640"/>
        <v>1</v>
      </c>
      <c r="X381" s="93">
        <f>IF(X380=0,1,X380)</f>
        <v>1</v>
      </c>
      <c r="Y381" s="285" t="s">
        <v>40</v>
      </c>
      <c r="Z381" s="107"/>
      <c r="AA381" s="93">
        <f>IF(AA380=0,1,AA380)</f>
        <v>1.244207237698516</v>
      </c>
      <c r="AB381" s="93">
        <f t="shared" ref="AB381:AI381" si="641">IF(AB380=0,1,AB380)</f>
        <v>1.0145627619521205</v>
      </c>
      <c r="AC381" s="93">
        <f t="shared" si="641"/>
        <v>1.0034632034632034</v>
      </c>
      <c r="AD381" s="93">
        <f t="shared" si="641"/>
        <v>1.001619170984456</v>
      </c>
      <c r="AE381" s="93">
        <f t="shared" si="641"/>
        <v>1.0005012217279619</v>
      </c>
      <c r="AF381" s="93">
        <f t="shared" si="641"/>
        <v>1.0003205539171689</v>
      </c>
      <c r="AG381" s="93">
        <f t="shared" si="641"/>
        <v>1.0001290489095367</v>
      </c>
      <c r="AH381" s="93">
        <f t="shared" si="641"/>
        <v>1.0000963298333494</v>
      </c>
      <c r="AI381" s="93">
        <f t="shared" si="641"/>
        <v>1</v>
      </c>
      <c r="AJ381" s="93">
        <f>IF(AJ380=0,1,AJ380)</f>
        <v>1</v>
      </c>
      <c r="AK381" s="285"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5"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5"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5"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1.3411952942423484</v>
      </c>
      <c r="D382" s="113">
        <f>PRODUCT(D381:L381)</f>
        <v>1.0467680698047135</v>
      </c>
      <c r="E382" s="113">
        <f>PRODUCT(E381:L381)</f>
        <v>1.0167537015365538</v>
      </c>
      <c r="F382" s="113">
        <f>PRODUCT(F381:L381)</f>
        <v>1.0077007147829833</v>
      </c>
      <c r="G382" s="113">
        <f>PRODUCT(G381:L381)</f>
        <v>1.0033315456943697</v>
      </c>
      <c r="H382" s="113">
        <f>PRODUCT(H381:L381)</f>
        <v>1.0016492365535232</v>
      </c>
      <c r="I382" s="113">
        <f>PRODUCT(I381:L381)</f>
        <v>1.0008880297794123</v>
      </c>
      <c r="J382" s="113">
        <f>PRODUCT(J381:L381)</f>
        <v>1.0006051363372657</v>
      </c>
      <c r="K382" s="113">
        <f>PRODUCT(K381:L381)</f>
        <v>1.0003199544850201</v>
      </c>
      <c r="L382" s="114">
        <f>PRODUCT(L381:L381)</f>
        <v>1</v>
      </c>
      <c r="M382" s="111" t="s">
        <v>39</v>
      </c>
      <c r="N382" s="115"/>
      <c r="O382" s="113">
        <f>PRODUCT(O381:X381)</f>
        <v>1.1646347004540571</v>
      </c>
      <c r="P382" s="113">
        <f>PRODUCT(P381:X381)</f>
        <v>1.0195119847145582</v>
      </c>
      <c r="Q382" s="113">
        <f>PRODUCT(Q381:X381)</f>
        <v>1.0068086043086448</v>
      </c>
      <c r="R382" s="113">
        <f>PRODUCT(R381:X381)</f>
        <v>1.0027396113372802</v>
      </c>
      <c r="S382" s="113">
        <f>PRODUCT(S381:X381)</f>
        <v>1.0012712256464384</v>
      </c>
      <c r="T382" s="113">
        <f>PRODUCT(T381:X381)</f>
        <v>1.0005747799823796</v>
      </c>
      <c r="U382" s="113">
        <f>PRODUCT(U381:X381)</f>
        <v>1.0002195726054168</v>
      </c>
      <c r="V382" s="113">
        <f>PRODUCT(V381:X381)</f>
        <v>1.0001313542624459</v>
      </c>
      <c r="W382" s="113">
        <f>PRODUCT(W381:X381)</f>
        <v>1</v>
      </c>
      <c r="X382" s="114">
        <f>PRODUCT(X381:X381)</f>
        <v>1</v>
      </c>
      <c r="Y382" s="111" t="s">
        <v>39</v>
      </c>
      <c r="Z382" s="115"/>
      <c r="AA382" s="113">
        <f>PRODUCT(AA381:AJ381)</f>
        <v>1.2700780559045863</v>
      </c>
      <c r="AB382" s="113">
        <f>PRODUCT(AB381:AJ381)</f>
        <v>1.0207930137538219</v>
      </c>
      <c r="AC382" s="113">
        <f>PRODUCT(AC381:AJ381)</f>
        <v>1.0061408244372325</v>
      </c>
      <c r="AD382" s="113">
        <f>PRODUCT(AD381:AJ381)</f>
        <v>1.0026683798317544</v>
      </c>
      <c r="AE382" s="113">
        <f>PRODUCT(AE381:AJ381)</f>
        <v>1.0010475127450558</v>
      </c>
      <c r="AF382" s="113">
        <f>PRODUCT(AF381:AJ381)</f>
        <v>1.0005460173413387</v>
      </c>
      <c r="AG382" s="113">
        <f>PRODUCT(AG381:AJ381)</f>
        <v>1.0002253911741461</v>
      </c>
      <c r="AH382" s="113">
        <f>PRODUCT(AH381:AJ381)</f>
        <v>1.0000963298333494</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23681.485310437147</v>
      </c>
      <c r="D383" s="99">
        <f>D382*D365</f>
        <v>24010.765985180518</v>
      </c>
      <c r="E383" s="99">
        <f>E382*E364</f>
        <v>25772.672826548565</v>
      </c>
      <c r="F383" s="99">
        <f>F382*F363</f>
        <v>27913.309799488638</v>
      </c>
      <c r="G383" s="99">
        <f>G382*G362</f>
        <v>24734.129264457602</v>
      </c>
      <c r="H383" s="99">
        <f>H382*H361</f>
        <v>31671.147210585852</v>
      </c>
      <c r="I383" s="99">
        <f>I382*I360</f>
        <v>30415.30573310631</v>
      </c>
      <c r="J383" s="99">
        <f>J382*J359</f>
        <v>29345.297166187975</v>
      </c>
      <c r="K383" s="99">
        <f>K382*K358</f>
        <v>30680.413196028258</v>
      </c>
      <c r="L383" s="99">
        <f>L382*L357</f>
        <v>34390.89</v>
      </c>
      <c r="M383" s="95" t="s">
        <v>208</v>
      </c>
      <c r="N383" s="106"/>
      <c r="O383" s="99">
        <f>O382*O366</f>
        <v>6943.5520841070884</v>
      </c>
      <c r="P383" s="99">
        <f>P382*P365</f>
        <v>6381.12551232842</v>
      </c>
      <c r="Q383" s="99">
        <f>Q382*Q364</f>
        <v>6932.884049269328</v>
      </c>
      <c r="R383" s="99">
        <f>R382*R363</f>
        <v>8123.193591443307</v>
      </c>
      <c r="S383" s="99">
        <f>S382*S362</f>
        <v>8368.6249039529321</v>
      </c>
      <c r="T383" s="99">
        <f>T382*T361</f>
        <v>8074.6384744578036</v>
      </c>
      <c r="U383" s="99">
        <f>U382*U360</f>
        <v>7490.6443792419668</v>
      </c>
      <c r="V383" s="99">
        <f>V382*V359</f>
        <v>7450.9785892552218</v>
      </c>
      <c r="W383" s="99">
        <f>W382*W358</f>
        <v>7599</v>
      </c>
      <c r="X383" s="99">
        <f>X382*X357</f>
        <v>7629</v>
      </c>
      <c r="Y383" s="95" t="s">
        <v>208</v>
      </c>
      <c r="Z383" s="106"/>
      <c r="AA383" s="99">
        <f>AA382*AA366</f>
        <v>4691.6683385115421</v>
      </c>
      <c r="AB383" s="99">
        <f>AB382*AB365</f>
        <v>4886.5361568395456</v>
      </c>
      <c r="AC383" s="99">
        <f>AC382*AC364</f>
        <v>4693.6469459996897</v>
      </c>
      <c r="AD383" s="99">
        <f>AD382*AD363</f>
        <v>5060.467313010864</v>
      </c>
      <c r="AE383" s="99">
        <f>AE382*AE362</f>
        <v>4623.8384613694125</v>
      </c>
      <c r="AF383" s="99">
        <f>AF382*AF361</f>
        <v>5427.9621440767623</v>
      </c>
      <c r="AG383" s="99">
        <f>AG382*AG360</f>
        <v>5427.2229725109164</v>
      </c>
      <c r="AH383" s="99">
        <f>AH382*AH359</f>
        <v>5119.4931124169152</v>
      </c>
      <c r="AI383" s="99">
        <f>AI382*AI358</f>
        <v>5060</v>
      </c>
      <c r="AJ383" s="99">
        <f>AJ382*AJ357</f>
        <v>5322</v>
      </c>
      <c r="AK383" s="95" t="s">
        <v>208</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208</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208</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208</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Homeowners Multiple Peril</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Renters</v>
      </c>
      <c r="N388" s="69"/>
      <c r="O388" s="18"/>
      <c r="P388" s="18"/>
      <c r="Q388" s="18"/>
      <c r="R388" s="18"/>
      <c r="S388" s="18"/>
      <c r="T388" s="18"/>
      <c r="U388" s="18"/>
      <c r="V388" s="18"/>
      <c r="W388" s="18"/>
      <c r="X388" s="18"/>
      <c r="Y388" s="138" t="str">
        <f>Y$5</f>
        <v>Condominium Unitowners</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Data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Data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Data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Data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Data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Data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Data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Data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Data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20132</v>
      </c>
      <c r="B392" s="21"/>
      <c r="C392" s="21">
        <v>10417</v>
      </c>
      <c r="D392" s="21">
        <v>18142</v>
      </c>
      <c r="E392" s="21">
        <v>19138</v>
      </c>
      <c r="F392" s="21">
        <v>19475</v>
      </c>
      <c r="G392" s="21">
        <v>19674</v>
      </c>
      <c r="H392" s="21">
        <v>19755</v>
      </c>
      <c r="I392" s="21">
        <v>19898</v>
      </c>
      <c r="J392" s="21">
        <v>19937</v>
      </c>
      <c r="K392" s="21">
        <v>19961</v>
      </c>
      <c r="L392" s="21">
        <v>19975</v>
      </c>
      <c r="M392" s="31">
        <f>$A$36</f>
        <v>20132</v>
      </c>
      <c r="N392" s="21"/>
      <c r="O392" s="21">
        <v>2498</v>
      </c>
      <c r="P392" s="21">
        <v>3727</v>
      </c>
      <c r="Q392" s="21">
        <v>3911</v>
      </c>
      <c r="R392" s="21">
        <v>3956</v>
      </c>
      <c r="S392" s="21">
        <v>3968</v>
      </c>
      <c r="T392" s="21">
        <v>3975</v>
      </c>
      <c r="U392" s="21">
        <v>4001</v>
      </c>
      <c r="V392" s="21">
        <v>4003</v>
      </c>
      <c r="W392" s="21">
        <v>4006</v>
      </c>
      <c r="X392" s="21">
        <v>4006</v>
      </c>
      <c r="Y392" s="31">
        <f>$A$36</f>
        <v>20132</v>
      </c>
      <c r="Z392" s="21"/>
      <c r="AA392" s="21">
        <v>1512</v>
      </c>
      <c r="AB392" s="21">
        <v>2627</v>
      </c>
      <c r="AC392" s="21">
        <v>2764</v>
      </c>
      <c r="AD392" s="21">
        <v>2794</v>
      </c>
      <c r="AE392" s="21">
        <v>2811</v>
      </c>
      <c r="AF392" s="21">
        <v>2815</v>
      </c>
      <c r="AG392" s="21">
        <v>2827</v>
      </c>
      <c r="AH392" s="21">
        <v>2829</v>
      </c>
      <c r="AI392" s="21">
        <v>2829</v>
      </c>
      <c r="AJ392" s="21">
        <v>2829</v>
      </c>
      <c r="AK392" s="31">
        <f>$A$36</f>
        <v>20132</v>
      </c>
      <c r="AL392" s="21"/>
      <c r="AM392" s="21"/>
      <c r="AN392" s="21"/>
      <c r="AO392" s="21"/>
      <c r="AP392" s="21"/>
      <c r="AQ392" s="21"/>
      <c r="AR392" s="21"/>
      <c r="AS392" s="21"/>
      <c r="AT392" s="21"/>
      <c r="AU392" s="21"/>
      <c r="AV392" s="21"/>
      <c r="AW392" s="31">
        <f>$A$36</f>
        <v>20132</v>
      </c>
      <c r="AX392" s="21"/>
      <c r="AY392" s="21"/>
      <c r="AZ392" s="21"/>
      <c r="BA392" s="21"/>
      <c r="BB392" s="21"/>
      <c r="BC392" s="21"/>
      <c r="BD392" s="21"/>
      <c r="BE392" s="21"/>
      <c r="BF392" s="21"/>
      <c r="BG392" s="21"/>
      <c r="BH392" s="21"/>
      <c r="BI392" s="31">
        <f>$A$36</f>
        <v>20132</v>
      </c>
      <c r="BJ392" s="21"/>
      <c r="BK392" s="21"/>
      <c r="BL392" s="21"/>
      <c r="BM392" s="21"/>
      <c r="BN392" s="21"/>
      <c r="BO392" s="21"/>
      <c r="BP392" s="21"/>
      <c r="BQ392" s="21"/>
      <c r="BR392" s="21"/>
      <c r="BS392" s="21"/>
      <c r="BT392" s="21"/>
      <c r="BU392" s="31">
        <f>$A$36</f>
        <v>20132</v>
      </c>
      <c r="BV392" s="21"/>
      <c r="BW392" s="21"/>
      <c r="BX392" s="21"/>
      <c r="BY392" s="21"/>
      <c r="BZ392" s="21"/>
      <c r="CA392" s="21"/>
      <c r="CB392" s="21"/>
      <c r="CC392" s="21"/>
      <c r="CD392" s="21"/>
      <c r="CE392" s="21"/>
      <c r="CF392" s="21"/>
      <c r="CG392" s="31">
        <f>$A$36</f>
        <v>20132</v>
      </c>
      <c r="CH392" s="21"/>
      <c r="CI392" s="21"/>
      <c r="CJ392" s="21"/>
      <c r="CK392" s="21"/>
      <c r="CL392" s="21"/>
      <c r="CM392" s="21"/>
      <c r="CN392" s="21"/>
      <c r="CO392" s="21"/>
      <c r="CP392" s="21"/>
      <c r="CQ392" s="21"/>
      <c r="CR392" s="21"/>
      <c r="CS392" s="31">
        <f>$A$36</f>
        <v>20132</v>
      </c>
      <c r="CT392" s="21"/>
      <c r="CU392" s="21"/>
      <c r="CV392" s="21"/>
      <c r="CW392" s="21"/>
      <c r="CX392" s="21"/>
      <c r="CY392" s="21"/>
      <c r="CZ392" s="21"/>
      <c r="DA392" s="21"/>
      <c r="DB392" s="21"/>
      <c r="DC392" s="21"/>
      <c r="DD392" s="21"/>
      <c r="DE392" s="31">
        <f>$A$36</f>
        <v>20132</v>
      </c>
      <c r="DF392" s="21"/>
      <c r="DG392" s="21"/>
      <c r="DH392" s="21"/>
      <c r="DI392" s="21"/>
      <c r="DJ392" s="21"/>
      <c r="DK392" s="21"/>
      <c r="DL392" s="21"/>
      <c r="DM392" s="21"/>
      <c r="DN392" s="21"/>
      <c r="DO392" s="21"/>
      <c r="DP392" s="21"/>
    </row>
    <row r="393" spans="1:120" ht="15" customHeight="1" x14ac:dyDescent="0.25">
      <c r="A393" s="31">
        <f>$A$37</f>
        <v>20142</v>
      </c>
      <c r="B393" s="21"/>
      <c r="C393" s="21">
        <v>25458</v>
      </c>
      <c r="D393" s="21">
        <v>34127</v>
      </c>
      <c r="E393" s="21">
        <v>35690</v>
      </c>
      <c r="F393" s="21">
        <v>36241</v>
      </c>
      <c r="G393" s="21">
        <v>36463</v>
      </c>
      <c r="H393" s="21">
        <v>36697</v>
      </c>
      <c r="I393" s="21">
        <v>36778</v>
      </c>
      <c r="J393" s="21">
        <v>36810</v>
      </c>
      <c r="K393" s="21">
        <v>36833</v>
      </c>
      <c r="L393" s="134"/>
      <c r="M393" s="31">
        <f>$A$37</f>
        <v>20142</v>
      </c>
      <c r="N393" s="21"/>
      <c r="O393" s="21">
        <v>6151</v>
      </c>
      <c r="P393" s="21">
        <v>7777</v>
      </c>
      <c r="Q393" s="21">
        <v>8059</v>
      </c>
      <c r="R393" s="21">
        <v>8136</v>
      </c>
      <c r="S393" s="21">
        <v>8171</v>
      </c>
      <c r="T393" s="21">
        <v>8232</v>
      </c>
      <c r="U393" s="21">
        <v>8240</v>
      </c>
      <c r="V393" s="21">
        <v>8241</v>
      </c>
      <c r="W393" s="21">
        <v>8242</v>
      </c>
      <c r="X393" s="134"/>
      <c r="Y393" s="31">
        <f>$A$37</f>
        <v>20142</v>
      </c>
      <c r="Z393" s="21"/>
      <c r="AA393" s="21">
        <v>3947</v>
      </c>
      <c r="AB393" s="21">
        <v>5334</v>
      </c>
      <c r="AC393" s="21">
        <v>5477</v>
      </c>
      <c r="AD393" s="21">
        <v>5524</v>
      </c>
      <c r="AE393" s="21">
        <v>5536</v>
      </c>
      <c r="AF393" s="21">
        <v>5573</v>
      </c>
      <c r="AG393" s="21">
        <v>5581</v>
      </c>
      <c r="AH393" s="21">
        <v>5584</v>
      </c>
      <c r="AI393" s="21">
        <v>5585</v>
      </c>
      <c r="AJ393" s="134"/>
      <c r="AK393" s="31">
        <f>$A$37</f>
        <v>20142</v>
      </c>
      <c r="AL393" s="21"/>
      <c r="AM393" s="21"/>
      <c r="AN393" s="21"/>
      <c r="AO393" s="21"/>
      <c r="AP393" s="21"/>
      <c r="AQ393" s="21"/>
      <c r="AR393" s="21"/>
      <c r="AS393" s="21"/>
      <c r="AT393" s="21"/>
      <c r="AU393" s="21"/>
      <c r="AV393" s="134"/>
      <c r="AW393" s="31">
        <f>$A$37</f>
        <v>20142</v>
      </c>
      <c r="AX393" s="21"/>
      <c r="AY393" s="21"/>
      <c r="AZ393" s="21"/>
      <c r="BA393" s="21"/>
      <c r="BB393" s="21"/>
      <c r="BC393" s="21"/>
      <c r="BD393" s="21"/>
      <c r="BE393" s="21"/>
      <c r="BF393" s="21"/>
      <c r="BG393" s="21"/>
      <c r="BH393" s="134"/>
      <c r="BI393" s="31">
        <f>$A$37</f>
        <v>20142</v>
      </c>
      <c r="BJ393" s="21"/>
      <c r="BK393" s="21"/>
      <c r="BL393" s="21"/>
      <c r="BM393" s="21"/>
      <c r="BN393" s="21"/>
      <c r="BO393" s="21"/>
      <c r="BP393" s="21"/>
      <c r="BQ393" s="21"/>
      <c r="BR393" s="21"/>
      <c r="BS393" s="21"/>
      <c r="BT393" s="134"/>
      <c r="BU393" s="31">
        <f>$A$37</f>
        <v>20142</v>
      </c>
      <c r="BV393" s="21"/>
      <c r="BW393" s="21"/>
      <c r="BX393" s="21"/>
      <c r="BY393" s="21"/>
      <c r="BZ393" s="21"/>
      <c r="CA393" s="21"/>
      <c r="CB393" s="21"/>
      <c r="CC393" s="21"/>
      <c r="CD393" s="21"/>
      <c r="CE393" s="21"/>
      <c r="CF393" s="134"/>
      <c r="CG393" s="31">
        <f>$A$37</f>
        <v>20142</v>
      </c>
      <c r="CH393" s="21"/>
      <c r="CI393" s="21"/>
      <c r="CJ393" s="21"/>
      <c r="CK393" s="21"/>
      <c r="CL393" s="21"/>
      <c r="CM393" s="21"/>
      <c r="CN393" s="21"/>
      <c r="CO393" s="21"/>
      <c r="CP393" s="21"/>
      <c r="CQ393" s="21"/>
      <c r="CR393" s="134"/>
      <c r="CS393" s="31">
        <f>$A$37</f>
        <v>20142</v>
      </c>
      <c r="CT393" s="21"/>
      <c r="CU393" s="21"/>
      <c r="CV393" s="21"/>
      <c r="CW393" s="21"/>
      <c r="CX393" s="21"/>
      <c r="CY393" s="21"/>
      <c r="CZ393" s="21"/>
      <c r="DA393" s="21"/>
      <c r="DB393" s="21"/>
      <c r="DC393" s="21"/>
      <c r="DD393" s="134"/>
      <c r="DE393" s="31">
        <f>$A$37</f>
        <v>20142</v>
      </c>
      <c r="DF393" s="21"/>
      <c r="DG393" s="21"/>
      <c r="DH393" s="21"/>
      <c r="DI393" s="21"/>
      <c r="DJ393" s="21"/>
      <c r="DK393" s="21"/>
      <c r="DL393" s="21"/>
      <c r="DM393" s="21"/>
      <c r="DN393" s="21"/>
      <c r="DO393" s="21"/>
      <c r="DP393" s="134"/>
    </row>
    <row r="394" spans="1:120" ht="15" customHeight="1" x14ac:dyDescent="0.25">
      <c r="A394" s="31">
        <f>$A$38</f>
        <v>20152</v>
      </c>
      <c r="B394" s="21"/>
      <c r="C394" s="21">
        <v>23286</v>
      </c>
      <c r="D394" s="21">
        <v>31559</v>
      </c>
      <c r="E394" s="21">
        <v>33113</v>
      </c>
      <c r="F394" s="21">
        <v>33579</v>
      </c>
      <c r="G394" s="21">
        <v>33850</v>
      </c>
      <c r="H394" s="21">
        <v>33989</v>
      </c>
      <c r="I394" s="21">
        <v>34059</v>
      </c>
      <c r="J394" s="21">
        <v>34086</v>
      </c>
      <c r="K394" s="134"/>
      <c r="L394" s="134"/>
      <c r="M394" s="31">
        <f>$A$38</f>
        <v>20152</v>
      </c>
      <c r="N394" s="21"/>
      <c r="O394" s="21">
        <v>6158</v>
      </c>
      <c r="P394" s="21">
        <v>7646</v>
      </c>
      <c r="Q394" s="21">
        <v>7899</v>
      </c>
      <c r="R394" s="21">
        <v>7967</v>
      </c>
      <c r="S394" s="21">
        <v>7990</v>
      </c>
      <c r="T394" s="21">
        <v>8000</v>
      </c>
      <c r="U394" s="21">
        <v>8004</v>
      </c>
      <c r="V394" s="21">
        <v>8007</v>
      </c>
      <c r="W394" s="134"/>
      <c r="X394" s="134"/>
      <c r="Y394" s="31">
        <f>$A$38</f>
        <v>20152</v>
      </c>
      <c r="Z394" s="21"/>
      <c r="AA394" s="21">
        <v>3979</v>
      </c>
      <c r="AB394" s="21">
        <v>5393</v>
      </c>
      <c r="AC394" s="21">
        <v>5557</v>
      </c>
      <c r="AD394" s="21">
        <v>5599</v>
      </c>
      <c r="AE394" s="21">
        <v>5616</v>
      </c>
      <c r="AF394" s="21">
        <v>5621</v>
      </c>
      <c r="AG394" s="21">
        <v>5624</v>
      </c>
      <c r="AH394" s="21">
        <v>5624</v>
      </c>
      <c r="AI394" s="134"/>
      <c r="AJ394" s="134"/>
      <c r="AK394" s="31">
        <f>$A$38</f>
        <v>20152</v>
      </c>
      <c r="AL394" s="21"/>
      <c r="AM394" s="21"/>
      <c r="AN394" s="21"/>
      <c r="AO394" s="21"/>
      <c r="AP394" s="21"/>
      <c r="AQ394" s="21"/>
      <c r="AR394" s="21"/>
      <c r="AS394" s="21"/>
      <c r="AT394" s="21"/>
      <c r="AU394" s="134"/>
      <c r="AV394" s="134"/>
      <c r="AW394" s="31">
        <f>$A$38</f>
        <v>20152</v>
      </c>
      <c r="AX394" s="21"/>
      <c r="AY394" s="21"/>
      <c r="AZ394" s="21"/>
      <c r="BA394" s="21"/>
      <c r="BB394" s="21"/>
      <c r="BC394" s="21"/>
      <c r="BD394" s="21"/>
      <c r="BE394" s="21"/>
      <c r="BF394" s="21"/>
      <c r="BG394" s="134"/>
      <c r="BH394" s="134"/>
      <c r="BI394" s="31">
        <f>$A$38</f>
        <v>20152</v>
      </c>
      <c r="BJ394" s="21"/>
      <c r="BK394" s="21"/>
      <c r="BL394" s="21"/>
      <c r="BM394" s="21"/>
      <c r="BN394" s="21"/>
      <c r="BO394" s="21"/>
      <c r="BP394" s="21"/>
      <c r="BQ394" s="21"/>
      <c r="BR394" s="21"/>
      <c r="BS394" s="134"/>
      <c r="BT394" s="134"/>
      <c r="BU394" s="31">
        <f>$A$38</f>
        <v>20152</v>
      </c>
      <c r="BV394" s="21"/>
      <c r="BW394" s="21"/>
      <c r="BX394" s="21"/>
      <c r="BY394" s="21"/>
      <c r="BZ394" s="21"/>
      <c r="CA394" s="21"/>
      <c r="CB394" s="21"/>
      <c r="CC394" s="21"/>
      <c r="CD394" s="21"/>
      <c r="CE394" s="134"/>
      <c r="CF394" s="134"/>
      <c r="CG394" s="31">
        <f>$A$38</f>
        <v>20152</v>
      </c>
      <c r="CH394" s="21"/>
      <c r="CI394" s="21"/>
      <c r="CJ394" s="21"/>
      <c r="CK394" s="21"/>
      <c r="CL394" s="21"/>
      <c r="CM394" s="21"/>
      <c r="CN394" s="21"/>
      <c r="CO394" s="21"/>
      <c r="CP394" s="21"/>
      <c r="CQ394" s="134"/>
      <c r="CR394" s="134"/>
      <c r="CS394" s="31">
        <f>$A$38</f>
        <v>20152</v>
      </c>
      <c r="CT394" s="21"/>
      <c r="CU394" s="21"/>
      <c r="CV394" s="21"/>
      <c r="CW394" s="21"/>
      <c r="CX394" s="21"/>
      <c r="CY394" s="21"/>
      <c r="CZ394" s="21"/>
      <c r="DA394" s="21"/>
      <c r="DB394" s="21"/>
      <c r="DC394" s="134"/>
      <c r="DD394" s="134"/>
      <c r="DE394" s="31">
        <f>$A$38</f>
        <v>20152</v>
      </c>
      <c r="DF394" s="21"/>
      <c r="DG394" s="21"/>
      <c r="DH394" s="21"/>
      <c r="DI394" s="21"/>
      <c r="DJ394" s="21"/>
      <c r="DK394" s="21"/>
      <c r="DL394" s="21"/>
      <c r="DM394" s="21"/>
      <c r="DN394" s="21"/>
      <c r="DO394" s="134"/>
      <c r="DP394" s="134"/>
    </row>
    <row r="395" spans="1:120" ht="15" customHeight="1" x14ac:dyDescent="0.25">
      <c r="A395" s="31">
        <f>$A$39</f>
        <v>20162</v>
      </c>
      <c r="B395" s="21"/>
      <c r="C395" s="21">
        <v>24159</v>
      </c>
      <c r="D395" s="21">
        <v>32222</v>
      </c>
      <c r="E395" s="21">
        <v>33677</v>
      </c>
      <c r="F395" s="21">
        <v>34221</v>
      </c>
      <c r="G395" s="21">
        <v>34533</v>
      </c>
      <c r="H395" s="21">
        <v>34658</v>
      </c>
      <c r="I395" s="21">
        <v>34720</v>
      </c>
      <c r="J395" s="134"/>
      <c r="K395" s="134"/>
      <c r="L395" s="134"/>
      <c r="M395" s="31">
        <f>$A$39</f>
        <v>20162</v>
      </c>
      <c r="N395" s="21"/>
      <c r="O395" s="21">
        <v>6209</v>
      </c>
      <c r="P395" s="21">
        <v>7865</v>
      </c>
      <c r="Q395" s="21">
        <v>8121</v>
      </c>
      <c r="R395" s="21">
        <v>8183</v>
      </c>
      <c r="S395" s="21">
        <v>8211</v>
      </c>
      <c r="T395" s="21">
        <v>8221</v>
      </c>
      <c r="U395" s="21">
        <v>8227</v>
      </c>
      <c r="V395" s="134"/>
      <c r="W395" s="134"/>
      <c r="X395" s="134"/>
      <c r="Y395" s="31">
        <f>$A$39</f>
        <v>20162</v>
      </c>
      <c r="Z395" s="21"/>
      <c r="AA395" s="21">
        <v>4548</v>
      </c>
      <c r="AB395" s="21">
        <v>5913</v>
      </c>
      <c r="AC395" s="21">
        <v>6047</v>
      </c>
      <c r="AD395" s="21">
        <v>6079</v>
      </c>
      <c r="AE395" s="21">
        <v>6091</v>
      </c>
      <c r="AF395" s="21">
        <v>6100</v>
      </c>
      <c r="AG395" s="21">
        <v>6101</v>
      </c>
      <c r="AH395" s="134"/>
      <c r="AI395" s="134"/>
      <c r="AJ395" s="134"/>
      <c r="AK395" s="31">
        <f>$A$39</f>
        <v>20162</v>
      </c>
      <c r="AL395" s="21"/>
      <c r="AM395" s="21"/>
      <c r="AN395" s="21"/>
      <c r="AO395" s="21"/>
      <c r="AP395" s="21"/>
      <c r="AQ395" s="21"/>
      <c r="AR395" s="21"/>
      <c r="AS395" s="21"/>
      <c r="AT395" s="134"/>
      <c r="AU395" s="134"/>
      <c r="AV395" s="134"/>
      <c r="AW395" s="31">
        <f>$A$39</f>
        <v>20162</v>
      </c>
      <c r="AX395" s="21"/>
      <c r="AY395" s="21"/>
      <c r="AZ395" s="21"/>
      <c r="BA395" s="21"/>
      <c r="BB395" s="21"/>
      <c r="BC395" s="21"/>
      <c r="BD395" s="21"/>
      <c r="BE395" s="21"/>
      <c r="BF395" s="134"/>
      <c r="BG395" s="134"/>
      <c r="BH395" s="134"/>
      <c r="BI395" s="31">
        <f>$A$39</f>
        <v>20162</v>
      </c>
      <c r="BJ395" s="21"/>
      <c r="BK395" s="21"/>
      <c r="BL395" s="21"/>
      <c r="BM395" s="21"/>
      <c r="BN395" s="21"/>
      <c r="BO395" s="21"/>
      <c r="BP395" s="21"/>
      <c r="BQ395" s="21"/>
      <c r="BR395" s="134"/>
      <c r="BS395" s="134"/>
      <c r="BT395" s="134"/>
      <c r="BU395" s="31">
        <f>$A$39</f>
        <v>20162</v>
      </c>
      <c r="BV395" s="21"/>
      <c r="BW395" s="21"/>
      <c r="BX395" s="21"/>
      <c r="BY395" s="21"/>
      <c r="BZ395" s="21"/>
      <c r="CA395" s="21"/>
      <c r="CB395" s="21"/>
      <c r="CC395" s="21"/>
      <c r="CD395" s="134"/>
      <c r="CE395" s="134"/>
      <c r="CF395" s="134"/>
      <c r="CG395" s="31">
        <f>$A$39</f>
        <v>20162</v>
      </c>
      <c r="CH395" s="21"/>
      <c r="CI395" s="21"/>
      <c r="CJ395" s="21"/>
      <c r="CK395" s="21"/>
      <c r="CL395" s="21"/>
      <c r="CM395" s="21"/>
      <c r="CN395" s="21"/>
      <c r="CO395" s="21"/>
      <c r="CP395" s="134"/>
      <c r="CQ395" s="134"/>
      <c r="CR395" s="134"/>
      <c r="CS395" s="31">
        <f>$A$39</f>
        <v>20162</v>
      </c>
      <c r="CT395" s="21"/>
      <c r="CU395" s="21"/>
      <c r="CV395" s="21"/>
      <c r="CW395" s="21"/>
      <c r="CX395" s="21"/>
      <c r="CY395" s="21"/>
      <c r="CZ395" s="21"/>
      <c r="DA395" s="21"/>
      <c r="DB395" s="134"/>
      <c r="DC395" s="134"/>
      <c r="DD395" s="134"/>
      <c r="DE395" s="31">
        <f>$A$39</f>
        <v>20162</v>
      </c>
      <c r="DF395" s="21"/>
      <c r="DG395" s="21"/>
      <c r="DH395" s="21"/>
      <c r="DI395" s="21"/>
      <c r="DJ395" s="21"/>
      <c r="DK395" s="21"/>
      <c r="DL395" s="21"/>
      <c r="DM395" s="21"/>
      <c r="DN395" s="134"/>
      <c r="DO395" s="134"/>
      <c r="DP395" s="134"/>
    </row>
    <row r="396" spans="1:120" ht="15" customHeight="1" x14ac:dyDescent="0.25">
      <c r="A396" s="31">
        <f>$A$40</f>
        <v>20172</v>
      </c>
      <c r="B396" s="21"/>
      <c r="C396" s="21">
        <v>25812</v>
      </c>
      <c r="D396" s="21">
        <v>33538</v>
      </c>
      <c r="E396" s="21">
        <v>34931</v>
      </c>
      <c r="F396" s="21">
        <v>35431</v>
      </c>
      <c r="G396" s="21">
        <v>35695</v>
      </c>
      <c r="H396" s="21">
        <v>35853</v>
      </c>
      <c r="I396" s="134"/>
      <c r="J396" s="134"/>
      <c r="K396" s="134"/>
      <c r="L396" s="134"/>
      <c r="M396" s="31">
        <f>$A$40</f>
        <v>20172</v>
      </c>
      <c r="N396" s="21"/>
      <c r="O396" s="21">
        <v>7147</v>
      </c>
      <c r="P396" s="21">
        <v>8460</v>
      </c>
      <c r="Q396" s="21">
        <v>8701</v>
      </c>
      <c r="R396" s="21">
        <v>8764</v>
      </c>
      <c r="S396" s="21">
        <v>8788</v>
      </c>
      <c r="T396" s="21">
        <v>8803</v>
      </c>
      <c r="U396" s="134"/>
      <c r="V396" s="134"/>
      <c r="W396" s="134"/>
      <c r="X396" s="134"/>
      <c r="Y396" s="31">
        <f>$A$40</f>
        <v>20172</v>
      </c>
      <c r="Z396" s="21"/>
      <c r="AA396" s="21">
        <v>4683</v>
      </c>
      <c r="AB396" s="21">
        <v>5877</v>
      </c>
      <c r="AC396" s="21">
        <v>6034</v>
      </c>
      <c r="AD396" s="21">
        <v>6092</v>
      </c>
      <c r="AE396" s="21">
        <v>6121</v>
      </c>
      <c r="AF396" s="21">
        <v>6142</v>
      </c>
      <c r="AG396" s="134"/>
      <c r="AH396" s="134"/>
      <c r="AI396" s="134"/>
      <c r="AJ396" s="134"/>
      <c r="AK396" s="31">
        <f>$A$40</f>
        <v>20172</v>
      </c>
      <c r="AL396" s="21"/>
      <c r="AM396" s="21"/>
      <c r="AN396" s="21"/>
      <c r="AO396" s="21"/>
      <c r="AP396" s="21"/>
      <c r="AQ396" s="21"/>
      <c r="AR396" s="21"/>
      <c r="AS396" s="134"/>
      <c r="AT396" s="134"/>
      <c r="AU396" s="134"/>
      <c r="AV396" s="134"/>
      <c r="AW396" s="31">
        <f>$A$40</f>
        <v>20172</v>
      </c>
      <c r="AX396" s="21"/>
      <c r="AY396" s="21"/>
      <c r="AZ396" s="21"/>
      <c r="BA396" s="21"/>
      <c r="BB396" s="21"/>
      <c r="BC396" s="21"/>
      <c r="BD396" s="21"/>
      <c r="BE396" s="134"/>
      <c r="BF396" s="134"/>
      <c r="BG396" s="134"/>
      <c r="BH396" s="134"/>
      <c r="BI396" s="31">
        <f>$A$40</f>
        <v>20172</v>
      </c>
      <c r="BJ396" s="21"/>
      <c r="BK396" s="21"/>
      <c r="BL396" s="21"/>
      <c r="BM396" s="21"/>
      <c r="BN396" s="21"/>
      <c r="BO396" s="21"/>
      <c r="BP396" s="21"/>
      <c r="BQ396" s="134"/>
      <c r="BR396" s="134"/>
      <c r="BS396" s="134"/>
      <c r="BT396" s="134"/>
      <c r="BU396" s="31">
        <f>$A$40</f>
        <v>20172</v>
      </c>
      <c r="BV396" s="21"/>
      <c r="BW396" s="21"/>
      <c r="BX396" s="21"/>
      <c r="BY396" s="21"/>
      <c r="BZ396" s="21"/>
      <c r="CA396" s="21"/>
      <c r="CB396" s="21"/>
      <c r="CC396" s="134"/>
      <c r="CD396" s="134"/>
      <c r="CE396" s="134"/>
      <c r="CF396" s="134"/>
      <c r="CG396" s="31">
        <f>$A$40</f>
        <v>20172</v>
      </c>
      <c r="CH396" s="21"/>
      <c r="CI396" s="21"/>
      <c r="CJ396" s="21"/>
      <c r="CK396" s="21"/>
      <c r="CL396" s="21"/>
      <c r="CM396" s="21"/>
      <c r="CN396" s="21"/>
      <c r="CO396" s="134"/>
      <c r="CP396" s="134"/>
      <c r="CQ396" s="134"/>
      <c r="CR396" s="134"/>
      <c r="CS396" s="31">
        <f>$A$40</f>
        <v>20172</v>
      </c>
      <c r="CT396" s="21"/>
      <c r="CU396" s="21"/>
      <c r="CV396" s="21"/>
      <c r="CW396" s="21"/>
      <c r="CX396" s="21"/>
      <c r="CY396" s="21"/>
      <c r="CZ396" s="21"/>
      <c r="DA396" s="134"/>
      <c r="DB396" s="134"/>
      <c r="DC396" s="134"/>
      <c r="DD396" s="134"/>
      <c r="DE396" s="31">
        <f>$A$40</f>
        <v>20172</v>
      </c>
      <c r="DF396" s="21"/>
      <c r="DG396" s="21"/>
      <c r="DH396" s="21"/>
      <c r="DI396" s="21"/>
      <c r="DJ396" s="21"/>
      <c r="DK396" s="21"/>
      <c r="DL396" s="21"/>
      <c r="DM396" s="134"/>
      <c r="DN396" s="134"/>
      <c r="DO396" s="134"/>
      <c r="DP396" s="134"/>
    </row>
    <row r="397" spans="1:120" ht="15" customHeight="1" x14ac:dyDescent="0.25">
      <c r="A397" s="31">
        <f>$A$41</f>
        <v>20182</v>
      </c>
      <c r="B397" s="21"/>
      <c r="C397" s="21">
        <v>19336</v>
      </c>
      <c r="D397" s="21">
        <v>25966</v>
      </c>
      <c r="E397" s="21">
        <v>27421</v>
      </c>
      <c r="F397" s="21">
        <v>27903</v>
      </c>
      <c r="G397" s="21">
        <v>28173</v>
      </c>
      <c r="H397" s="134"/>
      <c r="I397" s="134"/>
      <c r="J397" s="134"/>
      <c r="K397" s="134"/>
      <c r="L397" s="134"/>
      <c r="M397" s="31">
        <f>$A$41</f>
        <v>20182</v>
      </c>
      <c r="N397" s="21"/>
      <c r="O397" s="21">
        <v>7327</v>
      </c>
      <c r="P397" s="21">
        <v>8817</v>
      </c>
      <c r="Q397" s="21">
        <v>9065</v>
      </c>
      <c r="R397" s="21">
        <v>9120</v>
      </c>
      <c r="S397" s="21">
        <v>9144</v>
      </c>
      <c r="T397" s="134"/>
      <c r="U397" s="134"/>
      <c r="V397" s="134"/>
      <c r="W397" s="134"/>
      <c r="X397" s="134"/>
      <c r="Y397" s="31">
        <f>$A$41</f>
        <v>20182</v>
      </c>
      <c r="Z397" s="21"/>
      <c r="AA397" s="21">
        <v>3903</v>
      </c>
      <c r="AB397" s="21">
        <v>5075</v>
      </c>
      <c r="AC397" s="21">
        <v>5220</v>
      </c>
      <c r="AD397" s="21">
        <v>5258</v>
      </c>
      <c r="AE397" s="21">
        <v>5292</v>
      </c>
      <c r="AF397" s="134"/>
      <c r="AG397" s="134"/>
      <c r="AH397" s="134"/>
      <c r="AI397" s="134"/>
      <c r="AJ397" s="134"/>
      <c r="AK397" s="31">
        <f>$A$41</f>
        <v>20182</v>
      </c>
      <c r="AL397" s="21"/>
      <c r="AM397" s="21"/>
      <c r="AN397" s="21"/>
      <c r="AO397" s="21"/>
      <c r="AP397" s="21"/>
      <c r="AQ397" s="21"/>
      <c r="AR397" s="134"/>
      <c r="AS397" s="134"/>
      <c r="AT397" s="134"/>
      <c r="AU397" s="134"/>
      <c r="AV397" s="134"/>
      <c r="AW397" s="31">
        <f>$A$41</f>
        <v>20182</v>
      </c>
      <c r="AX397" s="21"/>
      <c r="AY397" s="21"/>
      <c r="AZ397" s="21"/>
      <c r="BA397" s="21"/>
      <c r="BB397" s="21"/>
      <c r="BC397" s="21"/>
      <c r="BD397" s="134"/>
      <c r="BE397" s="134"/>
      <c r="BF397" s="134"/>
      <c r="BG397" s="134"/>
      <c r="BH397" s="134"/>
      <c r="BI397" s="31">
        <f>$A$41</f>
        <v>20182</v>
      </c>
      <c r="BJ397" s="21"/>
      <c r="BK397" s="21"/>
      <c r="BL397" s="21"/>
      <c r="BM397" s="21"/>
      <c r="BN397" s="21"/>
      <c r="BO397" s="21"/>
      <c r="BP397" s="134"/>
      <c r="BQ397" s="134"/>
      <c r="BR397" s="134"/>
      <c r="BS397" s="134"/>
      <c r="BT397" s="134"/>
      <c r="BU397" s="31">
        <f>$A$41</f>
        <v>20182</v>
      </c>
      <c r="BV397" s="21"/>
      <c r="BW397" s="21"/>
      <c r="BX397" s="21"/>
      <c r="BY397" s="21"/>
      <c r="BZ397" s="21"/>
      <c r="CA397" s="21"/>
      <c r="CB397" s="134"/>
      <c r="CC397" s="134"/>
      <c r="CD397" s="134"/>
      <c r="CE397" s="134"/>
      <c r="CF397" s="134"/>
      <c r="CG397" s="31">
        <f>$A$41</f>
        <v>20182</v>
      </c>
      <c r="CH397" s="21"/>
      <c r="CI397" s="21"/>
      <c r="CJ397" s="21"/>
      <c r="CK397" s="21"/>
      <c r="CL397" s="21"/>
      <c r="CM397" s="21"/>
      <c r="CN397" s="134"/>
      <c r="CO397" s="134"/>
      <c r="CP397" s="134"/>
      <c r="CQ397" s="134"/>
      <c r="CR397" s="134"/>
      <c r="CS397" s="31">
        <f>$A$41</f>
        <v>20182</v>
      </c>
      <c r="CT397" s="21"/>
      <c r="CU397" s="21"/>
      <c r="CV397" s="21"/>
      <c r="CW397" s="21"/>
      <c r="CX397" s="21"/>
      <c r="CY397" s="21"/>
      <c r="CZ397" s="134"/>
      <c r="DA397" s="134"/>
      <c r="DB397" s="134"/>
      <c r="DC397" s="134"/>
      <c r="DD397" s="134"/>
      <c r="DE397" s="31">
        <f>$A$41</f>
        <v>20182</v>
      </c>
      <c r="DF397" s="21"/>
      <c r="DG397" s="21"/>
      <c r="DH397" s="21"/>
      <c r="DI397" s="21"/>
      <c r="DJ397" s="21"/>
      <c r="DK397" s="21"/>
      <c r="DL397" s="134"/>
      <c r="DM397" s="134"/>
      <c r="DN397" s="134"/>
      <c r="DO397" s="134"/>
      <c r="DP397" s="134"/>
    </row>
    <row r="398" spans="1:120" ht="15" customHeight="1" x14ac:dyDescent="0.25">
      <c r="A398" s="31">
        <f>$A$42</f>
        <v>20192</v>
      </c>
      <c r="B398" s="21"/>
      <c r="C398" s="21">
        <v>21808</v>
      </c>
      <c r="D398" s="21">
        <v>29838</v>
      </c>
      <c r="E398" s="21">
        <v>31429</v>
      </c>
      <c r="F398" s="21">
        <v>32072</v>
      </c>
      <c r="G398" s="134"/>
      <c r="H398" s="134"/>
      <c r="I398" s="134"/>
      <c r="J398" s="134"/>
      <c r="K398" s="134"/>
      <c r="L398" s="134"/>
      <c r="M398" s="31">
        <f>$A$42</f>
        <v>20192</v>
      </c>
      <c r="N398" s="21"/>
      <c r="O398" s="21">
        <v>7250</v>
      </c>
      <c r="P398" s="21">
        <v>8602</v>
      </c>
      <c r="Q398" s="21">
        <v>8854</v>
      </c>
      <c r="R398" s="21">
        <v>8901</v>
      </c>
      <c r="S398" s="134"/>
      <c r="T398" s="134"/>
      <c r="U398" s="134"/>
      <c r="V398" s="134"/>
      <c r="W398" s="134"/>
      <c r="X398" s="134"/>
      <c r="Y398" s="31">
        <f>$A$42</f>
        <v>20192</v>
      </c>
      <c r="Z398" s="21"/>
      <c r="AA398" s="21">
        <v>4295</v>
      </c>
      <c r="AB398" s="21">
        <v>5587</v>
      </c>
      <c r="AC398" s="21">
        <v>5732</v>
      </c>
      <c r="AD398" s="21">
        <v>5778</v>
      </c>
      <c r="AE398" s="134"/>
      <c r="AF398" s="134"/>
      <c r="AG398" s="134"/>
      <c r="AH398" s="134"/>
      <c r="AI398" s="134"/>
      <c r="AJ398" s="134"/>
      <c r="AK398" s="31">
        <f>$A$42</f>
        <v>20192</v>
      </c>
      <c r="AL398" s="21"/>
      <c r="AM398" s="21"/>
      <c r="AN398" s="21"/>
      <c r="AO398" s="21"/>
      <c r="AP398" s="21"/>
      <c r="AQ398" s="134"/>
      <c r="AR398" s="134"/>
      <c r="AS398" s="134"/>
      <c r="AT398" s="134"/>
      <c r="AU398" s="134"/>
      <c r="AV398" s="134"/>
      <c r="AW398" s="31">
        <f>$A$42</f>
        <v>20192</v>
      </c>
      <c r="AX398" s="21"/>
      <c r="AY398" s="21"/>
      <c r="AZ398" s="21"/>
      <c r="BA398" s="21"/>
      <c r="BB398" s="21"/>
      <c r="BC398" s="134"/>
      <c r="BD398" s="134"/>
      <c r="BE398" s="134"/>
      <c r="BF398" s="134"/>
      <c r="BG398" s="134"/>
      <c r="BH398" s="134"/>
      <c r="BI398" s="31">
        <f>$A$42</f>
        <v>20192</v>
      </c>
      <c r="BJ398" s="21"/>
      <c r="BK398" s="21"/>
      <c r="BL398" s="21"/>
      <c r="BM398" s="21"/>
      <c r="BN398" s="21"/>
      <c r="BO398" s="134"/>
      <c r="BP398" s="134"/>
      <c r="BQ398" s="134"/>
      <c r="BR398" s="134"/>
      <c r="BS398" s="134"/>
      <c r="BT398" s="134"/>
      <c r="BU398" s="31">
        <f>$A$42</f>
        <v>20192</v>
      </c>
      <c r="BV398" s="21"/>
      <c r="BW398" s="21"/>
      <c r="BX398" s="21"/>
      <c r="BY398" s="21"/>
      <c r="BZ398" s="21"/>
      <c r="CA398" s="134"/>
      <c r="CB398" s="134"/>
      <c r="CC398" s="134"/>
      <c r="CD398" s="134"/>
      <c r="CE398" s="134"/>
      <c r="CF398" s="134"/>
      <c r="CG398" s="31">
        <f>$A$42</f>
        <v>20192</v>
      </c>
      <c r="CH398" s="21"/>
      <c r="CI398" s="21"/>
      <c r="CJ398" s="21"/>
      <c r="CK398" s="21"/>
      <c r="CL398" s="21"/>
      <c r="CM398" s="134"/>
      <c r="CN398" s="134"/>
      <c r="CO398" s="134"/>
      <c r="CP398" s="134"/>
      <c r="CQ398" s="134"/>
      <c r="CR398" s="134"/>
      <c r="CS398" s="31">
        <f>$A$42</f>
        <v>20192</v>
      </c>
      <c r="CT398" s="21"/>
      <c r="CU398" s="21"/>
      <c r="CV398" s="21"/>
      <c r="CW398" s="21"/>
      <c r="CX398" s="21"/>
      <c r="CY398" s="134"/>
      <c r="CZ398" s="134"/>
      <c r="DA398" s="134"/>
      <c r="DB398" s="134"/>
      <c r="DC398" s="134"/>
      <c r="DD398" s="134"/>
      <c r="DE398" s="31">
        <f>$A$42</f>
        <v>20192</v>
      </c>
      <c r="DF398" s="21"/>
      <c r="DG398" s="21"/>
      <c r="DH398" s="21"/>
      <c r="DI398" s="21"/>
      <c r="DJ398" s="21"/>
      <c r="DK398" s="134"/>
      <c r="DL398" s="134"/>
      <c r="DM398" s="134"/>
      <c r="DN398" s="134"/>
      <c r="DO398" s="134"/>
      <c r="DP398" s="134"/>
    </row>
    <row r="399" spans="1:120" ht="15" customHeight="1" x14ac:dyDescent="0.25">
      <c r="A399" s="31">
        <f>$A$43</f>
        <v>20202</v>
      </c>
      <c r="B399" s="21"/>
      <c r="C399" s="21">
        <v>20288</v>
      </c>
      <c r="D399" s="21">
        <v>28047</v>
      </c>
      <c r="E399" s="21">
        <v>30115</v>
      </c>
      <c r="F399" s="134"/>
      <c r="G399" s="134"/>
      <c r="H399" s="134"/>
      <c r="I399" s="134"/>
      <c r="J399" s="134"/>
      <c r="K399" s="134"/>
      <c r="L399" s="134"/>
      <c r="M399" s="31">
        <f>$A$43</f>
        <v>20202</v>
      </c>
      <c r="N399" s="21"/>
      <c r="O399" s="21">
        <v>6134</v>
      </c>
      <c r="P399" s="21">
        <v>7307</v>
      </c>
      <c r="Q399" s="21">
        <v>7511</v>
      </c>
      <c r="R399" s="134"/>
      <c r="S399" s="134"/>
      <c r="T399" s="134"/>
      <c r="U399" s="134"/>
      <c r="V399" s="134"/>
      <c r="W399" s="134"/>
      <c r="X399" s="134"/>
      <c r="Y399" s="31">
        <f>$A$43</f>
        <v>20202</v>
      </c>
      <c r="Z399" s="21"/>
      <c r="AA399" s="21">
        <v>3914</v>
      </c>
      <c r="AB399" s="21">
        <v>5150</v>
      </c>
      <c r="AC399" s="21">
        <v>5358</v>
      </c>
      <c r="AD399" s="134"/>
      <c r="AE399" s="134"/>
      <c r="AF399" s="134"/>
      <c r="AG399" s="134"/>
      <c r="AH399" s="134"/>
      <c r="AI399" s="134"/>
      <c r="AJ399" s="134"/>
      <c r="AK399" s="31">
        <f>$A$43</f>
        <v>20202</v>
      </c>
      <c r="AL399" s="21"/>
      <c r="AM399" s="21"/>
      <c r="AN399" s="21"/>
      <c r="AO399" s="21"/>
      <c r="AP399" s="134"/>
      <c r="AQ399" s="134"/>
      <c r="AR399" s="134"/>
      <c r="AS399" s="134"/>
      <c r="AT399" s="134"/>
      <c r="AU399" s="134"/>
      <c r="AV399" s="134"/>
      <c r="AW399" s="31">
        <f>$A$43</f>
        <v>20202</v>
      </c>
      <c r="AX399" s="21"/>
      <c r="AY399" s="21"/>
      <c r="AZ399" s="21"/>
      <c r="BA399" s="21"/>
      <c r="BB399" s="134"/>
      <c r="BC399" s="134"/>
      <c r="BD399" s="134"/>
      <c r="BE399" s="134"/>
      <c r="BF399" s="134"/>
      <c r="BG399" s="134"/>
      <c r="BH399" s="134"/>
      <c r="BI399" s="31">
        <f>$A$43</f>
        <v>20202</v>
      </c>
      <c r="BJ399" s="21"/>
      <c r="BK399" s="21"/>
      <c r="BL399" s="21"/>
      <c r="BM399" s="21"/>
      <c r="BN399" s="134"/>
      <c r="BO399" s="134"/>
      <c r="BP399" s="134"/>
      <c r="BQ399" s="134"/>
      <c r="BR399" s="134"/>
      <c r="BS399" s="134"/>
      <c r="BT399" s="134"/>
      <c r="BU399" s="31">
        <f>$A$43</f>
        <v>20202</v>
      </c>
      <c r="BV399" s="21"/>
      <c r="BW399" s="21"/>
      <c r="BX399" s="21"/>
      <c r="BY399" s="21"/>
      <c r="BZ399" s="134"/>
      <c r="CA399" s="134"/>
      <c r="CB399" s="134"/>
      <c r="CC399" s="134"/>
      <c r="CD399" s="134"/>
      <c r="CE399" s="134"/>
      <c r="CF399" s="134"/>
      <c r="CG399" s="31">
        <f>$A$43</f>
        <v>20202</v>
      </c>
      <c r="CH399" s="21"/>
      <c r="CI399" s="21"/>
      <c r="CJ399" s="21"/>
      <c r="CK399" s="21"/>
      <c r="CL399" s="134"/>
      <c r="CM399" s="134"/>
      <c r="CN399" s="134"/>
      <c r="CO399" s="134"/>
      <c r="CP399" s="134"/>
      <c r="CQ399" s="134"/>
      <c r="CR399" s="134"/>
      <c r="CS399" s="31">
        <f>$A$43</f>
        <v>20202</v>
      </c>
      <c r="CT399" s="21"/>
      <c r="CU399" s="21"/>
      <c r="CV399" s="21"/>
      <c r="CW399" s="21"/>
      <c r="CX399" s="134"/>
      <c r="CY399" s="134"/>
      <c r="CZ399" s="134"/>
      <c r="DA399" s="134"/>
      <c r="DB399" s="134"/>
      <c r="DC399" s="134"/>
      <c r="DD399" s="134"/>
      <c r="DE399" s="31">
        <f>$A$43</f>
        <v>20202</v>
      </c>
      <c r="DF399" s="21"/>
      <c r="DG399" s="21"/>
      <c r="DH399" s="21"/>
      <c r="DI399" s="21"/>
      <c r="DJ399" s="134"/>
      <c r="DK399" s="134"/>
      <c r="DL399" s="134"/>
      <c r="DM399" s="134"/>
      <c r="DN399" s="134"/>
      <c r="DO399" s="134"/>
      <c r="DP399" s="134"/>
    </row>
    <row r="400" spans="1:120" ht="15" customHeight="1" x14ac:dyDescent="0.25">
      <c r="A400" s="31">
        <f>$A$44</f>
        <v>20212</v>
      </c>
      <c r="B400" s="21"/>
      <c r="C400" s="21">
        <v>18936</v>
      </c>
      <c r="D400" s="21">
        <v>27019</v>
      </c>
      <c r="E400" s="134"/>
      <c r="F400" s="134"/>
      <c r="G400" s="134"/>
      <c r="H400" s="134"/>
      <c r="I400" s="134"/>
      <c r="J400" s="134"/>
      <c r="K400" s="134"/>
      <c r="L400" s="134"/>
      <c r="M400" s="31">
        <f>$A$44</f>
        <v>20212</v>
      </c>
      <c r="N400" s="21"/>
      <c r="O400" s="21">
        <v>5524</v>
      </c>
      <c r="P400" s="21">
        <v>6897</v>
      </c>
      <c r="Q400" s="134"/>
      <c r="R400" s="134"/>
      <c r="S400" s="134"/>
      <c r="T400" s="134"/>
      <c r="U400" s="134"/>
      <c r="V400" s="134"/>
      <c r="W400" s="134"/>
      <c r="X400" s="134"/>
      <c r="Y400" s="31">
        <f>$A$44</f>
        <v>20212</v>
      </c>
      <c r="Z400" s="21"/>
      <c r="AA400" s="21">
        <v>4081</v>
      </c>
      <c r="AB400" s="21">
        <v>5436</v>
      </c>
      <c r="AC400" s="134"/>
      <c r="AD400" s="134"/>
      <c r="AE400" s="134"/>
      <c r="AF400" s="134"/>
      <c r="AG400" s="134"/>
      <c r="AH400" s="134"/>
      <c r="AI400" s="134"/>
      <c r="AJ400" s="134"/>
      <c r="AK400" s="31">
        <f>$A$44</f>
        <v>20212</v>
      </c>
      <c r="AL400" s="21"/>
      <c r="AM400" s="21"/>
      <c r="AN400" s="21"/>
      <c r="AO400" s="134"/>
      <c r="AP400" s="134"/>
      <c r="AQ400" s="134"/>
      <c r="AR400" s="134"/>
      <c r="AS400" s="134"/>
      <c r="AT400" s="134"/>
      <c r="AU400" s="134"/>
      <c r="AV400" s="134"/>
      <c r="AW400" s="31">
        <f>$A$44</f>
        <v>20212</v>
      </c>
      <c r="AX400" s="21"/>
      <c r="AY400" s="21"/>
      <c r="AZ400" s="21"/>
      <c r="BA400" s="134"/>
      <c r="BB400" s="134"/>
      <c r="BC400" s="134"/>
      <c r="BD400" s="134"/>
      <c r="BE400" s="134"/>
      <c r="BF400" s="134"/>
      <c r="BG400" s="134"/>
      <c r="BH400" s="134"/>
      <c r="BI400" s="31">
        <f>$A$44</f>
        <v>20212</v>
      </c>
      <c r="BJ400" s="21"/>
      <c r="BK400" s="21"/>
      <c r="BL400" s="21"/>
      <c r="BM400" s="134"/>
      <c r="BN400" s="134"/>
      <c r="BO400" s="134"/>
      <c r="BP400" s="134"/>
      <c r="BQ400" s="134"/>
      <c r="BR400" s="134"/>
      <c r="BS400" s="134"/>
      <c r="BT400" s="134"/>
      <c r="BU400" s="31">
        <f>$A$44</f>
        <v>20212</v>
      </c>
      <c r="BV400" s="21"/>
      <c r="BW400" s="21"/>
      <c r="BX400" s="21"/>
      <c r="BY400" s="134"/>
      <c r="BZ400" s="134"/>
      <c r="CA400" s="134"/>
      <c r="CB400" s="134"/>
      <c r="CC400" s="134"/>
      <c r="CD400" s="134"/>
      <c r="CE400" s="134"/>
      <c r="CF400" s="134"/>
      <c r="CG400" s="31">
        <f>$A$44</f>
        <v>20212</v>
      </c>
      <c r="CH400" s="21"/>
      <c r="CI400" s="21"/>
      <c r="CJ400" s="21"/>
      <c r="CK400" s="134"/>
      <c r="CL400" s="134"/>
      <c r="CM400" s="134"/>
      <c r="CN400" s="134"/>
      <c r="CO400" s="134"/>
      <c r="CP400" s="134"/>
      <c r="CQ400" s="134"/>
      <c r="CR400" s="134"/>
      <c r="CS400" s="31">
        <f>$A$44</f>
        <v>20212</v>
      </c>
      <c r="CT400" s="21"/>
      <c r="CU400" s="21"/>
      <c r="CV400" s="21"/>
      <c r="CW400" s="134"/>
      <c r="CX400" s="134"/>
      <c r="CY400" s="134"/>
      <c r="CZ400" s="134"/>
      <c r="DA400" s="134"/>
      <c r="DB400" s="134"/>
      <c r="DC400" s="134"/>
      <c r="DD400" s="134"/>
      <c r="DE400" s="31">
        <f>$A$44</f>
        <v>20212</v>
      </c>
      <c r="DF400" s="21"/>
      <c r="DG400" s="21"/>
      <c r="DH400" s="21"/>
      <c r="DI400" s="134"/>
      <c r="DJ400" s="134"/>
      <c r="DK400" s="134"/>
      <c r="DL400" s="134"/>
      <c r="DM400" s="134"/>
      <c r="DN400" s="134"/>
      <c r="DO400" s="134"/>
      <c r="DP400" s="134"/>
    </row>
    <row r="401" spans="1:120" ht="15" customHeight="1" x14ac:dyDescent="0.25">
      <c r="A401" s="31">
        <f>$A$45</f>
        <v>20222</v>
      </c>
      <c r="B401" s="21"/>
      <c r="C401" s="21">
        <v>18864</v>
      </c>
      <c r="D401" s="134"/>
      <c r="E401" s="134"/>
      <c r="F401" s="134"/>
      <c r="G401" s="134"/>
      <c r="H401" s="134"/>
      <c r="I401" s="134"/>
      <c r="J401" s="134"/>
      <c r="K401" s="134"/>
      <c r="L401" s="134"/>
      <c r="M401" s="31">
        <f>$A$45</f>
        <v>20222</v>
      </c>
      <c r="N401" s="21"/>
      <c r="O401" s="21">
        <v>6151</v>
      </c>
      <c r="P401" s="134"/>
      <c r="Q401" s="134"/>
      <c r="R401" s="134"/>
      <c r="S401" s="134"/>
      <c r="T401" s="134"/>
      <c r="U401" s="134"/>
      <c r="V401" s="134"/>
      <c r="W401" s="134"/>
      <c r="X401" s="134"/>
      <c r="Y401" s="31">
        <f>$A$45</f>
        <v>20222</v>
      </c>
      <c r="Z401" s="21"/>
      <c r="AA401" s="21">
        <v>4013</v>
      </c>
      <c r="AB401" s="134"/>
      <c r="AC401" s="134"/>
      <c r="AD401" s="134"/>
      <c r="AE401" s="134"/>
      <c r="AF401" s="134"/>
      <c r="AG401" s="134"/>
      <c r="AH401" s="134"/>
      <c r="AI401" s="134"/>
      <c r="AJ401" s="134"/>
      <c r="AK401" s="31">
        <f>$A$45</f>
        <v>20222</v>
      </c>
      <c r="AL401" s="21"/>
      <c r="AM401" s="21"/>
      <c r="AN401" s="134"/>
      <c r="AO401" s="134"/>
      <c r="AP401" s="134"/>
      <c r="AQ401" s="134"/>
      <c r="AR401" s="134"/>
      <c r="AS401" s="134"/>
      <c r="AT401" s="134"/>
      <c r="AU401" s="134"/>
      <c r="AV401" s="134"/>
      <c r="AW401" s="31">
        <f>$A$45</f>
        <v>20222</v>
      </c>
      <c r="AX401" s="21"/>
      <c r="AY401" s="21"/>
      <c r="AZ401" s="134"/>
      <c r="BA401" s="134"/>
      <c r="BB401" s="134"/>
      <c r="BC401" s="134"/>
      <c r="BD401" s="134"/>
      <c r="BE401" s="134"/>
      <c r="BF401" s="134"/>
      <c r="BG401" s="134"/>
      <c r="BH401" s="134"/>
      <c r="BI401" s="31">
        <f>$A$45</f>
        <v>20222</v>
      </c>
      <c r="BJ401" s="21"/>
      <c r="BK401" s="21"/>
      <c r="BL401" s="134"/>
      <c r="BM401" s="134"/>
      <c r="BN401" s="134"/>
      <c r="BO401" s="134"/>
      <c r="BP401" s="134"/>
      <c r="BQ401" s="134"/>
      <c r="BR401" s="134"/>
      <c r="BS401" s="134"/>
      <c r="BT401" s="134"/>
      <c r="BU401" s="31">
        <f>$A$45</f>
        <v>20222</v>
      </c>
      <c r="BV401" s="21"/>
      <c r="BW401" s="21"/>
      <c r="BX401" s="134"/>
      <c r="BY401" s="134"/>
      <c r="BZ401" s="134"/>
      <c r="CA401" s="134"/>
      <c r="CB401" s="134"/>
      <c r="CC401" s="134"/>
      <c r="CD401" s="134"/>
      <c r="CE401" s="134"/>
      <c r="CF401" s="134"/>
      <c r="CG401" s="31">
        <f>$A$45</f>
        <v>20222</v>
      </c>
      <c r="CH401" s="21"/>
      <c r="CI401" s="21"/>
      <c r="CJ401" s="134"/>
      <c r="CK401" s="134"/>
      <c r="CL401" s="134"/>
      <c r="CM401" s="134"/>
      <c r="CN401" s="134"/>
      <c r="CO401" s="134"/>
      <c r="CP401" s="134"/>
      <c r="CQ401" s="134"/>
      <c r="CR401" s="134"/>
      <c r="CS401" s="31">
        <f>$A$45</f>
        <v>20222</v>
      </c>
      <c r="CT401" s="21"/>
      <c r="CU401" s="21"/>
      <c r="CV401" s="134"/>
      <c r="CW401" s="134"/>
      <c r="CX401" s="134"/>
      <c r="CY401" s="134"/>
      <c r="CZ401" s="134"/>
      <c r="DA401" s="134"/>
      <c r="DB401" s="134"/>
      <c r="DC401" s="134"/>
      <c r="DD401" s="134"/>
      <c r="DE401" s="31">
        <f>$A$45</f>
        <v>20222</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Data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Data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Data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Data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Data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Data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Data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Data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Data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20132</v>
      </c>
      <c r="B405" s="105"/>
      <c r="C405" s="90">
        <f>IFERROR(D392/C392,"")</f>
        <v>1.7415762695593742</v>
      </c>
      <c r="D405" s="90">
        <f t="shared" ref="D405:K405" si="649">IFERROR(E392/D392,"")</f>
        <v>1.0549002315070004</v>
      </c>
      <c r="E405" s="90">
        <f t="shared" si="649"/>
        <v>1.0176089455533495</v>
      </c>
      <c r="F405" s="90">
        <f t="shared" si="649"/>
        <v>1.0102182284980745</v>
      </c>
      <c r="G405" s="90">
        <f t="shared" si="649"/>
        <v>1.004117108874657</v>
      </c>
      <c r="H405" s="90">
        <f t="shared" si="649"/>
        <v>1.0072386737534802</v>
      </c>
      <c r="I405" s="90">
        <f t="shared" si="649"/>
        <v>1.0019599959794954</v>
      </c>
      <c r="J405" s="90">
        <f t="shared" si="649"/>
        <v>1.0012037919446255</v>
      </c>
      <c r="K405" s="90">
        <f t="shared" si="649"/>
        <v>1.0007013676669505</v>
      </c>
      <c r="L405" s="22"/>
      <c r="M405" s="91">
        <f>$A$36</f>
        <v>20132</v>
      </c>
      <c r="N405" s="105"/>
      <c r="O405" s="90">
        <f>IFERROR(P392/O392,"")</f>
        <v>1.4919935948759007</v>
      </c>
      <c r="P405" s="90">
        <f t="shared" ref="P405:W405" si="650">IFERROR(Q392/P392,"")</f>
        <v>1.049369466058492</v>
      </c>
      <c r="Q405" s="90">
        <f t="shared" si="650"/>
        <v>1.0115060086934289</v>
      </c>
      <c r="R405" s="90">
        <f t="shared" si="650"/>
        <v>1.0030333670374114</v>
      </c>
      <c r="S405" s="90">
        <f t="shared" si="650"/>
        <v>1.0017641129032258</v>
      </c>
      <c r="T405" s="90">
        <f t="shared" si="650"/>
        <v>1.0065408805031446</v>
      </c>
      <c r="U405" s="90">
        <f t="shared" si="650"/>
        <v>1.0004998750312422</v>
      </c>
      <c r="V405" s="90">
        <f t="shared" si="650"/>
        <v>1.0007494379215589</v>
      </c>
      <c r="W405" s="90">
        <f t="shared" si="650"/>
        <v>1</v>
      </c>
      <c r="X405" s="22"/>
      <c r="Y405" s="91">
        <f>$A$36</f>
        <v>20132</v>
      </c>
      <c r="Z405" s="105"/>
      <c r="AA405" s="90">
        <f>IFERROR(AB392/AA392,"")</f>
        <v>1.7374338624338623</v>
      </c>
      <c r="AB405" s="90">
        <f t="shared" ref="AB405:AI405" si="651">IFERROR(AC392/AB392,"")</f>
        <v>1.0521507422915874</v>
      </c>
      <c r="AC405" s="90">
        <f t="shared" si="651"/>
        <v>1.0108538350217078</v>
      </c>
      <c r="AD405" s="90">
        <f t="shared" si="651"/>
        <v>1.006084466714388</v>
      </c>
      <c r="AE405" s="90">
        <f t="shared" si="651"/>
        <v>1.0014229811454998</v>
      </c>
      <c r="AF405" s="90">
        <f t="shared" si="651"/>
        <v>1.0042628774422735</v>
      </c>
      <c r="AG405" s="90">
        <f t="shared" si="651"/>
        <v>1.0007074637424831</v>
      </c>
      <c r="AH405" s="90">
        <f t="shared" si="651"/>
        <v>1</v>
      </c>
      <c r="AI405" s="90">
        <f t="shared" si="651"/>
        <v>1</v>
      </c>
      <c r="AJ405" s="22"/>
      <c r="AK405" s="91">
        <f>$A$36</f>
        <v>20132</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20132</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20132</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20132</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20132</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20132</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20132</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20142</v>
      </c>
      <c r="B406" s="105"/>
      <c r="C406" s="90">
        <f t="shared" ref="C406:J413" si="659">IFERROR(D393/C393,"")</f>
        <v>1.3405216434912404</v>
      </c>
      <c r="D406" s="90">
        <f t="shared" si="659"/>
        <v>1.0457995135816216</v>
      </c>
      <c r="E406" s="90">
        <f t="shared" si="659"/>
        <v>1.0154384981787616</v>
      </c>
      <c r="F406" s="90">
        <f t="shared" si="659"/>
        <v>1.00612565878425</v>
      </c>
      <c r="G406" s="90">
        <f t="shared" si="659"/>
        <v>1.0064174642788579</v>
      </c>
      <c r="H406" s="90">
        <f t="shared" si="659"/>
        <v>1.0022072648990381</v>
      </c>
      <c r="I406" s="90">
        <f t="shared" si="659"/>
        <v>1.0008700853771277</v>
      </c>
      <c r="J406" s="90">
        <f t="shared" si="659"/>
        <v>1.0006248302091822</v>
      </c>
      <c r="K406" s="22"/>
      <c r="L406" s="22"/>
      <c r="M406" s="91">
        <f>$A$37</f>
        <v>20142</v>
      </c>
      <c r="N406" s="105"/>
      <c r="O406" s="90">
        <f t="shared" ref="O406:V413" si="660">IFERROR(P393/O393,"")</f>
        <v>1.2643472606080313</v>
      </c>
      <c r="P406" s="90">
        <f t="shared" si="660"/>
        <v>1.0362607689340362</v>
      </c>
      <c r="Q406" s="90">
        <f t="shared" si="660"/>
        <v>1.0095545353021467</v>
      </c>
      <c r="R406" s="90">
        <f t="shared" si="660"/>
        <v>1.0043018682399214</v>
      </c>
      <c r="S406" s="90">
        <f t="shared" si="660"/>
        <v>1.0074654265083833</v>
      </c>
      <c r="T406" s="90">
        <f t="shared" si="660"/>
        <v>1.0009718172983479</v>
      </c>
      <c r="U406" s="90">
        <f t="shared" si="660"/>
        <v>1.0001213592233009</v>
      </c>
      <c r="V406" s="90">
        <f t="shared" si="660"/>
        <v>1.0001213444970272</v>
      </c>
      <c r="W406" s="22"/>
      <c r="X406" s="22"/>
      <c r="Y406" s="91">
        <f>$A$37</f>
        <v>20142</v>
      </c>
      <c r="Z406" s="105"/>
      <c r="AA406" s="90">
        <f t="shared" ref="AA406:AH413" si="661">IFERROR(AB393/AA393,"")</f>
        <v>1.3514061312389156</v>
      </c>
      <c r="AB406" s="90">
        <f t="shared" si="661"/>
        <v>1.0268091488563929</v>
      </c>
      <c r="AC406" s="90">
        <f t="shared" si="661"/>
        <v>1.008581340149717</v>
      </c>
      <c r="AD406" s="90">
        <f t="shared" si="661"/>
        <v>1.002172338884866</v>
      </c>
      <c r="AE406" s="90">
        <f t="shared" si="661"/>
        <v>1.0066835260115607</v>
      </c>
      <c r="AF406" s="90">
        <f t="shared" si="661"/>
        <v>1.0014354925533824</v>
      </c>
      <c r="AG406" s="90">
        <f t="shared" si="661"/>
        <v>1.0005375380756136</v>
      </c>
      <c r="AH406" s="90">
        <f t="shared" si="661"/>
        <v>1.0001790830945558</v>
      </c>
      <c r="AI406" s="22"/>
      <c r="AJ406" s="22"/>
      <c r="AK406" s="91">
        <f>$A$37</f>
        <v>20142</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20142</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20142</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20142</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20142</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20142</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20142</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20152</v>
      </c>
      <c r="B407" s="105"/>
      <c r="C407" s="90">
        <f t="shared" si="659"/>
        <v>1.3552778493515416</v>
      </c>
      <c r="D407" s="90">
        <f t="shared" si="659"/>
        <v>1.0492411039640039</v>
      </c>
      <c r="E407" s="90">
        <f t="shared" si="659"/>
        <v>1.0140730226799142</v>
      </c>
      <c r="F407" s="90">
        <f t="shared" si="659"/>
        <v>1.0080705202656421</v>
      </c>
      <c r="G407" s="90">
        <f t="shared" si="659"/>
        <v>1.0041063515509601</v>
      </c>
      <c r="H407" s="90">
        <f t="shared" si="659"/>
        <v>1.0020594898349466</v>
      </c>
      <c r="I407" s="90">
        <f t="shared" si="659"/>
        <v>1.0007927420065181</v>
      </c>
      <c r="J407" s="22"/>
      <c r="K407" s="22"/>
      <c r="L407" s="22"/>
      <c r="M407" s="91">
        <f>$A$38</f>
        <v>20152</v>
      </c>
      <c r="N407" s="105"/>
      <c r="O407" s="90">
        <f t="shared" si="660"/>
        <v>1.2416368950958103</v>
      </c>
      <c r="P407" s="90">
        <f t="shared" si="660"/>
        <v>1.0330891969657336</v>
      </c>
      <c r="Q407" s="90">
        <f t="shared" si="660"/>
        <v>1.0086086846436257</v>
      </c>
      <c r="R407" s="90">
        <f t="shared" si="660"/>
        <v>1.0028869084975525</v>
      </c>
      <c r="S407" s="90">
        <f t="shared" si="660"/>
        <v>1.0012515644555695</v>
      </c>
      <c r="T407" s="90">
        <f t="shared" si="660"/>
        <v>1.0004999999999999</v>
      </c>
      <c r="U407" s="90">
        <f t="shared" si="660"/>
        <v>1.0003748125937031</v>
      </c>
      <c r="V407" s="22"/>
      <c r="W407" s="22"/>
      <c r="X407" s="22"/>
      <c r="Y407" s="91">
        <f>$A$38</f>
        <v>20152</v>
      </c>
      <c r="Z407" s="105"/>
      <c r="AA407" s="90">
        <f t="shared" si="661"/>
        <v>1.355365669766273</v>
      </c>
      <c r="AB407" s="90">
        <f t="shared" si="661"/>
        <v>1.0304097904691267</v>
      </c>
      <c r="AC407" s="90">
        <f t="shared" si="661"/>
        <v>1.0075580349109232</v>
      </c>
      <c r="AD407" s="90">
        <f t="shared" si="661"/>
        <v>1.0030362564743704</v>
      </c>
      <c r="AE407" s="90">
        <f t="shared" si="661"/>
        <v>1.0008903133903133</v>
      </c>
      <c r="AF407" s="90">
        <f t="shared" si="661"/>
        <v>1.0005337128624801</v>
      </c>
      <c r="AG407" s="90">
        <f t="shared" si="661"/>
        <v>1</v>
      </c>
      <c r="AH407" s="22"/>
      <c r="AI407" s="22"/>
      <c r="AJ407" s="22"/>
      <c r="AK407" s="91">
        <f>$A$38</f>
        <v>20152</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20152</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20152</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20152</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20152</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20152</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20152</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20162</v>
      </c>
      <c r="B408" s="105"/>
      <c r="C408" s="90">
        <f t="shared" si="659"/>
        <v>1.3337472577507348</v>
      </c>
      <c r="D408" s="90">
        <f t="shared" si="659"/>
        <v>1.0451554838309229</v>
      </c>
      <c r="E408" s="90">
        <f t="shared" si="659"/>
        <v>1.016153457849571</v>
      </c>
      <c r="F408" s="90">
        <f t="shared" si="659"/>
        <v>1.0091172087314806</v>
      </c>
      <c r="G408" s="90">
        <f t="shared" si="659"/>
        <v>1.0036197260591317</v>
      </c>
      <c r="H408" s="90">
        <f t="shared" si="659"/>
        <v>1.0017889087656529</v>
      </c>
      <c r="I408" s="22"/>
      <c r="J408" s="22"/>
      <c r="K408" s="22"/>
      <c r="L408" s="22"/>
      <c r="M408" s="91">
        <f>$A$39</f>
        <v>20162</v>
      </c>
      <c r="N408" s="105"/>
      <c r="O408" s="90">
        <f t="shared" si="660"/>
        <v>1.2667096150748913</v>
      </c>
      <c r="P408" s="90">
        <f t="shared" si="660"/>
        <v>1.0325492689129052</v>
      </c>
      <c r="Q408" s="90">
        <f t="shared" si="660"/>
        <v>1.0076345277675163</v>
      </c>
      <c r="R408" s="90">
        <f t="shared" si="660"/>
        <v>1.0034217279726261</v>
      </c>
      <c r="S408" s="90">
        <f t="shared" si="660"/>
        <v>1.0012178784557302</v>
      </c>
      <c r="T408" s="90">
        <f t="shared" si="660"/>
        <v>1.0007298382191947</v>
      </c>
      <c r="U408" s="22"/>
      <c r="V408" s="22"/>
      <c r="W408" s="22"/>
      <c r="X408" s="22"/>
      <c r="Y408" s="91">
        <f>$A$39</f>
        <v>20162</v>
      </c>
      <c r="Z408" s="105"/>
      <c r="AA408" s="90">
        <f t="shared" si="661"/>
        <v>1.300131926121372</v>
      </c>
      <c r="AB408" s="90">
        <f t="shared" si="661"/>
        <v>1.0226619313377305</v>
      </c>
      <c r="AC408" s="90">
        <f t="shared" si="661"/>
        <v>1.005291880271209</v>
      </c>
      <c r="AD408" s="90">
        <f t="shared" si="661"/>
        <v>1.00197400888304</v>
      </c>
      <c r="AE408" s="90">
        <f t="shared" si="661"/>
        <v>1.0014775898867181</v>
      </c>
      <c r="AF408" s="90">
        <f t="shared" si="661"/>
        <v>1.0001639344262294</v>
      </c>
      <c r="AG408" s="22"/>
      <c r="AH408" s="22"/>
      <c r="AI408" s="22"/>
      <c r="AJ408" s="22"/>
      <c r="AK408" s="91">
        <f>$A$39</f>
        <v>20162</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20162</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20162</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20162</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20162</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20162</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20162</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20172</v>
      </c>
      <c r="B409" s="105"/>
      <c r="C409" s="90">
        <f t="shared" si="659"/>
        <v>1.2993181465984813</v>
      </c>
      <c r="D409" s="90">
        <f t="shared" si="659"/>
        <v>1.0415349752519529</v>
      </c>
      <c r="E409" s="90">
        <f t="shared" si="659"/>
        <v>1.0143139331825599</v>
      </c>
      <c r="F409" s="90">
        <f t="shared" si="659"/>
        <v>1.0074511021421919</v>
      </c>
      <c r="G409" s="90">
        <f t="shared" si="659"/>
        <v>1.0044263902507353</v>
      </c>
      <c r="H409" s="22"/>
      <c r="I409" s="22"/>
      <c r="J409" s="22"/>
      <c r="K409" s="22"/>
      <c r="L409" s="22"/>
      <c r="M409" s="91">
        <f>$A$40</f>
        <v>20172</v>
      </c>
      <c r="N409" s="105"/>
      <c r="O409" s="90">
        <f t="shared" si="660"/>
        <v>1.1837134462012033</v>
      </c>
      <c r="P409" s="90">
        <f t="shared" si="660"/>
        <v>1.0284869976359339</v>
      </c>
      <c r="Q409" s="90">
        <f t="shared" si="660"/>
        <v>1.0072405470635559</v>
      </c>
      <c r="R409" s="90">
        <f t="shared" si="660"/>
        <v>1.002738475581926</v>
      </c>
      <c r="S409" s="90">
        <f t="shared" si="660"/>
        <v>1.0017068730086482</v>
      </c>
      <c r="T409" s="22"/>
      <c r="U409" s="22"/>
      <c r="V409" s="22"/>
      <c r="W409" s="22"/>
      <c r="X409" s="22"/>
      <c r="Y409" s="91">
        <f>$A$40</f>
        <v>20172</v>
      </c>
      <c r="Z409" s="105"/>
      <c r="AA409" s="90">
        <f t="shared" si="661"/>
        <v>1.2549647661755285</v>
      </c>
      <c r="AB409" s="90">
        <f t="shared" si="661"/>
        <v>1.0267143100221201</v>
      </c>
      <c r="AC409" s="90">
        <f t="shared" si="661"/>
        <v>1.0096121975472323</v>
      </c>
      <c r="AD409" s="90">
        <f t="shared" si="661"/>
        <v>1.0047603414313855</v>
      </c>
      <c r="AE409" s="90">
        <f t="shared" si="661"/>
        <v>1.0034308119588302</v>
      </c>
      <c r="AF409" s="22"/>
      <c r="AG409" s="22"/>
      <c r="AH409" s="22"/>
      <c r="AI409" s="22"/>
      <c r="AJ409" s="22"/>
      <c r="AK409" s="91">
        <f>$A$40</f>
        <v>20172</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20172</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20172</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20172</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20172</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20172</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20172</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20182</v>
      </c>
      <c r="B410" s="105"/>
      <c r="C410" s="90">
        <f t="shared" si="659"/>
        <v>1.3428837401737692</v>
      </c>
      <c r="D410" s="90">
        <f t="shared" si="659"/>
        <v>1.0560348147577601</v>
      </c>
      <c r="E410" s="90">
        <f t="shared" si="659"/>
        <v>1.0175777688632799</v>
      </c>
      <c r="F410" s="90">
        <f t="shared" si="659"/>
        <v>1.0096763788839909</v>
      </c>
      <c r="G410" s="22"/>
      <c r="H410" s="22"/>
      <c r="I410" s="22"/>
      <c r="J410" s="22"/>
      <c r="K410" s="22"/>
      <c r="L410" s="22"/>
      <c r="M410" s="91">
        <f>$A$41</f>
        <v>20182</v>
      </c>
      <c r="N410" s="105"/>
      <c r="O410" s="90">
        <f t="shared" si="660"/>
        <v>1.2033574450661935</v>
      </c>
      <c r="P410" s="90">
        <f t="shared" si="660"/>
        <v>1.0281274810026086</v>
      </c>
      <c r="Q410" s="90">
        <f t="shared" si="660"/>
        <v>1.0060672917815774</v>
      </c>
      <c r="R410" s="90">
        <f t="shared" si="660"/>
        <v>1.0026315789473683</v>
      </c>
      <c r="S410" s="22"/>
      <c r="T410" s="22"/>
      <c r="U410" s="22"/>
      <c r="V410" s="22"/>
      <c r="W410" s="22"/>
      <c r="X410" s="22"/>
      <c r="Y410" s="91">
        <f>$A$41</f>
        <v>20182</v>
      </c>
      <c r="Z410" s="105"/>
      <c r="AA410" s="90">
        <f t="shared" si="661"/>
        <v>1.3002818344862925</v>
      </c>
      <c r="AB410" s="90">
        <f t="shared" si="661"/>
        <v>1.0285714285714285</v>
      </c>
      <c r="AC410" s="90">
        <f t="shared" si="661"/>
        <v>1.00727969348659</v>
      </c>
      <c r="AD410" s="90">
        <f t="shared" si="661"/>
        <v>1.00646633701027</v>
      </c>
      <c r="AE410" s="22"/>
      <c r="AF410" s="22"/>
      <c r="AG410" s="22"/>
      <c r="AH410" s="22"/>
      <c r="AI410" s="22"/>
      <c r="AJ410" s="22"/>
      <c r="AK410" s="91">
        <f>$A$41</f>
        <v>20182</v>
      </c>
      <c r="AL410" s="105"/>
      <c r="AM410" s="90" t="str">
        <f t="shared" si="662"/>
        <v/>
      </c>
      <c r="AN410" s="90" t="str">
        <f t="shared" si="662"/>
        <v/>
      </c>
      <c r="AO410" s="90" t="str">
        <f t="shared" si="662"/>
        <v/>
      </c>
      <c r="AP410" s="90" t="str">
        <f t="shared" si="662"/>
        <v/>
      </c>
      <c r="AQ410" s="22"/>
      <c r="AR410" s="22"/>
      <c r="AS410" s="22"/>
      <c r="AT410" s="22"/>
      <c r="AU410" s="22"/>
      <c r="AV410" s="22"/>
      <c r="AW410" s="91">
        <f>$A$41</f>
        <v>20182</v>
      </c>
      <c r="AX410" s="105"/>
      <c r="AY410" s="90" t="str">
        <f t="shared" si="663"/>
        <v/>
      </c>
      <c r="AZ410" s="90" t="str">
        <f t="shared" si="663"/>
        <v/>
      </c>
      <c r="BA410" s="90" t="str">
        <f t="shared" si="663"/>
        <v/>
      </c>
      <c r="BB410" s="90" t="str">
        <f t="shared" si="663"/>
        <v/>
      </c>
      <c r="BC410" s="22"/>
      <c r="BD410" s="22"/>
      <c r="BE410" s="22"/>
      <c r="BF410" s="22"/>
      <c r="BG410" s="22"/>
      <c r="BH410" s="22"/>
      <c r="BI410" s="91">
        <f>$A$41</f>
        <v>20182</v>
      </c>
      <c r="BJ410" s="105"/>
      <c r="BK410" s="90" t="str">
        <f t="shared" si="664"/>
        <v/>
      </c>
      <c r="BL410" s="90" t="str">
        <f t="shared" si="664"/>
        <v/>
      </c>
      <c r="BM410" s="90" t="str">
        <f t="shared" si="664"/>
        <v/>
      </c>
      <c r="BN410" s="90" t="str">
        <f t="shared" si="664"/>
        <v/>
      </c>
      <c r="BO410" s="22"/>
      <c r="BP410" s="22"/>
      <c r="BQ410" s="22"/>
      <c r="BR410" s="22"/>
      <c r="BS410" s="22"/>
      <c r="BT410" s="22"/>
      <c r="BU410" s="91">
        <f>$A$41</f>
        <v>20182</v>
      </c>
      <c r="BV410" s="105"/>
      <c r="BW410" s="90" t="str">
        <f t="shared" si="665"/>
        <v/>
      </c>
      <c r="BX410" s="90" t="str">
        <f t="shared" si="665"/>
        <v/>
      </c>
      <c r="BY410" s="90" t="str">
        <f t="shared" si="665"/>
        <v/>
      </c>
      <c r="BZ410" s="90" t="str">
        <f t="shared" si="665"/>
        <v/>
      </c>
      <c r="CA410" s="22"/>
      <c r="CB410" s="22"/>
      <c r="CC410" s="22"/>
      <c r="CD410" s="22"/>
      <c r="CE410" s="22"/>
      <c r="CF410" s="22"/>
      <c r="CG410" s="91">
        <f>$A$41</f>
        <v>20182</v>
      </c>
      <c r="CH410" s="105"/>
      <c r="CI410" s="90" t="str">
        <f t="shared" si="666"/>
        <v/>
      </c>
      <c r="CJ410" s="90" t="str">
        <f t="shared" si="666"/>
        <v/>
      </c>
      <c r="CK410" s="90" t="str">
        <f t="shared" si="666"/>
        <v/>
      </c>
      <c r="CL410" s="90" t="str">
        <f t="shared" si="666"/>
        <v/>
      </c>
      <c r="CM410" s="22"/>
      <c r="CN410" s="22"/>
      <c r="CO410" s="22"/>
      <c r="CP410" s="22"/>
      <c r="CQ410" s="22"/>
      <c r="CR410" s="22"/>
      <c r="CS410" s="91">
        <f>$A$41</f>
        <v>20182</v>
      </c>
      <c r="CT410" s="105"/>
      <c r="CU410" s="90" t="str">
        <f t="shared" si="667"/>
        <v/>
      </c>
      <c r="CV410" s="90" t="str">
        <f t="shared" si="667"/>
        <v/>
      </c>
      <c r="CW410" s="90" t="str">
        <f t="shared" si="667"/>
        <v/>
      </c>
      <c r="CX410" s="90" t="str">
        <f t="shared" si="667"/>
        <v/>
      </c>
      <c r="CY410" s="22"/>
      <c r="CZ410" s="22"/>
      <c r="DA410" s="22"/>
      <c r="DB410" s="22"/>
      <c r="DC410" s="22"/>
      <c r="DD410" s="22"/>
      <c r="DE410" s="91">
        <f>$A$41</f>
        <v>20182</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20192</v>
      </c>
      <c r="B411" s="105"/>
      <c r="C411" s="90">
        <f t="shared" si="659"/>
        <v>1.3682134996331621</v>
      </c>
      <c r="D411" s="90">
        <f t="shared" si="659"/>
        <v>1.0533212681815136</v>
      </c>
      <c r="E411" s="90">
        <f t="shared" si="659"/>
        <v>1.020458811925292</v>
      </c>
      <c r="F411" s="22"/>
      <c r="G411" s="22"/>
      <c r="H411" s="22"/>
      <c r="I411" s="22"/>
      <c r="J411" s="22"/>
      <c r="K411" s="22"/>
      <c r="L411" s="22"/>
      <c r="M411" s="91">
        <f>$A$42</f>
        <v>20192</v>
      </c>
      <c r="N411" s="105"/>
      <c r="O411" s="90">
        <f t="shared" si="660"/>
        <v>1.1864827586206896</v>
      </c>
      <c r="P411" s="90">
        <f t="shared" si="660"/>
        <v>1.0292955126714718</v>
      </c>
      <c r="Q411" s="90">
        <f t="shared" si="660"/>
        <v>1.0053083352157217</v>
      </c>
      <c r="R411" s="22"/>
      <c r="S411" s="22"/>
      <c r="T411" s="22"/>
      <c r="U411" s="22"/>
      <c r="V411" s="22"/>
      <c r="W411" s="22"/>
      <c r="X411" s="22"/>
      <c r="Y411" s="91">
        <f>$A$42</f>
        <v>20192</v>
      </c>
      <c r="Z411" s="105"/>
      <c r="AA411" s="90">
        <f t="shared" si="661"/>
        <v>1.3008149010477299</v>
      </c>
      <c r="AB411" s="90">
        <f t="shared" si="661"/>
        <v>1.0259531054233042</v>
      </c>
      <c r="AC411" s="90">
        <f t="shared" si="661"/>
        <v>1.0080251221214236</v>
      </c>
      <c r="AD411" s="22"/>
      <c r="AE411" s="22"/>
      <c r="AF411" s="22"/>
      <c r="AG411" s="22"/>
      <c r="AH411" s="22"/>
      <c r="AI411" s="22"/>
      <c r="AJ411" s="22"/>
      <c r="AK411" s="91">
        <f>$A$42</f>
        <v>20192</v>
      </c>
      <c r="AL411" s="105"/>
      <c r="AM411" s="90" t="str">
        <f t="shared" si="662"/>
        <v/>
      </c>
      <c r="AN411" s="90" t="str">
        <f t="shared" si="662"/>
        <v/>
      </c>
      <c r="AO411" s="90" t="str">
        <f t="shared" si="662"/>
        <v/>
      </c>
      <c r="AP411" s="22"/>
      <c r="AQ411" s="22"/>
      <c r="AR411" s="22"/>
      <c r="AS411" s="22"/>
      <c r="AT411" s="22"/>
      <c r="AU411" s="22"/>
      <c r="AV411" s="22"/>
      <c r="AW411" s="91">
        <f>$A$42</f>
        <v>20192</v>
      </c>
      <c r="AX411" s="105"/>
      <c r="AY411" s="90" t="str">
        <f t="shared" si="663"/>
        <v/>
      </c>
      <c r="AZ411" s="90" t="str">
        <f t="shared" si="663"/>
        <v/>
      </c>
      <c r="BA411" s="90" t="str">
        <f t="shared" si="663"/>
        <v/>
      </c>
      <c r="BB411" s="22"/>
      <c r="BC411" s="22"/>
      <c r="BD411" s="22"/>
      <c r="BE411" s="22"/>
      <c r="BF411" s="22"/>
      <c r="BG411" s="22"/>
      <c r="BH411" s="22"/>
      <c r="BI411" s="91">
        <f>$A$42</f>
        <v>20192</v>
      </c>
      <c r="BJ411" s="105"/>
      <c r="BK411" s="90" t="str">
        <f t="shared" si="664"/>
        <v/>
      </c>
      <c r="BL411" s="90" t="str">
        <f t="shared" si="664"/>
        <v/>
      </c>
      <c r="BM411" s="90" t="str">
        <f t="shared" si="664"/>
        <v/>
      </c>
      <c r="BN411" s="22"/>
      <c r="BO411" s="22"/>
      <c r="BP411" s="22"/>
      <c r="BQ411" s="22"/>
      <c r="BR411" s="22"/>
      <c r="BS411" s="22"/>
      <c r="BT411" s="22"/>
      <c r="BU411" s="91">
        <f>$A$42</f>
        <v>20192</v>
      </c>
      <c r="BV411" s="105"/>
      <c r="BW411" s="90" t="str">
        <f t="shared" si="665"/>
        <v/>
      </c>
      <c r="BX411" s="90" t="str">
        <f t="shared" si="665"/>
        <v/>
      </c>
      <c r="BY411" s="90" t="str">
        <f t="shared" si="665"/>
        <v/>
      </c>
      <c r="BZ411" s="22"/>
      <c r="CA411" s="22"/>
      <c r="CB411" s="22"/>
      <c r="CC411" s="22"/>
      <c r="CD411" s="22"/>
      <c r="CE411" s="22"/>
      <c r="CF411" s="22"/>
      <c r="CG411" s="91">
        <f>$A$42</f>
        <v>20192</v>
      </c>
      <c r="CH411" s="105"/>
      <c r="CI411" s="90" t="str">
        <f t="shared" si="666"/>
        <v/>
      </c>
      <c r="CJ411" s="90" t="str">
        <f t="shared" si="666"/>
        <v/>
      </c>
      <c r="CK411" s="90" t="str">
        <f t="shared" si="666"/>
        <v/>
      </c>
      <c r="CL411" s="22"/>
      <c r="CM411" s="22"/>
      <c r="CN411" s="22"/>
      <c r="CO411" s="22"/>
      <c r="CP411" s="22"/>
      <c r="CQ411" s="22"/>
      <c r="CR411" s="22"/>
      <c r="CS411" s="91">
        <f>$A$42</f>
        <v>20192</v>
      </c>
      <c r="CT411" s="105"/>
      <c r="CU411" s="90" t="str">
        <f t="shared" si="667"/>
        <v/>
      </c>
      <c r="CV411" s="90" t="str">
        <f t="shared" si="667"/>
        <v/>
      </c>
      <c r="CW411" s="90" t="str">
        <f t="shared" si="667"/>
        <v/>
      </c>
      <c r="CX411" s="22"/>
      <c r="CY411" s="22"/>
      <c r="CZ411" s="22"/>
      <c r="DA411" s="22"/>
      <c r="DB411" s="22"/>
      <c r="DC411" s="22"/>
      <c r="DD411" s="22"/>
      <c r="DE411" s="91">
        <f>$A$42</f>
        <v>20192</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20202</v>
      </c>
      <c r="B412" s="105"/>
      <c r="C412" s="90">
        <f t="shared" si="659"/>
        <v>1.3824428233438486</v>
      </c>
      <c r="D412" s="90">
        <f t="shared" si="659"/>
        <v>1.073733376118658</v>
      </c>
      <c r="E412" s="22"/>
      <c r="F412" s="22"/>
      <c r="G412" s="22"/>
      <c r="H412" s="22"/>
      <c r="I412" s="22"/>
      <c r="J412" s="22"/>
      <c r="K412" s="22"/>
      <c r="L412" s="22"/>
      <c r="M412" s="91">
        <f>$A$43</f>
        <v>20202</v>
      </c>
      <c r="N412" s="105"/>
      <c r="O412" s="90">
        <f t="shared" si="660"/>
        <v>1.191229214215846</v>
      </c>
      <c r="P412" s="90">
        <f t="shared" si="660"/>
        <v>1.0279184343779937</v>
      </c>
      <c r="Q412" s="22"/>
      <c r="R412" s="22"/>
      <c r="S412" s="22"/>
      <c r="T412" s="22"/>
      <c r="U412" s="22"/>
      <c r="V412" s="22"/>
      <c r="W412" s="22"/>
      <c r="X412" s="22"/>
      <c r="Y412" s="91">
        <f>$A$43</f>
        <v>20202</v>
      </c>
      <c r="Z412" s="105"/>
      <c r="AA412" s="90">
        <f t="shared" si="661"/>
        <v>1.3157894736842106</v>
      </c>
      <c r="AB412" s="90">
        <f t="shared" si="661"/>
        <v>1.0403883495145632</v>
      </c>
      <c r="AC412" s="22"/>
      <c r="AD412" s="22"/>
      <c r="AE412" s="22"/>
      <c r="AF412" s="22"/>
      <c r="AG412" s="22"/>
      <c r="AH412" s="22"/>
      <c r="AI412" s="22"/>
      <c r="AJ412" s="22"/>
      <c r="AK412" s="91">
        <f>$A$43</f>
        <v>20202</v>
      </c>
      <c r="AL412" s="105"/>
      <c r="AM412" s="90" t="str">
        <f t="shared" si="662"/>
        <v/>
      </c>
      <c r="AN412" s="90" t="str">
        <f t="shared" si="662"/>
        <v/>
      </c>
      <c r="AO412" s="22"/>
      <c r="AP412" s="22"/>
      <c r="AQ412" s="22"/>
      <c r="AR412" s="22"/>
      <c r="AS412" s="22"/>
      <c r="AT412" s="22"/>
      <c r="AU412" s="22"/>
      <c r="AV412" s="22"/>
      <c r="AW412" s="91">
        <f>$A$43</f>
        <v>20202</v>
      </c>
      <c r="AX412" s="105"/>
      <c r="AY412" s="90" t="str">
        <f t="shared" si="663"/>
        <v/>
      </c>
      <c r="AZ412" s="90" t="str">
        <f t="shared" si="663"/>
        <v/>
      </c>
      <c r="BA412" s="22"/>
      <c r="BB412" s="22"/>
      <c r="BC412" s="22"/>
      <c r="BD412" s="22"/>
      <c r="BE412" s="22"/>
      <c r="BF412" s="22"/>
      <c r="BG412" s="22"/>
      <c r="BH412" s="22"/>
      <c r="BI412" s="91">
        <f>$A$43</f>
        <v>20202</v>
      </c>
      <c r="BJ412" s="105"/>
      <c r="BK412" s="90" t="str">
        <f t="shared" si="664"/>
        <v/>
      </c>
      <c r="BL412" s="90" t="str">
        <f t="shared" si="664"/>
        <v/>
      </c>
      <c r="BM412" s="22"/>
      <c r="BN412" s="22"/>
      <c r="BO412" s="22"/>
      <c r="BP412" s="22"/>
      <c r="BQ412" s="22"/>
      <c r="BR412" s="22"/>
      <c r="BS412" s="22"/>
      <c r="BT412" s="22"/>
      <c r="BU412" s="91">
        <f>$A$43</f>
        <v>20202</v>
      </c>
      <c r="BV412" s="105"/>
      <c r="BW412" s="90" t="str">
        <f t="shared" si="665"/>
        <v/>
      </c>
      <c r="BX412" s="90" t="str">
        <f t="shared" si="665"/>
        <v/>
      </c>
      <c r="BY412" s="22"/>
      <c r="BZ412" s="22"/>
      <c r="CA412" s="22"/>
      <c r="CB412" s="22"/>
      <c r="CC412" s="22"/>
      <c r="CD412" s="22"/>
      <c r="CE412" s="22"/>
      <c r="CF412" s="22"/>
      <c r="CG412" s="91">
        <f>$A$43</f>
        <v>20202</v>
      </c>
      <c r="CH412" s="105"/>
      <c r="CI412" s="90" t="str">
        <f t="shared" si="666"/>
        <v/>
      </c>
      <c r="CJ412" s="90" t="str">
        <f t="shared" si="666"/>
        <v/>
      </c>
      <c r="CK412" s="22"/>
      <c r="CL412" s="22"/>
      <c r="CM412" s="22"/>
      <c r="CN412" s="22"/>
      <c r="CO412" s="22"/>
      <c r="CP412" s="22"/>
      <c r="CQ412" s="22"/>
      <c r="CR412" s="22"/>
      <c r="CS412" s="91">
        <f>$A$43</f>
        <v>20202</v>
      </c>
      <c r="CT412" s="105"/>
      <c r="CU412" s="90" t="str">
        <f t="shared" si="667"/>
        <v/>
      </c>
      <c r="CV412" s="90" t="str">
        <f t="shared" si="667"/>
        <v/>
      </c>
      <c r="CW412" s="22"/>
      <c r="CX412" s="22"/>
      <c r="CY412" s="22"/>
      <c r="CZ412" s="22"/>
      <c r="DA412" s="22"/>
      <c r="DB412" s="22"/>
      <c r="DC412" s="22"/>
      <c r="DD412" s="22"/>
      <c r="DE412" s="91">
        <f>$A$43</f>
        <v>20202</v>
      </c>
      <c r="DF412" s="105"/>
      <c r="DG412" s="90" t="str">
        <f t="shared" si="668"/>
        <v/>
      </c>
      <c r="DH412" s="90" t="str">
        <f t="shared" si="668"/>
        <v/>
      </c>
      <c r="DI412" s="22"/>
      <c r="DJ412" s="22"/>
      <c r="DK412" s="22"/>
      <c r="DL412" s="22"/>
      <c r="DM412" s="22"/>
      <c r="DN412" s="22"/>
      <c r="DO412" s="22"/>
      <c r="DP412" s="22"/>
    </row>
    <row r="413" spans="1:120" x14ac:dyDescent="0.25">
      <c r="A413" s="91">
        <f>$A$44</f>
        <v>20212</v>
      </c>
      <c r="B413" s="105"/>
      <c r="C413" s="90">
        <f t="shared" si="659"/>
        <v>1.4268588931136459</v>
      </c>
      <c r="D413" s="22"/>
      <c r="E413" s="22"/>
      <c r="F413" s="22"/>
      <c r="G413" s="22"/>
      <c r="H413" s="22"/>
      <c r="I413" s="22"/>
      <c r="J413" s="22"/>
      <c r="K413" s="22"/>
      <c r="L413" s="22"/>
      <c r="M413" s="91">
        <f>$A$44</f>
        <v>20212</v>
      </c>
      <c r="N413" s="105"/>
      <c r="O413" s="90">
        <f t="shared" si="660"/>
        <v>1.248551774076756</v>
      </c>
      <c r="P413" s="22"/>
      <c r="Q413" s="22"/>
      <c r="R413" s="22"/>
      <c r="S413" s="22"/>
      <c r="T413" s="22"/>
      <c r="U413" s="22"/>
      <c r="V413" s="22"/>
      <c r="W413" s="22"/>
      <c r="X413" s="22"/>
      <c r="Y413" s="91">
        <f>$A$44</f>
        <v>20212</v>
      </c>
      <c r="Z413" s="105"/>
      <c r="AA413" s="90">
        <f t="shared" si="661"/>
        <v>1.3320264641019357</v>
      </c>
      <c r="AB413" s="22"/>
      <c r="AC413" s="22"/>
      <c r="AD413" s="22"/>
      <c r="AE413" s="22"/>
      <c r="AF413" s="22"/>
      <c r="AG413" s="22"/>
      <c r="AH413" s="22"/>
      <c r="AI413" s="22"/>
      <c r="AJ413" s="22"/>
      <c r="AK413" s="91">
        <f>$A$44</f>
        <v>20212</v>
      </c>
      <c r="AL413" s="105"/>
      <c r="AM413" s="90" t="str">
        <f t="shared" si="662"/>
        <v/>
      </c>
      <c r="AN413" s="22"/>
      <c r="AO413" s="22"/>
      <c r="AP413" s="22"/>
      <c r="AQ413" s="22"/>
      <c r="AR413" s="22"/>
      <c r="AS413" s="22"/>
      <c r="AT413" s="22"/>
      <c r="AU413" s="22"/>
      <c r="AV413" s="22"/>
      <c r="AW413" s="91">
        <f>$A$44</f>
        <v>20212</v>
      </c>
      <c r="AX413" s="105"/>
      <c r="AY413" s="90" t="str">
        <f t="shared" si="663"/>
        <v/>
      </c>
      <c r="AZ413" s="22"/>
      <c r="BA413" s="22"/>
      <c r="BB413" s="22"/>
      <c r="BC413" s="22"/>
      <c r="BD413" s="22"/>
      <c r="BE413" s="22"/>
      <c r="BF413" s="22"/>
      <c r="BG413" s="22"/>
      <c r="BH413" s="22"/>
      <c r="BI413" s="91">
        <f>$A$44</f>
        <v>20212</v>
      </c>
      <c r="BJ413" s="105"/>
      <c r="BK413" s="90" t="str">
        <f t="shared" si="664"/>
        <v/>
      </c>
      <c r="BL413" s="22"/>
      <c r="BM413" s="22"/>
      <c r="BN413" s="22"/>
      <c r="BO413" s="22"/>
      <c r="BP413" s="22"/>
      <c r="BQ413" s="22"/>
      <c r="BR413" s="22"/>
      <c r="BS413" s="22"/>
      <c r="BT413" s="22"/>
      <c r="BU413" s="91">
        <f>$A$44</f>
        <v>20212</v>
      </c>
      <c r="BV413" s="105"/>
      <c r="BW413" s="90" t="str">
        <f t="shared" si="665"/>
        <v/>
      </c>
      <c r="BX413" s="22"/>
      <c r="BY413" s="22"/>
      <c r="BZ413" s="22"/>
      <c r="CA413" s="22"/>
      <c r="CB413" s="22"/>
      <c r="CC413" s="22"/>
      <c r="CD413" s="22"/>
      <c r="CE413" s="22"/>
      <c r="CF413" s="22"/>
      <c r="CG413" s="91">
        <f>$A$44</f>
        <v>20212</v>
      </c>
      <c r="CH413" s="105"/>
      <c r="CI413" s="90" t="str">
        <f t="shared" si="666"/>
        <v/>
      </c>
      <c r="CJ413" s="22"/>
      <c r="CK413" s="22"/>
      <c r="CL413" s="22"/>
      <c r="CM413" s="22"/>
      <c r="CN413" s="22"/>
      <c r="CO413" s="22"/>
      <c r="CP413" s="22"/>
      <c r="CQ413" s="22"/>
      <c r="CR413" s="22"/>
      <c r="CS413" s="91">
        <f>$A$44</f>
        <v>20212</v>
      </c>
      <c r="CT413" s="105"/>
      <c r="CU413" s="90" t="str">
        <f t="shared" si="667"/>
        <v/>
      </c>
      <c r="CV413" s="22"/>
      <c r="CW413" s="22"/>
      <c r="CX413" s="22"/>
      <c r="CY413" s="22"/>
      <c r="CZ413" s="22"/>
      <c r="DA413" s="22"/>
      <c r="DB413" s="22"/>
      <c r="DC413" s="22"/>
      <c r="DD413" s="22"/>
      <c r="DE413" s="91">
        <f>$A$44</f>
        <v>20212</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1.3911390745838248</v>
      </c>
      <c r="D415" s="93">
        <f>IFERROR(SUM(E397:E399)/SUM(D397:D399),1)</f>
        <v>1.060989135490334</v>
      </c>
      <c r="E415" s="93">
        <f>IFERROR(SUM(F396:F398)/SUM(E396:E398),1)</f>
        <v>1.0173276036723857</v>
      </c>
      <c r="F415" s="93">
        <f>IFERROR(SUM(G395:G397)/SUM(F395:F397),1)</f>
        <v>1.0086720311619086</v>
      </c>
      <c r="G415" s="93">
        <f>IFERROR(SUM(H394:H396)/SUM(G394:G396),1)</f>
        <v>1.0040546513192028</v>
      </c>
      <c r="H415" s="93">
        <f>IFERROR(SUM(I393:I395)/SUM(H393:H395),1)</f>
        <v>1.002021947144593</v>
      </c>
      <c r="I415" s="93">
        <f>IFERROR(SUM(J392:J394)/SUM(I392:I394),1)</f>
        <v>1.0010800683308536</v>
      </c>
      <c r="J415" s="93">
        <f>IFERROR(SUM(K392:K393)/SUM(J392:J393),1)</f>
        <v>1.0008282376160855</v>
      </c>
      <c r="K415" s="93">
        <f>IFERROR(SUM(L392:L392)/SUM(K392:K392),1)</f>
        <v>1.0007013676669505</v>
      </c>
      <c r="L415" s="93">
        <v>1</v>
      </c>
      <c r="M415" s="285" t="s">
        <v>37</v>
      </c>
      <c r="N415" s="107"/>
      <c r="O415" s="93">
        <f>IFERROR(SUM(P398:P400)/SUM(O398:O400),1)</f>
        <v>1.2061561243917918</v>
      </c>
      <c r="P415" s="93">
        <f>IFERROR(SUM(Q397:Q399)/SUM(P397:P399),1)</f>
        <v>1.0284720537086467</v>
      </c>
      <c r="Q415" s="93">
        <f>IFERROR(SUM(R396:R398)/SUM(Q396:Q398),1)</f>
        <v>1.0061983471074381</v>
      </c>
      <c r="R415" s="93">
        <f>IFERROR(SUM(S395:S397)/SUM(R395:R397),1)</f>
        <v>1.0029155637395941</v>
      </c>
      <c r="S415" s="93">
        <f>IFERROR(SUM(T394:T396)/SUM(S394:S396),1)</f>
        <v>1.0014006162711593</v>
      </c>
      <c r="T415" s="93">
        <f>IFERROR(SUM(U393:U395)/SUM(T393:T395),1)</f>
        <v>1.0007361059992639</v>
      </c>
      <c r="U415" s="93">
        <f>IFERROR(SUM(V392:V394)/SUM(U392:U394),1)</f>
        <v>1.0002963694739442</v>
      </c>
      <c r="V415" s="93">
        <f>IFERROR(SUM(W392:W393)/SUM(V392:V393),1)</f>
        <v>1.0003266906239792</v>
      </c>
      <c r="W415" s="93">
        <f>IFERROR(SUM(X392:X392)/SUM(W392:W392),1)</f>
        <v>1</v>
      </c>
      <c r="X415" s="93">
        <v>1</v>
      </c>
      <c r="Y415" s="285" t="s">
        <v>37</v>
      </c>
      <c r="Z415" s="107"/>
      <c r="AA415" s="93">
        <f>IFERROR(SUM(AB398:AB400)/SUM(AA398:AA400),1)</f>
        <v>1.3159479251423922</v>
      </c>
      <c r="AB415" s="93">
        <f>IFERROR(SUM(AC397:AC399)/SUM(AB397:AB399),1)</f>
        <v>1.0314950670376928</v>
      </c>
      <c r="AC415" s="93">
        <f>IFERROR(SUM(AD396:AD398)/SUM(AC396:AC398),1)</f>
        <v>1.0083598257388438</v>
      </c>
      <c r="AD415" s="93">
        <f>IFERROR(SUM(AE395:AE397)/SUM(AD395:AD397),1)</f>
        <v>1.0043031728727982</v>
      </c>
      <c r="AE415" s="93">
        <f>IFERROR(SUM(AF394:AF396)/SUM(AE394:AE396),1)</f>
        <v>1.0019632039488444</v>
      </c>
      <c r="AF415" s="93">
        <f>IFERROR(SUM(AG393:AG395)/SUM(AF393:AF395),1)</f>
        <v>1.0006938822713081</v>
      </c>
      <c r="AG415" s="93">
        <f>IFERROR(SUM(AH392:AH394)/SUM(AG392:AG394),1)</f>
        <v>1.0003563283922463</v>
      </c>
      <c r="AH415" s="93">
        <f>IFERROR(SUM(AI392:AI393)/SUM(AH392:AH393),1)</f>
        <v>1.0001188636633782</v>
      </c>
      <c r="AI415" s="93">
        <f>IFERROR(SUM(AJ392:AJ392)/SUM(AI392:AI392),1)</f>
        <v>1</v>
      </c>
      <c r="AJ415" s="93">
        <v>1</v>
      </c>
      <c r="AK415" s="285"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5"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5"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5"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1.3911390745838248</v>
      </c>
      <c r="D416" s="93">
        <f t="shared" ref="D416:K416" si="669">IF(D415=0,1,D415)</f>
        <v>1.060989135490334</v>
      </c>
      <c r="E416" s="93">
        <f t="shared" si="669"/>
        <v>1.0173276036723857</v>
      </c>
      <c r="F416" s="93">
        <f t="shared" si="669"/>
        <v>1.0086720311619086</v>
      </c>
      <c r="G416" s="93">
        <f t="shared" si="669"/>
        <v>1.0040546513192028</v>
      </c>
      <c r="H416" s="93">
        <f t="shared" si="669"/>
        <v>1.002021947144593</v>
      </c>
      <c r="I416" s="93">
        <f t="shared" si="669"/>
        <v>1.0010800683308536</v>
      </c>
      <c r="J416" s="93">
        <f t="shared" si="669"/>
        <v>1.0008282376160855</v>
      </c>
      <c r="K416" s="93">
        <f t="shared" si="669"/>
        <v>1.0007013676669505</v>
      </c>
      <c r="L416" s="93">
        <f>IF(L415=0,1,L415)</f>
        <v>1</v>
      </c>
      <c r="M416" s="285" t="s">
        <v>40</v>
      </c>
      <c r="N416" s="107"/>
      <c r="O416" s="93">
        <f>IF(O415=0,1,O415)</f>
        <v>1.2061561243917918</v>
      </c>
      <c r="P416" s="93">
        <f t="shared" ref="P416:W416" si="670">IF(P415=0,1,P415)</f>
        <v>1.0284720537086467</v>
      </c>
      <c r="Q416" s="93">
        <f t="shared" si="670"/>
        <v>1.0061983471074381</v>
      </c>
      <c r="R416" s="93">
        <f t="shared" si="670"/>
        <v>1.0029155637395941</v>
      </c>
      <c r="S416" s="93">
        <f t="shared" si="670"/>
        <v>1.0014006162711593</v>
      </c>
      <c r="T416" s="93">
        <f t="shared" si="670"/>
        <v>1.0007361059992639</v>
      </c>
      <c r="U416" s="93">
        <f t="shared" si="670"/>
        <v>1.0002963694739442</v>
      </c>
      <c r="V416" s="93">
        <f t="shared" si="670"/>
        <v>1.0003266906239792</v>
      </c>
      <c r="W416" s="93">
        <f t="shared" si="670"/>
        <v>1</v>
      </c>
      <c r="X416" s="93">
        <f>IF(X415=0,1,X415)</f>
        <v>1</v>
      </c>
      <c r="Y416" s="285" t="s">
        <v>40</v>
      </c>
      <c r="Z416" s="107"/>
      <c r="AA416" s="93">
        <f>IF(AA415=0,1,AA415)</f>
        <v>1.3159479251423922</v>
      </c>
      <c r="AB416" s="93">
        <f t="shared" ref="AB416:AI416" si="671">IF(AB415=0,1,AB415)</f>
        <v>1.0314950670376928</v>
      </c>
      <c r="AC416" s="93">
        <f t="shared" si="671"/>
        <v>1.0083598257388438</v>
      </c>
      <c r="AD416" s="93">
        <f t="shared" si="671"/>
        <v>1.0043031728727982</v>
      </c>
      <c r="AE416" s="93">
        <f t="shared" si="671"/>
        <v>1.0019632039488444</v>
      </c>
      <c r="AF416" s="93">
        <f t="shared" si="671"/>
        <v>1.0006938822713081</v>
      </c>
      <c r="AG416" s="93">
        <f t="shared" si="671"/>
        <v>1.0003563283922463</v>
      </c>
      <c r="AH416" s="93">
        <f t="shared" si="671"/>
        <v>1.0001188636633782</v>
      </c>
      <c r="AI416" s="93">
        <f t="shared" si="671"/>
        <v>1</v>
      </c>
      <c r="AJ416" s="93">
        <f>IF(AJ415=0,1,AJ415)</f>
        <v>1</v>
      </c>
      <c r="AK416" s="285"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5"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5"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5"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1.5277761913855763</v>
      </c>
      <c r="D417" s="113">
        <f>PRODUCT(D416:L416)</f>
        <v>1.0982195952210083</v>
      </c>
      <c r="E417" s="113">
        <f>PRODUCT(E416:L416)</f>
        <v>1.0350903307916237</v>
      </c>
      <c r="F417" s="113">
        <f>PRODUCT(F416:L416)</f>
        <v>1.0174601839713355</v>
      </c>
      <c r="G417" s="113">
        <f>PRODUCT(G416:L416)</f>
        <v>1.0087125968976296</v>
      </c>
      <c r="H417" s="113">
        <f>PRODUCT(H416:L416)</f>
        <v>1.0046391355015454</v>
      </c>
      <c r="I417" s="113">
        <f>PRODUCT(I416:L416)</f>
        <v>1.0026119072186097</v>
      </c>
      <c r="J417" s="113">
        <f>PRODUCT(J416:L416)</f>
        <v>1.0015301861821204</v>
      </c>
      <c r="K417" s="113">
        <f>PRODUCT(K416:L416)</f>
        <v>1.0007013676669505</v>
      </c>
      <c r="L417" s="114">
        <f>PRODUCT(L416:L416)</f>
        <v>1</v>
      </c>
      <c r="M417" s="111" t="s">
        <v>39</v>
      </c>
      <c r="N417" s="115"/>
      <c r="O417" s="113">
        <f>PRODUCT(O416:X416)</f>
        <v>1.2552839181671318</v>
      </c>
      <c r="P417" s="113">
        <f>PRODUCT(P416:X416)</f>
        <v>1.0407308745375836</v>
      </c>
      <c r="Q417" s="113">
        <f>PRODUCT(Q416:X416)</f>
        <v>1.0119194496192014</v>
      </c>
      <c r="R417" s="113">
        <f>PRODUCT(R416:X416)</f>
        <v>1.0056858595804794</v>
      </c>
      <c r="S417" s="113">
        <f>PRODUCT(S416:X416)</f>
        <v>1.0027622423472577</v>
      </c>
      <c r="T417" s="113">
        <f>PRODUCT(T416:X416)</f>
        <v>1.001359721627862</v>
      </c>
      <c r="U417" s="113">
        <f>PRODUCT(U416:X416)</f>
        <v>1.0006231569190518</v>
      </c>
      <c r="V417" s="113">
        <f>PRODUCT(V416:X416)</f>
        <v>1.0003266906239792</v>
      </c>
      <c r="W417" s="113">
        <f>PRODUCT(W416:X416)</f>
        <v>1</v>
      </c>
      <c r="X417" s="114">
        <f>PRODUCT(X416:X416)</f>
        <v>1</v>
      </c>
      <c r="Y417" s="111" t="s">
        <v>39</v>
      </c>
      <c r="Z417" s="115"/>
      <c r="AA417" s="113">
        <f>PRODUCT(AA416:AJ416)</f>
        <v>1.3789406947979148</v>
      </c>
      <c r="AB417" s="113">
        <f>PRODUCT(AB416:AJ416)</f>
        <v>1.0478687404356877</v>
      </c>
      <c r="AC417" s="113">
        <f>PRODUCT(AC416:AJ416)</f>
        <v>1.0158737292317044</v>
      </c>
      <c r="AD417" s="113">
        <f>PRODUCT(AD416:AJ416)</f>
        <v>1.0074516093373265</v>
      </c>
      <c r="AE417" s="113">
        <f>PRODUCT(AE416:AJ416)</f>
        <v>1.0031349462488723</v>
      </c>
      <c r="AF417" s="113">
        <f>PRODUCT(AF416:AJ416)</f>
        <v>1.0011694464381624</v>
      </c>
      <c r="AG417" s="113">
        <f>PRODUCT(AG416:AJ416)</f>
        <v>1.0004752344101226</v>
      </c>
      <c r="AH417" s="113">
        <f>PRODUCT(AH416:AJ416)</f>
        <v>1.0001188636633782</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28819.970074297511</v>
      </c>
      <c r="D418" s="99">
        <f>D417*D400</f>
        <v>29672.795243276425</v>
      </c>
      <c r="E418" s="99">
        <f>E417*E399</f>
        <v>31171.745311789749</v>
      </c>
      <c r="F418" s="99">
        <f>F417*F398</f>
        <v>32631.983020328673</v>
      </c>
      <c r="G418" s="99">
        <f>G417*G397</f>
        <v>28418.459992396918</v>
      </c>
      <c r="H418" s="99">
        <f>H417*H396</f>
        <v>36019.326925136906</v>
      </c>
      <c r="I418" s="99">
        <f>I417*I395</f>
        <v>34810.685418630128</v>
      </c>
      <c r="J418" s="99">
        <f>J417*J394</f>
        <v>34138.157926203756</v>
      </c>
      <c r="K418" s="99">
        <f>K417*K393</f>
        <v>36858.833475276791</v>
      </c>
      <c r="L418" s="99">
        <f>L417*L392</f>
        <v>19975</v>
      </c>
      <c r="M418" s="95" t="s">
        <v>208</v>
      </c>
      <c r="N418" s="106"/>
      <c r="O418" s="99">
        <f>O417*O401</f>
        <v>7721.2513806460274</v>
      </c>
      <c r="P418" s="99">
        <f>P417*P400</f>
        <v>7177.9208416857145</v>
      </c>
      <c r="Q418" s="99">
        <f>Q417*Q399</f>
        <v>7600.5269860898225</v>
      </c>
      <c r="R418" s="99">
        <f>R417*R398</f>
        <v>8951.6098361258464</v>
      </c>
      <c r="S418" s="99">
        <f>S417*S397</f>
        <v>9169.2579440233239</v>
      </c>
      <c r="T418" s="99">
        <f>T417*T396</f>
        <v>8814.9696294900696</v>
      </c>
      <c r="U418" s="99">
        <f>U417*U395</f>
        <v>8232.1267119730383</v>
      </c>
      <c r="V418" s="99">
        <f>V417*V394</f>
        <v>8009.615811826201</v>
      </c>
      <c r="W418" s="99">
        <f>W417*W393</f>
        <v>8242</v>
      </c>
      <c r="X418" s="99">
        <f>X417*X392</f>
        <v>4006</v>
      </c>
      <c r="Y418" s="95" t="s">
        <v>208</v>
      </c>
      <c r="Z418" s="106"/>
      <c r="AA418" s="99">
        <f>AA417*AA401</f>
        <v>5533.6890082240325</v>
      </c>
      <c r="AB418" s="99">
        <f>AB417*AB400</f>
        <v>5696.2144730083983</v>
      </c>
      <c r="AC418" s="99">
        <f>AC417*AC399</f>
        <v>5443.0514412234725</v>
      </c>
      <c r="AD418" s="99">
        <f>AD417*AD398</f>
        <v>5821.0553987510721</v>
      </c>
      <c r="AE418" s="99">
        <f>AE417*AE397</f>
        <v>5308.5901355490323</v>
      </c>
      <c r="AF418" s="99">
        <f>AF417*AF396</f>
        <v>6149.1827400231932</v>
      </c>
      <c r="AG418" s="99">
        <f>AG417*AG395</f>
        <v>6103.8994051361578</v>
      </c>
      <c r="AH418" s="99">
        <f>AH417*AH394</f>
        <v>5624.6684892428393</v>
      </c>
      <c r="AI418" s="99">
        <f>AI417*AI393</f>
        <v>5585</v>
      </c>
      <c r="AJ418" s="99">
        <f>AJ417*AJ392</f>
        <v>2829</v>
      </c>
      <c r="AK418" s="95" t="s">
        <v>208</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208</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208</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208</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Homeowners Multiple Peril</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Renters</v>
      </c>
      <c r="N423" s="69"/>
      <c r="O423" s="18"/>
      <c r="P423" s="18"/>
      <c r="Q423" s="18"/>
      <c r="R423" s="18"/>
      <c r="S423" s="18"/>
      <c r="T423" s="18"/>
      <c r="U423" s="18"/>
      <c r="V423" s="18"/>
      <c r="W423" s="18"/>
      <c r="X423" s="18"/>
      <c r="Y423" s="138" t="str">
        <f>Y$5</f>
        <v>Condominium Unitowners</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Data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Data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Data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Data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Data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Data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Data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Data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Data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20132</v>
      </c>
      <c r="B427" s="21"/>
      <c r="C427" s="21">
        <v>4022</v>
      </c>
      <c r="D427" s="21">
        <v>6489</v>
      </c>
      <c r="E427" s="21">
        <v>6703</v>
      </c>
      <c r="F427" s="21">
        <v>6795</v>
      </c>
      <c r="G427" s="21">
        <v>6828</v>
      </c>
      <c r="H427" s="21">
        <v>6846</v>
      </c>
      <c r="I427" s="21">
        <v>6869</v>
      </c>
      <c r="J427" s="21">
        <v>6878</v>
      </c>
      <c r="K427" s="21">
        <v>6883</v>
      </c>
      <c r="L427" s="21">
        <v>6890</v>
      </c>
      <c r="M427" s="31">
        <f>$A$36</f>
        <v>20132</v>
      </c>
      <c r="N427" s="21"/>
      <c r="O427" s="21">
        <v>929</v>
      </c>
      <c r="P427" s="21">
        <v>1573</v>
      </c>
      <c r="Q427" s="21">
        <v>1609</v>
      </c>
      <c r="R427" s="21">
        <v>1615</v>
      </c>
      <c r="S427" s="21">
        <v>1624</v>
      </c>
      <c r="T427" s="21">
        <v>1625</v>
      </c>
      <c r="U427" s="21">
        <v>1626</v>
      </c>
      <c r="V427" s="21">
        <v>1626</v>
      </c>
      <c r="W427" s="21">
        <v>1626</v>
      </c>
      <c r="X427" s="21">
        <v>1626</v>
      </c>
      <c r="Y427" s="31">
        <f>$A$36</f>
        <v>20132</v>
      </c>
      <c r="Z427" s="21"/>
      <c r="AA427" s="21">
        <v>586</v>
      </c>
      <c r="AB427" s="21">
        <v>936</v>
      </c>
      <c r="AC427" s="21">
        <v>960</v>
      </c>
      <c r="AD427" s="21">
        <v>966</v>
      </c>
      <c r="AE427" s="21">
        <v>967</v>
      </c>
      <c r="AF427" s="21">
        <v>970</v>
      </c>
      <c r="AG427" s="21">
        <v>971</v>
      </c>
      <c r="AH427" s="21">
        <v>971</v>
      </c>
      <c r="AI427" s="21">
        <v>973</v>
      </c>
      <c r="AJ427" s="21">
        <v>973</v>
      </c>
      <c r="AK427" s="31">
        <f>$A$36</f>
        <v>20132</v>
      </c>
      <c r="AL427" s="21"/>
      <c r="AM427" s="21"/>
      <c r="AN427" s="21"/>
      <c r="AO427" s="21"/>
      <c r="AP427" s="21"/>
      <c r="AQ427" s="21"/>
      <c r="AR427" s="21"/>
      <c r="AS427" s="21"/>
      <c r="AT427" s="21"/>
      <c r="AU427" s="21"/>
      <c r="AV427" s="21"/>
      <c r="AW427" s="31">
        <f>$A$36</f>
        <v>20132</v>
      </c>
      <c r="AX427" s="21"/>
      <c r="AY427" s="21"/>
      <c r="AZ427" s="21"/>
      <c r="BA427" s="21"/>
      <c r="BB427" s="21"/>
      <c r="BC427" s="21"/>
      <c r="BD427" s="21"/>
      <c r="BE427" s="21"/>
      <c r="BF427" s="21"/>
      <c r="BG427" s="21"/>
      <c r="BH427" s="21"/>
      <c r="BI427" s="31">
        <f>$A$36</f>
        <v>20132</v>
      </c>
      <c r="BJ427" s="21"/>
      <c r="BK427" s="21"/>
      <c r="BL427" s="21"/>
      <c r="BM427" s="21"/>
      <c r="BN427" s="21"/>
      <c r="BO427" s="21"/>
      <c r="BP427" s="21"/>
      <c r="BQ427" s="21"/>
      <c r="BR427" s="21"/>
      <c r="BS427" s="21"/>
      <c r="BT427" s="21"/>
      <c r="BU427" s="31">
        <f>$A$36</f>
        <v>20132</v>
      </c>
      <c r="BV427" s="21"/>
      <c r="BW427" s="21"/>
      <c r="BX427" s="21"/>
      <c r="BY427" s="21"/>
      <c r="BZ427" s="21"/>
      <c r="CA427" s="21"/>
      <c r="CB427" s="21"/>
      <c r="CC427" s="21"/>
      <c r="CD427" s="21"/>
      <c r="CE427" s="21"/>
      <c r="CF427" s="21"/>
      <c r="CG427" s="31">
        <f>$A$36</f>
        <v>20132</v>
      </c>
      <c r="CH427" s="21"/>
      <c r="CI427" s="21"/>
      <c r="CJ427" s="21"/>
      <c r="CK427" s="21"/>
      <c r="CL427" s="21"/>
      <c r="CM427" s="21"/>
      <c r="CN427" s="21"/>
      <c r="CO427" s="21"/>
      <c r="CP427" s="21"/>
      <c r="CQ427" s="21"/>
      <c r="CR427" s="21"/>
      <c r="CS427" s="31">
        <f>$A$36</f>
        <v>20132</v>
      </c>
      <c r="CT427" s="21"/>
      <c r="CU427" s="21"/>
      <c r="CV427" s="21"/>
      <c r="CW427" s="21"/>
      <c r="CX427" s="21"/>
      <c r="CY427" s="21"/>
      <c r="CZ427" s="21"/>
      <c r="DA427" s="21"/>
      <c r="DB427" s="21"/>
      <c r="DC427" s="21"/>
      <c r="DD427" s="21"/>
      <c r="DE427" s="31">
        <f>$A$36</f>
        <v>20132</v>
      </c>
      <c r="DF427" s="21"/>
      <c r="DG427" s="21"/>
      <c r="DH427" s="21"/>
      <c r="DI427" s="21"/>
      <c r="DJ427" s="21"/>
      <c r="DK427" s="21"/>
      <c r="DL427" s="21"/>
      <c r="DM427" s="21"/>
      <c r="DN427" s="21"/>
      <c r="DO427" s="21"/>
      <c r="DP427" s="21"/>
    </row>
    <row r="428" spans="1:120" ht="15" customHeight="1" x14ac:dyDescent="0.25">
      <c r="A428" s="31">
        <f>$A$37</f>
        <v>20142</v>
      </c>
      <c r="B428" s="21"/>
      <c r="C428" s="21">
        <v>10211</v>
      </c>
      <c r="D428" s="21">
        <v>12813</v>
      </c>
      <c r="E428" s="21">
        <v>13156</v>
      </c>
      <c r="F428" s="21">
        <v>13299</v>
      </c>
      <c r="G428" s="21">
        <v>13350</v>
      </c>
      <c r="H428" s="21">
        <v>13395</v>
      </c>
      <c r="I428" s="21">
        <v>13409</v>
      </c>
      <c r="J428" s="21">
        <v>13417</v>
      </c>
      <c r="K428" s="21">
        <v>13427</v>
      </c>
      <c r="L428" s="134"/>
      <c r="M428" s="31">
        <f>$A$37</f>
        <v>20142</v>
      </c>
      <c r="N428" s="21"/>
      <c r="O428" s="21">
        <v>2543</v>
      </c>
      <c r="P428" s="21">
        <v>3234</v>
      </c>
      <c r="Q428" s="21">
        <v>3310</v>
      </c>
      <c r="R428" s="21">
        <v>3343</v>
      </c>
      <c r="S428" s="21">
        <v>3358</v>
      </c>
      <c r="T428" s="21">
        <v>3362</v>
      </c>
      <c r="U428" s="21">
        <v>3367</v>
      </c>
      <c r="V428" s="21">
        <v>3367</v>
      </c>
      <c r="W428" s="21">
        <v>3367</v>
      </c>
      <c r="X428" s="134"/>
      <c r="Y428" s="31">
        <f>$A$37</f>
        <v>20142</v>
      </c>
      <c r="Z428" s="21"/>
      <c r="AA428" s="21">
        <v>1663</v>
      </c>
      <c r="AB428" s="21">
        <v>2045</v>
      </c>
      <c r="AC428" s="21">
        <v>2082</v>
      </c>
      <c r="AD428" s="21">
        <v>2090</v>
      </c>
      <c r="AE428" s="21">
        <v>2093</v>
      </c>
      <c r="AF428" s="21">
        <v>2098</v>
      </c>
      <c r="AG428" s="21">
        <v>2099</v>
      </c>
      <c r="AH428" s="21">
        <v>2100</v>
      </c>
      <c r="AI428" s="21">
        <v>2102</v>
      </c>
      <c r="AJ428" s="134"/>
      <c r="AK428" s="31">
        <f>$A$37</f>
        <v>20142</v>
      </c>
      <c r="AL428" s="21"/>
      <c r="AM428" s="21"/>
      <c r="AN428" s="21"/>
      <c r="AO428" s="21"/>
      <c r="AP428" s="21"/>
      <c r="AQ428" s="21"/>
      <c r="AR428" s="21"/>
      <c r="AS428" s="21"/>
      <c r="AT428" s="21"/>
      <c r="AU428" s="21"/>
      <c r="AV428" s="134"/>
      <c r="AW428" s="31">
        <f>$A$37</f>
        <v>20142</v>
      </c>
      <c r="AX428" s="21"/>
      <c r="AY428" s="21"/>
      <c r="AZ428" s="21"/>
      <c r="BA428" s="21"/>
      <c r="BB428" s="21"/>
      <c r="BC428" s="21"/>
      <c r="BD428" s="21"/>
      <c r="BE428" s="21"/>
      <c r="BF428" s="21"/>
      <c r="BG428" s="21"/>
      <c r="BH428" s="134"/>
      <c r="BI428" s="31">
        <f>$A$37</f>
        <v>20142</v>
      </c>
      <c r="BJ428" s="21"/>
      <c r="BK428" s="21"/>
      <c r="BL428" s="21"/>
      <c r="BM428" s="21"/>
      <c r="BN428" s="21"/>
      <c r="BO428" s="21"/>
      <c r="BP428" s="21"/>
      <c r="BQ428" s="21"/>
      <c r="BR428" s="21"/>
      <c r="BS428" s="21"/>
      <c r="BT428" s="134"/>
      <c r="BU428" s="31">
        <f>$A$37</f>
        <v>20142</v>
      </c>
      <c r="BV428" s="21"/>
      <c r="BW428" s="21"/>
      <c r="BX428" s="21"/>
      <c r="BY428" s="21"/>
      <c r="BZ428" s="21"/>
      <c r="CA428" s="21"/>
      <c r="CB428" s="21"/>
      <c r="CC428" s="21"/>
      <c r="CD428" s="21"/>
      <c r="CE428" s="21"/>
      <c r="CF428" s="134"/>
      <c r="CG428" s="31">
        <f>$A$37</f>
        <v>20142</v>
      </c>
      <c r="CH428" s="21"/>
      <c r="CI428" s="21"/>
      <c r="CJ428" s="21"/>
      <c r="CK428" s="21"/>
      <c r="CL428" s="21"/>
      <c r="CM428" s="21"/>
      <c r="CN428" s="21"/>
      <c r="CO428" s="21"/>
      <c r="CP428" s="21"/>
      <c r="CQ428" s="21"/>
      <c r="CR428" s="134"/>
      <c r="CS428" s="31">
        <f>$A$37</f>
        <v>20142</v>
      </c>
      <c r="CT428" s="21"/>
      <c r="CU428" s="21"/>
      <c r="CV428" s="21"/>
      <c r="CW428" s="21"/>
      <c r="CX428" s="21"/>
      <c r="CY428" s="21"/>
      <c r="CZ428" s="21"/>
      <c r="DA428" s="21"/>
      <c r="DB428" s="21"/>
      <c r="DC428" s="21"/>
      <c r="DD428" s="134"/>
      <c r="DE428" s="31">
        <f>$A$37</f>
        <v>20142</v>
      </c>
      <c r="DF428" s="21"/>
      <c r="DG428" s="21"/>
      <c r="DH428" s="21"/>
      <c r="DI428" s="21"/>
      <c r="DJ428" s="21"/>
      <c r="DK428" s="21"/>
      <c r="DL428" s="21"/>
      <c r="DM428" s="21"/>
      <c r="DN428" s="21"/>
      <c r="DO428" s="21"/>
      <c r="DP428" s="134"/>
    </row>
    <row r="429" spans="1:120" ht="15" customHeight="1" x14ac:dyDescent="0.25">
      <c r="A429" s="31">
        <f>$A$38</f>
        <v>20152</v>
      </c>
      <c r="B429" s="21"/>
      <c r="C429" s="21">
        <v>8579</v>
      </c>
      <c r="D429" s="21">
        <v>11224</v>
      </c>
      <c r="E429" s="21">
        <v>11571</v>
      </c>
      <c r="F429" s="21">
        <v>11742</v>
      </c>
      <c r="G429" s="21">
        <v>11807</v>
      </c>
      <c r="H429" s="21">
        <v>11854</v>
      </c>
      <c r="I429" s="21">
        <v>11880</v>
      </c>
      <c r="J429" s="21">
        <v>11896</v>
      </c>
      <c r="K429" s="134"/>
      <c r="L429" s="134"/>
      <c r="M429" s="31">
        <f>$A$38</f>
        <v>20152</v>
      </c>
      <c r="N429" s="21"/>
      <c r="O429" s="21">
        <v>2176</v>
      </c>
      <c r="P429" s="21">
        <v>2920</v>
      </c>
      <c r="Q429" s="21">
        <v>2979</v>
      </c>
      <c r="R429" s="21">
        <v>3002</v>
      </c>
      <c r="S429" s="21">
        <v>3011</v>
      </c>
      <c r="T429" s="21">
        <v>3013</v>
      </c>
      <c r="U429" s="21">
        <v>3014</v>
      </c>
      <c r="V429" s="21">
        <v>3015</v>
      </c>
      <c r="W429" s="134"/>
      <c r="X429" s="134"/>
      <c r="Y429" s="31">
        <f>$A$38</f>
        <v>20152</v>
      </c>
      <c r="Z429" s="21"/>
      <c r="AA429" s="21">
        <v>1631</v>
      </c>
      <c r="AB429" s="21">
        <v>2039</v>
      </c>
      <c r="AC429" s="21">
        <v>2073</v>
      </c>
      <c r="AD429" s="21">
        <v>2087</v>
      </c>
      <c r="AE429" s="21">
        <v>2094</v>
      </c>
      <c r="AF429" s="21">
        <v>2096</v>
      </c>
      <c r="AG429" s="21">
        <v>2097</v>
      </c>
      <c r="AH429" s="21">
        <v>2098</v>
      </c>
      <c r="AI429" s="134"/>
      <c r="AJ429" s="134"/>
      <c r="AK429" s="31">
        <f>$A$38</f>
        <v>20152</v>
      </c>
      <c r="AL429" s="21"/>
      <c r="AM429" s="21"/>
      <c r="AN429" s="21"/>
      <c r="AO429" s="21"/>
      <c r="AP429" s="21"/>
      <c r="AQ429" s="21"/>
      <c r="AR429" s="21"/>
      <c r="AS429" s="21"/>
      <c r="AT429" s="21"/>
      <c r="AU429" s="134"/>
      <c r="AV429" s="134"/>
      <c r="AW429" s="31">
        <f>$A$38</f>
        <v>20152</v>
      </c>
      <c r="AX429" s="21"/>
      <c r="AY429" s="21"/>
      <c r="AZ429" s="21"/>
      <c r="BA429" s="21"/>
      <c r="BB429" s="21"/>
      <c r="BC429" s="21"/>
      <c r="BD429" s="21"/>
      <c r="BE429" s="21"/>
      <c r="BF429" s="21"/>
      <c r="BG429" s="134"/>
      <c r="BH429" s="134"/>
      <c r="BI429" s="31">
        <f>$A$38</f>
        <v>20152</v>
      </c>
      <c r="BJ429" s="21"/>
      <c r="BK429" s="21"/>
      <c r="BL429" s="21"/>
      <c r="BM429" s="21"/>
      <c r="BN429" s="21"/>
      <c r="BO429" s="21"/>
      <c r="BP429" s="21"/>
      <c r="BQ429" s="21"/>
      <c r="BR429" s="21"/>
      <c r="BS429" s="134"/>
      <c r="BT429" s="134"/>
      <c r="BU429" s="31">
        <f>$A$38</f>
        <v>20152</v>
      </c>
      <c r="BV429" s="21"/>
      <c r="BW429" s="21"/>
      <c r="BX429" s="21"/>
      <c r="BY429" s="21"/>
      <c r="BZ429" s="21"/>
      <c r="CA429" s="21"/>
      <c r="CB429" s="21"/>
      <c r="CC429" s="21"/>
      <c r="CD429" s="21"/>
      <c r="CE429" s="134"/>
      <c r="CF429" s="134"/>
      <c r="CG429" s="31">
        <f>$A$38</f>
        <v>20152</v>
      </c>
      <c r="CH429" s="21"/>
      <c r="CI429" s="21"/>
      <c r="CJ429" s="21"/>
      <c r="CK429" s="21"/>
      <c r="CL429" s="21"/>
      <c r="CM429" s="21"/>
      <c r="CN429" s="21"/>
      <c r="CO429" s="21"/>
      <c r="CP429" s="21"/>
      <c r="CQ429" s="134"/>
      <c r="CR429" s="134"/>
      <c r="CS429" s="31">
        <f>$A$38</f>
        <v>20152</v>
      </c>
      <c r="CT429" s="21"/>
      <c r="CU429" s="21"/>
      <c r="CV429" s="21"/>
      <c r="CW429" s="21"/>
      <c r="CX429" s="21"/>
      <c r="CY429" s="21"/>
      <c r="CZ429" s="21"/>
      <c r="DA429" s="21"/>
      <c r="DB429" s="21"/>
      <c r="DC429" s="134"/>
      <c r="DD429" s="134"/>
      <c r="DE429" s="31">
        <f>$A$38</f>
        <v>20152</v>
      </c>
      <c r="DF429" s="21"/>
      <c r="DG429" s="21"/>
      <c r="DH429" s="21"/>
      <c r="DI429" s="21"/>
      <c r="DJ429" s="21"/>
      <c r="DK429" s="21"/>
      <c r="DL429" s="21"/>
      <c r="DM429" s="21"/>
      <c r="DN429" s="21"/>
      <c r="DO429" s="134"/>
      <c r="DP429" s="134"/>
    </row>
    <row r="430" spans="1:120" ht="15" customHeight="1" x14ac:dyDescent="0.25">
      <c r="A430" s="31">
        <f>$A$39</f>
        <v>20162</v>
      </c>
      <c r="B430" s="21"/>
      <c r="C430" s="21">
        <v>10574</v>
      </c>
      <c r="D430" s="21">
        <v>13121</v>
      </c>
      <c r="E430" s="21">
        <v>13489</v>
      </c>
      <c r="F430" s="21">
        <v>13653</v>
      </c>
      <c r="G430" s="21">
        <v>13740</v>
      </c>
      <c r="H430" s="21">
        <v>13776</v>
      </c>
      <c r="I430" s="21">
        <v>13804</v>
      </c>
      <c r="J430" s="134"/>
      <c r="K430" s="134"/>
      <c r="L430" s="134"/>
      <c r="M430" s="31">
        <f>$A$39</f>
        <v>20162</v>
      </c>
      <c r="N430" s="21"/>
      <c r="O430" s="21">
        <v>2699</v>
      </c>
      <c r="P430" s="21">
        <v>3505</v>
      </c>
      <c r="Q430" s="21">
        <v>3571</v>
      </c>
      <c r="R430" s="21">
        <v>3590</v>
      </c>
      <c r="S430" s="21">
        <v>3604</v>
      </c>
      <c r="T430" s="21">
        <v>3606</v>
      </c>
      <c r="U430" s="21">
        <v>3608</v>
      </c>
      <c r="V430" s="134"/>
      <c r="W430" s="134"/>
      <c r="X430" s="134"/>
      <c r="Y430" s="31">
        <f>$A$39</f>
        <v>20162</v>
      </c>
      <c r="Z430" s="21"/>
      <c r="AA430" s="21">
        <v>1628</v>
      </c>
      <c r="AB430" s="21">
        <v>2052</v>
      </c>
      <c r="AC430" s="21">
        <v>2093</v>
      </c>
      <c r="AD430" s="21">
        <v>2111</v>
      </c>
      <c r="AE430" s="21">
        <v>2123</v>
      </c>
      <c r="AF430" s="21">
        <v>2125</v>
      </c>
      <c r="AG430" s="21">
        <v>2126</v>
      </c>
      <c r="AH430" s="134"/>
      <c r="AI430" s="134"/>
      <c r="AJ430" s="134"/>
      <c r="AK430" s="31">
        <f>$A$39</f>
        <v>20162</v>
      </c>
      <c r="AL430" s="21"/>
      <c r="AM430" s="21"/>
      <c r="AN430" s="21"/>
      <c r="AO430" s="21"/>
      <c r="AP430" s="21"/>
      <c r="AQ430" s="21"/>
      <c r="AR430" s="21"/>
      <c r="AS430" s="21"/>
      <c r="AT430" s="134"/>
      <c r="AU430" s="134"/>
      <c r="AV430" s="134"/>
      <c r="AW430" s="31">
        <f>$A$39</f>
        <v>20162</v>
      </c>
      <c r="AX430" s="21"/>
      <c r="AY430" s="21"/>
      <c r="AZ430" s="21"/>
      <c r="BA430" s="21"/>
      <c r="BB430" s="21"/>
      <c r="BC430" s="21"/>
      <c r="BD430" s="21"/>
      <c r="BE430" s="21"/>
      <c r="BF430" s="134"/>
      <c r="BG430" s="134"/>
      <c r="BH430" s="134"/>
      <c r="BI430" s="31">
        <f>$A$39</f>
        <v>20162</v>
      </c>
      <c r="BJ430" s="21"/>
      <c r="BK430" s="21"/>
      <c r="BL430" s="21"/>
      <c r="BM430" s="21"/>
      <c r="BN430" s="21"/>
      <c r="BO430" s="21"/>
      <c r="BP430" s="21"/>
      <c r="BQ430" s="21"/>
      <c r="BR430" s="134"/>
      <c r="BS430" s="134"/>
      <c r="BT430" s="134"/>
      <c r="BU430" s="31">
        <f>$A$39</f>
        <v>20162</v>
      </c>
      <c r="BV430" s="21"/>
      <c r="BW430" s="21"/>
      <c r="BX430" s="21"/>
      <c r="BY430" s="21"/>
      <c r="BZ430" s="21"/>
      <c r="CA430" s="21"/>
      <c r="CB430" s="21"/>
      <c r="CC430" s="21"/>
      <c r="CD430" s="134"/>
      <c r="CE430" s="134"/>
      <c r="CF430" s="134"/>
      <c r="CG430" s="31">
        <f>$A$39</f>
        <v>20162</v>
      </c>
      <c r="CH430" s="21"/>
      <c r="CI430" s="21"/>
      <c r="CJ430" s="21"/>
      <c r="CK430" s="21"/>
      <c r="CL430" s="21"/>
      <c r="CM430" s="21"/>
      <c r="CN430" s="21"/>
      <c r="CO430" s="21"/>
      <c r="CP430" s="134"/>
      <c r="CQ430" s="134"/>
      <c r="CR430" s="134"/>
      <c r="CS430" s="31">
        <f>$A$39</f>
        <v>20162</v>
      </c>
      <c r="CT430" s="21"/>
      <c r="CU430" s="21"/>
      <c r="CV430" s="21"/>
      <c r="CW430" s="21"/>
      <c r="CX430" s="21"/>
      <c r="CY430" s="21"/>
      <c r="CZ430" s="21"/>
      <c r="DA430" s="21"/>
      <c r="DB430" s="134"/>
      <c r="DC430" s="134"/>
      <c r="DD430" s="134"/>
      <c r="DE430" s="31">
        <f>$A$39</f>
        <v>20162</v>
      </c>
      <c r="DF430" s="21"/>
      <c r="DG430" s="21"/>
      <c r="DH430" s="21"/>
      <c r="DI430" s="21"/>
      <c r="DJ430" s="21"/>
      <c r="DK430" s="21"/>
      <c r="DL430" s="21"/>
      <c r="DM430" s="21"/>
      <c r="DN430" s="134"/>
      <c r="DO430" s="134"/>
      <c r="DP430" s="134"/>
    </row>
    <row r="431" spans="1:120" ht="15" customHeight="1" x14ac:dyDescent="0.25">
      <c r="A431" s="31">
        <f>$A$40</f>
        <v>20172</v>
      </c>
      <c r="B431" s="21"/>
      <c r="C431" s="21">
        <v>11819</v>
      </c>
      <c r="D431" s="21">
        <v>14271</v>
      </c>
      <c r="E431" s="21">
        <v>14613</v>
      </c>
      <c r="F431" s="21">
        <v>14759</v>
      </c>
      <c r="G431" s="21">
        <v>14852</v>
      </c>
      <c r="H431" s="21">
        <v>14906</v>
      </c>
      <c r="I431" s="134"/>
      <c r="J431" s="134"/>
      <c r="K431" s="134"/>
      <c r="L431" s="134"/>
      <c r="M431" s="31">
        <f>$A$40</f>
        <v>20172</v>
      </c>
      <c r="N431" s="21"/>
      <c r="O431" s="21">
        <v>3130</v>
      </c>
      <c r="P431" s="21">
        <v>3789</v>
      </c>
      <c r="Q431" s="21">
        <v>3863</v>
      </c>
      <c r="R431" s="21">
        <v>3890</v>
      </c>
      <c r="S431" s="21">
        <v>3895</v>
      </c>
      <c r="T431" s="21">
        <v>3906</v>
      </c>
      <c r="U431" s="134"/>
      <c r="V431" s="134"/>
      <c r="W431" s="134"/>
      <c r="X431" s="134"/>
      <c r="Y431" s="31">
        <f>$A$40</f>
        <v>20172</v>
      </c>
      <c r="Z431" s="21"/>
      <c r="AA431" s="21">
        <v>1776</v>
      </c>
      <c r="AB431" s="21">
        <v>2208</v>
      </c>
      <c r="AC431" s="21">
        <v>2237</v>
      </c>
      <c r="AD431" s="21">
        <v>2253</v>
      </c>
      <c r="AE431" s="21">
        <v>2258</v>
      </c>
      <c r="AF431" s="21">
        <v>2264</v>
      </c>
      <c r="AG431" s="134"/>
      <c r="AH431" s="134"/>
      <c r="AI431" s="134"/>
      <c r="AJ431" s="134"/>
      <c r="AK431" s="31">
        <f>$A$40</f>
        <v>20172</v>
      </c>
      <c r="AL431" s="21"/>
      <c r="AM431" s="21"/>
      <c r="AN431" s="21"/>
      <c r="AO431" s="21"/>
      <c r="AP431" s="21"/>
      <c r="AQ431" s="21"/>
      <c r="AR431" s="21"/>
      <c r="AS431" s="134"/>
      <c r="AT431" s="134"/>
      <c r="AU431" s="134"/>
      <c r="AV431" s="134"/>
      <c r="AW431" s="31">
        <f>$A$40</f>
        <v>20172</v>
      </c>
      <c r="AX431" s="21"/>
      <c r="AY431" s="21"/>
      <c r="AZ431" s="21"/>
      <c r="BA431" s="21"/>
      <c r="BB431" s="21"/>
      <c r="BC431" s="21"/>
      <c r="BD431" s="21"/>
      <c r="BE431" s="134"/>
      <c r="BF431" s="134"/>
      <c r="BG431" s="134"/>
      <c r="BH431" s="134"/>
      <c r="BI431" s="31">
        <f>$A$40</f>
        <v>20172</v>
      </c>
      <c r="BJ431" s="21"/>
      <c r="BK431" s="21"/>
      <c r="BL431" s="21"/>
      <c r="BM431" s="21"/>
      <c r="BN431" s="21"/>
      <c r="BO431" s="21"/>
      <c r="BP431" s="21"/>
      <c r="BQ431" s="134"/>
      <c r="BR431" s="134"/>
      <c r="BS431" s="134"/>
      <c r="BT431" s="134"/>
      <c r="BU431" s="31">
        <f>$A$40</f>
        <v>20172</v>
      </c>
      <c r="BV431" s="21"/>
      <c r="BW431" s="21"/>
      <c r="BX431" s="21"/>
      <c r="BY431" s="21"/>
      <c r="BZ431" s="21"/>
      <c r="CA431" s="21"/>
      <c r="CB431" s="21"/>
      <c r="CC431" s="134"/>
      <c r="CD431" s="134"/>
      <c r="CE431" s="134"/>
      <c r="CF431" s="134"/>
      <c r="CG431" s="31">
        <f>$A$40</f>
        <v>20172</v>
      </c>
      <c r="CH431" s="21"/>
      <c r="CI431" s="21"/>
      <c r="CJ431" s="21"/>
      <c r="CK431" s="21"/>
      <c r="CL431" s="21"/>
      <c r="CM431" s="21"/>
      <c r="CN431" s="21"/>
      <c r="CO431" s="134"/>
      <c r="CP431" s="134"/>
      <c r="CQ431" s="134"/>
      <c r="CR431" s="134"/>
      <c r="CS431" s="31">
        <f>$A$40</f>
        <v>20172</v>
      </c>
      <c r="CT431" s="21"/>
      <c r="CU431" s="21"/>
      <c r="CV431" s="21"/>
      <c r="CW431" s="21"/>
      <c r="CX431" s="21"/>
      <c r="CY431" s="21"/>
      <c r="CZ431" s="21"/>
      <c r="DA431" s="134"/>
      <c r="DB431" s="134"/>
      <c r="DC431" s="134"/>
      <c r="DD431" s="134"/>
      <c r="DE431" s="31">
        <f>$A$40</f>
        <v>20172</v>
      </c>
      <c r="DF431" s="21"/>
      <c r="DG431" s="21"/>
      <c r="DH431" s="21"/>
      <c r="DI431" s="21"/>
      <c r="DJ431" s="21"/>
      <c r="DK431" s="21"/>
      <c r="DL431" s="21"/>
      <c r="DM431" s="134"/>
      <c r="DN431" s="134"/>
      <c r="DO431" s="134"/>
      <c r="DP431" s="134"/>
    </row>
    <row r="432" spans="1:120" ht="15" customHeight="1" x14ac:dyDescent="0.25">
      <c r="A432" s="31">
        <f>$A$41</f>
        <v>20182</v>
      </c>
      <c r="B432" s="21"/>
      <c r="C432" s="21">
        <v>11759</v>
      </c>
      <c r="D432" s="21">
        <v>13977</v>
      </c>
      <c r="E432" s="21">
        <v>14396</v>
      </c>
      <c r="F432" s="21">
        <v>14540</v>
      </c>
      <c r="G432" s="21">
        <v>14639</v>
      </c>
      <c r="H432" s="134"/>
      <c r="I432" s="134"/>
      <c r="J432" s="134"/>
      <c r="K432" s="134"/>
      <c r="L432" s="134"/>
      <c r="M432" s="31">
        <f>$A$41</f>
        <v>20182</v>
      </c>
      <c r="N432" s="21"/>
      <c r="O432" s="21">
        <v>3216</v>
      </c>
      <c r="P432" s="21">
        <v>3966</v>
      </c>
      <c r="Q432" s="21">
        <v>4052</v>
      </c>
      <c r="R432" s="21">
        <v>4071</v>
      </c>
      <c r="S432" s="21">
        <v>4080</v>
      </c>
      <c r="T432" s="134"/>
      <c r="U432" s="134"/>
      <c r="V432" s="134"/>
      <c r="W432" s="134"/>
      <c r="X432" s="134"/>
      <c r="Y432" s="31">
        <f>$A$41</f>
        <v>20182</v>
      </c>
      <c r="Z432" s="21"/>
      <c r="AA432" s="21">
        <v>2072</v>
      </c>
      <c r="AB432" s="21">
        <v>2472</v>
      </c>
      <c r="AC432" s="21">
        <v>2521</v>
      </c>
      <c r="AD432" s="21">
        <v>2540</v>
      </c>
      <c r="AE432" s="21">
        <v>2551</v>
      </c>
      <c r="AF432" s="134"/>
      <c r="AG432" s="134"/>
      <c r="AH432" s="134"/>
      <c r="AI432" s="134"/>
      <c r="AJ432" s="134"/>
      <c r="AK432" s="31">
        <f>$A$41</f>
        <v>20182</v>
      </c>
      <c r="AL432" s="21"/>
      <c r="AM432" s="21"/>
      <c r="AN432" s="21"/>
      <c r="AO432" s="21"/>
      <c r="AP432" s="21"/>
      <c r="AQ432" s="21"/>
      <c r="AR432" s="134"/>
      <c r="AS432" s="134"/>
      <c r="AT432" s="134"/>
      <c r="AU432" s="134"/>
      <c r="AV432" s="134"/>
      <c r="AW432" s="31">
        <f>$A$41</f>
        <v>20182</v>
      </c>
      <c r="AX432" s="21"/>
      <c r="AY432" s="21"/>
      <c r="AZ432" s="21"/>
      <c r="BA432" s="21"/>
      <c r="BB432" s="21"/>
      <c r="BC432" s="21"/>
      <c r="BD432" s="134"/>
      <c r="BE432" s="134"/>
      <c r="BF432" s="134"/>
      <c r="BG432" s="134"/>
      <c r="BH432" s="134"/>
      <c r="BI432" s="31">
        <f>$A$41</f>
        <v>20182</v>
      </c>
      <c r="BJ432" s="21"/>
      <c r="BK432" s="21"/>
      <c r="BL432" s="21"/>
      <c r="BM432" s="21"/>
      <c r="BN432" s="21"/>
      <c r="BO432" s="21"/>
      <c r="BP432" s="134"/>
      <c r="BQ432" s="134"/>
      <c r="BR432" s="134"/>
      <c r="BS432" s="134"/>
      <c r="BT432" s="134"/>
      <c r="BU432" s="31">
        <f>$A$41</f>
        <v>20182</v>
      </c>
      <c r="BV432" s="21"/>
      <c r="BW432" s="21"/>
      <c r="BX432" s="21"/>
      <c r="BY432" s="21"/>
      <c r="BZ432" s="21"/>
      <c r="CA432" s="21"/>
      <c r="CB432" s="134"/>
      <c r="CC432" s="134"/>
      <c r="CD432" s="134"/>
      <c r="CE432" s="134"/>
      <c r="CF432" s="134"/>
      <c r="CG432" s="31">
        <f>$A$41</f>
        <v>20182</v>
      </c>
      <c r="CH432" s="21"/>
      <c r="CI432" s="21"/>
      <c r="CJ432" s="21"/>
      <c r="CK432" s="21"/>
      <c r="CL432" s="21"/>
      <c r="CM432" s="21"/>
      <c r="CN432" s="134"/>
      <c r="CO432" s="134"/>
      <c r="CP432" s="134"/>
      <c r="CQ432" s="134"/>
      <c r="CR432" s="134"/>
      <c r="CS432" s="31">
        <f>$A$41</f>
        <v>20182</v>
      </c>
      <c r="CT432" s="21"/>
      <c r="CU432" s="21"/>
      <c r="CV432" s="21"/>
      <c r="CW432" s="21"/>
      <c r="CX432" s="21"/>
      <c r="CY432" s="21"/>
      <c r="CZ432" s="134"/>
      <c r="DA432" s="134"/>
      <c r="DB432" s="134"/>
      <c r="DC432" s="134"/>
      <c r="DD432" s="134"/>
      <c r="DE432" s="31">
        <f>$A$41</f>
        <v>20182</v>
      </c>
      <c r="DF432" s="21"/>
      <c r="DG432" s="21"/>
      <c r="DH432" s="21"/>
      <c r="DI432" s="21"/>
      <c r="DJ432" s="21"/>
      <c r="DK432" s="21"/>
      <c r="DL432" s="134"/>
      <c r="DM432" s="134"/>
      <c r="DN432" s="134"/>
      <c r="DO432" s="134"/>
      <c r="DP432" s="134"/>
    </row>
    <row r="433" spans="1:120" ht="15" customHeight="1" x14ac:dyDescent="0.25">
      <c r="A433" s="31">
        <f>$A$42</f>
        <v>20192</v>
      </c>
      <c r="B433" s="21"/>
      <c r="C433" s="21">
        <v>11796</v>
      </c>
      <c r="D433" s="21">
        <v>14308</v>
      </c>
      <c r="E433" s="21">
        <v>14676</v>
      </c>
      <c r="F433" s="21">
        <v>14855</v>
      </c>
      <c r="G433" s="134"/>
      <c r="H433" s="134"/>
      <c r="I433" s="134"/>
      <c r="J433" s="134"/>
      <c r="K433" s="134"/>
      <c r="L433" s="134"/>
      <c r="M433" s="31">
        <f>$A$42</f>
        <v>20192</v>
      </c>
      <c r="N433" s="21"/>
      <c r="O433" s="21">
        <v>3338</v>
      </c>
      <c r="P433" s="21">
        <v>4084</v>
      </c>
      <c r="Q433" s="21">
        <v>4161</v>
      </c>
      <c r="R433" s="21">
        <v>4186</v>
      </c>
      <c r="S433" s="134"/>
      <c r="T433" s="134"/>
      <c r="U433" s="134"/>
      <c r="V433" s="134"/>
      <c r="W433" s="134"/>
      <c r="X433" s="134"/>
      <c r="Y433" s="31">
        <f>$A$42</f>
        <v>20192</v>
      </c>
      <c r="Z433" s="21"/>
      <c r="AA433" s="21">
        <v>2046</v>
      </c>
      <c r="AB433" s="21">
        <v>2486</v>
      </c>
      <c r="AC433" s="21">
        <v>2534</v>
      </c>
      <c r="AD433" s="21">
        <v>2552</v>
      </c>
      <c r="AE433" s="134"/>
      <c r="AF433" s="134"/>
      <c r="AG433" s="134"/>
      <c r="AH433" s="134"/>
      <c r="AI433" s="134"/>
      <c r="AJ433" s="134"/>
      <c r="AK433" s="31">
        <f>$A$42</f>
        <v>20192</v>
      </c>
      <c r="AL433" s="21"/>
      <c r="AM433" s="21"/>
      <c r="AN433" s="21"/>
      <c r="AO433" s="21"/>
      <c r="AP433" s="21"/>
      <c r="AQ433" s="134"/>
      <c r="AR433" s="134"/>
      <c r="AS433" s="134"/>
      <c r="AT433" s="134"/>
      <c r="AU433" s="134"/>
      <c r="AV433" s="134"/>
      <c r="AW433" s="31">
        <f>$A$42</f>
        <v>20192</v>
      </c>
      <c r="AX433" s="21"/>
      <c r="AY433" s="21"/>
      <c r="AZ433" s="21"/>
      <c r="BA433" s="21"/>
      <c r="BB433" s="21"/>
      <c r="BC433" s="134"/>
      <c r="BD433" s="134"/>
      <c r="BE433" s="134"/>
      <c r="BF433" s="134"/>
      <c r="BG433" s="134"/>
      <c r="BH433" s="134"/>
      <c r="BI433" s="31">
        <f>$A$42</f>
        <v>20192</v>
      </c>
      <c r="BJ433" s="21"/>
      <c r="BK433" s="21"/>
      <c r="BL433" s="21"/>
      <c r="BM433" s="21"/>
      <c r="BN433" s="21"/>
      <c r="BO433" s="134"/>
      <c r="BP433" s="134"/>
      <c r="BQ433" s="134"/>
      <c r="BR433" s="134"/>
      <c r="BS433" s="134"/>
      <c r="BT433" s="134"/>
      <c r="BU433" s="31">
        <f>$A$42</f>
        <v>20192</v>
      </c>
      <c r="BV433" s="21"/>
      <c r="BW433" s="21"/>
      <c r="BX433" s="21"/>
      <c r="BY433" s="21"/>
      <c r="BZ433" s="21"/>
      <c r="CA433" s="134"/>
      <c r="CB433" s="134"/>
      <c r="CC433" s="134"/>
      <c r="CD433" s="134"/>
      <c r="CE433" s="134"/>
      <c r="CF433" s="134"/>
      <c r="CG433" s="31">
        <f>$A$42</f>
        <v>20192</v>
      </c>
      <c r="CH433" s="21"/>
      <c r="CI433" s="21"/>
      <c r="CJ433" s="21"/>
      <c r="CK433" s="21"/>
      <c r="CL433" s="21"/>
      <c r="CM433" s="134"/>
      <c r="CN433" s="134"/>
      <c r="CO433" s="134"/>
      <c r="CP433" s="134"/>
      <c r="CQ433" s="134"/>
      <c r="CR433" s="134"/>
      <c r="CS433" s="31">
        <f>$A$42</f>
        <v>20192</v>
      </c>
      <c r="CT433" s="21"/>
      <c r="CU433" s="21"/>
      <c r="CV433" s="21"/>
      <c r="CW433" s="21"/>
      <c r="CX433" s="21"/>
      <c r="CY433" s="134"/>
      <c r="CZ433" s="134"/>
      <c r="DA433" s="134"/>
      <c r="DB433" s="134"/>
      <c r="DC433" s="134"/>
      <c r="DD433" s="134"/>
      <c r="DE433" s="31">
        <f>$A$42</f>
        <v>20192</v>
      </c>
      <c r="DF433" s="21"/>
      <c r="DG433" s="21"/>
      <c r="DH433" s="21"/>
      <c r="DI433" s="21"/>
      <c r="DJ433" s="21"/>
      <c r="DK433" s="134"/>
      <c r="DL433" s="134"/>
      <c r="DM433" s="134"/>
      <c r="DN433" s="134"/>
      <c r="DO433" s="134"/>
      <c r="DP433" s="134"/>
    </row>
    <row r="434" spans="1:120" ht="15" customHeight="1" x14ac:dyDescent="0.25">
      <c r="A434" s="31">
        <f>$A$43</f>
        <v>20202</v>
      </c>
      <c r="B434" s="21"/>
      <c r="C434" s="21">
        <v>12543</v>
      </c>
      <c r="D434" s="21">
        <v>15257</v>
      </c>
      <c r="E434" s="21">
        <v>15656</v>
      </c>
      <c r="F434" s="134"/>
      <c r="G434" s="134"/>
      <c r="H434" s="134"/>
      <c r="I434" s="134"/>
      <c r="J434" s="134"/>
      <c r="K434" s="134"/>
      <c r="L434" s="134"/>
      <c r="M434" s="31">
        <f>$A$43</f>
        <v>20202</v>
      </c>
      <c r="N434" s="21"/>
      <c r="O434" s="21">
        <v>3113</v>
      </c>
      <c r="P434" s="21">
        <v>3936</v>
      </c>
      <c r="Q434" s="21">
        <v>4024</v>
      </c>
      <c r="R434" s="134"/>
      <c r="S434" s="134"/>
      <c r="T434" s="134"/>
      <c r="U434" s="134"/>
      <c r="V434" s="134"/>
      <c r="W434" s="134"/>
      <c r="X434" s="134"/>
      <c r="Y434" s="31">
        <f>$A$43</f>
        <v>20202</v>
      </c>
      <c r="Z434" s="21"/>
      <c r="AA434" s="21">
        <v>2214</v>
      </c>
      <c r="AB434" s="21">
        <v>2694</v>
      </c>
      <c r="AC434" s="21">
        <v>2729</v>
      </c>
      <c r="AD434" s="134"/>
      <c r="AE434" s="134"/>
      <c r="AF434" s="134"/>
      <c r="AG434" s="134"/>
      <c r="AH434" s="134"/>
      <c r="AI434" s="134"/>
      <c r="AJ434" s="134"/>
      <c r="AK434" s="31">
        <f>$A$43</f>
        <v>20202</v>
      </c>
      <c r="AL434" s="21"/>
      <c r="AM434" s="21"/>
      <c r="AN434" s="21"/>
      <c r="AO434" s="21"/>
      <c r="AP434" s="134"/>
      <c r="AQ434" s="134"/>
      <c r="AR434" s="134"/>
      <c r="AS434" s="134"/>
      <c r="AT434" s="134"/>
      <c r="AU434" s="134"/>
      <c r="AV434" s="134"/>
      <c r="AW434" s="31">
        <f>$A$43</f>
        <v>20202</v>
      </c>
      <c r="AX434" s="21"/>
      <c r="AY434" s="21"/>
      <c r="AZ434" s="21"/>
      <c r="BA434" s="21"/>
      <c r="BB434" s="134"/>
      <c r="BC434" s="134"/>
      <c r="BD434" s="134"/>
      <c r="BE434" s="134"/>
      <c r="BF434" s="134"/>
      <c r="BG434" s="134"/>
      <c r="BH434" s="134"/>
      <c r="BI434" s="31">
        <f>$A$43</f>
        <v>20202</v>
      </c>
      <c r="BJ434" s="21"/>
      <c r="BK434" s="21"/>
      <c r="BL434" s="21"/>
      <c r="BM434" s="21"/>
      <c r="BN434" s="134"/>
      <c r="BO434" s="134"/>
      <c r="BP434" s="134"/>
      <c r="BQ434" s="134"/>
      <c r="BR434" s="134"/>
      <c r="BS434" s="134"/>
      <c r="BT434" s="134"/>
      <c r="BU434" s="31">
        <f>$A$43</f>
        <v>20202</v>
      </c>
      <c r="BV434" s="21"/>
      <c r="BW434" s="21"/>
      <c r="BX434" s="21"/>
      <c r="BY434" s="21"/>
      <c r="BZ434" s="134"/>
      <c r="CA434" s="134"/>
      <c r="CB434" s="134"/>
      <c r="CC434" s="134"/>
      <c r="CD434" s="134"/>
      <c r="CE434" s="134"/>
      <c r="CF434" s="134"/>
      <c r="CG434" s="31">
        <f>$A$43</f>
        <v>20202</v>
      </c>
      <c r="CH434" s="21"/>
      <c r="CI434" s="21"/>
      <c r="CJ434" s="21"/>
      <c r="CK434" s="21"/>
      <c r="CL434" s="134"/>
      <c r="CM434" s="134"/>
      <c r="CN434" s="134"/>
      <c r="CO434" s="134"/>
      <c r="CP434" s="134"/>
      <c r="CQ434" s="134"/>
      <c r="CR434" s="134"/>
      <c r="CS434" s="31">
        <f>$A$43</f>
        <v>20202</v>
      </c>
      <c r="CT434" s="21"/>
      <c r="CU434" s="21"/>
      <c r="CV434" s="21"/>
      <c r="CW434" s="21"/>
      <c r="CX434" s="134"/>
      <c r="CY434" s="134"/>
      <c r="CZ434" s="134"/>
      <c r="DA434" s="134"/>
      <c r="DB434" s="134"/>
      <c r="DC434" s="134"/>
      <c r="DD434" s="134"/>
      <c r="DE434" s="31">
        <f>$A$43</f>
        <v>20202</v>
      </c>
      <c r="DF434" s="21"/>
      <c r="DG434" s="21"/>
      <c r="DH434" s="21"/>
      <c r="DI434" s="21"/>
      <c r="DJ434" s="134"/>
      <c r="DK434" s="134"/>
      <c r="DL434" s="134"/>
      <c r="DM434" s="134"/>
      <c r="DN434" s="134"/>
      <c r="DO434" s="134"/>
      <c r="DP434" s="134"/>
    </row>
    <row r="435" spans="1:120" ht="15" customHeight="1" x14ac:dyDescent="0.25">
      <c r="A435" s="31">
        <f>$A$44</f>
        <v>20212</v>
      </c>
      <c r="B435" s="21"/>
      <c r="C435" s="21">
        <v>13697</v>
      </c>
      <c r="D435" s="21">
        <v>17307</v>
      </c>
      <c r="E435" s="134"/>
      <c r="F435" s="134"/>
      <c r="G435" s="134"/>
      <c r="H435" s="134"/>
      <c r="I435" s="134"/>
      <c r="J435" s="134"/>
      <c r="K435" s="134"/>
      <c r="L435" s="134"/>
      <c r="M435" s="31">
        <f>$A$44</f>
        <v>20212</v>
      </c>
      <c r="N435" s="21"/>
      <c r="O435" s="21">
        <v>3472</v>
      </c>
      <c r="P435" s="21">
        <v>4346</v>
      </c>
      <c r="Q435" s="134"/>
      <c r="R435" s="134"/>
      <c r="S435" s="134"/>
      <c r="T435" s="134"/>
      <c r="U435" s="134"/>
      <c r="V435" s="134"/>
      <c r="W435" s="134"/>
      <c r="X435" s="134"/>
      <c r="Y435" s="31">
        <f>$A$44</f>
        <v>20212</v>
      </c>
      <c r="Z435" s="21"/>
      <c r="AA435" s="21">
        <v>2221</v>
      </c>
      <c r="AB435" s="21">
        <v>2780</v>
      </c>
      <c r="AC435" s="134"/>
      <c r="AD435" s="134"/>
      <c r="AE435" s="134"/>
      <c r="AF435" s="134"/>
      <c r="AG435" s="134"/>
      <c r="AH435" s="134"/>
      <c r="AI435" s="134"/>
      <c r="AJ435" s="134"/>
      <c r="AK435" s="31">
        <f>$A$44</f>
        <v>20212</v>
      </c>
      <c r="AL435" s="21"/>
      <c r="AM435" s="21"/>
      <c r="AN435" s="21"/>
      <c r="AO435" s="134"/>
      <c r="AP435" s="134"/>
      <c r="AQ435" s="134"/>
      <c r="AR435" s="134"/>
      <c r="AS435" s="134"/>
      <c r="AT435" s="134"/>
      <c r="AU435" s="134"/>
      <c r="AV435" s="134"/>
      <c r="AW435" s="31">
        <f>$A$44</f>
        <v>20212</v>
      </c>
      <c r="AX435" s="21"/>
      <c r="AY435" s="21"/>
      <c r="AZ435" s="21"/>
      <c r="BA435" s="134"/>
      <c r="BB435" s="134"/>
      <c r="BC435" s="134"/>
      <c r="BD435" s="134"/>
      <c r="BE435" s="134"/>
      <c r="BF435" s="134"/>
      <c r="BG435" s="134"/>
      <c r="BH435" s="134"/>
      <c r="BI435" s="31">
        <f>$A$44</f>
        <v>20212</v>
      </c>
      <c r="BJ435" s="21"/>
      <c r="BK435" s="21"/>
      <c r="BL435" s="21"/>
      <c r="BM435" s="134"/>
      <c r="BN435" s="134"/>
      <c r="BO435" s="134"/>
      <c r="BP435" s="134"/>
      <c r="BQ435" s="134"/>
      <c r="BR435" s="134"/>
      <c r="BS435" s="134"/>
      <c r="BT435" s="134"/>
      <c r="BU435" s="31">
        <f>$A$44</f>
        <v>20212</v>
      </c>
      <c r="BV435" s="21"/>
      <c r="BW435" s="21"/>
      <c r="BX435" s="21"/>
      <c r="BY435" s="134"/>
      <c r="BZ435" s="134"/>
      <c r="CA435" s="134"/>
      <c r="CB435" s="134"/>
      <c r="CC435" s="134"/>
      <c r="CD435" s="134"/>
      <c r="CE435" s="134"/>
      <c r="CF435" s="134"/>
      <c r="CG435" s="31">
        <f>$A$44</f>
        <v>20212</v>
      </c>
      <c r="CH435" s="21"/>
      <c r="CI435" s="21"/>
      <c r="CJ435" s="21"/>
      <c r="CK435" s="134"/>
      <c r="CL435" s="134"/>
      <c r="CM435" s="134"/>
      <c r="CN435" s="134"/>
      <c r="CO435" s="134"/>
      <c r="CP435" s="134"/>
      <c r="CQ435" s="134"/>
      <c r="CR435" s="134"/>
      <c r="CS435" s="31">
        <f>$A$44</f>
        <v>20212</v>
      </c>
      <c r="CT435" s="21"/>
      <c r="CU435" s="21"/>
      <c r="CV435" s="21"/>
      <c r="CW435" s="134"/>
      <c r="CX435" s="134"/>
      <c r="CY435" s="134"/>
      <c r="CZ435" s="134"/>
      <c r="DA435" s="134"/>
      <c r="DB435" s="134"/>
      <c r="DC435" s="134"/>
      <c r="DD435" s="134"/>
      <c r="DE435" s="31">
        <f>$A$44</f>
        <v>20212</v>
      </c>
      <c r="DF435" s="21"/>
      <c r="DG435" s="21"/>
      <c r="DH435" s="21"/>
      <c r="DI435" s="134"/>
      <c r="DJ435" s="134"/>
      <c r="DK435" s="134"/>
      <c r="DL435" s="134"/>
      <c r="DM435" s="134"/>
      <c r="DN435" s="134"/>
      <c r="DO435" s="134"/>
      <c r="DP435" s="134"/>
    </row>
    <row r="436" spans="1:120" ht="15" customHeight="1" x14ac:dyDescent="0.25">
      <c r="A436" s="31">
        <f>$A$45</f>
        <v>20222</v>
      </c>
      <c r="B436" s="21"/>
      <c r="C436" s="21">
        <v>13604</v>
      </c>
      <c r="D436" s="134"/>
      <c r="E436" s="134"/>
      <c r="F436" s="134"/>
      <c r="G436" s="134"/>
      <c r="H436" s="134"/>
      <c r="I436" s="134"/>
      <c r="J436" s="134"/>
      <c r="K436" s="134"/>
      <c r="L436" s="134"/>
      <c r="M436" s="31">
        <f>$A$45</f>
        <v>20222</v>
      </c>
      <c r="N436" s="21"/>
      <c r="O436" s="21">
        <v>3650</v>
      </c>
      <c r="P436" s="134"/>
      <c r="Q436" s="134"/>
      <c r="R436" s="134"/>
      <c r="S436" s="134"/>
      <c r="T436" s="134"/>
      <c r="U436" s="134"/>
      <c r="V436" s="134"/>
      <c r="W436" s="134"/>
      <c r="X436" s="134"/>
      <c r="Y436" s="31">
        <f>$A$45</f>
        <v>20222</v>
      </c>
      <c r="Z436" s="21"/>
      <c r="AA436" s="21">
        <v>2413</v>
      </c>
      <c r="AB436" s="134"/>
      <c r="AC436" s="134"/>
      <c r="AD436" s="134"/>
      <c r="AE436" s="134"/>
      <c r="AF436" s="134"/>
      <c r="AG436" s="134"/>
      <c r="AH436" s="134"/>
      <c r="AI436" s="134"/>
      <c r="AJ436" s="134"/>
      <c r="AK436" s="31">
        <f>$A$45</f>
        <v>20222</v>
      </c>
      <c r="AL436" s="21"/>
      <c r="AM436" s="21"/>
      <c r="AN436" s="134"/>
      <c r="AO436" s="134"/>
      <c r="AP436" s="134"/>
      <c r="AQ436" s="134"/>
      <c r="AR436" s="134"/>
      <c r="AS436" s="134"/>
      <c r="AT436" s="134"/>
      <c r="AU436" s="134"/>
      <c r="AV436" s="134"/>
      <c r="AW436" s="31">
        <f>$A$45</f>
        <v>20222</v>
      </c>
      <c r="AX436" s="21"/>
      <c r="AY436" s="21"/>
      <c r="AZ436" s="134"/>
      <c r="BA436" s="134"/>
      <c r="BB436" s="134"/>
      <c r="BC436" s="134"/>
      <c r="BD436" s="134"/>
      <c r="BE436" s="134"/>
      <c r="BF436" s="134"/>
      <c r="BG436" s="134"/>
      <c r="BH436" s="134"/>
      <c r="BI436" s="31">
        <f>$A$45</f>
        <v>20222</v>
      </c>
      <c r="BJ436" s="21"/>
      <c r="BK436" s="21"/>
      <c r="BL436" s="134"/>
      <c r="BM436" s="134"/>
      <c r="BN436" s="134"/>
      <c r="BO436" s="134"/>
      <c r="BP436" s="134"/>
      <c r="BQ436" s="134"/>
      <c r="BR436" s="134"/>
      <c r="BS436" s="134"/>
      <c r="BT436" s="134"/>
      <c r="BU436" s="31">
        <f>$A$45</f>
        <v>20222</v>
      </c>
      <c r="BV436" s="21"/>
      <c r="BW436" s="21"/>
      <c r="BX436" s="134"/>
      <c r="BY436" s="134"/>
      <c r="BZ436" s="134"/>
      <c r="CA436" s="134"/>
      <c r="CB436" s="134"/>
      <c r="CC436" s="134"/>
      <c r="CD436" s="134"/>
      <c r="CE436" s="134"/>
      <c r="CF436" s="134"/>
      <c r="CG436" s="31">
        <f>$A$45</f>
        <v>20222</v>
      </c>
      <c r="CH436" s="21"/>
      <c r="CI436" s="21"/>
      <c r="CJ436" s="134"/>
      <c r="CK436" s="134"/>
      <c r="CL436" s="134"/>
      <c r="CM436" s="134"/>
      <c r="CN436" s="134"/>
      <c r="CO436" s="134"/>
      <c r="CP436" s="134"/>
      <c r="CQ436" s="134"/>
      <c r="CR436" s="134"/>
      <c r="CS436" s="31">
        <f>$A$45</f>
        <v>20222</v>
      </c>
      <c r="CT436" s="21"/>
      <c r="CU436" s="21"/>
      <c r="CV436" s="134"/>
      <c r="CW436" s="134"/>
      <c r="CX436" s="134"/>
      <c r="CY436" s="134"/>
      <c r="CZ436" s="134"/>
      <c r="DA436" s="134"/>
      <c r="DB436" s="134"/>
      <c r="DC436" s="134"/>
      <c r="DD436" s="134"/>
      <c r="DE436" s="31">
        <f>$A$45</f>
        <v>20222</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Data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Data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Data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Data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Data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Data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Data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Data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Data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20132</v>
      </c>
      <c r="B440" s="105"/>
      <c r="C440" s="90">
        <f>IFERROR(D427/C427,"")</f>
        <v>1.6133764296369966</v>
      </c>
      <c r="D440" s="90">
        <f t="shared" ref="D440:K440" si="679">IFERROR(E427/D427,"")</f>
        <v>1.0329788873478194</v>
      </c>
      <c r="E440" s="90">
        <f t="shared" si="679"/>
        <v>1.0137251976726838</v>
      </c>
      <c r="F440" s="90">
        <f t="shared" si="679"/>
        <v>1.0048565121412802</v>
      </c>
      <c r="G440" s="90">
        <f t="shared" si="679"/>
        <v>1.0026362038664323</v>
      </c>
      <c r="H440" s="90">
        <f t="shared" si="679"/>
        <v>1.0033596260590125</v>
      </c>
      <c r="I440" s="90">
        <f t="shared" si="679"/>
        <v>1.0013102343863736</v>
      </c>
      <c r="J440" s="90">
        <f t="shared" si="679"/>
        <v>1.0007269555103229</v>
      </c>
      <c r="K440" s="90">
        <f t="shared" si="679"/>
        <v>1.0010169984018598</v>
      </c>
      <c r="L440" s="22"/>
      <c r="M440" s="91">
        <f>$A$36</f>
        <v>20132</v>
      </c>
      <c r="N440" s="105"/>
      <c r="O440" s="90">
        <f>IFERROR(P427/O427,"")</f>
        <v>1.6932185145317546</v>
      </c>
      <c r="P440" s="90">
        <f t="shared" ref="P440:W440" si="680">IFERROR(Q427/P427,"")</f>
        <v>1.0228862047043865</v>
      </c>
      <c r="Q440" s="90">
        <f t="shared" si="680"/>
        <v>1.0037290242386576</v>
      </c>
      <c r="R440" s="90">
        <f t="shared" si="680"/>
        <v>1.0055727554179568</v>
      </c>
      <c r="S440" s="90">
        <f t="shared" si="680"/>
        <v>1.000615763546798</v>
      </c>
      <c r="T440" s="90">
        <f t="shared" si="680"/>
        <v>1.0006153846153847</v>
      </c>
      <c r="U440" s="90">
        <f t="shared" si="680"/>
        <v>1</v>
      </c>
      <c r="V440" s="90">
        <f t="shared" si="680"/>
        <v>1</v>
      </c>
      <c r="W440" s="90">
        <f t="shared" si="680"/>
        <v>1</v>
      </c>
      <c r="X440" s="22"/>
      <c r="Y440" s="91">
        <f>$A$36</f>
        <v>20132</v>
      </c>
      <c r="Z440" s="105"/>
      <c r="AA440" s="90">
        <f>IFERROR(AB427/AA427,"")</f>
        <v>1.5972696245733788</v>
      </c>
      <c r="AB440" s="90">
        <f t="shared" ref="AB440:AI440" si="681">IFERROR(AC427/AB427,"")</f>
        <v>1.0256410256410255</v>
      </c>
      <c r="AC440" s="90">
        <f t="shared" si="681"/>
        <v>1.0062500000000001</v>
      </c>
      <c r="AD440" s="90">
        <f t="shared" si="681"/>
        <v>1.0010351966873705</v>
      </c>
      <c r="AE440" s="90">
        <f t="shared" si="681"/>
        <v>1.0031023784901758</v>
      </c>
      <c r="AF440" s="90">
        <f t="shared" si="681"/>
        <v>1.0010309278350515</v>
      </c>
      <c r="AG440" s="90">
        <f t="shared" si="681"/>
        <v>1</v>
      </c>
      <c r="AH440" s="90">
        <f t="shared" si="681"/>
        <v>1.0020597322348095</v>
      </c>
      <c r="AI440" s="90">
        <f t="shared" si="681"/>
        <v>1</v>
      </c>
      <c r="AJ440" s="22"/>
      <c r="AK440" s="91">
        <f>$A$36</f>
        <v>20132</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20132</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20132</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20132</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20132</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20132</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20132</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20142</v>
      </c>
      <c r="B441" s="105"/>
      <c r="C441" s="90">
        <f t="shared" ref="C441:J448" si="689">IFERROR(D428/C428,"")</f>
        <v>1.2548232298501616</v>
      </c>
      <c r="D441" s="90">
        <f t="shared" si="689"/>
        <v>1.0267696870366034</v>
      </c>
      <c r="E441" s="90">
        <f t="shared" si="689"/>
        <v>1.0108695652173914</v>
      </c>
      <c r="F441" s="90">
        <f t="shared" si="689"/>
        <v>1.0038348748026167</v>
      </c>
      <c r="G441" s="90">
        <f t="shared" si="689"/>
        <v>1.003370786516854</v>
      </c>
      <c r="H441" s="90">
        <f t="shared" si="689"/>
        <v>1.0010451661067563</v>
      </c>
      <c r="I441" s="90">
        <f t="shared" si="689"/>
        <v>1.0005966142143337</v>
      </c>
      <c r="J441" s="90">
        <f t="shared" si="689"/>
        <v>1.0007453230975627</v>
      </c>
      <c r="K441" s="22"/>
      <c r="L441" s="22"/>
      <c r="M441" s="91">
        <f>$A$37</f>
        <v>20142</v>
      </c>
      <c r="N441" s="105"/>
      <c r="O441" s="90">
        <f t="shared" ref="O441:V448" si="690">IFERROR(P428/O428,"")</f>
        <v>1.2717263075108141</v>
      </c>
      <c r="P441" s="90">
        <f t="shared" si="690"/>
        <v>1.0235003092145949</v>
      </c>
      <c r="Q441" s="90">
        <f t="shared" si="690"/>
        <v>1.0099697885196375</v>
      </c>
      <c r="R441" s="90">
        <f t="shared" si="690"/>
        <v>1.0044869877355669</v>
      </c>
      <c r="S441" s="90">
        <f t="shared" si="690"/>
        <v>1.0011911852293032</v>
      </c>
      <c r="T441" s="90">
        <f t="shared" si="690"/>
        <v>1.0014872099940511</v>
      </c>
      <c r="U441" s="90">
        <f t="shared" si="690"/>
        <v>1</v>
      </c>
      <c r="V441" s="90">
        <f t="shared" si="690"/>
        <v>1</v>
      </c>
      <c r="W441" s="22"/>
      <c r="X441" s="22"/>
      <c r="Y441" s="91">
        <f>$A$37</f>
        <v>20142</v>
      </c>
      <c r="Z441" s="105"/>
      <c r="AA441" s="90">
        <f t="shared" ref="AA441:AH448" si="691">IFERROR(AB428/AA428,"")</f>
        <v>1.2297053517739025</v>
      </c>
      <c r="AB441" s="90">
        <f t="shared" si="691"/>
        <v>1.0180929095354523</v>
      </c>
      <c r="AC441" s="90">
        <f t="shared" si="691"/>
        <v>1.0038424591738713</v>
      </c>
      <c r="AD441" s="90">
        <f t="shared" si="691"/>
        <v>1.0014354066985647</v>
      </c>
      <c r="AE441" s="90">
        <f t="shared" si="691"/>
        <v>1.0023889154323937</v>
      </c>
      <c r="AF441" s="90">
        <f t="shared" si="691"/>
        <v>1.0004766444232602</v>
      </c>
      <c r="AG441" s="90">
        <f t="shared" si="691"/>
        <v>1.0004764173415912</v>
      </c>
      <c r="AH441" s="90">
        <f t="shared" si="691"/>
        <v>1.000952380952381</v>
      </c>
      <c r="AI441" s="22"/>
      <c r="AJ441" s="22"/>
      <c r="AK441" s="91">
        <f>$A$37</f>
        <v>20142</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20142</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20142</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20142</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20142</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20142</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20142</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20152</v>
      </c>
      <c r="B442" s="105"/>
      <c r="C442" s="90">
        <f t="shared" si="689"/>
        <v>1.3083109919571045</v>
      </c>
      <c r="D442" s="90">
        <f t="shared" si="689"/>
        <v>1.0309158945117605</v>
      </c>
      <c r="E442" s="90">
        <f t="shared" si="689"/>
        <v>1.0147783251231528</v>
      </c>
      <c r="F442" s="90">
        <f t="shared" si="689"/>
        <v>1.0055356838698688</v>
      </c>
      <c r="G442" s="90">
        <f t="shared" si="689"/>
        <v>1.0039806894215295</v>
      </c>
      <c r="H442" s="90">
        <f t="shared" si="689"/>
        <v>1.0021933524548676</v>
      </c>
      <c r="I442" s="90">
        <f t="shared" si="689"/>
        <v>1.0013468013468014</v>
      </c>
      <c r="J442" s="22"/>
      <c r="K442" s="22"/>
      <c r="L442" s="22"/>
      <c r="M442" s="91">
        <f>$A$38</f>
        <v>20152</v>
      </c>
      <c r="N442" s="105"/>
      <c r="O442" s="90">
        <f t="shared" si="690"/>
        <v>1.3419117647058822</v>
      </c>
      <c r="P442" s="90">
        <f t="shared" si="690"/>
        <v>1.0202054794520548</v>
      </c>
      <c r="Q442" s="90">
        <f t="shared" si="690"/>
        <v>1.0077207116482041</v>
      </c>
      <c r="R442" s="90">
        <f t="shared" si="690"/>
        <v>1.0029980013324451</v>
      </c>
      <c r="S442" s="90">
        <f t="shared" si="690"/>
        <v>1.000664231152441</v>
      </c>
      <c r="T442" s="90">
        <f t="shared" si="690"/>
        <v>1.0003318951211417</v>
      </c>
      <c r="U442" s="90">
        <f t="shared" si="690"/>
        <v>1.0003317850033178</v>
      </c>
      <c r="V442" s="22"/>
      <c r="W442" s="22"/>
      <c r="X442" s="22"/>
      <c r="Y442" s="91">
        <f>$A$38</f>
        <v>20152</v>
      </c>
      <c r="Z442" s="105"/>
      <c r="AA442" s="90">
        <f t="shared" si="691"/>
        <v>1.2501532801961988</v>
      </c>
      <c r="AB442" s="90">
        <f t="shared" si="691"/>
        <v>1.0166748406081412</v>
      </c>
      <c r="AC442" s="90">
        <f t="shared" si="691"/>
        <v>1.0067534973468404</v>
      </c>
      <c r="AD442" s="90">
        <f t="shared" si="691"/>
        <v>1.0033540967896502</v>
      </c>
      <c r="AE442" s="90">
        <f t="shared" si="691"/>
        <v>1.0009551098376313</v>
      </c>
      <c r="AF442" s="90">
        <f t="shared" si="691"/>
        <v>1.0004770992366412</v>
      </c>
      <c r="AG442" s="90">
        <f t="shared" si="691"/>
        <v>1.0004768717215069</v>
      </c>
      <c r="AH442" s="22"/>
      <c r="AI442" s="22"/>
      <c r="AJ442" s="22"/>
      <c r="AK442" s="91">
        <f>$A$38</f>
        <v>20152</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20152</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20152</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20152</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20152</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20152</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20152</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20162</v>
      </c>
      <c r="B443" s="105"/>
      <c r="C443" s="90">
        <f t="shared" si="689"/>
        <v>1.2408738414980141</v>
      </c>
      <c r="D443" s="90">
        <f t="shared" si="689"/>
        <v>1.028046642786373</v>
      </c>
      <c r="E443" s="90">
        <f t="shared" si="689"/>
        <v>1.0121580547112461</v>
      </c>
      <c r="F443" s="90">
        <f t="shared" si="689"/>
        <v>1.006372225884421</v>
      </c>
      <c r="G443" s="90">
        <f t="shared" si="689"/>
        <v>1.0026200873362445</v>
      </c>
      <c r="H443" s="90">
        <f t="shared" si="689"/>
        <v>1.0020325203252032</v>
      </c>
      <c r="I443" s="22"/>
      <c r="J443" s="22"/>
      <c r="K443" s="22"/>
      <c r="L443" s="22"/>
      <c r="M443" s="91">
        <f>$A$39</f>
        <v>20162</v>
      </c>
      <c r="N443" s="105"/>
      <c r="O443" s="90">
        <f t="shared" si="690"/>
        <v>1.298629121896999</v>
      </c>
      <c r="P443" s="90">
        <f t="shared" si="690"/>
        <v>1.018830242510699</v>
      </c>
      <c r="Q443" s="90">
        <f t="shared" si="690"/>
        <v>1.0053206384766171</v>
      </c>
      <c r="R443" s="90">
        <f t="shared" si="690"/>
        <v>1.003899721448468</v>
      </c>
      <c r="S443" s="90">
        <f t="shared" si="690"/>
        <v>1.0005549389567148</v>
      </c>
      <c r="T443" s="90">
        <f t="shared" si="690"/>
        <v>1.0005546311702718</v>
      </c>
      <c r="U443" s="22"/>
      <c r="V443" s="22"/>
      <c r="W443" s="22"/>
      <c r="X443" s="22"/>
      <c r="Y443" s="91">
        <f>$A$39</f>
        <v>20162</v>
      </c>
      <c r="Z443" s="105"/>
      <c r="AA443" s="90">
        <f t="shared" si="691"/>
        <v>1.2604422604422605</v>
      </c>
      <c r="AB443" s="90">
        <f t="shared" si="691"/>
        <v>1.019980506822612</v>
      </c>
      <c r="AC443" s="90">
        <f t="shared" si="691"/>
        <v>1.0086000955566172</v>
      </c>
      <c r="AD443" s="90">
        <f t="shared" si="691"/>
        <v>1.0056845097110374</v>
      </c>
      <c r="AE443" s="90">
        <f t="shared" si="691"/>
        <v>1.0009420631182289</v>
      </c>
      <c r="AF443" s="90">
        <f t="shared" si="691"/>
        <v>1.0004705882352942</v>
      </c>
      <c r="AG443" s="22"/>
      <c r="AH443" s="22"/>
      <c r="AI443" s="22"/>
      <c r="AJ443" s="22"/>
      <c r="AK443" s="91">
        <f>$A$39</f>
        <v>20162</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20162</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20162</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20162</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20162</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20162</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20162</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20172</v>
      </c>
      <c r="B444" s="105"/>
      <c r="C444" s="90">
        <f t="shared" si="689"/>
        <v>1.2074625602842881</v>
      </c>
      <c r="D444" s="90">
        <f t="shared" si="689"/>
        <v>1.023964683624133</v>
      </c>
      <c r="E444" s="90">
        <f t="shared" si="689"/>
        <v>1.0099911038116745</v>
      </c>
      <c r="F444" s="90">
        <f t="shared" si="689"/>
        <v>1.006301239921404</v>
      </c>
      <c r="G444" s="90">
        <f t="shared" si="689"/>
        <v>1.0036358739563696</v>
      </c>
      <c r="H444" s="22"/>
      <c r="I444" s="22"/>
      <c r="J444" s="22"/>
      <c r="K444" s="22"/>
      <c r="L444" s="22"/>
      <c r="M444" s="91">
        <f>$A$40</f>
        <v>20172</v>
      </c>
      <c r="N444" s="105"/>
      <c r="O444" s="90">
        <f t="shared" si="690"/>
        <v>1.2105431309904153</v>
      </c>
      <c r="P444" s="90">
        <f t="shared" si="690"/>
        <v>1.0195302190551596</v>
      </c>
      <c r="Q444" s="90">
        <f t="shared" si="690"/>
        <v>1.0069893864871862</v>
      </c>
      <c r="R444" s="90">
        <f t="shared" si="690"/>
        <v>1.0012853470437018</v>
      </c>
      <c r="S444" s="90">
        <f t="shared" si="690"/>
        <v>1.002824133504493</v>
      </c>
      <c r="T444" s="22"/>
      <c r="U444" s="22"/>
      <c r="V444" s="22"/>
      <c r="W444" s="22"/>
      <c r="X444" s="22"/>
      <c r="Y444" s="91">
        <f>$A$40</f>
        <v>20172</v>
      </c>
      <c r="Z444" s="105"/>
      <c r="AA444" s="90">
        <f t="shared" si="691"/>
        <v>1.2432432432432432</v>
      </c>
      <c r="AB444" s="90">
        <f t="shared" si="691"/>
        <v>1.0131340579710144</v>
      </c>
      <c r="AC444" s="90">
        <f t="shared" si="691"/>
        <v>1.0071524362986142</v>
      </c>
      <c r="AD444" s="90">
        <f t="shared" si="691"/>
        <v>1.0022192632046161</v>
      </c>
      <c r="AE444" s="90">
        <f t="shared" si="691"/>
        <v>1.0026572187776794</v>
      </c>
      <c r="AF444" s="22"/>
      <c r="AG444" s="22"/>
      <c r="AH444" s="22"/>
      <c r="AI444" s="22"/>
      <c r="AJ444" s="22"/>
      <c r="AK444" s="91">
        <f>$A$40</f>
        <v>20172</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20172</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20172</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20172</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20172</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20172</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20172</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20182</v>
      </c>
      <c r="B445" s="105"/>
      <c r="C445" s="90">
        <f t="shared" si="689"/>
        <v>1.1886214814184879</v>
      </c>
      <c r="D445" s="90">
        <f t="shared" si="689"/>
        <v>1.0299778207054446</v>
      </c>
      <c r="E445" s="90">
        <f t="shared" si="689"/>
        <v>1.0100027785495971</v>
      </c>
      <c r="F445" s="90">
        <f t="shared" si="689"/>
        <v>1.0068088033012379</v>
      </c>
      <c r="G445" s="22"/>
      <c r="H445" s="22"/>
      <c r="I445" s="22"/>
      <c r="J445" s="22"/>
      <c r="K445" s="22"/>
      <c r="L445" s="22"/>
      <c r="M445" s="91">
        <f>$A$41</f>
        <v>20182</v>
      </c>
      <c r="N445" s="105"/>
      <c r="O445" s="90">
        <f t="shared" si="690"/>
        <v>1.2332089552238805</v>
      </c>
      <c r="P445" s="90">
        <f t="shared" si="690"/>
        <v>1.021684316691881</v>
      </c>
      <c r="Q445" s="90">
        <f t="shared" si="690"/>
        <v>1.0046890424481738</v>
      </c>
      <c r="R445" s="90">
        <f t="shared" si="690"/>
        <v>1.002210759027266</v>
      </c>
      <c r="S445" s="22"/>
      <c r="T445" s="22"/>
      <c r="U445" s="22"/>
      <c r="V445" s="22"/>
      <c r="W445" s="22"/>
      <c r="X445" s="22"/>
      <c r="Y445" s="91">
        <f>$A$41</f>
        <v>20182</v>
      </c>
      <c r="Z445" s="105"/>
      <c r="AA445" s="90">
        <f t="shared" si="691"/>
        <v>1.1930501930501931</v>
      </c>
      <c r="AB445" s="90">
        <f t="shared" si="691"/>
        <v>1.0198220064724919</v>
      </c>
      <c r="AC445" s="90">
        <f t="shared" si="691"/>
        <v>1.0075366917889725</v>
      </c>
      <c r="AD445" s="90">
        <f t="shared" si="691"/>
        <v>1.0043307086614173</v>
      </c>
      <c r="AE445" s="22"/>
      <c r="AF445" s="22"/>
      <c r="AG445" s="22"/>
      <c r="AH445" s="22"/>
      <c r="AI445" s="22"/>
      <c r="AJ445" s="22"/>
      <c r="AK445" s="91">
        <f>$A$41</f>
        <v>20182</v>
      </c>
      <c r="AL445" s="105"/>
      <c r="AM445" s="90" t="str">
        <f t="shared" si="692"/>
        <v/>
      </c>
      <c r="AN445" s="90" t="str">
        <f t="shared" si="692"/>
        <v/>
      </c>
      <c r="AO445" s="90" t="str">
        <f t="shared" si="692"/>
        <v/>
      </c>
      <c r="AP445" s="90" t="str">
        <f t="shared" si="692"/>
        <v/>
      </c>
      <c r="AQ445" s="22"/>
      <c r="AR445" s="22"/>
      <c r="AS445" s="22"/>
      <c r="AT445" s="22"/>
      <c r="AU445" s="22"/>
      <c r="AV445" s="22"/>
      <c r="AW445" s="91">
        <f>$A$41</f>
        <v>20182</v>
      </c>
      <c r="AX445" s="105"/>
      <c r="AY445" s="90" t="str">
        <f t="shared" si="693"/>
        <v/>
      </c>
      <c r="AZ445" s="90" t="str">
        <f t="shared" si="693"/>
        <v/>
      </c>
      <c r="BA445" s="90" t="str">
        <f t="shared" si="693"/>
        <v/>
      </c>
      <c r="BB445" s="90" t="str">
        <f t="shared" si="693"/>
        <v/>
      </c>
      <c r="BC445" s="22"/>
      <c r="BD445" s="22"/>
      <c r="BE445" s="22"/>
      <c r="BF445" s="22"/>
      <c r="BG445" s="22"/>
      <c r="BH445" s="22"/>
      <c r="BI445" s="91">
        <f>$A$41</f>
        <v>20182</v>
      </c>
      <c r="BJ445" s="105"/>
      <c r="BK445" s="90" t="str">
        <f t="shared" si="694"/>
        <v/>
      </c>
      <c r="BL445" s="90" t="str">
        <f t="shared" si="694"/>
        <v/>
      </c>
      <c r="BM445" s="90" t="str">
        <f t="shared" si="694"/>
        <v/>
      </c>
      <c r="BN445" s="90" t="str">
        <f t="shared" si="694"/>
        <v/>
      </c>
      <c r="BO445" s="22"/>
      <c r="BP445" s="22"/>
      <c r="BQ445" s="22"/>
      <c r="BR445" s="22"/>
      <c r="BS445" s="22"/>
      <c r="BT445" s="22"/>
      <c r="BU445" s="91">
        <f>$A$41</f>
        <v>20182</v>
      </c>
      <c r="BV445" s="105"/>
      <c r="BW445" s="90" t="str">
        <f t="shared" si="695"/>
        <v/>
      </c>
      <c r="BX445" s="90" t="str">
        <f t="shared" si="695"/>
        <v/>
      </c>
      <c r="BY445" s="90" t="str">
        <f t="shared" si="695"/>
        <v/>
      </c>
      <c r="BZ445" s="90" t="str">
        <f t="shared" si="695"/>
        <v/>
      </c>
      <c r="CA445" s="22"/>
      <c r="CB445" s="22"/>
      <c r="CC445" s="22"/>
      <c r="CD445" s="22"/>
      <c r="CE445" s="22"/>
      <c r="CF445" s="22"/>
      <c r="CG445" s="91">
        <f>$A$41</f>
        <v>20182</v>
      </c>
      <c r="CH445" s="105"/>
      <c r="CI445" s="90" t="str">
        <f t="shared" si="696"/>
        <v/>
      </c>
      <c r="CJ445" s="90" t="str">
        <f t="shared" si="696"/>
        <v/>
      </c>
      <c r="CK445" s="90" t="str">
        <f t="shared" si="696"/>
        <v/>
      </c>
      <c r="CL445" s="90" t="str">
        <f t="shared" si="696"/>
        <v/>
      </c>
      <c r="CM445" s="22"/>
      <c r="CN445" s="22"/>
      <c r="CO445" s="22"/>
      <c r="CP445" s="22"/>
      <c r="CQ445" s="22"/>
      <c r="CR445" s="22"/>
      <c r="CS445" s="91">
        <f>$A$41</f>
        <v>20182</v>
      </c>
      <c r="CT445" s="105"/>
      <c r="CU445" s="90" t="str">
        <f t="shared" si="697"/>
        <v/>
      </c>
      <c r="CV445" s="90" t="str">
        <f t="shared" si="697"/>
        <v/>
      </c>
      <c r="CW445" s="90" t="str">
        <f t="shared" si="697"/>
        <v/>
      </c>
      <c r="CX445" s="90" t="str">
        <f t="shared" si="697"/>
        <v/>
      </c>
      <c r="CY445" s="22"/>
      <c r="CZ445" s="22"/>
      <c r="DA445" s="22"/>
      <c r="DB445" s="22"/>
      <c r="DC445" s="22"/>
      <c r="DD445" s="22"/>
      <c r="DE445" s="91">
        <f>$A$41</f>
        <v>20182</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20192</v>
      </c>
      <c r="B446" s="105"/>
      <c r="C446" s="90">
        <f t="shared" si="689"/>
        <v>1.212953543574093</v>
      </c>
      <c r="D446" s="90">
        <f t="shared" si="689"/>
        <v>1.0257198769918927</v>
      </c>
      <c r="E446" s="90">
        <f t="shared" si="689"/>
        <v>1.0121967838648134</v>
      </c>
      <c r="F446" s="22"/>
      <c r="G446" s="22"/>
      <c r="H446" s="22"/>
      <c r="I446" s="22"/>
      <c r="J446" s="22"/>
      <c r="K446" s="22"/>
      <c r="L446" s="22"/>
      <c r="M446" s="91">
        <f>$A$42</f>
        <v>20192</v>
      </c>
      <c r="N446" s="105"/>
      <c r="O446" s="90">
        <f t="shared" si="690"/>
        <v>1.2234871180347513</v>
      </c>
      <c r="P446" s="90">
        <f t="shared" si="690"/>
        <v>1.0188540646425073</v>
      </c>
      <c r="Q446" s="90">
        <f t="shared" si="690"/>
        <v>1.0060081711127133</v>
      </c>
      <c r="R446" s="22"/>
      <c r="S446" s="22"/>
      <c r="T446" s="22"/>
      <c r="U446" s="22"/>
      <c r="V446" s="22"/>
      <c r="W446" s="22"/>
      <c r="X446" s="22"/>
      <c r="Y446" s="91">
        <f>$A$42</f>
        <v>20192</v>
      </c>
      <c r="Z446" s="105"/>
      <c r="AA446" s="90">
        <f t="shared" si="691"/>
        <v>1.2150537634408602</v>
      </c>
      <c r="AB446" s="90">
        <f t="shared" si="691"/>
        <v>1.0193081255028158</v>
      </c>
      <c r="AC446" s="90">
        <f t="shared" si="691"/>
        <v>1.0071033938437253</v>
      </c>
      <c r="AD446" s="22"/>
      <c r="AE446" s="22"/>
      <c r="AF446" s="22"/>
      <c r="AG446" s="22"/>
      <c r="AH446" s="22"/>
      <c r="AI446" s="22"/>
      <c r="AJ446" s="22"/>
      <c r="AK446" s="91">
        <f>$A$42</f>
        <v>20192</v>
      </c>
      <c r="AL446" s="105"/>
      <c r="AM446" s="90" t="str">
        <f t="shared" si="692"/>
        <v/>
      </c>
      <c r="AN446" s="90" t="str">
        <f t="shared" si="692"/>
        <v/>
      </c>
      <c r="AO446" s="90" t="str">
        <f t="shared" si="692"/>
        <v/>
      </c>
      <c r="AP446" s="22"/>
      <c r="AQ446" s="22"/>
      <c r="AR446" s="22"/>
      <c r="AS446" s="22"/>
      <c r="AT446" s="22"/>
      <c r="AU446" s="22"/>
      <c r="AV446" s="22"/>
      <c r="AW446" s="91">
        <f>$A$42</f>
        <v>20192</v>
      </c>
      <c r="AX446" s="105"/>
      <c r="AY446" s="90" t="str">
        <f t="shared" si="693"/>
        <v/>
      </c>
      <c r="AZ446" s="90" t="str">
        <f t="shared" si="693"/>
        <v/>
      </c>
      <c r="BA446" s="90" t="str">
        <f t="shared" si="693"/>
        <v/>
      </c>
      <c r="BB446" s="22"/>
      <c r="BC446" s="22"/>
      <c r="BD446" s="22"/>
      <c r="BE446" s="22"/>
      <c r="BF446" s="22"/>
      <c r="BG446" s="22"/>
      <c r="BH446" s="22"/>
      <c r="BI446" s="91">
        <f>$A$42</f>
        <v>20192</v>
      </c>
      <c r="BJ446" s="105"/>
      <c r="BK446" s="90" t="str">
        <f t="shared" si="694"/>
        <v/>
      </c>
      <c r="BL446" s="90" t="str">
        <f t="shared" si="694"/>
        <v/>
      </c>
      <c r="BM446" s="90" t="str">
        <f t="shared" si="694"/>
        <v/>
      </c>
      <c r="BN446" s="22"/>
      <c r="BO446" s="22"/>
      <c r="BP446" s="22"/>
      <c r="BQ446" s="22"/>
      <c r="BR446" s="22"/>
      <c r="BS446" s="22"/>
      <c r="BT446" s="22"/>
      <c r="BU446" s="91">
        <f>$A$42</f>
        <v>20192</v>
      </c>
      <c r="BV446" s="105"/>
      <c r="BW446" s="90" t="str">
        <f t="shared" si="695"/>
        <v/>
      </c>
      <c r="BX446" s="90" t="str">
        <f t="shared" si="695"/>
        <v/>
      </c>
      <c r="BY446" s="90" t="str">
        <f t="shared" si="695"/>
        <v/>
      </c>
      <c r="BZ446" s="22"/>
      <c r="CA446" s="22"/>
      <c r="CB446" s="22"/>
      <c r="CC446" s="22"/>
      <c r="CD446" s="22"/>
      <c r="CE446" s="22"/>
      <c r="CF446" s="22"/>
      <c r="CG446" s="91">
        <f>$A$42</f>
        <v>20192</v>
      </c>
      <c r="CH446" s="105"/>
      <c r="CI446" s="90" t="str">
        <f t="shared" si="696"/>
        <v/>
      </c>
      <c r="CJ446" s="90" t="str">
        <f t="shared" si="696"/>
        <v/>
      </c>
      <c r="CK446" s="90" t="str">
        <f t="shared" si="696"/>
        <v/>
      </c>
      <c r="CL446" s="22"/>
      <c r="CM446" s="22"/>
      <c r="CN446" s="22"/>
      <c r="CO446" s="22"/>
      <c r="CP446" s="22"/>
      <c r="CQ446" s="22"/>
      <c r="CR446" s="22"/>
      <c r="CS446" s="91">
        <f>$A$42</f>
        <v>20192</v>
      </c>
      <c r="CT446" s="105"/>
      <c r="CU446" s="90" t="str">
        <f t="shared" si="697"/>
        <v/>
      </c>
      <c r="CV446" s="90" t="str">
        <f t="shared" si="697"/>
        <v/>
      </c>
      <c r="CW446" s="90" t="str">
        <f t="shared" si="697"/>
        <v/>
      </c>
      <c r="CX446" s="22"/>
      <c r="CY446" s="22"/>
      <c r="CZ446" s="22"/>
      <c r="DA446" s="22"/>
      <c r="DB446" s="22"/>
      <c r="DC446" s="22"/>
      <c r="DD446" s="22"/>
      <c r="DE446" s="91">
        <f>$A$42</f>
        <v>20192</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20202</v>
      </c>
      <c r="B447" s="105"/>
      <c r="C447" s="90">
        <f t="shared" si="689"/>
        <v>1.2163756677031012</v>
      </c>
      <c r="D447" s="90">
        <f t="shared" si="689"/>
        <v>1.0261519302615194</v>
      </c>
      <c r="E447" s="22"/>
      <c r="F447" s="22"/>
      <c r="G447" s="22"/>
      <c r="H447" s="22"/>
      <c r="I447" s="22"/>
      <c r="J447" s="22"/>
      <c r="K447" s="22"/>
      <c r="L447" s="22"/>
      <c r="M447" s="91">
        <f>$A$43</f>
        <v>20202</v>
      </c>
      <c r="N447" s="105"/>
      <c r="O447" s="90">
        <f t="shared" si="690"/>
        <v>1.2643752007709606</v>
      </c>
      <c r="P447" s="90">
        <f t="shared" si="690"/>
        <v>1.0223577235772359</v>
      </c>
      <c r="Q447" s="22"/>
      <c r="R447" s="22"/>
      <c r="S447" s="22"/>
      <c r="T447" s="22"/>
      <c r="U447" s="22"/>
      <c r="V447" s="22"/>
      <c r="W447" s="22"/>
      <c r="X447" s="22"/>
      <c r="Y447" s="91">
        <f>$A$43</f>
        <v>20202</v>
      </c>
      <c r="Z447" s="105"/>
      <c r="AA447" s="90">
        <f t="shared" si="691"/>
        <v>1.2168021680216803</v>
      </c>
      <c r="AB447" s="90">
        <f t="shared" si="691"/>
        <v>1.0129918337045285</v>
      </c>
      <c r="AC447" s="22"/>
      <c r="AD447" s="22"/>
      <c r="AE447" s="22"/>
      <c r="AF447" s="22"/>
      <c r="AG447" s="22"/>
      <c r="AH447" s="22"/>
      <c r="AI447" s="22"/>
      <c r="AJ447" s="22"/>
      <c r="AK447" s="91">
        <f>$A$43</f>
        <v>20202</v>
      </c>
      <c r="AL447" s="105"/>
      <c r="AM447" s="90" t="str">
        <f t="shared" si="692"/>
        <v/>
      </c>
      <c r="AN447" s="90" t="str">
        <f t="shared" si="692"/>
        <v/>
      </c>
      <c r="AO447" s="22"/>
      <c r="AP447" s="22"/>
      <c r="AQ447" s="22"/>
      <c r="AR447" s="22"/>
      <c r="AS447" s="22"/>
      <c r="AT447" s="22"/>
      <c r="AU447" s="22"/>
      <c r="AV447" s="22"/>
      <c r="AW447" s="91">
        <f>$A$43</f>
        <v>20202</v>
      </c>
      <c r="AX447" s="105"/>
      <c r="AY447" s="90" t="str">
        <f t="shared" si="693"/>
        <v/>
      </c>
      <c r="AZ447" s="90" t="str">
        <f t="shared" si="693"/>
        <v/>
      </c>
      <c r="BA447" s="22"/>
      <c r="BB447" s="22"/>
      <c r="BC447" s="22"/>
      <c r="BD447" s="22"/>
      <c r="BE447" s="22"/>
      <c r="BF447" s="22"/>
      <c r="BG447" s="22"/>
      <c r="BH447" s="22"/>
      <c r="BI447" s="91">
        <f>$A$43</f>
        <v>20202</v>
      </c>
      <c r="BJ447" s="105"/>
      <c r="BK447" s="90" t="str">
        <f t="shared" si="694"/>
        <v/>
      </c>
      <c r="BL447" s="90" t="str">
        <f t="shared" si="694"/>
        <v/>
      </c>
      <c r="BM447" s="22"/>
      <c r="BN447" s="22"/>
      <c r="BO447" s="22"/>
      <c r="BP447" s="22"/>
      <c r="BQ447" s="22"/>
      <c r="BR447" s="22"/>
      <c r="BS447" s="22"/>
      <c r="BT447" s="22"/>
      <c r="BU447" s="91">
        <f>$A$43</f>
        <v>20202</v>
      </c>
      <c r="BV447" s="105"/>
      <c r="BW447" s="90" t="str">
        <f t="shared" si="695"/>
        <v/>
      </c>
      <c r="BX447" s="90" t="str">
        <f t="shared" si="695"/>
        <v/>
      </c>
      <c r="BY447" s="22"/>
      <c r="BZ447" s="22"/>
      <c r="CA447" s="22"/>
      <c r="CB447" s="22"/>
      <c r="CC447" s="22"/>
      <c r="CD447" s="22"/>
      <c r="CE447" s="22"/>
      <c r="CF447" s="22"/>
      <c r="CG447" s="91">
        <f>$A$43</f>
        <v>20202</v>
      </c>
      <c r="CH447" s="105"/>
      <c r="CI447" s="90" t="str">
        <f t="shared" si="696"/>
        <v/>
      </c>
      <c r="CJ447" s="90" t="str">
        <f t="shared" si="696"/>
        <v/>
      </c>
      <c r="CK447" s="22"/>
      <c r="CL447" s="22"/>
      <c r="CM447" s="22"/>
      <c r="CN447" s="22"/>
      <c r="CO447" s="22"/>
      <c r="CP447" s="22"/>
      <c r="CQ447" s="22"/>
      <c r="CR447" s="22"/>
      <c r="CS447" s="91">
        <f>$A$43</f>
        <v>20202</v>
      </c>
      <c r="CT447" s="105"/>
      <c r="CU447" s="90" t="str">
        <f t="shared" si="697"/>
        <v/>
      </c>
      <c r="CV447" s="90" t="str">
        <f t="shared" si="697"/>
        <v/>
      </c>
      <c r="CW447" s="22"/>
      <c r="CX447" s="22"/>
      <c r="CY447" s="22"/>
      <c r="CZ447" s="22"/>
      <c r="DA447" s="22"/>
      <c r="DB447" s="22"/>
      <c r="DC447" s="22"/>
      <c r="DD447" s="22"/>
      <c r="DE447" s="91">
        <f>$A$43</f>
        <v>20202</v>
      </c>
      <c r="DF447" s="105"/>
      <c r="DG447" s="90" t="str">
        <f t="shared" si="698"/>
        <v/>
      </c>
      <c r="DH447" s="90" t="str">
        <f t="shared" si="698"/>
        <v/>
      </c>
      <c r="DI447" s="22"/>
      <c r="DJ447" s="22"/>
      <c r="DK447" s="22"/>
      <c r="DL447" s="22"/>
      <c r="DM447" s="22"/>
      <c r="DN447" s="22"/>
      <c r="DO447" s="22"/>
      <c r="DP447" s="22"/>
    </row>
    <row r="448" spans="1:120" x14ac:dyDescent="0.25">
      <c r="A448" s="91">
        <f>$A$44</f>
        <v>20212</v>
      </c>
      <c r="B448" s="105"/>
      <c r="C448" s="90">
        <f t="shared" si="689"/>
        <v>1.2635613638022924</v>
      </c>
      <c r="D448" s="22"/>
      <c r="E448" s="22"/>
      <c r="F448" s="22"/>
      <c r="G448" s="22"/>
      <c r="H448" s="22"/>
      <c r="I448" s="22"/>
      <c r="J448" s="22"/>
      <c r="K448" s="22"/>
      <c r="L448" s="22"/>
      <c r="M448" s="91">
        <f>$A$44</f>
        <v>20212</v>
      </c>
      <c r="N448" s="105"/>
      <c r="O448" s="90">
        <f t="shared" si="690"/>
        <v>1.2517281105990783</v>
      </c>
      <c r="P448" s="22"/>
      <c r="Q448" s="22"/>
      <c r="R448" s="22"/>
      <c r="S448" s="22"/>
      <c r="T448" s="22"/>
      <c r="U448" s="22"/>
      <c r="V448" s="22"/>
      <c r="W448" s="22"/>
      <c r="X448" s="22"/>
      <c r="Y448" s="91">
        <f>$A$44</f>
        <v>20212</v>
      </c>
      <c r="Z448" s="105"/>
      <c r="AA448" s="90">
        <f t="shared" si="691"/>
        <v>1.2516884286357497</v>
      </c>
      <c r="AB448" s="22"/>
      <c r="AC448" s="22"/>
      <c r="AD448" s="22"/>
      <c r="AE448" s="22"/>
      <c r="AF448" s="22"/>
      <c r="AG448" s="22"/>
      <c r="AH448" s="22"/>
      <c r="AI448" s="22"/>
      <c r="AJ448" s="22"/>
      <c r="AK448" s="91">
        <f>$A$44</f>
        <v>20212</v>
      </c>
      <c r="AL448" s="105"/>
      <c r="AM448" s="90" t="str">
        <f t="shared" si="692"/>
        <v/>
      </c>
      <c r="AN448" s="22"/>
      <c r="AO448" s="22"/>
      <c r="AP448" s="22"/>
      <c r="AQ448" s="22"/>
      <c r="AR448" s="22"/>
      <c r="AS448" s="22"/>
      <c r="AT448" s="22"/>
      <c r="AU448" s="22"/>
      <c r="AV448" s="22"/>
      <c r="AW448" s="91">
        <f>$A$44</f>
        <v>20212</v>
      </c>
      <c r="AX448" s="105"/>
      <c r="AY448" s="90" t="str">
        <f t="shared" si="693"/>
        <v/>
      </c>
      <c r="AZ448" s="22"/>
      <c r="BA448" s="22"/>
      <c r="BB448" s="22"/>
      <c r="BC448" s="22"/>
      <c r="BD448" s="22"/>
      <c r="BE448" s="22"/>
      <c r="BF448" s="22"/>
      <c r="BG448" s="22"/>
      <c r="BH448" s="22"/>
      <c r="BI448" s="91">
        <f>$A$44</f>
        <v>20212</v>
      </c>
      <c r="BJ448" s="105"/>
      <c r="BK448" s="90" t="str">
        <f t="shared" si="694"/>
        <v/>
      </c>
      <c r="BL448" s="22"/>
      <c r="BM448" s="22"/>
      <c r="BN448" s="22"/>
      <c r="BO448" s="22"/>
      <c r="BP448" s="22"/>
      <c r="BQ448" s="22"/>
      <c r="BR448" s="22"/>
      <c r="BS448" s="22"/>
      <c r="BT448" s="22"/>
      <c r="BU448" s="91">
        <f>$A$44</f>
        <v>20212</v>
      </c>
      <c r="BV448" s="105"/>
      <c r="BW448" s="90" t="str">
        <f t="shared" si="695"/>
        <v/>
      </c>
      <c r="BX448" s="22"/>
      <c r="BY448" s="22"/>
      <c r="BZ448" s="22"/>
      <c r="CA448" s="22"/>
      <c r="CB448" s="22"/>
      <c r="CC448" s="22"/>
      <c r="CD448" s="22"/>
      <c r="CE448" s="22"/>
      <c r="CF448" s="22"/>
      <c r="CG448" s="91">
        <f>$A$44</f>
        <v>20212</v>
      </c>
      <c r="CH448" s="105"/>
      <c r="CI448" s="90" t="str">
        <f t="shared" si="696"/>
        <v/>
      </c>
      <c r="CJ448" s="22"/>
      <c r="CK448" s="22"/>
      <c r="CL448" s="22"/>
      <c r="CM448" s="22"/>
      <c r="CN448" s="22"/>
      <c r="CO448" s="22"/>
      <c r="CP448" s="22"/>
      <c r="CQ448" s="22"/>
      <c r="CR448" s="22"/>
      <c r="CS448" s="91">
        <f>$A$44</f>
        <v>20212</v>
      </c>
      <c r="CT448" s="105"/>
      <c r="CU448" s="90" t="str">
        <f t="shared" si="697"/>
        <v/>
      </c>
      <c r="CV448" s="22"/>
      <c r="CW448" s="22"/>
      <c r="CX448" s="22"/>
      <c r="CY448" s="22"/>
      <c r="CZ448" s="22"/>
      <c r="DA448" s="22"/>
      <c r="DB448" s="22"/>
      <c r="DC448" s="22"/>
      <c r="DD448" s="22"/>
      <c r="DE448" s="91">
        <f>$A$44</f>
        <v>20212</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1.2323062361972867</v>
      </c>
      <c r="D450" s="93">
        <f>IFERROR(SUM(E432:E434)/SUM(D432:D434),1)</f>
        <v>1.0272380689908593</v>
      </c>
      <c r="E450" s="93">
        <f>IFERROR(SUM(F431:F433)/SUM(E431:E433),1)</f>
        <v>1.0107359505551103</v>
      </c>
      <c r="F450" s="93">
        <f>IFERROR(SUM(G430:G432)/SUM(F430:F432),1)</f>
        <v>1.0064956230210467</v>
      </c>
      <c r="G450" s="93">
        <f>IFERROR(SUM(H429:H431)/SUM(G429:G431),1)</f>
        <v>1.0033911730488378</v>
      </c>
      <c r="H450" s="93">
        <f>IFERROR(SUM(I428:I430)/SUM(H428:H430),1)</f>
        <v>1.0017424727738629</v>
      </c>
      <c r="I450" s="93">
        <f>IFERROR(SUM(J427:J429)/SUM(I427:I429),1)</f>
        <v>1.0010261832203495</v>
      </c>
      <c r="J450" s="93">
        <f>IFERROR(SUM(K427:K428)/SUM(J427:J428),1)</f>
        <v>1.0007390983000739</v>
      </c>
      <c r="K450" s="93">
        <f>IFERROR(SUM(L427:L427)/SUM(K427:K427),1)</f>
        <v>1.0010169984018598</v>
      </c>
      <c r="L450" s="93">
        <v>1</v>
      </c>
      <c r="M450" s="285" t="s">
        <v>37</v>
      </c>
      <c r="N450" s="107"/>
      <c r="O450" s="93">
        <f>IFERROR(SUM(P433:P435)/SUM(O433:O435),1)</f>
        <v>1.2461957069434646</v>
      </c>
      <c r="P450" s="93">
        <f>IFERROR(SUM(Q432:Q434)/SUM(P432:P434),1)</f>
        <v>1.0209410979476055</v>
      </c>
      <c r="Q450" s="93">
        <f>IFERROR(SUM(R431:R433)/SUM(Q431:Q433),1)</f>
        <v>1.0058794302749254</v>
      </c>
      <c r="R450" s="93">
        <f>IFERROR(SUM(S430:S432)/SUM(R430:R432),1)</f>
        <v>1.0024240325512943</v>
      </c>
      <c r="S450" s="93">
        <f>IFERROR(SUM(T429:T431)/SUM(S429:S431),1)</f>
        <v>1.0014272121788772</v>
      </c>
      <c r="T450" s="93">
        <f>IFERROR(SUM(U428:U430)/SUM(T428:T430),1)</f>
        <v>1.0008015228934977</v>
      </c>
      <c r="U450" s="93">
        <f>IFERROR(SUM(V427:V429)/SUM(U427:U429),1)</f>
        <v>1.0001248907206195</v>
      </c>
      <c r="V450" s="93">
        <f>IFERROR(SUM(W427:W428)/SUM(V427:V428),1)</f>
        <v>1</v>
      </c>
      <c r="W450" s="93">
        <f>IFERROR(SUM(X427:X427)/SUM(W427:W427),1)</f>
        <v>1</v>
      </c>
      <c r="X450" s="93">
        <v>1</v>
      </c>
      <c r="Y450" s="285" t="s">
        <v>37</v>
      </c>
      <c r="Z450" s="107"/>
      <c r="AA450" s="93">
        <f>IFERROR(SUM(AB433:AB435)/SUM(AA433:AA435),1)</f>
        <v>1.2282055238389138</v>
      </c>
      <c r="AB450" s="93">
        <f>IFERROR(SUM(AC432:AC434)/SUM(AB432:AB434),1)</f>
        <v>1.017250392054365</v>
      </c>
      <c r="AC450" s="93">
        <f>IFERROR(SUM(AD431:AD433)/SUM(AC431:AC433),1)</f>
        <v>1.0072682391662096</v>
      </c>
      <c r="AD450" s="93">
        <f>IFERROR(SUM(AE430:AE432)/SUM(AD430:AD432),1)</f>
        <v>1.0040556199304751</v>
      </c>
      <c r="AE450" s="93">
        <f>IFERROR(SUM(AF429:AF431)/SUM(AE429:AE431),1)</f>
        <v>1.0015444015444015</v>
      </c>
      <c r="AF450" s="93">
        <f>IFERROR(SUM(AG428:AG430)/SUM(AF428:AF430),1)</f>
        <v>1.0004747586643457</v>
      </c>
      <c r="AG450" s="93">
        <f>IFERROR(SUM(AH427:AH429)/SUM(AG427:AG429),1)</f>
        <v>1.0003870718018193</v>
      </c>
      <c r="AH450" s="93">
        <f>IFERROR(SUM(AI427:AI428)/SUM(AH427:AH428),1)</f>
        <v>1.0013025073266038</v>
      </c>
      <c r="AI450" s="93">
        <f>IFERROR(SUM(AJ427:AJ427)/SUM(AI427:AI427),1)</f>
        <v>1</v>
      </c>
      <c r="AJ450" s="93">
        <v>1</v>
      </c>
      <c r="AK450" s="285"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5"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5"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5"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1.2323062361972867</v>
      </c>
      <c r="D451" s="93">
        <f t="shared" ref="D451:K451" si="699">IF(D450=0,1,D450)</f>
        <v>1.0272380689908593</v>
      </c>
      <c r="E451" s="93">
        <f t="shared" si="699"/>
        <v>1.0107359505551103</v>
      </c>
      <c r="F451" s="93">
        <f t="shared" si="699"/>
        <v>1.0064956230210467</v>
      </c>
      <c r="G451" s="93">
        <f t="shared" si="699"/>
        <v>1.0033911730488378</v>
      </c>
      <c r="H451" s="93">
        <f t="shared" si="699"/>
        <v>1.0017424727738629</v>
      </c>
      <c r="I451" s="93">
        <f t="shared" si="699"/>
        <v>1.0010261832203495</v>
      </c>
      <c r="J451" s="93">
        <f t="shared" si="699"/>
        <v>1.0007390983000739</v>
      </c>
      <c r="K451" s="93">
        <f t="shared" si="699"/>
        <v>1.0010169984018598</v>
      </c>
      <c r="L451" s="93">
        <f>IF(L450=0,1,L450)</f>
        <v>1</v>
      </c>
      <c r="M451" s="285" t="s">
        <v>40</v>
      </c>
      <c r="N451" s="107"/>
      <c r="O451" s="93">
        <f>IF(O450=0,1,O450)</f>
        <v>1.2461957069434646</v>
      </c>
      <c r="P451" s="93">
        <f t="shared" ref="P451:W451" si="700">IF(P450=0,1,P450)</f>
        <v>1.0209410979476055</v>
      </c>
      <c r="Q451" s="93">
        <f t="shared" si="700"/>
        <v>1.0058794302749254</v>
      </c>
      <c r="R451" s="93">
        <f t="shared" si="700"/>
        <v>1.0024240325512943</v>
      </c>
      <c r="S451" s="93">
        <f t="shared" si="700"/>
        <v>1.0014272121788772</v>
      </c>
      <c r="T451" s="93">
        <f t="shared" si="700"/>
        <v>1.0008015228934977</v>
      </c>
      <c r="U451" s="93">
        <f t="shared" si="700"/>
        <v>1.0001248907206195</v>
      </c>
      <c r="V451" s="93">
        <f t="shared" si="700"/>
        <v>1</v>
      </c>
      <c r="W451" s="93">
        <f t="shared" si="700"/>
        <v>1</v>
      </c>
      <c r="X451" s="93">
        <f>IF(X450=0,1,X450)</f>
        <v>1</v>
      </c>
      <c r="Y451" s="285" t="s">
        <v>40</v>
      </c>
      <c r="Z451" s="107"/>
      <c r="AA451" s="93">
        <f>IF(AA450=0,1,AA450)</f>
        <v>1.2282055238389138</v>
      </c>
      <c r="AB451" s="93">
        <f t="shared" ref="AB451:AI451" si="701">IF(AB450=0,1,AB450)</f>
        <v>1.017250392054365</v>
      </c>
      <c r="AC451" s="93">
        <f t="shared" si="701"/>
        <v>1.0072682391662096</v>
      </c>
      <c r="AD451" s="93">
        <f t="shared" si="701"/>
        <v>1.0040556199304751</v>
      </c>
      <c r="AE451" s="93">
        <f t="shared" si="701"/>
        <v>1.0015444015444015</v>
      </c>
      <c r="AF451" s="93">
        <f t="shared" si="701"/>
        <v>1.0004747586643457</v>
      </c>
      <c r="AG451" s="93">
        <f t="shared" si="701"/>
        <v>1.0003870718018193</v>
      </c>
      <c r="AH451" s="93">
        <f t="shared" si="701"/>
        <v>1.0013025073266038</v>
      </c>
      <c r="AI451" s="93">
        <f t="shared" si="701"/>
        <v>1</v>
      </c>
      <c r="AJ451" s="93">
        <f>IF(AJ450=0,1,AJ450)</f>
        <v>1</v>
      </c>
      <c r="AK451" s="285"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5"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5"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5"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1.297996367765738</v>
      </c>
      <c r="D452" s="113">
        <f>PRODUCT(D451:L451)</f>
        <v>1.0533066616388811</v>
      </c>
      <c r="E452" s="113">
        <f>PRODUCT(E451:L451)</f>
        <v>1.0253773623028113</v>
      </c>
      <c r="F452" s="113">
        <f>PRODUCT(F451:L451)</f>
        <v>1.0144858919282131</v>
      </c>
      <c r="G452" s="113">
        <f>PRODUCT(G451:L451)</f>
        <v>1.0079387020911064</v>
      </c>
      <c r="H452" s="113">
        <f>PRODUCT(H451:L451)</f>
        <v>1.0045321597044259</v>
      </c>
      <c r="I452" s="113">
        <f>PRODUCT(I451:L451)</f>
        <v>1.0027848344323846</v>
      </c>
      <c r="J452" s="113">
        <f>PRODUCT(J451:L451)</f>
        <v>1.0017568483637236</v>
      </c>
      <c r="K452" s="113">
        <f>PRODUCT(K451:L451)</f>
        <v>1.0010169984018598</v>
      </c>
      <c r="L452" s="114">
        <f>PRODUCT(L451:L451)</f>
        <v>1</v>
      </c>
      <c r="M452" s="111" t="s">
        <v>39</v>
      </c>
      <c r="N452" s="115"/>
      <c r="O452" s="113">
        <f>PRODUCT(O451:X451)</f>
        <v>1.2858962111298549</v>
      </c>
      <c r="P452" s="113">
        <f>PRODUCT(P451:X451)</f>
        <v>1.0318573591332325</v>
      </c>
      <c r="Q452" s="113">
        <f>PRODUCT(Q451:X451)</f>
        <v>1.0106923516034096</v>
      </c>
      <c r="R452" s="113">
        <f>PRODUCT(R451:X451)</f>
        <v>1.0047847894922841</v>
      </c>
      <c r="S452" s="113">
        <f>PRODUCT(S451:X451)</f>
        <v>1.0023550482274268</v>
      </c>
      <c r="T452" s="113">
        <f>PRODUCT(T451:X451)</f>
        <v>1.000926513716889</v>
      </c>
      <c r="U452" s="113">
        <f>PRODUCT(U451:X451)</f>
        <v>1.0001248907206195</v>
      </c>
      <c r="V452" s="113">
        <f>PRODUCT(V451:X451)</f>
        <v>1</v>
      </c>
      <c r="W452" s="113">
        <f>PRODUCT(W451:X451)</f>
        <v>1</v>
      </c>
      <c r="X452" s="114">
        <f>PRODUCT(X451:X451)</f>
        <v>1</v>
      </c>
      <c r="Y452" s="111" t="s">
        <v>39</v>
      </c>
      <c r="Z452" s="115"/>
      <c r="AA452" s="113">
        <f>PRODUCT(AA451:AJ451)</f>
        <v>1.2682694805038135</v>
      </c>
      <c r="AB452" s="113">
        <f>PRODUCT(AB451:AJ451)</f>
        <v>1.0326199124554292</v>
      </c>
      <c r="AC452" s="113">
        <f>PRODUCT(AC451:AJ451)</f>
        <v>1.0151088861907687</v>
      </c>
      <c r="AD452" s="113">
        <f>PRODUCT(AD451:AJ451)</f>
        <v>1.0077840705382008</v>
      </c>
      <c r="AE452" s="113">
        <f>PRODUCT(AE451:AJ451)</f>
        <v>1.0037133905071753</v>
      </c>
      <c r="AF452" s="113">
        <f>PRODUCT(AF451:AJ451)</f>
        <v>1.0021656443383129</v>
      </c>
      <c r="AG452" s="113">
        <f>PRODUCT(AG451:AJ451)</f>
        <v>1.0016900832922808</v>
      </c>
      <c r="AH452" s="113">
        <f>PRODUCT(AH451:AJ451)</f>
        <v>1.0013025073266038</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17657.942587085101</v>
      </c>
      <c r="D453" s="99">
        <f>D452*D435</f>
        <v>18229.578392984116</v>
      </c>
      <c r="E453" s="99">
        <f>E452*E434</f>
        <v>16053.307984212814</v>
      </c>
      <c r="F453" s="99">
        <f>F452*F433</f>
        <v>15070.187924593607</v>
      </c>
      <c r="G453" s="99">
        <f>G452*G432</f>
        <v>14755.214659911706</v>
      </c>
      <c r="H453" s="99">
        <f>H452*H431</f>
        <v>14973.556372554172</v>
      </c>
      <c r="I453" s="99">
        <f>I452*I430</f>
        <v>13842.441854504637</v>
      </c>
      <c r="J453" s="99">
        <f>J452*J429</f>
        <v>11916.899468134856</v>
      </c>
      <c r="K453" s="99">
        <f>K452*K428</f>
        <v>13440.65523754177</v>
      </c>
      <c r="L453" s="99">
        <f>L452*L427</f>
        <v>6890</v>
      </c>
      <c r="M453" s="95" t="s">
        <v>208</v>
      </c>
      <c r="N453" s="106"/>
      <c r="O453" s="99">
        <f>O452*O436</f>
        <v>4693.5211706239706</v>
      </c>
      <c r="P453" s="99">
        <f>P452*P435</f>
        <v>4484.4520827930282</v>
      </c>
      <c r="Q453" s="99">
        <f>Q452*Q434</f>
        <v>4067.0260228521206</v>
      </c>
      <c r="R453" s="99">
        <f>R452*R433</f>
        <v>4206.0291288147009</v>
      </c>
      <c r="S453" s="99">
        <f>S452*S432</f>
        <v>4089.6085967679014</v>
      </c>
      <c r="T453" s="99">
        <f>T452*T431</f>
        <v>3909.6189625781685</v>
      </c>
      <c r="U453" s="99">
        <f>U452*U430</f>
        <v>3608.4506057199951</v>
      </c>
      <c r="V453" s="99">
        <f>V452*V429</f>
        <v>3015</v>
      </c>
      <c r="W453" s="99">
        <f>W452*W428</f>
        <v>3367</v>
      </c>
      <c r="X453" s="99">
        <f>X452*X427</f>
        <v>1626</v>
      </c>
      <c r="Y453" s="95" t="s">
        <v>208</v>
      </c>
      <c r="Z453" s="106"/>
      <c r="AA453" s="99">
        <f>AA452*AA436</f>
        <v>3060.334256455702</v>
      </c>
      <c r="AB453" s="99">
        <f>AB452*AB435</f>
        <v>2870.683356626093</v>
      </c>
      <c r="AC453" s="99">
        <f>AC452*AC434</f>
        <v>2770.2321504146075</v>
      </c>
      <c r="AD453" s="99">
        <f>AD452*AD433</f>
        <v>2571.8649480134886</v>
      </c>
      <c r="AE453" s="99">
        <f>AE452*AE432</f>
        <v>2560.4728591838043</v>
      </c>
      <c r="AF453" s="99">
        <f>AF452*AF431</f>
        <v>2268.9030187819403</v>
      </c>
      <c r="AG453" s="99">
        <f>AG452*AG430</f>
        <v>2129.5931170793892</v>
      </c>
      <c r="AH453" s="99">
        <f>AH452*AH429</f>
        <v>2100.7326603712145</v>
      </c>
      <c r="AI453" s="99">
        <f>AI452*AI428</f>
        <v>2102</v>
      </c>
      <c r="AJ453" s="99">
        <f>AJ452*AJ427</f>
        <v>973</v>
      </c>
      <c r="AK453" s="95" t="s">
        <v>208</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208</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208</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208</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6VBAqOkWy5FqXzNi8TNkOGoA2bUqZDwgTXQ4pHQdKjVBZOa50KVgbPsV1otDCBHhECarSc0eBQGA60BQQsd7gw==" saltValue="4pYF+32nYS251tCkjbi+eA=="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&amp;L1/3/2023 Edition
&amp;CStandard Exhibits Template
Portions of the material contained in this document are protected by copyright owned by the State Farm Mutual Automobile Insurance Company, 2023&amp;RPage 3.&amp;P
</oddFooter>
  </headerFooter>
  <rowBreaks count="12" manualBreakCount="12">
    <brk id="27" max="35" man="1"/>
    <brk id="62" max="35" man="1"/>
    <brk id="97" max="35" man="1"/>
    <brk id="132" max="35" man="1"/>
    <brk id="170" max="35" man="1"/>
    <brk id="205" max="16383" man="1"/>
    <brk id="240" max="16383" man="1"/>
    <brk id="275" max="16383" man="1"/>
    <brk id="313" max="16383" man="1"/>
    <brk id="348" max="35" man="1"/>
    <brk id="383" max="35"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B10" sqref="B10"/>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Homeowners Multiple Peril</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Renters</v>
      </c>
      <c r="U5" s="40"/>
      <c r="V5" s="41"/>
      <c r="W5" s="41"/>
      <c r="X5" s="41"/>
      <c r="Y5" s="41"/>
      <c r="Z5" s="41"/>
      <c r="AA5" s="41"/>
      <c r="AB5" s="41"/>
      <c r="AC5" s="41"/>
      <c r="AD5" s="41"/>
      <c r="AE5" s="41"/>
      <c r="AF5" s="41"/>
      <c r="AG5" s="41"/>
      <c r="AH5" s="41"/>
      <c r="AI5" s="2"/>
      <c r="AJ5" s="2"/>
      <c r="AK5" s="2"/>
      <c r="AL5" s="138" t="str">
        <f>Covg03</f>
        <v>Condominium Unitowners</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279481.25</v>
      </c>
      <c r="E11" s="84">
        <v>8734</v>
      </c>
      <c r="F11" s="84">
        <v>11120</v>
      </c>
      <c r="G11" s="84">
        <v>124940471.66</v>
      </c>
      <c r="H11" s="84">
        <v>126743443.14</v>
      </c>
      <c r="I11" s="13"/>
      <c r="J11" s="34"/>
      <c r="K11" s="34"/>
      <c r="L11" s="34"/>
      <c r="M11" s="34"/>
      <c r="N11" s="34"/>
      <c r="O11" s="4"/>
      <c r="P11" s="34"/>
      <c r="Q11" s="34"/>
      <c r="R11" s="34"/>
      <c r="S11" s="34"/>
      <c r="T11" s="31">
        <f t="shared" ref="T11:T35" si="38">IF(RIGHT(T12,1)="1",T12-7,T12-1)</f>
        <v>20154</v>
      </c>
      <c r="U11" s="13"/>
      <c r="V11" s="84">
        <v>119095.79</v>
      </c>
      <c r="W11" s="84">
        <v>1849</v>
      </c>
      <c r="X11" s="84">
        <v>2606</v>
      </c>
      <c r="Y11" s="84">
        <v>9021800.9900000002</v>
      </c>
      <c r="Z11" s="84">
        <v>9642256.1899999995</v>
      </c>
      <c r="AA11" s="13"/>
      <c r="AB11" s="34"/>
      <c r="AC11" s="34"/>
      <c r="AD11" s="34"/>
      <c r="AE11" s="34"/>
      <c r="AF11" s="34"/>
      <c r="AG11" s="4"/>
      <c r="AH11" s="34"/>
      <c r="AI11" s="34"/>
      <c r="AJ11" s="34"/>
      <c r="AK11" s="34"/>
      <c r="AL11" s="31">
        <f t="shared" ref="AL11:AL35" si="39">IF(RIGHT(AL12,1)="1",AL12-7,AL12-1)</f>
        <v>20154</v>
      </c>
      <c r="AM11" s="13"/>
      <c r="AN11" s="84">
        <v>35347.81</v>
      </c>
      <c r="AO11" s="84">
        <v>1475</v>
      </c>
      <c r="AP11" s="84">
        <v>1901</v>
      </c>
      <c r="AQ11" s="84">
        <v>12495032.41</v>
      </c>
      <c r="AR11" s="84">
        <v>12956465.43</v>
      </c>
      <c r="AS11" s="13"/>
      <c r="AT11" s="34"/>
      <c r="AU11" s="34"/>
      <c r="AV11" s="34"/>
      <c r="AW11" s="34"/>
      <c r="AX11" s="34"/>
      <c r="AY11" s="4"/>
      <c r="AZ11" s="34"/>
      <c r="BA11" s="34"/>
      <c r="BB11" s="34"/>
      <c r="BC11" s="34"/>
      <c r="BD11" s="31">
        <f t="shared" ref="BD11:BD35" si="40">IF(RIGHT(BD12,1)="1",BD12-7,BD12-1)</f>
        <v>20154</v>
      </c>
      <c r="BE11" s="13"/>
      <c r="BF11" s="84"/>
      <c r="BG11" s="84"/>
      <c r="BH11" s="84"/>
      <c r="BI11" s="84"/>
      <c r="BJ11" s="84"/>
      <c r="BK11" s="13"/>
      <c r="BL11" s="34"/>
      <c r="BM11" s="34"/>
      <c r="BN11" s="34"/>
      <c r="BO11" s="34"/>
      <c r="BP11" s="34"/>
      <c r="BQ11" s="4"/>
      <c r="BR11" s="34"/>
      <c r="BS11" s="34"/>
      <c r="BT11" s="34"/>
      <c r="BU11" s="34"/>
      <c r="BV11" s="31">
        <f t="shared" ref="BV11:BV35" si="41">IF(RIGHT(BV12,1)="1",BV12-7,BV12-1)</f>
        <v>20154</v>
      </c>
      <c r="BW11" s="13"/>
      <c r="BX11" s="84"/>
      <c r="BY11" s="84"/>
      <c r="BZ11" s="84"/>
      <c r="CA11" s="84"/>
      <c r="CB11" s="84"/>
      <c r="CC11" s="13"/>
      <c r="CD11" s="34"/>
      <c r="CE11" s="34"/>
      <c r="CF11" s="34"/>
      <c r="CG11" s="34"/>
      <c r="CH11" s="34"/>
      <c r="CI11" s="4"/>
      <c r="CJ11" s="34"/>
      <c r="CK11" s="34"/>
      <c r="CL11" s="34"/>
      <c r="CM11" s="34"/>
      <c r="CN11" s="31">
        <f t="shared" ref="CN11:CN35" si="42">IF(RIGHT(CN12,1)="1",CN12-7,CN12-1)</f>
        <v>20154</v>
      </c>
      <c r="CO11" s="13"/>
      <c r="CP11" s="84"/>
      <c r="CQ11" s="84"/>
      <c r="CR11" s="84"/>
      <c r="CS11" s="84"/>
      <c r="CT11" s="84"/>
      <c r="CU11" s="13"/>
      <c r="CV11" s="34"/>
      <c r="CW11" s="34"/>
      <c r="CX11" s="34"/>
      <c r="CY11" s="34"/>
      <c r="CZ11" s="34"/>
      <c r="DA11" s="4"/>
      <c r="DB11" s="34"/>
      <c r="DC11" s="34"/>
      <c r="DD11" s="34"/>
      <c r="DE11" s="34"/>
      <c r="DF11" s="31">
        <f t="shared" ref="DF11:DF35" si="43">IF(RIGHT(DF12,1)="1",DF12-7,DF12-1)</f>
        <v>20154</v>
      </c>
      <c r="DG11" s="13"/>
      <c r="DH11" s="84"/>
      <c r="DI11" s="84"/>
      <c r="DJ11" s="84"/>
      <c r="DK11" s="84"/>
      <c r="DL11" s="84"/>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279969.34999999998</v>
      </c>
      <c r="E12" s="16">
        <v>8900</v>
      </c>
      <c r="F12" s="16">
        <v>12318</v>
      </c>
      <c r="G12" s="16">
        <v>129793779.5</v>
      </c>
      <c r="H12" s="16">
        <v>119354099.84999999</v>
      </c>
      <c r="I12" s="13"/>
      <c r="J12" s="35"/>
      <c r="K12" s="35"/>
      <c r="L12" s="35"/>
      <c r="M12" s="35"/>
      <c r="N12" s="35"/>
      <c r="O12" s="4"/>
      <c r="P12" s="35"/>
      <c r="Q12" s="35"/>
      <c r="R12" s="35"/>
      <c r="S12" s="35"/>
      <c r="T12" s="31">
        <f t="shared" si="38"/>
        <v>20161</v>
      </c>
      <c r="U12" s="15"/>
      <c r="V12" s="16">
        <v>121085.57</v>
      </c>
      <c r="W12" s="16">
        <v>1977</v>
      </c>
      <c r="X12" s="16">
        <v>2787</v>
      </c>
      <c r="Y12" s="16">
        <v>10403920.789999999</v>
      </c>
      <c r="Z12" s="16">
        <v>10898188.09</v>
      </c>
      <c r="AA12" s="13"/>
      <c r="AB12" s="35"/>
      <c r="AC12" s="35"/>
      <c r="AD12" s="35"/>
      <c r="AE12" s="35"/>
      <c r="AF12" s="35"/>
      <c r="AG12" s="4"/>
      <c r="AH12" s="35"/>
      <c r="AI12" s="35"/>
      <c r="AJ12" s="35"/>
      <c r="AK12" s="35"/>
      <c r="AL12" s="31">
        <f t="shared" si="39"/>
        <v>20161</v>
      </c>
      <c r="AM12" s="15"/>
      <c r="AN12" s="16">
        <v>35421.440000000002</v>
      </c>
      <c r="AO12" s="16">
        <v>1448</v>
      </c>
      <c r="AP12" s="16">
        <v>1989</v>
      </c>
      <c r="AQ12" s="16">
        <v>12060916.66</v>
      </c>
      <c r="AR12" s="16">
        <v>12521216.41</v>
      </c>
      <c r="AS12" s="13"/>
      <c r="AT12" s="35"/>
      <c r="AU12" s="35"/>
      <c r="AV12" s="35"/>
      <c r="AW12" s="35"/>
      <c r="AX12" s="35"/>
      <c r="AY12" s="4"/>
      <c r="AZ12" s="35"/>
      <c r="BA12" s="35"/>
      <c r="BB12" s="35"/>
      <c r="BC12" s="35"/>
      <c r="BD12" s="31">
        <f t="shared" si="40"/>
        <v>20161</v>
      </c>
      <c r="BE12" s="15"/>
      <c r="BF12" s="16"/>
      <c r="BG12" s="16"/>
      <c r="BH12" s="16"/>
      <c r="BI12" s="16"/>
      <c r="BJ12" s="16"/>
      <c r="BK12" s="13"/>
      <c r="BL12" s="35"/>
      <c r="BM12" s="35"/>
      <c r="BN12" s="35"/>
      <c r="BO12" s="35"/>
      <c r="BP12" s="35"/>
      <c r="BQ12" s="4"/>
      <c r="BR12" s="35"/>
      <c r="BS12" s="35"/>
      <c r="BT12" s="35"/>
      <c r="BU12" s="35"/>
      <c r="BV12" s="31">
        <f t="shared" si="41"/>
        <v>20161</v>
      </c>
      <c r="BW12" s="15"/>
      <c r="BX12" s="16"/>
      <c r="BY12" s="16"/>
      <c r="BZ12" s="16"/>
      <c r="CA12" s="16"/>
      <c r="CB12" s="16"/>
      <c r="CC12" s="13"/>
      <c r="CD12" s="35"/>
      <c r="CE12" s="35"/>
      <c r="CF12" s="35"/>
      <c r="CG12" s="35"/>
      <c r="CH12" s="35"/>
      <c r="CI12" s="4"/>
      <c r="CJ12" s="35"/>
      <c r="CK12" s="35"/>
      <c r="CL12" s="35"/>
      <c r="CM12" s="35"/>
      <c r="CN12" s="31">
        <f t="shared" si="42"/>
        <v>20161</v>
      </c>
      <c r="CO12" s="15"/>
      <c r="CP12" s="16"/>
      <c r="CQ12" s="16"/>
      <c r="CR12" s="16"/>
      <c r="CS12" s="16"/>
      <c r="CT12" s="16"/>
      <c r="CU12" s="13"/>
      <c r="CV12" s="35"/>
      <c r="CW12" s="35"/>
      <c r="CX12" s="35"/>
      <c r="CY12" s="35"/>
      <c r="CZ12" s="35"/>
      <c r="DA12" s="4"/>
      <c r="DB12" s="35"/>
      <c r="DC12" s="35"/>
      <c r="DD12" s="35"/>
      <c r="DE12" s="35"/>
      <c r="DF12" s="31">
        <f t="shared" si="43"/>
        <v>20161</v>
      </c>
      <c r="DG12" s="15"/>
      <c r="DH12" s="16"/>
      <c r="DI12" s="16"/>
      <c r="DJ12" s="16"/>
      <c r="DK12" s="16"/>
      <c r="DL12" s="16"/>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280619.82</v>
      </c>
      <c r="E13" s="16">
        <v>7091</v>
      </c>
      <c r="F13" s="16">
        <v>10385</v>
      </c>
      <c r="G13" s="16">
        <v>127747936.73</v>
      </c>
      <c r="H13" s="16">
        <v>115477869.79000001</v>
      </c>
      <c r="I13" s="13"/>
      <c r="J13" s="35"/>
      <c r="K13" s="35"/>
      <c r="L13" s="35"/>
      <c r="M13" s="35"/>
      <c r="N13" s="35"/>
      <c r="O13" s="13"/>
      <c r="P13" s="35"/>
      <c r="Q13" s="35"/>
      <c r="R13" s="35"/>
      <c r="S13" s="35"/>
      <c r="T13" s="31">
        <f t="shared" si="38"/>
        <v>20162</v>
      </c>
      <c r="U13" s="15"/>
      <c r="V13" s="16">
        <v>123555.12</v>
      </c>
      <c r="W13" s="16">
        <v>1743</v>
      </c>
      <c r="X13" s="16">
        <v>2614</v>
      </c>
      <c r="Y13" s="16">
        <v>10237972.24</v>
      </c>
      <c r="Z13" s="16">
        <v>9612312.379999999</v>
      </c>
      <c r="AA13" s="13"/>
      <c r="AB13" s="35"/>
      <c r="AC13" s="35"/>
      <c r="AD13" s="35"/>
      <c r="AE13" s="35"/>
      <c r="AF13" s="35"/>
      <c r="AG13" s="13"/>
      <c r="AH13" s="35"/>
      <c r="AI13" s="35"/>
      <c r="AJ13" s="35"/>
      <c r="AK13" s="35"/>
      <c r="AL13" s="31">
        <f t="shared" si="39"/>
        <v>20162</v>
      </c>
      <c r="AM13" s="15"/>
      <c r="AN13" s="16">
        <v>35566.07</v>
      </c>
      <c r="AO13" s="16">
        <v>1267</v>
      </c>
      <c r="AP13" s="16">
        <v>1732</v>
      </c>
      <c r="AQ13" s="16">
        <v>13128821.58</v>
      </c>
      <c r="AR13" s="16">
        <v>13221303.699999999</v>
      </c>
      <c r="AS13" s="13"/>
      <c r="AT13" s="35"/>
      <c r="AU13" s="35"/>
      <c r="AV13" s="35"/>
      <c r="AW13" s="35"/>
      <c r="AX13" s="35"/>
      <c r="AY13" s="13"/>
      <c r="AZ13" s="35"/>
      <c r="BA13" s="35"/>
      <c r="BB13" s="35"/>
      <c r="BC13" s="35"/>
      <c r="BD13" s="31">
        <f t="shared" si="40"/>
        <v>20162</v>
      </c>
      <c r="BE13" s="15"/>
      <c r="BF13" s="16"/>
      <c r="BG13" s="16"/>
      <c r="BH13" s="16"/>
      <c r="BI13" s="16"/>
      <c r="BJ13" s="16"/>
      <c r="BK13" s="13"/>
      <c r="BL13" s="35"/>
      <c r="BM13" s="35"/>
      <c r="BN13" s="35"/>
      <c r="BO13" s="35"/>
      <c r="BP13" s="35"/>
      <c r="BQ13" s="13"/>
      <c r="BR13" s="35"/>
      <c r="BS13" s="35"/>
      <c r="BT13" s="35"/>
      <c r="BU13" s="35"/>
      <c r="BV13" s="31">
        <f t="shared" si="41"/>
        <v>20162</v>
      </c>
      <c r="BW13" s="15"/>
      <c r="BX13" s="16"/>
      <c r="BY13" s="16"/>
      <c r="BZ13" s="16"/>
      <c r="CA13" s="16"/>
      <c r="CB13" s="16"/>
      <c r="CC13" s="13"/>
      <c r="CD13" s="35"/>
      <c r="CE13" s="35"/>
      <c r="CF13" s="35"/>
      <c r="CG13" s="35"/>
      <c r="CH13" s="35"/>
      <c r="CI13" s="13"/>
      <c r="CJ13" s="35"/>
      <c r="CK13" s="35"/>
      <c r="CL13" s="35"/>
      <c r="CM13" s="35"/>
      <c r="CN13" s="31">
        <f t="shared" si="42"/>
        <v>20162</v>
      </c>
      <c r="CO13" s="15"/>
      <c r="CP13" s="16"/>
      <c r="CQ13" s="16"/>
      <c r="CR13" s="16"/>
      <c r="CS13" s="16"/>
      <c r="CT13" s="16"/>
      <c r="CU13" s="13"/>
      <c r="CV13" s="35"/>
      <c r="CW13" s="35"/>
      <c r="CX13" s="35"/>
      <c r="CY13" s="35"/>
      <c r="CZ13" s="35"/>
      <c r="DA13" s="13"/>
      <c r="DB13" s="35"/>
      <c r="DC13" s="35"/>
      <c r="DD13" s="35"/>
      <c r="DE13" s="35"/>
      <c r="DF13" s="31">
        <f t="shared" si="43"/>
        <v>20162</v>
      </c>
      <c r="DG13" s="15"/>
      <c r="DH13" s="16"/>
      <c r="DI13" s="16"/>
      <c r="DJ13" s="16"/>
      <c r="DK13" s="16"/>
      <c r="DL13" s="16"/>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281161.95</v>
      </c>
      <c r="E14" s="16">
        <v>7822</v>
      </c>
      <c r="F14" s="16">
        <v>11040</v>
      </c>
      <c r="G14" s="16">
        <v>137426437.16</v>
      </c>
      <c r="H14" s="16">
        <v>135093435.15000001</v>
      </c>
      <c r="I14" s="13"/>
      <c r="J14" s="33">
        <f>IF(COUNT(D11:D14)&lt;4,"",SUM(D11:D14))</f>
        <v>1121232.3699999999</v>
      </c>
      <c r="K14" s="33">
        <f>IF(COUNT(D11:D14)&lt;4,"",SUM(E11:E14))</f>
        <v>32547</v>
      </c>
      <c r="L14" s="33">
        <f>IF(COUNT(D11:D14)&lt;4,"",SUM(F11:F14))</f>
        <v>44863</v>
      </c>
      <c r="M14" s="33">
        <f>IF(COUNT(D11:D14)&lt;4,"",SUM(G11:G14))</f>
        <v>519908625.04999995</v>
      </c>
      <c r="N14" s="33">
        <f>IF(COUNT(D11:D14)&lt;4,"",SUM(H11:H14))</f>
        <v>496668847.93000007</v>
      </c>
      <c r="O14" s="13"/>
      <c r="P14" s="55">
        <f>IFERROR(K14/J14*100,0)</f>
        <v>2.9027881169716858</v>
      </c>
      <c r="Q14" s="55">
        <f>IFERROR(L14/J14*100,0)</f>
        <v>4.001222333600662</v>
      </c>
      <c r="R14" s="56">
        <f>IFERROR(M14/K14,0)</f>
        <v>15974.0874750361</v>
      </c>
      <c r="S14" s="56">
        <f>IFERROR(N14/K14,0)</f>
        <v>15260.050017820386</v>
      </c>
      <c r="T14" s="31">
        <f t="shared" si="38"/>
        <v>20163</v>
      </c>
      <c r="U14" s="15"/>
      <c r="V14" s="16">
        <v>125243.27</v>
      </c>
      <c r="W14" s="16">
        <v>1939</v>
      </c>
      <c r="X14" s="16">
        <v>2827</v>
      </c>
      <c r="Y14" s="16">
        <v>11533546.789999999</v>
      </c>
      <c r="Z14" s="16">
        <v>11397533.720000001</v>
      </c>
      <c r="AA14" s="13"/>
      <c r="AB14" s="33">
        <f>IF(COUNT(V11:V14)&lt;4,"",SUM(V11:V14))</f>
        <v>488979.75</v>
      </c>
      <c r="AC14" s="33">
        <f>IF(COUNT(V11:V14)&lt;4,"",SUM(W11:W14))</f>
        <v>7508</v>
      </c>
      <c r="AD14" s="33">
        <f>IF(COUNT(V11:V14)&lt;4,"",SUM(X11:X14))</f>
        <v>10834</v>
      </c>
      <c r="AE14" s="33">
        <f>IF(COUNT(V11:V14)&lt;4,"",SUM(Y11:Y14))</f>
        <v>41197240.810000002</v>
      </c>
      <c r="AF14" s="33">
        <f>IF(COUNT(V11:V14)&lt;4,"",SUM(Z11:Z14))</f>
        <v>41550290.380000003</v>
      </c>
      <c r="AG14" s="13"/>
      <c r="AH14" s="55">
        <f>IFERROR(AC14/AB14*100,0)</f>
        <v>1.5354419073591494</v>
      </c>
      <c r="AI14" s="55">
        <f>IFERROR(AD14/AB14*100,0)</f>
        <v>2.2156336739916118</v>
      </c>
      <c r="AJ14" s="56">
        <f>IFERROR(AE14/AC14,0)</f>
        <v>5487.1125213106025</v>
      </c>
      <c r="AK14" s="56">
        <f>IFERROR(AF14/AC14,0)</f>
        <v>5534.1356393180613</v>
      </c>
      <c r="AL14" s="31">
        <f t="shared" si="39"/>
        <v>20163</v>
      </c>
      <c r="AM14" s="15"/>
      <c r="AN14" s="16">
        <v>35678.699999999997</v>
      </c>
      <c r="AO14" s="16">
        <v>1384</v>
      </c>
      <c r="AP14" s="16">
        <v>1947</v>
      </c>
      <c r="AQ14" s="16">
        <v>13754930.609999999</v>
      </c>
      <c r="AR14" s="16">
        <v>13411935.859999999</v>
      </c>
      <c r="AS14" s="13"/>
      <c r="AT14" s="33">
        <f>IF(COUNT(AN11:AN14)&lt;4,"",SUM(AN11:AN14))</f>
        <v>142014.02000000002</v>
      </c>
      <c r="AU14" s="33">
        <f>IF(COUNT(AN11:AN14)&lt;4,"",SUM(AO11:AO14))</f>
        <v>5574</v>
      </c>
      <c r="AV14" s="33">
        <f>IF(COUNT(AN11:AN14)&lt;4,"",SUM(AP11:AP14))</f>
        <v>7569</v>
      </c>
      <c r="AW14" s="33">
        <f>IF(COUNT(AN11:AN14)&lt;4,"",SUM(AQ11:AQ14))</f>
        <v>51439701.259999998</v>
      </c>
      <c r="AX14" s="33">
        <f>IF(COUNT(AN11:AN14)&lt;4,"",SUM(AR11:AR14))</f>
        <v>52110921.399999999</v>
      </c>
      <c r="AY14" s="13"/>
      <c r="AZ14" s="55">
        <f>IFERROR(AU14/AT14*100,0)</f>
        <v>3.924964591524132</v>
      </c>
      <c r="BA14" s="55">
        <f>IFERROR(AV14/AT14*100,0)</f>
        <v>5.3297554706218433</v>
      </c>
      <c r="BB14" s="56">
        <f>IFERROR(AW14/AU14,0)</f>
        <v>9228.5075816289918</v>
      </c>
      <c r="BC14" s="56">
        <f>IFERROR(AX14/AU14,0)</f>
        <v>9348.9274129888763</v>
      </c>
      <c r="BD14" s="31">
        <f t="shared" si="40"/>
        <v>20163</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20163</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20163</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20163</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281534.67</v>
      </c>
      <c r="E15" s="16">
        <v>8094</v>
      </c>
      <c r="F15" s="16">
        <v>11655</v>
      </c>
      <c r="G15" s="16">
        <v>138162580.69999999</v>
      </c>
      <c r="H15" s="16">
        <v>149693311.74000001</v>
      </c>
      <c r="I15" s="13"/>
      <c r="J15" s="33">
        <f t="shared" ref="J15:J37" si="47">IF(COUNT(D12:D15)&lt;4,"",SUM(D12:D15))</f>
        <v>1123285.7899999998</v>
      </c>
      <c r="K15" s="33">
        <f t="shared" ref="K15:K37" si="48">IF(COUNT(D12:D15)&lt;4,"",SUM(E12:E15))</f>
        <v>31907</v>
      </c>
      <c r="L15" s="33">
        <f t="shared" ref="L15:L37" si="49">IF(COUNT(D12:D15)&lt;4,"",SUM(F12:F15))</f>
        <v>45398</v>
      </c>
      <c r="M15" s="33">
        <f t="shared" ref="M15:M37" si="50">IF(COUNT(D12:D15)&lt;4,"",SUM(G12:G15))</f>
        <v>533130734.08999997</v>
      </c>
      <c r="N15" s="33">
        <f t="shared" ref="N15:N37" si="51">IF(COUNT(D12:D15)&lt;4,"",SUM(H12:H15))</f>
        <v>519618716.52999997</v>
      </c>
      <c r="O15" s="13"/>
      <c r="P15" s="55">
        <f t="shared" ref="P15:P37" si="52">IFERROR(K15/J15*100,0)</f>
        <v>2.8405059766669001</v>
      </c>
      <c r="Q15" s="55">
        <f t="shared" ref="Q15:Q37" si="53">IFERROR(L15/J15*100,0)</f>
        <v>4.0415360368798048</v>
      </c>
      <c r="R15" s="56">
        <f t="shared" ref="R15:R37" si="54">IFERROR(M15/K15,0)</f>
        <v>16708.895668348636</v>
      </c>
      <c r="S15" s="56">
        <f t="shared" ref="S15:S37" si="55">IFERROR(N15/K15,0)</f>
        <v>16285.414377095934</v>
      </c>
      <c r="T15" s="31">
        <f t="shared" si="38"/>
        <v>20164</v>
      </c>
      <c r="U15" s="15"/>
      <c r="V15" s="16">
        <v>127202.89</v>
      </c>
      <c r="W15" s="16">
        <v>2169</v>
      </c>
      <c r="X15" s="16">
        <v>3070</v>
      </c>
      <c r="Y15" s="16">
        <v>12006797.16</v>
      </c>
      <c r="Z15" s="16">
        <v>12613075.1</v>
      </c>
      <c r="AA15" s="13"/>
      <c r="AB15" s="33">
        <f t="shared" ref="AB15:AB37" si="56">IF(COUNT(V12:V15)&lt;4,"",SUM(V12:V15))</f>
        <v>497086.85000000003</v>
      </c>
      <c r="AC15" s="33">
        <f t="shared" ref="AC15:AC37" si="57">IF(COUNT(V12:V15)&lt;4,"",SUM(W12:W15))</f>
        <v>7828</v>
      </c>
      <c r="AD15" s="33">
        <f t="shared" ref="AD15:AD37" si="58">IF(COUNT(V12:V15)&lt;4,"",SUM(X12:X15))</f>
        <v>11298</v>
      </c>
      <c r="AE15" s="33">
        <f t="shared" ref="AE15:AE37" si="59">IF(COUNT(V12:V15)&lt;4,"",SUM(Y12:Y15))</f>
        <v>44182236.980000004</v>
      </c>
      <c r="AF15" s="33">
        <f t="shared" ref="AF15:AF37" si="60">IF(COUNT(V12:V15)&lt;4,"",SUM(Z12:Z15))</f>
        <v>44521109.289999999</v>
      </c>
      <c r="AG15" s="13"/>
      <c r="AH15" s="55">
        <f t="shared" ref="AH15:AH37" si="61">IFERROR(AC15/AB15*100,0)</f>
        <v>1.5747751122364231</v>
      </c>
      <c r="AI15" s="55">
        <f t="shared" ref="AI15:AI37" si="62">IFERROR(AD15/AB15*100,0)</f>
        <v>2.2728422608644743</v>
      </c>
      <c r="AJ15" s="56">
        <f t="shared" ref="AJ15:AJ37" si="63">IFERROR(AE15/AC15,0)</f>
        <v>5644.128382728667</v>
      </c>
      <c r="AK15" s="56">
        <f t="shared" ref="AK15:AK37" si="64">IFERROR(AF15/AC15,0)</f>
        <v>5687.4181515074088</v>
      </c>
      <c r="AL15" s="31">
        <f t="shared" si="39"/>
        <v>20164</v>
      </c>
      <c r="AM15" s="15"/>
      <c r="AN15" s="16">
        <v>35707.839999999997</v>
      </c>
      <c r="AO15" s="16">
        <v>1426</v>
      </c>
      <c r="AP15" s="16">
        <v>1959</v>
      </c>
      <c r="AQ15" s="16">
        <v>13893216.609999999</v>
      </c>
      <c r="AR15" s="16">
        <v>13591019</v>
      </c>
      <c r="AS15" s="13"/>
      <c r="AT15" s="33">
        <f t="shared" ref="AT15:AT37" si="65">IF(COUNT(AN12:AN15)&lt;4,"",SUM(AN12:AN15))</f>
        <v>142374.04999999999</v>
      </c>
      <c r="AU15" s="33">
        <f t="shared" ref="AU15:AU37" si="66">IF(COUNT(AN12:AN15)&lt;4,"",SUM(AO12:AO15))</f>
        <v>5525</v>
      </c>
      <c r="AV15" s="33">
        <f t="shared" ref="AV15:AV37" si="67">IF(COUNT(AN12:AN15)&lt;4,"",SUM(AP12:AP15))</f>
        <v>7627</v>
      </c>
      <c r="AW15" s="33">
        <f t="shared" ref="AW15:AW37" si="68">IF(COUNT(AN12:AN15)&lt;4,"",SUM(AQ12:AQ15))</f>
        <v>52837885.460000001</v>
      </c>
      <c r="AX15" s="33">
        <f t="shared" ref="AX15:AX37" si="69">IF(COUNT(AN12:AN15)&lt;4,"",SUM(AR12:AR15))</f>
        <v>52745474.969999999</v>
      </c>
      <c r="AY15" s="13"/>
      <c r="AZ15" s="55">
        <f t="shared" ref="AZ15:AZ37" si="70">IFERROR(AU15/AT15*100,0)</f>
        <v>3.8806229084583888</v>
      </c>
      <c r="BA15" s="55">
        <f t="shared" ref="BA15:BA37" si="71">IFERROR(AV15/AT15*100,0)</f>
        <v>5.3570155516402052</v>
      </c>
      <c r="BB15" s="56">
        <f t="shared" ref="BB15:BB37" si="72">IFERROR(AW15/AU15,0)</f>
        <v>9563.4181828054298</v>
      </c>
      <c r="BC15" s="56">
        <f t="shared" ref="BC15:BC37" si="73">IFERROR(AX15/AU15,0)</f>
        <v>9546.6923022624433</v>
      </c>
      <c r="BD15" s="31">
        <f t="shared" si="40"/>
        <v>20164</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20164</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20164</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20164</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281689.78999999998</v>
      </c>
      <c r="E16" s="16">
        <v>9107</v>
      </c>
      <c r="F16" s="16">
        <v>12739</v>
      </c>
      <c r="G16" s="16">
        <v>142185279.47999999</v>
      </c>
      <c r="H16" s="16">
        <v>145386100.77000001</v>
      </c>
      <c r="I16" s="13"/>
      <c r="J16" s="33">
        <f t="shared" si="47"/>
        <v>1125006.23</v>
      </c>
      <c r="K16" s="33">
        <f t="shared" si="48"/>
        <v>32114</v>
      </c>
      <c r="L16" s="33">
        <f t="shared" si="49"/>
        <v>45819</v>
      </c>
      <c r="M16" s="33">
        <f t="shared" si="50"/>
        <v>545522234.06999993</v>
      </c>
      <c r="N16" s="33">
        <f t="shared" si="51"/>
        <v>545650717.45000005</v>
      </c>
      <c r="O16" s="13"/>
      <c r="P16" s="55">
        <f t="shared" si="52"/>
        <v>2.8545619698479361</v>
      </c>
      <c r="Q16" s="55">
        <f t="shared" si="53"/>
        <v>4.0727774458635668</v>
      </c>
      <c r="R16" s="56">
        <f t="shared" si="54"/>
        <v>16987.053436818831</v>
      </c>
      <c r="S16" s="56">
        <f t="shared" si="55"/>
        <v>16991.054289406489</v>
      </c>
      <c r="T16" s="31">
        <f t="shared" si="38"/>
        <v>20171</v>
      </c>
      <c r="U16" s="15"/>
      <c r="V16" s="16">
        <v>129547.07</v>
      </c>
      <c r="W16" s="16">
        <v>2318</v>
      </c>
      <c r="X16" s="16">
        <v>3256</v>
      </c>
      <c r="Y16" s="16">
        <v>12856506.779999999</v>
      </c>
      <c r="Z16" s="16">
        <v>13628439.17</v>
      </c>
      <c r="AA16" s="13"/>
      <c r="AB16" s="33">
        <f t="shared" si="56"/>
        <v>505548.35000000003</v>
      </c>
      <c r="AC16" s="33">
        <f t="shared" si="57"/>
        <v>8169</v>
      </c>
      <c r="AD16" s="33">
        <f t="shared" si="58"/>
        <v>11767</v>
      </c>
      <c r="AE16" s="33">
        <f t="shared" si="59"/>
        <v>46634822.969999999</v>
      </c>
      <c r="AF16" s="33">
        <f t="shared" si="60"/>
        <v>47251360.370000005</v>
      </c>
      <c r="AG16" s="13"/>
      <c r="AH16" s="55">
        <f t="shared" si="61"/>
        <v>1.6158691844212327</v>
      </c>
      <c r="AI16" s="55">
        <f t="shared" si="62"/>
        <v>2.3275716358286997</v>
      </c>
      <c r="AJ16" s="56">
        <f t="shared" si="63"/>
        <v>5708.7554131472643</v>
      </c>
      <c r="AK16" s="56">
        <f t="shared" si="64"/>
        <v>5784.2282249969403</v>
      </c>
      <c r="AL16" s="31">
        <f t="shared" si="39"/>
        <v>20171</v>
      </c>
      <c r="AM16" s="15"/>
      <c r="AN16" s="16">
        <v>35757.589999999997</v>
      </c>
      <c r="AO16" s="16">
        <v>1537</v>
      </c>
      <c r="AP16" s="16">
        <v>1931</v>
      </c>
      <c r="AQ16" s="16">
        <v>13960875.369999999</v>
      </c>
      <c r="AR16" s="16">
        <v>14927975.949999999</v>
      </c>
      <c r="AS16" s="13"/>
      <c r="AT16" s="33">
        <f t="shared" si="65"/>
        <v>142710.19999999998</v>
      </c>
      <c r="AU16" s="33">
        <f t="shared" si="66"/>
        <v>5614</v>
      </c>
      <c r="AV16" s="33">
        <f t="shared" si="67"/>
        <v>7569</v>
      </c>
      <c r="AW16" s="33">
        <f t="shared" si="68"/>
        <v>54737844.169999994</v>
      </c>
      <c r="AX16" s="33">
        <f t="shared" si="69"/>
        <v>55152234.510000005</v>
      </c>
      <c r="AY16" s="13"/>
      <c r="AZ16" s="55">
        <f t="shared" si="70"/>
        <v>3.9338463543600954</v>
      </c>
      <c r="BA16" s="55">
        <f t="shared" si="71"/>
        <v>5.3037554428485141</v>
      </c>
      <c r="BB16" s="56">
        <f t="shared" si="72"/>
        <v>9750.239431777698</v>
      </c>
      <c r="BC16" s="56">
        <f t="shared" si="73"/>
        <v>9824.0531724260782</v>
      </c>
      <c r="BD16" s="31">
        <f t="shared" si="40"/>
        <v>20171</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20171</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20171</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20171</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282290.39</v>
      </c>
      <c r="E17" s="16">
        <v>8250</v>
      </c>
      <c r="F17" s="16">
        <v>11516</v>
      </c>
      <c r="G17" s="16">
        <v>134907067.58000001</v>
      </c>
      <c r="H17" s="16">
        <v>141889199.31</v>
      </c>
      <c r="I17" s="13"/>
      <c r="J17" s="33">
        <f t="shared" si="47"/>
        <v>1126676.7999999998</v>
      </c>
      <c r="K17" s="33">
        <f t="shared" si="48"/>
        <v>33273</v>
      </c>
      <c r="L17" s="33">
        <f t="shared" si="49"/>
        <v>46950</v>
      </c>
      <c r="M17" s="33">
        <f t="shared" si="50"/>
        <v>552681364.92000008</v>
      </c>
      <c r="N17" s="33">
        <f t="shared" si="51"/>
        <v>572062046.97000003</v>
      </c>
      <c r="O17" s="13"/>
      <c r="P17" s="55">
        <f t="shared" si="52"/>
        <v>2.9531982907609358</v>
      </c>
      <c r="Q17" s="55">
        <f t="shared" si="53"/>
        <v>4.167122283870583</v>
      </c>
      <c r="R17" s="56">
        <f t="shared" si="54"/>
        <v>16610.505963393745</v>
      </c>
      <c r="S17" s="56">
        <f t="shared" si="55"/>
        <v>17192.980704174555</v>
      </c>
      <c r="T17" s="31">
        <f t="shared" si="38"/>
        <v>20172</v>
      </c>
      <c r="U17" s="15"/>
      <c r="V17" s="16">
        <v>132650.89000000001</v>
      </c>
      <c r="W17" s="16">
        <v>2028</v>
      </c>
      <c r="X17" s="16">
        <v>2980</v>
      </c>
      <c r="Y17" s="16">
        <v>11883395.279999999</v>
      </c>
      <c r="Z17" s="16">
        <v>11802096.83</v>
      </c>
      <c r="AA17" s="13"/>
      <c r="AB17" s="33">
        <f t="shared" si="56"/>
        <v>514644.12</v>
      </c>
      <c r="AC17" s="33">
        <f t="shared" si="57"/>
        <v>8454</v>
      </c>
      <c r="AD17" s="33">
        <f t="shared" si="58"/>
        <v>12133</v>
      </c>
      <c r="AE17" s="33">
        <f t="shared" si="59"/>
        <v>48280246.009999998</v>
      </c>
      <c r="AF17" s="33">
        <f t="shared" si="60"/>
        <v>49441144.82</v>
      </c>
      <c r="AG17" s="13"/>
      <c r="AH17" s="55">
        <f t="shared" si="61"/>
        <v>1.6426885436872378</v>
      </c>
      <c r="AI17" s="55">
        <f t="shared" si="62"/>
        <v>2.3575514668272128</v>
      </c>
      <c r="AJ17" s="56">
        <f t="shared" si="63"/>
        <v>5710.9351797965455</v>
      </c>
      <c r="AK17" s="56">
        <f t="shared" si="64"/>
        <v>5848.2546510527563</v>
      </c>
      <c r="AL17" s="31">
        <f t="shared" si="39"/>
        <v>20172</v>
      </c>
      <c r="AM17" s="15"/>
      <c r="AN17" s="16">
        <v>35920.18</v>
      </c>
      <c r="AO17" s="16">
        <v>1301</v>
      </c>
      <c r="AP17" s="16">
        <v>1943</v>
      </c>
      <c r="AQ17" s="16">
        <v>13336414.439999999</v>
      </c>
      <c r="AR17" s="16">
        <v>13644812.359999999</v>
      </c>
      <c r="AS17" s="13"/>
      <c r="AT17" s="33">
        <f t="shared" si="65"/>
        <v>143064.31</v>
      </c>
      <c r="AU17" s="33">
        <f t="shared" si="66"/>
        <v>5648</v>
      </c>
      <c r="AV17" s="33">
        <f t="shared" si="67"/>
        <v>7780</v>
      </c>
      <c r="AW17" s="33">
        <f t="shared" si="68"/>
        <v>54945437.029999994</v>
      </c>
      <c r="AX17" s="33">
        <f t="shared" si="69"/>
        <v>55575743.170000002</v>
      </c>
      <c r="AY17" s="13"/>
      <c r="AZ17" s="55">
        <f t="shared" si="70"/>
        <v>3.9478749102414152</v>
      </c>
      <c r="BA17" s="55">
        <f t="shared" si="71"/>
        <v>5.4381138104954339</v>
      </c>
      <c r="BB17" s="56">
        <f t="shared" si="72"/>
        <v>9728.2997574362598</v>
      </c>
      <c r="BC17" s="56">
        <f t="shared" si="73"/>
        <v>9839.8978700424941</v>
      </c>
      <c r="BD17" s="31">
        <f t="shared" si="40"/>
        <v>20172</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20172</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20172</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20172</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282815.88</v>
      </c>
      <c r="E18" s="16">
        <v>6662</v>
      </c>
      <c r="F18" s="16">
        <v>10926</v>
      </c>
      <c r="G18" s="16">
        <v>133166000.09</v>
      </c>
      <c r="H18" s="16">
        <v>124879056.34999999</v>
      </c>
      <c r="I18" s="13"/>
      <c r="J18" s="33">
        <f t="shared" si="47"/>
        <v>1128330.73</v>
      </c>
      <c r="K18" s="33">
        <f t="shared" si="48"/>
        <v>32113</v>
      </c>
      <c r="L18" s="33">
        <f t="shared" si="49"/>
        <v>46836</v>
      </c>
      <c r="M18" s="33">
        <f t="shared" si="50"/>
        <v>548420927.85000002</v>
      </c>
      <c r="N18" s="33">
        <f t="shared" si="51"/>
        <v>561847668.16999996</v>
      </c>
      <c r="O18" s="13"/>
      <c r="P18" s="55">
        <f t="shared" si="52"/>
        <v>2.846062696528703</v>
      </c>
      <c r="Q18" s="55">
        <f t="shared" si="53"/>
        <v>4.1509106111113354</v>
      </c>
      <c r="R18" s="56">
        <f t="shared" si="54"/>
        <v>17077.84784510946</v>
      </c>
      <c r="S18" s="56">
        <f t="shared" si="55"/>
        <v>17495.957032043098</v>
      </c>
      <c r="T18" s="31">
        <f t="shared" si="38"/>
        <v>20173</v>
      </c>
      <c r="U18" s="15"/>
      <c r="V18" s="16">
        <v>133953.81</v>
      </c>
      <c r="W18" s="16">
        <v>2053</v>
      </c>
      <c r="X18" s="16">
        <v>3150</v>
      </c>
      <c r="Y18" s="16">
        <v>11311159.689999999</v>
      </c>
      <c r="Z18" s="16">
        <v>10964556.890000001</v>
      </c>
      <c r="AA18" s="13"/>
      <c r="AB18" s="33">
        <f t="shared" si="56"/>
        <v>523354.66000000003</v>
      </c>
      <c r="AC18" s="33">
        <f t="shared" si="57"/>
        <v>8568</v>
      </c>
      <c r="AD18" s="33">
        <f t="shared" si="58"/>
        <v>12456</v>
      </c>
      <c r="AE18" s="33">
        <f t="shared" si="59"/>
        <v>48057858.909999996</v>
      </c>
      <c r="AF18" s="33">
        <f t="shared" si="60"/>
        <v>49008167.990000002</v>
      </c>
      <c r="AG18" s="13"/>
      <c r="AH18" s="55">
        <f t="shared" si="61"/>
        <v>1.6371307365448891</v>
      </c>
      <c r="AI18" s="55">
        <f t="shared" si="62"/>
        <v>2.3800303985064351</v>
      </c>
      <c r="AJ18" s="56">
        <f t="shared" si="63"/>
        <v>5608.9938036881413</v>
      </c>
      <c r="AK18" s="56">
        <f t="shared" si="64"/>
        <v>5719.9075618580764</v>
      </c>
      <c r="AL18" s="31">
        <f t="shared" si="39"/>
        <v>20173</v>
      </c>
      <c r="AM18" s="15"/>
      <c r="AN18" s="16">
        <v>36073.31</v>
      </c>
      <c r="AO18" s="16">
        <v>1201</v>
      </c>
      <c r="AP18" s="16">
        <v>2036</v>
      </c>
      <c r="AQ18" s="16">
        <v>12689061.75</v>
      </c>
      <c r="AR18" s="16">
        <v>11640251.59</v>
      </c>
      <c r="AS18" s="13"/>
      <c r="AT18" s="33">
        <f t="shared" si="65"/>
        <v>143458.91999999998</v>
      </c>
      <c r="AU18" s="33">
        <f t="shared" si="66"/>
        <v>5465</v>
      </c>
      <c r="AV18" s="33">
        <f t="shared" si="67"/>
        <v>7869</v>
      </c>
      <c r="AW18" s="33">
        <f t="shared" si="68"/>
        <v>53879568.169999994</v>
      </c>
      <c r="AX18" s="33">
        <f t="shared" si="69"/>
        <v>53804058.900000006</v>
      </c>
      <c r="AY18" s="13"/>
      <c r="AZ18" s="55">
        <f t="shared" si="70"/>
        <v>3.8094529081914184</v>
      </c>
      <c r="BA18" s="55">
        <f t="shared" si="71"/>
        <v>5.4851939495989521</v>
      </c>
      <c r="BB18" s="56">
        <f t="shared" si="72"/>
        <v>9859.0243677950584</v>
      </c>
      <c r="BC18" s="56">
        <f t="shared" si="73"/>
        <v>9845.2074839890229</v>
      </c>
      <c r="BD18" s="31">
        <f t="shared" si="40"/>
        <v>20173</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20173</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20173</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20173</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283121.31</v>
      </c>
      <c r="E19" s="16">
        <v>6070</v>
      </c>
      <c r="F19" s="16">
        <v>9135</v>
      </c>
      <c r="G19" s="16">
        <v>125590694.33</v>
      </c>
      <c r="H19" s="16">
        <v>137486672.61000001</v>
      </c>
      <c r="I19" s="13"/>
      <c r="J19" s="33">
        <f t="shared" si="47"/>
        <v>1129917.3699999999</v>
      </c>
      <c r="K19" s="33">
        <f t="shared" si="48"/>
        <v>30089</v>
      </c>
      <c r="L19" s="33">
        <f t="shared" si="49"/>
        <v>44316</v>
      </c>
      <c r="M19" s="33">
        <f t="shared" si="50"/>
        <v>535849041.47999996</v>
      </c>
      <c r="N19" s="33">
        <f t="shared" si="51"/>
        <v>549641029.04000008</v>
      </c>
      <c r="O19" s="13"/>
      <c r="P19" s="55">
        <f t="shared" si="52"/>
        <v>2.6629380872337594</v>
      </c>
      <c r="Q19" s="55">
        <f t="shared" si="53"/>
        <v>3.9220567075626072</v>
      </c>
      <c r="R19" s="56">
        <f t="shared" si="54"/>
        <v>17808.801936920467</v>
      </c>
      <c r="S19" s="56">
        <f t="shared" si="55"/>
        <v>18267.175015454155</v>
      </c>
      <c r="T19" s="31">
        <f t="shared" si="38"/>
        <v>20174</v>
      </c>
      <c r="U19" s="15"/>
      <c r="V19" s="16">
        <v>134774.21</v>
      </c>
      <c r="W19" s="16">
        <v>2024</v>
      </c>
      <c r="X19" s="16">
        <v>2946</v>
      </c>
      <c r="Y19" s="16">
        <v>11786649.17</v>
      </c>
      <c r="Z19" s="16">
        <v>11926821.720000001</v>
      </c>
      <c r="AA19" s="13"/>
      <c r="AB19" s="33">
        <f t="shared" si="56"/>
        <v>530925.98</v>
      </c>
      <c r="AC19" s="33">
        <f t="shared" si="57"/>
        <v>8423</v>
      </c>
      <c r="AD19" s="33">
        <f t="shared" si="58"/>
        <v>12332</v>
      </c>
      <c r="AE19" s="33">
        <f t="shared" si="59"/>
        <v>47837710.920000002</v>
      </c>
      <c r="AF19" s="33">
        <f t="shared" si="60"/>
        <v>48321914.609999999</v>
      </c>
      <c r="AG19" s="13"/>
      <c r="AH19" s="55">
        <f t="shared" si="61"/>
        <v>1.586473504272667</v>
      </c>
      <c r="AI19" s="55">
        <f t="shared" si="62"/>
        <v>2.3227343291808777</v>
      </c>
      <c r="AJ19" s="56">
        <f t="shared" si="63"/>
        <v>5679.4148070758638</v>
      </c>
      <c r="AK19" s="56">
        <f t="shared" si="64"/>
        <v>5736.9007016502437</v>
      </c>
      <c r="AL19" s="31">
        <f t="shared" si="39"/>
        <v>20174</v>
      </c>
      <c r="AM19" s="15"/>
      <c r="AN19" s="16">
        <v>36241.919999999998</v>
      </c>
      <c r="AO19" s="16">
        <v>1161</v>
      </c>
      <c r="AP19" s="16">
        <v>1655</v>
      </c>
      <c r="AQ19" s="16">
        <v>12084929.5</v>
      </c>
      <c r="AR19" s="16">
        <v>11745525.5</v>
      </c>
      <c r="AS19" s="13"/>
      <c r="AT19" s="33">
        <f t="shared" si="65"/>
        <v>143993</v>
      </c>
      <c r="AU19" s="33">
        <f t="shared" si="66"/>
        <v>5200</v>
      </c>
      <c r="AV19" s="33">
        <f t="shared" si="67"/>
        <v>7565</v>
      </c>
      <c r="AW19" s="33">
        <f t="shared" si="68"/>
        <v>52071281.060000002</v>
      </c>
      <c r="AX19" s="33">
        <f t="shared" si="69"/>
        <v>51958565.399999999</v>
      </c>
      <c r="AY19" s="13"/>
      <c r="AZ19" s="55">
        <f t="shared" si="70"/>
        <v>3.6112866597681834</v>
      </c>
      <c r="BA19" s="55">
        <f t="shared" si="71"/>
        <v>5.2537276117589053</v>
      </c>
      <c r="BB19" s="56">
        <f t="shared" si="72"/>
        <v>10013.707896153846</v>
      </c>
      <c r="BC19" s="56">
        <f t="shared" si="73"/>
        <v>9992.0318076923068</v>
      </c>
      <c r="BD19" s="31">
        <f t="shared" si="40"/>
        <v>20174</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20174</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20174</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20174</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283048.7</v>
      </c>
      <c r="E20" s="16">
        <v>6361</v>
      </c>
      <c r="F20" s="16">
        <v>9908</v>
      </c>
      <c r="G20" s="16">
        <v>120731005.95</v>
      </c>
      <c r="H20" s="16">
        <v>123745700.56999999</v>
      </c>
      <c r="I20" s="13"/>
      <c r="J20" s="33">
        <f t="shared" si="47"/>
        <v>1131276.28</v>
      </c>
      <c r="K20" s="33">
        <f t="shared" si="48"/>
        <v>27343</v>
      </c>
      <c r="L20" s="33">
        <f t="shared" si="49"/>
        <v>41485</v>
      </c>
      <c r="M20" s="33">
        <f t="shared" si="50"/>
        <v>514394767.94999999</v>
      </c>
      <c r="N20" s="33">
        <f t="shared" si="51"/>
        <v>528000628.83999997</v>
      </c>
      <c r="O20" s="13"/>
      <c r="P20" s="55">
        <f t="shared" si="52"/>
        <v>2.4170046241931282</v>
      </c>
      <c r="Q20" s="55">
        <f t="shared" si="53"/>
        <v>3.6670971303314164</v>
      </c>
      <c r="R20" s="56">
        <f t="shared" si="54"/>
        <v>18812.667518194783</v>
      </c>
      <c r="S20" s="56">
        <f t="shared" si="55"/>
        <v>19310.266936327396</v>
      </c>
      <c r="T20" s="31">
        <f t="shared" si="38"/>
        <v>20181</v>
      </c>
      <c r="U20" s="15"/>
      <c r="V20" s="16">
        <v>135072.5</v>
      </c>
      <c r="W20" s="16">
        <v>2152</v>
      </c>
      <c r="X20" s="16">
        <v>3128</v>
      </c>
      <c r="Y20" s="16">
        <v>12005508.23</v>
      </c>
      <c r="Z20" s="16">
        <v>12070516.9</v>
      </c>
      <c r="AA20" s="13"/>
      <c r="AB20" s="33">
        <f t="shared" si="56"/>
        <v>536451.41</v>
      </c>
      <c r="AC20" s="33">
        <f t="shared" si="57"/>
        <v>8257</v>
      </c>
      <c r="AD20" s="33">
        <f t="shared" si="58"/>
        <v>12204</v>
      </c>
      <c r="AE20" s="33">
        <f t="shared" si="59"/>
        <v>46986712.370000005</v>
      </c>
      <c r="AF20" s="33">
        <f t="shared" si="60"/>
        <v>46763992.339999996</v>
      </c>
      <c r="AG20" s="13"/>
      <c r="AH20" s="55">
        <f t="shared" si="61"/>
        <v>1.5391887962415831</v>
      </c>
      <c r="AI20" s="55">
        <f t="shared" si="62"/>
        <v>2.2749497480116605</v>
      </c>
      <c r="AJ20" s="56">
        <f t="shared" si="63"/>
        <v>5690.5307460336689</v>
      </c>
      <c r="AK20" s="56">
        <f t="shared" si="64"/>
        <v>5663.5572653506115</v>
      </c>
      <c r="AL20" s="31">
        <f t="shared" si="39"/>
        <v>20181</v>
      </c>
      <c r="AM20" s="15"/>
      <c r="AN20" s="16">
        <v>36287.99</v>
      </c>
      <c r="AO20" s="16">
        <v>1114</v>
      </c>
      <c r="AP20" s="16">
        <v>1700</v>
      </c>
      <c r="AQ20" s="16">
        <v>11009369.98</v>
      </c>
      <c r="AR20" s="16">
        <v>11694746.130000001</v>
      </c>
      <c r="AS20" s="13"/>
      <c r="AT20" s="33">
        <f t="shared" si="65"/>
        <v>144523.4</v>
      </c>
      <c r="AU20" s="33">
        <f t="shared" si="66"/>
        <v>4777</v>
      </c>
      <c r="AV20" s="33">
        <f t="shared" si="67"/>
        <v>7334</v>
      </c>
      <c r="AW20" s="33">
        <f t="shared" si="68"/>
        <v>49119775.670000002</v>
      </c>
      <c r="AX20" s="33">
        <f t="shared" si="69"/>
        <v>48725335.580000006</v>
      </c>
      <c r="AY20" s="13"/>
      <c r="AZ20" s="55">
        <f t="shared" si="70"/>
        <v>3.3053470925815476</v>
      </c>
      <c r="BA20" s="55">
        <f t="shared" si="71"/>
        <v>5.0746107550749571</v>
      </c>
      <c r="BB20" s="56">
        <f t="shared" si="72"/>
        <v>10282.557184425372</v>
      </c>
      <c r="BC20" s="56">
        <f t="shared" si="73"/>
        <v>10199.986514548882</v>
      </c>
      <c r="BD20" s="31">
        <f t="shared" si="40"/>
        <v>20181</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20181</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20181</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20181</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283133.94</v>
      </c>
      <c r="E21" s="16">
        <v>5967</v>
      </c>
      <c r="F21" s="16">
        <v>9664</v>
      </c>
      <c r="G21" s="16">
        <v>121489747.67</v>
      </c>
      <c r="H21" s="16">
        <v>120752247.55</v>
      </c>
      <c r="I21" s="13"/>
      <c r="J21" s="33">
        <f t="shared" si="47"/>
        <v>1132119.8299999998</v>
      </c>
      <c r="K21" s="33">
        <f t="shared" si="48"/>
        <v>25060</v>
      </c>
      <c r="L21" s="33">
        <f t="shared" si="49"/>
        <v>39633</v>
      </c>
      <c r="M21" s="33">
        <f t="shared" si="50"/>
        <v>500977448.04000002</v>
      </c>
      <c r="N21" s="33">
        <f t="shared" si="51"/>
        <v>506863677.07999998</v>
      </c>
      <c r="O21" s="13"/>
      <c r="P21" s="55">
        <f t="shared" si="52"/>
        <v>2.2135465995679984</v>
      </c>
      <c r="Q21" s="55">
        <f t="shared" si="53"/>
        <v>3.5007778284388857</v>
      </c>
      <c r="R21" s="56">
        <f t="shared" si="54"/>
        <v>19991.119235434959</v>
      </c>
      <c r="S21" s="56">
        <f t="shared" si="55"/>
        <v>20226.00467198723</v>
      </c>
      <c r="T21" s="31">
        <f t="shared" si="38"/>
        <v>20182</v>
      </c>
      <c r="U21" s="15"/>
      <c r="V21" s="16">
        <v>135543.29</v>
      </c>
      <c r="W21" s="16">
        <v>1985</v>
      </c>
      <c r="X21" s="16">
        <v>3047</v>
      </c>
      <c r="Y21" s="16">
        <v>10756696.5</v>
      </c>
      <c r="Z21" s="16">
        <v>11172779.710000001</v>
      </c>
      <c r="AA21" s="13"/>
      <c r="AB21" s="33">
        <f t="shared" si="56"/>
        <v>539343.81000000006</v>
      </c>
      <c r="AC21" s="33">
        <f t="shared" si="57"/>
        <v>8214</v>
      </c>
      <c r="AD21" s="33">
        <f t="shared" si="58"/>
        <v>12271</v>
      </c>
      <c r="AE21" s="33">
        <f t="shared" si="59"/>
        <v>45860013.590000004</v>
      </c>
      <c r="AF21" s="33">
        <f t="shared" si="60"/>
        <v>46134675.219999999</v>
      </c>
      <c r="AG21" s="13"/>
      <c r="AH21" s="55">
        <f t="shared" si="61"/>
        <v>1.5229617634807007</v>
      </c>
      <c r="AI21" s="55">
        <f t="shared" si="62"/>
        <v>2.2751721207294469</v>
      </c>
      <c r="AJ21" s="56">
        <f t="shared" si="63"/>
        <v>5583.1523727781841</v>
      </c>
      <c r="AK21" s="56">
        <f t="shared" si="64"/>
        <v>5616.5906038470903</v>
      </c>
      <c r="AL21" s="31">
        <f t="shared" si="39"/>
        <v>20182</v>
      </c>
      <c r="AM21" s="15"/>
      <c r="AN21" s="16">
        <v>36337.54</v>
      </c>
      <c r="AO21" s="16">
        <v>1132</v>
      </c>
      <c r="AP21" s="16">
        <v>1778</v>
      </c>
      <c r="AQ21" s="16">
        <v>13018458.65</v>
      </c>
      <c r="AR21" s="16">
        <v>11142001.73</v>
      </c>
      <c r="AS21" s="13"/>
      <c r="AT21" s="33">
        <f t="shared" si="65"/>
        <v>144940.76</v>
      </c>
      <c r="AU21" s="33">
        <f t="shared" si="66"/>
        <v>4608</v>
      </c>
      <c r="AV21" s="33">
        <f t="shared" si="67"/>
        <v>7169</v>
      </c>
      <c r="AW21" s="33">
        <f t="shared" si="68"/>
        <v>48801819.880000003</v>
      </c>
      <c r="AX21" s="33">
        <f t="shared" si="69"/>
        <v>46222524.950000003</v>
      </c>
      <c r="AY21" s="13"/>
      <c r="AZ21" s="55">
        <f t="shared" si="70"/>
        <v>3.179229914345695</v>
      </c>
      <c r="BA21" s="55">
        <f t="shared" si="71"/>
        <v>4.9461586926962431</v>
      </c>
      <c r="BB21" s="56">
        <f t="shared" si="72"/>
        <v>10590.672717013889</v>
      </c>
      <c r="BC21" s="56">
        <f t="shared" si="73"/>
        <v>10030.929893663195</v>
      </c>
      <c r="BD21" s="31">
        <f t="shared" si="40"/>
        <v>20182</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20182</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20182</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20182</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283201.09999999998</v>
      </c>
      <c r="E22" s="16">
        <v>6565</v>
      </c>
      <c r="F22" s="16">
        <v>10730</v>
      </c>
      <c r="G22" s="16">
        <v>144562339.53</v>
      </c>
      <c r="H22" s="16">
        <v>179293758.84</v>
      </c>
      <c r="I22" s="13"/>
      <c r="J22" s="33">
        <f t="shared" si="47"/>
        <v>1132505.0499999998</v>
      </c>
      <c r="K22" s="33">
        <f t="shared" si="48"/>
        <v>24963</v>
      </c>
      <c r="L22" s="33">
        <f t="shared" si="49"/>
        <v>39437</v>
      </c>
      <c r="M22" s="33">
        <f t="shared" si="50"/>
        <v>512373787.48000002</v>
      </c>
      <c r="N22" s="33">
        <f t="shared" si="51"/>
        <v>561278379.57000005</v>
      </c>
      <c r="O22" s="13"/>
      <c r="P22" s="55">
        <f t="shared" si="52"/>
        <v>2.2042285815855744</v>
      </c>
      <c r="Q22" s="55">
        <f t="shared" si="53"/>
        <v>3.4822802776905943</v>
      </c>
      <c r="R22" s="56">
        <f t="shared" si="54"/>
        <v>20525.328986099426</v>
      </c>
      <c r="S22" s="56">
        <f t="shared" si="55"/>
        <v>22484.412112726837</v>
      </c>
      <c r="T22" s="31">
        <f t="shared" si="38"/>
        <v>20183</v>
      </c>
      <c r="U22" s="15"/>
      <c r="V22" s="16">
        <v>135363.64000000001</v>
      </c>
      <c r="W22" s="16">
        <v>2213</v>
      </c>
      <c r="X22" s="16">
        <v>3363</v>
      </c>
      <c r="Y22" s="16">
        <v>13388049.300000001</v>
      </c>
      <c r="Z22" s="16">
        <v>14784331.98</v>
      </c>
      <c r="AA22" s="13"/>
      <c r="AB22" s="33">
        <f t="shared" si="56"/>
        <v>540753.64</v>
      </c>
      <c r="AC22" s="33">
        <f t="shared" si="57"/>
        <v>8374</v>
      </c>
      <c r="AD22" s="33">
        <f t="shared" si="58"/>
        <v>12484</v>
      </c>
      <c r="AE22" s="33">
        <f t="shared" si="59"/>
        <v>47936903.200000003</v>
      </c>
      <c r="AF22" s="33">
        <f t="shared" si="60"/>
        <v>49954450.310000002</v>
      </c>
      <c r="AG22" s="13"/>
      <c r="AH22" s="55">
        <f t="shared" si="61"/>
        <v>1.5485794973104574</v>
      </c>
      <c r="AI22" s="55">
        <f t="shared" si="62"/>
        <v>2.308629859615924</v>
      </c>
      <c r="AJ22" s="56">
        <f t="shared" si="63"/>
        <v>5724.4928588488183</v>
      </c>
      <c r="AK22" s="56">
        <f t="shared" si="64"/>
        <v>5965.4227740625747</v>
      </c>
      <c r="AL22" s="31">
        <f t="shared" si="39"/>
        <v>20183</v>
      </c>
      <c r="AM22" s="15"/>
      <c r="AN22" s="16">
        <v>36366.769999999997</v>
      </c>
      <c r="AO22" s="16">
        <v>1229</v>
      </c>
      <c r="AP22" s="16">
        <v>1912</v>
      </c>
      <c r="AQ22" s="16">
        <v>13506437.619999999</v>
      </c>
      <c r="AR22" s="16">
        <v>15227250.74</v>
      </c>
      <c r="AS22" s="13"/>
      <c r="AT22" s="33">
        <f t="shared" si="65"/>
        <v>145234.22</v>
      </c>
      <c r="AU22" s="33">
        <f t="shared" si="66"/>
        <v>4636</v>
      </c>
      <c r="AV22" s="33">
        <f t="shared" si="67"/>
        <v>7045</v>
      </c>
      <c r="AW22" s="33">
        <f t="shared" si="68"/>
        <v>49619195.75</v>
      </c>
      <c r="AX22" s="33">
        <f t="shared" si="69"/>
        <v>49809524.100000001</v>
      </c>
      <c r="AY22" s="13"/>
      <c r="AZ22" s="55">
        <f t="shared" si="70"/>
        <v>3.1920851711118767</v>
      </c>
      <c r="BA22" s="55">
        <f t="shared" si="71"/>
        <v>4.8507851661956796</v>
      </c>
      <c r="BB22" s="56">
        <f t="shared" si="72"/>
        <v>10703.018927955134</v>
      </c>
      <c r="BC22" s="56">
        <f t="shared" si="73"/>
        <v>10744.073360655739</v>
      </c>
      <c r="BD22" s="31">
        <f t="shared" si="40"/>
        <v>20183</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20183</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20183</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20183</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283039.46999999997</v>
      </c>
      <c r="E23" s="16">
        <v>6515</v>
      </c>
      <c r="F23" s="16">
        <v>10524</v>
      </c>
      <c r="G23" s="16">
        <v>133208305.33</v>
      </c>
      <c r="H23" s="16">
        <v>134488800.91</v>
      </c>
      <c r="I23" s="13"/>
      <c r="J23" s="33">
        <f t="shared" si="47"/>
        <v>1132423.21</v>
      </c>
      <c r="K23" s="33">
        <f t="shared" si="48"/>
        <v>25408</v>
      </c>
      <c r="L23" s="33">
        <f t="shared" si="49"/>
        <v>40826</v>
      </c>
      <c r="M23" s="33">
        <f t="shared" si="50"/>
        <v>519991398.47999996</v>
      </c>
      <c r="N23" s="33">
        <f t="shared" si="51"/>
        <v>558280507.87</v>
      </c>
      <c r="O23" s="13"/>
      <c r="P23" s="55">
        <f t="shared" si="52"/>
        <v>2.2436841434926085</v>
      </c>
      <c r="Q23" s="55">
        <f t="shared" si="53"/>
        <v>3.6051892648862256</v>
      </c>
      <c r="R23" s="56">
        <f t="shared" si="54"/>
        <v>20465.656426322417</v>
      </c>
      <c r="S23" s="56">
        <f t="shared" si="55"/>
        <v>21972.627041482996</v>
      </c>
      <c r="T23" s="31">
        <f t="shared" si="38"/>
        <v>20184</v>
      </c>
      <c r="U23" s="15"/>
      <c r="V23" s="16">
        <v>135533.24</v>
      </c>
      <c r="W23" s="16">
        <v>2100</v>
      </c>
      <c r="X23" s="16">
        <v>3199</v>
      </c>
      <c r="Y23" s="16">
        <v>11988969.199999999</v>
      </c>
      <c r="Z23" s="16">
        <v>12481656.17</v>
      </c>
      <c r="AA23" s="13"/>
      <c r="AB23" s="33">
        <f t="shared" si="56"/>
        <v>541512.67000000004</v>
      </c>
      <c r="AC23" s="33">
        <f t="shared" si="57"/>
        <v>8450</v>
      </c>
      <c r="AD23" s="33">
        <f t="shared" si="58"/>
        <v>12737</v>
      </c>
      <c r="AE23" s="33">
        <f t="shared" si="59"/>
        <v>48139223.230000004</v>
      </c>
      <c r="AF23" s="33">
        <f t="shared" si="60"/>
        <v>50509284.760000005</v>
      </c>
      <c r="AG23" s="13"/>
      <c r="AH23" s="55">
        <f t="shared" si="61"/>
        <v>1.5604436365265468</v>
      </c>
      <c r="AI23" s="55">
        <f t="shared" si="62"/>
        <v>2.3521148637205478</v>
      </c>
      <c r="AJ23" s="56">
        <f t="shared" si="63"/>
        <v>5696.9494946745563</v>
      </c>
      <c r="AK23" s="56">
        <f t="shared" si="64"/>
        <v>5977.430149112427</v>
      </c>
      <c r="AL23" s="31">
        <f t="shared" si="39"/>
        <v>20184</v>
      </c>
      <c r="AM23" s="15"/>
      <c r="AN23" s="16">
        <v>36394.870000000003</v>
      </c>
      <c r="AO23" s="16">
        <v>1250</v>
      </c>
      <c r="AP23" s="16">
        <v>1909</v>
      </c>
      <c r="AQ23" s="16">
        <v>13312245.960000001</v>
      </c>
      <c r="AR23" s="16">
        <v>13101663.359999999</v>
      </c>
      <c r="AS23" s="13"/>
      <c r="AT23" s="33">
        <f t="shared" si="65"/>
        <v>145387.16999999998</v>
      </c>
      <c r="AU23" s="33">
        <f t="shared" si="66"/>
        <v>4725</v>
      </c>
      <c r="AV23" s="33">
        <f t="shared" si="67"/>
        <v>7299</v>
      </c>
      <c r="AW23" s="33">
        <f t="shared" si="68"/>
        <v>50846512.210000001</v>
      </c>
      <c r="AX23" s="33">
        <f t="shared" si="69"/>
        <v>51165661.960000001</v>
      </c>
      <c r="AY23" s="13"/>
      <c r="AZ23" s="55">
        <f t="shared" si="70"/>
        <v>3.2499428938605792</v>
      </c>
      <c r="BA23" s="55">
        <f t="shared" si="71"/>
        <v>5.0203879750874858</v>
      </c>
      <c r="BB23" s="56">
        <f t="shared" si="72"/>
        <v>10761.166605291006</v>
      </c>
      <c r="BC23" s="56">
        <f t="shared" si="73"/>
        <v>10828.711525925926</v>
      </c>
      <c r="BD23" s="31">
        <f t="shared" si="40"/>
        <v>20184</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20184</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20184</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20184</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282862.27</v>
      </c>
      <c r="E24" s="16">
        <v>7085</v>
      </c>
      <c r="F24" s="16">
        <v>10884</v>
      </c>
      <c r="G24" s="16">
        <v>140010508.09999999</v>
      </c>
      <c r="H24" s="16">
        <v>133735476.28</v>
      </c>
      <c r="I24" s="13"/>
      <c r="J24" s="33">
        <f t="shared" si="47"/>
        <v>1132236.78</v>
      </c>
      <c r="K24" s="33">
        <f t="shared" si="48"/>
        <v>26132</v>
      </c>
      <c r="L24" s="33">
        <f t="shared" si="49"/>
        <v>41802</v>
      </c>
      <c r="M24" s="33">
        <f t="shared" si="50"/>
        <v>539270900.63</v>
      </c>
      <c r="N24" s="33">
        <f t="shared" si="51"/>
        <v>568270283.57999992</v>
      </c>
      <c r="O24" s="13"/>
      <c r="P24" s="55">
        <f t="shared" si="52"/>
        <v>2.3079978023678049</v>
      </c>
      <c r="Q24" s="55">
        <f t="shared" si="53"/>
        <v>3.6919839329013846</v>
      </c>
      <c r="R24" s="56">
        <f t="shared" si="54"/>
        <v>20636.418974054799</v>
      </c>
      <c r="S24" s="56">
        <f t="shared" si="55"/>
        <v>21746.145858717278</v>
      </c>
      <c r="T24" s="31">
        <f t="shared" si="38"/>
        <v>20191</v>
      </c>
      <c r="U24" s="15"/>
      <c r="V24" s="16">
        <v>135708.54999999999</v>
      </c>
      <c r="W24" s="16">
        <v>2052</v>
      </c>
      <c r="X24" s="16">
        <v>3012</v>
      </c>
      <c r="Y24" s="16">
        <v>12416098.439999999</v>
      </c>
      <c r="Z24" s="16">
        <v>12354786.550000001</v>
      </c>
      <c r="AA24" s="13"/>
      <c r="AB24" s="33">
        <f t="shared" si="56"/>
        <v>542148.72</v>
      </c>
      <c r="AC24" s="33">
        <f t="shared" si="57"/>
        <v>8350</v>
      </c>
      <c r="AD24" s="33">
        <f t="shared" si="58"/>
        <v>12621</v>
      </c>
      <c r="AE24" s="33">
        <f t="shared" si="59"/>
        <v>48549813.439999998</v>
      </c>
      <c r="AF24" s="33">
        <f t="shared" si="60"/>
        <v>50793554.409999996</v>
      </c>
      <c r="AG24" s="13"/>
      <c r="AH24" s="55">
        <f t="shared" si="61"/>
        <v>1.5401677975002874</v>
      </c>
      <c r="AI24" s="55">
        <f t="shared" si="62"/>
        <v>2.3279590146408538</v>
      </c>
      <c r="AJ24" s="56">
        <f t="shared" si="63"/>
        <v>5814.3489149700599</v>
      </c>
      <c r="AK24" s="56">
        <f t="shared" si="64"/>
        <v>6083.0604083832332</v>
      </c>
      <c r="AL24" s="31">
        <f t="shared" si="39"/>
        <v>20191</v>
      </c>
      <c r="AM24" s="15"/>
      <c r="AN24" s="16">
        <v>36393.35</v>
      </c>
      <c r="AO24" s="16">
        <v>1269</v>
      </c>
      <c r="AP24" s="16">
        <v>1808</v>
      </c>
      <c r="AQ24" s="16">
        <v>13593552.630000001</v>
      </c>
      <c r="AR24" s="16">
        <v>13469849.27</v>
      </c>
      <c r="AS24" s="13"/>
      <c r="AT24" s="33">
        <f t="shared" si="65"/>
        <v>145492.53</v>
      </c>
      <c r="AU24" s="33">
        <f t="shared" si="66"/>
        <v>4880</v>
      </c>
      <c r="AV24" s="33">
        <f t="shared" si="67"/>
        <v>7407</v>
      </c>
      <c r="AW24" s="33">
        <f t="shared" si="68"/>
        <v>53430694.860000007</v>
      </c>
      <c r="AX24" s="33">
        <f t="shared" si="69"/>
        <v>52940765.099999994</v>
      </c>
      <c r="AY24" s="13"/>
      <c r="AZ24" s="55">
        <f t="shared" si="70"/>
        <v>3.3541240914567916</v>
      </c>
      <c r="BA24" s="55">
        <f t="shared" si="71"/>
        <v>5.0909830216025531</v>
      </c>
      <c r="BB24" s="56">
        <f t="shared" si="72"/>
        <v>10948.912881147542</v>
      </c>
      <c r="BC24" s="56">
        <f t="shared" si="73"/>
        <v>10848.517438524588</v>
      </c>
      <c r="BD24" s="31">
        <f t="shared" si="40"/>
        <v>20191</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20191</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20191</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20191</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283210.40000000002</v>
      </c>
      <c r="E25" s="16">
        <v>6929</v>
      </c>
      <c r="F25" s="16">
        <v>10272</v>
      </c>
      <c r="G25" s="16">
        <v>138041692.37</v>
      </c>
      <c r="H25" s="16">
        <v>137246353.90000001</v>
      </c>
      <c r="I25" s="13"/>
      <c r="J25" s="33">
        <f t="shared" si="47"/>
        <v>1132313.24</v>
      </c>
      <c r="K25" s="33">
        <f t="shared" si="48"/>
        <v>27094</v>
      </c>
      <c r="L25" s="33">
        <f t="shared" si="49"/>
        <v>42410</v>
      </c>
      <c r="M25" s="33">
        <f t="shared" si="50"/>
        <v>555822845.33000004</v>
      </c>
      <c r="N25" s="33">
        <f t="shared" si="51"/>
        <v>584764389.92999995</v>
      </c>
      <c r="O25" s="13"/>
      <c r="P25" s="55">
        <f t="shared" si="52"/>
        <v>2.3928007765766299</v>
      </c>
      <c r="Q25" s="55">
        <f t="shared" si="53"/>
        <v>3.7454300189936838</v>
      </c>
      <c r="R25" s="56">
        <f t="shared" si="54"/>
        <v>20514.610073447999</v>
      </c>
      <c r="S25" s="56">
        <f t="shared" si="55"/>
        <v>21582.800248394477</v>
      </c>
      <c r="T25" s="31">
        <f t="shared" si="38"/>
        <v>20192</v>
      </c>
      <c r="U25" s="15"/>
      <c r="V25" s="16">
        <v>135629.96</v>
      </c>
      <c r="W25" s="16">
        <v>1919</v>
      </c>
      <c r="X25" s="16">
        <v>2821</v>
      </c>
      <c r="Y25" s="16">
        <v>12309187.34</v>
      </c>
      <c r="Z25" s="16">
        <v>13396339.58</v>
      </c>
      <c r="AA25" s="13"/>
      <c r="AB25" s="33">
        <f t="shared" si="56"/>
        <v>542235.39</v>
      </c>
      <c r="AC25" s="33">
        <f t="shared" si="57"/>
        <v>8284</v>
      </c>
      <c r="AD25" s="33">
        <f t="shared" si="58"/>
        <v>12395</v>
      </c>
      <c r="AE25" s="33">
        <f t="shared" si="59"/>
        <v>50102304.280000001</v>
      </c>
      <c r="AF25" s="33">
        <f t="shared" si="60"/>
        <v>53017114.280000001</v>
      </c>
      <c r="AG25" s="13"/>
      <c r="AH25" s="55">
        <f t="shared" si="61"/>
        <v>1.5277497840928456</v>
      </c>
      <c r="AI25" s="55">
        <f t="shared" si="62"/>
        <v>2.2859076018627258</v>
      </c>
      <c r="AJ25" s="56">
        <f t="shared" si="63"/>
        <v>6048.0811540318691</v>
      </c>
      <c r="AK25" s="56">
        <f t="shared" si="64"/>
        <v>6399.9413664896183</v>
      </c>
      <c r="AL25" s="31">
        <f t="shared" si="39"/>
        <v>20192</v>
      </c>
      <c r="AM25" s="15"/>
      <c r="AN25" s="16">
        <v>36377.08</v>
      </c>
      <c r="AO25" s="16">
        <v>1268</v>
      </c>
      <c r="AP25" s="16">
        <v>1876</v>
      </c>
      <c r="AQ25" s="16">
        <v>13552974.630000001</v>
      </c>
      <c r="AR25" s="16">
        <v>13311832.08</v>
      </c>
      <c r="AS25" s="13"/>
      <c r="AT25" s="33">
        <f t="shared" si="65"/>
        <v>145532.07</v>
      </c>
      <c r="AU25" s="33">
        <f t="shared" si="66"/>
        <v>5016</v>
      </c>
      <c r="AV25" s="33">
        <f t="shared" si="67"/>
        <v>7505</v>
      </c>
      <c r="AW25" s="33">
        <f t="shared" si="68"/>
        <v>53965210.840000004</v>
      </c>
      <c r="AX25" s="33">
        <f t="shared" si="69"/>
        <v>55110595.450000003</v>
      </c>
      <c r="AY25" s="13"/>
      <c r="AZ25" s="55">
        <f t="shared" si="70"/>
        <v>3.4466629932495287</v>
      </c>
      <c r="BA25" s="55">
        <f t="shared" si="71"/>
        <v>5.1569389482331962</v>
      </c>
      <c r="BB25" s="56">
        <f t="shared" si="72"/>
        <v>10758.614601275918</v>
      </c>
      <c r="BC25" s="56">
        <f t="shared" si="73"/>
        <v>10986.96081539075</v>
      </c>
      <c r="BD25" s="31">
        <f t="shared" si="40"/>
        <v>20192</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20192</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20192</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20192</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283760.38</v>
      </c>
      <c r="E26" s="16">
        <v>6667</v>
      </c>
      <c r="F26" s="16">
        <v>10564</v>
      </c>
      <c r="G26" s="16">
        <v>152651515.56999999</v>
      </c>
      <c r="H26" s="16">
        <v>137477184.31999999</v>
      </c>
      <c r="I26" s="13"/>
      <c r="J26" s="33">
        <f t="shared" si="47"/>
        <v>1132872.52</v>
      </c>
      <c r="K26" s="33">
        <f t="shared" si="48"/>
        <v>27196</v>
      </c>
      <c r="L26" s="33">
        <f t="shared" si="49"/>
        <v>42244</v>
      </c>
      <c r="M26" s="33">
        <f t="shared" si="50"/>
        <v>563912021.37</v>
      </c>
      <c r="N26" s="33">
        <f t="shared" si="51"/>
        <v>542947815.41000009</v>
      </c>
      <c r="O26" s="13"/>
      <c r="P26" s="55">
        <f t="shared" si="52"/>
        <v>2.400623152197213</v>
      </c>
      <c r="Q26" s="55">
        <f t="shared" si="53"/>
        <v>3.7289279468090548</v>
      </c>
      <c r="R26" s="56">
        <f t="shared" si="54"/>
        <v>20735.10888991028</v>
      </c>
      <c r="S26" s="56">
        <f t="shared" si="55"/>
        <v>19964.252662523904</v>
      </c>
      <c r="T26" s="31">
        <f t="shared" si="38"/>
        <v>20193</v>
      </c>
      <c r="U26" s="15"/>
      <c r="V26" s="16">
        <v>133950.07999999999</v>
      </c>
      <c r="W26" s="16">
        <v>1864</v>
      </c>
      <c r="X26" s="16">
        <v>2987</v>
      </c>
      <c r="Y26" s="16">
        <v>12285218.630000001</v>
      </c>
      <c r="Z26" s="16">
        <v>12038192.300000001</v>
      </c>
      <c r="AA26" s="13"/>
      <c r="AB26" s="33">
        <f t="shared" si="56"/>
        <v>540821.82999999996</v>
      </c>
      <c r="AC26" s="33">
        <f t="shared" si="57"/>
        <v>7935</v>
      </c>
      <c r="AD26" s="33">
        <f t="shared" si="58"/>
        <v>12019</v>
      </c>
      <c r="AE26" s="33">
        <f t="shared" si="59"/>
        <v>48999473.610000007</v>
      </c>
      <c r="AF26" s="33">
        <f t="shared" si="60"/>
        <v>50270974.599999994</v>
      </c>
      <c r="AG26" s="13"/>
      <c r="AH26" s="55">
        <f t="shared" si="61"/>
        <v>1.4672114844180755</v>
      </c>
      <c r="AI26" s="55">
        <f t="shared" si="62"/>
        <v>2.222358516852029</v>
      </c>
      <c r="AJ26" s="56">
        <f t="shared" si="63"/>
        <v>6175.1069451795847</v>
      </c>
      <c r="AK26" s="56">
        <f t="shared" si="64"/>
        <v>6335.3465154379328</v>
      </c>
      <c r="AL26" s="31">
        <f t="shared" si="39"/>
        <v>20193</v>
      </c>
      <c r="AM26" s="15"/>
      <c r="AN26" s="16">
        <v>36446.32</v>
      </c>
      <c r="AO26" s="16">
        <v>1204</v>
      </c>
      <c r="AP26" s="16">
        <v>2106</v>
      </c>
      <c r="AQ26" s="16">
        <v>14847679.800000001</v>
      </c>
      <c r="AR26" s="16">
        <v>14718968.130000001</v>
      </c>
      <c r="AS26" s="13"/>
      <c r="AT26" s="33">
        <f t="shared" si="65"/>
        <v>145611.62</v>
      </c>
      <c r="AU26" s="33">
        <f t="shared" si="66"/>
        <v>4991</v>
      </c>
      <c r="AV26" s="33">
        <f t="shared" si="67"/>
        <v>7699</v>
      </c>
      <c r="AW26" s="33">
        <f t="shared" si="68"/>
        <v>55306453.020000011</v>
      </c>
      <c r="AX26" s="33">
        <f t="shared" si="69"/>
        <v>54602312.840000004</v>
      </c>
      <c r="AY26" s="13"/>
      <c r="AZ26" s="55">
        <f t="shared" si="70"/>
        <v>3.4276110656553374</v>
      </c>
      <c r="BA26" s="55">
        <f t="shared" si="71"/>
        <v>5.2873527538530238</v>
      </c>
      <c r="BB26" s="56">
        <f t="shared" si="72"/>
        <v>11081.236830294532</v>
      </c>
      <c r="BC26" s="56">
        <f t="shared" si="73"/>
        <v>10940.154846724105</v>
      </c>
      <c r="BD26" s="31">
        <f t="shared" si="40"/>
        <v>20193</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20193</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20193</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20193</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284865.43</v>
      </c>
      <c r="E27" s="16">
        <v>6285</v>
      </c>
      <c r="F27" s="16">
        <v>10426</v>
      </c>
      <c r="G27" s="16">
        <v>144696059.5</v>
      </c>
      <c r="H27" s="16">
        <v>133670893.52</v>
      </c>
      <c r="I27" s="13"/>
      <c r="J27" s="33">
        <f t="shared" si="47"/>
        <v>1134698.48</v>
      </c>
      <c r="K27" s="33">
        <f t="shared" si="48"/>
        <v>26966</v>
      </c>
      <c r="L27" s="33">
        <f t="shared" si="49"/>
        <v>42146</v>
      </c>
      <c r="M27" s="33">
        <f t="shared" si="50"/>
        <v>575399775.53999996</v>
      </c>
      <c r="N27" s="33">
        <f t="shared" si="51"/>
        <v>542129908.01999998</v>
      </c>
      <c r="O27" s="13"/>
      <c r="P27" s="55">
        <f t="shared" si="52"/>
        <v>2.3764903606815442</v>
      </c>
      <c r="Q27" s="55">
        <f t="shared" si="53"/>
        <v>3.7142906898051011</v>
      </c>
      <c r="R27" s="56">
        <f t="shared" si="54"/>
        <v>21337.972837647405</v>
      </c>
      <c r="S27" s="56">
        <f t="shared" si="55"/>
        <v>20104.201884595415</v>
      </c>
      <c r="T27" s="31">
        <f t="shared" si="38"/>
        <v>20194</v>
      </c>
      <c r="U27" s="15"/>
      <c r="V27" s="16">
        <v>132765.12</v>
      </c>
      <c r="W27" s="16">
        <v>1919</v>
      </c>
      <c r="X27" s="16">
        <v>2978</v>
      </c>
      <c r="Y27" s="16">
        <v>11933661.5</v>
      </c>
      <c r="Z27" s="16">
        <v>12290561.27</v>
      </c>
      <c r="AA27" s="13"/>
      <c r="AB27" s="33">
        <f t="shared" si="56"/>
        <v>538053.71</v>
      </c>
      <c r="AC27" s="33">
        <f t="shared" si="57"/>
        <v>7754</v>
      </c>
      <c r="AD27" s="33">
        <f t="shared" si="58"/>
        <v>11798</v>
      </c>
      <c r="AE27" s="33">
        <f t="shared" si="59"/>
        <v>48944165.910000004</v>
      </c>
      <c r="AF27" s="33">
        <f t="shared" si="60"/>
        <v>50079879.700000003</v>
      </c>
      <c r="AG27" s="13"/>
      <c r="AH27" s="55">
        <f t="shared" si="61"/>
        <v>1.4411200695930524</v>
      </c>
      <c r="AI27" s="55">
        <f t="shared" si="62"/>
        <v>2.1927178979957227</v>
      </c>
      <c r="AJ27" s="56">
        <f t="shared" si="63"/>
        <v>6312.118378901213</v>
      </c>
      <c r="AK27" s="56">
        <f t="shared" si="64"/>
        <v>6458.5864972917207</v>
      </c>
      <c r="AL27" s="31">
        <f t="shared" si="39"/>
        <v>20194</v>
      </c>
      <c r="AM27" s="15"/>
      <c r="AN27" s="16">
        <v>36476.519999999997</v>
      </c>
      <c r="AO27" s="16">
        <v>1296</v>
      </c>
      <c r="AP27" s="16">
        <v>1934</v>
      </c>
      <c r="AQ27" s="16">
        <v>15673664.99</v>
      </c>
      <c r="AR27" s="16">
        <v>16020808.07</v>
      </c>
      <c r="AS27" s="13"/>
      <c r="AT27" s="33">
        <f t="shared" si="65"/>
        <v>145693.26999999999</v>
      </c>
      <c r="AU27" s="33">
        <f t="shared" si="66"/>
        <v>5037</v>
      </c>
      <c r="AV27" s="33">
        <f t="shared" si="67"/>
        <v>7724</v>
      </c>
      <c r="AW27" s="33">
        <f t="shared" si="68"/>
        <v>57667872.050000004</v>
      </c>
      <c r="AX27" s="33">
        <f t="shared" si="69"/>
        <v>57521457.550000004</v>
      </c>
      <c r="AY27" s="13"/>
      <c r="AZ27" s="55">
        <f t="shared" si="70"/>
        <v>3.4572633313810588</v>
      </c>
      <c r="BA27" s="55">
        <f t="shared" si="71"/>
        <v>5.3015489322190383</v>
      </c>
      <c r="BB27" s="56">
        <f t="shared" si="72"/>
        <v>11448.852898550726</v>
      </c>
      <c r="BC27" s="56">
        <f t="shared" si="73"/>
        <v>11419.785100258092</v>
      </c>
      <c r="BD27" s="31">
        <f t="shared" si="40"/>
        <v>20194</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20194</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20194</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20194</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286312.94</v>
      </c>
      <c r="E28" s="16">
        <v>6852</v>
      </c>
      <c r="F28" s="16">
        <v>10530</v>
      </c>
      <c r="G28" s="16">
        <v>151005721.62</v>
      </c>
      <c r="H28" s="16">
        <v>147105003.81999999</v>
      </c>
      <c r="I28" s="13"/>
      <c r="J28" s="33">
        <f t="shared" si="47"/>
        <v>1138149.1499999999</v>
      </c>
      <c r="K28" s="33">
        <f t="shared" si="48"/>
        <v>26733</v>
      </c>
      <c r="L28" s="33">
        <f t="shared" si="49"/>
        <v>41792</v>
      </c>
      <c r="M28" s="33">
        <f t="shared" si="50"/>
        <v>586394989.05999994</v>
      </c>
      <c r="N28" s="33">
        <f t="shared" si="51"/>
        <v>555499435.55999994</v>
      </c>
      <c r="O28" s="13"/>
      <c r="P28" s="55">
        <f t="shared" si="52"/>
        <v>2.3488134222127215</v>
      </c>
      <c r="Q28" s="55">
        <f t="shared" si="53"/>
        <v>3.6719264781773111</v>
      </c>
      <c r="R28" s="56">
        <f t="shared" si="54"/>
        <v>21935.248159952116</v>
      </c>
      <c r="S28" s="56">
        <f t="shared" si="55"/>
        <v>20779.539728425538</v>
      </c>
      <c r="T28" s="31">
        <f t="shared" si="38"/>
        <v>20201</v>
      </c>
      <c r="U28" s="15"/>
      <c r="V28" s="16">
        <v>132212.69</v>
      </c>
      <c r="W28" s="16">
        <v>1814</v>
      </c>
      <c r="X28" s="16">
        <v>2761</v>
      </c>
      <c r="Y28" s="16">
        <v>11672962.359999999</v>
      </c>
      <c r="Z28" s="16">
        <v>11441181.43</v>
      </c>
      <c r="AA28" s="13"/>
      <c r="AB28" s="33">
        <f t="shared" si="56"/>
        <v>534557.85</v>
      </c>
      <c r="AC28" s="33">
        <f t="shared" si="57"/>
        <v>7516</v>
      </c>
      <c r="AD28" s="33">
        <f t="shared" si="58"/>
        <v>11547</v>
      </c>
      <c r="AE28" s="33">
        <f t="shared" si="59"/>
        <v>48201029.829999998</v>
      </c>
      <c r="AF28" s="33">
        <f t="shared" si="60"/>
        <v>49166274.580000006</v>
      </c>
      <c r="AG28" s="13"/>
      <c r="AH28" s="55">
        <f t="shared" si="61"/>
        <v>1.406021817844411</v>
      </c>
      <c r="AI28" s="55">
        <f t="shared" si="62"/>
        <v>2.1601029710816144</v>
      </c>
      <c r="AJ28" s="56">
        <f t="shared" si="63"/>
        <v>6413.1226490154331</v>
      </c>
      <c r="AK28" s="56">
        <f t="shared" si="64"/>
        <v>6541.5479749866954</v>
      </c>
      <c r="AL28" s="31">
        <f t="shared" si="39"/>
        <v>20201</v>
      </c>
      <c r="AM28" s="15"/>
      <c r="AN28" s="16">
        <v>36536.74</v>
      </c>
      <c r="AO28" s="16">
        <v>1197</v>
      </c>
      <c r="AP28" s="16">
        <v>1790</v>
      </c>
      <c r="AQ28" s="16">
        <v>14502028.550000001</v>
      </c>
      <c r="AR28" s="16">
        <v>14551480.449999999</v>
      </c>
      <c r="AS28" s="13"/>
      <c r="AT28" s="33">
        <f t="shared" si="65"/>
        <v>145836.65999999997</v>
      </c>
      <c r="AU28" s="33">
        <f t="shared" si="66"/>
        <v>4965</v>
      </c>
      <c r="AV28" s="33">
        <f t="shared" si="67"/>
        <v>7706</v>
      </c>
      <c r="AW28" s="33">
        <f t="shared" si="68"/>
        <v>58576347.969999999</v>
      </c>
      <c r="AX28" s="33">
        <f t="shared" si="69"/>
        <v>58603088.730000004</v>
      </c>
      <c r="AY28" s="13"/>
      <c r="AZ28" s="55">
        <f t="shared" si="70"/>
        <v>3.4044937672050364</v>
      </c>
      <c r="BA28" s="55">
        <f t="shared" si="71"/>
        <v>5.283993750268281</v>
      </c>
      <c r="BB28" s="56">
        <f t="shared" si="72"/>
        <v>11797.854576032225</v>
      </c>
      <c r="BC28" s="56">
        <f t="shared" si="73"/>
        <v>11803.240429003023</v>
      </c>
      <c r="BD28" s="31">
        <f t="shared" si="40"/>
        <v>20201</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20201</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20201</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20201</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288848.65999999997</v>
      </c>
      <c r="E29" s="16">
        <v>6051</v>
      </c>
      <c r="F29" s="16">
        <v>10380</v>
      </c>
      <c r="G29" s="16">
        <v>139680641.28999999</v>
      </c>
      <c r="H29" s="16">
        <v>147063652.75999999</v>
      </c>
      <c r="I29" s="13"/>
      <c r="J29" s="33">
        <f t="shared" si="47"/>
        <v>1143787.4099999999</v>
      </c>
      <c r="K29" s="33">
        <f t="shared" si="48"/>
        <v>25855</v>
      </c>
      <c r="L29" s="33">
        <f t="shared" si="49"/>
        <v>41900</v>
      </c>
      <c r="M29" s="33">
        <f t="shared" si="50"/>
        <v>588033937.98000002</v>
      </c>
      <c r="N29" s="33">
        <f t="shared" si="51"/>
        <v>565316734.41999996</v>
      </c>
      <c r="O29" s="13"/>
      <c r="P29" s="55">
        <f t="shared" si="52"/>
        <v>2.2604725121078229</v>
      </c>
      <c r="Q29" s="55">
        <f t="shared" si="53"/>
        <v>3.6632681592464813</v>
      </c>
      <c r="R29" s="56">
        <f t="shared" si="54"/>
        <v>22743.528833107717</v>
      </c>
      <c r="S29" s="56">
        <f t="shared" si="55"/>
        <v>21864.890134210014</v>
      </c>
      <c r="T29" s="31">
        <f t="shared" si="38"/>
        <v>20202</v>
      </c>
      <c r="U29" s="15"/>
      <c r="V29" s="16">
        <v>134068.62</v>
      </c>
      <c r="W29" s="16">
        <v>1440</v>
      </c>
      <c r="X29" s="16">
        <v>2378</v>
      </c>
      <c r="Y29" s="16">
        <v>9065400.9000000004</v>
      </c>
      <c r="Z29" s="16">
        <v>9983618.1600000001</v>
      </c>
      <c r="AA29" s="13"/>
      <c r="AB29" s="33">
        <f t="shared" si="56"/>
        <v>532996.51</v>
      </c>
      <c r="AC29" s="33">
        <f t="shared" si="57"/>
        <v>7037</v>
      </c>
      <c r="AD29" s="33">
        <f t="shared" si="58"/>
        <v>11104</v>
      </c>
      <c r="AE29" s="33">
        <f t="shared" si="59"/>
        <v>44957243.390000001</v>
      </c>
      <c r="AF29" s="33">
        <f t="shared" si="60"/>
        <v>45753553.159999996</v>
      </c>
      <c r="AG29" s="13"/>
      <c r="AH29" s="55">
        <f t="shared" si="61"/>
        <v>1.3202713090935623</v>
      </c>
      <c r="AI29" s="55">
        <f t="shared" si="62"/>
        <v>2.0833157050127773</v>
      </c>
      <c r="AJ29" s="56">
        <f t="shared" si="63"/>
        <v>6388.6945274975133</v>
      </c>
      <c r="AK29" s="56">
        <f t="shared" si="64"/>
        <v>6501.8549324996438</v>
      </c>
      <c r="AL29" s="31">
        <f t="shared" si="39"/>
        <v>20202</v>
      </c>
      <c r="AM29" s="15"/>
      <c r="AN29" s="16">
        <v>36735.769999999997</v>
      </c>
      <c r="AO29" s="16">
        <v>965</v>
      </c>
      <c r="AP29" s="16">
        <v>1716</v>
      </c>
      <c r="AQ29" s="16">
        <v>11202328.710000001</v>
      </c>
      <c r="AR29" s="16">
        <v>12089460.789999999</v>
      </c>
      <c r="AS29" s="13"/>
      <c r="AT29" s="33">
        <f t="shared" si="65"/>
        <v>146195.34999999998</v>
      </c>
      <c r="AU29" s="33">
        <f t="shared" si="66"/>
        <v>4662</v>
      </c>
      <c r="AV29" s="33">
        <f t="shared" si="67"/>
        <v>7546</v>
      </c>
      <c r="AW29" s="33">
        <f t="shared" si="68"/>
        <v>56225702.050000004</v>
      </c>
      <c r="AX29" s="33">
        <f t="shared" si="69"/>
        <v>57380717.440000005</v>
      </c>
      <c r="AY29" s="13"/>
      <c r="AZ29" s="55">
        <f t="shared" si="70"/>
        <v>3.1888839145704706</v>
      </c>
      <c r="BA29" s="55">
        <f t="shared" si="71"/>
        <v>5.1615868767371884</v>
      </c>
      <c r="BB29" s="56">
        <f t="shared" si="72"/>
        <v>12060.425150150151</v>
      </c>
      <c r="BC29" s="56">
        <f t="shared" si="73"/>
        <v>12308.176199056201</v>
      </c>
      <c r="BD29" s="31">
        <f t="shared" si="40"/>
        <v>20202</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20202</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20202</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20202</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289430.56</v>
      </c>
      <c r="E30" s="16">
        <v>5666</v>
      </c>
      <c r="F30" s="16">
        <v>11446</v>
      </c>
      <c r="G30" s="16">
        <v>157372378.93000001</v>
      </c>
      <c r="H30" s="16">
        <v>143380275.68000001</v>
      </c>
      <c r="I30" s="13"/>
      <c r="J30" s="33">
        <f t="shared" si="47"/>
        <v>1149457.5900000001</v>
      </c>
      <c r="K30" s="33">
        <f t="shared" si="48"/>
        <v>24854</v>
      </c>
      <c r="L30" s="33">
        <f t="shared" si="49"/>
        <v>42782</v>
      </c>
      <c r="M30" s="33">
        <f t="shared" si="50"/>
        <v>592754801.33999991</v>
      </c>
      <c r="N30" s="33">
        <f t="shared" si="51"/>
        <v>571219825.77999997</v>
      </c>
      <c r="O30" s="13"/>
      <c r="P30" s="55">
        <f t="shared" si="52"/>
        <v>2.1622372339983418</v>
      </c>
      <c r="Q30" s="55">
        <f t="shared" si="53"/>
        <v>3.7219294015014501</v>
      </c>
      <c r="R30" s="56">
        <f t="shared" si="54"/>
        <v>23849.472975778543</v>
      </c>
      <c r="S30" s="56">
        <f t="shared" si="55"/>
        <v>22983.013831978755</v>
      </c>
      <c r="T30" s="31">
        <f t="shared" si="38"/>
        <v>20203</v>
      </c>
      <c r="U30" s="15"/>
      <c r="V30" s="16">
        <v>133427.98000000001</v>
      </c>
      <c r="W30" s="16">
        <v>1467</v>
      </c>
      <c r="X30" s="16">
        <v>2693</v>
      </c>
      <c r="Y30" s="16">
        <v>9322093.5199999996</v>
      </c>
      <c r="Z30" s="16">
        <v>8601556.3300000001</v>
      </c>
      <c r="AA30" s="13"/>
      <c r="AB30" s="33">
        <f t="shared" si="56"/>
        <v>532474.41</v>
      </c>
      <c r="AC30" s="33">
        <f t="shared" si="57"/>
        <v>6640</v>
      </c>
      <c r="AD30" s="33">
        <f t="shared" si="58"/>
        <v>10810</v>
      </c>
      <c r="AE30" s="33">
        <f t="shared" si="59"/>
        <v>41994118.280000001</v>
      </c>
      <c r="AF30" s="33">
        <f t="shared" si="60"/>
        <v>42316917.189999998</v>
      </c>
      <c r="AG30" s="13"/>
      <c r="AH30" s="55">
        <f t="shared" si="61"/>
        <v>1.2470082834591054</v>
      </c>
      <c r="AI30" s="55">
        <f t="shared" si="62"/>
        <v>2.0301445096676098</v>
      </c>
      <c r="AJ30" s="56">
        <f t="shared" si="63"/>
        <v>6324.4154036144582</v>
      </c>
      <c r="AK30" s="56">
        <f t="shared" si="64"/>
        <v>6373.0296972891565</v>
      </c>
      <c r="AL30" s="31">
        <f t="shared" si="39"/>
        <v>20203</v>
      </c>
      <c r="AM30" s="15"/>
      <c r="AN30" s="16">
        <v>36666.480000000003</v>
      </c>
      <c r="AO30" s="16">
        <v>1221</v>
      </c>
      <c r="AP30" s="16">
        <v>2105</v>
      </c>
      <c r="AQ30" s="16">
        <v>15416753.67</v>
      </c>
      <c r="AR30" s="16">
        <v>15385020.310000001</v>
      </c>
      <c r="AS30" s="13"/>
      <c r="AT30" s="33">
        <f t="shared" si="65"/>
        <v>146415.51</v>
      </c>
      <c r="AU30" s="33">
        <f t="shared" si="66"/>
        <v>4679</v>
      </c>
      <c r="AV30" s="33">
        <f t="shared" si="67"/>
        <v>7545</v>
      </c>
      <c r="AW30" s="33">
        <f t="shared" si="68"/>
        <v>56794775.920000002</v>
      </c>
      <c r="AX30" s="33">
        <f t="shared" si="69"/>
        <v>58046769.620000005</v>
      </c>
      <c r="AY30" s="13"/>
      <c r="AZ30" s="55">
        <f t="shared" si="70"/>
        <v>3.1956996905587389</v>
      </c>
      <c r="BA30" s="55">
        <f t="shared" si="71"/>
        <v>5.1531425871480412</v>
      </c>
      <c r="BB30" s="56">
        <f t="shared" si="72"/>
        <v>12138.229519128019</v>
      </c>
      <c r="BC30" s="56">
        <f t="shared" si="73"/>
        <v>12405.806715110068</v>
      </c>
      <c r="BD30" s="31">
        <f t="shared" si="40"/>
        <v>20203</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20203</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20203</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20203</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292727.39</v>
      </c>
      <c r="E31" s="16">
        <v>6846</v>
      </c>
      <c r="F31" s="16">
        <v>10353</v>
      </c>
      <c r="G31" s="16">
        <v>202750006.97</v>
      </c>
      <c r="H31" s="16">
        <v>181628466.13999999</v>
      </c>
      <c r="I31" s="13"/>
      <c r="J31" s="33">
        <f t="shared" si="47"/>
        <v>1157319.5499999998</v>
      </c>
      <c r="K31" s="33">
        <f t="shared" si="48"/>
        <v>25415</v>
      </c>
      <c r="L31" s="33">
        <f t="shared" si="49"/>
        <v>42709</v>
      </c>
      <c r="M31" s="33">
        <f t="shared" si="50"/>
        <v>650808748.80999994</v>
      </c>
      <c r="N31" s="33">
        <f t="shared" si="51"/>
        <v>619177398.39999998</v>
      </c>
      <c r="O31" s="13"/>
      <c r="P31" s="55">
        <f t="shared" si="52"/>
        <v>2.1960226974477361</v>
      </c>
      <c r="Q31" s="55">
        <f t="shared" si="53"/>
        <v>3.6903377291086121</v>
      </c>
      <c r="R31" s="56">
        <f t="shared" si="54"/>
        <v>25607.269282313591</v>
      </c>
      <c r="S31" s="56">
        <f t="shared" si="55"/>
        <v>24362.675522329333</v>
      </c>
      <c r="T31" s="31">
        <f t="shared" si="38"/>
        <v>20204</v>
      </c>
      <c r="U31" s="15"/>
      <c r="V31" s="16">
        <v>132841.98000000001</v>
      </c>
      <c r="W31" s="16">
        <v>1621</v>
      </c>
      <c r="X31" s="16">
        <v>2665</v>
      </c>
      <c r="Y31" s="16">
        <v>10794856.23</v>
      </c>
      <c r="Z31" s="16">
        <v>10332219.82</v>
      </c>
      <c r="AA31" s="13"/>
      <c r="AB31" s="33">
        <f t="shared" si="56"/>
        <v>532551.27</v>
      </c>
      <c r="AC31" s="33">
        <f t="shared" si="57"/>
        <v>6342</v>
      </c>
      <c r="AD31" s="33">
        <f t="shared" si="58"/>
        <v>10497</v>
      </c>
      <c r="AE31" s="33">
        <f t="shared" si="59"/>
        <v>40855313.009999998</v>
      </c>
      <c r="AF31" s="33">
        <f t="shared" si="60"/>
        <v>40358575.740000002</v>
      </c>
      <c r="AG31" s="13"/>
      <c r="AH31" s="55">
        <f t="shared" si="61"/>
        <v>1.1908712563956516</v>
      </c>
      <c r="AI31" s="55">
        <f t="shared" si="62"/>
        <v>1.9710778269292266</v>
      </c>
      <c r="AJ31" s="56">
        <f t="shared" si="63"/>
        <v>6442.0234957426674</v>
      </c>
      <c r="AK31" s="56">
        <f t="shared" si="64"/>
        <v>6363.6984768211923</v>
      </c>
      <c r="AL31" s="31">
        <f t="shared" si="39"/>
        <v>20204</v>
      </c>
      <c r="AM31" s="15"/>
      <c r="AN31" s="16">
        <v>37052.800000000003</v>
      </c>
      <c r="AO31" s="16">
        <v>1270</v>
      </c>
      <c r="AP31" s="16">
        <v>1905</v>
      </c>
      <c r="AQ31" s="16">
        <v>14477926.58</v>
      </c>
      <c r="AR31" s="16">
        <v>14134686.57</v>
      </c>
      <c r="AS31" s="13"/>
      <c r="AT31" s="33">
        <f t="shared" si="65"/>
        <v>146991.78999999998</v>
      </c>
      <c r="AU31" s="33">
        <f t="shared" si="66"/>
        <v>4653</v>
      </c>
      <c r="AV31" s="33">
        <f t="shared" si="67"/>
        <v>7516</v>
      </c>
      <c r="AW31" s="33">
        <f t="shared" si="68"/>
        <v>55599037.509999998</v>
      </c>
      <c r="AX31" s="33">
        <f t="shared" si="69"/>
        <v>56160648.119999997</v>
      </c>
      <c r="AY31" s="13"/>
      <c r="AZ31" s="55">
        <f t="shared" si="70"/>
        <v>3.1654829157465194</v>
      </c>
      <c r="BA31" s="55">
        <f t="shared" si="71"/>
        <v>5.1132107446273025</v>
      </c>
      <c r="BB31" s="56">
        <f t="shared" si="72"/>
        <v>11949.073180743606</v>
      </c>
      <c r="BC31" s="56">
        <f t="shared" si="73"/>
        <v>12069.771785944551</v>
      </c>
      <c r="BD31" s="31">
        <f t="shared" si="40"/>
        <v>20204</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20204</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20204</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20204</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294387.86</v>
      </c>
      <c r="E32" s="16">
        <v>6122</v>
      </c>
      <c r="F32" s="16">
        <v>9978</v>
      </c>
      <c r="G32" s="16">
        <v>160498694.83000001</v>
      </c>
      <c r="H32" s="16">
        <v>169869797.06999999</v>
      </c>
      <c r="I32" s="13"/>
      <c r="J32" s="33">
        <f t="shared" si="47"/>
        <v>1165394.47</v>
      </c>
      <c r="K32" s="33">
        <f t="shared" si="48"/>
        <v>24685</v>
      </c>
      <c r="L32" s="33">
        <f t="shared" si="49"/>
        <v>42157</v>
      </c>
      <c r="M32" s="33">
        <f t="shared" si="50"/>
        <v>660301722.0200001</v>
      </c>
      <c r="N32" s="33">
        <f t="shared" si="51"/>
        <v>641942191.64999998</v>
      </c>
      <c r="O32" s="13"/>
      <c r="P32" s="55">
        <f t="shared" si="52"/>
        <v>2.1181669070387814</v>
      </c>
      <c r="Q32" s="55">
        <f t="shared" si="53"/>
        <v>3.6174017541030548</v>
      </c>
      <c r="R32" s="56">
        <f t="shared" si="54"/>
        <v>26749.10763702654</v>
      </c>
      <c r="S32" s="56">
        <f t="shared" si="55"/>
        <v>26005.355140773747</v>
      </c>
      <c r="T32" s="31">
        <f t="shared" si="38"/>
        <v>20211</v>
      </c>
      <c r="U32" s="15"/>
      <c r="V32" s="16">
        <v>131121.9</v>
      </c>
      <c r="W32" s="16">
        <v>1813</v>
      </c>
      <c r="X32" s="16">
        <v>2845</v>
      </c>
      <c r="Y32" s="16">
        <v>11322732.73</v>
      </c>
      <c r="Z32" s="16">
        <v>11995925.550000001</v>
      </c>
      <c r="AA32" s="13"/>
      <c r="AB32" s="33">
        <f t="shared" si="56"/>
        <v>531460.48</v>
      </c>
      <c r="AC32" s="33">
        <f t="shared" si="57"/>
        <v>6341</v>
      </c>
      <c r="AD32" s="33">
        <f t="shared" si="58"/>
        <v>10581</v>
      </c>
      <c r="AE32" s="33">
        <f t="shared" si="59"/>
        <v>40505083.380000003</v>
      </c>
      <c r="AF32" s="33">
        <f t="shared" si="60"/>
        <v>40913319.859999999</v>
      </c>
      <c r="AG32" s="13"/>
      <c r="AH32" s="55">
        <f t="shared" si="61"/>
        <v>1.1931272857767337</v>
      </c>
      <c r="AI32" s="55">
        <f t="shared" si="62"/>
        <v>1.9909288457346821</v>
      </c>
      <c r="AJ32" s="56">
        <f t="shared" si="63"/>
        <v>6387.8068727330083</v>
      </c>
      <c r="AK32" s="56">
        <f t="shared" si="64"/>
        <v>6452.1873300741208</v>
      </c>
      <c r="AL32" s="31">
        <f t="shared" si="39"/>
        <v>20211</v>
      </c>
      <c r="AM32" s="15"/>
      <c r="AN32" s="16">
        <v>37269.07</v>
      </c>
      <c r="AO32" s="16">
        <v>1181</v>
      </c>
      <c r="AP32" s="16">
        <v>1774</v>
      </c>
      <c r="AQ32" s="16">
        <v>14152976.49</v>
      </c>
      <c r="AR32" s="16">
        <v>13659897.300000001</v>
      </c>
      <c r="AS32" s="13"/>
      <c r="AT32" s="33">
        <f t="shared" si="65"/>
        <v>147724.12</v>
      </c>
      <c r="AU32" s="33">
        <f t="shared" si="66"/>
        <v>4637</v>
      </c>
      <c r="AV32" s="33">
        <f t="shared" si="67"/>
        <v>7500</v>
      </c>
      <c r="AW32" s="33">
        <f t="shared" si="68"/>
        <v>55249985.450000003</v>
      </c>
      <c r="AX32" s="33">
        <f t="shared" si="69"/>
        <v>55269064.969999999</v>
      </c>
      <c r="AY32" s="13"/>
      <c r="AZ32" s="55">
        <f t="shared" si="70"/>
        <v>3.1389592979128933</v>
      </c>
      <c r="BA32" s="55">
        <f t="shared" si="71"/>
        <v>5.077031428584581</v>
      </c>
      <c r="BB32" s="56">
        <f t="shared" si="72"/>
        <v>11915.028132413199</v>
      </c>
      <c r="BC32" s="56">
        <f t="shared" si="73"/>
        <v>11919.142758248867</v>
      </c>
      <c r="BD32" s="31">
        <f t="shared" si="40"/>
        <v>20211</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20211</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20211</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20211</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296502.2</v>
      </c>
      <c r="E33" s="16">
        <v>5520</v>
      </c>
      <c r="F33" s="16">
        <v>9530</v>
      </c>
      <c r="G33" s="16">
        <v>143827840.08000001</v>
      </c>
      <c r="H33" s="16">
        <v>156012135.12</v>
      </c>
      <c r="I33" s="13"/>
      <c r="J33" s="33">
        <f t="shared" si="47"/>
        <v>1173048.01</v>
      </c>
      <c r="K33" s="33">
        <f t="shared" si="48"/>
        <v>24154</v>
      </c>
      <c r="L33" s="33">
        <f t="shared" si="49"/>
        <v>41307</v>
      </c>
      <c r="M33" s="33">
        <f t="shared" si="50"/>
        <v>664448920.81000006</v>
      </c>
      <c r="N33" s="33">
        <f t="shared" si="51"/>
        <v>650890674.00999999</v>
      </c>
      <c r="O33" s="13"/>
      <c r="P33" s="55">
        <f t="shared" si="52"/>
        <v>2.0590802587866799</v>
      </c>
      <c r="Q33" s="55">
        <f t="shared" si="53"/>
        <v>3.5213392502153424</v>
      </c>
      <c r="R33" s="56">
        <f t="shared" si="54"/>
        <v>27508.856537633521</v>
      </c>
      <c r="S33" s="56">
        <f t="shared" si="55"/>
        <v>26947.53142378074</v>
      </c>
      <c r="T33" s="31">
        <f t="shared" si="38"/>
        <v>20212</v>
      </c>
      <c r="U33" s="15"/>
      <c r="V33" s="16">
        <v>134276.85</v>
      </c>
      <c r="W33" s="16">
        <v>1403</v>
      </c>
      <c r="X33" s="16">
        <v>2574</v>
      </c>
      <c r="Y33" s="16">
        <v>8227506.04</v>
      </c>
      <c r="Z33" s="16">
        <v>9147958.4900000002</v>
      </c>
      <c r="AA33" s="13"/>
      <c r="AB33" s="33">
        <f t="shared" si="56"/>
        <v>531668.71</v>
      </c>
      <c r="AC33" s="33">
        <f t="shared" si="57"/>
        <v>6304</v>
      </c>
      <c r="AD33" s="33">
        <f t="shared" si="58"/>
        <v>10777</v>
      </c>
      <c r="AE33" s="33">
        <f t="shared" si="59"/>
        <v>39667188.520000003</v>
      </c>
      <c r="AF33" s="33">
        <f t="shared" si="60"/>
        <v>40077660.189999998</v>
      </c>
      <c r="AG33" s="13"/>
      <c r="AH33" s="55">
        <f t="shared" si="61"/>
        <v>1.1857007721970323</v>
      </c>
      <c r="AI33" s="55">
        <f t="shared" si="62"/>
        <v>2.0270141532308719</v>
      </c>
      <c r="AJ33" s="56">
        <f t="shared" si="63"/>
        <v>6292.3839657360413</v>
      </c>
      <c r="AK33" s="56">
        <f t="shared" si="64"/>
        <v>6357.496857550761</v>
      </c>
      <c r="AL33" s="31">
        <f t="shared" si="39"/>
        <v>20212</v>
      </c>
      <c r="AM33" s="15"/>
      <c r="AN33" s="16">
        <v>37632.350000000013</v>
      </c>
      <c r="AO33" s="16">
        <v>1118</v>
      </c>
      <c r="AP33" s="16">
        <v>1838</v>
      </c>
      <c r="AQ33" s="16">
        <v>13825522.92</v>
      </c>
      <c r="AR33" s="16">
        <v>14254821.77</v>
      </c>
      <c r="AS33" s="13"/>
      <c r="AT33" s="33">
        <f t="shared" si="65"/>
        <v>148620.70000000001</v>
      </c>
      <c r="AU33" s="33">
        <f t="shared" si="66"/>
        <v>4790</v>
      </c>
      <c r="AV33" s="33">
        <f t="shared" si="67"/>
        <v>7622</v>
      </c>
      <c r="AW33" s="33">
        <f t="shared" si="68"/>
        <v>57873179.660000004</v>
      </c>
      <c r="AX33" s="33">
        <f t="shared" si="69"/>
        <v>57434425.950000003</v>
      </c>
      <c r="AY33" s="13"/>
      <c r="AZ33" s="55">
        <f t="shared" si="70"/>
        <v>3.2229696132503745</v>
      </c>
      <c r="BA33" s="55">
        <f t="shared" si="71"/>
        <v>5.1284915223787797</v>
      </c>
      <c r="BB33" s="56">
        <f t="shared" si="72"/>
        <v>12082.08343632568</v>
      </c>
      <c r="BC33" s="56">
        <f t="shared" si="73"/>
        <v>11990.485584551148</v>
      </c>
      <c r="BD33" s="31">
        <f t="shared" si="40"/>
        <v>20212</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20212</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20212</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20212</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298442.69</v>
      </c>
      <c r="E34" s="16">
        <v>5933</v>
      </c>
      <c r="F34" s="16">
        <v>11311</v>
      </c>
      <c r="G34" s="16">
        <v>214281392.19</v>
      </c>
      <c r="H34" s="16">
        <v>173779436.40000001</v>
      </c>
      <c r="I34" s="13"/>
      <c r="J34" s="33">
        <f t="shared" si="47"/>
        <v>1182060.1399999999</v>
      </c>
      <c r="K34" s="33">
        <f t="shared" si="48"/>
        <v>24421</v>
      </c>
      <c r="L34" s="33">
        <f t="shared" si="49"/>
        <v>41172</v>
      </c>
      <c r="M34" s="33">
        <f t="shared" si="50"/>
        <v>721357934.06999993</v>
      </c>
      <c r="N34" s="33">
        <f t="shared" si="51"/>
        <v>681289834.73000002</v>
      </c>
      <c r="O34" s="13"/>
      <c r="P34" s="55">
        <f t="shared" si="52"/>
        <v>2.0659693338445537</v>
      </c>
      <c r="Q34" s="55">
        <f t="shared" si="53"/>
        <v>3.4830715127573795</v>
      </c>
      <c r="R34" s="56">
        <f t="shared" si="54"/>
        <v>29538.427339994265</v>
      </c>
      <c r="S34" s="56">
        <f t="shared" si="55"/>
        <v>27897.704218909956</v>
      </c>
      <c r="T34" s="31">
        <f t="shared" si="38"/>
        <v>20213</v>
      </c>
      <c r="U34" s="15"/>
      <c r="V34" s="16">
        <v>134692.71</v>
      </c>
      <c r="W34" s="16">
        <v>1646</v>
      </c>
      <c r="X34" s="16">
        <v>2857</v>
      </c>
      <c r="Y34" s="16">
        <v>11607773.23</v>
      </c>
      <c r="Z34" s="16">
        <v>11613883.800000001</v>
      </c>
      <c r="AA34" s="13"/>
      <c r="AB34" s="33">
        <f t="shared" si="56"/>
        <v>532933.43999999994</v>
      </c>
      <c r="AC34" s="33">
        <f t="shared" si="57"/>
        <v>6483</v>
      </c>
      <c r="AD34" s="33">
        <f t="shared" si="58"/>
        <v>10941</v>
      </c>
      <c r="AE34" s="33">
        <f t="shared" si="59"/>
        <v>41952868.230000004</v>
      </c>
      <c r="AF34" s="33">
        <f t="shared" si="60"/>
        <v>43089987.659999996</v>
      </c>
      <c r="AG34" s="13"/>
      <c r="AH34" s="55">
        <f t="shared" si="61"/>
        <v>1.216474612664576</v>
      </c>
      <c r="AI34" s="55">
        <f t="shared" si="62"/>
        <v>2.0529768220211517</v>
      </c>
      <c r="AJ34" s="56">
        <f t="shared" si="63"/>
        <v>6471.212128644147</v>
      </c>
      <c r="AK34" s="56">
        <f t="shared" si="64"/>
        <v>6646.6123183711243</v>
      </c>
      <c r="AL34" s="31">
        <f t="shared" si="39"/>
        <v>20213</v>
      </c>
      <c r="AM34" s="15"/>
      <c r="AN34" s="16">
        <v>37891.129999999997</v>
      </c>
      <c r="AO34" s="16">
        <v>1171</v>
      </c>
      <c r="AP34" s="16">
        <v>2061</v>
      </c>
      <c r="AQ34" s="16">
        <v>16534141.720000001</v>
      </c>
      <c r="AR34" s="16">
        <v>15076702.6</v>
      </c>
      <c r="AS34" s="13"/>
      <c r="AT34" s="33">
        <f t="shared" si="65"/>
        <v>149845.35</v>
      </c>
      <c r="AU34" s="33">
        <f t="shared" si="66"/>
        <v>4740</v>
      </c>
      <c r="AV34" s="33">
        <f t="shared" si="67"/>
        <v>7578</v>
      </c>
      <c r="AW34" s="33">
        <f t="shared" si="68"/>
        <v>58990567.710000001</v>
      </c>
      <c r="AX34" s="33">
        <f t="shared" si="69"/>
        <v>57126108.240000002</v>
      </c>
      <c r="AY34" s="13"/>
      <c r="AZ34" s="55">
        <f t="shared" si="70"/>
        <v>3.1632613224234185</v>
      </c>
      <c r="BA34" s="55">
        <f t="shared" si="71"/>
        <v>5.0572139876212372</v>
      </c>
      <c r="BB34" s="56">
        <f t="shared" si="72"/>
        <v>12445.267449367089</v>
      </c>
      <c r="BC34" s="56">
        <f t="shared" si="73"/>
        <v>12051.921569620254</v>
      </c>
      <c r="BD34" s="31">
        <f t="shared" si="40"/>
        <v>20213</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20213</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20213</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20213</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300353.28999999998</v>
      </c>
      <c r="E35" s="16">
        <v>6391</v>
      </c>
      <c r="F35" s="16">
        <v>10505</v>
      </c>
      <c r="G35" s="16">
        <v>251417012.59999999</v>
      </c>
      <c r="H35" s="16">
        <v>219974544.75999999</v>
      </c>
      <c r="I35" s="13"/>
      <c r="J35" s="33">
        <f t="shared" si="47"/>
        <v>1189686.04</v>
      </c>
      <c r="K35" s="33">
        <f t="shared" si="48"/>
        <v>23966</v>
      </c>
      <c r="L35" s="33">
        <f t="shared" si="49"/>
        <v>41324</v>
      </c>
      <c r="M35" s="33">
        <f t="shared" si="50"/>
        <v>770024939.70000005</v>
      </c>
      <c r="N35" s="33">
        <f t="shared" si="51"/>
        <v>719635913.35000002</v>
      </c>
      <c r="O35" s="13"/>
      <c r="P35" s="55">
        <f t="shared" si="52"/>
        <v>2.0144810642646527</v>
      </c>
      <c r="Q35" s="55">
        <f t="shared" si="53"/>
        <v>3.4735214678992112</v>
      </c>
      <c r="R35" s="56">
        <f t="shared" si="54"/>
        <v>32129.889831427859</v>
      </c>
      <c r="S35" s="56">
        <f t="shared" si="55"/>
        <v>30027.368494951181</v>
      </c>
      <c r="T35" s="31">
        <f t="shared" si="38"/>
        <v>20214</v>
      </c>
      <c r="U35" s="15"/>
      <c r="V35" s="16">
        <v>135110.17000000001</v>
      </c>
      <c r="W35" s="16">
        <v>1798</v>
      </c>
      <c r="X35" s="16">
        <v>2945</v>
      </c>
      <c r="Y35" s="16">
        <v>12552512.369999999</v>
      </c>
      <c r="Z35" s="16">
        <v>12561560.640000001</v>
      </c>
      <c r="AA35" s="13"/>
      <c r="AB35" s="33">
        <f t="shared" si="56"/>
        <v>535201.63</v>
      </c>
      <c r="AC35" s="33">
        <f t="shared" si="57"/>
        <v>6660</v>
      </c>
      <c r="AD35" s="33">
        <f t="shared" si="58"/>
        <v>11221</v>
      </c>
      <c r="AE35" s="33">
        <f t="shared" si="59"/>
        <v>43710524.369999997</v>
      </c>
      <c r="AF35" s="33">
        <f t="shared" si="60"/>
        <v>45319328.480000004</v>
      </c>
      <c r="AG35" s="13"/>
      <c r="AH35" s="55">
        <f t="shared" si="61"/>
        <v>1.2443908289292767</v>
      </c>
      <c r="AI35" s="55">
        <f t="shared" si="62"/>
        <v>2.0965930167290407</v>
      </c>
      <c r="AJ35" s="56">
        <f t="shared" si="63"/>
        <v>6563.1417972972968</v>
      </c>
      <c r="AK35" s="56">
        <f t="shared" si="64"/>
        <v>6804.7039759759764</v>
      </c>
      <c r="AL35" s="31">
        <f t="shared" si="39"/>
        <v>20214</v>
      </c>
      <c r="AM35" s="15"/>
      <c r="AN35" s="16">
        <v>38081.57</v>
      </c>
      <c r="AO35" s="16">
        <v>1261</v>
      </c>
      <c r="AP35" s="16">
        <v>1893</v>
      </c>
      <c r="AQ35" s="16">
        <v>19343971.16</v>
      </c>
      <c r="AR35" s="16">
        <v>19475143.239999998</v>
      </c>
      <c r="AS35" s="13"/>
      <c r="AT35" s="33">
        <f t="shared" si="65"/>
        <v>150874.12000000002</v>
      </c>
      <c r="AU35" s="33">
        <f t="shared" si="66"/>
        <v>4731</v>
      </c>
      <c r="AV35" s="33">
        <f t="shared" si="67"/>
        <v>7566</v>
      </c>
      <c r="AW35" s="33">
        <f t="shared" si="68"/>
        <v>63856612.290000007</v>
      </c>
      <c r="AX35" s="33">
        <f t="shared" si="69"/>
        <v>62466564.909999996</v>
      </c>
      <c r="AY35" s="13"/>
      <c r="AZ35" s="55">
        <f t="shared" si="70"/>
        <v>3.1357266574280596</v>
      </c>
      <c r="BA35" s="55">
        <f t="shared" si="71"/>
        <v>5.0147765567746134</v>
      </c>
      <c r="BB35" s="56">
        <f t="shared" si="72"/>
        <v>13497.487273303743</v>
      </c>
      <c r="BC35" s="56">
        <f t="shared" si="73"/>
        <v>13203.670452335658</v>
      </c>
      <c r="BD35" s="31">
        <f t="shared" si="40"/>
        <v>20214</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20214</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20214</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20214</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301908.26</v>
      </c>
      <c r="E36" s="16">
        <v>6168</v>
      </c>
      <c r="F36" s="16">
        <v>10469</v>
      </c>
      <c r="G36" s="16">
        <v>185580166.22</v>
      </c>
      <c r="H36" s="16">
        <v>235135700.61000001</v>
      </c>
      <c r="I36" s="13"/>
      <c r="J36" s="33">
        <f t="shared" si="47"/>
        <v>1197206.44</v>
      </c>
      <c r="K36" s="33">
        <f t="shared" si="48"/>
        <v>24012</v>
      </c>
      <c r="L36" s="33">
        <f t="shared" si="49"/>
        <v>41815</v>
      </c>
      <c r="M36" s="33">
        <f t="shared" si="50"/>
        <v>795106411.09000003</v>
      </c>
      <c r="N36" s="33">
        <f t="shared" si="51"/>
        <v>784901816.88999999</v>
      </c>
      <c r="O36" s="13"/>
      <c r="P36" s="55">
        <f t="shared" si="52"/>
        <v>2.0056691308810533</v>
      </c>
      <c r="Q36" s="55">
        <f t="shared" si="53"/>
        <v>3.4927142556967867</v>
      </c>
      <c r="R36" s="56">
        <f t="shared" si="54"/>
        <v>33112.877356738296</v>
      </c>
      <c r="S36" s="56">
        <f t="shared" si="55"/>
        <v>32687.898421206064</v>
      </c>
      <c r="T36" s="31">
        <f>IF(RIGHT(T37,1)="1",T37-7,T37-1)</f>
        <v>20221</v>
      </c>
      <c r="U36" s="15"/>
      <c r="V36" s="16">
        <v>135332.60999999999</v>
      </c>
      <c r="W36" s="16">
        <v>1756</v>
      </c>
      <c r="X36" s="16">
        <v>2919</v>
      </c>
      <c r="Y36" s="16">
        <v>11605639.130000001</v>
      </c>
      <c r="Z36" s="16">
        <v>11808292.300000001</v>
      </c>
      <c r="AA36" s="13"/>
      <c r="AB36" s="33">
        <f t="shared" si="56"/>
        <v>539412.34</v>
      </c>
      <c r="AC36" s="33">
        <f t="shared" si="57"/>
        <v>6603</v>
      </c>
      <c r="AD36" s="33">
        <f t="shared" si="58"/>
        <v>11295</v>
      </c>
      <c r="AE36" s="33">
        <f t="shared" si="59"/>
        <v>43993430.770000003</v>
      </c>
      <c r="AF36" s="33">
        <f t="shared" si="60"/>
        <v>45131695.230000004</v>
      </c>
      <c r="AG36" s="13"/>
      <c r="AH36" s="55">
        <f t="shared" si="61"/>
        <v>1.2241099267399036</v>
      </c>
      <c r="AI36" s="55">
        <f t="shared" si="62"/>
        <v>2.0939454221607168</v>
      </c>
      <c r="AJ36" s="56">
        <f t="shared" si="63"/>
        <v>6662.6428547629866</v>
      </c>
      <c r="AK36" s="56">
        <f t="shared" si="64"/>
        <v>6835.0288096319864</v>
      </c>
      <c r="AL36" s="31">
        <f>IF(RIGHT(AL37,1)="1",AL37-7,AL37-1)</f>
        <v>20221</v>
      </c>
      <c r="AM36" s="15"/>
      <c r="AN36" s="16">
        <v>38243.86</v>
      </c>
      <c r="AO36" s="16">
        <v>1239</v>
      </c>
      <c r="AP36" s="16">
        <v>1964</v>
      </c>
      <c r="AQ36" s="16">
        <v>16286273.109999999</v>
      </c>
      <c r="AR36" s="16">
        <v>18643113.579999998</v>
      </c>
      <c r="AS36" s="13"/>
      <c r="AT36" s="33">
        <f t="shared" si="65"/>
        <v>151848.91000000003</v>
      </c>
      <c r="AU36" s="33">
        <f t="shared" si="66"/>
        <v>4789</v>
      </c>
      <c r="AV36" s="33">
        <f t="shared" si="67"/>
        <v>7756</v>
      </c>
      <c r="AW36" s="33">
        <f t="shared" si="68"/>
        <v>65989908.909999996</v>
      </c>
      <c r="AX36" s="33">
        <f t="shared" si="69"/>
        <v>67449781.189999998</v>
      </c>
      <c r="AY36" s="13"/>
      <c r="AZ36" s="55">
        <f t="shared" si="70"/>
        <v>3.153792806283561</v>
      </c>
      <c r="BA36" s="55">
        <f t="shared" si="71"/>
        <v>5.1077087086104189</v>
      </c>
      <c r="BB36" s="56">
        <f t="shared" si="72"/>
        <v>13779.475654625183</v>
      </c>
      <c r="BC36" s="56">
        <f t="shared" si="73"/>
        <v>14084.314301524326</v>
      </c>
      <c r="BD36" s="31">
        <f>IF(RIGHT(BD37,1)="1",BD37-7,BD37-1)</f>
        <v>20221</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20221</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20221</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20221</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303657</v>
      </c>
      <c r="E37" s="16">
        <v>5754</v>
      </c>
      <c r="F37" s="16">
        <v>10774</v>
      </c>
      <c r="G37" s="16">
        <v>206629264.78</v>
      </c>
      <c r="H37" s="16">
        <v>229924194.34999999</v>
      </c>
      <c r="I37" s="13"/>
      <c r="J37" s="33">
        <f t="shared" si="47"/>
        <v>1204361.24</v>
      </c>
      <c r="K37" s="33">
        <f t="shared" si="48"/>
        <v>24246</v>
      </c>
      <c r="L37" s="33">
        <f t="shared" si="49"/>
        <v>43059</v>
      </c>
      <c r="M37" s="33">
        <f t="shared" si="50"/>
        <v>857907835.78999996</v>
      </c>
      <c r="N37" s="33">
        <f t="shared" si="51"/>
        <v>858813876.12</v>
      </c>
      <c r="O37" s="13"/>
      <c r="P37" s="55">
        <f t="shared" si="52"/>
        <v>2.0131833535260566</v>
      </c>
      <c r="Q37" s="55">
        <f t="shared" si="53"/>
        <v>3.5752562080128052</v>
      </c>
      <c r="R37" s="56">
        <f t="shared" si="54"/>
        <v>35383.479163160933</v>
      </c>
      <c r="S37" s="56">
        <f t="shared" si="55"/>
        <v>35420.847814897301</v>
      </c>
      <c r="T37" s="31">
        <f>$B$37</f>
        <v>20222</v>
      </c>
      <c r="U37" s="6"/>
      <c r="V37" s="16">
        <v>136198.46</v>
      </c>
      <c r="W37" s="16">
        <v>1817</v>
      </c>
      <c r="X37" s="16">
        <v>2968</v>
      </c>
      <c r="Y37" s="16">
        <v>12789908.58</v>
      </c>
      <c r="Z37" s="16">
        <v>14101967.029999999</v>
      </c>
      <c r="AA37" s="13"/>
      <c r="AB37" s="33">
        <f t="shared" si="56"/>
        <v>541333.94999999995</v>
      </c>
      <c r="AC37" s="33">
        <f t="shared" si="57"/>
        <v>7017</v>
      </c>
      <c r="AD37" s="33">
        <f t="shared" si="58"/>
        <v>11689</v>
      </c>
      <c r="AE37" s="33">
        <f t="shared" si="59"/>
        <v>48555833.310000002</v>
      </c>
      <c r="AF37" s="33">
        <f t="shared" si="60"/>
        <v>50085703.770000003</v>
      </c>
      <c r="AG37" s="13"/>
      <c r="AH37" s="55">
        <f t="shared" si="61"/>
        <v>1.2962423657337585</v>
      </c>
      <c r="AI37" s="55">
        <f t="shared" si="62"/>
        <v>2.1592955697679779</v>
      </c>
      <c r="AJ37" s="56">
        <f t="shared" si="63"/>
        <v>6919.7425267208209</v>
      </c>
      <c r="AK37" s="56">
        <f t="shared" si="64"/>
        <v>7137.7659640872171</v>
      </c>
      <c r="AL37" s="31">
        <f>$B$37</f>
        <v>20222</v>
      </c>
      <c r="AM37" s="6"/>
      <c r="AN37" s="16">
        <v>38435.57</v>
      </c>
      <c r="AO37" s="16">
        <v>1142</v>
      </c>
      <c r="AP37" s="16">
        <v>2016</v>
      </c>
      <c r="AQ37" s="16">
        <v>16995758</v>
      </c>
      <c r="AR37" s="16">
        <v>16837331.870000001</v>
      </c>
      <c r="AS37" s="13"/>
      <c r="AT37" s="33">
        <f t="shared" si="65"/>
        <v>152652.13</v>
      </c>
      <c r="AU37" s="33">
        <f t="shared" si="66"/>
        <v>4813</v>
      </c>
      <c r="AV37" s="33">
        <f t="shared" si="67"/>
        <v>7934</v>
      </c>
      <c r="AW37" s="33">
        <f t="shared" si="68"/>
        <v>69160143.99000001</v>
      </c>
      <c r="AX37" s="33">
        <f t="shared" si="69"/>
        <v>70032291.289999992</v>
      </c>
      <c r="AY37" s="13"/>
      <c r="AZ37" s="55">
        <f t="shared" si="70"/>
        <v>3.152920303175593</v>
      </c>
      <c r="BA37" s="55">
        <f t="shared" si="71"/>
        <v>5.1974381228745381</v>
      </c>
      <c r="BB37" s="56">
        <f t="shared" si="72"/>
        <v>14369.446081446085</v>
      </c>
      <c r="BC37" s="56">
        <f t="shared" si="73"/>
        <v>14550.652667774775</v>
      </c>
      <c r="BD37" s="31">
        <f>$B$37</f>
        <v>20222</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20222</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20222</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20222</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11</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t="s">
        <v>8</v>
      </c>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t="s">
        <v>10</v>
      </c>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242</v>
      </c>
      <c r="E41" s="36">
        <f>IF(D$41="Closed",VLOOKUP(D$40,$N$41:$S$45,3,FALSE),VLOOKUP(D$40,$N$41:$S$45,4,FALSE))</f>
        <v>-2.4331607057670235E-2</v>
      </c>
      <c r="F41" s="126"/>
      <c r="G41" s="126"/>
      <c r="H41" s="126"/>
      <c r="J41" s="54"/>
      <c r="K41" s="54"/>
      <c r="L41" s="54"/>
      <c r="M41" s="54"/>
      <c r="N41" s="77" t="s">
        <v>7</v>
      </c>
      <c r="O41" s="4"/>
      <c r="P41" s="78">
        <f>LOGEST(P30:P$37)^4-1</f>
        <v>-5.1058121261589706E-2</v>
      </c>
      <c r="Q41" s="78">
        <f>LOGEST(Q30:Q$37)^4-1</f>
        <v>-3.2291864357047118E-2</v>
      </c>
      <c r="R41" s="78">
        <f>LOGEST(R30:R$37)^4-1</f>
        <v>0.24890741637689273</v>
      </c>
      <c r="S41" s="211">
        <f>LOGEST(S30:S$37)^4-1</f>
        <v>0.26663578721741565</v>
      </c>
      <c r="T41" s="17" t="s">
        <v>29</v>
      </c>
      <c r="V41" s="23" t="s">
        <v>242</v>
      </c>
      <c r="W41" s="36">
        <f>IF(V$41="Closed",VLOOKUP(V$40,$AF$41:$AK$45,3,FALSE),VLOOKUP(V$40,$AF$41:$AK$45,4,FALSE))</f>
        <v>-1.4003631068012057E-2</v>
      </c>
      <c r="X41" s="126"/>
      <c r="Y41" s="126"/>
      <c r="Z41" s="126"/>
      <c r="AB41" s="54"/>
      <c r="AC41" s="54"/>
      <c r="AD41" s="54"/>
      <c r="AE41" s="54"/>
      <c r="AF41" s="77" t="s">
        <v>7</v>
      </c>
      <c r="AG41" s="4"/>
      <c r="AH41" s="78">
        <f>LOGEST(AH30:AH$37)^4-1</f>
        <v>2.705122077550981E-2</v>
      </c>
      <c r="AI41" s="78">
        <f>LOGEST(AI30:AI$37)^4-1</f>
        <v>4.3885064807518415E-2</v>
      </c>
      <c r="AJ41" s="78">
        <f>LOGEST(AJ30:AJ$37)^4-1</f>
        <v>4.4154314093074021E-2</v>
      </c>
      <c r="AK41" s="211">
        <f>LOGEST(AK30:AK$37)^4-1</f>
        <v>6.6629956431991655E-2</v>
      </c>
      <c r="AL41" s="17" t="s">
        <v>29</v>
      </c>
      <c r="AN41" s="23" t="s">
        <v>242</v>
      </c>
      <c r="AO41" s="36">
        <f>IF(AN$41="Closed",VLOOKUP(AN$40,$AX$41:$BC$45,3,FALSE),VLOOKUP(AN$40,$AX$41:$BC$45,4,FALSE))</f>
        <v>-2.1860194354098583E-3</v>
      </c>
      <c r="AP41" s="126"/>
      <c r="AQ41" s="126"/>
      <c r="AR41" s="126"/>
      <c r="AT41" s="60"/>
      <c r="AU41" s="60"/>
      <c r="AV41" s="60"/>
      <c r="AW41" s="60"/>
      <c r="AX41" s="77" t="s">
        <v>7</v>
      </c>
      <c r="AY41" s="4"/>
      <c r="AZ41" s="78">
        <f>LOGEST(AZ30:AZ$37)^4-1</f>
        <v>-6.390378890687054E-3</v>
      </c>
      <c r="BA41" s="78">
        <f>LOGEST(BA30:BA$37)^4-1</f>
        <v>1.6768766310826244E-4</v>
      </c>
      <c r="BB41" s="78">
        <f>LOGEST(BB30:BB$37)^4-1</f>
        <v>0.1156174282952338</v>
      </c>
      <c r="BC41" s="211">
        <f>LOGEST(BC30:BC$37)^4-1</f>
        <v>0.11045910809757897</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1"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1"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1"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1"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0.13565604706343226</v>
      </c>
      <c r="F42" s="126"/>
      <c r="G42" s="126"/>
      <c r="H42" s="126"/>
      <c r="J42" s="54"/>
      <c r="K42" s="54"/>
      <c r="L42" s="54"/>
      <c r="M42" s="54"/>
      <c r="N42" s="77" t="s">
        <v>8</v>
      </c>
      <c r="O42" s="4"/>
      <c r="P42" s="78">
        <f>LOGEST(P26:P$37)^4-1</f>
        <v>-6.976066908940548E-2</v>
      </c>
      <c r="Q42" s="78">
        <f>LOGEST(Q26:Q$37)^4-1</f>
        <v>-2.5456440757463672E-2</v>
      </c>
      <c r="R42" s="78">
        <f>LOGEST(R26:R$37)^4-1</f>
        <v>0.22113377413521396</v>
      </c>
      <c r="S42" s="211">
        <f>LOGEST(S26:S$37)^4-1</f>
        <v>0.23375687652946575</v>
      </c>
      <c r="T42" s="17" t="s">
        <v>30</v>
      </c>
      <c r="V42" s="59" t="s">
        <v>165</v>
      </c>
      <c r="W42" s="36">
        <f>IF(V$42="Paid",VLOOKUP(V$40,$AF$41:$AK$45,5,FALSE),VLOOKUP(V$40,$AF$41:$AK$45,6,FALSE))</f>
        <v>2.7520479022252076E-2</v>
      </c>
      <c r="X42" s="126"/>
      <c r="Y42" s="126"/>
      <c r="Z42" s="126"/>
      <c r="AB42" s="54"/>
      <c r="AC42" s="54"/>
      <c r="AD42" s="54"/>
      <c r="AE42" s="54"/>
      <c r="AF42" s="77" t="s">
        <v>8</v>
      </c>
      <c r="AG42" s="4"/>
      <c r="AH42" s="78">
        <f>LOGEST(AH26:AH$37)^4-1</f>
        <v>-5.7646124924505826E-2</v>
      </c>
      <c r="AI42" s="78">
        <f>LOGEST(AI26:AI$37)^4-1</f>
        <v>-1.4003631068012057E-2</v>
      </c>
      <c r="AJ42" s="78">
        <f>LOGEST(AJ26:AJ$37)^4-1</f>
        <v>2.7520479022252076E-2</v>
      </c>
      <c r="AK42" s="211">
        <f>LOGEST(AK26:AK$37)^4-1</f>
        <v>3.1454201481096788E-2</v>
      </c>
      <c r="AL42" s="17" t="s">
        <v>30</v>
      </c>
      <c r="AN42" s="59" t="s">
        <v>165</v>
      </c>
      <c r="AO42" s="36">
        <f>IF(AN$42="Paid",VLOOKUP(AN$40,$AX$41:$BC$45,5,FALSE),VLOOKUP(AN$40,$AX$41:$BC$45,6,FALSE))</f>
        <v>7.0050325952783599E-2</v>
      </c>
      <c r="AP42" s="126"/>
      <c r="AQ42" s="126"/>
      <c r="AR42" s="126"/>
      <c r="AT42" s="60"/>
      <c r="AU42" s="60"/>
      <c r="AV42" s="60"/>
      <c r="AW42" s="60"/>
      <c r="AX42" s="77" t="s">
        <v>8</v>
      </c>
      <c r="AY42" s="4"/>
      <c r="AZ42" s="78">
        <f>LOGEST(AZ26:AZ$37)^4-1</f>
        <v>-3.2260197528347745E-2</v>
      </c>
      <c r="BA42" s="78">
        <f>LOGEST(BA26:BA$37)^4-1</f>
        <v>-1.4076005853263962E-2</v>
      </c>
      <c r="BB42" s="78">
        <f>LOGEST(BB26:BB$37)^4-1</f>
        <v>8.1597082053766368E-2</v>
      </c>
      <c r="BC42" s="211">
        <f>LOGEST(BC26:BC$37)^4-1</f>
        <v>8.1311968267741674E-2</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1"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1"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1"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1"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0.10802371037361769</v>
      </c>
      <c r="F43" s="219">
        <v>1</v>
      </c>
      <c r="G43" s="127" t="str">
        <f>IF(F43=1,"N/A",E98)</f>
        <v>N/A</v>
      </c>
      <c r="H43" s="128">
        <f>IF(F43=1,E43,IF(F43=0,G43,E43*F43+(G43*(1-F43))))</f>
        <v>0.10802371037361769</v>
      </c>
      <c r="J43" s="54"/>
      <c r="K43" s="54"/>
      <c r="L43" s="54"/>
      <c r="M43" s="54"/>
      <c r="N43" s="77" t="s">
        <v>9</v>
      </c>
      <c r="O43" s="4"/>
      <c r="P43" s="78">
        <f>LOGEST(P22:P$37)^4-1</f>
        <v>-4.3336492617690014E-2</v>
      </c>
      <c r="Q43" s="78">
        <f>LOGEST(Q22:Q$37)^4-1</f>
        <v>-1.07858802616696E-2</v>
      </c>
      <c r="R43" s="78">
        <f>LOGEST(R22:R$37)^4-1</f>
        <v>0.16659865884243152</v>
      </c>
      <c r="S43" s="211">
        <f>LOGEST(S22:S$37)^4-1</f>
        <v>0.13651109186159172</v>
      </c>
      <c r="T43" s="17" t="s">
        <v>33</v>
      </c>
      <c r="W43" s="63">
        <f>(1+W41)*(1+W42)-1</f>
        <v>1.3131461319197513E-2</v>
      </c>
      <c r="X43" s="97">
        <v>1</v>
      </c>
      <c r="Y43" s="127" t="str">
        <f>IF(X43=1,"N/A",W98)</f>
        <v>N/A</v>
      </c>
      <c r="Z43" s="128">
        <f>IF(X43=1,W43,IF(X43=0,Y43,W43*X43+(Y43*(1-X43))))</f>
        <v>1.3131461319197513E-2</v>
      </c>
      <c r="AB43" s="54"/>
      <c r="AC43" s="54"/>
      <c r="AD43" s="54"/>
      <c r="AE43" s="54"/>
      <c r="AF43" s="77" t="s">
        <v>9</v>
      </c>
      <c r="AG43" s="4"/>
      <c r="AH43" s="78">
        <f>LOGEST(AH22:AH$37)^4-1</f>
        <v>-7.476813489733225E-2</v>
      </c>
      <c r="AI43" s="78">
        <f>LOGEST(AI22:AI$37)^4-1</f>
        <v>-3.5022339102521283E-2</v>
      </c>
      <c r="AJ43" s="78">
        <f>LOGEST(AJ22:AJ$37)^4-1</f>
        <v>4.2132822970384787E-2</v>
      </c>
      <c r="AK43" s="211">
        <f>LOGEST(AK22:AK$37)^4-1</f>
        <v>3.5464454875466789E-2</v>
      </c>
      <c r="AL43" s="17" t="s">
        <v>33</v>
      </c>
      <c r="AO43" s="63">
        <f>(1+AO41)*(1+AO42)-1</f>
        <v>6.7711175143384095E-2</v>
      </c>
      <c r="AP43" s="97">
        <v>1</v>
      </c>
      <c r="AQ43" s="127" t="str">
        <f>IF(AP43=1,"N/A",AO98)</f>
        <v>N/A</v>
      </c>
      <c r="AR43" s="128">
        <f>IF(AP43=1,AO43,IF(AP43=0,AQ43,AO43*AP43+(AQ43*(1-AP43))))</f>
        <v>6.7711175143384095E-2</v>
      </c>
      <c r="AT43" s="60"/>
      <c r="AU43" s="60"/>
      <c r="AV43" s="60"/>
      <c r="AW43" s="60"/>
      <c r="AX43" s="77" t="s">
        <v>9</v>
      </c>
      <c r="AY43" s="4"/>
      <c r="AZ43" s="78">
        <f>LOGEST(AZ22:AZ$37)^4-1</f>
        <v>-1.875445265761444E-2</v>
      </c>
      <c r="BA43" s="78">
        <f>LOGEST(BA22:BA$37)^4-1</f>
        <v>2.2837288859969274E-3</v>
      </c>
      <c r="BB43" s="78">
        <f>LOGEST(BB22:BB$37)^4-1</f>
        <v>7.3738050765979946E-2</v>
      </c>
      <c r="BC43" s="211">
        <f>LOGEST(BC22:BC$37)^4-1</f>
        <v>7.2449977466681803E-2</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1"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1"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1"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1"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-5.0815723975624061E-2</v>
      </c>
      <c r="Q44" s="78">
        <f>LOGEST(Q18:Q$37)^4-1</f>
        <v>-1.6798881291418155E-2</v>
      </c>
      <c r="R44" s="78">
        <f>LOGEST(R18:R$37)^4-1</f>
        <v>0.14729807112960835</v>
      </c>
      <c r="S44" s="211">
        <f>LOGEST(S18:S$37)^4-1</f>
        <v>0.1245164164598811</v>
      </c>
      <c r="T44" s="135"/>
      <c r="AB44" s="54"/>
      <c r="AC44" s="54"/>
      <c r="AD44" s="54"/>
      <c r="AE44" s="54"/>
      <c r="AF44" s="77" t="s">
        <v>10</v>
      </c>
      <c r="AG44" s="4"/>
      <c r="AH44" s="78">
        <f>LOGEST(AH18:AH$37)^4-1</f>
        <v>-6.8135651846713219E-2</v>
      </c>
      <c r="AI44" s="78">
        <f>LOGEST(AI18:AI$37)^4-1</f>
        <v>-3.2748325568784042E-2</v>
      </c>
      <c r="AJ44" s="78">
        <f>LOGEST(AJ18:AJ$37)^4-1</f>
        <v>4.266824839370198E-2</v>
      </c>
      <c r="AK44" s="211">
        <f>LOGEST(AK18:AK$37)^4-1</f>
        <v>4.2692503826704309E-2</v>
      </c>
      <c r="AL44" s="135"/>
      <c r="AT44" s="60"/>
      <c r="AU44" s="60"/>
      <c r="AV44" s="60"/>
      <c r="AW44" s="60"/>
      <c r="AX44" s="77" t="s">
        <v>10</v>
      </c>
      <c r="AY44" s="4"/>
      <c r="AZ44" s="78">
        <f>LOGEST(AZ18:AZ$37)^4-1</f>
        <v>-2.3697812600064094E-2</v>
      </c>
      <c r="BA44" s="78">
        <f>LOGEST(BA18:BA$37)^4-1</f>
        <v>-2.1860194354098583E-3</v>
      </c>
      <c r="BB44" s="78">
        <f>LOGEST(BB18:BB$37)^4-1</f>
        <v>7.0050325952783599E-2</v>
      </c>
      <c r="BC44" s="211">
        <f>LOGEST(BC18:BC$37)^4-1</f>
        <v>7.2676472584774832E-2</v>
      </c>
      <c r="BD44" s="135"/>
      <c r="BL44" s="60"/>
      <c r="BM44" s="60"/>
      <c r="BN44" s="60"/>
      <c r="BO44" s="60"/>
      <c r="BP44" s="77" t="s">
        <v>10</v>
      </c>
      <c r="BQ44" s="4"/>
      <c r="BR44" s="78" t="e">
        <f>LOGEST(BR18:BR$37)^4-1</f>
        <v>#NUM!</v>
      </c>
      <c r="BS44" s="78" t="e">
        <f>LOGEST(BS18:BS$37)^4-1</f>
        <v>#NUM!</v>
      </c>
      <c r="BT44" s="78" t="e">
        <f>LOGEST(BT18:BT$37)^4-1</f>
        <v>#NUM!</v>
      </c>
      <c r="BU44" s="211" t="e">
        <f>LOGEST(BU18:BU$37)^4-1</f>
        <v>#NUM!</v>
      </c>
      <c r="BV44" s="135"/>
      <c r="CD44" s="54"/>
      <c r="CE44" s="54"/>
      <c r="CF44" s="54"/>
      <c r="CG44" s="54"/>
      <c r="CH44" s="77" t="s">
        <v>10</v>
      </c>
      <c r="CI44" s="4"/>
      <c r="CJ44" s="78" t="e">
        <f>LOGEST(CJ18:CJ$37)^4-1</f>
        <v>#NUM!</v>
      </c>
      <c r="CK44" s="78" t="e">
        <f>LOGEST(CK18:CK$37)^4-1</f>
        <v>#NUM!</v>
      </c>
      <c r="CL44" s="78" t="e">
        <f>LOGEST(CL18:CL$37)^4-1</f>
        <v>#NUM!</v>
      </c>
      <c r="CM44" s="211" t="e">
        <f>LOGEST(CM18:CM$37)^4-1</f>
        <v>#NUM!</v>
      </c>
      <c r="CN44" s="135"/>
      <c r="CV44" s="54"/>
      <c r="CW44" s="54"/>
      <c r="CX44" s="54"/>
      <c r="CY44" s="54"/>
      <c r="CZ44" s="77" t="s">
        <v>10</v>
      </c>
      <c r="DA44" s="4"/>
      <c r="DB44" s="78" t="e">
        <f>LOGEST(DB18:DB$37)^4-1</f>
        <v>#NUM!</v>
      </c>
      <c r="DC44" s="78" t="e">
        <f>LOGEST(DC18:DC$37)^4-1</f>
        <v>#NUM!</v>
      </c>
      <c r="DD44" s="78" t="e">
        <f>LOGEST(DD18:DD$37)^4-1</f>
        <v>#NUM!</v>
      </c>
      <c r="DE44" s="211" t="e">
        <f>LOGEST(DE18:DE$37)^4-1</f>
        <v>#NUM!</v>
      </c>
      <c r="DF44" s="135"/>
      <c r="DN44" s="60"/>
      <c r="DO44" s="60"/>
      <c r="DP44" s="60"/>
      <c r="DQ44" s="60"/>
      <c r="DR44" s="77" t="s">
        <v>10</v>
      </c>
      <c r="DS44" s="4"/>
      <c r="DT44" s="78" t="e">
        <f>LOGEST(DT18:DT$37)^4-1</f>
        <v>#NUM!</v>
      </c>
      <c r="DU44" s="78" t="e">
        <f>LOGEST(DU18:DU$37)^4-1</f>
        <v>#NUM!</v>
      </c>
      <c r="DV44" s="78" t="e">
        <f>LOGEST(DV18:DV$37)^4-1</f>
        <v>#NUM!</v>
      </c>
      <c r="DW44" s="211" t="e">
        <f>LOGEST(DW18:DW$37)^4-1</f>
        <v>#NUM!</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-6.2356374183420438E-2</v>
      </c>
      <c r="Q45" s="81">
        <f>LOGEST(Q14:Q$37)^4-1</f>
        <v>-2.4331607057670235E-2</v>
      </c>
      <c r="R45" s="81">
        <f>LOGEST(R14:R$37)^4-1</f>
        <v>0.13565604706343226</v>
      </c>
      <c r="S45" s="212">
        <f>LOGEST(S14:S$37)^4-1</f>
        <v>0.12365122123286243</v>
      </c>
      <c r="T45" s="25" t="s">
        <v>13</v>
      </c>
      <c r="U45" s="25"/>
      <c r="V45" s="25"/>
      <c r="W45" s="25"/>
      <c r="AB45" s="54"/>
      <c r="AC45" s="54"/>
      <c r="AD45" s="54"/>
      <c r="AE45" s="54"/>
      <c r="AF45" s="80" t="s">
        <v>11</v>
      </c>
      <c r="AG45" s="82"/>
      <c r="AH45" s="81">
        <f>LOGEST(AH14:AH$37)^4-1</f>
        <v>-5.7902570143281484E-2</v>
      </c>
      <c r="AI45" s="81">
        <f>LOGEST(AI14:AI$37)^4-1</f>
        <v>-2.5781106090843608E-2</v>
      </c>
      <c r="AJ45" s="81">
        <f>LOGEST(AJ14:AJ$37)^4-1</f>
        <v>3.7125878075259244E-2</v>
      </c>
      <c r="AK45" s="212">
        <f>LOGEST(AK14:AK$37)^4-1</f>
        <v>3.8515043969064466E-2</v>
      </c>
      <c r="AL45" s="25" t="s">
        <v>13</v>
      </c>
      <c r="AM45" s="25"/>
      <c r="AN45" s="25"/>
      <c r="AO45" s="25"/>
      <c r="AT45" s="60"/>
      <c r="AU45" s="60"/>
      <c r="AV45" s="60"/>
      <c r="AW45" s="60"/>
      <c r="AX45" s="80" t="s">
        <v>11</v>
      </c>
      <c r="AY45" s="82"/>
      <c r="AZ45" s="81">
        <f>LOGEST(AZ14:AZ$37)^4-1</f>
        <v>-3.7398320197970514E-2</v>
      </c>
      <c r="BA45" s="81">
        <f>LOGEST(BA14:BA$37)^4-1</f>
        <v>-7.0046623891270032E-3</v>
      </c>
      <c r="BB45" s="81">
        <f>LOGEST(BB14:BB$37)^4-1</f>
        <v>6.8077344845955734E-2</v>
      </c>
      <c r="BC45" s="212">
        <f>LOGEST(BC14:BC$37)^4-1</f>
        <v>6.8228632718965621E-2</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2"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2"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2"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2"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f>IFERROR(((12+PolicyTermAvgAnn)/24)+((EffDate_Proposed-(DATE(LEFT(FYQtr,4),(RIGHT(FYQtr,1)*3)-6+1,1)-1))/365.25),"")</f>
        <v>2.6673511293634498</v>
      </c>
      <c r="J46" s="124"/>
      <c r="K46" s="78"/>
      <c r="L46" s="79"/>
      <c r="M46" s="78"/>
      <c r="N46" s="79"/>
      <c r="O46" s="4"/>
      <c r="P46" s="78"/>
      <c r="Q46" s="79"/>
      <c r="R46" s="78"/>
      <c r="S46" s="79"/>
      <c r="T46" s="37" t="s">
        <v>54</v>
      </c>
      <c r="U46" s="25"/>
      <c r="V46" s="25"/>
      <c r="X46" s="261">
        <f>$F$46</f>
        <v>2.6673511293634498</v>
      </c>
      <c r="AB46" s="54"/>
      <c r="AC46" s="54"/>
      <c r="AD46" s="54"/>
      <c r="AE46" s="54"/>
      <c r="AF46" s="79"/>
      <c r="AG46" s="4"/>
      <c r="AH46" s="78"/>
      <c r="AI46" s="79"/>
      <c r="AJ46" s="78"/>
      <c r="AK46" s="79"/>
      <c r="AL46" s="37" t="s">
        <v>54</v>
      </c>
      <c r="AM46" s="25"/>
      <c r="AN46" s="25"/>
      <c r="AP46" s="261">
        <f>$F$46</f>
        <v>2.6673511293634498</v>
      </c>
      <c r="AT46" s="60"/>
      <c r="AU46" s="60"/>
      <c r="AV46" s="60"/>
      <c r="AW46" s="60"/>
      <c r="AX46" s="79"/>
      <c r="AY46" s="4"/>
      <c r="AZ46" s="78"/>
      <c r="BA46" s="79"/>
      <c r="BB46" s="78"/>
      <c r="BC46" s="79"/>
      <c r="BD46" s="37" t="s">
        <v>54</v>
      </c>
      <c r="BE46" s="25"/>
      <c r="BF46" s="25"/>
      <c r="BH46" s="261">
        <f>$F$46</f>
        <v>2.6673511293634498</v>
      </c>
      <c r="BL46" s="124"/>
      <c r="BM46" s="78"/>
      <c r="BN46" s="79"/>
      <c r="BO46" s="78"/>
      <c r="BP46" s="79"/>
      <c r="BQ46" s="4"/>
      <c r="BR46" s="78"/>
      <c r="BS46" s="79"/>
      <c r="BT46" s="78"/>
      <c r="BU46" s="79"/>
      <c r="BV46" s="37" t="s">
        <v>54</v>
      </c>
      <c r="BW46" s="25"/>
      <c r="BX46" s="25"/>
      <c r="BZ46" s="261">
        <f>$F$46</f>
        <v>2.6673511293634498</v>
      </c>
      <c r="CD46" s="54"/>
      <c r="CE46" s="54"/>
      <c r="CF46" s="54"/>
      <c r="CG46" s="54"/>
      <c r="CH46" s="79"/>
      <c r="CI46" s="4"/>
      <c r="CJ46" s="78"/>
      <c r="CK46" s="79"/>
      <c r="CL46" s="78"/>
      <c r="CM46" s="79"/>
      <c r="CN46" s="37" t="s">
        <v>54</v>
      </c>
      <c r="CO46" s="25"/>
      <c r="CP46" s="25"/>
      <c r="CR46" s="261">
        <f>$F$46</f>
        <v>2.6673511293634498</v>
      </c>
      <c r="CV46" s="124"/>
      <c r="CW46" s="78"/>
      <c r="CX46" s="79"/>
      <c r="CY46" s="78"/>
      <c r="CZ46" s="79"/>
      <c r="DA46" s="4"/>
      <c r="DB46" s="78"/>
      <c r="DC46" s="79"/>
      <c r="DD46" s="78"/>
      <c r="DE46" s="79"/>
      <c r="DF46" s="37" t="s">
        <v>54</v>
      </c>
      <c r="DG46" s="25"/>
      <c r="DH46" s="25"/>
      <c r="DJ46" s="261">
        <f>$F$46</f>
        <v>2.6673511293634498</v>
      </c>
      <c r="DN46" s="124"/>
      <c r="DO46" s="78"/>
      <c r="DP46" s="79"/>
      <c r="DQ46" s="78"/>
      <c r="DR46" s="79"/>
      <c r="DS46" s="4"/>
      <c r="DT46" s="78"/>
      <c r="DU46" s="79"/>
      <c r="DV46" s="78"/>
      <c r="DW46" s="79"/>
      <c r="DX46" s="37" t="s">
        <v>54</v>
      </c>
      <c r="DY46" s="25"/>
      <c r="DZ46" s="25"/>
      <c r="EB46" s="261">
        <f>$F$46</f>
        <v>2.6673511293634498</v>
      </c>
      <c r="EF46" s="79"/>
      <c r="EG46" s="79"/>
      <c r="EH46" s="79"/>
      <c r="EI46" s="79"/>
      <c r="EJ46" s="79"/>
      <c r="EK46" s="4"/>
      <c r="EL46" s="78"/>
      <c r="EM46" s="79"/>
      <c r="EN46" s="78"/>
      <c r="EO46" s="79"/>
      <c r="EP46" s="37" t="s">
        <v>54</v>
      </c>
      <c r="EQ46" s="25"/>
      <c r="ER46" s="25"/>
      <c r="ET46" s="261">
        <f>$F$46</f>
        <v>2.6673511293634498</v>
      </c>
      <c r="EX46" s="78"/>
      <c r="EY46" s="78"/>
      <c r="EZ46" s="78"/>
      <c r="FA46" s="78"/>
      <c r="FB46" s="79"/>
      <c r="FC46" s="4"/>
      <c r="FD46" s="78"/>
      <c r="FE46" s="79"/>
      <c r="FF46" s="78"/>
      <c r="FG46" s="79"/>
      <c r="FH46" s="37" t="s">
        <v>54</v>
      </c>
      <c r="FI46" s="25"/>
      <c r="FJ46" s="25"/>
      <c r="FL46" s="261">
        <f>$F$46</f>
        <v>2.6673511293634498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2.1957011963603841</v>
      </c>
      <c r="F50" s="38"/>
      <c r="J50" s="54"/>
      <c r="K50" s="60"/>
      <c r="L50" s="58"/>
      <c r="M50" s="60"/>
      <c r="N50" s="58"/>
      <c r="P50" s="60"/>
      <c r="Q50" s="58"/>
      <c r="R50" s="60"/>
      <c r="S50" s="58"/>
      <c r="T50" s="38" t="s">
        <v>20</v>
      </c>
      <c r="W50" s="123">
        <f>(1+LTrnd_Cov2)^(X$46+5)</f>
        <v>1.105202078364713</v>
      </c>
      <c r="AB50" s="54"/>
      <c r="AC50" s="60"/>
      <c r="AD50" s="58"/>
      <c r="AE50" s="60"/>
      <c r="AF50" s="58"/>
      <c r="AH50" s="60"/>
      <c r="AI50" s="58"/>
      <c r="AJ50" s="60"/>
      <c r="AK50" s="58"/>
      <c r="AL50" s="38" t="s">
        <v>20</v>
      </c>
      <c r="AO50" s="123">
        <f>(1+LTrnd_Cov3)^(AP$46+5)</f>
        <v>1.6525902478899823</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1.9816373745468039</v>
      </c>
      <c r="F51" s="38"/>
      <c r="J51" s="54"/>
      <c r="K51" s="60"/>
      <c r="L51" s="58"/>
      <c r="M51" s="60"/>
      <c r="N51" s="58"/>
      <c r="P51" s="60"/>
      <c r="Q51" s="58"/>
      <c r="R51" s="60"/>
      <c r="S51" s="58"/>
      <c r="T51" s="38" t="s">
        <v>19</v>
      </c>
      <c r="W51" s="46">
        <f>(1+LTrnd_Cov2)^(X$46+4)</f>
        <v>1.0908772657455827</v>
      </c>
      <c r="AB51" s="54"/>
      <c r="AC51" s="60"/>
      <c r="AD51" s="58"/>
      <c r="AE51" s="60"/>
      <c r="AF51" s="58"/>
      <c r="AH51" s="60"/>
      <c r="AI51" s="58"/>
      <c r="AJ51" s="60"/>
      <c r="AK51" s="58"/>
      <c r="AL51" s="38" t="s">
        <v>19</v>
      </c>
      <c r="AO51" s="46">
        <f>(1+LTrnd_Cov3)^(AP$46+4)</f>
        <v>1.5477877223379761</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1.7884431136212871</v>
      </c>
      <c r="F52" s="38"/>
      <c r="J52" s="54"/>
      <c r="K52" s="60"/>
      <c r="L52" s="58"/>
      <c r="M52" s="60"/>
      <c r="N52" s="58"/>
      <c r="P52" s="60"/>
      <c r="Q52" s="58"/>
      <c r="R52" s="60"/>
      <c r="S52" s="58"/>
      <c r="T52" s="38" t="s">
        <v>18</v>
      </c>
      <c r="W52" s="46">
        <f>(1+LTrnd_Cov2)^(X$46+3)</f>
        <v>1.0767381207618927</v>
      </c>
      <c r="AB52" s="54"/>
      <c r="AC52" s="60"/>
      <c r="AD52" s="58"/>
      <c r="AE52" s="60"/>
      <c r="AF52" s="58"/>
      <c r="AH52" s="60"/>
      <c r="AI52" s="58"/>
      <c r="AJ52" s="60"/>
      <c r="AK52" s="58"/>
      <c r="AL52" s="38" t="s">
        <v>18</v>
      </c>
      <c r="AO52" s="46">
        <f>(1+LTrnd_Cov3)^(AP$46+3)</f>
        <v>1.4496314718539141</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1.6140837934038763</v>
      </c>
      <c r="J53" s="54"/>
      <c r="K53" s="60"/>
      <c r="L53" s="58"/>
      <c r="M53" s="60"/>
      <c r="N53" s="58"/>
      <c r="P53" s="60"/>
      <c r="Q53" s="58"/>
      <c r="R53" s="60"/>
      <c r="S53" s="58"/>
      <c r="T53" s="38" t="s">
        <v>17</v>
      </c>
      <c r="W53" s="46">
        <f>(1+LTrnd_Cov2)^(X$46+2)</f>
        <v>1.0627822369269562</v>
      </c>
      <c r="AB53" s="54"/>
      <c r="AC53" s="60"/>
      <c r="AD53" s="58"/>
      <c r="AE53" s="60"/>
      <c r="AF53" s="58"/>
      <c r="AH53" s="60"/>
      <c r="AI53" s="58"/>
      <c r="AJ53" s="60"/>
      <c r="AK53" s="58"/>
      <c r="AL53" s="38" t="s">
        <v>17</v>
      </c>
      <c r="AO53" s="46">
        <f>(1+LTrnd_Cov3)^(AP$46+2)</f>
        <v>1.3577000087680466</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1.4567231533877725</v>
      </c>
      <c r="J54" s="54"/>
      <c r="K54" s="60"/>
      <c r="L54" s="58"/>
      <c r="M54" s="60"/>
      <c r="N54" s="58"/>
      <c r="P54" s="60"/>
      <c r="Q54" s="58"/>
      <c r="R54" s="60"/>
      <c r="S54" s="58"/>
      <c r="T54" s="38" t="s">
        <v>16</v>
      </c>
      <c r="W54" s="46">
        <f>(1+LTrnd_Cov2)^(X$46+1)</f>
        <v>1.0490072389451892</v>
      </c>
      <c r="AB54" s="54"/>
      <c r="AC54" s="60"/>
      <c r="AD54" s="58"/>
      <c r="AE54" s="60"/>
      <c r="AF54" s="58"/>
      <c r="AH54" s="60"/>
      <c r="AI54" s="58"/>
      <c r="AJ54" s="60"/>
      <c r="AK54" s="58"/>
      <c r="AL54" s="38" t="s">
        <v>16</v>
      </c>
      <c r="AO54" s="46">
        <f>(1+LTrnd_Cov3)^(AP$46+1)</f>
        <v>1.2715985749476864</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1.3147039542110304</v>
      </c>
      <c r="J55" s="54"/>
      <c r="K55" s="60"/>
      <c r="L55" s="58"/>
      <c r="M55" s="60"/>
      <c r="N55" s="58"/>
      <c r="P55" s="60"/>
      <c r="Q55" s="58"/>
      <c r="R55" s="60"/>
      <c r="S55" s="58"/>
      <c r="T55" s="38" t="s">
        <v>15</v>
      </c>
      <c r="W55" s="46">
        <f>(1+LTrnd_Cov2)^(X$46+0)</f>
        <v>1.0354107823078338</v>
      </c>
      <c r="AB55" s="54"/>
      <c r="AC55" s="60"/>
      <c r="AD55" s="58"/>
      <c r="AE55" s="60"/>
      <c r="AF55" s="58"/>
      <c r="AH55" s="60"/>
      <c r="AI55" s="58"/>
      <c r="AJ55" s="60"/>
      <c r="AK55" s="58"/>
      <c r="AL55" s="38" t="s">
        <v>15</v>
      </c>
      <c r="AO55" s="46">
        <f>(1+LTrnd_Cov3)^(AP$46+0)</f>
        <v>1.1909574466867614</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Homeowners Multiple Peril</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c r="E95" s="64" t="s">
        <v>32</v>
      </c>
      <c r="F95" s="271"/>
      <c r="J95" s="54"/>
      <c r="K95" s="54"/>
      <c r="L95" s="54"/>
      <c r="M95" s="54"/>
      <c r="N95" s="213"/>
      <c r="O95" s="4"/>
      <c r="P95" s="57" t="s">
        <v>24</v>
      </c>
      <c r="Q95" s="57" t="s">
        <v>25</v>
      </c>
      <c r="R95" s="57" t="s">
        <v>26</v>
      </c>
      <c r="S95" s="76" t="s">
        <v>169</v>
      </c>
      <c r="T95" s="61" t="s">
        <v>12</v>
      </c>
      <c r="U95" s="25"/>
      <c r="V95" s="23"/>
      <c r="W95" s="64" t="s">
        <v>32</v>
      </c>
      <c r="X95" s="271"/>
      <c r="AF95" s="213"/>
      <c r="AG95" s="4"/>
      <c r="AH95" s="57" t="s">
        <v>24</v>
      </c>
      <c r="AI95" s="57" t="s">
        <v>25</v>
      </c>
      <c r="AJ95" s="57" t="s">
        <v>26</v>
      </c>
      <c r="AK95" s="76" t="s">
        <v>169</v>
      </c>
      <c r="AL95" s="61" t="s">
        <v>12</v>
      </c>
      <c r="AM95" s="25"/>
      <c r="AN95" s="23"/>
      <c r="AO95" s="64" t="s">
        <v>32</v>
      </c>
      <c r="AP95" s="271"/>
      <c r="AX95" s="213"/>
      <c r="AY95" s="4"/>
      <c r="AZ95" s="57" t="s">
        <v>24</v>
      </c>
      <c r="BA95" s="57" t="s">
        <v>25</v>
      </c>
      <c r="BB95" s="57" t="s">
        <v>26</v>
      </c>
      <c r="BC95" s="76" t="s">
        <v>169</v>
      </c>
      <c r="BD95" s="61" t="s">
        <v>12</v>
      </c>
      <c r="BE95" s="25"/>
      <c r="BF95" s="23"/>
      <c r="BG95" s="64" t="s">
        <v>32</v>
      </c>
      <c r="BH95" s="271"/>
      <c r="BP95" s="75"/>
      <c r="BQ95" s="4"/>
      <c r="BR95" s="57" t="s">
        <v>24</v>
      </c>
      <c r="BS95" s="57" t="s">
        <v>25</v>
      </c>
      <c r="BT95" s="57" t="s">
        <v>26</v>
      </c>
      <c r="BU95" s="76" t="s">
        <v>169</v>
      </c>
      <c r="BV95" s="61" t="s">
        <v>12</v>
      </c>
      <c r="BW95" s="25"/>
      <c r="BX95" s="23"/>
      <c r="BY95" s="64" t="s">
        <v>32</v>
      </c>
      <c r="BZ95" s="271"/>
      <c r="CH95" s="75"/>
      <c r="CI95" s="4"/>
      <c r="CJ95" s="57" t="s">
        <v>24</v>
      </c>
      <c r="CK95" s="57" t="s">
        <v>25</v>
      </c>
      <c r="CL95" s="57" t="s">
        <v>26</v>
      </c>
      <c r="CM95" s="76" t="s">
        <v>169</v>
      </c>
      <c r="CN95" s="61" t="s">
        <v>12</v>
      </c>
      <c r="CO95" s="25"/>
      <c r="CP95" s="23"/>
      <c r="CQ95" s="64" t="s">
        <v>32</v>
      </c>
      <c r="CR95" s="271"/>
      <c r="CZ95" s="75"/>
      <c r="DA95" s="4"/>
      <c r="DB95" s="57" t="s">
        <v>24</v>
      </c>
      <c r="DC95" s="57" t="s">
        <v>25</v>
      </c>
      <c r="DD95" s="57" t="s">
        <v>26</v>
      </c>
      <c r="DE95" s="76" t="s">
        <v>169</v>
      </c>
      <c r="DF95" s="61" t="s">
        <v>12</v>
      </c>
      <c r="DG95" s="25"/>
      <c r="DH95" s="23"/>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#N/A</v>
      </c>
      <c r="AF98" s="77" t="s">
        <v>9</v>
      </c>
      <c r="AG98" s="4"/>
      <c r="AH98" s="78" t="e">
        <f>LOGEST(AH77:AH$92)^4-1</f>
        <v>#NUM!</v>
      </c>
      <c r="AI98" s="78" t="e">
        <f>LOGEST(AI77:AI$92)^4-1</f>
        <v>#NUM!</v>
      </c>
      <c r="AJ98" s="78" t="e">
        <f>LOGEST(AJ77:AJ$92)^4-1</f>
        <v>#NUM!</v>
      </c>
      <c r="AK98" s="211" t="e">
        <f>LOGEST(AK77:AK$92)^4-1</f>
        <v>#NUM!</v>
      </c>
      <c r="AL98" s="17" t="s">
        <v>33</v>
      </c>
      <c r="AO98" s="63" t="e">
        <f>IF(AN$95="Alternate",AO$100,(1+AO96)*(1+AO97)-1)</f>
        <v>#N/A</v>
      </c>
      <c r="AX98" s="77" t="s">
        <v>9</v>
      </c>
      <c r="AY98" s="4"/>
      <c r="AZ98" s="78" t="e">
        <f>LOGEST(AZ77:AZ$92)^4-1</f>
        <v>#NUM!</v>
      </c>
      <c r="BA98" s="78" t="e">
        <f>LOGEST(BA77:BA$92)^4-1</f>
        <v>#NUM!</v>
      </c>
      <c r="BB98" s="78" t="e">
        <f>LOGEST(BB77:BB$92)^4-1</f>
        <v>#NUM!</v>
      </c>
      <c r="BC98" s="211" t="e">
        <f>LOGEST(BC77:BC$92)^4-1</f>
        <v>#NUM!</v>
      </c>
      <c r="BD98" s="17" t="s">
        <v>33</v>
      </c>
      <c r="BG98" s="63" t="e">
        <f>IF(BF$95="Alternate",BG$100,(1+BG96)*(1+BG97)-1)</f>
        <v>#N/A</v>
      </c>
      <c r="BP98" s="77" t="s">
        <v>9</v>
      </c>
      <c r="BQ98" s="4"/>
      <c r="BR98" s="78" t="e">
        <f>LOGEST(BR77:BR$92)^4-1</f>
        <v>#NUM!</v>
      </c>
      <c r="BS98" s="78" t="e">
        <f>LOGEST(BS77:BS$92)^4-1</f>
        <v>#NUM!</v>
      </c>
      <c r="BT98" s="78" t="e">
        <f>LOGEST(BT77:BT$92)^4-1</f>
        <v>#NUM!</v>
      </c>
      <c r="BU98" s="211" t="e">
        <f>LOGEST(BU77:BU$92)^4-1</f>
        <v>#NUM!</v>
      </c>
      <c r="BV98" s="17" t="s">
        <v>33</v>
      </c>
      <c r="BY98" s="63" t="e">
        <f>IF(BX$95="Alternate",BY$100,(1+BY96)*(1+BY97)-1)</f>
        <v>#N/A</v>
      </c>
      <c r="CH98" s="77" t="s">
        <v>9</v>
      </c>
      <c r="CI98" s="4"/>
      <c r="CJ98" s="78" t="e">
        <f>LOGEST(CJ77:CJ$92)^4-1</f>
        <v>#NUM!</v>
      </c>
      <c r="CK98" s="78" t="e">
        <f>LOGEST(CK77:CK$92)^4-1</f>
        <v>#NUM!</v>
      </c>
      <c r="CL98" s="78" t="e">
        <f>LOGEST(CL77:CL$92)^4-1</f>
        <v>#NUM!</v>
      </c>
      <c r="CM98" s="211" t="e">
        <f>LOGEST(CM77:CM$92)^4-1</f>
        <v>#NUM!</v>
      </c>
      <c r="CN98" s="17" t="s">
        <v>33</v>
      </c>
      <c r="CQ98" s="63" t="e">
        <f>IF(CP$95="Alternate",CQ$100,(1+CQ96)*(1+CQ97)-1)</f>
        <v>#N/A</v>
      </c>
      <c r="CZ98" s="77" t="s">
        <v>9</v>
      </c>
      <c r="DA98" s="4"/>
      <c r="DB98" s="78" t="e">
        <f>LOGEST(DB77:DB$92)^4-1</f>
        <v>#NUM!</v>
      </c>
      <c r="DC98" s="78" t="e">
        <f>LOGEST(DC77:DC$92)^4-1</f>
        <v>#NUM!</v>
      </c>
      <c r="DD98" s="78" t="e">
        <f>LOGEST(DD77:DD$92)^4-1</f>
        <v>#NUM!</v>
      </c>
      <c r="DE98" s="211" t="e">
        <f>LOGEST(DE77:DE$92)^4-1</f>
        <v>#NUM!</v>
      </c>
      <c r="DF98" s="17" t="s">
        <v>33</v>
      </c>
      <c r="DI98" s="63" t="e">
        <f>IF(DH$95="Alternate",DI$100,(1+DI96)*(1+DI97)-1)</f>
        <v>#N/A</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L4gD3L4Ov5Sh9ovS5TRP2ua6ntdcaAJD1g2qPb5URsZUU8ZBUXFAohu+V2BUGzNe7t42iHS8BJAS4aS56Qd+GQ==" saltValue="noJl9AzHqW8ZkgVZaH9Gmw=="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&amp;L1/3/2023 Edition
&amp;CStandard Exhibits Template
Portions of the material contained in this document are protected by copyright owned by the State Farm Mutual Automobile Insurance Company, 2023&amp;RPage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2023-02-25T01:01:59Z</cp:lastPrinted>
  <dcterms:created xsi:type="dcterms:W3CDTF">2014-10-15T15:53:44Z</dcterms:created>
  <dcterms:modified xsi:type="dcterms:W3CDTF">2023-02-25T01:02:51Z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2023-01-13T18:48:12Z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5e5de753-9410-4553-a977-a932ecbfb237</vt:lpwstr>
  </property>
  <property fmtid="{D5CDD505-2E9C-101B-9397-08002B2CF9AE}" pid="8" name="MSIP_Label_261ecbe3-7ba9-4124-b9d7-ffd820687beb_ContentBits">
    <vt:lpwstr>0</vt:lpwstr>
  </property>
</Properties>
</file>